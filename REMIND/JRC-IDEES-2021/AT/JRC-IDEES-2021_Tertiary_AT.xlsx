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AT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I5" i="39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K13" i="29"/>
  <c r="J13" i="29"/>
  <c r="I13" i="29"/>
  <c r="H13" i="29"/>
  <c r="H5" i="29" s="1"/>
  <c r="G13" i="29"/>
  <c r="G11" i="29" s="1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M12" i="29"/>
  <c r="L12" i="29"/>
  <c r="L11" i="29" s="1"/>
  <c r="K12" i="29"/>
  <c r="K11" i="29" s="1"/>
  <c r="J12" i="29"/>
  <c r="J11" i="29" s="1"/>
  <c r="I12" i="29"/>
  <c r="H12" i="29"/>
  <c r="G12" i="29"/>
  <c r="F12" i="29"/>
  <c r="E12" i="29"/>
  <c r="D12" i="29"/>
  <c r="D11" i="29" s="1"/>
  <c r="W11" i="29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G7" i="29"/>
  <c r="D7" i="29"/>
  <c r="W6" i="29"/>
  <c r="V6" i="29"/>
  <c r="U6" i="29"/>
  <c r="P6" i="29"/>
  <c r="O6" i="29"/>
  <c r="N6" i="29"/>
  <c r="M6" i="29"/>
  <c r="H6" i="29"/>
  <c r="G6" i="29"/>
  <c r="F6" i="29"/>
  <c r="E6" i="29"/>
  <c r="T5" i="29"/>
  <c r="S5" i="29"/>
  <c r="R5" i="29"/>
  <c r="Q5" i="29"/>
  <c r="L5" i="29"/>
  <c r="K5" i="29"/>
  <c r="J5" i="29"/>
  <c r="I5" i="29"/>
  <c r="D5" i="29"/>
  <c r="W4" i="29"/>
  <c r="V4" i="29"/>
  <c r="U4" i="29"/>
  <c r="P4" i="29"/>
  <c r="O4" i="29"/>
  <c r="N4" i="29"/>
  <c r="M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W9" i="29" l="1"/>
  <c r="O11" i="29"/>
  <c r="G5" i="29"/>
  <c r="W5" i="29"/>
  <c r="S4" i="29"/>
  <c r="W7" i="29"/>
  <c r="W3" i="29" s="1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3" i="31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19" i="25" l="1"/>
  <c r="U27" i="24"/>
  <c r="W3" i="8"/>
  <c r="R3" i="29"/>
  <c r="S3" i="30"/>
  <c r="T15" i="12"/>
  <c r="T19" i="14"/>
  <c r="T3" i="11"/>
  <c r="T27" i="13"/>
  <c r="S3" i="32"/>
  <c r="S15" i="24"/>
  <c r="S3" i="29"/>
  <c r="S3" i="34"/>
  <c r="U3" i="22"/>
  <c r="V3" i="19"/>
  <c r="V3" i="23" s="1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S3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T3" i="14" l="1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O90" i="6" l="1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O4" i="13" s="1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G29" i="12" s="1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O29" i="23" s="1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P29" i="13" s="1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G19" i="23" s="1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K4" i="24" l="1"/>
  <c r="G16" i="12"/>
  <c r="F16" i="12"/>
  <c r="E4" i="13"/>
  <c r="O29" i="13"/>
  <c r="D16" i="14"/>
  <c r="D16" i="17" s="1"/>
  <c r="O29" i="12"/>
  <c r="E19" i="24"/>
  <c r="I4" i="23"/>
  <c r="G16" i="13"/>
  <c r="N29" i="23"/>
  <c r="C19" i="13"/>
  <c r="K19" i="24"/>
  <c r="O19" i="23"/>
  <c r="O19" i="26" s="1"/>
  <c r="Q29" i="24"/>
  <c r="G29" i="24"/>
  <c r="G29" i="27" s="1"/>
  <c r="C19" i="12"/>
  <c r="C19" i="15" s="1"/>
  <c r="P16" i="23"/>
  <c r="M4" i="14"/>
  <c r="O16" i="13"/>
  <c r="O16" i="23"/>
  <c r="F19" i="12"/>
  <c r="M16" i="24"/>
  <c r="J4" i="23"/>
  <c r="J4" i="26" s="1"/>
  <c r="P19" i="12"/>
  <c r="P19" i="15" s="1"/>
  <c r="H4" i="24"/>
  <c r="M4" i="12"/>
  <c r="O19" i="24"/>
  <c r="P16" i="24"/>
  <c r="L19" i="13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N16" i="14"/>
  <c r="D4" i="13"/>
  <c r="N16" i="12"/>
  <c r="N16" i="15" s="1"/>
  <c r="E16" i="12"/>
  <c r="E16" i="15" s="1"/>
  <c r="I16" i="14"/>
  <c r="Q4" i="23"/>
  <c r="J29" i="24"/>
  <c r="P16" i="13"/>
  <c r="C29" i="12"/>
  <c r="G16" i="24"/>
  <c r="I4" i="12"/>
  <c r="L16" i="13"/>
  <c r="L16" i="16" s="1"/>
  <c r="B29" i="13"/>
  <c r="L4" i="24"/>
  <c r="Q29" i="23"/>
  <c r="G16" i="25"/>
  <c r="Q4" i="24"/>
  <c r="D4" i="23"/>
  <c r="C29" i="13"/>
  <c r="B29" i="12"/>
  <c r="H19" i="24"/>
  <c r="H19" i="27" s="1"/>
  <c r="Q4" i="12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I19" i="24"/>
  <c r="K16" i="23"/>
  <c r="E29" i="13"/>
  <c r="L16" i="24"/>
  <c r="L16" i="27" s="1"/>
  <c r="M4" i="13"/>
  <c r="M4" i="16" s="1"/>
  <c r="D27" i="13"/>
  <c r="D27" i="12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3"/>
  <c r="Q19" i="13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3"/>
  <c r="E27" i="16" s="1"/>
  <c r="E19" i="23"/>
  <c r="D15" i="23"/>
  <c r="D15" i="24"/>
  <c r="E19" i="13"/>
  <c r="E19" i="16" s="1"/>
  <c r="C16" i="23"/>
  <c r="C16" i="26" s="1"/>
  <c r="F16" i="23"/>
  <c r="F3" i="19"/>
  <c r="F3" i="23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I19" i="23"/>
  <c r="Q19" i="23"/>
  <c r="G15" i="23"/>
  <c r="G15" i="24"/>
  <c r="G15" i="27" s="1"/>
  <c r="H27" i="23"/>
  <c r="H27" i="26" s="1"/>
  <c r="H27" i="24"/>
  <c r="H27" i="27" s="1"/>
  <c r="Q29" i="13"/>
  <c r="I16" i="12"/>
  <c r="F29" i="13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L16" i="12"/>
  <c r="P15" i="23"/>
  <c r="P15" i="26" s="1"/>
  <c r="P15" i="24"/>
  <c r="M29" i="12"/>
  <c r="M29" i="15" s="1"/>
  <c r="H16" i="12"/>
  <c r="H16" i="15" s="1"/>
  <c r="J15" i="24"/>
  <c r="J15" i="23"/>
  <c r="L27" i="23"/>
  <c r="L27" i="24"/>
  <c r="L27" i="27" s="1"/>
  <c r="O19" i="12"/>
  <c r="G27" i="24"/>
  <c r="G27" i="27" s="1"/>
  <c r="G27" i="23"/>
  <c r="G27" i="26" s="1"/>
  <c r="L4" i="13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4"/>
  <c r="K27" i="27" s="1"/>
  <c r="B27" i="12"/>
  <c r="B27" i="15" s="1"/>
  <c r="B27" i="13"/>
  <c r="Q19" i="24"/>
  <c r="K15" i="23"/>
  <c r="K15" i="24"/>
  <c r="P27" i="23"/>
  <c r="P27" i="26" s="1"/>
  <c r="P27" i="24"/>
  <c r="P27" i="27" s="1"/>
  <c r="P16" i="12"/>
  <c r="F4" i="13"/>
  <c r="L29" i="13"/>
  <c r="L15" i="23"/>
  <c r="L15" i="24"/>
  <c r="J27" i="12"/>
  <c r="J27" i="15" s="1"/>
  <c r="J27" i="13"/>
  <c r="J27" i="16" s="1"/>
  <c r="E16" i="24"/>
  <c r="D16" i="12"/>
  <c r="M15" i="23"/>
  <c r="M15" i="24"/>
  <c r="M15" i="27" s="1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L4" i="12"/>
  <c r="L4" i="15" s="1"/>
  <c r="I16" i="24"/>
  <c r="I16" i="27" s="1"/>
  <c r="H16" i="13"/>
  <c r="H16" i="16" s="1"/>
  <c r="L29" i="12"/>
  <c r="M19" i="21"/>
  <c r="M19" i="24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2"/>
  <c r="L27" i="15" s="1"/>
  <c r="K4" i="13"/>
  <c r="K4" i="16" s="1"/>
  <c r="I29" i="13"/>
  <c r="I29" i="16" s="1"/>
  <c r="J16" i="24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2"/>
  <c r="O27" i="13"/>
  <c r="O27" i="16" s="1"/>
  <c r="O27" i="12"/>
  <c r="B19" i="12"/>
  <c r="I27" i="23"/>
  <c r="I27" i="24"/>
  <c r="I27" i="27" s="1"/>
  <c r="D27" i="23"/>
  <c r="D27" i="26" s="1"/>
  <c r="D27" i="24"/>
  <c r="L29" i="24"/>
  <c r="L19" i="23"/>
  <c r="L19" i="26" s="1"/>
  <c r="C15" i="24"/>
  <c r="C15" i="27" s="1"/>
  <c r="C15" i="23"/>
  <c r="F27" i="13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15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P15" i="27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16" i="28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G4" i="16"/>
  <c r="J16" i="14"/>
  <c r="J16" i="17" s="1"/>
  <c r="J16" i="21"/>
  <c r="J16" i="27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19" i="15"/>
  <c r="F29" i="15"/>
  <c r="G16" i="21"/>
  <c r="G16" i="27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3" i="13" s="1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Q3" i="12" s="1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H19" i="26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7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B57" i="6" l="1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12" i="4"/>
  <c r="B8" i="4"/>
  <c r="B23" i="4"/>
  <c r="B13" i="4"/>
  <c r="B45" i="4"/>
  <c r="B29" i="4"/>
  <c r="B42" i="4"/>
  <c r="B43" i="4"/>
  <c r="B21" i="4"/>
  <c r="B26" i="4"/>
  <c r="B36" i="4"/>
  <c r="B24" i="4"/>
  <c r="B28" i="4"/>
  <c r="B33" i="4"/>
  <c r="B15" i="4"/>
  <c r="B30" i="4"/>
  <c r="B16" i="4"/>
  <c r="B25" i="4"/>
  <c r="B37" i="4"/>
  <c r="B17" i="4"/>
  <c r="B20" i="4"/>
  <c r="B14" i="4"/>
  <c r="B27" i="4"/>
  <c r="B10" i="4"/>
  <c r="B7" i="4"/>
  <c r="B38" i="4"/>
  <c r="B44" i="4"/>
  <c r="B11" i="4"/>
  <c r="B9" i="4"/>
  <c r="B34" i="4"/>
  <c r="B4" i="4"/>
  <c r="B22" i="4"/>
  <c r="B39" i="4"/>
  <c r="B35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<sst xmlns="http://schemas.openxmlformats.org/spreadsheetml/2006/main" count="2099" uniqueCount="1055">
  <si>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</si>
  <si>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</si>
  <si>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</si>
  <si>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</si>
  <si>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</si>
  <si>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</si>
  <si>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</si>
  <si>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</si>
  <si>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</si>
  <si>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</si>
  <si>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</si>
  <si>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</si>
  <si>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</si>
  <si>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</si>
  <si>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</si>
  <si>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</si>
  <si>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</si>
  <si>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</si>
  <si>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</si>
  <si>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</si>
  <si>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</si>
  <si>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</si>
  <si>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</si>
  <si>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</si>
  <si>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</si>
  <si>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</si>
  <si>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</si>
  <si>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</si>
  <si>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</si>
  <si>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</si>
  <si>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</si>
  <si>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</si>
  <si>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</si>
  <si>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</si>
  <si>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</si>
  <si>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</si>
  <si>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</si>
  <si>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</si>
  <si>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</si>
  <si>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</si>
  <si>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</si>
  <si>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</si>
  <si>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</si>
  <si>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</si>
  <si>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</si>
  <si>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</si>
  <si>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</si>
  <si>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</si>
  <si>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</si>
  <si>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</si>
  <si>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</si>
  <si>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</si>
  <si>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</si>
  <si>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</si>
  <si>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</si>
  <si>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</si>
  <si>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</si>
  <si>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</si>
  <si>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</si>
  <si>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</si>
  <si>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</si>
  <si>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</si>
  <si>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</si>
  <si>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</si>
  <si>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</si>
  <si>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</si>
  <si>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</si>
  <si>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</si>
  <si>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</si>
  <si>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</si>
  <si>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</si>
  <si>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</si>
  <si>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</si>
  <si>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</si>
  <si>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</si>
  <si>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</si>
  <si>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</si>
  <si>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</si>
  <si>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</si>
  <si>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</si>
  <si>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</si>
  <si>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</si>
  <si>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</si>
  <si>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</si>
  <si>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</si>
  <si>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</si>
  <si>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</si>
  <si>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</si>
  <si>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</si>
  <si>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</si>
  <si>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</si>
  <si>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</si>
  <si>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</si>
  <si>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</si>
  <si>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</si>
  <si>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</si>
  <si>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</si>
  <si>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</si>
  <si>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</si>
  <si>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</si>
  <si>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</si>
  <si>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</si>
  <si>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</si>
  <si>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</si>
  <si>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</si>
  <si>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</si>
  <si>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</si>
  <si>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</si>
  <si>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</si>
  <si>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</si>
  <si>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</si>
  <si>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</si>
  <si>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</si>
  <si>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</si>
  <si>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</si>
  <si>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</si>
  <si>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</si>
  <si>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</si>
  <si>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</si>
  <si>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</si>
  <si>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</si>
  <si>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</si>
  <si>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</si>
  <si>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</si>
  <si>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</si>
  <si>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</si>
  <si>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</si>
  <si>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</si>
  <si>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</si>
  <si>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</si>
  <si>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</si>
  <si>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</si>
  <si>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</si>
  <si>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</si>
  <si>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</si>
  <si>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</si>
  <si>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</si>
  <si>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</si>
  <si>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</si>
  <si>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</si>
  <si>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</si>
  <si>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</si>
  <si>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</si>
  <si>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</si>
  <si>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</si>
  <si>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</si>
  <si>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</si>
  <si>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</si>
  <si>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</si>
  <si>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</si>
  <si>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</si>
  <si>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</si>
  <si>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</si>
  <si>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</si>
  <si>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</si>
  <si>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</si>
  <si>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</si>
  <si>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</si>
  <si>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</si>
  <si>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</si>
  <si>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</si>
  <si>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</si>
  <si>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</si>
  <si>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</si>
  <si>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</si>
  <si>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</si>
  <si>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</si>
  <si>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</si>
  <si>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</si>
  <si>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</si>
  <si>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</si>
  <si>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</si>
  <si>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</si>
  <si>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</si>
  <si>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</si>
  <si>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</si>
  <si>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</si>
  <si>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</si>
  <si>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</si>
  <si>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</si>
  <si>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</si>
  <si>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</si>
  <si>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</si>
  <si>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</si>
  <si>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AT</t>
  </si>
  <si>
    <t>Austria</t>
  </si>
  <si>
    <t>AT - Services sector summary</t>
  </si>
  <si>
    <t>Macro.number.AT.Population</t>
  </si>
  <si>
    <t>Macro.Meuro2015.AT.GDP</t>
  </si>
  <si>
    <t>Macro.Meuro2015.AT.VA</t>
  </si>
  <si>
    <t>Macro.number.AT.Employees</t>
  </si>
  <si>
    <t>NUM.number.AT.Ser.Bld</t>
  </si>
  <si>
    <t>SurfaceArea.ksqm.AT.Ser.Bld</t>
  </si>
  <si>
    <t>NUM.number.AT.Ser.BldNew</t>
  </si>
  <si>
    <t>SurfaceArea.ksqm.AT.Ser.BldNew</t>
  </si>
  <si>
    <t>HDD.Celsius.AT.Actual</t>
  </si>
  <si>
    <t>HDD.Celsius.AT.Mean</t>
  </si>
  <si>
    <t>HDD.ratio.AT.Relative</t>
  </si>
  <si>
    <t>FEC.ktoe.AT.ES.Ser</t>
  </si>
  <si>
    <t>FEC.ktoe.AT.ES.Ser.Solids</t>
  </si>
  <si>
    <t>FEC.ktoe.AT.ES.Ser.LPG</t>
  </si>
  <si>
    <t>FEC.ktoe.AT.ES.Ser.Oil</t>
  </si>
  <si>
    <t>FEC.ktoe.AT.ES.Ser.NG</t>
  </si>
  <si>
    <t>FEC.ktoe.AT.ES.Ser.Biomass_Waste</t>
  </si>
  <si>
    <t>FEC.ktoe.AT.ES.Ser.Biogas</t>
  </si>
  <si>
    <t>FEC.ktoe.AT.ES.Ser.LiqBio</t>
  </si>
  <si>
    <t>FEC.ktoe.AT.ES.Ser.Solar</t>
  </si>
  <si>
    <t>FEC.ktoe.AT.ES.Ser.Geo</t>
  </si>
  <si>
    <t>FEC.ktoe.AT.ES.Ser.Ambient</t>
  </si>
  <si>
    <t>FEC.ktoe.AT.ES.Ser.Steam_Distr</t>
  </si>
  <si>
    <t>FEC.ktoe.AT.ES.Ser.Elec</t>
  </si>
  <si>
    <t>FEC.ktoe.AT.Ser</t>
  </si>
  <si>
    <t>FEC.ktoe.AT.Ser.Bld.Thermal</t>
  </si>
  <si>
    <t>FEC.ktoe.AT.Ser.Bld.Thermal.SH</t>
  </si>
  <si>
    <t>FEC.ktoe.AT.Ser.Bld.Thermal.SC</t>
  </si>
  <si>
    <t>FEC.ktoe.AT.Ser.Bld.Thermal.HW</t>
  </si>
  <si>
    <t>FEC.ktoe.AT.Ser.Bld.Thermal.CA</t>
  </si>
  <si>
    <t>FEC.ktoe.AT.Ser.SEU</t>
  </si>
  <si>
    <t>EMI.ktCO2.AT.ES.Ser</t>
  </si>
  <si>
    <t>EMI.ktCO2.AT.ES.Ser.Solids</t>
  </si>
  <si>
    <t>EMI.ktCO2.AT.ES.Ser.LPG</t>
  </si>
  <si>
    <t>EMI.ktCO2.AT.ES.Ser.Oil</t>
  </si>
  <si>
    <t>EMI.ktCO2.AT.ES.Ser.NG</t>
  </si>
  <si>
    <t>EMI.ktCO2.AT.ES.Ser.Biomass_Waste</t>
  </si>
  <si>
    <t>EMI.ktCO2.AT.ES.Ser.Biogas</t>
  </si>
  <si>
    <t>EMI.ktCO2.AT.ES.Ser.LiqBio</t>
  </si>
  <si>
    <t>EMI.ktCO2.AT.ES.Ser.Solar</t>
  </si>
  <si>
    <t>EMI.ktCO2.AT.ES.Ser.Geo</t>
  </si>
  <si>
    <t>EMI.ktCO2.AT.ES.Ser.Ambient</t>
  </si>
  <si>
    <t>EMI.ktCO2.AT.ES.Ser.Steam_Distr</t>
  </si>
  <si>
    <t>EMI.ktCO2.AT.ES.Ser.Elec</t>
  </si>
  <si>
    <t>EMI.ktCO2.AT.Ser</t>
  </si>
  <si>
    <t>EMI.ktCO2.AT.Ser.Bld.Thermal</t>
  </si>
  <si>
    <t>EMI.ktCO2.AT.Ser.Bld.Thermal.SH</t>
  </si>
  <si>
    <t>EMI.ktCO2.AT.Ser.Bld.Thermal.SC</t>
  </si>
  <si>
    <t>EMI.ktCO2.AT.Ser.Bld.Thermal.HW</t>
  </si>
  <si>
    <t>EMI.ktCO2.AT.Ser.Bld.Thermal.CA</t>
  </si>
  <si>
    <t>EMI.ktCO2.AT.Ser.SEU</t>
  </si>
  <si>
    <t>Eff.ratio.AT.Ser.Bld.Thermal</t>
  </si>
  <si>
    <t>Eff.ratio.AT.Ser.Bld.Thermal.SH</t>
  </si>
  <si>
    <t>Eff.ratio.AT.Ser.Bld.Thermal.SC</t>
  </si>
  <si>
    <t>Eff.ratio.AT.Ser.Bld.Thermal.HW</t>
  </si>
  <si>
    <t>Eff.ratio.AT.Ser.Bld.Thermal.CA</t>
  </si>
  <si>
    <t>AT - Number of buildings</t>
  </si>
  <si>
    <t>NUM.number.AT.Ser.Bld.Thermal</t>
  </si>
  <si>
    <t>NUM.number.AT.Ser.Bld.Thermal.SH</t>
  </si>
  <si>
    <t>NUM.number.AT.Ser.Bld.Thermal.SH.Solids</t>
  </si>
  <si>
    <t>NUM.number.AT.Ser.Bld.Thermal.SH.LPG</t>
  </si>
  <si>
    <t>NUM.number.AT.Ser.Bld.Thermal.SH.Oil</t>
  </si>
  <si>
    <t>NUM.number.AT.Ser.Bld.Thermal.SH.GasHP</t>
  </si>
  <si>
    <t>NUM.number.AT.Ser.Bld.Thermal.SH.GasTH</t>
  </si>
  <si>
    <t>NUM.number.AT.Ser.Bld.Thermal.SH.Biomass</t>
  </si>
  <si>
    <t>NUM.number.AT.Ser.Bld.Thermal.SH.Geo</t>
  </si>
  <si>
    <t>NUM.number.AT.Ser.Bld.Thermal.SH.DistrHeat</t>
  </si>
  <si>
    <t>NUM.number.AT.Ser.Bld.Thermal.SH.AdvElc</t>
  </si>
  <si>
    <t>NUM.number.AT.Ser.Bld.Thermal.SH.ConvElc</t>
  </si>
  <si>
    <t>NUM.number.AT.Ser.Bld.Thermal.SC</t>
  </si>
  <si>
    <t>NUM.number.AT.Ser.Bld.Thermal.SC.GasHP</t>
  </si>
  <si>
    <t>NUM.number.AT.Ser.Bld.Thermal.SC.AC</t>
  </si>
  <si>
    <t>NUM.number.AT.Ser.Bld.Thermal.HW</t>
  </si>
  <si>
    <t>NUM.number.AT.Ser.Bld.Thermal.HW.Solids</t>
  </si>
  <si>
    <t>NUM.number.AT.Ser.Bld.Thermal.HW.LPG</t>
  </si>
  <si>
    <t>NUM.number.AT.Ser.Bld.Thermal.HW.Oil</t>
  </si>
  <si>
    <t>NUM.number.AT.Ser.Bld.Thermal.HW.Gas</t>
  </si>
  <si>
    <t>NUM.number.AT.Ser.Bld.Thermal.HW.Biomass</t>
  </si>
  <si>
    <t>NUM.number.AT.Ser.Bld.Thermal.HW.DistrHeat</t>
  </si>
  <si>
    <t>NUM.number.AT.Ser.Bld.Thermal.HW.Elc</t>
  </si>
  <si>
    <t>NUM.number.AT.Ser.Bld.Thermal.HW.Solar</t>
  </si>
  <si>
    <t>NUM.number.AT.Ser.Bld.Thermal.CA</t>
  </si>
  <si>
    <t>NUM.number.AT.Ser.Bld.Thermal.CA.LPG</t>
  </si>
  <si>
    <t>NUM.number.AT.Ser.Bld.Thermal.CA.Gas</t>
  </si>
  <si>
    <t>NUM.number.AT.Ser.Bld.Thermal.CA.Biomass</t>
  </si>
  <si>
    <t>NUM.number.AT.Ser.Bld.Thermal.CA.Elc</t>
  </si>
  <si>
    <t>AT - Final energy consumption</t>
  </si>
  <si>
    <t>FEC.ktoe.AT.Ser.Bld.Thermal.SH.Solids.Solids</t>
  </si>
  <si>
    <t>FEC.ktoe.AT.Ser.Bld.Thermal.SH.LPG.LPG</t>
  </si>
  <si>
    <t>FEC.ktoe.AT.Ser.Bld.Thermal.SH.Oil.Oil_LiqBio</t>
  </si>
  <si>
    <t>FEC.ktoe.AT.Ser.Bld.Thermal.SH.GasHP.NG_Biogas</t>
  </si>
  <si>
    <t>FEC.ktoe.AT.Ser.Bld.Thermal.SH.GasTH.NG_Biogas</t>
  </si>
  <si>
    <t>FEC.ktoe.AT.Ser.Bld.Thermal.SH.Biomass.Biomass_Waste</t>
  </si>
  <si>
    <t>FEC.ktoe.AT.Ser.Bld.Thermal.SH.Geo.Geo</t>
  </si>
  <si>
    <t>FEC.ktoe.AT.Ser.Bld.Thermal.SH.DistrHeat.Steam_Distr</t>
  </si>
  <si>
    <t>FEC.ktoe.AT.Ser.Bld.Thermal.SH.AdvElc.Elec</t>
  </si>
  <si>
    <t>FEC.ktoe.AT.Ser.Bld.Thermal.SH.ConvElc.Elec</t>
  </si>
  <si>
    <t>FEC.ktoe.AT.Ser.Bld.Thermal.SH.TotalCirculation.Elec</t>
  </si>
  <si>
    <t>FEC.ktoe.AT.Ser.Bld.Thermal.SC.GasHP.NG_Biogas</t>
  </si>
  <si>
    <t>FEC.ktoe.AT.Ser.Bld.Thermal.SC.AC.Elec</t>
  </si>
  <si>
    <t>FEC.ktoe.AT.Ser.Bld.Thermal.HW.Solids.Solids</t>
  </si>
  <si>
    <t>FEC.ktoe.AT.Ser.Bld.Thermal.HW.LPG.LPG</t>
  </si>
  <si>
    <t>FEC.ktoe.AT.Ser.Bld.Thermal.HW.Oil.Oil_LiqBio</t>
  </si>
  <si>
    <t>FEC.ktoe.AT.Ser.Bld.Thermal.HW.Gas.NG_Biogas</t>
  </si>
  <si>
    <t>FEC.ktoe.AT.Ser.Bld.Thermal.HW.Biomass.Biomass_Waste</t>
  </si>
  <si>
    <t>FEC.ktoe.AT.Ser.Bld.Thermal.HW.DistrHeat.Steam_Distr</t>
  </si>
  <si>
    <t>FEC.ktoe.AT.Ser.Bld.Thermal.HW.Elc.Elec</t>
  </si>
  <si>
    <t>FEC.ktoe.AT.Ser.Bld.Thermal.HW.TotalSolar.Solar</t>
  </si>
  <si>
    <t>FEC.ktoe.AT.Ser.Bld.Thermal.CA.LPG</t>
  </si>
  <si>
    <t>FEC.ktoe.AT.Ser.Bld.Thermal.CA.Gas.NG_Biogas</t>
  </si>
  <si>
    <t>FEC.ktoe.AT.Ser.Bld.Thermal.CA.Biomass.Biomass_Waste</t>
  </si>
  <si>
    <t>FEC.ktoe.AT.Ser.Bld.Thermal.CA.Elc.Elec</t>
  </si>
  <si>
    <t>AT - Thermal energy service</t>
  </si>
  <si>
    <t>TES.ktoe.AT.Ser.Bld.Thermal</t>
  </si>
  <si>
    <t>TES.ktoe.AT.Ser.Bld.Thermal.SH</t>
  </si>
  <si>
    <t>TES.ktoe.AT.Ser.Bld.Thermal.SH.Solids.Solids</t>
  </si>
  <si>
    <t>TES.ktoe.AT.Ser.Bld.Thermal.SH.LPG.LPG</t>
  </si>
  <si>
    <t>TES.ktoe.AT.Ser.Bld.Thermal.SH.Oil.Oil_LiqBio</t>
  </si>
  <si>
    <t>TES.ktoe.AT.Ser.Bld.Thermal.SH.GasHP.NG_Biogas</t>
  </si>
  <si>
    <t>TES.ktoe.AT.Ser.Bld.Thermal.SH.GasTH.NG_Biogas</t>
  </si>
  <si>
    <t>TES.ktoe.AT.Ser.Bld.Thermal.SH.Biomass.Biomass_Waste</t>
  </si>
  <si>
    <t>TES.ktoe.AT.Ser.Bld.Thermal.SH.Geo.Geo</t>
  </si>
  <si>
    <t>TES.ktoe.AT.Ser.Bld.Thermal.SH.DistrHeat.Steam_Distr</t>
  </si>
  <si>
    <t>TES.ktoe.AT.Ser.Bld.Thermal.SH.AdvElc.Elec</t>
  </si>
  <si>
    <t>TES.ktoe.AT.Ser.Bld.Thermal.SH.ConvElc.Elec</t>
  </si>
  <si>
    <t>TES.ktoe.AT.Ser.Bld.Thermal.SH.TotalCirculation.Elec</t>
  </si>
  <si>
    <t>TES.ktoe.AT.Ser.Bld.Thermal.SC</t>
  </si>
  <si>
    <t>TES.ktoe.AT.Ser.Bld.Thermal.SC.GasHP.NG_Biogas</t>
  </si>
  <si>
    <t>TES.ktoe.AT.Ser.Bld.Thermal.SC.AC.Elec</t>
  </si>
  <si>
    <t>TES.ktoe.AT.Ser.Bld.Thermal.HW</t>
  </si>
  <si>
    <t>TES.ktoe.AT.Ser.Bld.Thermal.HW.Solids.Solids</t>
  </si>
  <si>
    <t>TES.ktoe.AT.Ser.Bld.Thermal.HW.LPG.LPG</t>
  </si>
  <si>
    <t>TES.ktoe.AT.Ser.Bld.Thermal.HW.Oil.Oil_LiqBio</t>
  </si>
  <si>
    <t>TES.ktoe.AT.Ser.Bld.Thermal.HW.Gas.NG_Biogas</t>
  </si>
  <si>
    <t>TES.ktoe.AT.Ser.Bld.Thermal.HW.Biomass.Biomass_Waste</t>
  </si>
  <si>
    <t>TES.ktoe.AT.Ser.Bld.Thermal.HW.DistrHeat.Steam_Distr</t>
  </si>
  <si>
    <t>TES.ktoe.AT.Ser.Bld.Thermal.HW.Elc.Elec</t>
  </si>
  <si>
    <t>TES.ktoe.AT.Ser.Bld.Thermal.HW.TotalSolar.Solar</t>
  </si>
  <si>
    <t>TES.ktoe.AT.Ser.Bld.Thermal.CA</t>
  </si>
  <si>
    <t>TES.ktoe.AT.Ser.Bld.Thermal.CA.LPG</t>
  </si>
  <si>
    <t>TES.ktoe.AT.Ser.Bld.Thermal.CA.Gas.NG_Biogas</t>
  </si>
  <si>
    <t>TES.ktoe.AT.Ser.Bld.Thermal.CA.Biomass.Biomass_Waste</t>
  </si>
  <si>
    <t>TES.ktoe.AT.Ser.Bld.Thermal.CA.Elc.Elec</t>
  </si>
  <si>
    <t>AT - System efficiency indicator of total stock</t>
  </si>
  <si>
    <t>Eff.ratio.AT.Ser.Bld.Thermal.SH.Solids.Solids</t>
  </si>
  <si>
    <t>Eff.ratio.AT.Ser.Bld.Thermal.SH.LPG.LPG</t>
  </si>
  <si>
    <t>Eff.ratio.AT.Ser.Bld.Thermal.SH.Oil.Oil_LiqBio</t>
  </si>
  <si>
    <t>Eff.ratio.AT.Ser.Bld.Thermal.SH.GasHP.NG_Biogas</t>
  </si>
  <si>
    <t>Eff.ratio.AT.Ser.Bld.Thermal.SH.GasTH.NG_Biogas</t>
  </si>
  <si>
    <t>Eff.ratio.AT.Ser.Bld.Thermal.SH.Biomass.Biomass_Waste</t>
  </si>
  <si>
    <t>Eff.ratio.AT.Ser.Bld.Thermal.SH.Geo.Geo</t>
  </si>
  <si>
    <t>Eff.ratio.AT.Ser.Bld.Thermal.SH.DistrHeat.Steam_Distr</t>
  </si>
  <si>
    <t>Eff.ratio.AT.Ser.Bld.Thermal.SH.AdvElc.Elec</t>
  </si>
  <si>
    <t>Eff.ratio.AT.Ser.Bld.Thermal.SH.ConvElc.Elec</t>
  </si>
  <si>
    <t>Eff.ratio.AT.Ser.Bld.Thermal.SH.TotalCirculation.Elec</t>
  </si>
  <si>
    <t>Eff.ratio.AT.Ser.Bld.Thermal.SC.GasHP.NG_Biogas</t>
  </si>
  <si>
    <t>Eff.ratio.AT.Ser.Bld.Thermal.SC.AC.Elec</t>
  </si>
  <si>
    <t>Eff.ratio.AT.Ser.Bld.Thermal.HW.Solids.Solids</t>
  </si>
  <si>
    <t>Eff.ratio.AT.Ser.Bld.Thermal.HW.LPG.LPG</t>
  </si>
  <si>
    <t>Eff.ratio.AT.Ser.Bld.Thermal.HW.Oil.Oil_LiqBio</t>
  </si>
  <si>
    <t>Eff.ratio.AT.Ser.Bld.Thermal.HW.Gas.NG_Biogas</t>
  </si>
  <si>
    <t>Eff.ratio.AT.Ser.Bld.Thermal.HW.Biomass.Biomass_Waste</t>
  </si>
  <si>
    <t>Eff.ratio.AT.Ser.Bld.Thermal.HW.DistrHeat.Steam_Distr</t>
  </si>
  <si>
    <t>Eff.ratio.AT.Ser.Bld.Thermal.HW.Elc.Elec</t>
  </si>
  <si>
    <t>Eff.ratio.AT.Ser.Bld.Thermal.HW.TotalSolar.Solar</t>
  </si>
  <si>
    <t>Eff.ratio.AT.Ser.Bld.Thermal.CA.LPG</t>
  </si>
  <si>
    <t>Eff.ratio.AT.Ser.Bld.Thermal.CA.Gas.NG_Biogas</t>
  </si>
  <si>
    <t>Eff.ratio.AT.Ser.Bld.Thermal.CA.Biomass.Biomass_Waste</t>
  </si>
  <si>
    <t>Eff.ratio.AT.Ser.Bld.Thermal.CA.Elc.Elec</t>
  </si>
  <si>
    <t>AT - CO2 emissions</t>
  </si>
  <si>
    <t>EMI.ktCO2.AT.Ser.Bld.Thermal.SH.Solids.Solids</t>
  </si>
  <si>
    <t>EMI.ktCO2.AT.Ser.Bld.Thermal.SH.LPG.LPG</t>
  </si>
  <si>
    <t>EMI.ktCO2.AT.Ser.Bld.Thermal.SH.Oil.Oil_LiqBio</t>
  </si>
  <si>
    <t>EMI.ktCO2.AT.Ser.Bld.Thermal.SH.GasHP.NG_Biogas</t>
  </si>
  <si>
    <t>EMI.ktCO2.AT.Ser.Bld.Thermal.SH.GasTH.NG_Biogas</t>
  </si>
  <si>
    <t>EMI.ktCO2.AT.Ser.Bld.Thermal.SH.Biomass.Biomass_Waste</t>
  </si>
  <si>
    <t>EMI.ktCO2.AT.Ser.Bld.Thermal.SH.Geo.Geo</t>
  </si>
  <si>
    <t>EMI.ktCO2.AT.Ser.Bld.Thermal.SH.DistrHeat.Steam_Distr</t>
  </si>
  <si>
    <t>EMI.ktCO2.AT.Ser.Bld.Thermal.SH.AdvElc.Elec</t>
  </si>
  <si>
    <t>EMI.ktCO2.AT.Ser.Bld.Thermal.SH.ConvElc.Elec</t>
  </si>
  <si>
    <t>EMI.ktCO2.AT.Ser.Bld.Thermal.SH.TotalCirculation.Elec</t>
  </si>
  <si>
    <t>EMI.ktCO2.AT.Ser.Bld.Thermal.SC.GasHP.NG_Biogas</t>
  </si>
  <si>
    <t>EMI.ktCO2.AT.Ser.Bld.Thermal.SC.AC.Elec</t>
  </si>
  <si>
    <t>EMI.ktCO2.AT.Ser.Bld.Thermal.HW.Solids.Solids</t>
  </si>
  <si>
    <t>EMI.ktCO2.AT.Ser.Bld.Thermal.HW.LPG.LPG</t>
  </si>
  <si>
    <t>EMI.ktCO2.AT.Ser.Bld.Thermal.HW.Oil.Oil_LiqBio</t>
  </si>
  <si>
    <t>EMI.ktCO2.AT.Ser.Bld.Thermal.HW.Gas.NG_Biogas</t>
  </si>
  <si>
    <t>EMI.ktCO2.AT.Ser.Bld.Thermal.HW.Biomass.Biomass_Waste</t>
  </si>
  <si>
    <t>EMI.ktCO2.AT.Ser.Bld.Thermal.HW.DistrHeat.Steam_Distr</t>
  </si>
  <si>
    <t>EMI.ktCO2.AT.Ser.Bld.Thermal.HW.Elc.Elec</t>
  </si>
  <si>
    <t>EMI.ktCO2.AT.Ser.Bld.Thermal.HW.TotalSolar.Solar</t>
  </si>
  <si>
    <t>EMI.ktCO2.AT.Ser.Bld.Thermal.CA.LPG</t>
  </si>
  <si>
    <t>EMI.ktCO2.AT.Ser.Bld.Thermal.CA.Gas.NG_Biogas</t>
  </si>
  <si>
    <t>EMI.ktCO2.AT.Ser.Bld.Thermal.CA.Biomass.Biomass_Waste</t>
  </si>
  <si>
    <t>EMI.ktCO2.AT.Ser.Bld.Thermal.CA.Elc.Elec</t>
  </si>
  <si>
    <t>AT - Final energy consumption per building</t>
  </si>
  <si>
    <t>FEC_per_building.kWh.AT.Ser.Bld.Thermal</t>
  </si>
  <si>
    <t>FEC_per_building.kWh.AT.Ser.Bld.Thermal.SH</t>
  </si>
  <si>
    <t>FEC_per_building.kWh.AT.Ser.Bld.Thermal.SH.Solids.Solids</t>
  </si>
  <si>
    <t>FEC_per_building.kWh.AT.Ser.Bld.Thermal.SH.LPG.LPG</t>
  </si>
  <si>
    <t>FEC_per_building.kWh.AT.Ser.Bld.Thermal.SH.Oil.Oil_LiqBio</t>
  </si>
  <si>
    <t>FEC_per_building.kWh.AT.Ser.Bld.Thermal.SH.GasHP.NG_Biogas</t>
  </si>
  <si>
    <t>FEC_per_building.kWh.AT.Ser.Bld.Thermal.SH.GasTH.NG_Biogas</t>
  </si>
  <si>
    <t>FEC_per_building.kWh.AT.Ser.Bld.Thermal.SH.Biomass.Biomass_Waste</t>
  </si>
  <si>
    <t>FEC_per_building.kWh.AT.Ser.Bld.Thermal.SH.Geo.Geo</t>
  </si>
  <si>
    <t>FEC_per_building.kWh.AT.Ser.Bld.Thermal.SH.DistrHeat.Steam_Distr</t>
  </si>
  <si>
    <t>FEC_per_building.kWh.AT.Ser.Bld.Thermal.SH.AdvElc.Elec</t>
  </si>
  <si>
    <t>FEC_per_building.kWh.AT.Ser.Bld.Thermal.SH.ConvElc.Elec</t>
  </si>
  <si>
    <t>FEC_per_building.kWh.AT.Ser.Bld.Thermal.SH.TotalCirculation.Elec</t>
  </si>
  <si>
    <t>FEC_per_building.kWh.AT.Ser.Bld.Thermal.SC</t>
  </si>
  <si>
    <t>FEC_per_building.kWh.AT.Ser.Bld.Thermal.SC.GasHP.NG_Biogas</t>
  </si>
  <si>
    <t>FEC_per_building.kWh.AT.Ser.Bld.Thermal.SC.AC.Elec</t>
  </si>
  <si>
    <t>FEC_per_building.kWh.AT.Ser.Bld.Thermal.HW</t>
  </si>
  <si>
    <t>FEC_per_building.kWh.AT.Ser.Bld.Thermal.HW.Solids.Solids</t>
  </si>
  <si>
    <t>FEC_per_building.kWh.AT.Ser.Bld.Thermal.HW.LPG.LPG</t>
  </si>
  <si>
    <t>FEC_per_building.kWh.AT.Ser.Bld.Thermal.HW.Oil.Oil_LiqBio</t>
  </si>
  <si>
    <t>FEC_per_building.kWh.AT.Ser.Bld.Thermal.HW.Gas.NG_Biogas</t>
  </si>
  <si>
    <t>FEC_per_building.kWh.AT.Ser.Bld.Thermal.HW.Biomass.Biomass_Waste</t>
  </si>
  <si>
    <t>FEC_per_building.kWh.AT.Ser.Bld.Thermal.HW.DistrHeat.Steam_Distr</t>
  </si>
  <si>
    <t>FEC_per_building.kWh.AT.Ser.Bld.Thermal.HW.Elc.Elec</t>
  </si>
  <si>
    <t>FEC_per_building.kWh.AT.Ser.Bld.Thermal.HW.TotalSolar.Solar</t>
  </si>
  <si>
    <t>FEC_per_building.kWh.AT.Ser.Bld.Thermal.CA</t>
  </si>
  <si>
    <t>FEC_per_building.kWh.AT.Ser.Bld.Thermal.CA.LPG</t>
  </si>
  <si>
    <t>FEC_per_building.kWh.AT.Ser.Bld.Thermal.CA.Gas.NG_Biogas</t>
  </si>
  <si>
    <t>FEC_per_building.kWh.AT.Ser.Bld.Thermal.CA.Biomass.Biomass_Waste</t>
  </si>
  <si>
    <t>FEC_per_building.kWh.AT.Ser.Bld.Thermal.CA.Elc.Elec</t>
  </si>
  <si>
    <t>AT - Thermal energy service per building</t>
  </si>
  <si>
    <t>TES_per_building.kWh.AT.Ser.Bld.Thermal</t>
  </si>
  <si>
    <t>TES_per_building.kWh.AT.Ser.Bld.Thermal.SH</t>
  </si>
  <si>
    <t>TES_per_building.kWh.AT.Ser.Bld.Thermal.SH.Solids.Solids</t>
  </si>
  <si>
    <t>TES_per_building.kWh.AT.Ser.Bld.Thermal.SH.LPG.LPG</t>
  </si>
  <si>
    <t>TES_per_building.kWh.AT.Ser.Bld.Thermal.SH.Oil.Oil_LiqBio</t>
  </si>
  <si>
    <t>TES_per_building.kWh.AT.Ser.Bld.Thermal.SH.GasHP.NG_Biogas</t>
  </si>
  <si>
    <t>TES_per_building.kWh.AT.Ser.Bld.Thermal.SH.GasTH.NG_Biogas</t>
  </si>
  <si>
    <t>TES_per_building.kWh.AT.Ser.Bld.Thermal.SH.Biomass.Biomass_Waste</t>
  </si>
  <si>
    <t>TES_per_building.kWh.AT.Ser.Bld.Thermal.SH.Geo.Geo</t>
  </si>
  <si>
    <t>TES_per_building.kWh.AT.Ser.Bld.Thermal.SH.DistrHeat.Steam_Distr</t>
  </si>
  <si>
    <t>TES_per_building.kWh.AT.Ser.Bld.Thermal.SH.AdvElc.Elec</t>
  </si>
  <si>
    <t>TES_per_building.kWh.AT.Ser.Bld.Thermal.SH.ConvElc.Elec</t>
  </si>
  <si>
    <t>TES_per_building.kWh.AT.Ser.Bld.Thermal.SH.TotalCirculation.Elec</t>
  </si>
  <si>
    <t>TES_per_building.kWh.AT.Ser.Bld.Thermal.SC</t>
  </si>
  <si>
    <t>TES_per_building.kWh.AT.Ser.Bld.Thermal.SC.GasHP.NG_Biogas</t>
  </si>
  <si>
    <t>TES_per_building.kWh.AT.Ser.Bld.Thermal.SC.AC.Elec</t>
  </si>
  <si>
    <t>TES_per_building.kWh.AT.Ser.Bld.Thermal.HW</t>
  </si>
  <si>
    <t>TES_per_building.kWh.AT.Ser.Bld.Thermal.HW.Solids.Solids</t>
  </si>
  <si>
    <t>TES_per_building.kWh.AT.Ser.Bld.Thermal.HW.LPG.LPG</t>
  </si>
  <si>
    <t>TES_per_building.kWh.AT.Ser.Bld.Thermal.HW.Oil.Oil_LiqBio</t>
  </si>
  <si>
    <t>TES_per_building.kWh.AT.Ser.Bld.Thermal.HW.Gas.NG_Biogas</t>
  </si>
  <si>
    <t>TES_per_building.kWh.AT.Ser.Bld.Thermal.HW.Biomass.Biomass_Waste</t>
  </si>
  <si>
    <t>TES_per_building.kWh.AT.Ser.Bld.Thermal.HW.DistrHeat.Steam_Distr</t>
  </si>
  <si>
    <t>TES_per_building.kWh.AT.Ser.Bld.Thermal.HW.Elc.Elec</t>
  </si>
  <si>
    <t>TES_per_building.kWh.AT.Ser.Bld.Thermal.HW.TotalSolar.Solar</t>
  </si>
  <si>
    <t>TES_per_building.kWh.AT.Ser.Bld.Thermal.CA</t>
  </si>
  <si>
    <t>TES_per_building.kWh.AT.Ser.Bld.Thermal.CA.LPG</t>
  </si>
  <si>
    <t>TES_per_building.kWh.AT.Ser.Bld.Thermal.CA.Gas.NG_Biogas</t>
  </si>
  <si>
    <t>TES_per_building.kWh.AT.Ser.Bld.Thermal.CA.Biomass.Biomass_Waste</t>
  </si>
  <si>
    <t>TES_per_building.kWh.AT.Ser.Bld.Thermal.CA.Elc.Elec</t>
  </si>
  <si>
    <t>AT - CO2 emissions per building</t>
  </si>
  <si>
    <t>EMI_per_building.kgCO2.AT.Ser.Bld.Thermal</t>
  </si>
  <si>
    <t>EMI_per_building.kgCO2.AT.Ser.Bld.Thermal.SH</t>
  </si>
  <si>
    <t>EMI_per_building.kgCO2.AT.Ser.Bld.Thermal.SH.Solids.Solids</t>
  </si>
  <si>
    <t>EMI_per_building.kgCO2.AT.Ser.Bld.Thermal.SH.LPG.LPG</t>
  </si>
  <si>
    <t>EMI_per_building.kgCO2.AT.Ser.Bld.Thermal.SH.Oil.Oil_LiqBio</t>
  </si>
  <si>
    <t>EMI_per_building.kgCO2.AT.Ser.Bld.Thermal.SH.GasHP.NG_Biogas</t>
  </si>
  <si>
    <t>EMI_per_building.kgCO2.AT.Ser.Bld.Thermal.SH.GasTH.NG_Biogas</t>
  </si>
  <si>
    <t>EMI_per_building.kgCO2.AT.Ser.Bld.Thermal.SH.Biomass.Biomass_Waste</t>
  </si>
  <si>
    <t>EMI_per_building.kgCO2.AT.Ser.Bld.Thermal.SH.Geo.Geo</t>
  </si>
  <si>
    <t>EMI_per_building.kgCO2.AT.Ser.Bld.Thermal.SH.DistrHeat.Steam_Distr</t>
  </si>
  <si>
    <t>EMI_per_building.kgCO2.AT.Ser.Bld.Thermal.SH.AdvElc.Elec</t>
  </si>
  <si>
    <t>EMI_per_building.kgCO2.AT.Ser.Bld.Thermal.SH.ConvElc.Elec</t>
  </si>
  <si>
    <t>EMI_per_building.kgCO2.AT.Ser.Bld.Thermal.SH.TotalCirculation.Elec</t>
  </si>
  <si>
    <t>EMI_per_building.kgCO2.AT.Ser.Bld.Thermal.SC</t>
  </si>
  <si>
    <t>EMI_per_building.kgCO2.AT.Ser.Bld.Thermal.SC.GasHP.NG_Biogas</t>
  </si>
  <si>
    <t>EMI_per_building.kgCO2.AT.Ser.Bld.Thermal.SC.AC.Elec</t>
  </si>
  <si>
    <t>EMI_per_building.kgCO2.AT.Ser.Bld.Thermal.HW</t>
  </si>
  <si>
    <t>EMI_per_building.kgCO2.AT.Ser.Bld.Thermal.HW.Solids.Solids</t>
  </si>
  <si>
    <t>EMI_per_building.kgCO2.AT.Ser.Bld.Thermal.HW.LPG.LPG</t>
  </si>
  <si>
    <t>EMI_per_building.kgCO2.AT.Ser.Bld.Thermal.HW.Oil.Oil_LiqBio</t>
  </si>
  <si>
    <t>EMI_per_building.kgCO2.AT.Ser.Bld.Thermal.HW.Gas.NG_Biogas</t>
  </si>
  <si>
    <t>EMI_per_building.kgCO2.AT.Ser.Bld.Thermal.HW.Biomass.Biomass_Waste</t>
  </si>
  <si>
    <t>EMI_per_building.kgCO2.AT.Ser.Bld.Thermal.HW.DistrHeat.Steam_Distr</t>
  </si>
  <si>
    <t>EMI_per_building.kgCO2.AT.Ser.Bld.Thermal.HW.Elc.Elec</t>
  </si>
  <si>
    <t>EMI_per_building.kgCO2.AT.Ser.Bld.Thermal.HW.TotalSolar.Solar</t>
  </si>
  <si>
    <t>EMI_per_building.kgCO2.AT.Ser.Bld.Thermal.CA</t>
  </si>
  <si>
    <t>EMI_per_building.kgCO2.AT.Ser.Bld.Thermal.CA.LPG</t>
  </si>
  <si>
    <t>EMI_per_building.kgCO2.AT.Ser.Bld.Thermal.CA.Gas.NG_Biogas</t>
  </si>
  <si>
    <t>EMI_per_building.kgCO2.AT.Ser.Bld.Thermal.CA.Biomass.Biomass_Waste</t>
  </si>
  <si>
    <t>EMI_per_building.kgCO2.AT.Ser.Bld.Thermal.CA.Elc.Elec</t>
  </si>
  <si>
    <t>AT - Final energy consumption per useful surface area</t>
  </si>
  <si>
    <t>FEC_per_sqm.kWh.AT.Ser.Bld.Thermal</t>
  </si>
  <si>
    <t>FEC_per_sqm.kWh.AT.Ser.Bld.Thermal.SH</t>
  </si>
  <si>
    <t>FEC_per_sqm.kWh.AT.Ser.Bld.Thermal.SH.Solids.Solids</t>
  </si>
  <si>
    <t>FEC_per_sqm.kWh.AT.Ser.Bld.Thermal.SH.LPG.LPG</t>
  </si>
  <si>
    <t>FEC_per_sqm.kWh.AT.Ser.Bld.Thermal.SH.Oil.Oil_LiqBio</t>
  </si>
  <si>
    <t>FEC_per_sqm.kWh.AT.Ser.Bld.Thermal.SH.GasHP.NG_Biogas</t>
  </si>
  <si>
    <t>FEC_per_sqm.kWh.AT.Ser.Bld.Thermal.SH.GasTH.NG_Biogas</t>
  </si>
  <si>
    <t>FEC_per_sqm.kWh.AT.Ser.Bld.Thermal.SH.Biomass.Biomass_Waste</t>
  </si>
  <si>
    <t>FEC_per_sqm.kWh.AT.Ser.Bld.Thermal.SH.Geo.Geo</t>
  </si>
  <si>
    <t>FEC_per_sqm.kWh.AT.Ser.Bld.Thermal.SH.DistrHeat.Steam_Distr</t>
  </si>
  <si>
    <t>FEC_per_sqm.kWh.AT.Ser.Bld.Thermal.SH.AdvElc.Elec</t>
  </si>
  <si>
    <t>FEC_per_sqm.kWh.AT.Ser.Bld.Thermal.SH.ConvElc.Elec</t>
  </si>
  <si>
    <t>FEC_per_sqm.kWh.AT.Ser.Bld.Thermal.SH.TotalCirculation.Elec</t>
  </si>
  <si>
    <t>FEC_per_sqm.kWh.AT.Ser.Bld.Thermal.SC</t>
  </si>
  <si>
    <t>FEC_per_sqm.kWh.AT.Ser.Bld.Thermal.SC.GasHP.NG_Biogas</t>
  </si>
  <si>
    <t>FEC_per_sqm.kWh.AT.Ser.Bld.Thermal.SC.AC.Elec</t>
  </si>
  <si>
    <t>FEC_per_sqm.kWh.AT.Ser.Bld.Thermal.HW</t>
  </si>
  <si>
    <t>FEC_per_sqm.kWh.AT.Ser.Bld.Thermal.HW.Solids.Solids</t>
  </si>
  <si>
    <t>FEC_per_sqm.kWh.AT.Ser.Bld.Thermal.HW.LPG.LPG</t>
  </si>
  <si>
    <t>FEC_per_sqm.kWh.AT.Ser.Bld.Thermal.HW.Oil.Oil_LiqBio</t>
  </si>
  <si>
    <t>FEC_per_sqm.kWh.AT.Ser.Bld.Thermal.HW.Gas.NG_Biogas</t>
  </si>
  <si>
    <t>FEC_per_sqm.kWh.AT.Ser.Bld.Thermal.HW.Biomass.Biomass_Waste</t>
  </si>
  <si>
    <t>FEC_per_sqm.kWh.AT.Ser.Bld.Thermal.HW.DistrHeat.Steam_Distr</t>
  </si>
  <si>
    <t>FEC_per_sqm.kWh.AT.Ser.Bld.Thermal.HW.Elc.Elec</t>
  </si>
  <si>
    <t>FEC_per_sqm.kWh.AT.Ser.Bld.Thermal.HW.TotalSolar.Solar</t>
  </si>
  <si>
    <t>FEC_per_sqm.kWh.AT.Ser.Bld.Thermal.CA</t>
  </si>
  <si>
    <t>FEC_per_sqm.kWh.AT.Ser.Bld.Thermal.CA.LPG</t>
  </si>
  <si>
    <t>FEC_per_sqm.kWh.AT.Ser.Bld.Thermal.CA.Gas.NG_Biogas</t>
  </si>
  <si>
    <t>FEC_per_sqm.kWh.AT.Ser.Bld.Thermal.CA.Biomass.Biomass_Waste</t>
  </si>
  <si>
    <t>FEC_per_sqm.kWh.AT.Ser.Bld.Thermal.CA.Elc.Elec</t>
  </si>
  <si>
    <t>AT - Thermal energy service per useful surface area</t>
  </si>
  <si>
    <t>TES_per_sqm.kWh.AT.Ser.Bld.Thermal</t>
  </si>
  <si>
    <t>TES_per_sqm.kWh.AT.Ser.Bld.Thermal.SH</t>
  </si>
  <si>
    <t>TES_per_sqm.kWh.AT.Ser.Bld.Thermal.SH.Solids.Solids</t>
  </si>
  <si>
    <t>TES_per_sqm.kWh.AT.Ser.Bld.Thermal.SH.LPG.LPG</t>
  </si>
  <si>
    <t>TES_per_sqm.kWh.AT.Ser.Bld.Thermal.SH.Oil.Oil_LiqBio</t>
  </si>
  <si>
    <t>TES_per_sqm.kWh.AT.Ser.Bld.Thermal.SH.GasHP.NG_Biogas</t>
  </si>
  <si>
    <t>TES_per_sqm.kWh.AT.Ser.Bld.Thermal.SH.GasTH.NG_Biogas</t>
  </si>
  <si>
    <t>TES_per_sqm.kWh.AT.Ser.Bld.Thermal.SH.Biomass.Biomass_Waste</t>
  </si>
  <si>
    <t>TES_per_sqm.kWh.AT.Ser.Bld.Thermal.SH.Geo.Geo</t>
  </si>
  <si>
    <t>TES_per_sqm.kWh.AT.Ser.Bld.Thermal.SH.DistrHeat.Steam_Distr</t>
  </si>
  <si>
    <t>TES_per_sqm.kWh.AT.Ser.Bld.Thermal.SH.AdvElc.Elec</t>
  </si>
  <si>
    <t>TES_per_sqm.kWh.AT.Ser.Bld.Thermal.SH.ConvElc.Elec</t>
  </si>
  <si>
    <t>TES_per_sqm.kWh.AT.Ser.Bld.Thermal.SH.TotalCirculation.Elec</t>
  </si>
  <si>
    <t>TES_per_sqm.kWh.AT.Ser.Bld.Thermal.SC</t>
  </si>
  <si>
    <t>TES_per_sqm.kWh.AT.Ser.Bld.Thermal.SC.GasHP.NG_Biogas</t>
  </si>
  <si>
    <t>TES_per_sqm.kWh.AT.Ser.Bld.Thermal.SC.AC.Elec</t>
  </si>
  <si>
    <t>TES_per_sqm.kWh.AT.Ser.Bld.Thermal.HW</t>
  </si>
  <si>
    <t>TES_per_sqm.kWh.AT.Ser.Bld.Thermal.HW.Solids.Solids</t>
  </si>
  <si>
    <t>TES_per_sqm.kWh.AT.Ser.Bld.Thermal.HW.LPG.LPG</t>
  </si>
  <si>
    <t>TES_per_sqm.kWh.AT.Ser.Bld.Thermal.HW.Oil.Oil_LiqBio</t>
  </si>
  <si>
    <t>TES_per_sqm.kWh.AT.Ser.Bld.Thermal.HW.Gas.NG_Biogas</t>
  </si>
  <si>
    <t>TES_per_sqm.kWh.AT.Ser.Bld.Thermal.HW.Biomass.Biomass_Waste</t>
  </si>
  <si>
    <t>TES_per_sqm.kWh.AT.Ser.Bld.Thermal.HW.DistrHeat.Steam_Distr</t>
  </si>
  <si>
    <t>TES_per_sqm.kWh.AT.Ser.Bld.Thermal.HW.Elc.Elec</t>
  </si>
  <si>
    <t>TES_per_sqm.kWh.AT.Ser.Bld.Thermal.HW.TotalSolar.Solar</t>
  </si>
  <si>
    <t>TES_per_sqm.kWh.AT.Ser.Bld.Thermal.CA</t>
  </si>
  <si>
    <t>TES_per_sqm.kWh.AT.Ser.Bld.Thermal.CA.LPG</t>
  </si>
  <si>
    <t>TES_per_sqm.kWh.AT.Ser.Bld.Thermal.CA.Gas.NG_Biogas</t>
  </si>
  <si>
    <t>TES_per_sqm.kWh.AT.Ser.Bld.Thermal.CA.Biomass.Biomass_Waste</t>
  </si>
  <si>
    <t>TES_per_sqm.kWh.AT.Ser.Bld.Thermal.CA.Elc.Elec</t>
  </si>
  <si>
    <t>AT - CO2 emissions per useful surface area</t>
  </si>
  <si>
    <t>EMI_per_sqm.kgCO2.AT.Ser.Bld.Thermal</t>
  </si>
  <si>
    <t>EMI_per_sqm.kgCO2.AT.Ser.Bld.Thermal.SH</t>
  </si>
  <si>
    <t>EMI_per_sqm.kgCO2.AT.Ser.Bld.Thermal.SH.Solids.Solids</t>
  </si>
  <si>
    <t>EMI_per_sqm.kgCO2.AT.Ser.Bld.Thermal.SH.LPG.LPG</t>
  </si>
  <si>
    <t>EMI_per_sqm.kgCO2.AT.Ser.Bld.Thermal.SH.Oil.Oil_LiqBio</t>
  </si>
  <si>
    <t>EMI_per_sqm.kgCO2.AT.Ser.Bld.Thermal.SH.GasHP.NG_Biogas</t>
  </si>
  <si>
    <t>EMI_per_sqm.kgCO2.AT.Ser.Bld.Thermal.SH.GasTH.NG_Biogas</t>
  </si>
  <si>
    <t>EMI_per_sqm.kgCO2.AT.Ser.Bld.Thermal.SH.Biomass.Biomass_Waste</t>
  </si>
  <si>
    <t>EMI_per_sqm.kgCO2.AT.Ser.Bld.Thermal.SH.Geo.Geo</t>
  </si>
  <si>
    <t>EMI_per_sqm.kgCO2.AT.Ser.Bld.Thermal.SH.DistrHeat.Steam_Distr</t>
  </si>
  <si>
    <t>EMI_per_sqm.kgCO2.AT.Ser.Bld.Thermal.SH.AdvElc.Elec</t>
  </si>
  <si>
    <t>EMI_per_sqm.kgCO2.AT.Ser.Bld.Thermal.SH.ConvElc.Elec</t>
  </si>
  <si>
    <t>EMI_per_sqm.kgCO2.AT.Ser.Bld.Thermal.SH.TotalCirculation.Elec</t>
  </si>
  <si>
    <t>EMI_per_sqm.kgCO2.AT.Ser.Bld.Thermal.SC</t>
  </si>
  <si>
    <t>EMI_per_sqm.kgCO2.AT.Ser.Bld.Thermal.SC.GasHP.NG_Biogas</t>
  </si>
  <si>
    <t>EMI_per_sqm.kgCO2.AT.Ser.Bld.Thermal.SC.AC.Elec</t>
  </si>
  <si>
    <t>EMI_per_sqm.kgCO2.AT.Ser.Bld.Thermal.HW</t>
  </si>
  <si>
    <t>EMI_per_sqm.kgCO2.AT.Ser.Bld.Thermal.HW.Solids.Solids</t>
  </si>
  <si>
    <t>EMI_per_sqm.kgCO2.AT.Ser.Bld.Thermal.HW.LPG.LPG</t>
  </si>
  <si>
    <t>EMI_per_sqm.kgCO2.AT.Ser.Bld.Thermal.HW.Oil.Oil_LiqBio</t>
  </si>
  <si>
    <t>EMI_per_sqm.kgCO2.AT.Ser.Bld.Thermal.HW.Gas.NG_Biogas</t>
  </si>
  <si>
    <t>EMI_per_sqm.kgCO2.AT.Ser.Bld.Thermal.HW.Biomass.Biomass_Waste</t>
  </si>
  <si>
    <t>EMI_per_sqm.kgCO2.AT.Ser.Bld.Thermal.HW.DistrHeat.Steam_Distr</t>
  </si>
  <si>
    <t>EMI_per_sqm.kgCO2.AT.Ser.Bld.Thermal.HW.Elc.Elec</t>
  </si>
  <si>
    <t>EMI_per_sqm.kgCO2.AT.Ser.Bld.Thermal.HW.TotalSolar.Solar</t>
  </si>
  <si>
    <t>EMI_per_sqm.kgCO2.AT.Ser.Bld.Thermal.CA</t>
  </si>
  <si>
    <t>EMI_per_sqm.kgCO2.AT.Ser.Bld.Thermal.CA.LPG</t>
  </si>
  <si>
    <t>EMI_per_sqm.kgCO2.AT.Ser.Bld.Thermal.CA.Gas.NG_Biogas</t>
  </si>
  <si>
    <t>EMI_per_sqm.kgCO2.AT.Ser.Bld.Thermal.CA.Biomass.Biomass_Waste</t>
  </si>
  <si>
    <t>EMI_per_sqm.kgCO2.AT.Ser.Bld.Thermal.CA.Elc.Elec</t>
  </si>
  <si>
    <t>AT - Number of new and renovated buildings</t>
  </si>
  <si>
    <t>NUM.number.AT.Ser.BldNew.Thermal</t>
  </si>
  <si>
    <t>NUM.number.AT.Ser.BldNew.Thermal.SH</t>
  </si>
  <si>
    <t>NUM.number.AT.Ser.BldNew.Thermal.SH.Solids</t>
  </si>
  <si>
    <t>NUM.number.AT.Ser.BldNew.Thermal.SH.LPG</t>
  </si>
  <si>
    <t>NUM.number.AT.Ser.BldNew.Thermal.SH.Oil</t>
  </si>
  <si>
    <t>NUM.number.AT.Ser.BldNew.Thermal.SH.GasHP</t>
  </si>
  <si>
    <t>NUM.number.AT.Ser.BldNew.Thermal.SH.GasTH</t>
  </si>
  <si>
    <t>NUM.number.AT.Ser.BldNew.Thermal.SH.Biomass</t>
  </si>
  <si>
    <t>NUM.number.AT.Ser.BldNew.Thermal.SH.Geo</t>
  </si>
  <si>
    <t>NUM.number.AT.Ser.BldNew.Thermal.SH.DistrHeat</t>
  </si>
  <si>
    <t>NUM.number.AT.Ser.BldNew.Thermal.SH.AdvElc</t>
  </si>
  <si>
    <t>NUM.number.AT.Ser.BldNew.Thermal.SH.ConvElc</t>
  </si>
  <si>
    <t>NUM.number.AT.Ser.BldNew.Thermal.SC</t>
  </si>
  <si>
    <t>NUM.number.AT.Ser.BldNew.Thermal.SC.GasHP</t>
  </si>
  <si>
    <t>NUM.number.AT.Ser.BldNew.Thermal.SC.AC</t>
  </si>
  <si>
    <t>NUM.number.AT.Ser.BldNew.Thermal.HW</t>
  </si>
  <si>
    <t>NUM.number.AT.Ser.BldNew.Thermal.HW.Solids</t>
  </si>
  <si>
    <t>NUM.number.AT.Ser.BldNew.Thermal.HW.LPG</t>
  </si>
  <si>
    <t>NUM.number.AT.Ser.BldNew.Thermal.HW.Oil</t>
  </si>
  <si>
    <t>NUM.number.AT.Ser.BldNew.Thermal.HW.Gas</t>
  </si>
  <si>
    <t>NUM.number.AT.Ser.BldNew.Thermal.HW.Biomass</t>
  </si>
  <si>
    <t>NUM.number.AT.Ser.BldNew.Thermal.HW.DistrHeat</t>
  </si>
  <si>
    <t>NUM.number.AT.Ser.BldNew.Thermal.HW.Elc</t>
  </si>
  <si>
    <t>NUM.number.AT.Ser.BldNew.Thermal.HW.Solar</t>
  </si>
  <si>
    <t>NUM.number.AT.Ser.BldNew.Thermal.CA</t>
  </si>
  <si>
    <t>NUM.number.AT.Ser.BldNew.Thermal.CA.LPG</t>
  </si>
  <si>
    <t>NUM.number.AT.Ser.BldNew.Thermal.CA.Gas</t>
  </si>
  <si>
    <t>NUM.number.AT.Ser.BldNew.Thermal.CA.Biomass</t>
  </si>
  <si>
    <t>NUM.number.AT.Ser.BldNew.Thermal.CA.Elc</t>
  </si>
  <si>
    <t>AT - Final energy consumption in new and renovated buildings</t>
  </si>
  <si>
    <t>FEC.ktoe.AT.Ser.BldNew.Thermal</t>
  </si>
  <si>
    <t>FEC.ktoe.AT.Ser.BldNew.Thermal.SH</t>
  </si>
  <si>
    <t>FEC.ktoe.AT.Ser.BldNew.Thermal.SH.Solids.Solids</t>
  </si>
  <si>
    <t>FEC.ktoe.AT.Ser.BldNew.Thermal.SH.LPG.LPG</t>
  </si>
  <si>
    <t>FEC.ktoe.AT.Ser.BldNew.Thermal.SH.Oil.Oil_LiqBio</t>
  </si>
  <si>
    <t>FEC.ktoe.AT.Ser.BldNew.Thermal.SH.GasHP.NG_Biogas</t>
  </si>
  <si>
    <t>FEC.ktoe.AT.Ser.BldNew.Thermal.SH.GasTH.NG_Biogas</t>
  </si>
  <si>
    <t>FEC.ktoe.AT.Ser.BldNew.Thermal.SH.Biomass.Biomass_Waste</t>
  </si>
  <si>
    <t>FEC.ktoe.AT.Ser.BldNew.Thermal.SH.Geo.Geo</t>
  </si>
  <si>
    <t>FEC.ktoe.AT.Ser.BldNew.Thermal.SH.DistrHeat.Steam_Distr</t>
  </si>
  <si>
    <t>FEC.ktoe.AT.Ser.BldNew.Thermal.SH.AdvElc.Elec</t>
  </si>
  <si>
    <t>FEC.ktoe.AT.Ser.BldNew.Thermal.SH.ConvElc.Elec</t>
  </si>
  <si>
    <t>FEC.ktoe.AT.Ser.BldNew.Thermal.SH.TotalCirculation.Elec</t>
  </si>
  <si>
    <t>FEC.ktoe.AT.Ser.BldNew.Thermal.SC</t>
  </si>
  <si>
    <t>FEC.ktoe.AT.Ser.BldNew.Thermal.SC.GasHP.NG_Biogas</t>
  </si>
  <si>
    <t>FEC.ktoe.AT.Ser.BldNew.Thermal.SC.AC.Elec</t>
  </si>
  <si>
    <t>FEC.ktoe.AT.Ser.BldNew.Thermal.HW</t>
  </si>
  <si>
    <t>FEC.ktoe.AT.Ser.BldNew.Thermal.HW.Solids.Solids</t>
  </si>
  <si>
    <t>FEC.ktoe.AT.Ser.BldNew.Thermal.HW.LPG.LPG</t>
  </si>
  <si>
    <t>FEC.ktoe.AT.Ser.BldNew.Thermal.HW.Oil.Oil_LiqBio</t>
  </si>
  <si>
    <t>FEC.ktoe.AT.Ser.BldNew.Thermal.HW.Gas.NG_Biogas</t>
  </si>
  <si>
    <t>FEC.ktoe.AT.Ser.BldNew.Thermal.HW.Biomass.Biomass_Waste</t>
  </si>
  <si>
    <t>FEC.ktoe.AT.Ser.BldNew.Thermal.HW.DistrHeat.Steam_Distr</t>
  </si>
  <si>
    <t>FEC.ktoe.AT.Ser.BldNew.Thermal.HW.Elc.Elec</t>
  </si>
  <si>
    <t>FEC.ktoe.AT.Ser.BldNew.Thermal.HW.TotalSolar.Solar</t>
  </si>
  <si>
    <t>FEC.ktoe.AT.Ser.BldNew.Thermal.CA</t>
  </si>
  <si>
    <t>FEC.ktoe.AT.Ser.BldNew.Thermal.CA.LPG</t>
  </si>
  <si>
    <t>FEC.ktoe.AT.Ser.BldNew.Thermal.CA.Gas.NG_Biogas</t>
  </si>
  <si>
    <t>FEC.ktoe.AT.Ser.BldNew.Thermal.CA.Biomass.Biomass_Waste</t>
  </si>
  <si>
    <t>FEC.ktoe.AT.Ser.BldNew.Thermal.CA.Elc.Elec</t>
  </si>
  <si>
    <t>AT - Thermal energy service in new and renovated buildings</t>
  </si>
  <si>
    <t>TES.ktoe.AT.Ser.BldNew.Thermal</t>
  </si>
  <si>
    <t>TES.ktoe.AT.Ser.BldNew.Thermal.SH</t>
  </si>
  <si>
    <t>TES.ktoe.AT.Ser.BldNew.Thermal.SH.Solids.Solids</t>
  </si>
  <si>
    <t>TES.ktoe.AT.Ser.BldNew.Thermal.SH.LPG.LPG</t>
  </si>
  <si>
    <t>TES.ktoe.AT.Ser.BldNew.Thermal.SH.Oil.Oil_LiqBio</t>
  </si>
  <si>
    <t>TES.ktoe.AT.Ser.BldNew.Thermal.SH.GasHP.NG_Biogas</t>
  </si>
  <si>
    <t>TES.ktoe.AT.Ser.BldNew.Thermal.SH.GasTH.NG_Biogas</t>
  </si>
  <si>
    <t>TES.ktoe.AT.Ser.BldNew.Thermal.SH.Biomass.Biomass_Waste</t>
  </si>
  <si>
    <t>TES.ktoe.AT.Ser.BldNew.Thermal.SH.Geo.Geo</t>
  </si>
  <si>
    <t>TES.ktoe.AT.Ser.BldNew.Thermal.SH.DistrHeat.Steam_Distr</t>
  </si>
  <si>
    <t>TES.ktoe.AT.Ser.BldNew.Thermal.SH.AdvElc.Elec</t>
  </si>
  <si>
    <t>TES.ktoe.AT.Ser.BldNew.Thermal.SH.ConvElc.Elec</t>
  </si>
  <si>
    <t>TES.ktoe.AT.Ser.BldNew.Thermal.SH.TotalCirculation.Elec</t>
  </si>
  <si>
    <t>TES.ktoe.AT.Ser.BldNew.Thermal.SC</t>
  </si>
  <si>
    <t>TES.ktoe.AT.Ser.BldNew.Thermal.SC.GasHP.NG_Biogas</t>
  </si>
  <si>
    <t>TES.ktoe.AT.Ser.BldNew.Thermal.SC.AC.Elec</t>
  </si>
  <si>
    <t>TES.ktoe.AT.Ser.BldNew.Thermal.HW</t>
  </si>
  <si>
    <t>TES.ktoe.AT.Ser.BldNew.Thermal.HW.Solids.Solids</t>
  </si>
  <si>
    <t>TES.ktoe.AT.Ser.BldNew.Thermal.HW.LPG.LPG</t>
  </si>
  <si>
    <t>TES.ktoe.AT.Ser.BldNew.Thermal.HW.Oil.Oil_LiqBio</t>
  </si>
  <si>
    <t>TES.ktoe.AT.Ser.BldNew.Thermal.HW.Gas.NG_Biogas</t>
  </si>
  <si>
    <t>TES.ktoe.AT.Ser.BldNew.Thermal.HW.Biomass.Biomass_Waste</t>
  </si>
  <si>
    <t>TES.ktoe.AT.Ser.BldNew.Thermal.HW.DistrHeat.Steam_Distr</t>
  </si>
  <si>
    <t>TES.ktoe.AT.Ser.BldNew.Thermal.HW.Elc.Elec</t>
  </si>
  <si>
    <t>TES.ktoe.AT.Ser.BldNew.Thermal.HW.TotalSolar.Solar</t>
  </si>
  <si>
    <t>TES.ktoe.AT.Ser.BldNew.Thermal.CA</t>
  </si>
  <si>
    <t>TES.ktoe.AT.Ser.BldNew.Thermal.CA.LPG</t>
  </si>
  <si>
    <t>TES.ktoe.AT.Ser.BldNew.Thermal.CA.Gas.NG_Biogas</t>
  </si>
  <si>
    <t>TES.ktoe.AT.Ser.BldNew.Thermal.CA.Biomass.Biomass_Waste</t>
  </si>
  <si>
    <t>TES.ktoe.AT.Ser.BldNew.Thermal.CA.Elc.Elec</t>
  </si>
  <si>
    <t>AT - System efficiency indicator of new and renovated buildings</t>
  </si>
  <si>
    <t>Eff.ratio.AT.Ser.BldNew.Thermal</t>
  </si>
  <si>
    <t>Eff.ratio.AT.Ser.BldNew.Thermal.SH</t>
  </si>
  <si>
    <t>Eff.ratio.AT.Ser.BldNew.Thermal.SH.Solids.Solids</t>
  </si>
  <si>
    <t>Eff.ratio.AT.Ser.BldNew.Thermal.SH.LPG.LPG</t>
  </si>
  <si>
    <t>Eff.ratio.AT.Ser.BldNew.Thermal.SH.Oil.Oil_LiqBio</t>
  </si>
  <si>
    <t>Eff.ratio.AT.Ser.BldNew.Thermal.SH.GasHP.NG_Biogas</t>
  </si>
  <si>
    <t>Eff.ratio.AT.Ser.BldNew.Thermal.SH.GasTH.NG_Biogas</t>
  </si>
  <si>
    <t>Eff.ratio.AT.Ser.BldNew.Thermal.SH.Biomass.Biomass_Waste</t>
  </si>
  <si>
    <t>Eff.ratio.AT.Ser.BldNew.Thermal.SH.Geo.Geo</t>
  </si>
  <si>
    <t>Eff.ratio.AT.Ser.BldNew.Thermal.SH.DistrHeat.Steam_Distr</t>
  </si>
  <si>
    <t>Eff.ratio.AT.Ser.BldNew.Thermal.SH.AdvElc.Elec</t>
  </si>
  <si>
    <t>Eff.ratio.AT.Ser.BldNew.Thermal.SH.ConvElc.Elec</t>
  </si>
  <si>
    <t>Eff.ratio.AT.Ser.BldNew.Thermal.SH.TotalCirculation.Elec</t>
  </si>
  <si>
    <t>Eff.ratio.AT.Ser.BldNew.Thermal.SC</t>
  </si>
  <si>
    <t>Eff.ratio.AT.Ser.BldNew.Thermal.SC.GasHP.NG_Biogas</t>
  </si>
  <si>
    <t>Eff.ratio.AT.Ser.BldNew.Thermal.SC.AC.Elec</t>
  </si>
  <si>
    <t>Eff.ratio.AT.Ser.BldNew.Thermal.HW</t>
  </si>
  <si>
    <t>Eff.ratio.AT.Ser.BldNew.Thermal.HW.Solids.Solids</t>
  </si>
  <si>
    <t>Eff.ratio.AT.Ser.BldNew.Thermal.HW.LPG.LPG</t>
  </si>
  <si>
    <t>Eff.ratio.AT.Ser.BldNew.Thermal.HW.Oil.Oil_LiqBio</t>
  </si>
  <si>
    <t>Eff.ratio.AT.Ser.BldNew.Thermal.HW.Gas.NG_Biogas</t>
  </si>
  <si>
    <t>Eff.ratio.AT.Ser.BldNew.Thermal.HW.Biomass.Biomass_Waste</t>
  </si>
  <si>
    <t>Eff.ratio.AT.Ser.BldNew.Thermal.HW.DistrHeat.Steam_Distr</t>
  </si>
  <si>
    <t>Eff.ratio.AT.Ser.BldNew.Thermal.HW.Elc.Elec</t>
  </si>
  <si>
    <t>Eff.ratio.AT.Ser.BldNew.Thermal.HW.TotalSolar.Solar</t>
  </si>
  <si>
    <t>Eff.ratio.AT.Ser.BldNew.Thermal.CA</t>
  </si>
  <si>
    <t>Eff.ratio.AT.Ser.BldNew.Thermal.CA.LPG</t>
  </si>
  <si>
    <t>Eff.ratio.AT.Ser.BldNew.Thermal.CA.Gas.NG_Biogas</t>
  </si>
  <si>
    <t>Eff.ratio.AT.Ser.BldNew.Thermal.CA.Biomass.Biomass_Waste</t>
  </si>
  <si>
    <t>Eff.ratio.AT.Ser.BldNew.Thermal.CA.Elc.Elec</t>
  </si>
  <si>
    <t>AT - CO2 emissions in new and renovated buildings</t>
  </si>
  <si>
    <t>EMI.ktCO2.AT.Ser.BldNew.Thermal</t>
  </si>
  <si>
    <t>EMI.ktCO2.AT.Ser.BldNew.Thermal.SH</t>
  </si>
  <si>
    <t>EMI.ktCO2.AT.Ser.BldNew.Thermal.SH.Solids.Solids</t>
  </si>
  <si>
    <t>EMI.ktCO2.AT.Ser.BldNew.Thermal.SH.LPG.LPG</t>
  </si>
  <si>
    <t>EMI.ktCO2.AT.Ser.BldNew.Thermal.SH.Oil.Oil_LiqBio</t>
  </si>
  <si>
    <t>EMI.ktCO2.AT.Ser.BldNew.Thermal.SH.GasHP.NG_Biogas</t>
  </si>
  <si>
    <t>EMI.ktCO2.AT.Ser.BldNew.Thermal.SH.GasTH.NG_Biogas</t>
  </si>
  <si>
    <t>EMI.ktCO2.AT.Ser.BldNew.Thermal.SH.Biomass.Biomass_Waste</t>
  </si>
  <si>
    <t>EMI.ktCO2.AT.Ser.BldNew.Thermal.SH.Geo.Geo</t>
  </si>
  <si>
    <t>EMI.ktCO2.AT.Ser.BldNew.Thermal.SH.DistrHeat.Steam_Distr</t>
  </si>
  <si>
    <t>EMI.ktCO2.AT.Ser.BldNew.Thermal.SH.AdvElc.Elec</t>
  </si>
  <si>
    <t>EMI.ktCO2.AT.Ser.BldNew.Thermal.SH.ConvElc.Elec</t>
  </si>
  <si>
    <t>EMI.ktCO2.AT.Ser.BldNew.Thermal.SH.TotalCirculation.Elec</t>
  </si>
  <si>
    <t>EMI.ktCO2.AT.Ser.BldNew.Thermal.SC</t>
  </si>
  <si>
    <t>EMI.ktCO2.AT.Ser.BldNew.Thermal.SC.GasHP.NG_Biogas</t>
  </si>
  <si>
    <t>EMI.ktCO2.AT.Ser.BldNew.Thermal.SC.AC.Elec</t>
  </si>
  <si>
    <t>EMI.ktCO2.AT.Ser.BldNew.Thermal.HW</t>
  </si>
  <si>
    <t>EMI.ktCO2.AT.Ser.BldNew.Thermal.HW.Solids.Solids</t>
  </si>
  <si>
    <t>EMI.ktCO2.AT.Ser.BldNew.Thermal.HW.LPG.LPG</t>
  </si>
  <si>
    <t>EMI.ktCO2.AT.Ser.BldNew.Thermal.HW.Oil.Oil_LiqBio</t>
  </si>
  <si>
    <t>EMI.ktCO2.AT.Ser.BldNew.Thermal.HW.Gas.NG_Biogas</t>
  </si>
  <si>
    <t>EMI.ktCO2.AT.Ser.BldNew.Thermal.HW.Biomass.Biomass_Waste</t>
  </si>
  <si>
    <t>EMI.ktCO2.AT.Ser.BldNew.Thermal.HW.DistrHeat.Steam_Distr</t>
  </si>
  <si>
    <t>EMI.ktCO2.AT.Ser.BldNew.Thermal.HW.Elc.Elec</t>
  </si>
  <si>
    <t>EMI.ktCO2.AT.Ser.BldNew.Thermal.HW.TotalSolar.Solar</t>
  </si>
  <si>
    <t>EMI.ktCO2.AT.Ser.BldNew.Thermal.CA</t>
  </si>
  <si>
    <t>EMI.ktCO2.AT.Ser.BldNew.Thermal.CA.LPG</t>
  </si>
  <si>
    <t>EMI.ktCO2.AT.Ser.BldNew.Thermal.CA.Gas.NG_Biogas</t>
  </si>
  <si>
    <t>EMI.ktCO2.AT.Ser.BldNew.Thermal.CA.Biomass.Biomass_Waste</t>
  </si>
  <si>
    <t>EMI.ktCO2.AT.Ser.BldNew.Thermal.CA.Elc.Elec</t>
  </si>
  <si>
    <t>AT - Final energy consumption of new and renovated buildings (per building)</t>
  </si>
  <si>
    <t>FEC_per_building.kWh.AT.Ser.BldNew.Thermal</t>
  </si>
  <si>
    <t>FEC_per_building.kWh.AT.Ser.BldNew.Thermal.SH</t>
  </si>
  <si>
    <t>FEC_per_building.kWh.AT.Ser.BldNew.Thermal.SH.Solids.Solids</t>
  </si>
  <si>
    <t>FEC_per_building.kWh.AT.Ser.BldNew.Thermal.SH.LPG.LPG</t>
  </si>
  <si>
    <t>FEC_per_building.kWh.AT.Ser.BldNew.Thermal.SH.Oil.Oil_LiqBio</t>
  </si>
  <si>
    <t>FEC_per_building.kWh.AT.Ser.BldNew.Thermal.SH.GasHP.NG_Biogas</t>
  </si>
  <si>
    <t>FEC_per_building.kWh.AT.Ser.BldNew.Thermal.SH.GasTH.NG_Biogas</t>
  </si>
  <si>
    <t>FEC_per_building.kWh.AT.Ser.BldNew.Thermal.SH.Biomass.Biomass_Waste</t>
  </si>
  <si>
    <t>FEC_per_building.kWh.AT.Ser.BldNew.Thermal.SH.Geo.Geo</t>
  </si>
  <si>
    <t>FEC_per_building.kWh.AT.Ser.BldNew.Thermal.SH.DistrHeat.Steam_Distr</t>
  </si>
  <si>
    <t>FEC_per_building.kWh.AT.Ser.BldNew.Thermal.SH.AdvElc.Elec</t>
  </si>
  <si>
    <t>FEC_per_building.kWh.AT.Ser.BldNew.Thermal.SH.ConvElc.Elec</t>
  </si>
  <si>
    <t>FEC_per_building.kWh.AT.Ser.BldNew.Thermal.SH.TotalCirculation.Elec</t>
  </si>
  <si>
    <t>FEC_per_building.kWh.AT.Ser.BldNew.Thermal.SC</t>
  </si>
  <si>
    <t>FEC_per_building.kWh.AT.Ser.BldNew.Thermal.SC.GasHP.NG_Biogas</t>
  </si>
  <si>
    <t>FEC_per_building.kWh.AT.Ser.BldNew.Thermal.SC.AC.Elec</t>
  </si>
  <si>
    <t>FEC_per_building.kWh.AT.Ser.BldNew.Thermal.HW</t>
  </si>
  <si>
    <t>FEC_per_building.kWh.AT.Ser.BldNew.Thermal.HW.Solids.Solids</t>
  </si>
  <si>
    <t>FEC_per_building.kWh.AT.Ser.BldNew.Thermal.HW.LPG.LPG</t>
  </si>
  <si>
    <t>FEC_per_building.kWh.AT.Ser.BldNew.Thermal.HW.Oil.Oil_LiqBio</t>
  </si>
  <si>
    <t>FEC_per_building.kWh.AT.Ser.BldNew.Thermal.HW.Gas.NG_Biogas</t>
  </si>
  <si>
    <t>FEC_per_building.kWh.AT.Ser.BldNew.Thermal.HW.Biomass.Biomass_Waste</t>
  </si>
  <si>
    <t>FEC_per_building.kWh.AT.Ser.BldNew.Thermal.HW.DistrHeat.Steam_Distr</t>
  </si>
  <si>
    <t>FEC_per_building.kWh.AT.Ser.BldNew.Thermal.HW.Elc.Elec</t>
  </si>
  <si>
    <t>FEC_per_building.kWh.AT.Ser.BldNew.Thermal.HW.TotalSolar.Solar</t>
  </si>
  <si>
    <t>FEC_per_building.kWh.AT.Ser.BldNew.Thermal.CA</t>
  </si>
  <si>
    <t>FEC_per_building.kWh.AT.Ser.BldNew.Thermal.CA.LPG</t>
  </si>
  <si>
    <t>FEC_per_building.kWh.AT.Ser.BldNew.Thermal.CA.Gas.NG_Biogas</t>
  </si>
  <si>
    <t>FEC_per_building.kWh.AT.Ser.BldNew.Thermal.CA.Biomass.Biomass_Waste</t>
  </si>
  <si>
    <t>FEC_per_building.kWh.AT.Ser.BldNew.Thermal.CA.Elc.Elec</t>
  </si>
  <si>
    <t>AT - Thermal energy service of new and renovated buildings (per building)</t>
  </si>
  <si>
    <t>TES_per_building.kWh.AT.Ser.BldNew.Thermal</t>
  </si>
  <si>
    <t>TES_per_building.kWh.AT.Ser.BldNew.Thermal.SH</t>
  </si>
  <si>
    <t>TES_per_building.kWh.AT.Ser.BldNew.Thermal.SH.Solids.Solids</t>
  </si>
  <si>
    <t>TES_per_building.kWh.AT.Ser.BldNew.Thermal.SH.LPG.LPG</t>
  </si>
  <si>
    <t>TES_per_building.kWh.AT.Ser.BldNew.Thermal.SH.Oil.Oil_LiqBio</t>
  </si>
  <si>
    <t>TES_per_building.kWh.AT.Ser.BldNew.Thermal.SH.GasHP.NG_Biogas</t>
  </si>
  <si>
    <t>TES_per_building.kWh.AT.Ser.BldNew.Thermal.SH.GasTH.NG_Biogas</t>
  </si>
  <si>
    <t>TES_per_building.kWh.AT.Ser.BldNew.Thermal.SH.Biomass.Biomass_Waste</t>
  </si>
  <si>
    <t>TES_per_building.kWh.AT.Ser.BldNew.Thermal.SH.Geo.Geo</t>
  </si>
  <si>
    <t>TES_per_building.kWh.AT.Ser.BldNew.Thermal.SH.DistrHeat.Steam_Distr</t>
  </si>
  <si>
    <t>TES_per_building.kWh.AT.Ser.BldNew.Thermal.SH.AdvElc.Elec</t>
  </si>
  <si>
    <t>TES_per_building.kWh.AT.Ser.BldNew.Thermal.SH.ConvElc.Elec</t>
  </si>
  <si>
    <t>TES_per_building.kWh.AT.Ser.BldNew.Thermal.SH.TotalCirculation.Elec</t>
  </si>
  <si>
    <t>TES_per_building.kWh.AT.Ser.BldNew.Thermal.SC</t>
  </si>
  <si>
    <t>TES_per_building.kWh.AT.Ser.BldNew.Thermal.SC.GasHP.NG_Biogas</t>
  </si>
  <si>
    <t>TES_per_building.kWh.AT.Ser.BldNew.Thermal.SC.AC.Elec</t>
  </si>
  <si>
    <t>TES_per_building.kWh.AT.Ser.BldNew.Thermal.HW</t>
  </si>
  <si>
    <t>TES_per_building.kWh.AT.Ser.BldNew.Thermal.HW.Solids.Solids</t>
  </si>
  <si>
    <t>TES_per_building.kWh.AT.Ser.BldNew.Thermal.HW.LPG.LPG</t>
  </si>
  <si>
    <t>TES_per_building.kWh.AT.Ser.BldNew.Thermal.HW.Oil.Oil_LiqBio</t>
  </si>
  <si>
    <t>TES_per_building.kWh.AT.Ser.BldNew.Thermal.HW.Gas.NG_Biogas</t>
  </si>
  <si>
    <t>TES_per_building.kWh.AT.Ser.BldNew.Thermal.HW.Biomass.Biomass_Waste</t>
  </si>
  <si>
    <t>TES_per_building.kWh.AT.Ser.BldNew.Thermal.HW.DistrHeat.Steam_Distr</t>
  </si>
  <si>
    <t>TES_per_building.kWh.AT.Ser.BldNew.Thermal.HW.Elc.Elec</t>
  </si>
  <si>
    <t>TES_per_building.kWh.AT.Ser.BldNew.Thermal.HW.TotalSolar.Solar</t>
  </si>
  <si>
    <t>TES_per_building.kWh.AT.Ser.BldNew.Thermal.CA</t>
  </si>
  <si>
    <t>TES_per_building.kWh.AT.Ser.BldNew.Thermal.CA.LPG</t>
  </si>
  <si>
    <t>TES_per_building.kWh.AT.Ser.BldNew.Thermal.CA.Gas.NG_Biogas</t>
  </si>
  <si>
    <t>TES_per_building.kWh.AT.Ser.BldNew.Thermal.CA.Biomass.Biomass_Waste</t>
  </si>
  <si>
    <t>TES_per_building.kWh.AT.Ser.BldNew.Thermal.CA.Elc.Elec</t>
  </si>
  <si>
    <t>AT - CO2 emissions in new and renovated buildings (per building)</t>
  </si>
  <si>
    <t>EMI_per_building.kgCO2.AT.Ser.BldNew.Thermal</t>
  </si>
  <si>
    <t>EMI_per_building.kgCO2.AT.Ser.BldNew.Thermal.SH</t>
  </si>
  <si>
    <t>EMI_per_building.kgCO2.AT.Ser.BldNew.Thermal.SH.Solids.Solids</t>
  </si>
  <si>
    <t>EMI_per_building.kgCO2.AT.Ser.BldNew.Thermal.SH.LPG.LPG</t>
  </si>
  <si>
    <t>EMI_per_building.kgCO2.AT.Ser.BldNew.Thermal.SH.Oil.Oil_LiqBio</t>
  </si>
  <si>
    <t>EMI_per_building.kgCO2.AT.Ser.BldNew.Thermal.SH.GasHP.NG_Biogas</t>
  </si>
  <si>
    <t>EMI_per_building.kgCO2.AT.Ser.BldNew.Thermal.SH.GasTH.NG_Biogas</t>
  </si>
  <si>
    <t>EMI_per_building.kgCO2.AT.Ser.BldNew.Thermal.SH.Biomass.Biomass_Waste</t>
  </si>
  <si>
    <t>EMI_per_building.kgCO2.AT.Ser.BldNew.Thermal.SH.Geo.Geo</t>
  </si>
  <si>
    <t>EMI_per_building.kgCO2.AT.Ser.BldNew.Thermal.SH.DistrHeat.Steam_Distr</t>
  </si>
  <si>
    <t>EMI_per_building.kgCO2.AT.Ser.BldNew.Thermal.SH.AdvElc.Elec</t>
  </si>
  <si>
    <t>EMI_per_building.kgCO2.AT.Ser.BldNew.Thermal.SH.ConvElc.Elec</t>
  </si>
  <si>
    <t>EMI_per_building.kgCO2.AT.Ser.BldNew.Thermal.SH.TotalCirculation.Elec</t>
  </si>
  <si>
    <t>EMI_per_building.kgCO2.AT.Ser.BldNew.Thermal.SC</t>
  </si>
  <si>
    <t>EMI_per_building.kgCO2.AT.Ser.BldNew.Thermal.SC.GasHP.NG_Biogas</t>
  </si>
  <si>
    <t>EMI_per_building.kgCO2.AT.Ser.BldNew.Thermal.SC.AC.Elec</t>
  </si>
  <si>
    <t>EMI_per_building.kgCO2.AT.Ser.BldNew.Thermal.HW</t>
  </si>
  <si>
    <t>EMI_per_building.kgCO2.AT.Ser.BldNew.Thermal.HW.Solids.Solids</t>
  </si>
  <si>
    <t>EMI_per_building.kgCO2.AT.Ser.BldNew.Thermal.HW.LPG.LPG</t>
  </si>
  <si>
    <t>EMI_per_building.kgCO2.AT.Ser.BldNew.Thermal.HW.Oil.Oil_LiqBio</t>
  </si>
  <si>
    <t>EMI_per_building.kgCO2.AT.Ser.BldNew.Thermal.HW.Gas.NG_Biogas</t>
  </si>
  <si>
    <t>EMI_per_building.kgCO2.AT.Ser.BldNew.Thermal.HW.Biomass.Biomass_Waste</t>
  </si>
  <si>
    <t>EMI_per_building.kgCO2.AT.Ser.BldNew.Thermal.HW.DistrHeat.Steam_Distr</t>
  </si>
  <si>
    <t>EMI_per_building.kgCO2.AT.Ser.BldNew.Thermal.HW.Elc.Elec</t>
  </si>
  <si>
    <t>EMI_per_building.kgCO2.AT.Ser.BldNew.Thermal.HW.TotalSolar.Solar</t>
  </si>
  <si>
    <t>EMI_per_building.kgCO2.AT.Ser.BldNew.Thermal.CA</t>
  </si>
  <si>
    <t>EMI_per_building.kgCO2.AT.Ser.BldNew.Thermal.CA.LPG</t>
  </si>
  <si>
    <t>EMI_per_building.kgCO2.AT.Ser.BldNew.Thermal.CA.Gas.NG_Biogas</t>
  </si>
  <si>
    <t>EMI_per_building.kgCO2.AT.Ser.BldNew.Thermal.CA.Biomass.Biomass_Waste</t>
  </si>
  <si>
    <t>EMI_per_building.kgCO2.AT.Ser.BldNew.Thermal.CA.Elc.Elec</t>
  </si>
  <si>
    <t>AT - Final energy consumption in new and renovated buildings per surface area</t>
  </si>
  <si>
    <t>FEC_per_sqm.kWh.AT.Ser.BldNew.Thermal</t>
  </si>
  <si>
    <t>FEC_per_sqm.kWh.AT.Ser.BldNew.Thermal.SH</t>
  </si>
  <si>
    <t>FEC_per_sqm.kWh.AT.Ser.BldNew.Thermal.SH.Solids.Solids</t>
  </si>
  <si>
    <t>FEC_per_sqm.kWh.AT.Ser.BldNew.Thermal.SH.LPG.LPG</t>
  </si>
  <si>
    <t>FEC_per_sqm.kWh.AT.Ser.BldNew.Thermal.SH.Oil.Oil_LiqBio</t>
  </si>
  <si>
    <t>FEC_per_sqm.kWh.AT.Ser.BldNew.Thermal.SH.GasHP.NG_Biogas</t>
  </si>
  <si>
    <t>FEC_per_sqm.kWh.AT.Ser.BldNew.Thermal.SH.GasTH.NG_Biogas</t>
  </si>
  <si>
    <t>FEC_per_sqm.kWh.AT.Ser.BldNew.Thermal.SH.Biomass.Biomass_Waste</t>
  </si>
  <si>
    <t>FEC_per_sqm.kWh.AT.Ser.BldNew.Thermal.SH.Geo.Geo</t>
  </si>
  <si>
    <t>FEC_per_sqm.kWh.AT.Ser.BldNew.Thermal.SH.DistrHeat.Steam_Distr</t>
  </si>
  <si>
    <t>FEC_per_sqm.kWh.AT.Ser.BldNew.Thermal.SH.AdvElc.Elec</t>
  </si>
  <si>
    <t>FEC_per_sqm.kWh.AT.Ser.BldNew.Thermal.SH.ConvElc.Elec</t>
  </si>
  <si>
    <t>FEC_per_sqm.kWh.AT.Ser.BldNew.Thermal.SH.TotalCirculation.Elec</t>
  </si>
  <si>
    <t>FEC_per_sqm.kWh.AT.Ser.BldNew.Thermal.SC</t>
  </si>
  <si>
    <t>FEC_per_sqm.kWh.AT.Ser.BldNew.Thermal.SC.GasHP.NG_Biogas</t>
  </si>
  <si>
    <t>FEC_per_sqm.kWh.AT.Ser.BldNew.Thermal.SC.AC.Elec</t>
  </si>
  <si>
    <t>FEC_per_sqm.kWh.AT.Ser.BldNew.Thermal.HW</t>
  </si>
  <si>
    <t>FEC_per_sqm.kWh.AT.Ser.BldNew.Thermal.HW.Solids.Solids</t>
  </si>
  <si>
    <t>FEC_per_sqm.kWh.AT.Ser.BldNew.Thermal.HW.LPG.LPG</t>
  </si>
  <si>
    <t>FEC_per_sqm.kWh.AT.Ser.BldNew.Thermal.HW.Oil.Oil_LiqBio</t>
  </si>
  <si>
    <t>FEC_per_sqm.kWh.AT.Ser.BldNew.Thermal.HW.Gas.NG_Biogas</t>
  </si>
  <si>
    <t>FEC_per_sqm.kWh.AT.Ser.BldNew.Thermal.HW.Biomass.Biomass_Waste</t>
  </si>
  <si>
    <t>FEC_per_sqm.kWh.AT.Ser.BldNew.Thermal.HW.DistrHeat.Steam_Distr</t>
  </si>
  <si>
    <t>FEC_per_sqm.kWh.AT.Ser.BldNew.Thermal.HW.Elc.Elec</t>
  </si>
  <si>
    <t>FEC_per_sqm.kWh.AT.Ser.BldNew.Thermal.HW.TotalSolar.Solar</t>
  </si>
  <si>
    <t>FEC_per_sqm.kWh.AT.Ser.BldNew.Thermal.CA</t>
  </si>
  <si>
    <t>FEC_per_sqm.kWh.AT.Ser.BldNew.Thermal.CA.LPG</t>
  </si>
  <si>
    <t>FEC_per_sqm.kWh.AT.Ser.BldNew.Thermal.CA.Gas.NG_Biogas</t>
  </si>
  <si>
    <t>FEC_per_sqm.kWh.AT.Ser.BldNew.Thermal.CA.Biomass.Biomass_Waste</t>
  </si>
  <si>
    <t>FEC_per_sqm.kWh.AT.Ser.BldNew.Thermal.CA.Elc.Elec</t>
  </si>
  <si>
    <t>AT - Thermal energy service in new and renovated buildings per surface area</t>
  </si>
  <si>
    <t>TES_per_sqm.kWh.AT.Ser.BldNew.Thermal</t>
  </si>
  <si>
    <t>TES_per_sqm.kWh.AT.Ser.BldNew.Thermal.SH</t>
  </si>
  <si>
    <t>TES_per_sqm.kWh.AT.Ser.BldNew.Thermal.SH.Solids.Solids</t>
  </si>
  <si>
    <t>TES_per_sqm.kWh.AT.Ser.BldNew.Thermal.SH.LPG.LPG</t>
  </si>
  <si>
    <t>TES_per_sqm.kWh.AT.Ser.BldNew.Thermal.SH.Oil.Oil_LiqBio</t>
  </si>
  <si>
    <t>TES_per_sqm.kWh.AT.Ser.BldNew.Thermal.SH.GasHP.NG_Biogas</t>
  </si>
  <si>
    <t>TES_per_sqm.kWh.AT.Ser.BldNew.Thermal.SH.GasTH.NG_Biogas</t>
  </si>
  <si>
    <t>TES_per_sqm.kWh.AT.Ser.BldNew.Thermal.SH.Biomass.Biomass_Waste</t>
  </si>
  <si>
    <t>TES_per_sqm.kWh.AT.Ser.BldNew.Thermal.SH.Geo.Geo</t>
  </si>
  <si>
    <t>TES_per_sqm.kWh.AT.Ser.BldNew.Thermal.SH.DistrHeat.Steam_Distr</t>
  </si>
  <si>
    <t>TES_per_sqm.kWh.AT.Ser.BldNew.Thermal.SH.AdvElc.Elec</t>
  </si>
  <si>
    <t>TES_per_sqm.kWh.AT.Ser.BldNew.Thermal.SH.ConvElc.Elec</t>
  </si>
  <si>
    <t>TES_per_sqm.kWh.AT.Ser.BldNew.Thermal.SH.TotalCirculation.Elec</t>
  </si>
  <si>
    <t>TES_per_sqm.kWh.AT.Ser.BldNew.Thermal.SC</t>
  </si>
  <si>
    <t>TES_per_sqm.kWh.AT.Ser.BldNew.Thermal.SC.GasHP.NG_Biogas</t>
  </si>
  <si>
    <t>TES_per_sqm.kWh.AT.Ser.BldNew.Thermal.SC.AC.Elec</t>
  </si>
  <si>
    <t>TES_per_sqm.kWh.AT.Ser.BldNew.Thermal.HW</t>
  </si>
  <si>
    <t>TES_per_sqm.kWh.AT.Ser.BldNew.Thermal.HW.Solids.Solids</t>
  </si>
  <si>
    <t>TES_per_sqm.kWh.AT.Ser.BldNew.Thermal.HW.LPG.LPG</t>
  </si>
  <si>
    <t>TES_per_sqm.kWh.AT.Ser.BldNew.Thermal.HW.Oil.Oil_LiqBio</t>
  </si>
  <si>
    <t>TES_per_sqm.kWh.AT.Ser.BldNew.Thermal.HW.Gas.NG_Biogas</t>
  </si>
  <si>
    <t>TES_per_sqm.kWh.AT.Ser.BldNew.Thermal.HW.Biomass.Biomass_Waste</t>
  </si>
  <si>
    <t>TES_per_sqm.kWh.AT.Ser.BldNew.Thermal.HW.DistrHeat.Steam_Distr</t>
  </si>
  <si>
    <t>TES_per_sqm.kWh.AT.Ser.BldNew.Thermal.HW.Elc.Elec</t>
  </si>
  <si>
    <t>TES_per_sqm.kWh.AT.Ser.BldNew.Thermal.HW.TotalSolar.Solar</t>
  </si>
  <si>
    <t>TES_per_sqm.kWh.AT.Ser.BldNew.Thermal.CA</t>
  </si>
  <si>
    <t>TES_per_sqm.kWh.AT.Ser.BldNew.Thermal.CA.LPG</t>
  </si>
  <si>
    <t>TES_per_sqm.kWh.AT.Ser.BldNew.Thermal.CA.Gas.NG_Biogas</t>
  </si>
  <si>
    <t>TES_per_sqm.kWh.AT.Ser.BldNew.Thermal.CA.Biomass.Biomass_Waste</t>
  </si>
  <si>
    <t>TES_per_sqm.kWh.AT.Ser.BldNew.Thermal.CA.Elc.Elec</t>
  </si>
  <si>
    <t>AT - CO2 emissions in new and renovated buildings per surface area</t>
  </si>
  <si>
    <t>EMI_per_sqm.kgCO2.AT.Ser.BldNew.Thermal</t>
  </si>
  <si>
    <t>EMI_per_sqm.kgCO2.AT.Ser.BldNew.Thermal.SH</t>
  </si>
  <si>
    <t>EMI_per_sqm.kgCO2.AT.Ser.BldNew.Thermal.SH.Solids.Solids</t>
  </si>
  <si>
    <t>EMI_per_sqm.kgCO2.AT.Ser.BldNew.Thermal.SH.LPG.LPG</t>
  </si>
  <si>
    <t>EMI_per_sqm.kgCO2.AT.Ser.BldNew.Thermal.SH.Oil.Oil_LiqBio</t>
  </si>
  <si>
    <t>EMI_per_sqm.kgCO2.AT.Ser.BldNew.Thermal.SH.GasHP.NG_Biogas</t>
  </si>
  <si>
    <t>EMI_per_sqm.kgCO2.AT.Ser.BldNew.Thermal.SH.GasTH.NG_Biogas</t>
  </si>
  <si>
    <t>EMI_per_sqm.kgCO2.AT.Ser.BldNew.Thermal.SH.Biomass.Biomass_Waste</t>
  </si>
  <si>
    <t>EMI_per_sqm.kgCO2.AT.Ser.BldNew.Thermal.SH.Geo.Geo</t>
  </si>
  <si>
    <t>EMI_per_sqm.kgCO2.AT.Ser.BldNew.Thermal.SH.DistrHeat.Steam_Distr</t>
  </si>
  <si>
    <t>EMI_per_sqm.kgCO2.AT.Ser.BldNew.Thermal.SH.AdvElc.Elec</t>
  </si>
  <si>
    <t>EMI_per_sqm.kgCO2.AT.Ser.BldNew.Thermal.SH.ConvElc.Elec</t>
  </si>
  <si>
    <t>EMI_per_sqm.kgCO2.AT.Ser.BldNew.Thermal.SH.TotalCirculation.Elec</t>
  </si>
  <si>
    <t>EMI_per_sqm.kgCO2.AT.Ser.BldNew.Thermal.SC</t>
  </si>
  <si>
    <t>EMI_per_sqm.kgCO2.AT.Ser.BldNew.Thermal.SC.GasHP.NG_Biogas</t>
  </si>
  <si>
    <t>EMI_per_sqm.kgCO2.AT.Ser.BldNew.Thermal.SC.AC.Elec</t>
  </si>
  <si>
    <t>EMI_per_sqm.kgCO2.AT.Ser.BldNew.Thermal.HW</t>
  </si>
  <si>
    <t>EMI_per_sqm.kgCO2.AT.Ser.BldNew.Thermal.HW.Solids.Solids</t>
  </si>
  <si>
    <t>EMI_per_sqm.kgCO2.AT.Ser.BldNew.Thermal.HW.LPG.LPG</t>
  </si>
  <si>
    <t>EMI_per_sqm.kgCO2.AT.Ser.BldNew.Thermal.HW.Oil.Oil_LiqBio</t>
  </si>
  <si>
    <t>EMI_per_sqm.kgCO2.AT.Ser.BldNew.Thermal.HW.Gas.NG_Biogas</t>
  </si>
  <si>
    <t>EMI_per_sqm.kgCO2.AT.Ser.BldNew.Thermal.HW.Biomass.Biomass_Waste</t>
  </si>
  <si>
    <t>EMI_per_sqm.kgCO2.AT.Ser.BldNew.Thermal.HW.DistrHeat.Steam_Distr</t>
  </si>
  <si>
    <t>EMI_per_sqm.kgCO2.AT.Ser.BldNew.Thermal.HW.Elc.Elec</t>
  </si>
  <si>
    <t>EMI_per_sqm.kgCO2.AT.Ser.BldNew.Thermal.HW.TotalSolar.Solar</t>
  </si>
  <si>
    <t>EMI_per_sqm.kgCO2.AT.Ser.BldNew.Thermal.CA</t>
  </si>
  <si>
    <t>EMI_per_sqm.kgCO2.AT.Ser.BldNew.Thermal.CA.LPG</t>
  </si>
  <si>
    <t>EMI_per_sqm.kgCO2.AT.Ser.BldNew.Thermal.CA.Gas.NG_Biogas</t>
  </si>
  <si>
    <t>EMI_per_sqm.kgCO2.AT.Ser.BldNew.Thermal.CA.Biomass.Biomass_Waste</t>
  </si>
  <si>
    <t>EMI_per_sqm.kgCO2.AT.Ser.BldNew.Thermal.CA.Elc.Elec</t>
  </si>
  <si>
    <t>FEC.ktoe.AT.Ser.SEU.VE</t>
  </si>
  <si>
    <t>FEC.ktoe.AT.Ser.SEU.SL</t>
  </si>
  <si>
    <t>FEC.ktoe.AT.Ser.SEU.BL</t>
  </si>
  <si>
    <t>FEC.ktoe.AT.Ser.SEU.CR</t>
  </si>
  <si>
    <t>FEC.ktoe.AT.Ser.SEU.BT</t>
  </si>
  <si>
    <t>FEC.ktoe.AT.Ser.SEU.IT</t>
  </si>
  <si>
    <t>Size.MW.AT.Ser.SEU</t>
  </si>
  <si>
    <t>Size.MW.AT.Ser.SEU.VE</t>
  </si>
  <si>
    <t>Size.MW.AT.Ser.SEU.SL</t>
  </si>
  <si>
    <t>Size.MW.AT.Ser.SEU.BL</t>
  </si>
  <si>
    <t>Size.MW.AT.Ser.SEU.CR</t>
  </si>
  <si>
    <t>Size.MW.AT.Ser.SEU.BT</t>
  </si>
  <si>
    <t>Size.MW.AT.Ser.SEU.IT</t>
  </si>
  <si>
    <t>NUM.Msqm.AT.Ser.SEU.VE</t>
  </si>
  <si>
    <t>NUM.k.AT.Ser.SEU.SL</t>
  </si>
  <si>
    <t>NUM.M.AT.Ser.SEU.BL</t>
  </si>
  <si>
    <t>NUM.k.AT.Ser.SEU.CR</t>
  </si>
  <si>
    <t>NUM.Msqm.AT.Ser.SEU.BT</t>
  </si>
  <si>
    <t>NUM.k.AT.Ser.SEU.IT</t>
  </si>
  <si>
    <t>NUM.Msqm.AT.Ser.SEUnew.VE</t>
  </si>
  <si>
    <t>NUM.k.AT.Ser.SEUnew.SL</t>
  </si>
  <si>
    <t>NUM.M.AT.Ser.SEUnew.BL</t>
  </si>
  <si>
    <t>NUM.k.AT.Ser.SEUnew.CR</t>
  </si>
  <si>
    <t>NUM.Msqm.AT.Ser.SEUnew.BT</t>
  </si>
  <si>
    <t>NUM.k.AT.Ser.SEUnew.IT</t>
  </si>
  <si>
    <t>NUM.Msqm.AT.Ser.SEUrepl.VE</t>
  </si>
  <si>
    <t>NUM.k.AT.Ser.SEUrepl.SL</t>
  </si>
  <si>
    <t>NUM.M.AT.Ser.SEUrepl.BL</t>
  </si>
  <si>
    <t>NUM.k.AT.Ser.SEUrepl.CR</t>
  </si>
  <si>
    <t>NUM.Msqm.AT.Ser.SEUrepl.BT</t>
  </si>
  <si>
    <t>NUM.k.AT.Ser.SEUrepl.IT</t>
  </si>
  <si>
    <t>Op.hours.AT.Ser.SEU.VE</t>
  </si>
  <si>
    <t>Op.hours.AT.Ser.SEU.SL</t>
  </si>
  <si>
    <t>Op.hours.AT.Ser.SEU.BL</t>
  </si>
  <si>
    <t>Op.hours.AT.Ser.SEU.CR</t>
  </si>
  <si>
    <t>Op.hours.AT.Ser.SEU.BT</t>
  </si>
  <si>
    <t>Op.hours.AT.Ser.SEU.IT</t>
  </si>
  <si>
    <t>Size_per_appl.W.AT.Ser.SEU.VE</t>
  </si>
  <si>
    <t>Size_per_appl.W.AT.Ser.SEU.SL</t>
  </si>
  <si>
    <t>Size_per_appl.W.AT.Ser.SEU.BL</t>
  </si>
  <si>
    <t>Size_per_appl.W.AT.Ser.SEU.CR</t>
  </si>
  <si>
    <t>Size_per_appl.W.AT.Ser.SEU.BT</t>
  </si>
  <si>
    <t>Size_per_appl.W.AT.Ser.SEU.IT</t>
  </si>
  <si>
    <t>Size_per_appl.W.AT.Ser.SEUnew.VE</t>
  </si>
  <si>
    <t>Size_per_appl.W.AT.Ser.SEUnew.SL</t>
  </si>
  <si>
    <t>Size_per_appl.W.AT.Ser.SEUnew.BL</t>
  </si>
  <si>
    <t>Size_per_appl.W.AT.Ser.SEUnew.CR</t>
  </si>
  <si>
    <t>Size_per_appl.W.AT.Ser.SEUnew.BT</t>
  </si>
  <si>
    <t>Size_per_appl.W.AT.Ser.SEUnew.IT</t>
  </si>
  <si>
    <t>NUM.sqm_per_building.AT.Ser.SEU.VE</t>
  </si>
  <si>
    <t>NUM.number_per_capita.AT.Ser.SEU.SL</t>
  </si>
  <si>
    <t>NUM.number_per_building.AT.Ser.SEU.BL</t>
  </si>
  <si>
    <t>NUM.number_per_capita.AT.Ser.SEU.CR</t>
  </si>
  <si>
    <t>NUM.sqm_per_building.AT.Ser.SEU.BT</t>
  </si>
  <si>
    <t>NUM.number_per_capita.AT.Ser.SEU.IT</t>
  </si>
  <si>
    <t>Lumens_per_sqm.lumen.AT.Ser.SEU.BL</t>
  </si>
  <si>
    <t>AT - Services / specific electric uses</t>
  </si>
  <si>
    <t>AT - Ventilation and others</t>
  </si>
  <si>
    <t>AT - Street lighting</t>
  </si>
  <si>
    <t>AT - Building lighting</t>
  </si>
  <si>
    <t>AT - Commercial refrigeration</t>
  </si>
  <si>
    <t>AT - Miscellaneous building technologies</t>
  </si>
  <si>
    <t>AT - ICT and multimedia</t>
  </si>
  <si>
    <t>AT - Agriculture, forestry and fishing</t>
  </si>
  <si>
    <t>VA.Meuro2015.AT.AGR.AGR</t>
  </si>
  <si>
    <t>OUTPUT.index.AT.AGR.AGR</t>
  </si>
  <si>
    <t>CAP.index.AT.AGR.AGR</t>
  </si>
  <si>
    <t>NEWCAP.index.AT.AGR.AGR</t>
  </si>
  <si>
    <t>CAPOUT.index.AT.AGR.AGR</t>
  </si>
  <si>
    <t>CAPIDLE.index.AT.AGR.AGR</t>
  </si>
  <si>
    <t>FEC.ktoe.AT.ES.AGR</t>
  </si>
  <si>
    <t>FEC.ktoe.AT.ES.AGR.Solids</t>
  </si>
  <si>
    <t>FEC.ktoe.AT.ES.AGR.LPG</t>
  </si>
  <si>
    <t>FEC.ktoe.AT.ES.AGR.Diesel</t>
  </si>
  <si>
    <t>FEC.ktoe.AT.ES.AGR.RFO</t>
  </si>
  <si>
    <t>FEC.ktoe.AT.ES.AGR.NG</t>
  </si>
  <si>
    <t>FEC.ktoe.AT.ES.AGR.Biomass_Waste</t>
  </si>
  <si>
    <t>FEC.ktoe.AT.ES.AGR.Biogas</t>
  </si>
  <si>
    <t>FEC.ktoe.AT.ES.AGR.LiqBio</t>
  </si>
  <si>
    <t>FEC.ktoe.AT.ES.AGR.Solar</t>
  </si>
  <si>
    <t>FEC.ktoe.AT.ES.AGR.Geo</t>
  </si>
  <si>
    <t>FEC.ktoe.AT.ES.AGR.Ambient</t>
  </si>
  <si>
    <t>FEC.ktoe.AT.ES.AGR.Steam_Distr</t>
  </si>
  <si>
    <t>FEC.ktoe.AT.ES.AGR.Elec</t>
  </si>
  <si>
    <t>AT - Agriculture, forestry and fishing / final energy consumption</t>
  </si>
  <si>
    <t>FEC.ktoe.AT.AGR.AGR.LIGHT.GENERIC.ELEC</t>
  </si>
  <si>
    <t>FEC.ktoe.AT.AGR.AGR.FANS.GENERIC.ELEC</t>
  </si>
  <si>
    <t>FEC.ktoe.AT.AGR.AGR.MOTOR.GENERIC.ELEC</t>
  </si>
  <si>
    <t>FEC.ktoe.AT.AGR.AGR.LOW_ENTH.THERM.DIESEL_LIQBIO</t>
  </si>
  <si>
    <t>FEC.ktoe.AT.AGR.AGR.LOW_ENTH.THERM.NG_BIOGAS</t>
  </si>
  <si>
    <t>FEC.ktoe.AT.AGR.AGR.LOW_ENTH.THERM.SOLAR_GEO</t>
  </si>
  <si>
    <t>FEC.ktoe.AT.AGR.AGR.LOW_ENTH.HP.AMBIENT</t>
  </si>
  <si>
    <t>FEC.ktoe.AT.AGR.AGR.LOW_ENTH.THERM.STEAM_DISTR</t>
  </si>
  <si>
    <t>FEC.ktoe.AT.AGR.AGR.LOW_ENTH.THERM.ELEC</t>
  </si>
  <si>
    <t>FEC.ktoe.AT.AGR.AGR.FARM_DRIVES.MECH.DIESEL_LIQBIO</t>
  </si>
  <si>
    <t>FEC.ktoe.AT.AGR.AGR.HEAT_USE.THERM.SOLIDS</t>
  </si>
  <si>
    <t>FEC.ktoe.AT.AGR.AGR.HEAT_USE.THERM.LPG</t>
  </si>
  <si>
    <t>FEC.ktoe.AT.AGR.AGR.HEAT_USE.THERM.DIESEL_LIQBIO</t>
  </si>
  <si>
    <t>FEC.ktoe.AT.AGR.AGR.HEAT_USE.THERM.RFO</t>
  </si>
  <si>
    <t>FEC.ktoe.AT.AGR.AGR.HEAT_USE.THERM.NG_BIOGAS</t>
  </si>
  <si>
    <t>FEC.ktoe.AT.AGR.AGR.HEAT_USE.THERM.BIOMASS_WASTE</t>
  </si>
  <si>
    <t>FEC.ktoe.AT.AGR.AGR.HEAT_USE.THERM.SOLAR_GEO</t>
  </si>
  <si>
    <t>FEC.ktoe.AT.AGR.AGR.FARM_PUMP.MECH.DIESEL_LIQBIO</t>
  </si>
  <si>
    <t>FEC.ktoe.AT.AGR.AGR.FARM_PUMP_ELEC.MECH.ELEC</t>
  </si>
  <si>
    <t>FEC.ktoe.AT.AGR.AGR.GENERIC.MECH.ELEC</t>
  </si>
  <si>
    <t>AT - Agriculture, forestry and fishing / useful energy demand</t>
  </si>
  <si>
    <t>UED.ktoe.AT.AGR.AGR.LIGHT.GENERIC.ELEC</t>
  </si>
  <si>
    <t>UED.ktoe.AT.AGR.AGR.FANS.GENERIC.ELEC</t>
  </si>
  <si>
    <t>UED.ktoe.AT.AGR.AGR.MOTOR.GENERIC.ELEC</t>
  </si>
  <si>
    <t>UED.ktoe.AT.AGR.AGR.LOW_ENTH.THERM.DIESEL_LIQBIO</t>
  </si>
  <si>
    <t>UED.ktoe.AT.AGR.AGR.LOW_ENTH.THERM.NG_BIOGAS</t>
  </si>
  <si>
    <t>UED.ktoe.AT.AGR.AGR.LOW_ENTH.THERM.SOLAR_GEO</t>
  </si>
  <si>
    <t>UED.ktoe.AT.AGR.AGR.LOW_ENTH.HP.AMBIENT</t>
  </si>
  <si>
    <t>UED.ktoe.AT.AGR.AGR.LOW_ENTH.THERM.STEAM_DISTR</t>
  </si>
  <si>
    <t>UED.ktoe.AT.AGR.AGR.LOW_ENTH.THERM.ELEC</t>
  </si>
  <si>
    <t>UED.ktoe.AT.AGR.AGR.FARM_DRIVES.MECH.DIESEL_LIQBIO</t>
  </si>
  <si>
    <t>UED.ktoe.AT.AGR.AGR.HEAT_USE.THERM.SOLIDS</t>
  </si>
  <si>
    <t>UED.ktoe.AT.AGR.AGR.HEAT_USE.THERM.LPG</t>
  </si>
  <si>
    <t>UED.ktoe.AT.AGR.AGR.HEAT_USE.THERM.DIESEL_LIQBIO</t>
  </si>
  <si>
    <t>UED.ktoe.AT.AGR.AGR.HEAT_USE.THERM.RFO</t>
  </si>
  <si>
    <t>UED.ktoe.AT.AGR.AGR.HEAT_USE.THERM.NG_BIOGAS</t>
  </si>
  <si>
    <t>UED.ktoe.AT.AGR.AGR.HEAT_USE.THERM.BIOMASS_WASTE</t>
  </si>
  <si>
    <t>UED.ktoe.AT.AGR.AGR.HEAT_USE.THERM.SOLAR_GEO</t>
  </si>
  <si>
    <t>UED.ktoe.AT.AGR.AGR.FARM_PUMP.MECH.DIESEL_LIQBIO</t>
  </si>
  <si>
    <t>UED.ktoe.AT.AGR.AGR.FARM_PUMP_ELEC.MECH.ELEC</t>
  </si>
  <si>
    <t>UED.ktoe.AT.AGR.AGR.GENERIC.MECH.ELEC</t>
  </si>
  <si>
    <t>AT - Agriculture, forestry and fishing / CO2 emissions</t>
  </si>
  <si>
    <t>FUEL_EMI.ktCO2.AT.AGR.AGR.LIGHT.GENERIC.ELEC</t>
  </si>
  <si>
    <t>FUEL_EMI.ktCO2.AT.AGR.AGR.FANS.GENERIC.ELEC</t>
  </si>
  <si>
    <t>FUEL_EMI.ktCO2.AT.AGR.AGR.MOTOR.GENERIC.ELEC</t>
  </si>
  <si>
    <t>FUEL_EMI.ktCO2.AT.AGR.AGR.LOW_ENTH.THERM.DIESEL_LIQBIO</t>
  </si>
  <si>
    <t>FUEL_EMI.ktCO2.AT.AGR.AGR.LOW_ENTH.THERM.NG_BIOGAS</t>
  </si>
  <si>
    <t>FUEL_EMI.ktCO2.AT.AGR.AGR.LOW_ENTH.THERM.SOLAR_GEO</t>
  </si>
  <si>
    <t>FUEL_EMI.ktCO2.AT.AGR.AGR.LOW_ENTH.HP.AMBIENT</t>
  </si>
  <si>
    <t>FUEL_EMI.ktCO2.AT.AGR.AGR.LOW_ENTH.THERM.STEAM_DISTR</t>
  </si>
  <si>
    <t>FUEL_EMI.ktCO2.AT.AGR.AGR.LOW_ENTH.THERM.ELEC</t>
  </si>
  <si>
    <t>FUEL_EMI.ktCO2.AT.AGR.AGR.FARM_DRIVES.MECH.DIESEL_LIQBIO</t>
  </si>
  <si>
    <t>FUEL_EMI.ktCO2.AT.AGR.AGR.HEAT_USE.THERM.SOLIDS</t>
  </si>
  <si>
    <t>FUEL_EMI.ktCO2.AT.AGR.AGR.HEAT_USE.THERM.LPG</t>
  </si>
  <si>
    <t>FUEL_EMI.ktCO2.AT.AGR.AGR.HEAT_USE.THERM.DIESEL_LIQBIO</t>
  </si>
  <si>
    <t>FUEL_EMI.ktCO2.AT.AGR.AGR.HEAT_USE.THERM.RFO</t>
  </si>
  <si>
    <t>FUEL_EMI.ktCO2.AT.AGR.AGR.HEAT_USE.THERM.NG_BIOGAS</t>
  </si>
  <si>
    <t>FUEL_EMI.ktCO2.AT.AGR.AGR.HEAT_USE.THERM.BIOMASS_WASTE</t>
  </si>
  <si>
    <t>FUEL_EMI.ktCO2.AT.AGR.AGR.HEAT_USE.THERM.SOLAR_GEO</t>
  </si>
  <si>
    <t>FUEL_EMI.ktCO2.AT.AGR.AGR.FARM_PUMP.MECH.DIESEL_LIQBIO</t>
  </si>
  <si>
    <t>FUEL_EMI.ktCO2.AT.AGR.AGR.FARM_PUMP_ELEC.MECH.ELEC</t>
  </si>
  <si>
    <t>FUEL_EMI.ktCO2.AT.AGR.AGR.GENERIC.MECH.ELEC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</si>
</sst>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45432.781886574077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8002186</v>
      </c>
      <c r="C3" s="34">
        <v>8020946</v>
      </c>
      <c r="D3" s="34">
        <v>8063640</v>
      </c>
      <c r="E3" s="34">
        <v>8100273</v>
      </c>
      <c r="F3" s="34">
        <v>8142573</v>
      </c>
      <c r="G3" s="34">
        <v>8201359</v>
      </c>
      <c r="H3" s="34">
        <v>8254298</v>
      </c>
      <c r="I3" s="34">
        <v>8282984</v>
      </c>
      <c r="J3" s="34">
        <v>8307989</v>
      </c>
      <c r="K3" s="34">
        <v>8335003</v>
      </c>
      <c r="L3" s="34">
        <v>8351643</v>
      </c>
      <c r="M3" s="34">
        <v>8375164</v>
      </c>
      <c r="N3" s="34">
        <v>8408121</v>
      </c>
      <c r="O3" s="34">
        <v>8451860</v>
      </c>
      <c r="P3" s="34">
        <v>8507786</v>
      </c>
      <c r="Q3" s="34">
        <v>8584926</v>
      </c>
      <c r="R3" s="34">
        <v>8700471</v>
      </c>
      <c r="S3" s="34">
        <v>8772865</v>
      </c>
      <c r="T3" s="34">
        <v>8822267</v>
      </c>
      <c r="U3" s="34">
        <v>8858775</v>
      </c>
      <c r="V3" s="34">
        <v>8901064</v>
      </c>
      <c r="W3" s="34">
        <v>8932664</v>
      </c>
      <c r="DA3" s="88" t="s">
        <v>187</v>
      </c>
    </row>
    <row r="4" spans="1:105" ht="12" customHeight="1" x14ac:dyDescent="0.25">
      <c r="A4" s="35" t="s">
        <v>178</v>
      </c>
      <c r="B4" s="36">
        <v>280478.08503374562</v>
      </c>
      <c r="C4" s="36">
        <v>284031.76156927395</v>
      </c>
      <c r="D4" s="36">
        <v>288720.632616419</v>
      </c>
      <c r="E4" s="36">
        <v>291438.32172754465</v>
      </c>
      <c r="F4" s="36">
        <v>299409.82431864797</v>
      </c>
      <c r="G4" s="36">
        <v>306129.2110463155</v>
      </c>
      <c r="H4" s="36">
        <v>316704.70401816332</v>
      </c>
      <c r="I4" s="36">
        <v>328507.14327028749</v>
      </c>
      <c r="J4" s="36">
        <v>333305.23282200244</v>
      </c>
      <c r="K4" s="36">
        <v>320758.12073362211</v>
      </c>
      <c r="L4" s="36">
        <v>326650.76999503229</v>
      </c>
      <c r="M4" s="36">
        <v>336197.45029594778</v>
      </c>
      <c r="N4" s="36">
        <v>338484.82595256052</v>
      </c>
      <c r="O4" s="36">
        <v>338573.83269397612</v>
      </c>
      <c r="P4" s="36">
        <v>340810.9379955192</v>
      </c>
      <c r="Q4" s="36">
        <v>344269.2</v>
      </c>
      <c r="R4" s="36">
        <v>351119.3150577331</v>
      </c>
      <c r="S4" s="36">
        <v>359049.98444669106</v>
      </c>
      <c r="T4" s="36">
        <v>367757.79616849456</v>
      </c>
      <c r="U4" s="36">
        <v>373090.33518713363</v>
      </c>
      <c r="V4" s="36">
        <v>348342.82944495761</v>
      </c>
      <c r="W4" s="36">
        <v>363106.51947958855</v>
      </c>
      <c r="DA4" s="89" t="s">
        <v>188</v>
      </c>
    </row>
    <row r="5" spans="1:105" ht="12" customHeight="1" x14ac:dyDescent="0.25">
      <c r="A5" s="35" t="s">
        <v>147</v>
      </c>
      <c r="B5" s="36">
        <v>164752.39284228047</v>
      </c>
      <c r="C5" s="36">
        <v>167317.00784388752</v>
      </c>
      <c r="D5" s="36">
        <v>172528.52094901563</v>
      </c>
      <c r="E5" s="36">
        <v>174464.07435555608</v>
      </c>
      <c r="F5" s="36">
        <v>179770.3990653631</v>
      </c>
      <c r="G5" s="36">
        <v>185293.83435472025</v>
      </c>
      <c r="H5" s="36">
        <v>191912.29416278109</v>
      </c>
      <c r="I5" s="36">
        <v>197968.44660194175</v>
      </c>
      <c r="J5" s="36">
        <v>203517.99925074072</v>
      </c>
      <c r="K5" s="36">
        <v>199129.19224268303</v>
      </c>
      <c r="L5" s="36">
        <v>203381.18303891603</v>
      </c>
      <c r="M5" s="36">
        <v>209892.30250931895</v>
      </c>
      <c r="N5" s="36">
        <v>210404.26415616777</v>
      </c>
      <c r="O5" s="36">
        <v>211519.00590922422</v>
      </c>
      <c r="P5" s="36">
        <v>213808.79701712696</v>
      </c>
      <c r="Q5" s="36">
        <v>216478.59999999998</v>
      </c>
      <c r="R5" s="36">
        <v>219720.28932879254</v>
      </c>
      <c r="S5" s="36">
        <v>224675.94213043983</v>
      </c>
      <c r="T5" s="36">
        <v>231209.79521695548</v>
      </c>
      <c r="U5" s="36">
        <v>235343.53080368464</v>
      </c>
      <c r="V5" s="36">
        <v>219391.74900645346</v>
      </c>
      <c r="W5" s="36">
        <v>224043.10774267011</v>
      </c>
      <c r="DA5" s="89" t="s">
        <v>189</v>
      </c>
    </row>
    <row r="6" spans="1:105" ht="12" customHeight="1" x14ac:dyDescent="0.25">
      <c r="A6" s="37" t="s">
        <v>70</v>
      </c>
      <c r="B6" s="38">
        <v>2567800</v>
      </c>
      <c r="C6" s="38">
        <v>2607580</v>
      </c>
      <c r="D6" s="38">
        <v>2631650</v>
      </c>
      <c r="E6" s="38">
        <v>2661660</v>
      </c>
      <c r="F6" s="38">
        <v>2698609.9999999995</v>
      </c>
      <c r="G6" s="38">
        <v>2757960</v>
      </c>
      <c r="H6" s="38">
        <v>2830650</v>
      </c>
      <c r="I6" s="38">
        <v>2885540</v>
      </c>
      <c r="J6" s="38">
        <v>2952979.9999999995</v>
      </c>
      <c r="K6" s="38">
        <v>2958990.0000000005</v>
      </c>
      <c r="L6" s="38">
        <v>3005879.9999999995</v>
      </c>
      <c r="M6" s="38">
        <v>3059589.9999999991</v>
      </c>
      <c r="N6" s="38">
        <v>3104960</v>
      </c>
      <c r="O6" s="38">
        <v>3127710</v>
      </c>
      <c r="P6" s="38">
        <v>3158439.9999999995</v>
      </c>
      <c r="Q6" s="38">
        <v>3194550</v>
      </c>
      <c r="R6" s="38">
        <v>3248390</v>
      </c>
      <c r="S6" s="38">
        <v>3309550</v>
      </c>
      <c r="T6" s="38">
        <v>3368399.9999999995</v>
      </c>
      <c r="U6" s="38">
        <v>3404710</v>
      </c>
      <c r="V6" s="38">
        <v>3335010</v>
      </c>
      <c r="W6" s="38">
        <v>3405680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149147.3155689839</v>
      </c>
      <c r="C8" s="34">
        <v>150261.16334450181</v>
      </c>
      <c r="D8" s="34">
        <v>151907.70073731837</v>
      </c>
      <c r="E8" s="34">
        <v>153093.98810793067</v>
      </c>
      <c r="F8" s="34">
        <v>155579.83653696431</v>
      </c>
      <c r="G8" s="34">
        <v>158263.50939708049</v>
      </c>
      <c r="H8" s="34">
        <v>161920.53510000004</v>
      </c>
      <c r="I8" s="34">
        <v>165550.84057811293</v>
      </c>
      <c r="J8" s="34">
        <v>167503.82728505548</v>
      </c>
      <c r="K8" s="34">
        <v>164440.58190503105</v>
      </c>
      <c r="L8" s="34">
        <v>166453.29305734168</v>
      </c>
      <c r="M8" s="34">
        <v>167927.9243021211</v>
      </c>
      <c r="N8" s="34">
        <v>168502.1392194673</v>
      </c>
      <c r="O8" s="34">
        <v>169219.05927293067</v>
      </c>
      <c r="P8" s="34">
        <v>170206.37438892707</v>
      </c>
      <c r="Q8" s="34">
        <v>171531.14438979677</v>
      </c>
      <c r="R8" s="34">
        <v>173933.82271248204</v>
      </c>
      <c r="S8" s="34">
        <v>176510.50732311525</v>
      </c>
      <c r="T8" s="34">
        <v>179060.47440056605</v>
      </c>
      <c r="U8" s="34">
        <v>181300.55305789507</v>
      </c>
      <c r="V8" s="34">
        <v>183453.24333333332</v>
      </c>
      <c r="W8" s="34">
        <v>185509.74085919355</v>
      </c>
      <c r="DA8" s="88" t="s">
        <v>191</v>
      </c>
    </row>
    <row r="9" spans="1:105" ht="12" customHeight="1" x14ac:dyDescent="0.25">
      <c r="A9" s="39" t="s">
        <v>68</v>
      </c>
      <c r="B9" s="40">
        <v>134232.58401208551</v>
      </c>
      <c r="C9" s="40">
        <v>135235.04701005161</v>
      </c>
      <c r="D9" s="40">
        <v>136716.93066358654</v>
      </c>
      <c r="E9" s="40">
        <v>137784.5892971376</v>
      </c>
      <c r="F9" s="40">
        <v>140021.85288326789</v>
      </c>
      <c r="G9" s="40">
        <v>142437.15845737245</v>
      </c>
      <c r="H9" s="40">
        <v>145728.48159000004</v>
      </c>
      <c r="I9" s="40">
        <v>148995.75652030166</v>
      </c>
      <c r="J9" s="40">
        <v>150753.44455654992</v>
      </c>
      <c r="K9" s="40">
        <v>147996.52371452795</v>
      </c>
      <c r="L9" s="40">
        <v>149807.96375160752</v>
      </c>
      <c r="M9" s="40">
        <v>151135.13187190899</v>
      </c>
      <c r="N9" s="40">
        <v>151651.92529752056</v>
      </c>
      <c r="O9" s="40">
        <v>152297.15334563761</v>
      </c>
      <c r="P9" s="40">
        <v>153185.73695003436</v>
      </c>
      <c r="Q9" s="40">
        <v>154378.02995081709</v>
      </c>
      <c r="R9" s="40">
        <v>156540.44044123383</v>
      </c>
      <c r="S9" s="40">
        <v>158859.45659080372</v>
      </c>
      <c r="T9" s="40">
        <v>161154.42696050945</v>
      </c>
      <c r="U9" s="40">
        <v>163170.49775210556</v>
      </c>
      <c r="V9" s="40">
        <v>165107.91899999999</v>
      </c>
      <c r="W9" s="40">
        <v>166958.7667732742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1710.5999254616538</v>
      </c>
      <c r="D10" s="41">
        <v>2247.5588347711187</v>
      </c>
      <c r="E10" s="41">
        <v>1793.9499334723828</v>
      </c>
      <c r="F10" s="41">
        <v>3098.2546496834671</v>
      </c>
      <c r="G10" s="41">
        <v>3306.040762124363</v>
      </c>
      <c r="H10" s="41">
        <v>4290.3040178439987</v>
      </c>
      <c r="I10" s="41">
        <v>4277.8147664064354</v>
      </c>
      <c r="J10" s="41">
        <v>2615.2013343841027</v>
      </c>
      <c r="K10" s="41">
        <v>669.80447990512414</v>
      </c>
      <c r="L10" s="41">
        <v>2670.6564877414862</v>
      </c>
      <c r="M10" s="41">
        <v>2140.6407984527791</v>
      </c>
      <c r="N10" s="41">
        <v>1245.9168603672074</v>
      </c>
      <c r="O10" s="41">
        <v>1390.9938253792486</v>
      </c>
      <c r="P10" s="41">
        <v>1664.2350825860692</v>
      </c>
      <c r="Q10" s="41">
        <v>2005.4848936911064</v>
      </c>
      <c r="R10" s="41">
        <v>3282.3252169919192</v>
      </c>
      <c r="S10" s="41">
        <v>3468.6529322356882</v>
      </c>
      <c r="T10" s="41">
        <v>3455.1491662872477</v>
      </c>
      <c r="U10" s="41">
        <v>3158.3375004088807</v>
      </c>
      <c r="V10" s="41">
        <v>3082.4367013761698</v>
      </c>
      <c r="W10" s="41">
        <v>2997.2833891080672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1539.5399329154884</v>
      </c>
      <c r="D11" s="42">
        <v>2022.8029512940068</v>
      </c>
      <c r="E11" s="42">
        <v>1614.5549401251444</v>
      </c>
      <c r="F11" s="42">
        <v>2788.4291847151203</v>
      </c>
      <c r="G11" s="42">
        <v>2975.4366859119268</v>
      </c>
      <c r="H11" s="42">
        <v>3861.2736160595991</v>
      </c>
      <c r="I11" s="42">
        <v>3850.0332897657922</v>
      </c>
      <c r="J11" s="42">
        <v>2353.6812009456921</v>
      </c>
      <c r="K11" s="42">
        <v>602.82403191461174</v>
      </c>
      <c r="L11" s="42">
        <v>2403.5908389673373</v>
      </c>
      <c r="M11" s="42">
        <v>1926.5767186075011</v>
      </c>
      <c r="N11" s="42">
        <v>1121.3251743304868</v>
      </c>
      <c r="O11" s="42">
        <v>1251.8944428413238</v>
      </c>
      <c r="P11" s="42">
        <v>1497.8115743274623</v>
      </c>
      <c r="Q11" s="42">
        <v>1804.936404321996</v>
      </c>
      <c r="R11" s="42">
        <v>2954.0926952927275</v>
      </c>
      <c r="S11" s="42">
        <v>3121.7876390121196</v>
      </c>
      <c r="T11" s="42">
        <v>3109.634249658523</v>
      </c>
      <c r="U11" s="42">
        <v>2842.5037503679923</v>
      </c>
      <c r="V11" s="42">
        <v>2774.193031238553</v>
      </c>
      <c r="W11" s="42">
        <v>2697.5550501972602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3408.97</v>
      </c>
      <c r="C13" s="43">
        <v>3747.09</v>
      </c>
      <c r="D13" s="43">
        <v>3480.79</v>
      </c>
      <c r="E13" s="43">
        <v>3703.61</v>
      </c>
      <c r="F13" s="43">
        <v>3737.74</v>
      </c>
      <c r="G13" s="43">
        <v>3853.61</v>
      </c>
      <c r="H13" s="43">
        <v>3649.35</v>
      </c>
      <c r="I13" s="43">
        <v>3363.28</v>
      </c>
      <c r="J13" s="43">
        <v>3444.43</v>
      </c>
      <c r="K13" s="43">
        <v>3504.84</v>
      </c>
      <c r="L13" s="43">
        <v>3905.88</v>
      </c>
      <c r="M13" s="43">
        <v>3409.28</v>
      </c>
      <c r="N13" s="43">
        <v>3552.85</v>
      </c>
      <c r="O13" s="43">
        <v>3635.43</v>
      </c>
      <c r="P13" s="43">
        <v>3126.98</v>
      </c>
      <c r="Q13" s="43">
        <v>3316.42</v>
      </c>
      <c r="R13" s="43">
        <v>3419.3</v>
      </c>
      <c r="S13" s="43">
        <v>3498.07</v>
      </c>
      <c r="T13" s="43">
        <v>3193.65</v>
      </c>
      <c r="U13" s="43">
        <v>3279.5</v>
      </c>
      <c r="V13" s="43">
        <v>3322.79</v>
      </c>
      <c r="W13" s="43">
        <v>3633.44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3502.5647619047613</v>
      </c>
      <c r="C14" s="44">
        <f t="shared" ref="C14:W14" si="0">AVERAGE($B$13:$V$13)</f>
        <v>3502.5647619047613</v>
      </c>
      <c r="D14" s="44">
        <f t="shared" si="0"/>
        <v>3502.5647619047613</v>
      </c>
      <c r="E14" s="44">
        <f t="shared" si="0"/>
        <v>3502.5647619047613</v>
      </c>
      <c r="F14" s="44">
        <f t="shared" si="0"/>
        <v>3502.5647619047613</v>
      </c>
      <c r="G14" s="44">
        <f t="shared" si="0"/>
        <v>3502.5647619047613</v>
      </c>
      <c r="H14" s="44">
        <f t="shared" si="0"/>
        <v>3502.5647619047613</v>
      </c>
      <c r="I14" s="44">
        <f t="shared" si="0"/>
        <v>3502.5647619047613</v>
      </c>
      <c r="J14" s="44">
        <f t="shared" si="0"/>
        <v>3502.5647619047613</v>
      </c>
      <c r="K14" s="44">
        <f t="shared" si="0"/>
        <v>3502.5647619047613</v>
      </c>
      <c r="L14" s="44">
        <f t="shared" si="0"/>
        <v>3502.5647619047613</v>
      </c>
      <c r="M14" s="44">
        <f t="shared" si="0"/>
        <v>3502.5647619047613</v>
      </c>
      <c r="N14" s="44">
        <f t="shared" si="0"/>
        <v>3502.5647619047613</v>
      </c>
      <c r="O14" s="44">
        <f t="shared" si="0"/>
        <v>3502.5647619047613</v>
      </c>
      <c r="P14" s="44">
        <f t="shared" si="0"/>
        <v>3502.5647619047613</v>
      </c>
      <c r="Q14" s="44">
        <f t="shared" si="0"/>
        <v>3502.5647619047613</v>
      </c>
      <c r="R14" s="44">
        <f t="shared" si="0"/>
        <v>3502.5647619047613</v>
      </c>
      <c r="S14" s="44">
        <f t="shared" si="0"/>
        <v>3502.5647619047613</v>
      </c>
      <c r="T14" s="44">
        <f t="shared" si="0"/>
        <v>3502.5647619047613</v>
      </c>
      <c r="U14" s="44">
        <f t="shared" si="0"/>
        <v>3502.5647619047613</v>
      </c>
      <c r="V14" s="44">
        <f t="shared" si="0"/>
        <v>3502.5647619047613</v>
      </c>
      <c r="W14" s="44">
        <f t="shared" si="0"/>
        <v>3502.5647619047613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0.97327822088466887</v>
      </c>
      <c r="C15" s="46">
        <f t="shared" ref="C15:W15" si="1">C13/C14</f>
        <v>1.0698131953917853</v>
      </c>
      <c r="D15" s="46">
        <f t="shared" si="1"/>
        <v>0.99378319506277457</v>
      </c>
      <c r="E15" s="46">
        <f t="shared" si="1"/>
        <v>1.0573994349174878</v>
      </c>
      <c r="F15" s="46">
        <f t="shared" si="1"/>
        <v>1.0671437229806839</v>
      </c>
      <c r="G15" s="46">
        <f t="shared" si="1"/>
        <v>1.1002251955233895</v>
      </c>
      <c r="H15" s="46">
        <f t="shared" si="1"/>
        <v>1.0419079297809797</v>
      </c>
      <c r="I15" s="46">
        <f t="shared" si="1"/>
        <v>0.9602334942041113</v>
      </c>
      <c r="J15" s="46">
        <f t="shared" si="1"/>
        <v>0.98340223069190402</v>
      </c>
      <c r="K15" s="46">
        <f t="shared" si="1"/>
        <v>1.0006495920132541</v>
      </c>
      <c r="L15" s="46">
        <f t="shared" si="1"/>
        <v>1.1151485455691927</v>
      </c>
      <c r="M15" s="46">
        <f t="shared" si="1"/>
        <v>0.97336672745658781</v>
      </c>
      <c r="N15" s="46">
        <f t="shared" si="1"/>
        <v>1.0143566904578496</v>
      </c>
      <c r="O15" s="46">
        <f t="shared" si="1"/>
        <v>1.037933699196752</v>
      </c>
      <c r="P15" s="46">
        <f t="shared" si="1"/>
        <v>0.89276864599628092</v>
      </c>
      <c r="Q15" s="46">
        <f t="shared" si="1"/>
        <v>0.94685472659082759</v>
      </c>
      <c r="R15" s="46">
        <f t="shared" si="1"/>
        <v>0.976227488265062</v>
      </c>
      <c r="S15" s="46">
        <f t="shared" si="1"/>
        <v>0.99871672268457445</v>
      </c>
      <c r="T15" s="46">
        <f t="shared" si="1"/>
        <v>0.91180326906025067</v>
      </c>
      <c r="U15" s="46">
        <f t="shared" si="1"/>
        <v>0.9363138793803617</v>
      </c>
      <c r="V15" s="46">
        <f t="shared" si="1"/>
        <v>0.94867339389122485</v>
      </c>
      <c r="W15" s="46">
        <f t="shared" si="1"/>
        <v>1.0373655441060472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35050.183166667906</v>
      </c>
      <c r="C19" s="34">
        <f t="shared" si="2"/>
        <v>35411.254678597004</v>
      </c>
      <c r="D19" s="34">
        <f t="shared" ref="D19:W19" si="3">D4*1000000/D3</f>
        <v>35805.248326614157</v>
      </c>
      <c r="E19" s="34">
        <f t="shared" si="3"/>
        <v>35978.827099721784</v>
      </c>
      <c r="F19" s="34">
        <f t="shared" si="3"/>
        <v>36770.91065915503</v>
      </c>
      <c r="G19" s="34">
        <f t="shared" si="3"/>
        <v>37326.644406898355</v>
      </c>
      <c r="H19" s="34">
        <f t="shared" si="3"/>
        <v>38368.460166832279</v>
      </c>
      <c r="I19" s="34">
        <f t="shared" si="3"/>
        <v>39660.48265580224</v>
      </c>
      <c r="J19" s="34">
        <f t="shared" si="3"/>
        <v>40118.641565606602</v>
      </c>
      <c r="K19" s="34">
        <f t="shared" si="3"/>
        <v>38483.263981263372</v>
      </c>
      <c r="L19" s="34">
        <f t="shared" si="3"/>
        <v>39112.156733116142</v>
      </c>
      <c r="M19" s="34">
        <f t="shared" si="3"/>
        <v>40142.193071795104</v>
      </c>
      <c r="N19" s="34">
        <f t="shared" si="3"/>
        <v>40256.892824515795</v>
      </c>
      <c r="O19" s="34">
        <f t="shared" si="3"/>
        <v>40059.091453712688</v>
      </c>
      <c r="P19" s="34">
        <f t="shared" si="3"/>
        <v>40058.710691068067</v>
      </c>
      <c r="Q19" s="34">
        <f t="shared" si="3"/>
        <v>40101.592023041318</v>
      </c>
      <c r="R19" s="34">
        <f t="shared" si="3"/>
        <v>40356.357150978736</v>
      </c>
      <c r="S19" s="34">
        <f t="shared" si="3"/>
        <v>40927.334963742294</v>
      </c>
      <c r="T19" s="34">
        <f t="shared" si="3"/>
        <v>41685.180936883291</v>
      </c>
      <c r="U19" s="34">
        <f t="shared" si="3"/>
        <v>42115.341589230295</v>
      </c>
      <c r="V19" s="34">
        <f t="shared" si="3"/>
        <v>39134.965150790689</v>
      </c>
      <c r="W19" s="34">
        <f t="shared" si="3"/>
        <v>40649.297844359593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64160.913171695807</v>
      </c>
      <c r="C20" s="36">
        <f t="shared" si="4"/>
        <v>64165.627840329929</v>
      </c>
      <c r="D20" s="36">
        <f t="shared" ref="D20:W20" si="5">D5*1000000/D6</f>
        <v>65559.067865793564</v>
      </c>
      <c r="E20" s="36">
        <f t="shared" si="5"/>
        <v>65547.0925495954</v>
      </c>
      <c r="F20" s="36">
        <f t="shared" si="5"/>
        <v>66615.924148121863</v>
      </c>
      <c r="G20" s="36">
        <f t="shared" si="5"/>
        <v>67185.105786421933</v>
      </c>
      <c r="H20" s="36">
        <f t="shared" si="5"/>
        <v>67797.959536778159</v>
      </c>
      <c r="I20" s="36">
        <f t="shared" si="5"/>
        <v>68607.070635632059</v>
      </c>
      <c r="J20" s="36">
        <f t="shared" si="5"/>
        <v>68919.531879911403</v>
      </c>
      <c r="K20" s="36">
        <f t="shared" si="5"/>
        <v>67296.33835960344</v>
      </c>
      <c r="L20" s="36">
        <f t="shared" si="5"/>
        <v>67661.111900314078</v>
      </c>
      <c r="M20" s="36">
        <f t="shared" si="5"/>
        <v>68601.447419202901</v>
      </c>
      <c r="N20" s="36">
        <f t="shared" si="5"/>
        <v>67763.921002579023</v>
      </c>
      <c r="O20" s="36">
        <f t="shared" si="5"/>
        <v>67627.435378991082</v>
      </c>
      <c r="P20" s="36">
        <f t="shared" si="5"/>
        <v>67694.430483760021</v>
      </c>
      <c r="Q20" s="36">
        <f t="shared" si="5"/>
        <v>67764.974722574378</v>
      </c>
      <c r="R20" s="36">
        <f t="shared" si="5"/>
        <v>67639.750562214685</v>
      </c>
      <c r="S20" s="36">
        <f t="shared" si="5"/>
        <v>67887.157507951182</v>
      </c>
      <c r="T20" s="36">
        <f t="shared" si="5"/>
        <v>68640.836960264671</v>
      </c>
      <c r="U20" s="36">
        <f t="shared" si="5"/>
        <v>69122.929942251954</v>
      </c>
      <c r="V20" s="36">
        <f t="shared" si="5"/>
        <v>65784.435131065111</v>
      </c>
      <c r="W20" s="36">
        <f t="shared" si="5"/>
        <v>65785.131821741947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20588.423318613251</v>
      </c>
      <c r="C21" s="36">
        <f t="shared" si="6"/>
        <v>20860.009261237705</v>
      </c>
      <c r="D21" s="36">
        <f t="shared" ref="D21:W21" si="7">D5*1000000/D3</f>
        <v>21395.86104402176</v>
      </c>
      <c r="E21" s="36">
        <f t="shared" si="7"/>
        <v>21538.048699785315</v>
      </c>
      <c r="F21" s="36">
        <f t="shared" si="7"/>
        <v>22077.836952197187</v>
      </c>
      <c r="G21" s="36">
        <f t="shared" si="7"/>
        <v>22593.064680465792</v>
      </c>
      <c r="H21" s="36">
        <f t="shared" si="7"/>
        <v>23249.983725179427</v>
      </c>
      <c r="I21" s="36">
        <f t="shared" si="7"/>
        <v>23900.619221519893</v>
      </c>
      <c r="J21" s="36">
        <f t="shared" si="7"/>
        <v>24496.66209846218</v>
      </c>
      <c r="K21" s="36">
        <f t="shared" si="7"/>
        <v>23890.716325199046</v>
      </c>
      <c r="L21" s="36">
        <f t="shared" si="7"/>
        <v>24352.236205368936</v>
      </c>
      <c r="M21" s="36">
        <f t="shared" si="7"/>
        <v>25061.276711634415</v>
      </c>
      <c r="N21" s="36">
        <f t="shared" si="7"/>
        <v>25023.933903444988</v>
      </c>
      <c r="O21" s="36">
        <f t="shared" si="7"/>
        <v>25026.326265369305</v>
      </c>
      <c r="P21" s="36">
        <f t="shared" si="7"/>
        <v>25130.956163815939</v>
      </c>
      <c r="Q21" s="36">
        <f t="shared" si="7"/>
        <v>25216.128828600267</v>
      </c>
      <c r="R21" s="36">
        <f t="shared" si="7"/>
        <v>25253.838479410198</v>
      </c>
      <c r="S21" s="36">
        <f t="shared" si="7"/>
        <v>25610.327085899513</v>
      </c>
      <c r="T21" s="36">
        <f t="shared" si="7"/>
        <v>26207.52638941391</v>
      </c>
      <c r="U21" s="36">
        <f t="shared" si="7"/>
        <v>26566.148344854071</v>
      </c>
      <c r="V21" s="36">
        <f t="shared" si="7"/>
        <v>24647.811655601337</v>
      </c>
      <c r="W21" s="36">
        <f t="shared" si="7"/>
        <v>25081.331587382007</v>
      </c>
      <c r="DA21" s="89"/>
    </row>
    <row r="22" spans="1:105" ht="12" customHeight="1" x14ac:dyDescent="0.25">
      <c r="A22" s="51" t="s">
        <v>152</v>
      </c>
      <c r="B22" s="52">
        <v>1.415137555902241</v>
      </c>
      <c r="C22" s="52">
        <v>1.3973733290687935</v>
      </c>
      <c r="D22" s="52">
        <v>1.4059655153749608</v>
      </c>
      <c r="E22" s="52">
        <v>1.3996032612536931</v>
      </c>
      <c r="F22" s="52">
        <v>1.4018380171577267</v>
      </c>
      <c r="G22" s="52">
        <v>1.4061031967646054</v>
      </c>
      <c r="H22" s="52">
        <v>1.4061062848758519</v>
      </c>
      <c r="I22" s="52">
        <v>1.4027698185559361</v>
      </c>
      <c r="J22" s="52">
        <v>1.4190913642797303</v>
      </c>
      <c r="K22" s="52">
        <v>1.4157781005997094</v>
      </c>
      <c r="L22" s="52">
        <v>1.4238937923661672</v>
      </c>
      <c r="M22" s="52">
        <v>1.4380546553325113</v>
      </c>
      <c r="N22" s="52">
        <v>1.4402845440003429</v>
      </c>
      <c r="O22" s="52">
        <v>1.4349639972751616</v>
      </c>
      <c r="P22" s="52">
        <v>1.4223315886161101</v>
      </c>
      <c r="Q22" s="52">
        <v>1.4066664088724135</v>
      </c>
      <c r="R22" s="52">
        <v>1.3862635893494686</v>
      </c>
      <c r="S22" s="52">
        <v>1.3697163142583415</v>
      </c>
      <c r="T22" s="52">
        <v>1.3726644384958577</v>
      </c>
      <c r="U22" s="52">
        <v>1.3653992037653411</v>
      </c>
      <c r="V22" s="52">
        <v>1.3420258120169126</v>
      </c>
      <c r="W22" s="52">
        <v>1.296140356757171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17.216535143150708</v>
      </c>
      <c r="C23" s="53">
        <f t="shared" si="8"/>
        <v>17.353652413974963</v>
      </c>
      <c r="D23" s="53">
        <f t="shared" ref="D23:W23" si="9">D6/D8</f>
        <v>17.324006533090106</v>
      </c>
      <c r="E23" s="53">
        <f t="shared" si="9"/>
        <v>17.385790473519705</v>
      </c>
      <c r="F23" s="53">
        <f t="shared" si="9"/>
        <v>17.345499648721091</v>
      </c>
      <c r="G23" s="53">
        <f t="shared" si="9"/>
        <v>17.42637965319172</v>
      </c>
      <c r="H23" s="53">
        <f t="shared" si="9"/>
        <v>17.481723354309736</v>
      </c>
      <c r="I23" s="53">
        <f t="shared" si="9"/>
        <v>17.429932641377903</v>
      </c>
      <c r="J23" s="53">
        <f t="shared" si="9"/>
        <v>17.629328522593475</v>
      </c>
      <c r="K23" s="53">
        <f t="shared" si="9"/>
        <v>17.994280765248682</v>
      </c>
      <c r="L23" s="53">
        <f t="shared" si="9"/>
        <v>18.058399114786514</v>
      </c>
      <c r="M23" s="53">
        <f t="shared" si="9"/>
        <v>18.219661874075541</v>
      </c>
      <c r="N23" s="53">
        <f t="shared" si="9"/>
        <v>18.426828373709331</v>
      </c>
      <c r="O23" s="53">
        <f t="shared" si="9"/>
        <v>18.48320167620934</v>
      </c>
      <c r="P23" s="53">
        <f t="shared" si="9"/>
        <v>18.556531806399107</v>
      </c>
      <c r="Q23" s="53">
        <f t="shared" si="9"/>
        <v>18.623731634067163</v>
      </c>
      <c r="R23" s="53">
        <f t="shared" si="9"/>
        <v>18.676011079050959</v>
      </c>
      <c r="S23" s="53">
        <f t="shared" si="9"/>
        <v>18.749875291795686</v>
      </c>
      <c r="T23" s="53">
        <f t="shared" si="9"/>
        <v>18.811521701125077</v>
      </c>
      <c r="U23" s="53">
        <f t="shared" si="9"/>
        <v>18.779369078442727</v>
      </c>
      <c r="V23" s="53">
        <f t="shared" si="9"/>
        <v>18.17907353068874</v>
      </c>
      <c r="W23" s="53">
        <f t="shared" si="9"/>
        <v>18.358496886613597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16.774489372289711</v>
      </c>
      <c r="C24" s="54">
        <f t="shared" si="10"/>
        <v>16.860236561878313</v>
      </c>
      <c r="D24" s="54">
        <f t="shared" ref="D24:W24" si="11">D9*1000/D3</f>
        <v>16.954741365386663</v>
      </c>
      <c r="E24" s="54">
        <f t="shared" si="11"/>
        <v>17.0098698274907</v>
      </c>
      <c r="F24" s="54">
        <f t="shared" si="11"/>
        <v>17.196266202743026</v>
      </c>
      <c r="G24" s="54">
        <f t="shared" si="11"/>
        <v>17.367506831169379</v>
      </c>
      <c r="H24" s="54">
        <f t="shared" si="11"/>
        <v>17.654860727102417</v>
      </c>
      <c r="I24" s="54">
        <f t="shared" si="11"/>
        <v>17.988173890025823</v>
      </c>
      <c r="J24" s="54">
        <f t="shared" si="11"/>
        <v>18.145599922743024</v>
      </c>
      <c r="K24" s="54">
        <f t="shared" si="11"/>
        <v>17.756025248524562</v>
      </c>
      <c r="L24" s="54">
        <f t="shared" si="11"/>
        <v>17.937543996026591</v>
      </c>
      <c r="M24" s="54">
        <f t="shared" si="11"/>
        <v>18.045632523961203</v>
      </c>
      <c r="N24" s="54">
        <f t="shared" si="11"/>
        <v>18.036363332249923</v>
      </c>
      <c r="O24" s="54">
        <f t="shared" si="11"/>
        <v>18.019365364030833</v>
      </c>
      <c r="P24" s="54">
        <f t="shared" si="11"/>
        <v>18.00535849750268</v>
      </c>
      <c r="Q24" s="54">
        <f t="shared" si="11"/>
        <v>17.982453191887394</v>
      </c>
      <c r="R24" s="54">
        <f t="shared" si="11"/>
        <v>17.992180014304264</v>
      </c>
      <c r="S24" s="54">
        <f t="shared" si="11"/>
        <v>18.108047552402063</v>
      </c>
      <c r="T24" s="54">
        <f t="shared" si="11"/>
        <v>18.266781878230329</v>
      </c>
      <c r="U24" s="54">
        <f t="shared" si="11"/>
        <v>18.419081391287797</v>
      </c>
      <c r="V24" s="54">
        <f t="shared" si="11"/>
        <v>18.549234001687889</v>
      </c>
      <c r="W24" s="54">
        <f t="shared" si="11"/>
        <v>18.69081460729679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52.275326743549158</v>
      </c>
      <c r="C25" s="54">
        <f t="shared" si="12"/>
        <v>51.862281122746609</v>
      </c>
      <c r="D25" s="54">
        <f t="shared" ref="D25:W25" si="13">D9*1000/D6</f>
        <v>51.951030974326571</v>
      </c>
      <c r="E25" s="54">
        <f t="shared" si="13"/>
        <v>51.766412425755952</v>
      </c>
      <c r="F25" s="54">
        <f t="shared" si="13"/>
        <v>51.886657532310302</v>
      </c>
      <c r="G25" s="54">
        <f t="shared" si="13"/>
        <v>51.645839119266583</v>
      </c>
      <c r="H25" s="54">
        <f t="shared" si="13"/>
        <v>51.482338540617889</v>
      </c>
      <c r="I25" s="54">
        <f t="shared" si="13"/>
        <v>51.635311421883486</v>
      </c>
      <c r="J25" s="54">
        <f t="shared" si="13"/>
        <v>51.051292103756182</v>
      </c>
      <c r="K25" s="54">
        <f t="shared" si="13"/>
        <v>50.015891812587384</v>
      </c>
      <c r="L25" s="54">
        <f t="shared" si="13"/>
        <v>49.838304839716663</v>
      </c>
      <c r="M25" s="54">
        <f t="shared" si="13"/>
        <v>49.397184548226733</v>
      </c>
      <c r="N25" s="54">
        <f t="shared" si="13"/>
        <v>48.841828976064278</v>
      </c>
      <c r="O25" s="54">
        <f t="shared" si="13"/>
        <v>48.692862620139856</v>
      </c>
      <c r="P25" s="54">
        <f t="shared" si="13"/>
        <v>48.500442291141951</v>
      </c>
      <c r="Q25" s="54">
        <f t="shared" si="13"/>
        <v>48.325438622283912</v>
      </c>
      <c r="R25" s="54">
        <f t="shared" si="13"/>
        <v>48.190162031416747</v>
      </c>
      <c r="S25" s="54">
        <f t="shared" si="13"/>
        <v>48.000319255126442</v>
      </c>
      <c r="T25" s="54">
        <f t="shared" si="13"/>
        <v>47.843019522773268</v>
      </c>
      <c r="U25" s="54">
        <f t="shared" si="13"/>
        <v>47.924932740851808</v>
      </c>
      <c r="V25" s="54">
        <f t="shared" si="13"/>
        <v>49.507473440859251</v>
      </c>
      <c r="W25" s="54">
        <f t="shared" si="13"/>
        <v>49.023621354112592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900.00000000000011</v>
      </c>
      <c r="C26" s="55">
        <f t="shared" si="14"/>
        <v>899.99999999999989</v>
      </c>
      <c r="D26" s="55">
        <f t="shared" ref="D26:W26" si="15">D9*1000/D8</f>
        <v>899.99999999999989</v>
      </c>
      <c r="E26" s="55">
        <f t="shared" si="15"/>
        <v>899.99999999999989</v>
      </c>
      <c r="F26" s="55">
        <f t="shared" si="15"/>
        <v>900</v>
      </c>
      <c r="G26" s="55">
        <f t="shared" si="15"/>
        <v>900.00000000000011</v>
      </c>
      <c r="H26" s="55">
        <f t="shared" si="15"/>
        <v>900</v>
      </c>
      <c r="I26" s="55">
        <f t="shared" si="15"/>
        <v>900.00000000000023</v>
      </c>
      <c r="J26" s="55">
        <f t="shared" si="15"/>
        <v>899.99999999999989</v>
      </c>
      <c r="K26" s="55">
        <f t="shared" si="15"/>
        <v>900.00000000000011</v>
      </c>
      <c r="L26" s="55">
        <f t="shared" si="15"/>
        <v>900</v>
      </c>
      <c r="M26" s="55">
        <f t="shared" si="15"/>
        <v>900</v>
      </c>
      <c r="N26" s="55">
        <f t="shared" si="15"/>
        <v>899.99999999999989</v>
      </c>
      <c r="O26" s="55">
        <f t="shared" si="15"/>
        <v>900.00000000000011</v>
      </c>
      <c r="P26" s="55">
        <f t="shared" si="15"/>
        <v>899.99999999999989</v>
      </c>
      <c r="Q26" s="55">
        <f t="shared" si="15"/>
        <v>899.99999999999989</v>
      </c>
      <c r="R26" s="55">
        <f t="shared" si="15"/>
        <v>900</v>
      </c>
      <c r="S26" s="55">
        <f t="shared" si="15"/>
        <v>899.99999999999989</v>
      </c>
      <c r="T26" s="55">
        <f t="shared" si="15"/>
        <v>900</v>
      </c>
      <c r="U26" s="55">
        <f t="shared" si="15"/>
        <v>900</v>
      </c>
      <c r="V26" s="55">
        <f t="shared" si="15"/>
        <v>900.00000000000011</v>
      </c>
      <c r="W26" s="55">
        <f t="shared" si="15"/>
        <v>899.99999999999989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</v>
      </c>
      <c r="D27" s="57">
        <f t="shared" ref="D27:W27" si="17">IF(SUM(D11)=0,"",D11*1000/D10)</f>
        <v>900</v>
      </c>
      <c r="E27" s="57">
        <f t="shared" si="17"/>
        <v>899.99999999999989</v>
      </c>
      <c r="F27" s="57">
        <f t="shared" si="17"/>
        <v>899.99999999999989</v>
      </c>
      <c r="G27" s="57">
        <f t="shared" si="17"/>
        <v>900</v>
      </c>
      <c r="H27" s="57">
        <f t="shared" si="17"/>
        <v>900</v>
      </c>
      <c r="I27" s="57">
        <f t="shared" si="17"/>
        <v>900.00000000000011</v>
      </c>
      <c r="J27" s="57">
        <f t="shared" si="17"/>
        <v>899.99999999999989</v>
      </c>
      <c r="K27" s="57">
        <f t="shared" si="17"/>
        <v>900</v>
      </c>
      <c r="L27" s="57">
        <f t="shared" si="17"/>
        <v>899.99999999999989</v>
      </c>
      <c r="M27" s="57">
        <f t="shared" si="17"/>
        <v>900</v>
      </c>
      <c r="N27" s="57">
        <f t="shared" si="17"/>
        <v>900</v>
      </c>
      <c r="O27" s="57">
        <f t="shared" si="17"/>
        <v>900</v>
      </c>
      <c r="P27" s="57">
        <f t="shared" si="17"/>
        <v>900</v>
      </c>
      <c r="Q27" s="57">
        <f t="shared" si="17"/>
        <v>900.00000000000011</v>
      </c>
      <c r="R27" s="57">
        <f t="shared" si="17"/>
        <v>900.00000000000011</v>
      </c>
      <c r="S27" s="57">
        <f t="shared" si="17"/>
        <v>900.00000000000011</v>
      </c>
      <c r="T27" s="57">
        <f t="shared" si="17"/>
        <v>900.00000000000011</v>
      </c>
      <c r="U27" s="57">
        <f t="shared" si="17"/>
        <v>900</v>
      </c>
      <c r="V27" s="57">
        <f t="shared" si="17"/>
        <v>900.00000000000011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2612.5495260178532</v>
      </c>
      <c r="C31" s="80">
        <f t="shared" ref="C31:W31" si="18">SUM(C32:C33,C36:C37,C44:C45)</f>
        <v>3014.6128613610281</v>
      </c>
      <c r="D31" s="80">
        <f t="shared" si="18"/>
        <v>2952.6128095436034</v>
      </c>
      <c r="E31" s="80">
        <f t="shared" si="18"/>
        <v>3284.9533882890673</v>
      </c>
      <c r="F31" s="80">
        <f t="shared" si="18"/>
        <v>3239.8816752435996</v>
      </c>
      <c r="G31" s="80">
        <f t="shared" si="18"/>
        <v>3073.747242194811</v>
      </c>
      <c r="H31" s="80">
        <f t="shared" si="18"/>
        <v>3171.3178305393803</v>
      </c>
      <c r="I31" s="80">
        <f t="shared" si="18"/>
        <v>2777.4957104173673</v>
      </c>
      <c r="J31" s="80">
        <f t="shared" si="18"/>
        <v>3000.628037785792</v>
      </c>
      <c r="K31" s="80">
        <f t="shared" si="18"/>
        <v>2674.0282408860389</v>
      </c>
      <c r="L31" s="80">
        <f t="shared" si="18"/>
        <v>2638.622589550776</v>
      </c>
      <c r="M31" s="80">
        <f t="shared" si="18"/>
        <v>2542.4789078542217</v>
      </c>
      <c r="N31" s="80">
        <f t="shared" si="18"/>
        <v>2531.0539223724818</v>
      </c>
      <c r="O31" s="80">
        <f t="shared" si="18"/>
        <v>2516.5144489176673</v>
      </c>
      <c r="P31" s="80">
        <f t="shared" si="18"/>
        <v>2373.0150161294987</v>
      </c>
      <c r="Q31" s="80">
        <f t="shared" si="18"/>
        <v>2443.0844655747396</v>
      </c>
      <c r="R31" s="80">
        <f t="shared" si="18"/>
        <v>2379.9856540993042</v>
      </c>
      <c r="S31" s="80">
        <f t="shared" si="18"/>
        <v>2572.4869752226627</v>
      </c>
      <c r="T31" s="80">
        <f t="shared" si="18"/>
        <v>2505.2267852553027</v>
      </c>
      <c r="U31" s="80">
        <f t="shared" si="18"/>
        <v>2534.1723852783612</v>
      </c>
      <c r="V31" s="80">
        <f t="shared" si="18"/>
        <v>2378.5905752344852</v>
      </c>
      <c r="W31" s="80">
        <f t="shared" si="18"/>
        <v>2549.4344000511337</v>
      </c>
      <c r="DA31" s="103" t="s">
        <v>198</v>
      </c>
    </row>
    <row r="32" spans="1:105" ht="12" customHeight="1" x14ac:dyDescent="0.25">
      <c r="A32" s="58" t="s">
        <v>29</v>
      </c>
      <c r="B32" s="59">
        <v>27.257437661220976</v>
      </c>
      <c r="C32" s="59">
        <v>29.08211521926053</v>
      </c>
      <c r="D32" s="59">
        <v>20.26930352536543</v>
      </c>
      <c r="E32" s="59">
        <v>28.267583834909711</v>
      </c>
      <c r="F32" s="59">
        <v>20.337231298366294</v>
      </c>
      <c r="G32" s="59">
        <v>16.956061908856405</v>
      </c>
      <c r="H32" s="59">
        <v>12.320894239036971</v>
      </c>
      <c r="I32" s="59">
        <v>9.754772141014616</v>
      </c>
      <c r="J32" s="59">
        <v>5.9950128976784178</v>
      </c>
      <c r="K32" s="59">
        <v>4.5351676698194314</v>
      </c>
      <c r="L32" s="59">
        <v>5.0715391229578675</v>
      </c>
      <c r="M32" s="59">
        <v>3.5312983662940658</v>
      </c>
      <c r="N32" s="59">
        <v>6.4488392089423904E-2</v>
      </c>
      <c r="O32" s="59">
        <v>0.18667239896818574</v>
      </c>
      <c r="P32" s="59">
        <v>2.0120378331900259E-2</v>
      </c>
      <c r="Q32" s="59">
        <v>1.3757523645743759E-2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439.82682717110913</v>
      </c>
      <c r="C33" s="55">
        <f t="shared" ref="C33:W33" si="19">SUM(C34:C35)</f>
        <v>577.04617368873608</v>
      </c>
      <c r="D33" s="55">
        <f t="shared" si="19"/>
        <v>607.39604471195184</v>
      </c>
      <c r="E33" s="55">
        <f t="shared" si="19"/>
        <v>737.2917454858125</v>
      </c>
      <c r="F33" s="55">
        <f t="shared" si="19"/>
        <v>583.13637145313839</v>
      </c>
      <c r="G33" s="55">
        <f t="shared" si="19"/>
        <v>678.53671539122945</v>
      </c>
      <c r="H33" s="55">
        <f t="shared" si="19"/>
        <v>678.19656061908847</v>
      </c>
      <c r="I33" s="55">
        <f t="shared" si="19"/>
        <v>483.83886500429924</v>
      </c>
      <c r="J33" s="55">
        <f t="shared" si="19"/>
        <v>532.25262252794482</v>
      </c>
      <c r="K33" s="55">
        <f t="shared" si="19"/>
        <v>435.0535683576955</v>
      </c>
      <c r="L33" s="55">
        <f t="shared" si="19"/>
        <v>259.04273430782462</v>
      </c>
      <c r="M33" s="55">
        <f t="shared" si="19"/>
        <v>240.76027515047292</v>
      </c>
      <c r="N33" s="55">
        <f t="shared" si="19"/>
        <v>159.29458297506449</v>
      </c>
      <c r="O33" s="55">
        <f t="shared" si="19"/>
        <v>156.77411865864147</v>
      </c>
      <c r="P33" s="55">
        <f t="shared" si="19"/>
        <v>166.37093723129837</v>
      </c>
      <c r="Q33" s="55">
        <f t="shared" si="19"/>
        <v>171.62141014617367</v>
      </c>
      <c r="R33" s="55">
        <f t="shared" si="19"/>
        <v>157.50739466895956</v>
      </c>
      <c r="S33" s="55">
        <f t="shared" si="19"/>
        <v>212.01289767841791</v>
      </c>
      <c r="T33" s="55">
        <f t="shared" si="19"/>
        <v>187.72846087704207</v>
      </c>
      <c r="U33" s="55">
        <f t="shared" si="19"/>
        <v>176.48237317282889</v>
      </c>
      <c r="V33" s="55">
        <f t="shared" si="19"/>
        <v>170.90017196904554</v>
      </c>
      <c r="W33" s="55">
        <f t="shared" si="19"/>
        <v>214.83482373172828</v>
      </c>
      <c r="DA33" s="101"/>
    </row>
    <row r="34" spans="1:105" ht="12" customHeight="1" x14ac:dyDescent="0.25">
      <c r="A34" s="61" t="s">
        <v>52</v>
      </c>
      <c r="B34" s="55">
        <v>26.368615649183141</v>
      </c>
      <c r="C34" s="55">
        <v>36.256835769561476</v>
      </c>
      <c r="D34" s="55">
        <v>68.118830610490107</v>
      </c>
      <c r="E34" s="55">
        <v>81.303181427343077</v>
      </c>
      <c r="F34" s="55">
        <v>95.58615649183146</v>
      </c>
      <c r="G34" s="55">
        <v>76.005245055889944</v>
      </c>
      <c r="H34" s="55">
        <v>75.747033533963886</v>
      </c>
      <c r="I34" s="55">
        <v>57.219862424763541</v>
      </c>
      <c r="J34" s="55">
        <v>46.494411006018908</v>
      </c>
      <c r="K34" s="55">
        <v>51.086930352536527</v>
      </c>
      <c r="L34" s="55">
        <v>66.221410146173682</v>
      </c>
      <c r="M34" s="55">
        <v>54.579707652622517</v>
      </c>
      <c r="N34" s="55">
        <v>4.1341358555460017</v>
      </c>
      <c r="O34" s="55">
        <v>3.9882201203783318</v>
      </c>
      <c r="P34" s="55">
        <v>3.197850386930353</v>
      </c>
      <c r="Q34" s="55">
        <v>3.4368873602751502</v>
      </c>
      <c r="R34" s="55">
        <v>2.9609630266552021</v>
      </c>
      <c r="S34" s="55">
        <v>7.5875322441960433</v>
      </c>
      <c r="T34" s="55">
        <v>6.8902837489251931</v>
      </c>
      <c r="U34" s="55">
        <v>7.5941530524505581</v>
      </c>
      <c r="V34" s="55">
        <v>7.3958727429062758</v>
      </c>
      <c r="W34" s="55">
        <v>8.5139294926913145</v>
      </c>
      <c r="DA34" s="101" t="s">
        <v>200</v>
      </c>
    </row>
    <row r="35" spans="1:105" ht="12" customHeight="1" x14ac:dyDescent="0.25">
      <c r="A35" s="61" t="s">
        <v>170</v>
      </c>
      <c r="B35" s="55">
        <v>413.45821152192599</v>
      </c>
      <c r="C35" s="55">
        <v>540.78933791917461</v>
      </c>
      <c r="D35" s="55">
        <v>539.27721410146171</v>
      </c>
      <c r="E35" s="55">
        <v>655.98856405846936</v>
      </c>
      <c r="F35" s="55">
        <v>487.55021496130695</v>
      </c>
      <c r="G35" s="55">
        <v>602.53147033533946</v>
      </c>
      <c r="H35" s="55">
        <v>602.4495270851246</v>
      </c>
      <c r="I35" s="55">
        <v>426.61900257953567</v>
      </c>
      <c r="J35" s="55">
        <v>485.75821152192589</v>
      </c>
      <c r="K35" s="55">
        <v>383.96663800515898</v>
      </c>
      <c r="L35" s="55">
        <v>192.82132416165092</v>
      </c>
      <c r="M35" s="55">
        <v>186.1805674978504</v>
      </c>
      <c r="N35" s="55">
        <v>155.16044711951849</v>
      </c>
      <c r="O35" s="55">
        <v>152.78589853826313</v>
      </c>
      <c r="P35" s="55">
        <v>163.17308684436802</v>
      </c>
      <c r="Q35" s="55">
        <v>168.18452278589854</v>
      </c>
      <c r="R35" s="55">
        <v>154.54643164230436</v>
      </c>
      <c r="S35" s="55">
        <v>204.42536543422187</v>
      </c>
      <c r="T35" s="55">
        <v>180.83817712811688</v>
      </c>
      <c r="U35" s="55">
        <v>168.88822012037832</v>
      </c>
      <c r="V35" s="55">
        <v>163.50429922613927</v>
      </c>
      <c r="W35" s="55">
        <v>206.32089423903696</v>
      </c>
      <c r="DA35" s="101" t="s">
        <v>201</v>
      </c>
    </row>
    <row r="36" spans="1:105" ht="12" customHeight="1" x14ac:dyDescent="0.25">
      <c r="A36" s="60" t="s">
        <v>153</v>
      </c>
      <c r="B36" s="55">
        <v>596.96904557179698</v>
      </c>
      <c r="C36" s="55">
        <v>832.52364574376611</v>
      </c>
      <c r="D36" s="55">
        <v>756.42734307824583</v>
      </c>
      <c r="E36" s="55">
        <v>855.07308684436794</v>
      </c>
      <c r="F36" s="55">
        <v>1021.410146173689</v>
      </c>
      <c r="G36" s="55">
        <v>553.24058469475494</v>
      </c>
      <c r="H36" s="55">
        <v>591.27343078245917</v>
      </c>
      <c r="I36" s="55">
        <v>461.14961306964739</v>
      </c>
      <c r="J36" s="55">
        <v>499.95408426483232</v>
      </c>
      <c r="K36" s="55">
        <v>389.20791057609631</v>
      </c>
      <c r="L36" s="55">
        <v>410.05288048151328</v>
      </c>
      <c r="M36" s="55">
        <v>355.85202063628549</v>
      </c>
      <c r="N36" s="55">
        <v>401.06268271711087</v>
      </c>
      <c r="O36" s="55">
        <v>404.40601891659497</v>
      </c>
      <c r="P36" s="55">
        <v>338.33731728288899</v>
      </c>
      <c r="Q36" s="55">
        <v>362.3551160791057</v>
      </c>
      <c r="R36" s="55">
        <v>340.94866723989679</v>
      </c>
      <c r="S36" s="55">
        <v>358.63680137575233</v>
      </c>
      <c r="T36" s="55">
        <v>339.40275150472911</v>
      </c>
      <c r="U36" s="55">
        <v>363.04505588993982</v>
      </c>
      <c r="V36" s="55">
        <v>347.87815993121228</v>
      </c>
      <c r="W36" s="55">
        <v>383.68134135855541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109.53465176268271</v>
      </c>
      <c r="C37" s="55">
        <f t="shared" ref="C37:W37" si="20">SUM(C38:C42)</f>
        <v>114.40705073086843</v>
      </c>
      <c r="D37" s="55">
        <f t="shared" si="20"/>
        <v>117.2017196904557</v>
      </c>
      <c r="E37" s="55">
        <f t="shared" si="20"/>
        <v>133.46715391229577</v>
      </c>
      <c r="F37" s="55">
        <f t="shared" si="20"/>
        <v>141.85064488392089</v>
      </c>
      <c r="G37" s="55">
        <f t="shared" si="20"/>
        <v>121.68572656921754</v>
      </c>
      <c r="H37" s="55">
        <f t="shared" si="20"/>
        <v>120.0809974204643</v>
      </c>
      <c r="I37" s="55">
        <f t="shared" si="20"/>
        <v>118.15184866723995</v>
      </c>
      <c r="J37" s="55">
        <f t="shared" si="20"/>
        <v>113.7558039552881</v>
      </c>
      <c r="K37" s="55">
        <f t="shared" si="20"/>
        <v>96.881857265692133</v>
      </c>
      <c r="L37" s="55">
        <f t="shared" si="20"/>
        <v>140.88512467755805</v>
      </c>
      <c r="M37" s="55">
        <f t="shared" si="20"/>
        <v>131.5999140154772</v>
      </c>
      <c r="N37" s="55">
        <f t="shared" si="20"/>
        <v>115.1537403267412</v>
      </c>
      <c r="O37" s="55">
        <f t="shared" si="20"/>
        <v>115.89372312983663</v>
      </c>
      <c r="P37" s="55">
        <f t="shared" si="20"/>
        <v>113.01074806534824</v>
      </c>
      <c r="Q37" s="55">
        <f t="shared" si="20"/>
        <v>120.12390369733446</v>
      </c>
      <c r="R37" s="55">
        <f t="shared" si="20"/>
        <v>102.58331900257954</v>
      </c>
      <c r="S37" s="55">
        <f t="shared" si="20"/>
        <v>145.69948409286332</v>
      </c>
      <c r="T37" s="55">
        <f t="shared" si="20"/>
        <v>157.03078245915731</v>
      </c>
      <c r="U37" s="55">
        <f t="shared" si="20"/>
        <v>161.22545141874463</v>
      </c>
      <c r="V37" s="55">
        <f t="shared" si="20"/>
        <v>165.02381771281168</v>
      </c>
      <c r="W37" s="55">
        <f t="shared" si="20"/>
        <v>159.84600171969046</v>
      </c>
      <c r="DA37" s="101"/>
    </row>
    <row r="38" spans="1:105" ht="12" customHeight="1" x14ac:dyDescent="0.25">
      <c r="A38" s="61" t="s">
        <v>171</v>
      </c>
      <c r="B38" s="55">
        <v>78.699656061908854</v>
      </c>
      <c r="C38" s="55">
        <v>82.831642304385198</v>
      </c>
      <c r="D38" s="55">
        <v>82.330266552020632</v>
      </c>
      <c r="E38" s="55">
        <v>94.726311263972477</v>
      </c>
      <c r="F38" s="55">
        <v>101.62897678417885</v>
      </c>
      <c r="G38" s="55">
        <v>83.013671539122953</v>
      </c>
      <c r="H38" s="55">
        <v>88.328546861564902</v>
      </c>
      <c r="I38" s="55">
        <v>81.980825451418781</v>
      </c>
      <c r="J38" s="55">
        <v>67.33310404127262</v>
      </c>
      <c r="K38" s="55">
        <v>66.189165950128938</v>
      </c>
      <c r="L38" s="55">
        <v>80.242906276870158</v>
      </c>
      <c r="M38" s="55">
        <v>63.88280309544281</v>
      </c>
      <c r="N38" s="55">
        <v>43.05270851246776</v>
      </c>
      <c r="O38" s="55">
        <v>53.545829750644899</v>
      </c>
      <c r="P38" s="55">
        <v>45.006792777300078</v>
      </c>
      <c r="Q38" s="55">
        <v>59.167841788478043</v>
      </c>
      <c r="R38" s="55">
        <v>45.519346517626829</v>
      </c>
      <c r="S38" s="55">
        <v>74.939294926913163</v>
      </c>
      <c r="T38" s="55">
        <v>77.792089423903633</v>
      </c>
      <c r="U38" s="55">
        <v>86.218744625967332</v>
      </c>
      <c r="V38" s="55">
        <v>83.646689595872743</v>
      </c>
      <c r="W38" s="55">
        <v>95.751332760103196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6.4488392089423904E-2</v>
      </c>
      <c r="K39" s="55">
        <v>0.26732588134135848</v>
      </c>
      <c r="L39" s="55">
        <v>0.38538263112639731</v>
      </c>
      <c r="M39" s="55">
        <v>0.87162510748065347</v>
      </c>
      <c r="N39" s="55">
        <v>1.855460017196904</v>
      </c>
      <c r="O39" s="55">
        <v>0.30980223559759251</v>
      </c>
      <c r="P39" s="55">
        <v>0.42708512467755799</v>
      </c>
      <c r="Q39" s="55">
        <v>0.56706792777300075</v>
      </c>
      <c r="R39" s="55">
        <v>0.66087704213241616</v>
      </c>
      <c r="S39" s="55">
        <v>0.45563198624247642</v>
      </c>
      <c r="T39" s="55">
        <v>0.55993121238177124</v>
      </c>
      <c r="U39" s="55">
        <v>5.3052450558899393E-2</v>
      </c>
      <c r="V39" s="55">
        <v>5.7523645743766123E-2</v>
      </c>
      <c r="W39" s="55">
        <v>5.2450558899398113E-2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0.26749785038693041</v>
      </c>
      <c r="H40" s="55">
        <v>1.0638865004299221</v>
      </c>
      <c r="I40" s="55">
        <v>1.2203783319002579</v>
      </c>
      <c r="J40" s="55">
        <v>1.199398108340499</v>
      </c>
      <c r="K40" s="55">
        <v>1.9931212381771279</v>
      </c>
      <c r="L40" s="55">
        <v>2.1006878761822869</v>
      </c>
      <c r="M40" s="55">
        <v>2.0744625967325878</v>
      </c>
      <c r="N40" s="55">
        <v>0.42837489251934652</v>
      </c>
      <c r="O40" s="55">
        <v>0.50894239036973343</v>
      </c>
      <c r="P40" s="55">
        <v>0.95631986242476352</v>
      </c>
      <c r="Q40" s="55">
        <v>1.3765262252794499</v>
      </c>
      <c r="R40" s="55">
        <v>0.98056749785038688</v>
      </c>
      <c r="S40" s="55">
        <v>1.1924333619948411</v>
      </c>
      <c r="T40" s="55">
        <v>1.1353396388650041</v>
      </c>
      <c r="U40" s="55">
        <v>1.1226139294926909</v>
      </c>
      <c r="V40" s="55">
        <v>1.125795356835769</v>
      </c>
      <c r="W40" s="55">
        <v>1.155030094582975</v>
      </c>
      <c r="DA40" s="101" t="s">
        <v>205</v>
      </c>
    </row>
    <row r="41" spans="1:105" ht="12" customHeight="1" x14ac:dyDescent="0.25">
      <c r="A41" s="61" t="s">
        <v>26</v>
      </c>
      <c r="B41" s="55">
        <v>25.914789337919171</v>
      </c>
      <c r="C41" s="55">
        <v>27.037317282889081</v>
      </c>
      <c r="D41" s="55">
        <v>27.467239896818569</v>
      </c>
      <c r="E41" s="55">
        <v>33.0085124677558</v>
      </c>
      <c r="F41" s="55">
        <v>34.489337919174552</v>
      </c>
      <c r="G41" s="55">
        <v>31.959759243336201</v>
      </c>
      <c r="H41" s="55">
        <v>24.41134995700774</v>
      </c>
      <c r="I41" s="55">
        <v>29.295012897678419</v>
      </c>
      <c r="J41" s="55">
        <v>39.083748925193461</v>
      </c>
      <c r="K41" s="55">
        <v>21.728374892519341</v>
      </c>
      <c r="L41" s="55">
        <v>50.497506448839196</v>
      </c>
      <c r="M41" s="55">
        <v>58.123301805674977</v>
      </c>
      <c r="N41" s="55">
        <v>61.56061908856406</v>
      </c>
      <c r="O41" s="55">
        <v>53.663198624247627</v>
      </c>
      <c r="P41" s="55">
        <v>60.241960447119517</v>
      </c>
      <c r="Q41" s="55">
        <v>51.827085124677559</v>
      </c>
      <c r="R41" s="55">
        <v>48.256835769561476</v>
      </c>
      <c r="S41" s="55">
        <v>56.82605331040412</v>
      </c>
      <c r="T41" s="55">
        <v>66.251590713671533</v>
      </c>
      <c r="U41" s="55">
        <v>62.465176268271712</v>
      </c>
      <c r="V41" s="55">
        <v>68.4231298366294</v>
      </c>
      <c r="W41" s="55">
        <v>52.643594153052447</v>
      </c>
      <c r="DA41" s="101" t="s">
        <v>206</v>
      </c>
    </row>
    <row r="42" spans="1:105" ht="12" customHeight="1" x14ac:dyDescent="0.25">
      <c r="A42" s="61" t="s">
        <v>25</v>
      </c>
      <c r="B42" s="55">
        <v>4.9202063628546862</v>
      </c>
      <c r="C42" s="55">
        <v>4.5380911435941522</v>
      </c>
      <c r="D42" s="55">
        <v>7.4042132416165094</v>
      </c>
      <c r="E42" s="55">
        <v>5.732330180567498</v>
      </c>
      <c r="F42" s="55">
        <v>5.732330180567498</v>
      </c>
      <c r="G42" s="55">
        <v>6.4447979363714527</v>
      </c>
      <c r="H42" s="55">
        <v>6.2772141014617366</v>
      </c>
      <c r="I42" s="55">
        <v>5.6556319862424766</v>
      </c>
      <c r="J42" s="55">
        <v>6.0750644883920897</v>
      </c>
      <c r="K42" s="55">
        <v>6.703869303525364</v>
      </c>
      <c r="L42" s="55">
        <v>7.658641444539982</v>
      </c>
      <c r="M42" s="55">
        <v>6.6477214101461737</v>
      </c>
      <c r="N42" s="55">
        <v>8.2565778159931202</v>
      </c>
      <c r="O42" s="55">
        <v>7.8659501289767828</v>
      </c>
      <c r="P42" s="55">
        <v>6.3785898538263117</v>
      </c>
      <c r="Q42" s="55">
        <v>7.1853826311263971</v>
      </c>
      <c r="R42" s="55">
        <v>7.1656921754084264</v>
      </c>
      <c r="S42" s="55">
        <v>12.286070507308681</v>
      </c>
      <c r="T42" s="55">
        <v>11.291831470335341</v>
      </c>
      <c r="U42" s="55">
        <v>11.365864144453999</v>
      </c>
      <c r="V42" s="55">
        <v>11.770679277730011</v>
      </c>
      <c r="W42" s="55">
        <v>10.243594153052451</v>
      </c>
      <c r="DA42" s="101" t="s">
        <v>207</v>
      </c>
    </row>
    <row r="43" spans="1:105" ht="12" customHeight="1" x14ac:dyDescent="0.25">
      <c r="A43" s="61" t="s">
        <v>157</v>
      </c>
      <c r="B43" s="55">
        <v>4.384694463503684</v>
      </c>
      <c r="C43" s="55">
        <v>5.7255128213802209</v>
      </c>
      <c r="D43" s="55">
        <v>9.4172538426908829</v>
      </c>
      <c r="E43" s="55">
        <v>15.318925480509073</v>
      </c>
      <c r="F43" s="55">
        <v>23.406185773157041</v>
      </c>
      <c r="G43" s="55">
        <v>33.756749785038657</v>
      </c>
      <c r="H43" s="55">
        <v>44.464918314703361</v>
      </c>
      <c r="I43" s="55">
        <v>48.358985382631118</v>
      </c>
      <c r="J43" s="55">
        <v>66.42355975924329</v>
      </c>
      <c r="K43" s="55">
        <v>60.168013757523603</v>
      </c>
      <c r="L43" s="55">
        <v>68.538521066208091</v>
      </c>
      <c r="M43" s="55">
        <v>82.333877901977587</v>
      </c>
      <c r="N43" s="55">
        <v>94.354858125537348</v>
      </c>
      <c r="O43" s="55">
        <v>108.48194325021508</v>
      </c>
      <c r="P43" s="55">
        <v>122.90885640584699</v>
      </c>
      <c r="Q43" s="55">
        <v>113.73602751504717</v>
      </c>
      <c r="R43" s="55">
        <v>126.71659501289777</v>
      </c>
      <c r="S43" s="55">
        <v>148.8290627687015</v>
      </c>
      <c r="T43" s="55">
        <v>156.03190025795331</v>
      </c>
      <c r="U43" s="55">
        <v>185.73671539122955</v>
      </c>
      <c r="V43" s="55">
        <v>131.1025795356835</v>
      </c>
      <c r="W43" s="55">
        <v>128.71857265692168</v>
      </c>
      <c r="DA43" s="101" t="s">
        <v>208</v>
      </c>
    </row>
    <row r="44" spans="1:105" ht="12" customHeight="1" x14ac:dyDescent="0.25">
      <c r="A44" s="60" t="s">
        <v>169</v>
      </c>
      <c r="B44" s="55">
        <v>382.48779019776441</v>
      </c>
      <c r="C44" s="55">
        <v>397.86947549441089</v>
      </c>
      <c r="D44" s="55">
        <v>413.2272570937231</v>
      </c>
      <c r="E44" s="55">
        <v>440.28856405846938</v>
      </c>
      <c r="F44" s="55">
        <v>463.59991401547722</v>
      </c>
      <c r="G44" s="55">
        <v>549.65881341358556</v>
      </c>
      <c r="H44" s="55">
        <v>599.23430782459161</v>
      </c>
      <c r="I44" s="55">
        <v>554.76698194325013</v>
      </c>
      <c r="J44" s="55">
        <v>639.67979363714528</v>
      </c>
      <c r="K44" s="55">
        <v>675.34101461736884</v>
      </c>
      <c r="L44" s="55">
        <v>737.2513327601032</v>
      </c>
      <c r="M44" s="55">
        <v>734.1221840068788</v>
      </c>
      <c r="N44" s="55">
        <v>737.12785898538266</v>
      </c>
      <c r="O44" s="55">
        <v>705.67119518486663</v>
      </c>
      <c r="P44" s="55">
        <v>628.94505588993979</v>
      </c>
      <c r="Q44" s="55">
        <v>650.25451418744626</v>
      </c>
      <c r="R44" s="55">
        <v>688.55975924333609</v>
      </c>
      <c r="S44" s="55">
        <v>713.68426483233009</v>
      </c>
      <c r="T44" s="55">
        <v>659.54875322441956</v>
      </c>
      <c r="U44" s="55">
        <v>681.19475494411006</v>
      </c>
      <c r="V44" s="55">
        <v>635.73018056749788</v>
      </c>
      <c r="W44" s="55">
        <v>722.93619948409275</v>
      </c>
      <c r="DA44" s="101" t="s">
        <v>209</v>
      </c>
    </row>
    <row r="45" spans="1:105" ht="12" customHeight="1" x14ac:dyDescent="0.25">
      <c r="A45" s="62" t="s">
        <v>24</v>
      </c>
      <c r="B45" s="63">
        <v>1056.4737736532791</v>
      </c>
      <c r="C45" s="63">
        <v>1063.6844004839859</v>
      </c>
      <c r="D45" s="63">
        <v>1038.0911414438615</v>
      </c>
      <c r="E45" s="63">
        <v>1090.5652541532124</v>
      </c>
      <c r="F45" s="63">
        <v>1009.5473674190079</v>
      </c>
      <c r="G45" s="63">
        <v>1153.6693402171672</v>
      </c>
      <c r="H45" s="63">
        <v>1170.2116396537401</v>
      </c>
      <c r="I45" s="63">
        <v>1149.8336295919157</v>
      </c>
      <c r="J45" s="63">
        <v>1208.9907205029031</v>
      </c>
      <c r="K45" s="63">
        <v>1073.0087223993669</v>
      </c>
      <c r="L45" s="63">
        <v>1086.3189782008187</v>
      </c>
      <c r="M45" s="63">
        <v>1076.6132156788133</v>
      </c>
      <c r="N45" s="63">
        <v>1118.350568976093</v>
      </c>
      <c r="O45" s="63">
        <v>1133.5827206287597</v>
      </c>
      <c r="P45" s="63">
        <v>1126.3308372816914</v>
      </c>
      <c r="Q45" s="63">
        <v>1138.7157639410336</v>
      </c>
      <c r="R45" s="63">
        <v>1090.3865139445322</v>
      </c>
      <c r="S45" s="63">
        <v>1142.453527243299</v>
      </c>
      <c r="T45" s="63">
        <v>1161.5160371899547</v>
      </c>
      <c r="U45" s="63">
        <v>1152.2247498527377</v>
      </c>
      <c r="V45" s="63">
        <v>1059.0582450539175</v>
      </c>
      <c r="W45" s="63">
        <v>1068.1360337570668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2612.5495260178532</v>
      </c>
      <c r="C47" s="82">
        <f t="shared" ref="C47:W47" si="22">SUM(C48,C53)</f>
        <v>3014.6128613610281</v>
      </c>
      <c r="D47" s="82">
        <f t="shared" si="22"/>
        <v>2952.6128095436029</v>
      </c>
      <c r="E47" s="82">
        <f t="shared" si="22"/>
        <v>3284.9533882890682</v>
      </c>
      <c r="F47" s="82">
        <f t="shared" si="22"/>
        <v>3239.8816752435991</v>
      </c>
      <c r="G47" s="82">
        <f t="shared" si="22"/>
        <v>3073.7472421948119</v>
      </c>
      <c r="H47" s="82">
        <f t="shared" si="22"/>
        <v>3171.3178305393808</v>
      </c>
      <c r="I47" s="82">
        <f t="shared" si="22"/>
        <v>2777.4957104173664</v>
      </c>
      <c r="J47" s="82">
        <f t="shared" si="22"/>
        <v>3000.628037785792</v>
      </c>
      <c r="K47" s="82">
        <f t="shared" si="22"/>
        <v>2674.0282408860394</v>
      </c>
      <c r="L47" s="82">
        <f t="shared" si="22"/>
        <v>2638.622589550776</v>
      </c>
      <c r="M47" s="82">
        <f t="shared" si="22"/>
        <v>2542.4789078542217</v>
      </c>
      <c r="N47" s="82">
        <f t="shared" si="22"/>
        <v>2531.0539223724822</v>
      </c>
      <c r="O47" s="82">
        <f t="shared" si="22"/>
        <v>2516.5144489176678</v>
      </c>
      <c r="P47" s="82">
        <f t="shared" si="22"/>
        <v>2373.0150161294987</v>
      </c>
      <c r="Q47" s="82">
        <f t="shared" si="22"/>
        <v>2443.0844655747396</v>
      </c>
      <c r="R47" s="82">
        <f t="shared" si="22"/>
        <v>2379.9856540993042</v>
      </c>
      <c r="S47" s="82">
        <f t="shared" si="22"/>
        <v>2572.4869752226623</v>
      </c>
      <c r="T47" s="82">
        <f t="shared" si="22"/>
        <v>2505.2267852553023</v>
      </c>
      <c r="U47" s="82">
        <f t="shared" si="22"/>
        <v>2534.1723852783603</v>
      </c>
      <c r="V47" s="82">
        <f t="shared" si="22"/>
        <v>2378.5905752344847</v>
      </c>
      <c r="W47" s="82">
        <f t="shared" si="22"/>
        <v>2549.4344000511337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2078.8337561231974</v>
      </c>
      <c r="C48" s="64">
        <f t="shared" ref="C48:W48" si="24">SUM(C49:C52)</f>
        <v>2466.5716123226093</v>
      </c>
      <c r="D48" s="64">
        <f t="shared" si="24"/>
        <v>2387.2084756520544</v>
      </c>
      <c r="E48" s="64">
        <f t="shared" si="24"/>
        <v>2703.4696315991114</v>
      </c>
      <c r="F48" s="64">
        <f t="shared" si="24"/>
        <v>2657.7340189368683</v>
      </c>
      <c r="G48" s="64">
        <f t="shared" si="24"/>
        <v>2472.9837095162648</v>
      </c>
      <c r="H48" s="64">
        <f t="shared" si="24"/>
        <v>2552.3001884661935</v>
      </c>
      <c r="I48" s="64">
        <f t="shared" si="24"/>
        <v>2144.1159899065101</v>
      </c>
      <c r="J48" s="64">
        <f t="shared" si="24"/>
        <v>2351.8225754533141</v>
      </c>
      <c r="K48" s="64">
        <f t="shared" si="24"/>
        <v>2024.56803495954</v>
      </c>
      <c r="L48" s="64">
        <f t="shared" si="24"/>
        <v>1978.6839451075275</v>
      </c>
      <c r="M48" s="64">
        <f t="shared" si="24"/>
        <v>1872.3015087190317</v>
      </c>
      <c r="N48" s="64">
        <f t="shared" si="24"/>
        <v>1850.4302131302343</v>
      </c>
      <c r="O48" s="64">
        <f t="shared" si="24"/>
        <v>1824.9303256626847</v>
      </c>
      <c r="P48" s="64">
        <f t="shared" si="24"/>
        <v>1663.0585396742172</v>
      </c>
      <c r="Q48" s="64">
        <f t="shared" si="24"/>
        <v>1720.8540351368181</v>
      </c>
      <c r="R48" s="64">
        <f t="shared" si="24"/>
        <v>1653.6043796547897</v>
      </c>
      <c r="S48" s="64">
        <f t="shared" si="24"/>
        <v>1826.6869462444442</v>
      </c>
      <c r="T48" s="64">
        <f t="shared" si="24"/>
        <v>1753.1580408922528</v>
      </c>
      <c r="U48" s="64">
        <f t="shared" si="24"/>
        <v>1791.9089756726235</v>
      </c>
      <c r="V48" s="64">
        <f t="shared" si="24"/>
        <v>1687.5590807606386</v>
      </c>
      <c r="W48" s="64">
        <f t="shared" si="24"/>
        <v>1861.1398017059303</v>
      </c>
      <c r="DA48" s="108" t="s">
        <v>212</v>
      </c>
    </row>
    <row r="49" spans="1:105" ht="12" customHeight="1" x14ac:dyDescent="0.25">
      <c r="A49" s="61" t="s">
        <v>32</v>
      </c>
      <c r="B49" s="65">
        <v>1610.8690320468643</v>
      </c>
      <c r="C49" s="65">
        <v>1985.0146949694006</v>
      </c>
      <c r="D49" s="65">
        <v>1885.2423722876056</v>
      </c>
      <c r="E49" s="65">
        <v>2185.0021817342467</v>
      </c>
      <c r="F49" s="65">
        <v>2130.685411944371</v>
      </c>
      <c r="G49" s="65">
        <v>1937.4014278998734</v>
      </c>
      <c r="H49" s="65">
        <v>2009.3101123025635</v>
      </c>
      <c r="I49" s="65">
        <v>1598.5372499994237</v>
      </c>
      <c r="J49" s="65">
        <v>1810.5619236286263</v>
      </c>
      <c r="K49" s="65">
        <v>1469.3252242540984</v>
      </c>
      <c r="L49" s="65">
        <v>1425.7010533283396</v>
      </c>
      <c r="M49" s="65">
        <v>1317.5810189876624</v>
      </c>
      <c r="N49" s="65">
        <v>1308.0652241493412</v>
      </c>
      <c r="O49" s="65">
        <v>1278.4916181397098</v>
      </c>
      <c r="P49" s="65">
        <v>1110.8445106710049</v>
      </c>
      <c r="Q49" s="65">
        <v>1164.7940490505098</v>
      </c>
      <c r="R49" s="65">
        <v>1095.4580675398211</v>
      </c>
      <c r="S49" s="65">
        <v>1265.412284141828</v>
      </c>
      <c r="T49" s="65">
        <v>1194.4831862319061</v>
      </c>
      <c r="U49" s="65">
        <v>1235.1699378199494</v>
      </c>
      <c r="V49" s="65">
        <v>1153.2475125890808</v>
      </c>
      <c r="W49" s="65">
        <v>1321.9289991262044</v>
      </c>
      <c r="DA49" s="109" t="s">
        <v>213</v>
      </c>
    </row>
    <row r="50" spans="1:105" ht="12" customHeight="1" x14ac:dyDescent="0.25">
      <c r="A50" s="61" t="s">
        <v>31</v>
      </c>
      <c r="B50" s="65">
        <v>19.313892570814339</v>
      </c>
      <c r="C50" s="65">
        <v>19.331977655593835</v>
      </c>
      <c r="D50" s="65">
        <v>19.844759113604699</v>
      </c>
      <c r="E50" s="65">
        <v>22.030195772048426</v>
      </c>
      <c r="F50" s="65">
        <v>19.646609299685348</v>
      </c>
      <c r="G50" s="65">
        <v>20.092688711071851</v>
      </c>
      <c r="H50" s="65">
        <v>21.179008132552415</v>
      </c>
      <c r="I50" s="65">
        <v>21.410456413881732</v>
      </c>
      <c r="J50" s="65">
        <v>20.430017722208579</v>
      </c>
      <c r="K50" s="65">
        <v>20.933494385290917</v>
      </c>
      <c r="L50" s="65">
        <v>22.197545452534541</v>
      </c>
      <c r="M50" s="65">
        <v>21.679991142418537</v>
      </c>
      <c r="N50" s="65">
        <v>22.381506685112381</v>
      </c>
      <c r="O50" s="65">
        <v>23.588352071324483</v>
      </c>
      <c r="P50" s="65">
        <v>20.396800039091314</v>
      </c>
      <c r="Q50" s="65">
        <v>23.546050957914321</v>
      </c>
      <c r="R50" s="65">
        <v>20.339159904181198</v>
      </c>
      <c r="S50" s="65">
        <v>21.462903850098325</v>
      </c>
      <c r="T50" s="65">
        <v>21.035852403187974</v>
      </c>
      <c r="U50" s="65">
        <v>21.641543454909471</v>
      </c>
      <c r="V50" s="65">
        <v>19.77979222848013</v>
      </c>
      <c r="W50" s="65">
        <v>20.390780546829482</v>
      </c>
      <c r="DA50" s="109" t="s">
        <v>214</v>
      </c>
    </row>
    <row r="51" spans="1:105" ht="12" customHeight="1" x14ac:dyDescent="0.25">
      <c r="A51" s="61" t="s">
        <v>35</v>
      </c>
      <c r="B51" s="65">
        <v>251.62917709938156</v>
      </c>
      <c r="C51" s="65">
        <v>255.48683103794147</v>
      </c>
      <c r="D51" s="65">
        <v>256.87338711635493</v>
      </c>
      <c r="E51" s="65">
        <v>259.35442166970449</v>
      </c>
      <c r="F51" s="65">
        <v>261.68954998375693</v>
      </c>
      <c r="G51" s="65">
        <v>271.07121090255788</v>
      </c>
      <c r="H51" s="65">
        <v>275.04514092122645</v>
      </c>
      <c r="I51" s="65">
        <v>280.02899751201119</v>
      </c>
      <c r="J51" s="65">
        <v>277.42385830598766</v>
      </c>
      <c r="K51" s="65">
        <v>285.57389246881957</v>
      </c>
      <c r="L51" s="65">
        <v>274.26957197979755</v>
      </c>
      <c r="M51" s="65">
        <v>276.07875605018518</v>
      </c>
      <c r="N51" s="65">
        <v>269.86659906182661</v>
      </c>
      <c r="O51" s="65">
        <v>272.62201590702682</v>
      </c>
      <c r="P51" s="65">
        <v>278.77544020528194</v>
      </c>
      <c r="Q51" s="65">
        <v>277.97957396444849</v>
      </c>
      <c r="R51" s="65">
        <v>280.12480496166108</v>
      </c>
      <c r="S51" s="65">
        <v>279.69268225673432</v>
      </c>
      <c r="T51" s="65">
        <v>276.45249685161605</v>
      </c>
      <c r="U51" s="65">
        <v>271.86641603114464</v>
      </c>
      <c r="V51" s="65">
        <v>261.96856623423713</v>
      </c>
      <c r="W51" s="65">
        <v>257.64981558368754</v>
      </c>
      <c r="DA51" s="109" t="s">
        <v>215</v>
      </c>
    </row>
    <row r="52" spans="1:105" ht="12" customHeight="1" x14ac:dyDescent="0.25">
      <c r="A52" s="66" t="s">
        <v>34</v>
      </c>
      <c r="B52" s="67">
        <v>197.02165440613737</v>
      </c>
      <c r="C52" s="67">
        <v>206.73810865967317</v>
      </c>
      <c r="D52" s="67">
        <v>225.24795713448924</v>
      </c>
      <c r="E52" s="67">
        <v>237.08283242311148</v>
      </c>
      <c r="F52" s="67">
        <v>245.71244770905523</v>
      </c>
      <c r="G52" s="67">
        <v>244.4183820027614</v>
      </c>
      <c r="H52" s="67">
        <v>246.76592710985096</v>
      </c>
      <c r="I52" s="67">
        <v>244.13928598119358</v>
      </c>
      <c r="J52" s="67">
        <v>243.40677579649184</v>
      </c>
      <c r="K52" s="67">
        <v>248.73542385133089</v>
      </c>
      <c r="L52" s="67">
        <v>256.51577434685566</v>
      </c>
      <c r="M52" s="67">
        <v>256.96174253876569</v>
      </c>
      <c r="N52" s="67">
        <v>250.11688323395401</v>
      </c>
      <c r="O52" s="67">
        <v>250.22833954462359</v>
      </c>
      <c r="P52" s="67">
        <v>253.04178875883906</v>
      </c>
      <c r="Q52" s="67">
        <v>254.53436116394556</v>
      </c>
      <c r="R52" s="67">
        <v>257.68234724912634</v>
      </c>
      <c r="S52" s="67">
        <v>260.11907599578365</v>
      </c>
      <c r="T52" s="67">
        <v>261.18650540554256</v>
      </c>
      <c r="U52" s="67">
        <v>263.23107836662007</v>
      </c>
      <c r="V52" s="67">
        <v>252.56320970884047</v>
      </c>
      <c r="W52" s="67">
        <v>261.17020644920871</v>
      </c>
      <c r="DA52" s="110" t="s">
        <v>216</v>
      </c>
    </row>
    <row r="53" spans="1:105" ht="12" customHeight="1" x14ac:dyDescent="0.25">
      <c r="A53" s="78" t="s">
        <v>33</v>
      </c>
      <c r="B53" s="68">
        <v>533.71576989465586</v>
      </c>
      <c r="C53" s="68">
        <v>548.04124903841887</v>
      </c>
      <c r="D53" s="68">
        <v>565.40433389154862</v>
      </c>
      <c r="E53" s="68">
        <v>581.48375668995698</v>
      </c>
      <c r="F53" s="68">
        <v>582.14765630673071</v>
      </c>
      <c r="G53" s="68">
        <v>600.76353267854722</v>
      </c>
      <c r="H53" s="68">
        <v>619.01764207318718</v>
      </c>
      <c r="I53" s="68">
        <v>633.37972051085637</v>
      </c>
      <c r="J53" s="68">
        <v>648.80546233247765</v>
      </c>
      <c r="K53" s="68">
        <v>649.46020592649916</v>
      </c>
      <c r="L53" s="68">
        <v>659.93864444324834</v>
      </c>
      <c r="M53" s="68">
        <v>670.17739913518994</v>
      </c>
      <c r="N53" s="68">
        <v>680.62370924224797</v>
      </c>
      <c r="O53" s="68">
        <v>691.58412325498307</v>
      </c>
      <c r="P53" s="68">
        <v>709.9564764552814</v>
      </c>
      <c r="Q53" s="68">
        <v>722.23043043792154</v>
      </c>
      <c r="R53" s="68">
        <v>726.38127444451459</v>
      </c>
      <c r="S53" s="68">
        <v>745.80002897821782</v>
      </c>
      <c r="T53" s="68">
        <v>752.06874436304963</v>
      </c>
      <c r="U53" s="68">
        <v>742.2634096057368</v>
      </c>
      <c r="V53" s="68">
        <v>691.03149447384624</v>
      </c>
      <c r="W53" s="68">
        <v>688.29459834520367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0.79571075511507505</v>
      </c>
      <c r="C56" s="70">
        <f t="shared" ref="C56:W56" si="28">IF(C48=0,0,C48/C$47)</f>
        <v>0.81820509821914889</v>
      </c>
      <c r="D56" s="70">
        <f t="shared" si="28"/>
        <v>0.80850711882573412</v>
      </c>
      <c r="E56" s="70">
        <f t="shared" si="28"/>
        <v>0.8229856902192404</v>
      </c>
      <c r="F56" s="70">
        <f t="shared" si="28"/>
        <v>0.82031823546057114</v>
      </c>
      <c r="G56" s="70">
        <f t="shared" si="28"/>
        <v>0.80455011901057571</v>
      </c>
      <c r="H56" s="70">
        <f t="shared" si="28"/>
        <v>0.80480744121193803</v>
      </c>
      <c r="I56" s="70">
        <f t="shared" si="28"/>
        <v>0.77196014448005035</v>
      </c>
      <c r="J56" s="70">
        <f t="shared" si="28"/>
        <v>0.78377677800703316</v>
      </c>
      <c r="K56" s="70">
        <f t="shared" si="28"/>
        <v>0.75712290693261308</v>
      </c>
      <c r="L56" s="70">
        <f t="shared" si="28"/>
        <v>0.74989274818737806</v>
      </c>
      <c r="M56" s="70">
        <f t="shared" si="28"/>
        <v>0.73640788245484401</v>
      </c>
      <c r="N56" s="70">
        <f t="shared" si="28"/>
        <v>0.73109079058882098</v>
      </c>
      <c r="O56" s="70">
        <f t="shared" si="28"/>
        <v>0.72518173954756038</v>
      </c>
      <c r="P56" s="70">
        <f t="shared" si="28"/>
        <v>0.70082090857846546</v>
      </c>
      <c r="Q56" s="70">
        <f t="shared" si="28"/>
        <v>0.70437762565527362</v>
      </c>
      <c r="R56" s="70">
        <f t="shared" si="28"/>
        <v>0.69479594417160029</v>
      </c>
      <c r="S56" s="70">
        <f t="shared" si="28"/>
        <v>0.7100859844339289</v>
      </c>
      <c r="T56" s="70">
        <f t="shared" si="28"/>
        <v>0.699800134347355</v>
      </c>
      <c r="U56" s="70">
        <f t="shared" si="28"/>
        <v>0.70709829610734842</v>
      </c>
      <c r="V56" s="70">
        <f t="shared" si="28"/>
        <v>0.70947858716470225</v>
      </c>
      <c r="W56" s="70">
        <f t="shared" si="28"/>
        <v>0.73002066719920367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0.61658889755181479</v>
      </c>
      <c r="C57" s="71">
        <f t="shared" ref="C57:W57" si="30">IF(C49=0,0,C49/C$47)</f>
        <v>0.65846421622218265</v>
      </c>
      <c r="D57" s="71">
        <f t="shared" si="30"/>
        <v>0.63849969294789277</v>
      </c>
      <c r="E57" s="71">
        <f t="shared" si="30"/>
        <v>0.66515469885320988</v>
      </c>
      <c r="F57" s="71">
        <f t="shared" si="30"/>
        <v>0.65764297141628481</v>
      </c>
      <c r="G57" s="71">
        <f t="shared" si="30"/>
        <v>0.63030603209796465</v>
      </c>
      <c r="H57" s="71">
        <f t="shared" si="30"/>
        <v>0.63358837545488722</v>
      </c>
      <c r="I57" s="71">
        <f t="shared" si="30"/>
        <v>0.57553185194990497</v>
      </c>
      <c r="J57" s="71">
        <f t="shared" si="30"/>
        <v>0.60339432306466978</v>
      </c>
      <c r="K57" s="71">
        <f t="shared" si="30"/>
        <v>0.54948006972702634</v>
      </c>
      <c r="L57" s="71">
        <f t="shared" si="30"/>
        <v>0.54032018787918601</v>
      </c>
      <c r="M57" s="71">
        <f t="shared" si="30"/>
        <v>0.51822692212603738</v>
      </c>
      <c r="N57" s="71">
        <f t="shared" si="30"/>
        <v>0.51680654157033012</v>
      </c>
      <c r="O57" s="71">
        <f t="shared" si="30"/>
        <v>0.50804064275870875</v>
      </c>
      <c r="P57" s="71">
        <f t="shared" si="30"/>
        <v>0.46811524710991737</v>
      </c>
      <c r="Q57" s="71">
        <f t="shared" si="30"/>
        <v>0.47677191086248016</v>
      </c>
      <c r="R57" s="71">
        <f t="shared" si="30"/>
        <v>0.46027927338679386</v>
      </c>
      <c r="S57" s="71">
        <f t="shared" si="30"/>
        <v>0.49190230944990493</v>
      </c>
      <c r="T57" s="71">
        <f t="shared" si="30"/>
        <v>0.47679642947382062</v>
      </c>
      <c r="U57" s="71">
        <f t="shared" si="30"/>
        <v>0.48740564966904376</v>
      </c>
      <c r="V57" s="71">
        <f t="shared" si="30"/>
        <v>0.48484490126065183</v>
      </c>
      <c r="W57" s="71">
        <f t="shared" si="30"/>
        <v>0.51851853850394847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7.3927373925244989E-3</v>
      </c>
      <c r="C58" s="72">
        <f t="shared" ref="C58:W58" si="32">IF(C50=0,0,C50/C$47)</f>
        <v>6.4127563122204339E-3</v>
      </c>
      <c r="D58" s="72">
        <f t="shared" si="32"/>
        <v>6.7210841358749584E-3</v>
      </c>
      <c r="E58" s="72">
        <f t="shared" si="32"/>
        <v>6.7063952415844204E-3</v>
      </c>
      <c r="F58" s="72">
        <f t="shared" si="32"/>
        <v>6.0639897591964267E-3</v>
      </c>
      <c r="G58" s="72">
        <f t="shared" si="32"/>
        <v>6.5368708380604025E-3</v>
      </c>
      <c r="H58" s="72">
        <f t="shared" si="32"/>
        <v>6.6782988222124267E-3</v>
      </c>
      <c r="I58" s="72">
        <f t="shared" si="32"/>
        <v>7.7085470676260537E-3</v>
      </c>
      <c r="J58" s="72">
        <f t="shared" si="32"/>
        <v>6.808580558783351E-3</v>
      </c>
      <c r="K58" s="72">
        <f t="shared" si="32"/>
        <v>7.8284492531591979E-3</v>
      </c>
      <c r="L58" s="72">
        <f t="shared" si="32"/>
        <v>8.412550373986475E-3</v>
      </c>
      <c r="M58" s="72">
        <f t="shared" si="32"/>
        <v>8.52710757027118E-3</v>
      </c>
      <c r="N58" s="72">
        <f t="shared" si="32"/>
        <v>8.8427616998902527E-3</v>
      </c>
      <c r="O58" s="72">
        <f t="shared" si="32"/>
        <v>9.3734220685558305E-3</v>
      </c>
      <c r="P58" s="72">
        <f t="shared" si="32"/>
        <v>8.5953101436161469E-3</v>
      </c>
      <c r="Q58" s="72">
        <f t="shared" si="32"/>
        <v>9.6378374508533718E-3</v>
      </c>
      <c r="R58" s="72">
        <f t="shared" si="32"/>
        <v>8.5459170180916359E-3</v>
      </c>
      <c r="S58" s="72">
        <f t="shared" si="32"/>
        <v>8.3432507362804428E-3</v>
      </c>
      <c r="T58" s="72">
        <f t="shared" si="32"/>
        <v>8.3967856830351809E-3</v>
      </c>
      <c r="U58" s="72">
        <f t="shared" si="32"/>
        <v>8.5398860711412526E-3</v>
      </c>
      <c r="V58" s="72">
        <f t="shared" si="32"/>
        <v>8.3157616255711483E-3</v>
      </c>
      <c r="W58" s="72">
        <f t="shared" si="32"/>
        <v>7.9981585509399673E-3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9.631556247774728E-2</v>
      </c>
      <c r="C59" s="72">
        <f t="shared" ref="C59:W59" si="34">IF(C51=0,0,C51/C$47)</f>
        <v>8.4749466278928792E-2</v>
      </c>
      <c r="D59" s="72">
        <f t="shared" si="34"/>
        <v>8.699866988521969E-2</v>
      </c>
      <c r="E59" s="72">
        <f t="shared" si="34"/>
        <v>7.8952237981308585E-2</v>
      </c>
      <c r="F59" s="72">
        <f t="shared" si="34"/>
        <v>8.0771329392478844E-2</v>
      </c>
      <c r="G59" s="72">
        <f t="shared" si="34"/>
        <v>8.8189167665262955E-2</v>
      </c>
      <c r="H59" s="72">
        <f t="shared" si="34"/>
        <v>8.6728973763707085E-2</v>
      </c>
      <c r="I59" s="72">
        <f t="shared" si="34"/>
        <v>0.10082067686431531</v>
      </c>
      <c r="J59" s="72">
        <f t="shared" si="34"/>
        <v>9.2455264302170173E-2</v>
      </c>
      <c r="K59" s="72">
        <f t="shared" si="34"/>
        <v>0.10679539135091357</v>
      </c>
      <c r="L59" s="72">
        <f t="shared" si="34"/>
        <v>0.10394422190802656</v>
      </c>
      <c r="M59" s="72">
        <f t="shared" si="34"/>
        <v>0.10858644891696963</v>
      </c>
      <c r="N59" s="72">
        <f t="shared" si="34"/>
        <v>0.10662222431392029</v>
      </c>
      <c r="O59" s="72">
        <f t="shared" si="34"/>
        <v>0.10833318124768937</v>
      </c>
      <c r="P59" s="72">
        <f t="shared" si="34"/>
        <v>0.11747731822615183</v>
      </c>
      <c r="Q59" s="72">
        <f t="shared" si="34"/>
        <v>0.11378221992789486</v>
      </c>
      <c r="R59" s="72">
        <f t="shared" si="34"/>
        <v>0.11770020734333929</v>
      </c>
      <c r="S59" s="72">
        <f t="shared" si="34"/>
        <v>0.10872462521701415</v>
      </c>
      <c r="T59" s="72">
        <f t="shared" si="34"/>
        <v>0.11035028783769106</v>
      </c>
      <c r="U59" s="72">
        <f t="shared" si="34"/>
        <v>0.10728015884415934</v>
      </c>
      <c r="V59" s="72">
        <f t="shared" si="34"/>
        <v>0.11013604819669813</v>
      </c>
      <c r="W59" s="72">
        <f t="shared" si="34"/>
        <v>0.10106155921427902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7.5413557692988589E-2</v>
      </c>
      <c r="C60" s="73">
        <f t="shared" ref="C60:W60" si="36">IF(C52=0,0,C52/C$47)</f>
        <v>6.8578659405816936E-2</v>
      </c>
      <c r="D60" s="73">
        <f t="shared" si="36"/>
        <v>7.6287671856746675E-2</v>
      </c>
      <c r="E60" s="73">
        <f t="shared" si="36"/>
        <v>7.2172358143137452E-2</v>
      </c>
      <c r="F60" s="73">
        <f t="shared" si="36"/>
        <v>7.5839944892611144E-2</v>
      </c>
      <c r="G60" s="73">
        <f t="shared" si="36"/>
        <v>7.9518048409287626E-2</v>
      </c>
      <c r="H60" s="73">
        <f t="shared" si="36"/>
        <v>7.7811793171131252E-2</v>
      </c>
      <c r="I60" s="73">
        <f t="shared" si="36"/>
        <v>8.7899068598204053E-2</v>
      </c>
      <c r="J60" s="73">
        <f t="shared" si="36"/>
        <v>8.1118610081409928E-2</v>
      </c>
      <c r="K60" s="73">
        <f t="shared" si="36"/>
        <v>9.301899660151397E-2</v>
      </c>
      <c r="L60" s="73">
        <f t="shared" si="36"/>
        <v>9.7215788026178973E-2</v>
      </c>
      <c r="M60" s="73">
        <f t="shared" si="36"/>
        <v>0.10106740384156576</v>
      </c>
      <c r="N60" s="73">
        <f t="shared" si="36"/>
        <v>9.8819263004680302E-2</v>
      </c>
      <c r="O60" s="73">
        <f t="shared" si="36"/>
        <v>9.9434493472606425E-2</v>
      </c>
      <c r="P60" s="73">
        <f t="shared" si="36"/>
        <v>0.10663303309878011</v>
      </c>
      <c r="Q60" s="73">
        <f t="shared" si="36"/>
        <v>0.10418565741404522</v>
      </c>
      <c r="R60" s="73">
        <f t="shared" si="36"/>
        <v>0.10827054642337547</v>
      </c>
      <c r="S60" s="73">
        <f t="shared" si="36"/>
        <v>0.10111579903072938</v>
      </c>
      <c r="T60" s="73">
        <f t="shared" si="36"/>
        <v>0.10425663135280809</v>
      </c>
      <c r="U60" s="73">
        <f t="shared" si="36"/>
        <v>0.10387260152300415</v>
      </c>
      <c r="V60" s="73">
        <f t="shared" si="36"/>
        <v>0.10618187608178109</v>
      </c>
      <c r="W60" s="73">
        <f t="shared" si="36"/>
        <v>0.10244241093003627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0.20428924488492498</v>
      </c>
      <c r="C61" s="70">
        <f t="shared" ref="C61:W61" si="38">IF(C53=0,0,C53/C$47)</f>
        <v>0.1817949017808512</v>
      </c>
      <c r="D61" s="70">
        <f t="shared" si="38"/>
        <v>0.19149288117426591</v>
      </c>
      <c r="E61" s="70">
        <f t="shared" si="38"/>
        <v>0.1770143097807596</v>
      </c>
      <c r="F61" s="70">
        <f t="shared" si="38"/>
        <v>0.17968176453942886</v>
      </c>
      <c r="G61" s="70">
        <f t="shared" si="38"/>
        <v>0.19544988098942434</v>
      </c>
      <c r="H61" s="70">
        <f t="shared" si="38"/>
        <v>0.19519255878806197</v>
      </c>
      <c r="I61" s="70">
        <f t="shared" si="38"/>
        <v>0.22803985551994974</v>
      </c>
      <c r="J61" s="70">
        <f t="shared" si="38"/>
        <v>0.21622322199296679</v>
      </c>
      <c r="K61" s="70">
        <f t="shared" si="38"/>
        <v>0.24287709306738678</v>
      </c>
      <c r="L61" s="70">
        <f t="shared" si="38"/>
        <v>0.25010725181262189</v>
      </c>
      <c r="M61" s="70">
        <f t="shared" si="38"/>
        <v>0.26359211754515605</v>
      </c>
      <c r="N61" s="70">
        <f t="shared" si="38"/>
        <v>0.26890920941117907</v>
      </c>
      <c r="O61" s="70">
        <f t="shared" si="38"/>
        <v>0.27481826045243957</v>
      </c>
      <c r="P61" s="70">
        <f t="shared" si="38"/>
        <v>0.29917909142153448</v>
      </c>
      <c r="Q61" s="70">
        <f t="shared" si="38"/>
        <v>0.29562237434472644</v>
      </c>
      <c r="R61" s="70">
        <f t="shared" si="38"/>
        <v>0.30520405582839977</v>
      </c>
      <c r="S61" s="70">
        <f t="shared" si="38"/>
        <v>0.28991401556607099</v>
      </c>
      <c r="T61" s="70">
        <f t="shared" si="38"/>
        <v>0.30019986565264506</v>
      </c>
      <c r="U61" s="70">
        <f t="shared" si="38"/>
        <v>0.29290170389265158</v>
      </c>
      <c r="V61" s="70">
        <f t="shared" si="38"/>
        <v>0.29052141283529781</v>
      </c>
      <c r="W61" s="70">
        <f t="shared" si="38"/>
        <v>0.26997933280079639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2958.9846021202111</v>
      </c>
      <c r="C65" s="80">
        <v>3964.3284480581292</v>
      </c>
      <c r="D65" s="80">
        <v>3828.1061311640683</v>
      </c>
      <c r="E65" s="80">
        <v>4490.2416591065339</v>
      </c>
      <c r="F65" s="80">
        <v>4332.3450981125216</v>
      </c>
      <c r="G65" s="80">
        <v>3602.833029926669</v>
      </c>
      <c r="H65" s="80">
        <v>3628.1954025034925</v>
      </c>
      <c r="I65" s="80">
        <v>2650.5417977914785</v>
      </c>
      <c r="J65" s="80">
        <v>2841.3335942386207</v>
      </c>
      <c r="K65" s="80">
        <v>2272.3018284222053</v>
      </c>
      <c r="L65" s="80">
        <v>1765.8278098876924</v>
      </c>
      <c r="M65" s="80">
        <v>1581.3454966463894</v>
      </c>
      <c r="N65" s="80">
        <v>1435.9855202092954</v>
      </c>
      <c r="O65" s="80">
        <v>1436.7450878015638</v>
      </c>
      <c r="P65" s="80">
        <v>1311.4538559823143</v>
      </c>
      <c r="Q65" s="80">
        <v>1383.7824532074042</v>
      </c>
      <c r="R65" s="80">
        <v>1291.8092374800001</v>
      </c>
      <c r="S65" s="80">
        <v>1498.5978030000001</v>
      </c>
      <c r="T65" s="80">
        <v>1377.5239666799998</v>
      </c>
      <c r="U65" s="80">
        <v>1396.8035701200001</v>
      </c>
      <c r="V65" s="80">
        <v>1343.9147738399997</v>
      </c>
      <c r="W65" s="80">
        <v>1563.95467512</v>
      </c>
      <c r="DA65" s="103" t="s">
        <v>218</v>
      </c>
    </row>
    <row r="66" spans="1:105" ht="12" customHeight="1" x14ac:dyDescent="0.25">
      <c r="A66" s="58" t="s">
        <v>29</v>
      </c>
      <c r="B66" s="59">
        <v>108.63683516021109</v>
      </c>
      <c r="C66" s="59">
        <v>115.70874365812817</v>
      </c>
      <c r="D66" s="59">
        <v>81.513682964068138</v>
      </c>
      <c r="E66" s="59">
        <v>112.22350542653277</v>
      </c>
      <c r="F66" s="59">
        <v>81.045471672520065</v>
      </c>
      <c r="G66" s="59">
        <v>67.264527806668895</v>
      </c>
      <c r="H66" s="59">
        <v>49.080088263491618</v>
      </c>
      <c r="I66" s="59">
        <v>38.685383991478012</v>
      </c>
      <c r="J66" s="59">
        <v>23.820653278620302</v>
      </c>
      <c r="K66" s="59">
        <v>18.147125302205318</v>
      </c>
      <c r="L66" s="59">
        <v>20.302414447691977</v>
      </c>
      <c r="M66" s="59">
        <v>14.245010486388994</v>
      </c>
      <c r="N66" s="59">
        <v>0.28763324929536299</v>
      </c>
      <c r="O66" s="59">
        <v>0.72282824156378567</v>
      </c>
      <c r="P66" s="59">
        <v>9.0955702314335099E-2</v>
      </c>
      <c r="Q66" s="59">
        <v>6.2605007404109361E-2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1367.9671485599999</v>
      </c>
      <c r="C67" s="55">
        <f t="shared" ref="C67:W67" si="39">SUM(C68:C69)</f>
        <v>1803.3887232000004</v>
      </c>
      <c r="D67" s="55">
        <f t="shared" si="39"/>
        <v>1881.5256666</v>
      </c>
      <c r="E67" s="55">
        <f t="shared" si="39"/>
        <v>2276.6767048800002</v>
      </c>
      <c r="F67" s="55">
        <f t="shared" si="39"/>
        <v>1777.28455764</v>
      </c>
      <c r="G67" s="55">
        <f t="shared" si="39"/>
        <v>2082.5169584400001</v>
      </c>
      <c r="H67" s="55">
        <f t="shared" si="39"/>
        <v>2087.2404770400003</v>
      </c>
      <c r="I67" s="55">
        <f t="shared" si="39"/>
        <v>1481.8174686000002</v>
      </c>
      <c r="J67" s="55">
        <f t="shared" si="39"/>
        <v>1635.5533824000001</v>
      </c>
      <c r="K67" s="55">
        <f t="shared" si="39"/>
        <v>1332.2688494399999</v>
      </c>
      <c r="L67" s="55">
        <f t="shared" si="39"/>
        <v>773.85890844000028</v>
      </c>
      <c r="M67" s="55">
        <f t="shared" si="39"/>
        <v>724.1800777200001</v>
      </c>
      <c r="N67" s="55">
        <f t="shared" si="39"/>
        <v>493.68394332000003</v>
      </c>
      <c r="O67" s="55">
        <f t="shared" si="39"/>
        <v>486.15550524000008</v>
      </c>
      <c r="P67" s="55">
        <f t="shared" si="39"/>
        <v>516.67796880000003</v>
      </c>
      <c r="Q67" s="55">
        <f t="shared" si="39"/>
        <v>532.62203580000005</v>
      </c>
      <c r="R67" s="55">
        <f t="shared" si="39"/>
        <v>490.99078080000004</v>
      </c>
      <c r="S67" s="55">
        <f t="shared" si="39"/>
        <v>656.23354884000014</v>
      </c>
      <c r="T67" s="55">
        <f t="shared" si="39"/>
        <v>580.33654883999998</v>
      </c>
      <c r="U67" s="55">
        <f t="shared" si="39"/>
        <v>544.08523068</v>
      </c>
      <c r="V67" s="55">
        <f t="shared" si="39"/>
        <v>526.82036075999997</v>
      </c>
      <c r="W67" s="55">
        <f t="shared" si="39"/>
        <v>662.76593567999998</v>
      </c>
      <c r="DA67" s="101"/>
    </row>
    <row r="68" spans="1:105" ht="12" customHeight="1" x14ac:dyDescent="0.25">
      <c r="A68" s="61" t="s">
        <v>52</v>
      </c>
      <c r="B68" s="55">
        <v>69.662475719999989</v>
      </c>
      <c r="C68" s="55">
        <v>95.785875720000007</v>
      </c>
      <c r="D68" s="55">
        <v>179.96114952000002</v>
      </c>
      <c r="E68" s="55">
        <v>214.79250096000004</v>
      </c>
      <c r="F68" s="55">
        <v>252.52627572</v>
      </c>
      <c r="G68" s="55">
        <v>200.79603756000003</v>
      </c>
      <c r="H68" s="55">
        <v>200.11387608000004</v>
      </c>
      <c r="I68" s="55">
        <v>151.16748372000001</v>
      </c>
      <c r="J68" s="55">
        <v>122.8322268</v>
      </c>
      <c r="K68" s="55">
        <v>134.96506955999999</v>
      </c>
      <c r="L68" s="55">
        <v>174.94840980000001</v>
      </c>
      <c r="M68" s="55">
        <v>144.19253591999998</v>
      </c>
      <c r="N68" s="55">
        <v>10.921852800000002</v>
      </c>
      <c r="O68" s="55">
        <v>10.536362280000002</v>
      </c>
      <c r="P68" s="55">
        <v>8.4483075600000017</v>
      </c>
      <c r="Q68" s="55">
        <v>9.07981236</v>
      </c>
      <c r="R68" s="55">
        <v>7.8224817600000014</v>
      </c>
      <c r="S68" s="55">
        <v>20.045279879999999</v>
      </c>
      <c r="T68" s="55">
        <v>18.203239440000001</v>
      </c>
      <c r="U68" s="55">
        <v>20.0627712</v>
      </c>
      <c r="V68" s="55">
        <v>19.538940239999999</v>
      </c>
      <c r="W68" s="55">
        <v>22.492701719999999</v>
      </c>
      <c r="DA68" s="101" t="s">
        <v>220</v>
      </c>
    </row>
    <row r="69" spans="1:105" ht="12" customHeight="1" x14ac:dyDescent="0.25">
      <c r="A69" s="61" t="s">
        <v>170</v>
      </c>
      <c r="B69" s="55">
        <v>1298.30467284</v>
      </c>
      <c r="C69" s="55">
        <v>1707.6028474800005</v>
      </c>
      <c r="D69" s="55">
        <v>1701.5645170800001</v>
      </c>
      <c r="E69" s="55">
        <v>2061.8842039200003</v>
      </c>
      <c r="F69" s="55">
        <v>1524.7582819199999</v>
      </c>
      <c r="G69" s="55">
        <v>1881.72092088</v>
      </c>
      <c r="H69" s="55">
        <v>1887.1266009600004</v>
      </c>
      <c r="I69" s="55">
        <v>1330.6499848800001</v>
      </c>
      <c r="J69" s="55">
        <v>1512.7211556000002</v>
      </c>
      <c r="K69" s="55">
        <v>1197.3037798799999</v>
      </c>
      <c r="L69" s="55">
        <v>598.91049864000024</v>
      </c>
      <c r="M69" s="55">
        <v>579.98754180000014</v>
      </c>
      <c r="N69" s="55">
        <v>482.76209052000002</v>
      </c>
      <c r="O69" s="55">
        <v>475.61914296000009</v>
      </c>
      <c r="P69" s="55">
        <v>508.22966124000004</v>
      </c>
      <c r="Q69" s="55">
        <v>523.54222344000004</v>
      </c>
      <c r="R69" s="55">
        <v>483.16829904000002</v>
      </c>
      <c r="S69" s="55">
        <v>636.18826896000019</v>
      </c>
      <c r="T69" s="55">
        <v>562.13330940000003</v>
      </c>
      <c r="U69" s="55">
        <v>524.02245947999995</v>
      </c>
      <c r="V69" s="55">
        <v>507.28142051999998</v>
      </c>
      <c r="W69" s="55">
        <v>640.27323395999997</v>
      </c>
      <c r="DA69" s="101" t="s">
        <v>221</v>
      </c>
    </row>
    <row r="70" spans="1:105" ht="12" customHeight="1" x14ac:dyDescent="0.25">
      <c r="A70" s="60" t="s">
        <v>153</v>
      </c>
      <c r="B70" s="55">
        <v>1402.15779</v>
      </c>
      <c r="C70" s="55">
        <v>1955.4272100000003</v>
      </c>
      <c r="D70" s="55">
        <v>1776.6926100000001</v>
      </c>
      <c r="E70" s="55">
        <v>2008.39122</v>
      </c>
      <c r="F70" s="55">
        <v>2399.0828400000009</v>
      </c>
      <c r="G70" s="55">
        <v>1299.4486084800001</v>
      </c>
      <c r="H70" s="55">
        <v>1388.7799596000002</v>
      </c>
      <c r="I70" s="55">
        <v>1083.1458132</v>
      </c>
      <c r="J70" s="55">
        <v>1174.2895533600001</v>
      </c>
      <c r="K70" s="55">
        <v>914.16951648000008</v>
      </c>
      <c r="L70" s="55">
        <v>963.13007340000001</v>
      </c>
      <c r="M70" s="55">
        <v>835.82337564000011</v>
      </c>
      <c r="N70" s="55">
        <v>942.01394363999998</v>
      </c>
      <c r="O70" s="55">
        <v>949.86675432000004</v>
      </c>
      <c r="P70" s="55">
        <v>794.68493147999993</v>
      </c>
      <c r="Q70" s="55">
        <v>851.09781239999995</v>
      </c>
      <c r="R70" s="55">
        <v>800.81845668000005</v>
      </c>
      <c r="S70" s="55">
        <v>842.36425415999997</v>
      </c>
      <c r="T70" s="55">
        <v>797.18741783999997</v>
      </c>
      <c r="U70" s="55">
        <v>852.71833944000014</v>
      </c>
      <c r="V70" s="55">
        <v>817.09441307999987</v>
      </c>
      <c r="W70" s="55">
        <v>901.18873943999995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80.222828400000026</v>
      </c>
      <c r="C71" s="55">
        <f t="shared" ref="C71:W71" si="40">SUM(C72:C76)</f>
        <v>89.803771199999986</v>
      </c>
      <c r="D71" s="55">
        <f t="shared" si="40"/>
        <v>88.374171599999983</v>
      </c>
      <c r="E71" s="55">
        <f t="shared" si="40"/>
        <v>92.950228800000033</v>
      </c>
      <c r="F71" s="55">
        <f t="shared" si="40"/>
        <v>74.932228800000019</v>
      </c>
      <c r="G71" s="55">
        <f t="shared" si="40"/>
        <v>153.60293519999999</v>
      </c>
      <c r="H71" s="55">
        <f t="shared" si="40"/>
        <v>103.09487759999998</v>
      </c>
      <c r="I71" s="55">
        <f t="shared" si="40"/>
        <v>46.893132000000001</v>
      </c>
      <c r="J71" s="55">
        <f t="shared" si="40"/>
        <v>7.6700051999999994</v>
      </c>
      <c r="K71" s="55">
        <f t="shared" si="40"/>
        <v>7.7163371999999999</v>
      </c>
      <c r="L71" s="55">
        <f t="shared" si="40"/>
        <v>8.536413600000003</v>
      </c>
      <c r="M71" s="55">
        <f t="shared" si="40"/>
        <v>7.0970328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80.222828400000026</v>
      </c>
      <c r="C72" s="55">
        <v>89.803771199999986</v>
      </c>
      <c r="D72" s="55">
        <v>88.374171599999983</v>
      </c>
      <c r="E72" s="55">
        <v>92.950228800000033</v>
      </c>
      <c r="F72" s="55">
        <v>74.932228800000019</v>
      </c>
      <c r="G72" s="55">
        <v>153.60293519999999</v>
      </c>
      <c r="H72" s="55">
        <v>103.09487759999998</v>
      </c>
      <c r="I72" s="55">
        <v>46.893132000000001</v>
      </c>
      <c r="J72" s="55">
        <v>7.6700051999999994</v>
      </c>
      <c r="K72" s="55">
        <v>7.7163371999999999</v>
      </c>
      <c r="L72" s="55">
        <v>8.536413600000003</v>
      </c>
      <c r="M72" s="55">
        <v>7.0970328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2958.9846021202115</v>
      </c>
      <c r="C81" s="82">
        <f t="shared" ref="C81:W81" si="42">C82+C87</f>
        <v>3964.3284480581292</v>
      </c>
      <c r="D81" s="82">
        <f t="shared" si="42"/>
        <v>3828.1061311640683</v>
      </c>
      <c r="E81" s="82">
        <f t="shared" si="42"/>
        <v>4490.2416591065339</v>
      </c>
      <c r="F81" s="82">
        <f t="shared" si="42"/>
        <v>4332.3450981125206</v>
      </c>
      <c r="G81" s="82">
        <f t="shared" si="42"/>
        <v>3602.83302992667</v>
      </c>
      <c r="H81" s="82">
        <f t="shared" si="42"/>
        <v>3628.1954025034925</v>
      </c>
      <c r="I81" s="82">
        <f t="shared" si="42"/>
        <v>2650.5417977914772</v>
      </c>
      <c r="J81" s="82">
        <f t="shared" si="42"/>
        <v>2841.3335942386207</v>
      </c>
      <c r="K81" s="82">
        <f t="shared" si="42"/>
        <v>2272.3018284222048</v>
      </c>
      <c r="L81" s="82">
        <f t="shared" si="42"/>
        <v>1765.8278098876926</v>
      </c>
      <c r="M81" s="82">
        <f t="shared" si="42"/>
        <v>1581.3454966463892</v>
      </c>
      <c r="N81" s="82">
        <f t="shared" si="42"/>
        <v>1435.9855202092949</v>
      </c>
      <c r="O81" s="82">
        <f t="shared" si="42"/>
        <v>1436.7450878015648</v>
      </c>
      <c r="P81" s="82">
        <f t="shared" si="42"/>
        <v>1311.4538559823141</v>
      </c>
      <c r="Q81" s="82">
        <f t="shared" si="42"/>
        <v>1383.7824532074046</v>
      </c>
      <c r="R81" s="82">
        <f t="shared" si="42"/>
        <v>1291.8092374799996</v>
      </c>
      <c r="S81" s="82">
        <f t="shared" si="42"/>
        <v>1498.5978030000001</v>
      </c>
      <c r="T81" s="82">
        <f t="shared" si="42"/>
        <v>1377.5239666799998</v>
      </c>
      <c r="U81" s="82">
        <f t="shared" si="42"/>
        <v>1396.8035701199997</v>
      </c>
      <c r="V81" s="82">
        <f t="shared" si="42"/>
        <v>1343.9147738400002</v>
      </c>
      <c r="W81" s="82">
        <f t="shared" si="42"/>
        <v>1563.9546751200003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2958.9846021202115</v>
      </c>
      <c r="C82" s="64">
        <f t="shared" ref="C82:W82" si="44">SUM(C83:C86)</f>
        <v>3964.3284480581292</v>
      </c>
      <c r="D82" s="64">
        <f t="shared" si="44"/>
        <v>3828.1061311640683</v>
      </c>
      <c r="E82" s="64">
        <f t="shared" si="44"/>
        <v>4490.2416591065339</v>
      </c>
      <c r="F82" s="64">
        <f t="shared" si="44"/>
        <v>4332.3450981125206</v>
      </c>
      <c r="G82" s="64">
        <f t="shared" si="44"/>
        <v>3602.83302992667</v>
      </c>
      <c r="H82" s="64">
        <f t="shared" si="44"/>
        <v>3628.1954025034925</v>
      </c>
      <c r="I82" s="64">
        <f t="shared" si="44"/>
        <v>2650.5417977914772</v>
      </c>
      <c r="J82" s="64">
        <f t="shared" si="44"/>
        <v>2841.3335942386207</v>
      </c>
      <c r="K82" s="64">
        <f t="shared" si="44"/>
        <v>2272.3018284222048</v>
      </c>
      <c r="L82" s="64">
        <f t="shared" si="44"/>
        <v>1765.8278098876926</v>
      </c>
      <c r="M82" s="64">
        <f t="shared" si="44"/>
        <v>1581.3454966463892</v>
      </c>
      <c r="N82" s="64">
        <f t="shared" si="44"/>
        <v>1435.9855202092949</v>
      </c>
      <c r="O82" s="64">
        <f t="shared" si="44"/>
        <v>1436.7450878015648</v>
      </c>
      <c r="P82" s="64">
        <f t="shared" si="44"/>
        <v>1311.4538559823141</v>
      </c>
      <c r="Q82" s="64">
        <f t="shared" si="44"/>
        <v>1383.7824532074046</v>
      </c>
      <c r="R82" s="64">
        <f t="shared" si="44"/>
        <v>1291.8092374799996</v>
      </c>
      <c r="S82" s="64">
        <f t="shared" si="44"/>
        <v>1498.5978030000001</v>
      </c>
      <c r="T82" s="64">
        <f t="shared" si="44"/>
        <v>1377.5239666799998</v>
      </c>
      <c r="U82" s="64">
        <f t="shared" si="44"/>
        <v>1396.8035701199997</v>
      </c>
      <c r="V82" s="64">
        <f t="shared" si="44"/>
        <v>1343.9147738400002</v>
      </c>
      <c r="W82" s="64">
        <f t="shared" si="44"/>
        <v>1563.9546751200003</v>
      </c>
      <c r="DA82" s="108" t="s">
        <v>232</v>
      </c>
    </row>
    <row r="83" spans="1:105" ht="12" customHeight="1" x14ac:dyDescent="0.25">
      <c r="A83" s="61" t="s">
        <v>32</v>
      </c>
      <c r="B83" s="65">
        <v>2477.8261612112692</v>
      </c>
      <c r="C83" s="65">
        <v>3440.9366136944777</v>
      </c>
      <c r="D83" s="65">
        <v>3208.1376720367984</v>
      </c>
      <c r="E83" s="65">
        <v>3828.1469452042029</v>
      </c>
      <c r="F83" s="65">
        <v>3625.2032302116518</v>
      </c>
      <c r="G83" s="65">
        <v>2940.1147547166611</v>
      </c>
      <c r="H83" s="65">
        <v>2981.9080725150943</v>
      </c>
      <c r="I83" s="65">
        <v>2065.4170811836434</v>
      </c>
      <c r="J83" s="65">
        <v>2300.8516566439539</v>
      </c>
      <c r="K83" s="65">
        <v>1716.8991133212965</v>
      </c>
      <c r="L83" s="65">
        <v>1187.9942246366618</v>
      </c>
      <c r="M83" s="65">
        <v>1039.2558357106639</v>
      </c>
      <c r="N83" s="65">
        <v>1044.1964722574114</v>
      </c>
      <c r="O83" s="65">
        <v>1045.2570813616335</v>
      </c>
      <c r="P83" s="65">
        <v>924.14443301698702</v>
      </c>
      <c r="Q83" s="65">
        <v>997.16878705061481</v>
      </c>
      <c r="R83" s="65">
        <v>907.91858436182838</v>
      </c>
      <c r="S83" s="65">
        <v>1102.1451528622711</v>
      </c>
      <c r="T83" s="65">
        <v>984.80752023282457</v>
      </c>
      <c r="U83" s="65">
        <v>998.89170956892258</v>
      </c>
      <c r="V83" s="65">
        <v>975.75081548693424</v>
      </c>
      <c r="W83" s="65">
        <v>1183.0302551661266</v>
      </c>
      <c r="DA83" s="109" t="s">
        <v>233</v>
      </c>
    </row>
    <row r="84" spans="1:105" ht="12" customHeight="1" x14ac:dyDescent="0.25">
      <c r="A84" s="61" t="s">
        <v>31</v>
      </c>
      <c r="B84" s="65">
        <v>9.1592199936101029E-2</v>
      </c>
      <c r="C84" s="65">
        <v>9.8737193669760664E-2</v>
      </c>
      <c r="D84" s="65">
        <v>0.11865895179222748</v>
      </c>
      <c r="E84" s="65">
        <v>0.13643098188183198</v>
      </c>
      <c r="F84" s="65">
        <v>0.15646359647247934</v>
      </c>
      <c r="G84" s="65">
        <v>0.18295176303785432</v>
      </c>
      <c r="H84" s="65">
        <v>0.2143901104019228</v>
      </c>
      <c r="I84" s="65">
        <v>0.26629055421130038</v>
      </c>
      <c r="J84" s="65">
        <v>0.30159804998504197</v>
      </c>
      <c r="K84" s="65">
        <v>0.36177964884406982</v>
      </c>
      <c r="L84" s="65">
        <v>0.4088538488684938</v>
      </c>
      <c r="M84" s="65">
        <v>0.46689021870678254</v>
      </c>
      <c r="N84" s="65">
        <v>0.51141731829564419</v>
      </c>
      <c r="O84" s="65">
        <v>0.61024454346331636</v>
      </c>
      <c r="P84" s="65">
        <v>0.60039475523992059</v>
      </c>
      <c r="Q84" s="65">
        <v>0.82506148777544075</v>
      </c>
      <c r="R84" s="65">
        <v>0.73696546267913254</v>
      </c>
      <c r="S84" s="65">
        <v>0.87538455655306935</v>
      </c>
      <c r="T84" s="65">
        <v>0.91952361254854575</v>
      </c>
      <c r="U84" s="65">
        <v>1.0513670695390054</v>
      </c>
      <c r="V84" s="65">
        <v>0.9827953990776368</v>
      </c>
      <c r="W84" s="65">
        <v>1.0537732949000977</v>
      </c>
      <c r="DA84" s="109" t="s">
        <v>234</v>
      </c>
    </row>
    <row r="85" spans="1:105" ht="12" customHeight="1" x14ac:dyDescent="0.25">
      <c r="A85" s="61" t="s">
        <v>35</v>
      </c>
      <c r="B85" s="65">
        <v>316.08948394252212</v>
      </c>
      <c r="C85" s="65">
        <v>321.40900924139464</v>
      </c>
      <c r="D85" s="65">
        <v>321.16790351134205</v>
      </c>
      <c r="E85" s="65">
        <v>322.85927960343406</v>
      </c>
      <c r="F85" s="65">
        <v>320.29467624481487</v>
      </c>
      <c r="G85" s="65">
        <v>317.5998490268837</v>
      </c>
      <c r="H85" s="65">
        <v>301.43988213724691</v>
      </c>
      <c r="I85" s="65">
        <v>288.3080049718011</v>
      </c>
      <c r="J85" s="65">
        <v>265.80664969063628</v>
      </c>
      <c r="K85" s="65">
        <v>254.57222244756355</v>
      </c>
      <c r="L85" s="65">
        <v>217.3659431500532</v>
      </c>
      <c r="M85" s="65">
        <v>200.53305410690163</v>
      </c>
      <c r="N85" s="65">
        <v>159.330746484804</v>
      </c>
      <c r="O85" s="65">
        <v>156.69614640842346</v>
      </c>
      <c r="P85" s="65">
        <v>151.01049682721103</v>
      </c>
      <c r="Q85" s="65">
        <v>147.45878328844117</v>
      </c>
      <c r="R85" s="65">
        <v>145.44386324937824</v>
      </c>
      <c r="S85" s="65">
        <v>144.19031804713109</v>
      </c>
      <c r="T85" s="65">
        <v>140.08003128151159</v>
      </c>
      <c r="U85" s="65">
        <v>135.08799594102652</v>
      </c>
      <c r="V85" s="65">
        <v>123.21304739506155</v>
      </c>
      <c r="W85" s="65">
        <v>129.9904131740096</v>
      </c>
      <c r="DA85" s="109" t="s">
        <v>235</v>
      </c>
    </row>
    <row r="86" spans="1:105" ht="12" customHeight="1" x14ac:dyDescent="0.25">
      <c r="A86" s="66" t="s">
        <v>34</v>
      </c>
      <c r="B86" s="67">
        <v>164.97736476648359</v>
      </c>
      <c r="C86" s="67">
        <v>201.88408792858672</v>
      </c>
      <c r="D86" s="67">
        <v>298.68189666413531</v>
      </c>
      <c r="E86" s="67">
        <v>339.09900331701454</v>
      </c>
      <c r="F86" s="67">
        <v>386.69072805958132</v>
      </c>
      <c r="G86" s="67">
        <v>344.93547442008725</v>
      </c>
      <c r="H86" s="67">
        <v>344.63305774074917</v>
      </c>
      <c r="I86" s="67">
        <v>296.55042108182187</v>
      </c>
      <c r="J86" s="67">
        <v>274.37368985404549</v>
      </c>
      <c r="K86" s="67">
        <v>300.46871300450067</v>
      </c>
      <c r="L86" s="67">
        <v>360.05878825210891</v>
      </c>
      <c r="M86" s="67">
        <v>341.08971661011708</v>
      </c>
      <c r="N86" s="67">
        <v>231.94688414878388</v>
      </c>
      <c r="O86" s="67">
        <v>234.18161548804451</v>
      </c>
      <c r="P86" s="67">
        <v>235.69853138287604</v>
      </c>
      <c r="Q86" s="67">
        <v>238.32982138057321</v>
      </c>
      <c r="R86" s="67">
        <v>237.70982440611394</v>
      </c>
      <c r="S86" s="67">
        <v>251.38694753404491</v>
      </c>
      <c r="T86" s="67">
        <v>251.71689155311518</v>
      </c>
      <c r="U86" s="67">
        <v>261.77249754051184</v>
      </c>
      <c r="V86" s="67">
        <v>243.96811555892677</v>
      </c>
      <c r="W86" s="67">
        <v>249.88023348496412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0.83739069119718423</v>
      </c>
      <c r="C91" s="71">
        <f t="shared" ref="C91:W91" si="50">IF(C83=0,0,C83/C$81)</f>
        <v>0.86797465416367614</v>
      </c>
      <c r="D91" s="71">
        <f t="shared" si="50"/>
        <v>0.83804825731444732</v>
      </c>
      <c r="E91" s="71">
        <f t="shared" si="50"/>
        <v>0.85254808890751899</v>
      </c>
      <c r="F91" s="71">
        <f t="shared" si="50"/>
        <v>0.83677619121132563</v>
      </c>
      <c r="G91" s="71">
        <f t="shared" si="50"/>
        <v>0.81605634518580572</v>
      </c>
      <c r="H91" s="71">
        <f t="shared" si="50"/>
        <v>0.82187085912118918</v>
      </c>
      <c r="I91" s="71">
        <f t="shared" si="50"/>
        <v>0.77924335428500702</v>
      </c>
      <c r="J91" s="71">
        <f t="shared" si="50"/>
        <v>0.80977878180492313</v>
      </c>
      <c r="K91" s="71">
        <f t="shared" si="50"/>
        <v>0.75557705048076396</v>
      </c>
      <c r="L91" s="71">
        <f t="shared" si="50"/>
        <v>0.67276900838492215</v>
      </c>
      <c r="M91" s="71">
        <f t="shared" si="50"/>
        <v>0.65719720194900322</v>
      </c>
      <c r="N91" s="71">
        <f t="shared" si="50"/>
        <v>0.72716365002428418</v>
      </c>
      <c r="O91" s="71">
        <f t="shared" si="50"/>
        <v>0.72751742131308306</v>
      </c>
      <c r="P91" s="71">
        <f t="shared" si="50"/>
        <v>0.70467171132359674</v>
      </c>
      <c r="Q91" s="71">
        <f t="shared" si="50"/>
        <v>0.72061094917002588</v>
      </c>
      <c r="R91" s="71">
        <f t="shared" si="50"/>
        <v>0.70282713423922638</v>
      </c>
      <c r="S91" s="71">
        <f t="shared" si="50"/>
        <v>0.73545093330306377</v>
      </c>
      <c r="T91" s="71">
        <f t="shared" si="50"/>
        <v>0.71491135112975956</v>
      </c>
      <c r="U91" s="71">
        <f t="shared" si="50"/>
        <v>0.7151268302407815</v>
      </c>
      <c r="V91" s="71">
        <f t="shared" si="50"/>
        <v>0.72605111163329039</v>
      </c>
      <c r="W91" s="71">
        <f t="shared" si="50"/>
        <v>0.75643512819535785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3.095392921966277E-5</v>
      </c>
      <c r="C92" s="72">
        <f t="shared" ref="C92:W92" si="52">IF(C84=0,0,C84/C$81)</f>
        <v>2.4906411000865908E-5</v>
      </c>
      <c r="D92" s="72">
        <f t="shared" si="52"/>
        <v>3.0996776924819773E-5</v>
      </c>
      <c r="E92" s="72">
        <f t="shared" si="52"/>
        <v>3.03838840399915E-5</v>
      </c>
      <c r="F92" s="72">
        <f t="shared" si="52"/>
        <v>3.611522003190514E-5</v>
      </c>
      <c r="G92" s="72">
        <f t="shared" si="52"/>
        <v>5.0779972737614771E-5</v>
      </c>
      <c r="H92" s="72">
        <f t="shared" si="52"/>
        <v>5.9090012145980726E-5</v>
      </c>
      <c r="I92" s="72">
        <f t="shared" si="52"/>
        <v>1.0046646102060449E-4</v>
      </c>
      <c r="J92" s="72">
        <f t="shared" si="52"/>
        <v>1.0614665261291145E-4</v>
      </c>
      <c r="K92" s="72">
        <f t="shared" si="52"/>
        <v>1.5921284941942555E-4</v>
      </c>
      <c r="L92" s="72">
        <f t="shared" si="52"/>
        <v>2.3153664620023006E-4</v>
      </c>
      <c r="M92" s="72">
        <f t="shared" si="52"/>
        <v>2.9524871047910265E-4</v>
      </c>
      <c r="N92" s="72">
        <f t="shared" si="52"/>
        <v>3.561437849464562E-4</v>
      </c>
      <c r="O92" s="72">
        <f t="shared" si="52"/>
        <v>4.2474099869523963E-4</v>
      </c>
      <c r="P92" s="72">
        <f t="shared" si="52"/>
        <v>4.5780852486815776E-4</v>
      </c>
      <c r="Q92" s="72">
        <f t="shared" si="52"/>
        <v>5.9623641408594922E-4</v>
      </c>
      <c r="R92" s="72">
        <f t="shared" si="52"/>
        <v>5.7049093728170721E-4</v>
      </c>
      <c r="S92" s="72">
        <f t="shared" si="52"/>
        <v>5.8413575330262867E-4</v>
      </c>
      <c r="T92" s="72">
        <f t="shared" si="52"/>
        <v>6.6751913926021153E-4</v>
      </c>
      <c r="U92" s="72">
        <f t="shared" si="52"/>
        <v>7.5269500453000859E-4</v>
      </c>
      <c r="V92" s="72">
        <f t="shared" si="52"/>
        <v>7.312929496782536E-4</v>
      </c>
      <c r="W92" s="72">
        <f t="shared" si="52"/>
        <v>6.7378761780244247E-4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0.10682363257856543</v>
      </c>
      <c r="C93" s="72">
        <f t="shared" ref="C93:W93" si="54">IF(C85=0,0,C85/C$81)</f>
        <v>8.1075272508974963E-2</v>
      </c>
      <c r="D93" s="72">
        <f t="shared" si="54"/>
        <v>8.3897335263711667E-2</v>
      </c>
      <c r="E93" s="72">
        <f t="shared" si="54"/>
        <v>7.1902428446952771E-2</v>
      </c>
      <c r="F93" s="72">
        <f t="shared" si="54"/>
        <v>7.3931016341324735E-2</v>
      </c>
      <c r="G93" s="72">
        <f t="shared" si="54"/>
        <v>8.8152808189767243E-2</v>
      </c>
      <c r="H93" s="72">
        <f t="shared" si="54"/>
        <v>8.3082593051424486E-2</v>
      </c>
      <c r="I93" s="72">
        <f t="shared" si="54"/>
        <v>0.1087732346692398</v>
      </c>
      <c r="J93" s="72">
        <f t="shared" si="54"/>
        <v>9.3549961971946233E-2</v>
      </c>
      <c r="K93" s="72">
        <f t="shared" si="54"/>
        <v>0.11203274990291597</v>
      </c>
      <c r="L93" s="72">
        <f t="shared" si="54"/>
        <v>0.12309577521257736</v>
      </c>
      <c r="M93" s="72">
        <f t="shared" si="54"/>
        <v>0.12681166420126316</v>
      </c>
      <c r="N93" s="72">
        <f t="shared" si="54"/>
        <v>0.110955677646096</v>
      </c>
      <c r="O93" s="72">
        <f t="shared" si="54"/>
        <v>0.10906329016805065</v>
      </c>
      <c r="P93" s="72">
        <f t="shared" si="54"/>
        <v>0.11514739625672923</v>
      </c>
      <c r="Q93" s="72">
        <f t="shared" si="54"/>
        <v>0.1065621138255174</v>
      </c>
      <c r="R93" s="72">
        <f t="shared" si="54"/>
        <v>0.11258927326847673</v>
      </c>
      <c r="S93" s="72">
        <f t="shared" si="54"/>
        <v>9.6216821990850784E-2</v>
      </c>
      <c r="T93" s="72">
        <f t="shared" si="54"/>
        <v>0.10168972349651491</v>
      </c>
      <c r="U93" s="72">
        <f t="shared" si="54"/>
        <v>9.6712235586154091E-2</v>
      </c>
      <c r="V93" s="72">
        <f t="shared" si="54"/>
        <v>9.1682188330292652E-2</v>
      </c>
      <c r="W93" s="72">
        <f t="shared" si="54"/>
        <v>8.3116483643642422E-2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5.5754722295030458E-2</v>
      </c>
      <c r="C94" s="73">
        <f t="shared" ref="C94:W94" si="56">IF(C86=0,0,C86/C$81)</f>
        <v>5.0925166916347915E-2</v>
      </c>
      <c r="D94" s="73">
        <f t="shared" si="56"/>
        <v>7.8023410644916136E-2</v>
      </c>
      <c r="E94" s="73">
        <f t="shared" si="56"/>
        <v>7.5519098761488102E-2</v>
      </c>
      <c r="F94" s="73">
        <f t="shared" si="56"/>
        <v>8.9256677227317713E-2</v>
      </c>
      <c r="G94" s="73">
        <f t="shared" si="56"/>
        <v>9.574006665168934E-2</v>
      </c>
      <c r="H94" s="73">
        <f t="shared" si="56"/>
        <v>9.4987457815240262E-2</v>
      </c>
      <c r="I94" s="73">
        <f t="shared" si="56"/>
        <v>0.11188294458473279</v>
      </c>
      <c r="J94" s="73">
        <f t="shared" si="56"/>
        <v>9.6565109570517768E-2</v>
      </c>
      <c r="K94" s="73">
        <f t="shared" si="56"/>
        <v>0.13223098676690062</v>
      </c>
      <c r="L94" s="73">
        <f t="shared" si="56"/>
        <v>0.20390367975630014</v>
      </c>
      <c r="M94" s="73">
        <f t="shared" si="56"/>
        <v>0.21569588513925461</v>
      </c>
      <c r="N94" s="73">
        <f t="shared" si="56"/>
        <v>0.16152452854467336</v>
      </c>
      <c r="O94" s="73">
        <f t="shared" si="56"/>
        <v>0.16299454752017109</v>
      </c>
      <c r="P94" s="73">
        <f t="shared" si="56"/>
        <v>0.17972308389480585</v>
      </c>
      <c r="Q94" s="73">
        <f t="shared" si="56"/>
        <v>0.17223070059037074</v>
      </c>
      <c r="R94" s="73">
        <f t="shared" si="56"/>
        <v>0.18401310155501521</v>
      </c>
      <c r="S94" s="73">
        <f t="shared" si="56"/>
        <v>0.16774810895278278</v>
      </c>
      <c r="T94" s="73">
        <f t="shared" si="56"/>
        <v>0.18273140623446535</v>
      </c>
      <c r="U94" s="73">
        <f t="shared" si="56"/>
        <v>0.18740823916853455</v>
      </c>
      <c r="V94" s="73">
        <f t="shared" si="56"/>
        <v>0.18153540708673868</v>
      </c>
      <c r="W94" s="73">
        <f t="shared" si="56"/>
        <v>0.15977460054319742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203717.71943514724</v>
      </c>
      <c r="C99" s="82">
        <f t="shared" ref="C99:W99" si="60">C47*11630*1000/C$8</f>
        <v>233326.74123683755</v>
      </c>
      <c r="D99" s="82">
        <f t="shared" si="60"/>
        <v>226050.99549476788</v>
      </c>
      <c r="E99" s="82">
        <f t="shared" si="60"/>
        <v>249546.10156780414</v>
      </c>
      <c r="F99" s="82">
        <f t="shared" si="60"/>
        <v>242189.63537817248</v>
      </c>
      <c r="G99" s="82">
        <f t="shared" si="60"/>
        <v>225874.43285511463</v>
      </c>
      <c r="H99" s="82">
        <f t="shared" si="60"/>
        <v>227781.03065429523</v>
      </c>
      <c r="I99" s="82">
        <f t="shared" si="60"/>
        <v>195119.97039309854</v>
      </c>
      <c r="J99" s="82">
        <f t="shared" si="60"/>
        <v>208337.35351050252</v>
      </c>
      <c r="K99" s="82">
        <f t="shared" si="60"/>
        <v>189119.66913048955</v>
      </c>
      <c r="L99" s="82">
        <f t="shared" si="60"/>
        <v>184359.10850922044</v>
      </c>
      <c r="M99" s="82">
        <f t="shared" si="60"/>
        <v>176081.67206989715</v>
      </c>
      <c r="N99" s="82">
        <f t="shared" si="60"/>
        <v>174693.07661935707</v>
      </c>
      <c r="O99" s="82">
        <f t="shared" si="60"/>
        <v>172953.70371790158</v>
      </c>
      <c r="P99" s="82">
        <f t="shared" si="60"/>
        <v>162145.30587746008</v>
      </c>
      <c r="Q99" s="82">
        <f t="shared" si="60"/>
        <v>165643.81025795994</v>
      </c>
      <c r="R99" s="82">
        <f t="shared" si="60"/>
        <v>159136.57692057703</v>
      </c>
      <c r="S99" s="82">
        <f t="shared" si="60"/>
        <v>169497.12499025601</v>
      </c>
      <c r="T99" s="82">
        <f t="shared" si="60"/>
        <v>162714.79012917806</v>
      </c>
      <c r="U99" s="82">
        <f t="shared" si="60"/>
        <v>162561.14139583369</v>
      </c>
      <c r="V99" s="82">
        <f t="shared" si="60"/>
        <v>150790.51145317478</v>
      </c>
      <c r="W99" s="82">
        <f t="shared" si="60"/>
        <v>159829.46197472027</v>
      </c>
      <c r="DA99" s="107"/>
    </row>
    <row r="100" spans="1:105" ht="12" customHeight="1" x14ac:dyDescent="0.25">
      <c r="A100" s="77" t="s">
        <v>36</v>
      </c>
      <c r="B100" s="64">
        <f t="shared" si="59"/>
        <v>162100.38036206205</v>
      </c>
      <c r="C100" s="64">
        <f t="shared" ref="C100:W100" si="61">C48*11630*1000/C$8</f>
        <v>190909.12923084063</v>
      </c>
      <c r="D100" s="64">
        <f t="shared" si="61"/>
        <v>182763.83907516376</v>
      </c>
      <c r="E100" s="64">
        <f t="shared" si="61"/>
        <v>205372.87064029995</v>
      </c>
      <c r="F100" s="64">
        <f t="shared" si="61"/>
        <v>198672.57434026152</v>
      </c>
      <c r="G100" s="64">
        <f t="shared" si="61"/>
        <v>181727.30183502877</v>
      </c>
      <c r="H100" s="64">
        <f t="shared" si="61"/>
        <v>183319.86843750137</v>
      </c>
      <c r="I100" s="64">
        <f t="shared" si="61"/>
        <v>150624.84053559948</v>
      </c>
      <c r="J100" s="64">
        <f t="shared" si="61"/>
        <v>163289.97967297392</v>
      </c>
      <c r="K100" s="64">
        <f t="shared" si="61"/>
        <v>143186.8336502102</v>
      </c>
      <c r="L100" s="64">
        <f t="shared" si="61"/>
        <v>138249.55853335437</v>
      </c>
      <c r="M100" s="64">
        <f t="shared" si="61"/>
        <v>129667.93126810119</v>
      </c>
      <c r="N100" s="64">
        <f t="shared" si="61"/>
        <v>127716.49949603924</v>
      </c>
      <c r="O100" s="64">
        <f t="shared" si="61"/>
        <v>125422.86772334122</v>
      </c>
      <c r="P100" s="64">
        <f t="shared" si="61"/>
        <v>113634.82058677477</v>
      </c>
      <c r="Q100" s="64">
        <f t="shared" si="61"/>
        <v>116675.79377399445</v>
      </c>
      <c r="R100" s="64">
        <f t="shared" si="61"/>
        <v>110567.44821376882</v>
      </c>
      <c r="S100" s="64">
        <f t="shared" si="61"/>
        <v>120357.53285742663</v>
      </c>
      <c r="T100" s="64">
        <f t="shared" si="61"/>
        <v>113867.83199270048</v>
      </c>
      <c r="U100" s="64">
        <f t="shared" si="61"/>
        <v>114946.70609425976</v>
      </c>
      <c r="V100" s="64">
        <f t="shared" si="61"/>
        <v>106982.6390236413</v>
      </c>
      <c r="W100" s="64">
        <f t="shared" si="61"/>
        <v>116678.81046887505</v>
      </c>
      <c r="DA100" s="108"/>
    </row>
    <row r="101" spans="1:105" ht="12" customHeight="1" x14ac:dyDescent="0.25">
      <c r="A101" s="61" t="s">
        <v>32</v>
      </c>
      <c r="B101" s="65">
        <f t="shared" si="59"/>
        <v>125610.08403828733</v>
      </c>
      <c r="C101" s="65">
        <f t="shared" ref="C101:W101" si="62">C49*11630*1000/C$8</f>
        <v>153637.30979219027</v>
      </c>
      <c r="D101" s="65">
        <f t="shared" si="62"/>
        <v>144333.49121397478</v>
      </c>
      <c r="E101" s="65">
        <f t="shared" si="62"/>
        <v>165986.76203832531</v>
      </c>
      <c r="F101" s="65">
        <f t="shared" si="62"/>
        <v>159274.31145632788</v>
      </c>
      <c r="G101" s="65">
        <f t="shared" si="62"/>
        <v>142370.01752528545</v>
      </c>
      <c r="H101" s="65">
        <f t="shared" si="62"/>
        <v>144319.41317169479</v>
      </c>
      <c r="I101" s="65">
        <f t="shared" si="62"/>
        <v>112297.75791275062</v>
      </c>
      <c r="J101" s="65">
        <f t="shared" si="62"/>
        <v>125709.57639055446</v>
      </c>
      <c r="K101" s="65">
        <f t="shared" si="62"/>
        <v>103917.48898057354</v>
      </c>
      <c r="L101" s="65">
        <f t="shared" si="62"/>
        <v>99612.948146941228</v>
      </c>
      <c r="M101" s="65">
        <f t="shared" si="62"/>
        <v>91250.262959589047</v>
      </c>
      <c r="N101" s="65">
        <f t="shared" si="62"/>
        <v>90282.524763930604</v>
      </c>
      <c r="O101" s="65">
        <f t="shared" si="62"/>
        <v>87867.510804342004</v>
      </c>
      <c r="P101" s="65">
        <f t="shared" si="62"/>
        <v>75902.689928540378</v>
      </c>
      <c r="Q101" s="65">
        <f t="shared" si="62"/>
        <v>78974.315939229651</v>
      </c>
      <c r="R101" s="65">
        <f t="shared" si="62"/>
        <v>73247.267994264825</v>
      </c>
      <c r="S101" s="65">
        <f t="shared" si="62"/>
        <v>83376.027227826125</v>
      </c>
      <c r="T101" s="65">
        <f t="shared" si="62"/>
        <v>77581.830956174177</v>
      </c>
      <c r="U101" s="65">
        <f t="shared" si="62"/>
        <v>79233.218732977606</v>
      </c>
      <c r="V101" s="65">
        <f t="shared" si="62"/>
        <v>73110.010636557723</v>
      </c>
      <c r="W101" s="65">
        <f t="shared" si="62"/>
        <v>82874.539033004345</v>
      </c>
      <c r="DA101" s="109"/>
    </row>
    <row r="102" spans="1:105" ht="12" customHeight="1" x14ac:dyDescent="0.25">
      <c r="A102" s="61" t="s">
        <v>31</v>
      </c>
      <c r="B102" s="65">
        <f t="shared" si="59"/>
        <v>1506.0316019880279</v>
      </c>
      <c r="C102" s="65">
        <f t="shared" ref="C102:W102" si="63">C50*11630*1000/C$8</f>
        <v>1496.267532676354</v>
      </c>
      <c r="D102" s="65">
        <f t="shared" si="63"/>
        <v>1519.3077597186259</v>
      </c>
      <c r="E102" s="65">
        <f t="shared" si="63"/>
        <v>1673.5547881102641</v>
      </c>
      <c r="F102" s="65">
        <f t="shared" si="63"/>
        <v>1468.6354687167543</v>
      </c>
      <c r="G102" s="65">
        <f t="shared" si="63"/>
        <v>1476.5119931940314</v>
      </c>
      <c r="H102" s="65">
        <f t="shared" si="63"/>
        <v>1521.1897887409125</v>
      </c>
      <c r="I102" s="65">
        <f t="shared" si="63"/>
        <v>1504.0914756090021</v>
      </c>
      <c r="J102" s="65">
        <f t="shared" si="63"/>
        <v>1418.4816547799817</v>
      </c>
      <c r="K102" s="65">
        <f t="shared" si="63"/>
        <v>1480.5137325622954</v>
      </c>
      <c r="L102" s="65">
        <f t="shared" si="63"/>
        <v>1550.9302872370554</v>
      </c>
      <c r="M102" s="65">
        <f t="shared" si="63"/>
        <v>1501.4673588932274</v>
      </c>
      <c r="N102" s="65">
        <f t="shared" si="63"/>
        <v>1544.7692471656439</v>
      </c>
      <c r="O102" s="65">
        <f t="shared" si="63"/>
        <v>1621.1680632678451</v>
      </c>
      <c r="P102" s="65">
        <f t="shared" si="63"/>
        <v>1393.6891923482754</v>
      </c>
      <c r="Q102" s="65">
        <f t="shared" si="63"/>
        <v>1596.4481180062162</v>
      </c>
      <c r="R102" s="65">
        <f t="shared" si="63"/>
        <v>1359.967980906408</v>
      </c>
      <c r="S102" s="65">
        <f t="shared" si="63"/>
        <v>1414.1570128723715</v>
      </c>
      <c r="T102" s="65">
        <f t="shared" si="63"/>
        <v>1366.2812201747565</v>
      </c>
      <c r="U102" s="65">
        <f t="shared" si="63"/>
        <v>1388.2536271151037</v>
      </c>
      <c r="V102" s="65">
        <f t="shared" si="63"/>
        <v>1253.9379486425576</v>
      </c>
      <c r="W102" s="65">
        <f t="shared" si="63"/>
        <v>1278.3413779852433</v>
      </c>
      <c r="DA102" s="109"/>
    </row>
    <row r="103" spans="1:105" ht="12" customHeight="1" x14ac:dyDescent="0.25">
      <c r="A103" s="61" t="s">
        <v>35</v>
      </c>
      <c r="B103" s="65">
        <f t="shared" si="59"/>
        <v>19621.186734080115</v>
      </c>
      <c r="C103" s="65">
        <f t="shared" ref="C103:W103" si="64">C51*11630*1000/C$8</f>
        <v>19774.316788423708</v>
      </c>
      <c r="D103" s="65">
        <f t="shared" si="64"/>
        <v>19666.135934274593</v>
      </c>
      <c r="E103" s="65">
        <f t="shared" si="64"/>
        <v>19702.223198289077</v>
      </c>
      <c r="F103" s="65">
        <f t="shared" si="64"/>
        <v>19561.978814574712</v>
      </c>
      <c r="G103" s="65">
        <f t="shared" si="64"/>
        <v>19919.678230355883</v>
      </c>
      <c r="H103" s="65">
        <f t="shared" si="64"/>
        <v>19755.215031486536</v>
      </c>
      <c r="I103" s="65">
        <f t="shared" si="64"/>
        <v>19672.12748477736</v>
      </c>
      <c r="J103" s="65">
        <f t="shared" si="64"/>
        <v>19261.885082828172</v>
      </c>
      <c r="K103" s="65">
        <f t="shared" si="64"/>
        <v>20197.109076945919</v>
      </c>
      <c r="L103" s="65">
        <f t="shared" si="64"/>
        <v>19163.064085648355</v>
      </c>
      <c r="M103" s="65">
        <f t="shared" si="64"/>
        <v>19120.083489432483</v>
      </c>
      <c r="N103" s="65">
        <f t="shared" si="64"/>
        <v>18626.164401397953</v>
      </c>
      <c r="O103" s="65">
        <f t="shared" si="64"/>
        <v>18736.6249323306</v>
      </c>
      <c r="P103" s="65">
        <f t="shared" si="64"/>
        <v>19048.395697443106</v>
      </c>
      <c r="Q103" s="65">
        <f t="shared" si="64"/>
        <v>18847.320448465682</v>
      </c>
      <c r="R103" s="65">
        <f t="shared" si="64"/>
        <v>18730.40809946118</v>
      </c>
      <c r="S103" s="65">
        <f t="shared" si="64"/>
        <v>18428.511389926985</v>
      </c>
      <c r="T103" s="65">
        <f t="shared" si="64"/>
        <v>17955.623926204291</v>
      </c>
      <c r="U103" s="65">
        <f t="shared" si="64"/>
        <v>17439.585070832884</v>
      </c>
      <c r="V103" s="65">
        <f t="shared" si="64"/>
        <v>16607.471037011619</v>
      </c>
      <c r="W103" s="65">
        <f t="shared" si="64"/>
        <v>16152.614635544549</v>
      </c>
      <c r="DA103" s="109"/>
    </row>
    <row r="104" spans="1:105" ht="12" customHeight="1" x14ac:dyDescent="0.25">
      <c r="A104" s="66" t="s">
        <v>34</v>
      </c>
      <c r="B104" s="67">
        <f t="shared" si="59"/>
        <v>15363.077987706542</v>
      </c>
      <c r="C104" s="67">
        <f t="shared" ref="C104:W104" si="65">C52*11630*1000/C$8</f>
        <v>16001.235117550264</v>
      </c>
      <c r="D104" s="67">
        <f t="shared" si="65"/>
        <v>17244.904167195771</v>
      </c>
      <c r="E104" s="67">
        <f t="shared" si="65"/>
        <v>18010.330615575313</v>
      </c>
      <c r="F104" s="67">
        <f t="shared" si="65"/>
        <v>18367.648600642184</v>
      </c>
      <c r="G104" s="67">
        <f t="shared" si="65"/>
        <v>17961.094086193396</v>
      </c>
      <c r="H104" s="67">
        <f t="shared" si="65"/>
        <v>17724.050445579131</v>
      </c>
      <c r="I104" s="67">
        <f t="shared" si="65"/>
        <v>17150.863662462511</v>
      </c>
      <c r="J104" s="67">
        <f t="shared" si="65"/>
        <v>16900.036544811315</v>
      </c>
      <c r="K104" s="67">
        <f t="shared" si="65"/>
        <v>17591.721860128455</v>
      </c>
      <c r="L104" s="67">
        <f t="shared" si="65"/>
        <v>17922.616013527702</v>
      </c>
      <c r="M104" s="67">
        <f t="shared" si="65"/>
        <v>17796.117460186444</v>
      </c>
      <c r="N104" s="67">
        <f t="shared" si="65"/>
        <v>17263.041083545013</v>
      </c>
      <c r="O104" s="67">
        <f t="shared" si="65"/>
        <v>17197.56392340079</v>
      </c>
      <c r="P104" s="67">
        <f t="shared" si="65"/>
        <v>17290.045768443029</v>
      </c>
      <c r="Q104" s="67">
        <f t="shared" si="65"/>
        <v>17257.709268292918</v>
      </c>
      <c r="R104" s="67">
        <f t="shared" si="65"/>
        <v>17229.804139136395</v>
      </c>
      <c r="S104" s="67">
        <f t="shared" si="65"/>
        <v>17138.837226801144</v>
      </c>
      <c r="T104" s="67">
        <f t="shared" si="65"/>
        <v>16964.095890147255</v>
      </c>
      <c r="U104" s="67">
        <f t="shared" si="65"/>
        <v>16885.64866333417</v>
      </c>
      <c r="V104" s="67">
        <f t="shared" si="65"/>
        <v>16011.219401429396</v>
      </c>
      <c r="W104" s="67">
        <f t="shared" si="65"/>
        <v>16373.315422340898</v>
      </c>
      <c r="DA104" s="110"/>
    </row>
    <row r="105" spans="1:105" ht="12" customHeight="1" x14ac:dyDescent="0.25">
      <c r="A105" s="78" t="s">
        <v>33</v>
      </c>
      <c r="B105" s="68">
        <f t="shared" si="59"/>
        <v>41617.339073085241</v>
      </c>
      <c r="C105" s="68">
        <f t="shared" ref="C105:W105" si="66">C53*11630*1000/C$8</f>
        <v>42417.612005996969</v>
      </c>
      <c r="D105" s="68">
        <f t="shared" si="66"/>
        <v>43287.156419604107</v>
      </c>
      <c r="E105" s="68">
        <f t="shared" si="66"/>
        <v>44173.230927504177</v>
      </c>
      <c r="F105" s="68">
        <f t="shared" si="66"/>
        <v>43517.061037910906</v>
      </c>
      <c r="G105" s="68">
        <f t="shared" si="66"/>
        <v>44147.131020085872</v>
      </c>
      <c r="H105" s="68">
        <f t="shared" si="66"/>
        <v>44461.162216793869</v>
      </c>
      <c r="I105" s="68">
        <f t="shared" si="66"/>
        <v>44495.129857499065</v>
      </c>
      <c r="J105" s="68">
        <f t="shared" si="66"/>
        <v>45047.373837528583</v>
      </c>
      <c r="K105" s="68">
        <f t="shared" si="66"/>
        <v>45932.835480279304</v>
      </c>
      <c r="L105" s="68">
        <f t="shared" si="66"/>
        <v>46109.549975866074</v>
      </c>
      <c r="M105" s="68">
        <f t="shared" si="66"/>
        <v>46413.740801795946</v>
      </c>
      <c r="N105" s="68">
        <f t="shared" si="66"/>
        <v>46976.577123317831</v>
      </c>
      <c r="O105" s="68">
        <f t="shared" si="66"/>
        <v>47530.835994560344</v>
      </c>
      <c r="P105" s="68">
        <f t="shared" si="66"/>
        <v>48510.485290685298</v>
      </c>
      <c r="Q105" s="68">
        <f t="shared" si="66"/>
        <v>48968.016483965461</v>
      </c>
      <c r="R105" s="68">
        <f t="shared" si="66"/>
        <v>48569.128706808224</v>
      </c>
      <c r="S105" s="68">
        <f t="shared" si="66"/>
        <v>49139.592132829363</v>
      </c>
      <c r="T105" s="68">
        <f t="shared" si="66"/>
        <v>48846.958136477588</v>
      </c>
      <c r="U105" s="68">
        <f t="shared" si="66"/>
        <v>47614.435301573947</v>
      </c>
      <c r="V105" s="68">
        <f t="shared" si="66"/>
        <v>43807.872429533491</v>
      </c>
      <c r="W105" s="68">
        <f t="shared" si="66"/>
        <v>43150.651505845228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107251.78567597059</v>
      </c>
      <c r="C107" s="85">
        <f t="shared" ref="C107:W107" si="68">SUM(C108:C111)</f>
        <v>123949.91037119135</v>
      </c>
      <c r="D107" s="85">
        <f t="shared" si="68"/>
        <v>120583.68009481151</v>
      </c>
      <c r="E107" s="85">
        <f t="shared" si="68"/>
        <v>135735.91635260402</v>
      </c>
      <c r="F107" s="85">
        <f t="shared" si="68"/>
        <v>133130.67356232501</v>
      </c>
      <c r="G107" s="85">
        <f t="shared" si="68"/>
        <v>128012.5147529867</v>
      </c>
      <c r="H107" s="85">
        <f t="shared" si="68"/>
        <v>131082.66320670821</v>
      </c>
      <c r="I107" s="85">
        <f t="shared" si="68"/>
        <v>112090.48353427423</v>
      </c>
      <c r="J107" s="85">
        <f t="shared" si="68"/>
        <v>123647.36198502165</v>
      </c>
      <c r="K107" s="85">
        <f t="shared" si="68"/>
        <v>111302.850521263</v>
      </c>
      <c r="L107" s="85">
        <f t="shared" si="68"/>
        <v>112536.38988697444</v>
      </c>
      <c r="M107" s="85">
        <f t="shared" si="68"/>
        <v>108917.59424125162</v>
      </c>
      <c r="N107" s="85">
        <f t="shared" si="68"/>
        <v>110723.53841259608</v>
      </c>
      <c r="O107" s="85">
        <f t="shared" si="68"/>
        <v>110993.99433465941</v>
      </c>
      <c r="P107" s="85">
        <f t="shared" si="68"/>
        <v>102557.59979240474</v>
      </c>
      <c r="Q107" s="85">
        <f t="shared" si="68"/>
        <v>104902.93400047606</v>
      </c>
      <c r="R107" s="85">
        <f t="shared" si="68"/>
        <v>101680.49169817854</v>
      </c>
      <c r="S107" s="85">
        <f t="shared" si="68"/>
        <v>111260.06318869859</v>
      </c>
      <c r="T107" s="85">
        <f t="shared" si="68"/>
        <v>107186.02462827126</v>
      </c>
      <c r="U107" s="85">
        <f t="shared" si="68"/>
        <v>110830.08946329737</v>
      </c>
      <c r="V107" s="85">
        <f t="shared" si="68"/>
        <v>100783.51055923944</v>
      </c>
      <c r="W107" s="85">
        <f t="shared" si="68"/>
        <v>109189.45391851821</v>
      </c>
      <c r="DA107" s="117"/>
    </row>
    <row r="108" spans="1:105" ht="12" customHeight="1" x14ac:dyDescent="0.25">
      <c r="A108" s="61" t="s">
        <v>32</v>
      </c>
      <c r="B108" s="65">
        <v>79692.713823270169</v>
      </c>
      <c r="C108" s="65">
        <v>95826.466696414936</v>
      </c>
      <c r="D108" s="65">
        <v>91826.872095383791</v>
      </c>
      <c r="E108" s="65">
        <v>105962.39671052955</v>
      </c>
      <c r="F108" s="65">
        <v>103594.25080463677</v>
      </c>
      <c r="G108" s="65">
        <v>98004.299154846012</v>
      </c>
      <c r="H108" s="65">
        <v>100964.39701902623</v>
      </c>
      <c r="I108" s="65">
        <v>81741.129241467192</v>
      </c>
      <c r="J108" s="65">
        <v>93279.499953784514</v>
      </c>
      <c r="K108" s="65">
        <v>79664.250600645522</v>
      </c>
      <c r="L108" s="65">
        <v>80582.63781124627</v>
      </c>
      <c r="M108" s="65">
        <v>76707.196910926767</v>
      </c>
      <c r="N108" s="65">
        <v>78133.845876887077</v>
      </c>
      <c r="O108" s="65">
        <v>77951.89121786163</v>
      </c>
      <c r="P108" s="65">
        <v>69582.427098033513</v>
      </c>
      <c r="Q108" s="65">
        <v>71256.203605891453</v>
      </c>
      <c r="R108" s="65">
        <v>68632.746118659445</v>
      </c>
      <c r="S108" s="65">
        <v>78002.417738023403</v>
      </c>
      <c r="T108" s="65">
        <v>74179.282859437459</v>
      </c>
      <c r="U108" s="65">
        <v>77984.46804275451</v>
      </c>
      <c r="V108" s="65">
        <v>69374.72335577973</v>
      </c>
      <c r="W108" s="65">
        <v>77538.156395932703</v>
      </c>
      <c r="DA108" s="109"/>
    </row>
    <row r="109" spans="1:105" ht="12" customHeight="1" x14ac:dyDescent="0.25">
      <c r="A109" s="61" t="s">
        <v>31</v>
      </c>
      <c r="B109" s="65">
        <v>2808.5792849106556</v>
      </c>
      <c r="C109" s="65">
        <v>2893.1773079747395</v>
      </c>
      <c r="D109" s="65">
        <v>3063.6379887041189</v>
      </c>
      <c r="E109" s="65">
        <v>3507.466049261493</v>
      </c>
      <c r="F109" s="65">
        <v>3216.7669871529847</v>
      </c>
      <c r="G109" s="65">
        <v>3395.2428672377355</v>
      </c>
      <c r="H109" s="65">
        <v>3677.1076306363288</v>
      </c>
      <c r="I109" s="65">
        <v>3840.0189951698644</v>
      </c>
      <c r="J109" s="65">
        <v>3829.1246679557867</v>
      </c>
      <c r="K109" s="65">
        <v>4052.7595880381718</v>
      </c>
      <c r="L109" s="65">
        <v>4342.7859369709813</v>
      </c>
      <c r="M109" s="65">
        <v>4327.6967298974632</v>
      </c>
      <c r="N109" s="65">
        <v>4591.5431867887792</v>
      </c>
      <c r="O109" s="65">
        <v>4969.5069366331882</v>
      </c>
      <c r="P109" s="65">
        <v>4415.9501825433172</v>
      </c>
      <c r="Q109" s="65">
        <v>5246.6657499790526</v>
      </c>
      <c r="R109" s="65">
        <v>4641.8590008986303</v>
      </c>
      <c r="S109" s="65">
        <v>4989.0817978294172</v>
      </c>
      <c r="T109" s="65">
        <v>4964.1755678929339</v>
      </c>
      <c r="U109" s="65">
        <v>5166.4606152705619</v>
      </c>
      <c r="V109" s="65">
        <v>4790.0193713544159</v>
      </c>
      <c r="W109" s="65">
        <v>5000.1583340237867</v>
      </c>
      <c r="DA109" s="109"/>
    </row>
    <row r="110" spans="1:105" ht="12" customHeight="1" x14ac:dyDescent="0.25">
      <c r="A110" s="61" t="s">
        <v>35</v>
      </c>
      <c r="B110" s="65">
        <v>13701.932728316198</v>
      </c>
      <c r="C110" s="65">
        <v>13864.997312158699</v>
      </c>
      <c r="D110" s="65">
        <v>13853.528283345066</v>
      </c>
      <c r="E110" s="65">
        <v>14014.966346312647</v>
      </c>
      <c r="F110" s="65">
        <v>13996.051602486583</v>
      </c>
      <c r="G110" s="65">
        <v>14305.80522702352</v>
      </c>
      <c r="H110" s="65">
        <v>14262.328073919472</v>
      </c>
      <c r="I110" s="65">
        <v>14476.316929705701</v>
      </c>
      <c r="J110" s="65">
        <v>14552.746301815125</v>
      </c>
      <c r="K110" s="65">
        <v>15184.998937656028</v>
      </c>
      <c r="L110" s="65">
        <v>15218.444684288408</v>
      </c>
      <c r="M110" s="65">
        <v>15467.274659175584</v>
      </c>
      <c r="N110" s="65">
        <v>15424.627202928554</v>
      </c>
      <c r="O110" s="65">
        <v>15534.865558560226</v>
      </c>
      <c r="P110" s="65">
        <v>15932.370559588644</v>
      </c>
      <c r="Q110" s="65">
        <v>15784.832499469514</v>
      </c>
      <c r="R110" s="65">
        <v>15754.282373202777</v>
      </c>
      <c r="S110" s="65">
        <v>15694.982662421358</v>
      </c>
      <c r="T110" s="65">
        <v>15536.939078148513</v>
      </c>
      <c r="U110" s="65">
        <v>15213.470940996693</v>
      </c>
      <c r="V110" s="65">
        <v>14698.779770089232</v>
      </c>
      <c r="W110" s="65">
        <v>14373.975834721381</v>
      </c>
      <c r="DA110" s="109"/>
    </row>
    <row r="111" spans="1:105" ht="12" customHeight="1" x14ac:dyDescent="0.25">
      <c r="A111" s="74" t="s">
        <v>34</v>
      </c>
      <c r="B111" s="68">
        <v>11048.559839473577</v>
      </c>
      <c r="C111" s="68">
        <v>11365.269054642977</v>
      </c>
      <c r="D111" s="68">
        <v>11839.64172737853</v>
      </c>
      <c r="E111" s="68">
        <v>12251.087246500329</v>
      </c>
      <c r="F111" s="68">
        <v>12323.604168048691</v>
      </c>
      <c r="G111" s="68">
        <v>12307.167503879431</v>
      </c>
      <c r="H111" s="68">
        <v>12178.830483126167</v>
      </c>
      <c r="I111" s="68">
        <v>12033.018367931463</v>
      </c>
      <c r="J111" s="68">
        <v>11985.991061466226</v>
      </c>
      <c r="K111" s="68">
        <v>12400.841394923271</v>
      </c>
      <c r="L111" s="68">
        <v>12392.521454468795</v>
      </c>
      <c r="M111" s="68">
        <v>12415.425941251806</v>
      </c>
      <c r="N111" s="68">
        <v>12573.522145991665</v>
      </c>
      <c r="O111" s="68">
        <v>12537.730621604365</v>
      </c>
      <c r="P111" s="68">
        <v>12626.85195223928</v>
      </c>
      <c r="Q111" s="68">
        <v>12615.232145136046</v>
      </c>
      <c r="R111" s="68">
        <v>12651.604205417685</v>
      </c>
      <c r="S111" s="68">
        <v>12573.580990424411</v>
      </c>
      <c r="T111" s="68">
        <v>12505.627122792364</v>
      </c>
      <c r="U111" s="68">
        <v>12465.689864275597</v>
      </c>
      <c r="V111" s="68">
        <v>11919.988062016066</v>
      </c>
      <c r="W111" s="68">
        <v>12277.163353840335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19839.342001107732</v>
      </c>
      <c r="C113" s="82">
        <f t="shared" ref="C113:W113" si="70">C81*1000000/C$8</f>
        <v>26382.921307278615</v>
      </c>
      <c r="D113" s="82">
        <f t="shared" si="70"/>
        <v>25200.211132045904</v>
      </c>
      <c r="E113" s="82">
        <f t="shared" si="70"/>
        <v>29329.967261293965</v>
      </c>
      <c r="F113" s="82">
        <f t="shared" si="70"/>
        <v>27846.443308758688</v>
      </c>
      <c r="G113" s="82">
        <f t="shared" si="70"/>
        <v>22764.774038260599</v>
      </c>
      <c r="H113" s="82">
        <f t="shared" si="70"/>
        <v>22407.259216768063</v>
      </c>
      <c r="I113" s="82">
        <f t="shared" si="70"/>
        <v>16010.439986505866</v>
      </c>
      <c r="J113" s="82">
        <f t="shared" si="70"/>
        <v>16962.798046418859</v>
      </c>
      <c r="K113" s="82">
        <f t="shared" si="70"/>
        <v>13818.376231084621</v>
      </c>
      <c r="L113" s="82">
        <f t="shared" si="70"/>
        <v>10608.548364851998</v>
      </c>
      <c r="M113" s="82">
        <f t="shared" si="70"/>
        <v>9416.8108324936602</v>
      </c>
      <c r="N113" s="82">
        <f t="shared" si="70"/>
        <v>8522.0610661742485</v>
      </c>
      <c r="O113" s="82">
        <f t="shared" si="70"/>
        <v>8490.4448350836301</v>
      </c>
      <c r="P113" s="82">
        <f t="shared" si="70"/>
        <v>7705.0807332609038</v>
      </c>
      <c r="Q113" s="82">
        <f t="shared" si="70"/>
        <v>8067.2373412423667</v>
      </c>
      <c r="R113" s="82">
        <f t="shared" si="70"/>
        <v>7427.0157312381962</v>
      </c>
      <c r="S113" s="82">
        <f t="shared" si="70"/>
        <v>8490.1336794455437</v>
      </c>
      <c r="T113" s="82">
        <f t="shared" si="70"/>
        <v>7693.0655483377031</v>
      </c>
      <c r="U113" s="82">
        <f t="shared" si="70"/>
        <v>7704.3536081986222</v>
      </c>
      <c r="V113" s="82">
        <f t="shared" si="70"/>
        <v>7325.6528444041514</v>
      </c>
      <c r="W113" s="82">
        <f t="shared" si="70"/>
        <v>8430.579806087273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19839.342001107732</v>
      </c>
      <c r="C114" s="64">
        <f t="shared" ref="C114:W114" si="72">C82*1000000/C$8</f>
        <v>26382.921307278615</v>
      </c>
      <c r="D114" s="64">
        <f t="shared" si="72"/>
        <v>25200.211132045904</v>
      </c>
      <c r="E114" s="64">
        <f t="shared" si="72"/>
        <v>29329.967261293965</v>
      </c>
      <c r="F114" s="64">
        <f t="shared" si="72"/>
        <v>27846.443308758688</v>
      </c>
      <c r="G114" s="64">
        <f t="shared" si="72"/>
        <v>22764.774038260599</v>
      </c>
      <c r="H114" s="64">
        <f t="shared" si="72"/>
        <v>22407.259216768063</v>
      </c>
      <c r="I114" s="64">
        <f t="shared" si="72"/>
        <v>16010.439986505866</v>
      </c>
      <c r="J114" s="64">
        <f t="shared" si="72"/>
        <v>16962.798046418859</v>
      </c>
      <c r="K114" s="64">
        <f t="shared" si="72"/>
        <v>13818.376231084621</v>
      </c>
      <c r="L114" s="64">
        <f t="shared" si="72"/>
        <v>10608.548364851998</v>
      </c>
      <c r="M114" s="64">
        <f t="shared" si="72"/>
        <v>9416.8108324936602</v>
      </c>
      <c r="N114" s="64">
        <f t="shared" si="72"/>
        <v>8522.0610661742485</v>
      </c>
      <c r="O114" s="64">
        <f t="shared" si="72"/>
        <v>8490.4448350836301</v>
      </c>
      <c r="P114" s="64">
        <f t="shared" si="72"/>
        <v>7705.0807332609038</v>
      </c>
      <c r="Q114" s="64">
        <f t="shared" si="72"/>
        <v>8067.2373412423667</v>
      </c>
      <c r="R114" s="64">
        <f t="shared" si="72"/>
        <v>7427.0157312381962</v>
      </c>
      <c r="S114" s="64">
        <f t="shared" si="72"/>
        <v>8490.1336794455437</v>
      </c>
      <c r="T114" s="64">
        <f t="shared" si="72"/>
        <v>7693.0655483377031</v>
      </c>
      <c r="U114" s="64">
        <f t="shared" si="72"/>
        <v>7704.3536081986222</v>
      </c>
      <c r="V114" s="64">
        <f t="shared" si="72"/>
        <v>7325.6528444041514</v>
      </c>
      <c r="W114" s="64">
        <f t="shared" si="72"/>
        <v>8430.579806087273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16613.280311204933</v>
      </c>
      <c r="C115" s="65">
        <f t="shared" ref="C115:W115" si="74">C83*1000000/C$8</f>
        <v>22899.70699751264</v>
      </c>
      <c r="D115" s="65">
        <f t="shared" si="74"/>
        <v>21118.993023167204</v>
      </c>
      <c r="E115" s="65">
        <f t="shared" si="74"/>
        <v>25005.207536336271</v>
      </c>
      <c r="F115" s="65">
        <f t="shared" si="74"/>
        <v>23301.240770685199</v>
      </c>
      <c r="G115" s="65">
        <f t="shared" si="74"/>
        <v>18577.33830064366</v>
      </c>
      <c r="H115" s="65">
        <f t="shared" si="74"/>
        <v>18415.873383036353</v>
      </c>
      <c r="I115" s="65">
        <f t="shared" si="74"/>
        <v>12476.028958663634</v>
      </c>
      <c r="J115" s="65">
        <f t="shared" si="74"/>
        <v>13736.113938031991</v>
      </c>
      <c r="K115" s="65">
        <f t="shared" si="74"/>
        <v>10440.847955116413</v>
      </c>
      <c r="L115" s="65">
        <f t="shared" si="74"/>
        <v>7137.1025638249666</v>
      </c>
      <c r="M115" s="65">
        <f t="shared" si="74"/>
        <v>6188.7017303978973</v>
      </c>
      <c r="N115" s="65">
        <f t="shared" si="74"/>
        <v>6196.9330306091088</v>
      </c>
      <c r="O115" s="65">
        <f t="shared" si="74"/>
        <v>6176.9465322210272</v>
      </c>
      <c r="P115" s="65">
        <f t="shared" si="74"/>
        <v>5429.5524261934343</v>
      </c>
      <c r="Q115" s="65">
        <f t="shared" si="74"/>
        <v>5813.3395576525381</v>
      </c>
      <c r="R115" s="65">
        <f t="shared" si="74"/>
        <v>5219.9081823357938</v>
      </c>
      <c r="S115" s="65">
        <f t="shared" si="74"/>
        <v>6244.0767384160008</v>
      </c>
      <c r="T115" s="65">
        <f t="shared" si="74"/>
        <v>5499.8598854919119</v>
      </c>
      <c r="U115" s="65">
        <f t="shared" si="74"/>
        <v>5509.5899748852089</v>
      </c>
      <c r="V115" s="65">
        <f t="shared" si="74"/>
        <v>5318.7983911192096</v>
      </c>
      <c r="W115" s="65">
        <f t="shared" si="74"/>
        <v>6377.1867163788211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0.61410558806697146</v>
      </c>
      <c r="C116" s="65">
        <f t="shared" ref="C116:W116" si="76">C84*1000000/C$8</f>
        <v>0.6571038814825837</v>
      </c>
      <c r="D116" s="65">
        <f t="shared" si="76"/>
        <v>0.78112532291838688</v>
      </c>
      <c r="E116" s="65">
        <f t="shared" si="76"/>
        <v>0.89115832416390295</v>
      </c>
      <c r="F116" s="65">
        <f t="shared" si="76"/>
        <v>1.0056804272017927</v>
      </c>
      <c r="G116" s="65">
        <f t="shared" si="76"/>
        <v>1.1559946050408336</v>
      </c>
      <c r="H116" s="65">
        <f t="shared" si="76"/>
        <v>1.3240452192769634</v>
      </c>
      <c r="I116" s="65">
        <f t="shared" si="76"/>
        <v>1.608512244827019</v>
      </c>
      <c r="J116" s="65">
        <f t="shared" si="76"/>
        <v>1.8005442315761953</v>
      </c>
      <c r="K116" s="65">
        <f t="shared" si="76"/>
        <v>2.2000630541006445</v>
      </c>
      <c r="L116" s="65">
        <f t="shared" si="76"/>
        <v>2.4562677094507666</v>
      </c>
      <c r="M116" s="65">
        <f t="shared" si="76"/>
        <v>2.7803012551193982</v>
      </c>
      <c r="N116" s="65">
        <f t="shared" si="76"/>
        <v>3.0350790836521284</v>
      </c>
      <c r="O116" s="65">
        <f t="shared" si="76"/>
        <v>3.6062400186202601</v>
      </c>
      <c r="P116" s="65">
        <f t="shared" si="76"/>
        <v>3.5274516444842372</v>
      </c>
      <c r="Q116" s="65">
        <f t="shared" si="76"/>
        <v>4.8099806639226159</v>
      </c>
      <c r="R116" s="65">
        <f t="shared" si="76"/>
        <v>4.2370451657200636</v>
      </c>
      <c r="S116" s="65">
        <f t="shared" si="76"/>
        <v>4.9593906324829415</v>
      </c>
      <c r="T116" s="65">
        <f t="shared" si="76"/>
        <v>5.1352684930987698</v>
      </c>
      <c r="U116" s="65">
        <f t="shared" si="76"/>
        <v>5.7990284740238502</v>
      </c>
      <c r="V116" s="65">
        <f t="shared" si="76"/>
        <v>5.3571982769032003</v>
      </c>
      <c r="W116" s="65">
        <f t="shared" si="76"/>
        <v>5.68042028423692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2119.3105805268333</v>
      </c>
      <c r="C117" s="65">
        <f t="shared" ref="C117:W117" si="78">C85*1000000/C$8</f>
        <v>2139.0025345704557</v>
      </c>
      <c r="D117" s="65">
        <f t="shared" si="78"/>
        <v>2114.2305620615743</v>
      </c>
      <c r="E117" s="65">
        <f t="shared" si="78"/>
        <v>2108.895872356657</v>
      </c>
      <c r="F117" s="65">
        <f t="shared" si="78"/>
        <v>2058.7158553076115</v>
      </c>
      <c r="G117" s="65">
        <f t="shared" si="78"/>
        <v>2006.7787592781797</v>
      </c>
      <c r="H117" s="65">
        <f t="shared" si="78"/>
        <v>1861.6531989045213</v>
      </c>
      <c r="I117" s="65">
        <f t="shared" si="78"/>
        <v>1741.5073458099832</v>
      </c>
      <c r="J117" s="65">
        <f t="shared" si="78"/>
        <v>1586.8691121802879</v>
      </c>
      <c r="K117" s="65">
        <f t="shared" si="78"/>
        <v>1548.1106883615018</v>
      </c>
      <c r="L117" s="65">
        <f t="shared" si="78"/>
        <v>1305.8674848515768</v>
      </c>
      <c r="M117" s="65">
        <f t="shared" si="78"/>
        <v>1194.1614531370033</v>
      </c>
      <c r="N117" s="65">
        <f t="shared" si="78"/>
        <v>945.57106053877499</v>
      </c>
      <c r="O117" s="65">
        <f t="shared" si="78"/>
        <v>925.99584870455283</v>
      </c>
      <c r="P117" s="65">
        <f t="shared" si="78"/>
        <v>887.21998438288301</v>
      </c>
      <c r="Q117" s="65">
        <f t="shared" si="78"/>
        <v>859.66186381493355</v>
      </c>
      <c r="R117" s="65">
        <f t="shared" si="78"/>
        <v>836.2023037336528</v>
      </c>
      <c r="S117" s="65">
        <f t="shared" si="78"/>
        <v>816.89368091373899</v>
      </c>
      <c r="T117" s="65">
        <f t="shared" si="78"/>
        <v>782.30570845102591</v>
      </c>
      <c r="U117" s="65">
        <f t="shared" si="78"/>
        <v>745.10526119514145</v>
      </c>
      <c r="V117" s="65">
        <f t="shared" si="78"/>
        <v>671.63188372300544</v>
      </c>
      <c r="W117" s="65">
        <f t="shared" si="78"/>
        <v>700.72014855907491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1106.1370037878953</v>
      </c>
      <c r="C118" s="67">
        <f t="shared" ref="C118:W118" si="80">C86*1000000/C$8</f>
        <v>1343.5546713140354</v>
      </c>
      <c r="D118" s="67">
        <f t="shared" si="80"/>
        <v>1966.2064214942047</v>
      </c>
      <c r="E118" s="67">
        <f t="shared" si="80"/>
        <v>2214.9726942768716</v>
      </c>
      <c r="F118" s="67">
        <f t="shared" si="80"/>
        <v>2485.4810023386754</v>
      </c>
      <c r="G118" s="67">
        <f t="shared" si="80"/>
        <v>2179.5009837337166</v>
      </c>
      <c r="H118" s="67">
        <f t="shared" si="80"/>
        <v>2128.40858960791</v>
      </c>
      <c r="I118" s="67">
        <f t="shared" si="80"/>
        <v>1791.2951697874257</v>
      </c>
      <c r="J118" s="67">
        <f t="shared" si="80"/>
        <v>1638.0144519750017</v>
      </c>
      <c r="K118" s="67">
        <f t="shared" si="80"/>
        <v>1827.2175245526048</v>
      </c>
      <c r="L118" s="67">
        <f t="shared" si="80"/>
        <v>2163.1220484660034</v>
      </c>
      <c r="M118" s="67">
        <f t="shared" si="80"/>
        <v>2031.1673477036409</v>
      </c>
      <c r="N118" s="67">
        <f t="shared" si="80"/>
        <v>1376.5218959427118</v>
      </c>
      <c r="O118" s="67">
        <f t="shared" si="80"/>
        <v>1383.8962141394297</v>
      </c>
      <c r="P118" s="67">
        <f t="shared" si="80"/>
        <v>1384.7808710401014</v>
      </c>
      <c r="Q118" s="67">
        <f t="shared" si="80"/>
        <v>1389.4259391109726</v>
      </c>
      <c r="R118" s="67">
        <f t="shared" si="80"/>
        <v>1366.6682000030298</v>
      </c>
      <c r="S118" s="67">
        <f t="shared" si="80"/>
        <v>1424.2038694833216</v>
      </c>
      <c r="T118" s="67">
        <f t="shared" si="80"/>
        <v>1405.7646859016668</v>
      </c>
      <c r="U118" s="67">
        <f t="shared" si="80"/>
        <v>1443.8593436442497</v>
      </c>
      <c r="V118" s="67">
        <f t="shared" si="80"/>
        <v>1329.8653712850328</v>
      </c>
      <c r="W118" s="67">
        <f t="shared" si="80"/>
        <v>1346.9925208651407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0.66163808768626298</v>
      </c>
      <c r="C121" s="86">
        <f t="shared" ref="C121:W121" si="84">IF(C107=0,"",C107/C100)</f>
        <v>0.64926130494951584</v>
      </c>
      <c r="D121" s="86">
        <f t="shared" si="84"/>
        <v>0.65977865591464224</v>
      </c>
      <c r="E121" s="86">
        <f t="shared" si="84"/>
        <v>0.66092427850579405</v>
      </c>
      <c r="F121" s="86">
        <f t="shared" si="84"/>
        <v>0.67010091354791357</v>
      </c>
      <c r="G121" s="86">
        <f t="shared" si="84"/>
        <v>0.70442092883322438</v>
      </c>
      <c r="H121" s="86">
        <f t="shared" si="84"/>
        <v>0.71504886144623103</v>
      </c>
      <c r="I121" s="86">
        <f t="shared" si="84"/>
        <v>0.744169973131239</v>
      </c>
      <c r="J121" s="86">
        <f t="shared" si="84"/>
        <v>0.75722565605467151</v>
      </c>
      <c r="K121" s="86">
        <f t="shared" si="84"/>
        <v>0.7773260130408618</v>
      </c>
      <c r="L121" s="86">
        <f t="shared" si="84"/>
        <v>0.81400903612884723</v>
      </c>
      <c r="M121" s="86">
        <f t="shared" si="84"/>
        <v>0.83997325457482452</v>
      </c>
      <c r="N121" s="86">
        <f t="shared" si="84"/>
        <v>0.86694780118076964</v>
      </c>
      <c r="O121" s="86">
        <f t="shared" si="84"/>
        <v>0.88495819262792541</v>
      </c>
      <c r="P121" s="86">
        <f t="shared" si="84"/>
        <v>0.90251913333280487</v>
      </c>
      <c r="Q121" s="86">
        <f t="shared" si="84"/>
        <v>0.89909766719630912</v>
      </c>
      <c r="R121" s="86">
        <f t="shared" si="84"/>
        <v>0.91962411488046258</v>
      </c>
      <c r="S121" s="86">
        <f t="shared" si="84"/>
        <v>0.92441295984768368</v>
      </c>
      <c r="T121" s="86">
        <f t="shared" si="84"/>
        <v>0.94131962251764345</v>
      </c>
      <c r="U121" s="86">
        <f t="shared" si="84"/>
        <v>0.96418673687276746</v>
      </c>
      <c r="V121" s="86">
        <f t="shared" si="84"/>
        <v>0.94205481823053594</v>
      </c>
      <c r="W121" s="86">
        <f t="shared" si="84"/>
        <v>0.93581219657398995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0.63444519151009371</v>
      </c>
      <c r="C122" s="75">
        <f t="shared" ref="C122:W122" si="86">IF(C108=0,"",C108/C101)</f>
        <v>0.62371872318012955</v>
      </c>
      <c r="D122" s="75">
        <f t="shared" si="86"/>
        <v>0.63621319849632274</v>
      </c>
      <c r="E122" s="75">
        <f t="shared" si="86"/>
        <v>0.63837859965039556</v>
      </c>
      <c r="F122" s="75">
        <f t="shared" si="86"/>
        <v>0.65041405520714957</v>
      </c>
      <c r="G122" s="75">
        <f t="shared" si="86"/>
        <v>0.68837737648968178</v>
      </c>
      <c r="H122" s="75">
        <f t="shared" si="86"/>
        <v>0.69958985281425934</v>
      </c>
      <c r="I122" s="75">
        <f t="shared" si="86"/>
        <v>0.72789636018357284</v>
      </c>
      <c r="J122" s="75">
        <f t="shared" si="86"/>
        <v>0.74202381896494352</v>
      </c>
      <c r="K122" s="75">
        <f t="shared" si="86"/>
        <v>0.76661061946500697</v>
      </c>
      <c r="L122" s="75">
        <f t="shared" si="86"/>
        <v>0.8089574629633195</v>
      </c>
      <c r="M122" s="75">
        <f t="shared" si="86"/>
        <v>0.84062439299377356</v>
      </c>
      <c r="N122" s="75">
        <f t="shared" si="86"/>
        <v>0.86543709406876124</v>
      </c>
      <c r="O122" s="75">
        <f t="shared" si="86"/>
        <v>0.8871526062851619</v>
      </c>
      <c r="P122" s="75">
        <f t="shared" si="86"/>
        <v>0.91673203101949141</v>
      </c>
      <c r="Q122" s="75">
        <f t="shared" si="86"/>
        <v>0.90227060226419376</v>
      </c>
      <c r="R122" s="75">
        <f t="shared" si="86"/>
        <v>0.93700076464330806</v>
      </c>
      <c r="S122" s="75">
        <f t="shared" si="86"/>
        <v>0.93554970573112983</v>
      </c>
      <c r="T122" s="75">
        <f t="shared" si="86"/>
        <v>0.95614246203265285</v>
      </c>
      <c r="U122" s="75">
        <f t="shared" si="86"/>
        <v>0.98423955620897485</v>
      </c>
      <c r="V122" s="75">
        <f t="shared" si="86"/>
        <v>0.9489086754569529</v>
      </c>
      <c r="W122" s="75">
        <f t="shared" si="86"/>
        <v>0.93560890112527251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1.8648873511041917</v>
      </c>
      <c r="C123" s="76">
        <f t="shared" ref="C123:W123" si="88">IF(C109=0,"",C109/C102)</f>
        <v>1.9335962618929192</v>
      </c>
      <c r="D123" s="76">
        <f t="shared" si="88"/>
        <v>2.0164696514625193</v>
      </c>
      <c r="E123" s="76">
        <f t="shared" si="88"/>
        <v>2.0958178807053192</v>
      </c>
      <c r="F123" s="76">
        <f t="shared" si="88"/>
        <v>2.1903100229246748</v>
      </c>
      <c r="G123" s="76">
        <f t="shared" si="88"/>
        <v>2.2995023967892414</v>
      </c>
      <c r="H123" s="76">
        <f t="shared" si="88"/>
        <v>2.4172576346833536</v>
      </c>
      <c r="I123" s="76">
        <f t="shared" si="88"/>
        <v>2.5530488387450321</v>
      </c>
      <c r="J123" s="76">
        <f t="shared" si="88"/>
        <v>2.699453077205793</v>
      </c>
      <c r="K123" s="76">
        <f t="shared" si="88"/>
        <v>2.7374008757244974</v>
      </c>
      <c r="L123" s="76">
        <f t="shared" si="88"/>
        <v>2.8001167897156414</v>
      </c>
      <c r="M123" s="76">
        <f t="shared" si="88"/>
        <v>2.8823115629283653</v>
      </c>
      <c r="N123" s="76">
        <f t="shared" si="88"/>
        <v>2.9723165419128992</v>
      </c>
      <c r="O123" s="76">
        <f t="shared" si="88"/>
        <v>3.065386648819111</v>
      </c>
      <c r="P123" s="76">
        <f t="shared" si="88"/>
        <v>3.1685329891255951</v>
      </c>
      <c r="Q123" s="76">
        <f t="shared" si="88"/>
        <v>3.286461796535892</v>
      </c>
      <c r="R123" s="76">
        <f t="shared" si="88"/>
        <v>3.4132119770973341</v>
      </c>
      <c r="S123" s="76">
        <f t="shared" si="88"/>
        <v>3.5279546418228489</v>
      </c>
      <c r="T123" s="76">
        <f t="shared" si="88"/>
        <v>3.6333483140886491</v>
      </c>
      <c r="U123" s="76">
        <f t="shared" si="88"/>
        <v>3.7215538388376905</v>
      </c>
      <c r="V123" s="76">
        <f t="shared" si="88"/>
        <v>3.8199811853049193</v>
      </c>
      <c r="W123" s="76">
        <f t="shared" si="88"/>
        <v>3.911442139113412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0.69832334374134764</v>
      </c>
      <c r="C124" s="76">
        <f t="shared" ref="C124:W124" si="90">IF(C110=0,"",C110/C103)</f>
        <v>0.70116188895464415</v>
      </c>
      <c r="D124" s="76">
        <f t="shared" si="90"/>
        <v>0.70443570255206156</v>
      </c>
      <c r="E124" s="76">
        <f t="shared" si="90"/>
        <v>0.71133933491981216</v>
      </c>
      <c r="F124" s="76">
        <f t="shared" si="90"/>
        <v>0.71547217871735869</v>
      </c>
      <c r="G124" s="76">
        <f t="shared" si="90"/>
        <v>0.71817451374403718</v>
      </c>
      <c r="H124" s="76">
        <f t="shared" si="90"/>
        <v>0.72195256043468459</v>
      </c>
      <c r="I124" s="76">
        <f t="shared" si="90"/>
        <v>0.735879580940482</v>
      </c>
      <c r="J124" s="76">
        <f t="shared" si="90"/>
        <v>0.75552035739164436</v>
      </c>
      <c r="K124" s="76">
        <f t="shared" si="90"/>
        <v>0.75184022029118081</v>
      </c>
      <c r="L124" s="76">
        <f t="shared" si="90"/>
        <v>0.79415507959845733</v>
      </c>
      <c r="M124" s="76">
        <f t="shared" si="90"/>
        <v>0.80895434728222926</v>
      </c>
      <c r="N124" s="76">
        <f t="shared" si="90"/>
        <v>0.82811613118645544</v>
      </c>
      <c r="O124" s="76">
        <f t="shared" si="90"/>
        <v>0.82911760333924156</v>
      </c>
      <c r="P124" s="76">
        <f t="shared" si="90"/>
        <v>0.83641535028208547</v>
      </c>
      <c r="Q124" s="76">
        <f t="shared" si="90"/>
        <v>0.83751069774772791</v>
      </c>
      <c r="R124" s="76">
        <f t="shared" si="90"/>
        <v>0.84110726736680042</v>
      </c>
      <c r="S124" s="76">
        <f t="shared" si="90"/>
        <v>0.85166850052794973</v>
      </c>
      <c r="T124" s="76">
        <f t="shared" si="90"/>
        <v>0.86529653004561047</v>
      </c>
      <c r="U124" s="76">
        <f t="shared" si="90"/>
        <v>0.87235280422128325</v>
      </c>
      <c r="V124" s="76">
        <f t="shared" si="90"/>
        <v>0.88507032391213247</v>
      </c>
      <c r="W124" s="76">
        <f t="shared" si="90"/>
        <v>0.88988539373005326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0.71916316823455428</v>
      </c>
      <c r="C125" s="56">
        <f t="shared" ref="C125:W125" si="92">IF(C111=0,"",C111/C104)</f>
        <v>0.7102744863849586</v>
      </c>
      <c r="D125" s="56">
        <f t="shared" si="92"/>
        <v>0.6865588589295013</v>
      </c>
      <c r="E125" s="56">
        <f t="shared" si="92"/>
        <v>0.68022556098473852</v>
      </c>
      <c r="F125" s="56">
        <f t="shared" si="92"/>
        <v>0.67094076307719774</v>
      </c>
      <c r="G125" s="56">
        <f t="shared" si="92"/>
        <v>0.68521257362266641</v>
      </c>
      <c r="H125" s="56">
        <f t="shared" si="92"/>
        <v>0.68713585083278206</v>
      </c>
      <c r="I125" s="56">
        <f t="shared" si="92"/>
        <v>0.70159839205460572</v>
      </c>
      <c r="J125" s="56">
        <f t="shared" si="92"/>
        <v>0.7092287066767432</v>
      </c>
      <c r="K125" s="56">
        <f t="shared" si="92"/>
        <v>0.70492482165885717</v>
      </c>
      <c r="L125" s="56">
        <f t="shared" si="92"/>
        <v>0.69144601687137186</v>
      </c>
      <c r="M125" s="56">
        <f t="shared" si="92"/>
        <v>0.69764801052969305</v>
      </c>
      <c r="N125" s="56">
        <f t="shared" si="92"/>
        <v>0.72834919902824313</v>
      </c>
      <c r="O125" s="56">
        <f t="shared" si="92"/>
        <v>0.72904108264684087</v>
      </c>
      <c r="P125" s="56">
        <f t="shared" si="92"/>
        <v>0.7302960397759739</v>
      </c>
      <c r="Q125" s="56">
        <f t="shared" si="92"/>
        <v>0.73099111527586347</v>
      </c>
      <c r="R125" s="56">
        <f t="shared" si="92"/>
        <v>0.73428601412133165</v>
      </c>
      <c r="S125" s="56">
        <f t="shared" si="92"/>
        <v>0.73363092396736596</v>
      </c>
      <c r="T125" s="56">
        <f t="shared" si="92"/>
        <v>0.73718205814054794</v>
      </c>
      <c r="U125" s="56">
        <f t="shared" si="92"/>
        <v>0.7382416934532009</v>
      </c>
      <c r="V125" s="56">
        <f t="shared" si="92"/>
        <v>0.74447721707891357</v>
      </c>
      <c r="W125" s="56">
        <f t="shared" si="92"/>
        <v>0.74982757231247821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226.35302159460801</v>
      </c>
      <c r="C129" s="82">
        <f t="shared" ref="C129:W129" si="94">IF(C99=0,0,C99/C$26)</f>
        <v>259.25193470759729</v>
      </c>
      <c r="D129" s="82">
        <f t="shared" si="94"/>
        <v>251.16777277196434</v>
      </c>
      <c r="E129" s="82">
        <f t="shared" si="94"/>
        <v>277.27344618644906</v>
      </c>
      <c r="F129" s="82">
        <f t="shared" si="94"/>
        <v>269.09959486463606</v>
      </c>
      <c r="G129" s="82">
        <f t="shared" si="94"/>
        <v>250.97159206123845</v>
      </c>
      <c r="H129" s="82">
        <f t="shared" si="94"/>
        <v>253.09003406032804</v>
      </c>
      <c r="I129" s="82">
        <f t="shared" si="94"/>
        <v>216.79996710344278</v>
      </c>
      <c r="J129" s="82">
        <f t="shared" si="94"/>
        <v>231.48594834500284</v>
      </c>
      <c r="K129" s="82">
        <f t="shared" si="94"/>
        <v>210.13296570054391</v>
      </c>
      <c r="L129" s="82">
        <f t="shared" si="94"/>
        <v>204.84345389913383</v>
      </c>
      <c r="M129" s="82">
        <f t="shared" si="94"/>
        <v>195.64630229988572</v>
      </c>
      <c r="N129" s="82">
        <f t="shared" si="94"/>
        <v>194.10341846595233</v>
      </c>
      <c r="O129" s="82">
        <f t="shared" si="94"/>
        <v>192.1707819087795</v>
      </c>
      <c r="P129" s="82">
        <f t="shared" si="94"/>
        <v>180.16145097495567</v>
      </c>
      <c r="Q129" s="82">
        <f t="shared" si="94"/>
        <v>184.04867806439995</v>
      </c>
      <c r="R129" s="82">
        <f t="shared" si="94"/>
        <v>176.81841880064115</v>
      </c>
      <c r="S129" s="82">
        <f t="shared" si="94"/>
        <v>188.33013887806226</v>
      </c>
      <c r="T129" s="82">
        <f t="shared" si="94"/>
        <v>180.79421125464228</v>
      </c>
      <c r="U129" s="82">
        <f t="shared" si="94"/>
        <v>180.62349043981521</v>
      </c>
      <c r="V129" s="82">
        <f t="shared" si="94"/>
        <v>167.54501272574973</v>
      </c>
      <c r="W129" s="82">
        <f t="shared" si="94"/>
        <v>177.58829108302254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180.11153373562448</v>
      </c>
      <c r="C130" s="64">
        <f t="shared" ref="C130:W130" si="96">IF(C100=0,0,C100/C$26)</f>
        <v>212.12125470093406</v>
      </c>
      <c r="D130" s="64">
        <f t="shared" si="96"/>
        <v>203.07093230573753</v>
      </c>
      <c r="E130" s="64">
        <f t="shared" si="96"/>
        <v>228.19207848922221</v>
      </c>
      <c r="F130" s="64">
        <f t="shared" si="96"/>
        <v>220.7473048225128</v>
      </c>
      <c r="G130" s="64">
        <f t="shared" si="96"/>
        <v>201.91922426114306</v>
      </c>
      <c r="H130" s="64">
        <f t="shared" si="96"/>
        <v>203.68874270833484</v>
      </c>
      <c r="I130" s="64">
        <f t="shared" si="96"/>
        <v>167.36093392844381</v>
      </c>
      <c r="J130" s="64">
        <f t="shared" si="96"/>
        <v>181.43331074774883</v>
      </c>
      <c r="K130" s="64">
        <f t="shared" si="96"/>
        <v>159.09648183356688</v>
      </c>
      <c r="L130" s="64">
        <f t="shared" si="96"/>
        <v>153.61062059261596</v>
      </c>
      <c r="M130" s="64">
        <f t="shared" si="96"/>
        <v>144.07547918677909</v>
      </c>
      <c r="N130" s="64">
        <f t="shared" si="96"/>
        <v>141.90722166226584</v>
      </c>
      <c r="O130" s="64">
        <f t="shared" si="96"/>
        <v>139.35874191482355</v>
      </c>
      <c r="P130" s="64">
        <f t="shared" si="96"/>
        <v>126.2609117630831</v>
      </c>
      <c r="Q130" s="64">
        <f t="shared" si="96"/>
        <v>129.63977085999386</v>
      </c>
      <c r="R130" s="64">
        <f t="shared" si="96"/>
        <v>122.85272023752091</v>
      </c>
      <c r="S130" s="64">
        <f t="shared" si="96"/>
        <v>133.73059206380739</v>
      </c>
      <c r="T130" s="64">
        <f t="shared" si="96"/>
        <v>126.51981332522276</v>
      </c>
      <c r="U130" s="64">
        <f t="shared" si="96"/>
        <v>127.71856232695529</v>
      </c>
      <c r="V130" s="64">
        <f t="shared" si="96"/>
        <v>118.86959891515698</v>
      </c>
      <c r="W130" s="64">
        <f t="shared" si="96"/>
        <v>129.64312274319451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139.56676004254146</v>
      </c>
      <c r="C131" s="65">
        <f t="shared" ref="C131:W131" si="98">IF(C101=0,0,C101/C$26)</f>
        <v>170.70812199132254</v>
      </c>
      <c r="D131" s="65">
        <f t="shared" si="98"/>
        <v>160.37054579330533</v>
      </c>
      <c r="E131" s="65">
        <f t="shared" si="98"/>
        <v>184.42973559813925</v>
      </c>
      <c r="F131" s="65">
        <f t="shared" si="98"/>
        <v>176.97145717369764</v>
      </c>
      <c r="G131" s="65">
        <f t="shared" si="98"/>
        <v>158.18890836142828</v>
      </c>
      <c r="H131" s="65">
        <f t="shared" si="98"/>
        <v>160.35490352410531</v>
      </c>
      <c r="I131" s="65">
        <f t="shared" si="98"/>
        <v>124.77528656972288</v>
      </c>
      <c r="J131" s="65">
        <f t="shared" si="98"/>
        <v>139.67730710061608</v>
      </c>
      <c r="K131" s="65">
        <f t="shared" si="98"/>
        <v>115.4638766450817</v>
      </c>
      <c r="L131" s="65">
        <f t="shared" si="98"/>
        <v>110.68105349660136</v>
      </c>
      <c r="M131" s="65">
        <f t="shared" si="98"/>
        <v>101.38918106621006</v>
      </c>
      <c r="N131" s="65">
        <f t="shared" si="98"/>
        <v>100.31391640436735</v>
      </c>
      <c r="O131" s="65">
        <f t="shared" si="98"/>
        <v>97.630567560379987</v>
      </c>
      <c r="P131" s="65">
        <f t="shared" si="98"/>
        <v>84.336322142822652</v>
      </c>
      <c r="Q131" s="65">
        <f t="shared" si="98"/>
        <v>87.749239932477394</v>
      </c>
      <c r="R131" s="65">
        <f t="shared" si="98"/>
        <v>81.385853326960913</v>
      </c>
      <c r="S131" s="65">
        <f t="shared" si="98"/>
        <v>92.640030253140154</v>
      </c>
      <c r="T131" s="65">
        <f t="shared" si="98"/>
        <v>86.202034395749081</v>
      </c>
      <c r="U131" s="65">
        <f t="shared" si="98"/>
        <v>88.036909703308453</v>
      </c>
      <c r="V131" s="65">
        <f t="shared" si="98"/>
        <v>81.233345151730788</v>
      </c>
      <c r="W131" s="65">
        <f t="shared" si="98"/>
        <v>92.08282114778261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1.673368446653364</v>
      </c>
      <c r="C132" s="65">
        <f t="shared" ref="C132:W132" si="100">IF(C102=0,0,C102/C$26)</f>
        <v>1.6625194807515047</v>
      </c>
      <c r="D132" s="65">
        <f t="shared" si="100"/>
        <v>1.6881197330206956</v>
      </c>
      <c r="E132" s="65">
        <f t="shared" si="100"/>
        <v>1.8595053201225158</v>
      </c>
      <c r="F132" s="65">
        <f t="shared" si="100"/>
        <v>1.6318171874630603</v>
      </c>
      <c r="G132" s="65">
        <f t="shared" si="100"/>
        <v>1.6405688813267014</v>
      </c>
      <c r="H132" s="65">
        <f t="shared" si="100"/>
        <v>1.6902108763787917</v>
      </c>
      <c r="I132" s="65">
        <f t="shared" si="100"/>
        <v>1.6712127506766685</v>
      </c>
      <c r="J132" s="65">
        <f t="shared" si="100"/>
        <v>1.5760907275333131</v>
      </c>
      <c r="K132" s="65">
        <f t="shared" si="100"/>
        <v>1.6450152584025504</v>
      </c>
      <c r="L132" s="65">
        <f t="shared" si="100"/>
        <v>1.7232558747078393</v>
      </c>
      <c r="M132" s="65">
        <f t="shared" si="100"/>
        <v>1.6682970654369194</v>
      </c>
      <c r="N132" s="65">
        <f t="shared" si="100"/>
        <v>1.7164102746284935</v>
      </c>
      <c r="O132" s="65">
        <f t="shared" si="100"/>
        <v>1.8012978480753832</v>
      </c>
      <c r="P132" s="65">
        <f t="shared" si="100"/>
        <v>1.5485435470536395</v>
      </c>
      <c r="Q132" s="65">
        <f t="shared" si="100"/>
        <v>1.7738312422291294</v>
      </c>
      <c r="R132" s="65">
        <f t="shared" si="100"/>
        <v>1.5110755343404534</v>
      </c>
      <c r="S132" s="65">
        <f t="shared" si="100"/>
        <v>1.5712855698581907</v>
      </c>
      <c r="T132" s="65">
        <f t="shared" si="100"/>
        <v>1.5180902446386184</v>
      </c>
      <c r="U132" s="65">
        <f t="shared" si="100"/>
        <v>1.5425040301278929</v>
      </c>
      <c r="V132" s="65">
        <f t="shared" si="100"/>
        <v>1.3932643873806194</v>
      </c>
      <c r="W132" s="65">
        <f t="shared" si="100"/>
        <v>1.4203793088724928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21.801318593422348</v>
      </c>
      <c r="C133" s="65">
        <f t="shared" ref="C133:W133" si="102">IF(C103=0,0,C103/C$26)</f>
        <v>21.971463098248567</v>
      </c>
      <c r="D133" s="65">
        <f t="shared" si="102"/>
        <v>21.851262149193996</v>
      </c>
      <c r="E133" s="65">
        <f t="shared" si="102"/>
        <v>21.891359109210089</v>
      </c>
      <c r="F133" s="65">
        <f t="shared" si="102"/>
        <v>21.735532016194124</v>
      </c>
      <c r="G133" s="65">
        <f t="shared" si="102"/>
        <v>22.132975811506533</v>
      </c>
      <c r="H133" s="65">
        <f t="shared" si="102"/>
        <v>21.950238923873929</v>
      </c>
      <c r="I133" s="65">
        <f t="shared" si="102"/>
        <v>21.857919427530394</v>
      </c>
      <c r="J133" s="65">
        <f t="shared" si="102"/>
        <v>21.402094536475751</v>
      </c>
      <c r="K133" s="65">
        <f t="shared" si="102"/>
        <v>22.441232307717684</v>
      </c>
      <c r="L133" s="65">
        <f t="shared" si="102"/>
        <v>21.292293428498173</v>
      </c>
      <c r="M133" s="65">
        <f t="shared" si="102"/>
        <v>21.244537210480537</v>
      </c>
      <c r="N133" s="65">
        <f t="shared" si="102"/>
        <v>20.695738223775507</v>
      </c>
      <c r="O133" s="65">
        <f t="shared" si="102"/>
        <v>20.818472147033997</v>
      </c>
      <c r="P133" s="65">
        <f t="shared" si="102"/>
        <v>21.164884108270119</v>
      </c>
      <c r="Q133" s="65">
        <f t="shared" si="102"/>
        <v>20.941467164961871</v>
      </c>
      <c r="R133" s="65">
        <f t="shared" si="102"/>
        <v>20.811564554956867</v>
      </c>
      <c r="S133" s="65">
        <f t="shared" si="102"/>
        <v>20.476123766585541</v>
      </c>
      <c r="T133" s="65">
        <f t="shared" si="102"/>
        <v>19.950693251338102</v>
      </c>
      <c r="U133" s="65">
        <f t="shared" si="102"/>
        <v>19.377316745369871</v>
      </c>
      <c r="V133" s="65">
        <f t="shared" si="102"/>
        <v>18.452745596679573</v>
      </c>
      <c r="W133" s="65">
        <f t="shared" si="102"/>
        <v>17.947349595049502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17.070086653007266</v>
      </c>
      <c r="C134" s="67">
        <f t="shared" ref="C134:W134" si="104">IF(C104=0,0,C104/C$26)</f>
        <v>17.779150130611406</v>
      </c>
      <c r="D134" s="67">
        <f t="shared" si="104"/>
        <v>19.161004630217526</v>
      </c>
      <c r="E134" s="67">
        <f t="shared" si="104"/>
        <v>20.01147846175035</v>
      </c>
      <c r="F134" s="67">
        <f t="shared" si="104"/>
        <v>20.408498445157981</v>
      </c>
      <c r="G134" s="67">
        <f t="shared" si="104"/>
        <v>19.956771206881548</v>
      </c>
      <c r="H134" s="67">
        <f t="shared" si="104"/>
        <v>19.693389383976811</v>
      </c>
      <c r="I134" s="67">
        <f t="shared" si="104"/>
        <v>19.056515180513895</v>
      </c>
      <c r="J134" s="67">
        <f t="shared" si="104"/>
        <v>18.777818383123687</v>
      </c>
      <c r="K134" s="67">
        <f t="shared" si="104"/>
        <v>19.546357622364948</v>
      </c>
      <c r="L134" s="67">
        <f t="shared" si="104"/>
        <v>19.914017792808558</v>
      </c>
      <c r="M134" s="67">
        <f t="shared" si="104"/>
        <v>19.773463844651605</v>
      </c>
      <c r="N134" s="67">
        <f t="shared" si="104"/>
        <v>19.18115675949446</v>
      </c>
      <c r="O134" s="67">
        <f t="shared" si="104"/>
        <v>19.108404359334209</v>
      </c>
      <c r="P134" s="67">
        <f t="shared" si="104"/>
        <v>19.2111619649367</v>
      </c>
      <c r="Q134" s="67">
        <f t="shared" si="104"/>
        <v>19.175232520325466</v>
      </c>
      <c r="R134" s="67">
        <f t="shared" si="104"/>
        <v>19.144226821262659</v>
      </c>
      <c r="S134" s="67">
        <f t="shared" si="104"/>
        <v>19.043152474223497</v>
      </c>
      <c r="T134" s="67">
        <f t="shared" si="104"/>
        <v>18.848995433496949</v>
      </c>
      <c r="U134" s="67">
        <f t="shared" si="104"/>
        <v>18.761831848149079</v>
      </c>
      <c r="V134" s="67">
        <f t="shared" si="104"/>
        <v>17.790243779365994</v>
      </c>
      <c r="W134" s="67">
        <f t="shared" si="104"/>
        <v>18.19257269148989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46.241487858983596</v>
      </c>
      <c r="C135" s="68">
        <f t="shared" ref="C135:W135" si="106">IF(C105=0,0,C105/C$26)</f>
        <v>47.130680006663304</v>
      </c>
      <c r="D135" s="68">
        <f t="shared" si="106"/>
        <v>48.096840466226794</v>
      </c>
      <c r="E135" s="68">
        <f t="shared" si="106"/>
        <v>49.081367697226867</v>
      </c>
      <c r="F135" s="68">
        <f t="shared" si="106"/>
        <v>48.352290042123229</v>
      </c>
      <c r="G135" s="68">
        <f t="shared" si="106"/>
        <v>49.052367800095404</v>
      </c>
      <c r="H135" s="68">
        <f t="shared" si="106"/>
        <v>49.401291351993187</v>
      </c>
      <c r="I135" s="68">
        <f t="shared" si="106"/>
        <v>49.439033174998947</v>
      </c>
      <c r="J135" s="68">
        <f t="shared" si="106"/>
        <v>50.052637597253984</v>
      </c>
      <c r="K135" s="68">
        <f t="shared" si="106"/>
        <v>51.036483866977001</v>
      </c>
      <c r="L135" s="68">
        <f t="shared" si="106"/>
        <v>51.232833306517861</v>
      </c>
      <c r="M135" s="68">
        <f t="shared" si="106"/>
        <v>51.570823113106606</v>
      </c>
      <c r="N135" s="68">
        <f t="shared" si="106"/>
        <v>52.196196803686483</v>
      </c>
      <c r="O135" s="68">
        <f t="shared" si="106"/>
        <v>52.812039993955935</v>
      </c>
      <c r="P135" s="68">
        <f t="shared" si="106"/>
        <v>53.900539211872562</v>
      </c>
      <c r="Q135" s="68">
        <f t="shared" si="106"/>
        <v>54.408907204406077</v>
      </c>
      <c r="R135" s="68">
        <f t="shared" si="106"/>
        <v>53.965698563120249</v>
      </c>
      <c r="S135" s="68">
        <f t="shared" si="106"/>
        <v>54.599546814254857</v>
      </c>
      <c r="T135" s="68">
        <f t="shared" si="106"/>
        <v>54.274397929419543</v>
      </c>
      <c r="U135" s="68">
        <f t="shared" si="106"/>
        <v>52.904928112859942</v>
      </c>
      <c r="V135" s="68">
        <f t="shared" si="106"/>
        <v>48.675413810592758</v>
      </c>
      <c r="W135" s="68">
        <f t="shared" si="106"/>
        <v>47.945168339828037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119.16865075107842</v>
      </c>
      <c r="C137" s="85">
        <f t="shared" ref="C137:W137" si="108">IF(C107=0,0,C107/C$26)</f>
        <v>137.72212263465707</v>
      </c>
      <c r="D137" s="85">
        <f t="shared" si="108"/>
        <v>133.98186677201281</v>
      </c>
      <c r="E137" s="85">
        <f t="shared" si="108"/>
        <v>150.8176848362267</v>
      </c>
      <c r="F137" s="85">
        <f t="shared" si="108"/>
        <v>147.92297062480557</v>
      </c>
      <c r="G137" s="85">
        <f t="shared" si="108"/>
        <v>142.23612750331853</v>
      </c>
      <c r="H137" s="85">
        <f t="shared" si="108"/>
        <v>145.64740356300914</v>
      </c>
      <c r="I137" s="85">
        <f t="shared" si="108"/>
        <v>124.54498170474912</v>
      </c>
      <c r="J137" s="85">
        <f t="shared" si="108"/>
        <v>137.38595776113519</v>
      </c>
      <c r="K137" s="85">
        <f t="shared" si="108"/>
        <v>123.66983391251442</v>
      </c>
      <c r="L137" s="85">
        <f t="shared" si="108"/>
        <v>125.04043320774939</v>
      </c>
      <c r="M137" s="85">
        <f t="shared" si="108"/>
        <v>121.01954915694624</v>
      </c>
      <c r="N137" s="85">
        <f t="shared" si="108"/>
        <v>123.02615379177344</v>
      </c>
      <c r="O137" s="85">
        <f t="shared" si="108"/>
        <v>123.32666037184377</v>
      </c>
      <c r="P137" s="85">
        <f t="shared" si="108"/>
        <v>113.95288865822751</v>
      </c>
      <c r="Q137" s="85">
        <f t="shared" si="108"/>
        <v>116.55881555608453</v>
      </c>
      <c r="R137" s="85">
        <f t="shared" si="108"/>
        <v>112.97832410908727</v>
      </c>
      <c r="S137" s="85">
        <f t="shared" si="108"/>
        <v>123.62229243188735</v>
      </c>
      <c r="T137" s="85">
        <f t="shared" si="108"/>
        <v>119.0955829203014</v>
      </c>
      <c r="U137" s="85">
        <f t="shared" si="108"/>
        <v>123.14454384810819</v>
      </c>
      <c r="V137" s="85">
        <f t="shared" si="108"/>
        <v>111.98167839915492</v>
      </c>
      <c r="W137" s="85">
        <f t="shared" si="108"/>
        <v>121.32161546502024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88.547459803633515</v>
      </c>
      <c r="C138" s="65">
        <f t="shared" ref="C138:W138" si="110">IF(C108=0,0,C108/C$26)</f>
        <v>106.4738518849055</v>
      </c>
      <c r="D138" s="65">
        <f t="shared" si="110"/>
        <v>102.02985788375977</v>
      </c>
      <c r="E138" s="65">
        <f t="shared" si="110"/>
        <v>117.73599634503285</v>
      </c>
      <c r="F138" s="65">
        <f t="shared" si="110"/>
        <v>115.10472311626309</v>
      </c>
      <c r="G138" s="65">
        <f t="shared" si="110"/>
        <v>108.89366572760666</v>
      </c>
      <c r="H138" s="65">
        <f t="shared" si="110"/>
        <v>112.18266335447359</v>
      </c>
      <c r="I138" s="65">
        <f t="shared" si="110"/>
        <v>90.823476934963523</v>
      </c>
      <c r="J138" s="65">
        <f t="shared" si="110"/>
        <v>103.64388883753836</v>
      </c>
      <c r="K138" s="65">
        <f t="shared" si="110"/>
        <v>88.515834000717234</v>
      </c>
      <c r="L138" s="65">
        <f t="shared" si="110"/>
        <v>89.536264234718075</v>
      </c>
      <c r="M138" s="65">
        <f t="shared" si="110"/>
        <v>85.230218789918624</v>
      </c>
      <c r="N138" s="65">
        <f t="shared" si="110"/>
        <v>86.815384307652323</v>
      </c>
      <c r="O138" s="65">
        <f t="shared" si="110"/>
        <v>86.613212464290683</v>
      </c>
      <c r="P138" s="65">
        <f t="shared" si="110"/>
        <v>77.313807886703913</v>
      </c>
      <c r="Q138" s="65">
        <f t="shared" si="110"/>
        <v>79.17355956210163</v>
      </c>
      <c r="R138" s="65">
        <f t="shared" si="110"/>
        <v>76.258606798510499</v>
      </c>
      <c r="S138" s="65">
        <f t="shared" si="110"/>
        <v>86.669353042248233</v>
      </c>
      <c r="T138" s="65">
        <f t="shared" si="110"/>
        <v>82.421425399374954</v>
      </c>
      <c r="U138" s="65">
        <f t="shared" si="110"/>
        <v>86.649408936393897</v>
      </c>
      <c r="V138" s="65">
        <f t="shared" si="110"/>
        <v>77.083025950866357</v>
      </c>
      <c r="W138" s="65">
        <f t="shared" si="110"/>
        <v>86.153507106591903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3.1206436499007282</v>
      </c>
      <c r="C139" s="65">
        <f t="shared" ref="C139:W139" si="112">IF(C109=0,0,C109/C$26)</f>
        <v>3.2146414533052665</v>
      </c>
      <c r="D139" s="65">
        <f t="shared" si="112"/>
        <v>3.4040422096712435</v>
      </c>
      <c r="E139" s="65">
        <f t="shared" si="112"/>
        <v>3.8971844991794371</v>
      </c>
      <c r="F139" s="65">
        <f t="shared" si="112"/>
        <v>3.5741855412810941</v>
      </c>
      <c r="G139" s="65">
        <f t="shared" si="112"/>
        <v>3.7724920747085946</v>
      </c>
      <c r="H139" s="65">
        <f t="shared" si="112"/>
        <v>4.0856751451514768</v>
      </c>
      <c r="I139" s="65">
        <f t="shared" si="112"/>
        <v>4.2666877724109593</v>
      </c>
      <c r="J139" s="65">
        <f t="shared" si="112"/>
        <v>4.2545829643953192</v>
      </c>
      <c r="K139" s="65">
        <f t="shared" si="112"/>
        <v>4.5030662089313012</v>
      </c>
      <c r="L139" s="65">
        <f t="shared" si="112"/>
        <v>4.8253177077455351</v>
      </c>
      <c r="M139" s="65">
        <f t="shared" si="112"/>
        <v>4.8085519221082924</v>
      </c>
      <c r="N139" s="65">
        <f t="shared" si="112"/>
        <v>5.1017146519875327</v>
      </c>
      <c r="O139" s="65">
        <f t="shared" si="112"/>
        <v>5.5216743740368752</v>
      </c>
      <c r="P139" s="65">
        <f t="shared" si="112"/>
        <v>4.9066113139370193</v>
      </c>
      <c r="Q139" s="65">
        <f t="shared" si="112"/>
        <v>5.8296286110878368</v>
      </c>
      <c r="R139" s="65">
        <f t="shared" si="112"/>
        <v>5.157621112109589</v>
      </c>
      <c r="S139" s="65">
        <f t="shared" si="112"/>
        <v>5.543424219810464</v>
      </c>
      <c r="T139" s="65">
        <f t="shared" si="112"/>
        <v>5.5157506309921489</v>
      </c>
      <c r="U139" s="65">
        <f t="shared" si="112"/>
        <v>5.7405117947450686</v>
      </c>
      <c r="V139" s="65">
        <f t="shared" si="112"/>
        <v>5.3222437459493506</v>
      </c>
      <c r="W139" s="65">
        <f t="shared" si="112"/>
        <v>5.5557314822486523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15.224369698129108</v>
      </c>
      <c r="C140" s="65">
        <f t="shared" ref="C140:W140" si="114">IF(C110=0,0,C110/C$26)</f>
        <v>15.405552569065224</v>
      </c>
      <c r="D140" s="65">
        <f t="shared" si="114"/>
        <v>15.392809203716741</v>
      </c>
      <c r="E140" s="65">
        <f t="shared" si="114"/>
        <v>15.572184829236276</v>
      </c>
      <c r="F140" s="65">
        <f t="shared" si="114"/>
        <v>15.551168447207314</v>
      </c>
      <c r="G140" s="65">
        <f t="shared" si="114"/>
        <v>15.895339141137242</v>
      </c>
      <c r="H140" s="65">
        <f t="shared" si="114"/>
        <v>15.847031193243858</v>
      </c>
      <c r="I140" s="65">
        <f t="shared" si="114"/>
        <v>16.084796588561886</v>
      </c>
      <c r="J140" s="65">
        <f t="shared" si="114"/>
        <v>16.169718113127917</v>
      </c>
      <c r="K140" s="65">
        <f t="shared" si="114"/>
        <v>16.872221041840028</v>
      </c>
      <c r="L140" s="65">
        <f t="shared" si="114"/>
        <v>16.909382982542677</v>
      </c>
      <c r="M140" s="65">
        <f t="shared" si="114"/>
        <v>17.185860732417314</v>
      </c>
      <c r="N140" s="65">
        <f t="shared" si="114"/>
        <v>17.138474669920619</v>
      </c>
      <c r="O140" s="65">
        <f t="shared" si="114"/>
        <v>17.260961731733584</v>
      </c>
      <c r="P140" s="65">
        <f t="shared" si="114"/>
        <v>17.702633955098495</v>
      </c>
      <c r="Q140" s="65">
        <f t="shared" si="114"/>
        <v>17.538702777188352</v>
      </c>
      <c r="R140" s="65">
        <f t="shared" si="114"/>
        <v>17.504758192447529</v>
      </c>
      <c r="S140" s="65">
        <f t="shared" si="114"/>
        <v>17.438869624912623</v>
      </c>
      <c r="T140" s="65">
        <f t="shared" si="114"/>
        <v>17.263265642387235</v>
      </c>
      <c r="U140" s="65">
        <f t="shared" si="114"/>
        <v>16.903856601107435</v>
      </c>
      <c r="V140" s="65">
        <f t="shared" si="114"/>
        <v>16.331977522321367</v>
      </c>
      <c r="W140" s="65">
        <f t="shared" si="114"/>
        <v>15.971084260801536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12.276177599415083</v>
      </c>
      <c r="C141" s="68">
        <f t="shared" ref="C141:W141" si="116">IF(C111=0,0,C111/C$26)</f>
        <v>12.628076727381087</v>
      </c>
      <c r="D141" s="68">
        <f t="shared" si="116"/>
        <v>13.155157474865035</v>
      </c>
      <c r="E141" s="68">
        <f t="shared" si="116"/>
        <v>13.612319162778144</v>
      </c>
      <c r="F141" s="68">
        <f t="shared" si="116"/>
        <v>13.692893520054101</v>
      </c>
      <c r="G141" s="68">
        <f t="shared" si="116"/>
        <v>13.674630559866033</v>
      </c>
      <c r="H141" s="68">
        <f t="shared" si="116"/>
        <v>13.532033870140186</v>
      </c>
      <c r="I141" s="68">
        <f t="shared" si="116"/>
        <v>13.370020408812733</v>
      </c>
      <c r="J141" s="68">
        <f t="shared" si="116"/>
        <v>13.317767846073586</v>
      </c>
      <c r="K141" s="68">
        <f t="shared" si="116"/>
        <v>13.778712661025855</v>
      </c>
      <c r="L141" s="68">
        <f t="shared" si="116"/>
        <v>13.769468282743105</v>
      </c>
      <c r="M141" s="68">
        <f t="shared" si="116"/>
        <v>13.794917712502006</v>
      </c>
      <c r="N141" s="68">
        <f t="shared" si="116"/>
        <v>13.970580162212963</v>
      </c>
      <c r="O141" s="68">
        <f t="shared" si="116"/>
        <v>13.930811801782626</v>
      </c>
      <c r="P141" s="68">
        <f t="shared" si="116"/>
        <v>14.029835502488091</v>
      </c>
      <c r="Q141" s="68">
        <f t="shared" si="116"/>
        <v>14.01692460570672</v>
      </c>
      <c r="R141" s="68">
        <f t="shared" si="116"/>
        <v>14.05733800601965</v>
      </c>
      <c r="S141" s="68">
        <f t="shared" si="116"/>
        <v>13.970645544916014</v>
      </c>
      <c r="T141" s="68">
        <f t="shared" si="116"/>
        <v>13.895141247547071</v>
      </c>
      <c r="U141" s="68">
        <f t="shared" si="116"/>
        <v>13.850766515861775</v>
      </c>
      <c r="V141" s="68">
        <f t="shared" si="116"/>
        <v>13.244431180017848</v>
      </c>
      <c r="W141" s="68">
        <f t="shared" si="116"/>
        <v>13.641292615378152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22.043713334564146</v>
      </c>
      <c r="C143" s="82">
        <f t="shared" ref="C143:W143" si="118">IF(C113=0,0,C113/C$26)</f>
        <v>29.314357008087352</v>
      </c>
      <c r="D143" s="82">
        <f t="shared" si="118"/>
        <v>28.000234591162119</v>
      </c>
      <c r="E143" s="82">
        <f t="shared" si="118"/>
        <v>32.588852512548854</v>
      </c>
      <c r="F143" s="82">
        <f t="shared" si="118"/>
        <v>30.940492565287432</v>
      </c>
      <c r="G143" s="82">
        <f t="shared" si="118"/>
        <v>25.294193375845108</v>
      </c>
      <c r="H143" s="82">
        <f t="shared" si="118"/>
        <v>24.89695468529785</v>
      </c>
      <c r="I143" s="82">
        <f t="shared" si="118"/>
        <v>17.789377762784291</v>
      </c>
      <c r="J143" s="82">
        <f t="shared" si="118"/>
        <v>18.847553384909844</v>
      </c>
      <c r="K143" s="82">
        <f t="shared" si="118"/>
        <v>15.3537513678718</v>
      </c>
      <c r="L143" s="82">
        <f t="shared" si="118"/>
        <v>11.787275960946666</v>
      </c>
      <c r="M143" s="82">
        <f t="shared" si="118"/>
        <v>10.463123147215178</v>
      </c>
      <c r="N143" s="82">
        <f t="shared" si="118"/>
        <v>9.4689567401936099</v>
      </c>
      <c r="O143" s="82">
        <f t="shared" si="118"/>
        <v>9.433827594537366</v>
      </c>
      <c r="P143" s="82">
        <f t="shared" si="118"/>
        <v>8.5612008147343381</v>
      </c>
      <c r="Q143" s="82">
        <f t="shared" si="118"/>
        <v>8.9635970458248533</v>
      </c>
      <c r="R143" s="82">
        <f t="shared" si="118"/>
        <v>8.2522397013757729</v>
      </c>
      <c r="S143" s="82">
        <f t="shared" si="118"/>
        <v>9.4334818660506059</v>
      </c>
      <c r="T143" s="82">
        <f t="shared" si="118"/>
        <v>8.5478506092641151</v>
      </c>
      <c r="U143" s="82">
        <f t="shared" si="118"/>
        <v>8.5603928979984687</v>
      </c>
      <c r="V143" s="82">
        <f t="shared" si="118"/>
        <v>8.139614271560168</v>
      </c>
      <c r="W143" s="82">
        <f t="shared" si="118"/>
        <v>9.3673108956525262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22.043713334564146</v>
      </c>
      <c r="C144" s="64">
        <f t="shared" ref="C144:W144" si="120">IF(C114=0,0,C114/C$26)</f>
        <v>29.314357008087352</v>
      </c>
      <c r="D144" s="64">
        <f t="shared" si="120"/>
        <v>28.000234591162119</v>
      </c>
      <c r="E144" s="64">
        <f t="shared" si="120"/>
        <v>32.588852512548854</v>
      </c>
      <c r="F144" s="64">
        <f t="shared" si="120"/>
        <v>30.940492565287432</v>
      </c>
      <c r="G144" s="64">
        <f t="shared" si="120"/>
        <v>25.294193375845108</v>
      </c>
      <c r="H144" s="64">
        <f t="shared" si="120"/>
        <v>24.89695468529785</v>
      </c>
      <c r="I144" s="64">
        <f t="shared" si="120"/>
        <v>17.789377762784291</v>
      </c>
      <c r="J144" s="64">
        <f t="shared" si="120"/>
        <v>18.847553384909844</v>
      </c>
      <c r="K144" s="64">
        <f t="shared" si="120"/>
        <v>15.3537513678718</v>
      </c>
      <c r="L144" s="64">
        <f t="shared" si="120"/>
        <v>11.787275960946666</v>
      </c>
      <c r="M144" s="64">
        <f t="shared" si="120"/>
        <v>10.463123147215178</v>
      </c>
      <c r="N144" s="64">
        <f t="shared" si="120"/>
        <v>9.4689567401936099</v>
      </c>
      <c r="O144" s="64">
        <f t="shared" si="120"/>
        <v>9.433827594537366</v>
      </c>
      <c r="P144" s="64">
        <f t="shared" si="120"/>
        <v>8.5612008147343381</v>
      </c>
      <c r="Q144" s="64">
        <f t="shared" si="120"/>
        <v>8.9635970458248533</v>
      </c>
      <c r="R144" s="64">
        <f t="shared" si="120"/>
        <v>8.2522397013757729</v>
      </c>
      <c r="S144" s="64">
        <f t="shared" si="120"/>
        <v>9.4334818660506059</v>
      </c>
      <c r="T144" s="64">
        <f t="shared" si="120"/>
        <v>8.5478506092641151</v>
      </c>
      <c r="U144" s="64">
        <f t="shared" si="120"/>
        <v>8.5603928979984687</v>
      </c>
      <c r="V144" s="64">
        <f t="shared" si="120"/>
        <v>8.139614271560168</v>
      </c>
      <c r="W144" s="64">
        <f t="shared" si="120"/>
        <v>9.3673108956525262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18.459200345783255</v>
      </c>
      <c r="C145" s="65">
        <f t="shared" ref="C145:W145" si="122">IF(C115=0,0,C115/C$26)</f>
        <v>25.444118886125157</v>
      </c>
      <c r="D145" s="65">
        <f t="shared" si="122"/>
        <v>23.465547803519119</v>
      </c>
      <c r="E145" s="65">
        <f t="shared" si="122"/>
        <v>27.783563929262527</v>
      </c>
      <c r="F145" s="65">
        <f t="shared" si="122"/>
        <v>25.890267522983553</v>
      </c>
      <c r="G145" s="65">
        <f t="shared" si="122"/>
        <v>20.641487000715173</v>
      </c>
      <c r="H145" s="65">
        <f t="shared" si="122"/>
        <v>20.462081536707057</v>
      </c>
      <c r="I145" s="65">
        <f t="shared" si="122"/>
        <v>13.862254398515145</v>
      </c>
      <c r="J145" s="65">
        <f t="shared" si="122"/>
        <v>15.262348820035548</v>
      </c>
      <c r="K145" s="65">
        <f t="shared" si="122"/>
        <v>11.600942172351568</v>
      </c>
      <c r="L145" s="65">
        <f t="shared" si="122"/>
        <v>7.9301139598055181</v>
      </c>
      <c r="M145" s="65">
        <f t="shared" si="122"/>
        <v>6.876335255997664</v>
      </c>
      <c r="N145" s="65">
        <f t="shared" si="122"/>
        <v>6.8854811451212328</v>
      </c>
      <c r="O145" s="65">
        <f t="shared" si="122"/>
        <v>6.8632739246900289</v>
      </c>
      <c r="P145" s="65">
        <f t="shared" si="122"/>
        <v>6.0328360291038168</v>
      </c>
      <c r="Q145" s="65">
        <f t="shared" si="122"/>
        <v>6.4592661751694873</v>
      </c>
      <c r="R145" s="65">
        <f t="shared" si="122"/>
        <v>5.7998979803731041</v>
      </c>
      <c r="S145" s="65">
        <f t="shared" si="122"/>
        <v>6.9378630426844463</v>
      </c>
      <c r="T145" s="65">
        <f t="shared" si="122"/>
        <v>6.1109554283243464</v>
      </c>
      <c r="U145" s="65">
        <f t="shared" si="122"/>
        <v>6.1217666387613434</v>
      </c>
      <c r="V145" s="65">
        <f t="shared" si="122"/>
        <v>5.909775990132454</v>
      </c>
      <c r="W145" s="65">
        <f t="shared" si="122"/>
        <v>7.0857630181986906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6.8233954229663491E-4</v>
      </c>
      <c r="C146" s="65">
        <f t="shared" ref="C146:W146" si="124">IF(C116=0,0,C116/C$26)</f>
        <v>7.3011542386953749E-4</v>
      </c>
      <c r="D146" s="65">
        <f t="shared" si="124"/>
        <v>8.6791702546487441E-4</v>
      </c>
      <c r="E146" s="65">
        <f t="shared" si="124"/>
        <v>9.9017591573766998E-4</v>
      </c>
      <c r="F146" s="65">
        <f t="shared" si="124"/>
        <v>1.1174226968908808E-3</v>
      </c>
      <c r="G146" s="65">
        <f t="shared" si="124"/>
        <v>1.2844384500453705E-3</v>
      </c>
      <c r="H146" s="65">
        <f t="shared" si="124"/>
        <v>1.4711613547521815E-3</v>
      </c>
      <c r="I146" s="65">
        <f t="shared" si="124"/>
        <v>1.7872358275855763E-3</v>
      </c>
      <c r="J146" s="65">
        <f t="shared" si="124"/>
        <v>2.0006047017513285E-3</v>
      </c>
      <c r="K146" s="65">
        <f t="shared" si="124"/>
        <v>2.4445145045562714E-3</v>
      </c>
      <c r="L146" s="65">
        <f t="shared" si="124"/>
        <v>2.7291863438341848E-3</v>
      </c>
      <c r="M146" s="65">
        <f t="shared" si="124"/>
        <v>3.0892236167993311E-3</v>
      </c>
      <c r="N146" s="65">
        <f t="shared" si="124"/>
        <v>3.3723100929468099E-3</v>
      </c>
      <c r="O146" s="65">
        <f t="shared" si="124"/>
        <v>4.0069333540225108E-3</v>
      </c>
      <c r="P146" s="65">
        <f t="shared" si="124"/>
        <v>3.9193907160935976E-3</v>
      </c>
      <c r="Q146" s="65">
        <f t="shared" si="124"/>
        <v>5.3444229599140186E-3</v>
      </c>
      <c r="R146" s="65">
        <f t="shared" si="124"/>
        <v>4.7078279619111821E-3</v>
      </c>
      <c r="S146" s="65">
        <f t="shared" si="124"/>
        <v>5.5104340360921577E-3</v>
      </c>
      <c r="T146" s="65">
        <f t="shared" si="124"/>
        <v>5.7058538812208553E-3</v>
      </c>
      <c r="U146" s="65">
        <f t="shared" si="124"/>
        <v>6.4433649711376113E-3</v>
      </c>
      <c r="V146" s="65">
        <f t="shared" si="124"/>
        <v>5.9524425298924438E-3</v>
      </c>
      <c r="W146" s="65">
        <f t="shared" si="124"/>
        <v>6.3115780935965784E-3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2.3547895339187033</v>
      </c>
      <c r="C147" s="65">
        <f t="shared" ref="C147:W147" si="126">IF(C117=0,0,C117/C$26)</f>
        <v>2.3766694828560624</v>
      </c>
      <c r="D147" s="65">
        <f t="shared" si="126"/>
        <v>2.3491450689573052</v>
      </c>
      <c r="E147" s="65">
        <f t="shared" si="126"/>
        <v>2.3432176359518415</v>
      </c>
      <c r="F147" s="65">
        <f t="shared" si="126"/>
        <v>2.2874620614529015</v>
      </c>
      <c r="G147" s="65">
        <f t="shared" si="126"/>
        <v>2.2297541769757547</v>
      </c>
      <c r="H147" s="65">
        <f t="shared" si="126"/>
        <v>2.0685035543383572</v>
      </c>
      <c r="I147" s="65">
        <f t="shared" si="126"/>
        <v>1.9350081620110919</v>
      </c>
      <c r="J147" s="65">
        <f t="shared" si="126"/>
        <v>1.7631879024225423</v>
      </c>
      <c r="K147" s="65">
        <f t="shared" si="126"/>
        <v>1.7201229870683352</v>
      </c>
      <c r="L147" s="65">
        <f t="shared" si="126"/>
        <v>1.4509638720573075</v>
      </c>
      <c r="M147" s="65">
        <f t="shared" si="126"/>
        <v>1.3268460590411146</v>
      </c>
      <c r="N147" s="65">
        <f t="shared" si="126"/>
        <v>1.0506345117097502</v>
      </c>
      <c r="O147" s="65">
        <f t="shared" si="126"/>
        <v>1.0288842763383919</v>
      </c>
      <c r="P147" s="65">
        <f t="shared" si="126"/>
        <v>0.9857999826476479</v>
      </c>
      <c r="Q147" s="65">
        <f t="shared" si="126"/>
        <v>0.95517984868325967</v>
      </c>
      <c r="R147" s="65">
        <f t="shared" si="126"/>
        <v>0.92911367081516982</v>
      </c>
      <c r="S147" s="65">
        <f t="shared" si="126"/>
        <v>0.90765964545971012</v>
      </c>
      <c r="T147" s="65">
        <f t="shared" si="126"/>
        <v>0.86922856494558431</v>
      </c>
      <c r="U147" s="65">
        <f t="shared" si="126"/>
        <v>0.82789473466126828</v>
      </c>
      <c r="V147" s="65">
        <f t="shared" si="126"/>
        <v>0.74625764858111709</v>
      </c>
      <c r="W147" s="65">
        <f t="shared" si="126"/>
        <v>0.77857794284341664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1.2290411153198835</v>
      </c>
      <c r="C148" s="67">
        <f t="shared" ref="C148:W148" si="128">IF(C118=0,0,C118/C$26)</f>
        <v>1.4928385236822619</v>
      </c>
      <c r="D148" s="67">
        <f t="shared" si="128"/>
        <v>2.1846738016602276</v>
      </c>
      <c r="E148" s="67">
        <f t="shared" si="128"/>
        <v>2.4610807714187466</v>
      </c>
      <c r="F148" s="67">
        <f t="shared" si="128"/>
        <v>2.7616455581540835</v>
      </c>
      <c r="G148" s="67">
        <f t="shared" si="128"/>
        <v>2.4216677597041292</v>
      </c>
      <c r="H148" s="67">
        <f t="shared" si="128"/>
        <v>2.3648984328976779</v>
      </c>
      <c r="I148" s="67">
        <f t="shared" si="128"/>
        <v>1.9903279664304725</v>
      </c>
      <c r="J148" s="67">
        <f t="shared" si="128"/>
        <v>1.8200160577500022</v>
      </c>
      <c r="K148" s="67">
        <f t="shared" si="128"/>
        <v>2.0302416939473384</v>
      </c>
      <c r="L148" s="67">
        <f t="shared" si="128"/>
        <v>2.403468942740004</v>
      </c>
      <c r="M148" s="67">
        <f t="shared" si="128"/>
        <v>2.2568526085596008</v>
      </c>
      <c r="N148" s="67">
        <f t="shared" si="128"/>
        <v>1.5294687732696799</v>
      </c>
      <c r="O148" s="67">
        <f t="shared" si="128"/>
        <v>1.5376624601549218</v>
      </c>
      <c r="P148" s="67">
        <f t="shared" si="128"/>
        <v>1.5386454122667794</v>
      </c>
      <c r="Q148" s="67">
        <f t="shared" si="128"/>
        <v>1.5438065990121921</v>
      </c>
      <c r="R148" s="67">
        <f t="shared" si="128"/>
        <v>1.5185202222255887</v>
      </c>
      <c r="S148" s="67">
        <f t="shared" si="128"/>
        <v>1.5824487438703574</v>
      </c>
      <c r="T148" s="67">
        <f t="shared" si="128"/>
        <v>1.5619607621129632</v>
      </c>
      <c r="U148" s="67">
        <f t="shared" si="128"/>
        <v>1.604288159604722</v>
      </c>
      <c r="V148" s="67">
        <f t="shared" si="128"/>
        <v>1.477628190316703</v>
      </c>
      <c r="W148" s="67">
        <f t="shared" si="128"/>
        <v>1.4966583565168232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11832.678163247772</v>
      </c>
      <c r="C153" s="82">
        <f t="shared" ref="C153:W153" si="132">IF(C99=0,0,C99/C$23)</f>
        <v>13445.396719421362</v>
      </c>
      <c r="D153" s="82">
        <f t="shared" si="132"/>
        <v>13048.424743028936</v>
      </c>
      <c r="E153" s="82">
        <f t="shared" si="132"/>
        <v>14353.451569998371</v>
      </c>
      <c r="F153" s="82">
        <f t="shared" si="132"/>
        <v>13962.678520824822</v>
      </c>
      <c r="G153" s="82">
        <f t="shared" si="132"/>
        <v>12961.638467100922</v>
      </c>
      <c r="H153" s="82">
        <f t="shared" si="132"/>
        <v>13029.666814750321</v>
      </c>
      <c r="I153" s="82">
        <f t="shared" si="132"/>
        <v>11194.533817640362</v>
      </c>
      <c r="J153" s="82">
        <f t="shared" si="132"/>
        <v>11817.656766875754</v>
      </c>
      <c r="K153" s="82">
        <f t="shared" si="132"/>
        <v>10509.987678736539</v>
      </c>
      <c r="L153" s="82">
        <f t="shared" si="132"/>
        <v>10209.05049984548</v>
      </c>
      <c r="M153" s="82">
        <f t="shared" si="132"/>
        <v>9664.3765008856099</v>
      </c>
      <c r="N153" s="82">
        <f t="shared" si="132"/>
        <v>9480.3659683834812</v>
      </c>
      <c r="O153" s="82">
        <f t="shared" si="132"/>
        <v>9357.3454830890587</v>
      </c>
      <c r="P153" s="82">
        <f t="shared" si="132"/>
        <v>8737.9100560992356</v>
      </c>
      <c r="Q153" s="82">
        <f t="shared" si="132"/>
        <v>8894.2330953136516</v>
      </c>
      <c r="R153" s="82">
        <f t="shared" si="132"/>
        <v>8520.9082521418022</v>
      </c>
      <c r="S153" s="82">
        <f t="shared" si="132"/>
        <v>9039.9067915092874</v>
      </c>
      <c r="T153" s="82">
        <f t="shared" si="132"/>
        <v>8649.7409786602457</v>
      </c>
      <c r="U153" s="82">
        <f t="shared" si="132"/>
        <v>8656.3686307460339</v>
      </c>
      <c r="V153" s="82">
        <f t="shared" si="132"/>
        <v>8294.7302676684794</v>
      </c>
      <c r="W153" s="82">
        <f t="shared" si="132"/>
        <v>8706.021138978027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9415.3892763115455</v>
      </c>
      <c r="C154" s="64">
        <f t="shared" ref="C154:W154" si="134">IF(C100=0,0,C100/C$23)</f>
        <v>11001.092143409578</v>
      </c>
      <c r="D154" s="64">
        <f t="shared" si="134"/>
        <v>10549.744294200744</v>
      </c>
      <c r="E154" s="64">
        <f t="shared" si="134"/>
        <v>11812.685247363548</v>
      </c>
      <c r="F154" s="64">
        <f t="shared" si="134"/>
        <v>11453.839806506234</v>
      </c>
      <c r="G154" s="64">
        <f t="shared" si="134"/>
        <v>10428.287771278103</v>
      </c>
      <c r="H154" s="64">
        <f t="shared" si="134"/>
        <v>10486.372809023309</v>
      </c>
      <c r="I154" s="64">
        <f t="shared" si="134"/>
        <v>8641.7339432524623</v>
      </c>
      <c r="J154" s="64">
        <f t="shared" si="134"/>
        <v>9262.4049443348904</v>
      </c>
      <c r="K154" s="64">
        <f t="shared" si="134"/>
        <v>7957.3524231509537</v>
      </c>
      <c r="L154" s="64">
        <f t="shared" si="134"/>
        <v>7655.6929357128538</v>
      </c>
      <c r="M154" s="64">
        <f t="shared" si="134"/>
        <v>7116.9230342635265</v>
      </c>
      <c r="N154" s="64">
        <f t="shared" si="134"/>
        <v>6931.0082508968326</v>
      </c>
      <c r="O154" s="64">
        <f t="shared" si="134"/>
        <v>6785.7760749740291</v>
      </c>
      <c r="P154" s="64">
        <f t="shared" si="134"/>
        <v>6123.7100645923774</v>
      </c>
      <c r="Q154" s="64">
        <f t="shared" si="134"/>
        <v>6264.8987897015832</v>
      </c>
      <c r="R154" s="64">
        <f t="shared" si="134"/>
        <v>5920.2924942464442</v>
      </c>
      <c r="S154" s="64">
        <f t="shared" si="134"/>
        <v>6419.1111132398328</v>
      </c>
      <c r="T154" s="64">
        <f t="shared" si="134"/>
        <v>6053.0898989362613</v>
      </c>
      <c r="U154" s="64">
        <f t="shared" si="134"/>
        <v>6120.9035092776221</v>
      </c>
      <c r="V154" s="64">
        <f t="shared" si="134"/>
        <v>5884.933511217725</v>
      </c>
      <c r="W154" s="64">
        <f t="shared" si="134"/>
        <v>6355.5753605271102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7295.8979837623756</v>
      </c>
      <c r="C155" s="65">
        <f t="shared" ref="C155:W155" si="136">IF(C101=0,0,C101/C$23)</f>
        <v>8853.312612650092</v>
      </c>
      <c r="D155" s="65">
        <f t="shared" si="136"/>
        <v>8331.4151918776624</v>
      </c>
      <c r="E155" s="65">
        <f t="shared" si="136"/>
        <v>9547.2657565463996</v>
      </c>
      <c r="F155" s="65">
        <f t="shared" si="136"/>
        <v>9182.4573913655695</v>
      </c>
      <c r="G155" s="65">
        <f t="shared" si="136"/>
        <v>8169.7989116867275</v>
      </c>
      <c r="H155" s="65">
        <f t="shared" si="136"/>
        <v>8255.4454298761102</v>
      </c>
      <c r="I155" s="65">
        <f t="shared" si="136"/>
        <v>6442.8107797823968</v>
      </c>
      <c r="J155" s="65">
        <f t="shared" si="136"/>
        <v>7130.7070050596085</v>
      </c>
      <c r="K155" s="65">
        <f t="shared" si="136"/>
        <v>5775.0287625423407</v>
      </c>
      <c r="L155" s="65">
        <f t="shared" si="136"/>
        <v>5516.156084144608</v>
      </c>
      <c r="M155" s="65">
        <f t="shared" si="136"/>
        <v>5008.3400883211534</v>
      </c>
      <c r="N155" s="65">
        <f t="shared" si="136"/>
        <v>4899.5151489413192</v>
      </c>
      <c r="O155" s="65">
        <f t="shared" si="136"/>
        <v>4753.9118137438654</v>
      </c>
      <c r="P155" s="65">
        <f t="shared" si="136"/>
        <v>4090.3489251351266</v>
      </c>
      <c r="Q155" s="65">
        <f t="shared" si="136"/>
        <v>4240.520508509001</v>
      </c>
      <c r="R155" s="65">
        <f t="shared" si="136"/>
        <v>3921.9974588913642</v>
      </c>
      <c r="S155" s="65">
        <f t="shared" si="136"/>
        <v>4446.7510279552989</v>
      </c>
      <c r="T155" s="65">
        <f t="shared" si="136"/>
        <v>4124.1656144985964</v>
      </c>
      <c r="U155" s="65">
        <f t="shared" si="136"/>
        <v>4219.1629762435023</v>
      </c>
      <c r="V155" s="65">
        <f t="shared" si="136"/>
        <v>4021.6576776114644</v>
      </c>
      <c r="W155" s="65">
        <f t="shared" si="136"/>
        <v>4514.2333571673662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87.475882311149917</v>
      </c>
      <c r="C156" s="65">
        <f t="shared" ref="C156:W156" si="138">IF(C102=0,0,C102/C$23)</f>
        <v>86.22205268277726</v>
      </c>
      <c r="D156" s="65">
        <f t="shared" si="138"/>
        <v>87.699560538530051</v>
      </c>
      <c r="E156" s="65">
        <f t="shared" si="138"/>
        <v>96.259919309349499</v>
      </c>
      <c r="F156" s="65">
        <f t="shared" si="138"/>
        <v>84.66953956123362</v>
      </c>
      <c r="G156" s="65">
        <f t="shared" si="138"/>
        <v>84.728556509073968</v>
      </c>
      <c r="H156" s="65">
        <f t="shared" si="138"/>
        <v>87.016008542767409</v>
      </c>
      <c r="I156" s="65">
        <f t="shared" si="138"/>
        <v>86.29359083341231</v>
      </c>
      <c r="J156" s="65">
        <f t="shared" si="138"/>
        <v>80.46146811332477</v>
      </c>
      <c r="K156" s="65">
        <f t="shared" si="138"/>
        <v>82.276905194317422</v>
      </c>
      <c r="L156" s="65">
        <f t="shared" si="138"/>
        <v>85.884151600521889</v>
      </c>
      <c r="M156" s="65">
        <f t="shared" si="138"/>
        <v>82.409178022652583</v>
      </c>
      <c r="N156" s="65">
        <f t="shared" si="138"/>
        <v>83.832617086164404</v>
      </c>
      <c r="O156" s="65">
        <f t="shared" si="138"/>
        <v>87.710348654288197</v>
      </c>
      <c r="P156" s="65">
        <f t="shared" si="138"/>
        <v>75.10504693919529</v>
      </c>
      <c r="Q156" s="65">
        <f t="shared" si="138"/>
        <v>85.721172822633406</v>
      </c>
      <c r="R156" s="65">
        <f t="shared" si="138"/>
        <v>72.818974841576079</v>
      </c>
      <c r="S156" s="65">
        <f t="shared" si="138"/>
        <v>75.422208994166439</v>
      </c>
      <c r="T156" s="65">
        <f t="shared" si="138"/>
        <v>72.630021211577059</v>
      </c>
      <c r="U156" s="65">
        <f t="shared" si="138"/>
        <v>73.924401896372132</v>
      </c>
      <c r="V156" s="65">
        <f t="shared" si="138"/>
        <v>68.976999654341043</v>
      </c>
      <c r="W156" s="65">
        <f t="shared" si="138"/>
        <v>69.632137417381216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1139.6710529113668</v>
      </c>
      <c r="C157" s="65">
        <f t="shared" ref="C157:W157" si="140">IF(C103=0,0,C103/C$23)</f>
        <v>1139.4901958794205</v>
      </c>
      <c r="D157" s="65">
        <f t="shared" si="140"/>
        <v>1135.1955967409069</v>
      </c>
      <c r="E157" s="65">
        <f t="shared" si="140"/>
        <v>1133.2371242076988</v>
      </c>
      <c r="F157" s="65">
        <f t="shared" si="140"/>
        <v>1127.7841060068306</v>
      </c>
      <c r="G157" s="65">
        <f t="shared" si="140"/>
        <v>1143.0761079916851</v>
      </c>
      <c r="H157" s="65">
        <f t="shared" si="140"/>
        <v>1130.0496313263257</v>
      </c>
      <c r="I157" s="65">
        <f t="shared" si="140"/>
        <v>1128.6404766749692</v>
      </c>
      <c r="J157" s="65">
        <f t="shared" si="140"/>
        <v>1092.6045798138277</v>
      </c>
      <c r="K157" s="65">
        <f t="shared" si="140"/>
        <v>1122.4182472439484</v>
      </c>
      <c r="L157" s="65">
        <f t="shared" si="140"/>
        <v>1061.1718106261881</v>
      </c>
      <c r="M157" s="65">
        <f t="shared" si="140"/>
        <v>1049.4203252277771</v>
      </c>
      <c r="N157" s="65">
        <f t="shared" si="140"/>
        <v>1010.8177068590397</v>
      </c>
      <c r="O157" s="65">
        <f t="shared" si="140"/>
        <v>1013.7110042167345</v>
      </c>
      <c r="P157" s="65">
        <f t="shared" si="140"/>
        <v>1026.5062402918622</v>
      </c>
      <c r="Q157" s="65">
        <f t="shared" si="140"/>
        <v>1012.0055861409387</v>
      </c>
      <c r="R157" s="65">
        <f t="shared" si="140"/>
        <v>1002.9126680306609</v>
      </c>
      <c r="S157" s="65">
        <f t="shared" si="140"/>
        <v>982.86047790358805</v>
      </c>
      <c r="T157" s="65">
        <f t="shared" si="140"/>
        <v>954.50140671662962</v>
      </c>
      <c r="U157" s="65">
        <f t="shared" si="140"/>
        <v>928.65660172003265</v>
      </c>
      <c r="V157" s="65">
        <f t="shared" si="140"/>
        <v>913.54881253854649</v>
      </c>
      <c r="W157" s="65">
        <f t="shared" si="140"/>
        <v>879.84407085759267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892.34435732665224</v>
      </c>
      <c r="C158" s="67">
        <f t="shared" ref="C158:W158" si="142">IF(C104=0,0,C104/C$23)</f>
        <v>922.06728219728598</v>
      </c>
      <c r="D158" s="67">
        <f t="shared" si="142"/>
        <v>995.43394504364539</v>
      </c>
      <c r="E158" s="67">
        <f t="shared" si="142"/>
        <v>1035.9224473001009</v>
      </c>
      <c r="F158" s="67">
        <f t="shared" si="142"/>
        <v>1058.9287695725995</v>
      </c>
      <c r="G158" s="67">
        <f t="shared" si="142"/>
        <v>1030.684195090616</v>
      </c>
      <c r="H158" s="67">
        <f t="shared" si="142"/>
        <v>1013.8617392781047</v>
      </c>
      <c r="I158" s="67">
        <f t="shared" si="142"/>
        <v>983.98909596168517</v>
      </c>
      <c r="J158" s="67">
        <f t="shared" si="142"/>
        <v>958.6318913481299</v>
      </c>
      <c r="K158" s="67">
        <f t="shared" si="142"/>
        <v>977.62850817034791</v>
      </c>
      <c r="L158" s="67">
        <f t="shared" si="142"/>
        <v>992.48088934153463</v>
      </c>
      <c r="M158" s="67">
        <f t="shared" si="142"/>
        <v>976.7534426919442</v>
      </c>
      <c r="N158" s="67">
        <f t="shared" si="142"/>
        <v>936.84277801030782</v>
      </c>
      <c r="O158" s="67">
        <f t="shared" si="142"/>
        <v>930.44290835914217</v>
      </c>
      <c r="P158" s="67">
        <f t="shared" si="142"/>
        <v>931.74985222619364</v>
      </c>
      <c r="Q158" s="67">
        <f t="shared" si="142"/>
        <v>926.65152222901077</v>
      </c>
      <c r="R158" s="67">
        <f t="shared" si="142"/>
        <v>922.563392482842</v>
      </c>
      <c r="S158" s="67">
        <f t="shared" si="142"/>
        <v>914.07739838677878</v>
      </c>
      <c r="T158" s="67">
        <f t="shared" si="142"/>
        <v>901.79285650945872</v>
      </c>
      <c r="U158" s="67">
        <f t="shared" si="142"/>
        <v>899.15952941771604</v>
      </c>
      <c r="V158" s="67">
        <f t="shared" si="142"/>
        <v>880.75002141337336</v>
      </c>
      <c r="W158" s="67">
        <f t="shared" si="142"/>
        <v>891.86579508476927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2417.2888869362287</v>
      </c>
      <c r="C159" s="68">
        <f t="shared" ref="C159:W159" si="144">IF(C105=0,0,C105/C$23)</f>
        <v>2444.3045760117852</v>
      </c>
      <c r="D159" s="68">
        <f t="shared" si="144"/>
        <v>2498.6804488281914</v>
      </c>
      <c r="E159" s="68">
        <f t="shared" si="144"/>
        <v>2540.7663226348218</v>
      </c>
      <c r="F159" s="68">
        <f t="shared" si="144"/>
        <v>2508.838714318586</v>
      </c>
      <c r="G159" s="68">
        <f t="shared" si="144"/>
        <v>2533.3506958228195</v>
      </c>
      <c r="H159" s="68">
        <f t="shared" si="144"/>
        <v>2543.2940057270121</v>
      </c>
      <c r="I159" s="68">
        <f t="shared" si="144"/>
        <v>2552.7998743878998</v>
      </c>
      <c r="J159" s="68">
        <f t="shared" si="144"/>
        <v>2555.2518225408621</v>
      </c>
      <c r="K159" s="68">
        <f t="shared" si="144"/>
        <v>2552.6352555855829</v>
      </c>
      <c r="L159" s="68">
        <f t="shared" si="144"/>
        <v>2553.3575641326265</v>
      </c>
      <c r="M159" s="68">
        <f t="shared" si="144"/>
        <v>2547.4534666220834</v>
      </c>
      <c r="N159" s="68">
        <f t="shared" si="144"/>
        <v>2549.3577174866487</v>
      </c>
      <c r="O159" s="68">
        <f t="shared" si="144"/>
        <v>2571.5694081150277</v>
      </c>
      <c r="P159" s="68">
        <f t="shared" si="144"/>
        <v>2614.1999915068586</v>
      </c>
      <c r="Q159" s="68">
        <f t="shared" si="144"/>
        <v>2629.3343056120666</v>
      </c>
      <c r="R159" s="68">
        <f t="shared" si="144"/>
        <v>2600.6157578953585</v>
      </c>
      <c r="S159" s="68">
        <f t="shared" si="144"/>
        <v>2620.7956782694546</v>
      </c>
      <c r="T159" s="68">
        <f t="shared" si="144"/>
        <v>2596.6510797239839</v>
      </c>
      <c r="U159" s="68">
        <f t="shared" si="144"/>
        <v>2535.4651214684131</v>
      </c>
      <c r="V159" s="68">
        <f t="shared" si="144"/>
        <v>2409.7967564507544</v>
      </c>
      <c r="W159" s="68">
        <f t="shared" si="144"/>
        <v>2350.4457784509168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6229.580155600519</v>
      </c>
      <c r="C161" s="85">
        <f t="shared" ref="C161:W161" si="146">IF(C107=0,0,C107/C$23)</f>
        <v>7142.583440899969</v>
      </c>
      <c r="D161" s="85">
        <f t="shared" si="146"/>
        <v>6960.4961106709325</v>
      </c>
      <c r="E161" s="85">
        <f t="shared" si="146"/>
        <v>7807.2904743297913</v>
      </c>
      <c r="F161" s="85">
        <f t="shared" si="146"/>
        <v>7675.2285179712844</v>
      </c>
      <c r="G161" s="85">
        <f t="shared" si="146"/>
        <v>7345.9041579838777</v>
      </c>
      <c r="H161" s="85">
        <f t="shared" si="146"/>
        <v>7498.2689377928318</v>
      </c>
      <c r="I161" s="85">
        <f t="shared" si="146"/>
        <v>6430.918916357502</v>
      </c>
      <c r="J161" s="85">
        <f t="shared" si="146"/>
        <v>7013.7306606180209</v>
      </c>
      <c r="K161" s="85">
        <f t="shared" si="146"/>
        <v>6185.4570334489708</v>
      </c>
      <c r="L161" s="85">
        <f t="shared" si="146"/>
        <v>6231.8032274980451</v>
      </c>
      <c r="M161" s="85">
        <f t="shared" si="146"/>
        <v>5978.0250036488696</v>
      </c>
      <c r="N161" s="85">
        <f t="shared" si="146"/>
        <v>6008.8223630807806</v>
      </c>
      <c r="O161" s="85">
        <f t="shared" si="146"/>
        <v>6005.1281308868347</v>
      </c>
      <c r="P161" s="85">
        <f t="shared" si="146"/>
        <v>5526.7655002772863</v>
      </c>
      <c r="Q161" s="85">
        <f t="shared" si="146"/>
        <v>5632.7558870416733</v>
      </c>
      <c r="R161" s="85">
        <f t="shared" si="146"/>
        <v>5444.4437448548324</v>
      </c>
      <c r="S161" s="85">
        <f t="shared" si="146"/>
        <v>5933.9095037811931</v>
      </c>
      <c r="T161" s="85">
        <f t="shared" si="146"/>
        <v>5697.892298732042</v>
      </c>
      <c r="U161" s="85">
        <f t="shared" si="146"/>
        <v>5901.6939813234621</v>
      </c>
      <c r="V161" s="85">
        <f t="shared" si="146"/>
        <v>5543.9299692090035</v>
      </c>
      <c r="W161" s="85">
        <f t="shared" si="146"/>
        <v>5947.6249386264026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4628.8473935462271</v>
      </c>
      <c r="C162" s="65">
        <f t="shared" ref="C162:W162" si="148">IF(C108=0,0,C108/C$23)</f>
        <v>5521.9768386766527</v>
      </c>
      <c r="D162" s="65">
        <f t="shared" si="148"/>
        <v>5300.5563072253417</v>
      </c>
      <c r="E162" s="65">
        <f t="shared" si="148"/>
        <v>6094.7701441542649</v>
      </c>
      <c r="F162" s="65">
        <f t="shared" si="148"/>
        <v>5972.399348684944</v>
      </c>
      <c r="G162" s="65">
        <f t="shared" si="148"/>
        <v>5623.904741275167</v>
      </c>
      <c r="H162" s="65">
        <f t="shared" si="148"/>
        <v>5775.4258532031781</v>
      </c>
      <c r="I162" s="65">
        <f t="shared" si="148"/>
        <v>4689.6985159550932</v>
      </c>
      <c r="J162" s="65">
        <f t="shared" si="148"/>
        <v>5291.1544438144056</v>
      </c>
      <c r="K162" s="65">
        <f t="shared" si="148"/>
        <v>4427.1983770808165</v>
      </c>
      <c r="L162" s="65">
        <f t="shared" si="148"/>
        <v>4462.3356311393009</v>
      </c>
      <c r="M162" s="65">
        <f t="shared" si="148"/>
        <v>4210.1328466513523</v>
      </c>
      <c r="N162" s="65">
        <f t="shared" si="148"/>
        <v>4240.2221528456494</v>
      </c>
      <c r="O162" s="65">
        <f t="shared" si="148"/>
        <v>4217.4452556126917</v>
      </c>
      <c r="P162" s="65">
        <f t="shared" si="148"/>
        <v>3749.7538777175182</v>
      </c>
      <c r="Q162" s="65">
        <f t="shared" si="148"/>
        <v>3826.0969931260815</v>
      </c>
      <c r="R162" s="65">
        <f t="shared" si="148"/>
        <v>3674.9146179103195</v>
      </c>
      <c r="S162" s="65">
        <f t="shared" si="148"/>
        <v>4160.1566156631789</v>
      </c>
      <c r="T162" s="65">
        <f t="shared" si="148"/>
        <v>3943.2898644770962</v>
      </c>
      <c r="U162" s="65">
        <f t="shared" si="148"/>
        <v>4152.6670953112416</v>
      </c>
      <c r="V162" s="65">
        <f t="shared" si="148"/>
        <v>3816.1858600035803</v>
      </c>
      <c r="W162" s="65">
        <f t="shared" si="148"/>
        <v>4223.5569107224101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163.13266644874238</v>
      </c>
      <c r="C163" s="65">
        <f t="shared" ref="C163:W163" si="150">IF(C109=0,0,C109/C$23)</f>
        <v>166.71863876015246</v>
      </c>
      <c r="D163" s="65">
        <f t="shared" si="150"/>
        <v>176.84350227254583</v>
      </c>
      <c r="E163" s="65">
        <f t="shared" si="150"/>
        <v>201.74326008378588</v>
      </c>
      <c r="F163" s="65">
        <f t="shared" si="150"/>
        <v>185.45254113738727</v>
      </c>
      <c r="G163" s="65">
        <f t="shared" si="150"/>
        <v>194.83351876910828</v>
      </c>
      <c r="H163" s="65">
        <f t="shared" si="150"/>
        <v>210.34011098967645</v>
      </c>
      <c r="I163" s="65">
        <f t="shared" si="150"/>
        <v>220.31175186838223</v>
      </c>
      <c r="J163" s="65">
        <f t="shared" si="150"/>
        <v>217.20195769501032</v>
      </c>
      <c r="K163" s="65">
        <f t="shared" si="150"/>
        <v>225.22487233082597</v>
      </c>
      <c r="L163" s="65">
        <f t="shared" si="150"/>
        <v>240.48565486710484</v>
      </c>
      <c r="M163" s="65">
        <f t="shared" si="150"/>
        <v>237.52892670611368</v>
      </c>
      <c r="N163" s="65">
        <f t="shared" si="150"/>
        <v>249.17707451705641</v>
      </c>
      <c r="O163" s="65">
        <f t="shared" si="150"/>
        <v>268.86613172812429</v>
      </c>
      <c r="P163" s="65">
        <f t="shared" si="150"/>
        <v>237.97281887666657</v>
      </c>
      <c r="Q163" s="65">
        <f t="shared" si="150"/>
        <v>281.71935963583547</v>
      </c>
      <c r="R163" s="65">
        <f t="shared" si="150"/>
        <v>248.54659708921693</v>
      </c>
      <c r="S163" s="65">
        <f t="shared" si="150"/>
        <v>266.08613231750246</v>
      </c>
      <c r="T163" s="65">
        <f t="shared" si="150"/>
        <v>263.89016512130632</v>
      </c>
      <c r="U163" s="65">
        <f t="shared" si="150"/>
        <v>275.11364166122394</v>
      </c>
      <c r="V163" s="65">
        <f t="shared" si="150"/>
        <v>263.49084089836668</v>
      </c>
      <c r="W163" s="65">
        <f t="shared" si="150"/>
        <v>272.36207653088064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795.85890043428799</v>
      </c>
      <c r="C164" s="65">
        <f t="shared" ref="C164:W164" si="152">IF(C110=0,0,C110/C$23)</f>
        <v>798.96709818811189</v>
      </c>
      <c r="D164" s="65">
        <f t="shared" si="152"/>
        <v>799.67230772418748</v>
      </c>
      <c r="E164" s="65">
        <f t="shared" si="152"/>
        <v>806.11614224034508</v>
      </c>
      <c r="F164" s="65">
        <f t="shared" si="152"/>
        <v>806.89815144751583</v>
      </c>
      <c r="G164" s="65">
        <f t="shared" si="152"/>
        <v>820.92812802935509</v>
      </c>
      <c r="H164" s="65">
        <f t="shared" si="152"/>
        <v>815.84222475431227</v>
      </c>
      <c r="I164" s="65">
        <f t="shared" si="152"/>
        <v>830.54348100804214</v>
      </c>
      <c r="J164" s="65">
        <f t="shared" si="152"/>
        <v>825.48500262869061</v>
      </c>
      <c r="K164" s="65">
        <f t="shared" si="152"/>
        <v>843.87918226673116</v>
      </c>
      <c r="L164" s="65">
        <f t="shared" si="152"/>
        <v>842.73498373547932</v>
      </c>
      <c r="M164" s="65">
        <f t="shared" si="152"/>
        <v>848.93313421934113</v>
      </c>
      <c r="N164" s="65">
        <f t="shared" si="152"/>
        <v>837.07444873887255</v>
      </c>
      <c r="O164" s="65">
        <f t="shared" si="152"/>
        <v>840.48563829479474</v>
      </c>
      <c r="P164" s="65">
        <f t="shared" si="152"/>
        <v>858.58557654046444</v>
      </c>
      <c r="Q164" s="65">
        <f t="shared" si="152"/>
        <v>847.56550457349601</v>
      </c>
      <c r="R164" s="65">
        <f t="shared" si="152"/>
        <v>843.55713361481617</v>
      </c>
      <c r="S164" s="65">
        <f t="shared" si="152"/>
        <v>837.07130944433288</v>
      </c>
      <c r="T164" s="65">
        <f t="shared" si="152"/>
        <v>825.92675515555345</v>
      </c>
      <c r="U164" s="65">
        <f t="shared" si="152"/>
        <v>810.11619066907781</v>
      </c>
      <c r="V164" s="65">
        <f t="shared" si="152"/>
        <v>808.55494342303518</v>
      </c>
      <c r="W164" s="65">
        <f t="shared" si="152"/>
        <v>782.96038741616178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641.74119517126246</v>
      </c>
      <c r="C165" s="68">
        <f t="shared" ref="C165:W165" si="154">IF(C111=0,0,C111/C$23)</f>
        <v>654.92086527505194</v>
      </c>
      <c r="D165" s="68">
        <f t="shared" si="154"/>
        <v>683.42399344885712</v>
      </c>
      <c r="E165" s="68">
        <f t="shared" si="154"/>
        <v>704.66092785139438</v>
      </c>
      <c r="F165" s="68">
        <f t="shared" si="154"/>
        <v>710.47847670143813</v>
      </c>
      <c r="G165" s="68">
        <f t="shared" si="154"/>
        <v>706.23776991024738</v>
      </c>
      <c r="H165" s="68">
        <f t="shared" si="154"/>
        <v>696.66074884566478</v>
      </c>
      <c r="I165" s="68">
        <f t="shared" si="154"/>
        <v>690.36516752598345</v>
      </c>
      <c r="J165" s="68">
        <f t="shared" si="154"/>
        <v>679.88925647991437</v>
      </c>
      <c r="K165" s="68">
        <f t="shared" si="154"/>
        <v>689.15460177059708</v>
      </c>
      <c r="L165" s="68">
        <f t="shared" si="154"/>
        <v>686.2469577561609</v>
      </c>
      <c r="M165" s="68">
        <f t="shared" si="154"/>
        <v>681.43009607206341</v>
      </c>
      <c r="N165" s="68">
        <f t="shared" si="154"/>
        <v>682.34868697920194</v>
      </c>
      <c r="O165" s="68">
        <f t="shared" si="154"/>
        <v>678.33110525122436</v>
      </c>
      <c r="P165" s="68">
        <f t="shared" si="154"/>
        <v>680.45322714263807</v>
      </c>
      <c r="Q165" s="68">
        <f t="shared" si="154"/>
        <v>677.37402970626113</v>
      </c>
      <c r="R165" s="68">
        <f t="shared" si="154"/>
        <v>677.4253962404797</v>
      </c>
      <c r="S165" s="68">
        <f t="shared" si="154"/>
        <v>670.59544635617851</v>
      </c>
      <c r="T165" s="68">
        <f t="shared" si="154"/>
        <v>664.78551397808656</v>
      </c>
      <c r="U165" s="68">
        <f t="shared" si="154"/>
        <v>663.79705368191799</v>
      </c>
      <c r="V165" s="68">
        <f t="shared" si="154"/>
        <v>655.69832488402176</v>
      </c>
      <c r="W165" s="68">
        <f t="shared" si="154"/>
        <v>668.74556395695072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1152.3423172054722</v>
      </c>
      <c r="C167" s="82">
        <f t="shared" ref="C167:W167" si="156">IF(C113=0,0,C113/C$23)</f>
        <v>1520.3094240859837</v>
      </c>
      <c r="D167" s="82">
        <f t="shared" si="156"/>
        <v>1454.6410545338733</v>
      </c>
      <c r="E167" s="82">
        <f t="shared" si="156"/>
        <v>1687.0079796467369</v>
      </c>
      <c r="F167" s="82">
        <f t="shared" si="156"/>
        <v>1605.3987416160621</v>
      </c>
      <c r="G167" s="82">
        <f t="shared" si="156"/>
        <v>1306.3398417405149</v>
      </c>
      <c r="H167" s="82">
        <f t="shared" si="156"/>
        <v>1281.7534497389265</v>
      </c>
      <c r="I167" s="82">
        <f t="shared" si="156"/>
        <v>918.56006078289579</v>
      </c>
      <c r="J167" s="82">
        <f t="shared" si="156"/>
        <v>962.19195329417107</v>
      </c>
      <c r="K167" s="82">
        <f t="shared" si="156"/>
        <v>767.93156733284138</v>
      </c>
      <c r="L167" s="82">
        <f t="shared" si="156"/>
        <v>587.4578525715242</v>
      </c>
      <c r="M167" s="82">
        <f t="shared" si="156"/>
        <v>516.84882505381108</v>
      </c>
      <c r="N167" s="82">
        <f t="shared" si="156"/>
        <v>462.48116568628751</v>
      </c>
      <c r="O167" s="82">
        <f t="shared" si="156"/>
        <v>459.3600710428924</v>
      </c>
      <c r="P167" s="82">
        <f t="shared" si="156"/>
        <v>415.22202605790017</v>
      </c>
      <c r="Q167" s="82">
        <f t="shared" si="156"/>
        <v>433.16975887289431</v>
      </c>
      <c r="R167" s="82">
        <f t="shared" si="156"/>
        <v>397.67676833138864</v>
      </c>
      <c r="S167" s="82">
        <f t="shared" si="156"/>
        <v>452.81014125787493</v>
      </c>
      <c r="T167" s="82">
        <f t="shared" si="156"/>
        <v>408.95498357677241</v>
      </c>
      <c r="U167" s="82">
        <f t="shared" si="156"/>
        <v>410.25625387184215</v>
      </c>
      <c r="V167" s="82">
        <f t="shared" si="156"/>
        <v>402.97173736810385</v>
      </c>
      <c r="W167" s="82">
        <f t="shared" si="156"/>
        <v>459.21950245472277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1152.3423172054722</v>
      </c>
      <c r="C168" s="64">
        <f t="shared" ref="C168:W168" si="158">IF(C114=0,0,C114/C$23)</f>
        <v>1520.3094240859837</v>
      </c>
      <c r="D168" s="64">
        <f t="shared" si="158"/>
        <v>1454.6410545338733</v>
      </c>
      <c r="E168" s="64">
        <f t="shared" si="158"/>
        <v>1687.0079796467369</v>
      </c>
      <c r="F168" s="64">
        <f t="shared" si="158"/>
        <v>1605.3987416160621</v>
      </c>
      <c r="G168" s="64">
        <f t="shared" si="158"/>
        <v>1306.3398417405149</v>
      </c>
      <c r="H168" s="64">
        <f t="shared" si="158"/>
        <v>1281.7534497389265</v>
      </c>
      <c r="I168" s="64">
        <f t="shared" si="158"/>
        <v>918.56006078289579</v>
      </c>
      <c r="J168" s="64">
        <f t="shared" si="158"/>
        <v>962.19195329417107</v>
      </c>
      <c r="K168" s="64">
        <f t="shared" si="158"/>
        <v>767.93156733284138</v>
      </c>
      <c r="L168" s="64">
        <f t="shared" si="158"/>
        <v>587.4578525715242</v>
      </c>
      <c r="M168" s="64">
        <f t="shared" si="158"/>
        <v>516.84882505381108</v>
      </c>
      <c r="N168" s="64">
        <f t="shared" si="158"/>
        <v>462.48116568628751</v>
      </c>
      <c r="O168" s="64">
        <f t="shared" si="158"/>
        <v>459.3600710428924</v>
      </c>
      <c r="P168" s="64">
        <f t="shared" si="158"/>
        <v>415.22202605790017</v>
      </c>
      <c r="Q168" s="64">
        <f t="shared" si="158"/>
        <v>433.16975887289431</v>
      </c>
      <c r="R168" s="64">
        <f t="shared" si="158"/>
        <v>397.67676833138864</v>
      </c>
      <c r="S168" s="64">
        <f t="shared" si="158"/>
        <v>452.81014125787493</v>
      </c>
      <c r="T168" s="64">
        <f t="shared" si="158"/>
        <v>408.95498357677241</v>
      </c>
      <c r="U168" s="64">
        <f t="shared" si="158"/>
        <v>410.25625387184215</v>
      </c>
      <c r="V168" s="64">
        <f t="shared" si="158"/>
        <v>402.97173736810385</v>
      </c>
      <c r="W168" s="64">
        <f t="shared" si="158"/>
        <v>459.21950245472277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964.96072950045539</v>
      </c>
      <c r="C169" s="65">
        <f t="shared" ref="C169:W169" si="160">IF(C115=0,0,C115/C$23)</f>
        <v>1319.5900465928094</v>
      </c>
      <c r="D169" s="65">
        <f t="shared" si="160"/>
        <v>1219.0594007701625</v>
      </c>
      <c r="E169" s="65">
        <f t="shared" si="160"/>
        <v>1438.2554290195606</v>
      </c>
      <c r="F169" s="65">
        <f t="shared" si="160"/>
        <v>1343.3594443849436</v>
      </c>
      <c r="G169" s="65">
        <f t="shared" si="160"/>
        <v>1066.0469168213683</v>
      </c>
      <c r="H169" s="65">
        <f t="shared" si="160"/>
        <v>1053.4358089184796</v>
      </c>
      <c r="I169" s="65">
        <f t="shared" si="160"/>
        <v>715.7818228767037</v>
      </c>
      <c r="J169" s="65">
        <f t="shared" si="160"/>
        <v>779.16262780105319</v>
      </c>
      <c r="K169" s="65">
        <f t="shared" si="160"/>
        <v>580.2314686164184</v>
      </c>
      <c r="L169" s="65">
        <f t="shared" si="160"/>
        <v>395.22343694248013</v>
      </c>
      <c r="M169" s="65">
        <f t="shared" si="160"/>
        <v>339.67160165599449</v>
      </c>
      <c r="N169" s="65">
        <f t="shared" si="160"/>
        <v>336.29949250792652</v>
      </c>
      <c r="O169" s="65">
        <f t="shared" si="160"/>
        <v>334.19245433931968</v>
      </c>
      <c r="P169" s="65">
        <f t="shared" si="160"/>
        <v>292.59521568147159</v>
      </c>
      <c r="Q169" s="65">
        <f t="shared" si="160"/>
        <v>312.14687109314764</v>
      </c>
      <c r="R169" s="65">
        <f t="shared" si="160"/>
        <v>279.49802343986664</v>
      </c>
      <c r="S169" s="65">
        <f t="shared" si="160"/>
        <v>333.01964099719629</v>
      </c>
      <c r="T169" s="65">
        <f t="shared" si="160"/>
        <v>292.36655986011897</v>
      </c>
      <c r="U169" s="65">
        <f t="shared" si="160"/>
        <v>293.38525441782787</v>
      </c>
      <c r="V169" s="65">
        <f t="shared" si="160"/>
        <v>292.57807787291011</v>
      </c>
      <c r="W169" s="65">
        <f t="shared" si="160"/>
        <v>347.36976320914664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3.5669522523600367E-2</v>
      </c>
      <c r="C170" s="65">
        <f t="shared" ref="C170:W170" si="162">IF(C116=0,0,C116/C$23)</f>
        <v>3.786545136477526E-2</v>
      </c>
      <c r="D170" s="65">
        <f t="shared" si="162"/>
        <v>4.508918427307107E-2</v>
      </c>
      <c r="E170" s="65">
        <f t="shared" si="162"/>
        <v>5.1257854828126802E-2</v>
      </c>
      <c r="F170" s="65">
        <f t="shared" si="162"/>
        <v>5.7979328792407719E-2</v>
      </c>
      <c r="G170" s="65">
        <f t="shared" si="162"/>
        <v>6.6335901549643334E-2</v>
      </c>
      <c r="H170" s="65">
        <f t="shared" si="162"/>
        <v>7.5738826913225865E-2</v>
      </c>
      <c r="I170" s="65">
        <f t="shared" si="162"/>
        <v>9.2284478541728887E-2</v>
      </c>
      <c r="J170" s="65">
        <f t="shared" si="162"/>
        <v>0.10213345501325508</v>
      </c>
      <c r="K170" s="65">
        <f t="shared" si="162"/>
        <v>0.12226457299418711</v>
      </c>
      <c r="L170" s="65">
        <f t="shared" si="162"/>
        <v>0.13601802096839991</v>
      </c>
      <c r="M170" s="65">
        <f t="shared" si="162"/>
        <v>0.15259894910977703</v>
      </c>
      <c r="N170" s="65">
        <f t="shared" si="162"/>
        <v>0.16470979281396353</v>
      </c>
      <c r="O170" s="65">
        <f t="shared" si="162"/>
        <v>0.19510905533547435</v>
      </c>
      <c r="P170" s="65">
        <f t="shared" si="162"/>
        <v>0.19009218324233501</v>
      </c>
      <c r="Q170" s="65">
        <f t="shared" si="162"/>
        <v>0.2582715837208498</v>
      </c>
      <c r="R170" s="65">
        <f t="shared" si="162"/>
        <v>0.22687099230053431</v>
      </c>
      <c r="S170" s="65">
        <f t="shared" si="162"/>
        <v>0.2645025929667385</v>
      </c>
      <c r="T170" s="65">
        <f t="shared" si="162"/>
        <v>0.27298527863334099</v>
      </c>
      <c r="U170" s="65">
        <f t="shared" si="162"/>
        <v>0.30879783286653062</v>
      </c>
      <c r="V170" s="65">
        <f t="shared" si="162"/>
        <v>0.29469039045689122</v>
      </c>
      <c r="W170" s="65">
        <f t="shared" si="162"/>
        <v>0.3094164146073905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123.09739229789005</v>
      </c>
      <c r="C171" s="65">
        <f t="shared" ref="C171:W171" si="164">IF(C117=0,0,C117/C$23)</f>
        <v>123.2595008557339</v>
      </c>
      <c r="D171" s="65">
        <f t="shared" si="164"/>
        <v>122.04050824058747</v>
      </c>
      <c r="E171" s="65">
        <f t="shared" si="164"/>
        <v>121.29997054598789</v>
      </c>
      <c r="F171" s="65">
        <f t="shared" si="164"/>
        <v>118.68876060075927</v>
      </c>
      <c r="G171" s="65">
        <f t="shared" si="164"/>
        <v>115.1575254996025</v>
      </c>
      <c r="H171" s="65">
        <f t="shared" si="164"/>
        <v>106.49140025691869</v>
      </c>
      <c r="I171" s="65">
        <f t="shared" si="164"/>
        <v>99.914749049329103</v>
      </c>
      <c r="J171" s="65">
        <f t="shared" si="164"/>
        <v>90.013020640382351</v>
      </c>
      <c r="K171" s="65">
        <f t="shared" si="164"/>
        <v>86.033485225554486</v>
      </c>
      <c r="L171" s="65">
        <f t="shared" si="164"/>
        <v>72.313579767007752</v>
      </c>
      <c r="M171" s="65">
        <f t="shared" si="164"/>
        <v>65.542459645541285</v>
      </c>
      <c r="N171" s="65">
        <f t="shared" si="164"/>
        <v>51.314911137278422</v>
      </c>
      <c r="O171" s="65">
        <f t="shared" si="164"/>
        <v>50.099320719767327</v>
      </c>
      <c r="P171" s="65">
        <f t="shared" si="164"/>
        <v>47.81173516901098</v>
      </c>
      <c r="Q171" s="65">
        <f t="shared" si="164"/>
        <v>46.159485150785294</v>
      </c>
      <c r="R171" s="65">
        <f t="shared" si="164"/>
        <v>44.774138342187435</v>
      </c>
      <c r="S171" s="65">
        <f t="shared" si="164"/>
        <v>43.567952757060958</v>
      </c>
      <c r="T171" s="65">
        <f t="shared" si="164"/>
        <v>41.586519202443782</v>
      </c>
      <c r="U171" s="65">
        <f t="shared" si="164"/>
        <v>39.676799475146645</v>
      </c>
      <c r="V171" s="65">
        <f t="shared" si="164"/>
        <v>36.945330717167728</v>
      </c>
      <c r="W171" s="65">
        <f t="shared" si="164"/>
        <v>38.168710264619577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64.248525884602998</v>
      </c>
      <c r="C172" s="67">
        <f t="shared" ref="C172:W172" si="166">IF(C118=0,0,C118/C$23)</f>
        <v>77.42201118607548</v>
      </c>
      <c r="D172" s="67">
        <f t="shared" si="166"/>
        <v>113.49605633885027</v>
      </c>
      <c r="E172" s="67">
        <f t="shared" si="166"/>
        <v>127.40132222636043</v>
      </c>
      <c r="F172" s="67">
        <f t="shared" si="166"/>
        <v>143.29255730156689</v>
      </c>
      <c r="G172" s="67">
        <f t="shared" si="166"/>
        <v>125.06906351799418</v>
      </c>
      <c r="H172" s="67">
        <f t="shared" si="166"/>
        <v>121.75050173661498</v>
      </c>
      <c r="I172" s="67">
        <f t="shared" si="166"/>
        <v>102.77120437832151</v>
      </c>
      <c r="J172" s="67">
        <f t="shared" si="166"/>
        <v>92.914171397722143</v>
      </c>
      <c r="K172" s="67">
        <f t="shared" si="166"/>
        <v>101.54434891787422</v>
      </c>
      <c r="L172" s="67">
        <f t="shared" si="166"/>
        <v>119.78481784106785</v>
      </c>
      <c r="M172" s="67">
        <f t="shared" si="166"/>
        <v>111.48216480316552</v>
      </c>
      <c r="N172" s="67">
        <f t="shared" si="166"/>
        <v>74.702052248268544</v>
      </c>
      <c r="O172" s="67">
        <f t="shared" si="166"/>
        <v>74.873186928469877</v>
      </c>
      <c r="P172" s="67">
        <f t="shared" si="166"/>
        <v>74.624983024175251</v>
      </c>
      <c r="Q172" s="67">
        <f t="shared" si="166"/>
        <v>74.605131045240554</v>
      </c>
      <c r="R172" s="67">
        <f t="shared" si="166"/>
        <v>73.177735557034083</v>
      </c>
      <c r="S172" s="67">
        <f t="shared" si="166"/>
        <v>75.958044910650969</v>
      </c>
      <c r="T172" s="67">
        <f t="shared" si="166"/>
        <v>74.728919235576299</v>
      </c>
      <c r="U172" s="67">
        <f t="shared" si="166"/>
        <v>76.88540214600124</v>
      </c>
      <c r="V172" s="67">
        <f t="shared" si="166"/>
        <v>73.153638387569075</v>
      </c>
      <c r="W172" s="67">
        <f t="shared" si="166"/>
        <v>73.371612566349185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149147.3155689839</v>
      </c>
      <c r="C3" s="125">
        <f t="shared" si="0"/>
        <v>150261.16334450181</v>
      </c>
      <c r="D3" s="125">
        <f t="shared" si="0"/>
        <v>151907.7007373184</v>
      </c>
      <c r="E3" s="125">
        <f t="shared" si="0"/>
        <v>153093.98810793067</v>
      </c>
      <c r="F3" s="125">
        <f t="shared" si="0"/>
        <v>155579.83653696437</v>
      </c>
      <c r="G3" s="125">
        <f t="shared" si="0"/>
        <v>158263.50939708049</v>
      </c>
      <c r="H3" s="125">
        <f t="shared" si="0"/>
        <v>161920.53510000004</v>
      </c>
      <c r="I3" s="125">
        <f t="shared" si="0"/>
        <v>165550.84057811295</v>
      </c>
      <c r="J3" s="125">
        <f t="shared" si="0"/>
        <v>167503.82728505554</v>
      </c>
      <c r="K3" s="125">
        <f t="shared" si="0"/>
        <v>164440.58190503105</v>
      </c>
      <c r="L3" s="125">
        <f t="shared" si="0"/>
        <v>166453.29305734171</v>
      </c>
      <c r="M3" s="125">
        <f t="shared" si="0"/>
        <v>167927.9243021211</v>
      </c>
      <c r="N3" s="125">
        <f t="shared" si="0"/>
        <v>168502.13921946724</v>
      </c>
      <c r="O3" s="125">
        <f t="shared" si="0"/>
        <v>169219.05927293064</v>
      </c>
      <c r="P3" s="125">
        <f t="shared" si="0"/>
        <v>170206.37438892704</v>
      </c>
      <c r="Q3" s="125">
        <f t="shared" si="0"/>
        <v>171531.14438979689</v>
      </c>
      <c r="R3" s="125">
        <f t="shared" si="0"/>
        <v>173933.82271248201</v>
      </c>
      <c r="S3" s="125">
        <f t="shared" si="0"/>
        <v>176510.50732311525</v>
      </c>
      <c r="T3" s="125">
        <f t="shared" si="0"/>
        <v>179060.47440056602</v>
      </c>
      <c r="U3" s="125">
        <f t="shared" si="0"/>
        <v>181300.55305789493</v>
      </c>
      <c r="V3" s="125">
        <f t="shared" si="0"/>
        <v>183453.24333333329</v>
      </c>
      <c r="W3" s="125">
        <f t="shared" si="0"/>
        <v>185509.74085919355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149147.3155689839</v>
      </c>
      <c r="C4" s="140">
        <f t="shared" si="1"/>
        <v>150261.16334450181</v>
      </c>
      <c r="D4" s="140">
        <f t="shared" si="1"/>
        <v>151907.7007373184</v>
      </c>
      <c r="E4" s="140">
        <f t="shared" si="1"/>
        <v>153093.98810793067</v>
      </c>
      <c r="F4" s="140">
        <f t="shared" si="1"/>
        <v>155579.83653696437</v>
      </c>
      <c r="G4" s="140">
        <f t="shared" si="1"/>
        <v>158263.50939708049</v>
      </c>
      <c r="H4" s="140">
        <f t="shared" si="1"/>
        <v>161920.53510000004</v>
      </c>
      <c r="I4" s="140">
        <f t="shared" si="1"/>
        <v>165550.84057811295</v>
      </c>
      <c r="J4" s="140">
        <f t="shared" si="1"/>
        <v>167503.82728505554</v>
      </c>
      <c r="K4" s="140">
        <f t="shared" si="1"/>
        <v>164440.58190503105</v>
      </c>
      <c r="L4" s="140">
        <f t="shared" si="1"/>
        <v>166453.29305734171</v>
      </c>
      <c r="M4" s="140">
        <f t="shared" si="1"/>
        <v>167927.9243021211</v>
      </c>
      <c r="N4" s="140">
        <f t="shared" si="1"/>
        <v>168502.13921946724</v>
      </c>
      <c r="O4" s="140">
        <f t="shared" si="1"/>
        <v>169219.05927293064</v>
      </c>
      <c r="P4" s="140">
        <f t="shared" si="1"/>
        <v>170206.37438892704</v>
      </c>
      <c r="Q4" s="140">
        <f t="shared" si="1"/>
        <v>171531.14438979689</v>
      </c>
      <c r="R4" s="140">
        <f t="shared" ref="R4:W4" si="2">SUM(R5:R14)</f>
        <v>173933.82271248201</v>
      </c>
      <c r="S4" s="140">
        <f t="shared" si="2"/>
        <v>176510.50732311525</v>
      </c>
      <c r="T4" s="140">
        <f t="shared" si="2"/>
        <v>179060.47440056602</v>
      </c>
      <c r="U4" s="140">
        <f t="shared" si="2"/>
        <v>181300.55305789493</v>
      </c>
      <c r="V4" s="140">
        <f t="shared" si="2"/>
        <v>183453.24333333329</v>
      </c>
      <c r="W4" s="140">
        <f t="shared" si="2"/>
        <v>185509.74085919355</v>
      </c>
      <c r="DA4" s="170" t="s">
        <v>245</v>
      </c>
    </row>
    <row r="5" spans="1:105" ht="12" customHeight="1" x14ac:dyDescent="0.25">
      <c r="A5" s="132" t="s">
        <v>29</v>
      </c>
      <c r="B5" s="141">
        <v>2184.6089661601395</v>
      </c>
      <c r="C5" s="141">
        <v>1940.4990427520411</v>
      </c>
      <c r="D5" s="141">
        <v>1699.6136268460693</v>
      </c>
      <c r="E5" s="141">
        <v>1577.1713339174316</v>
      </c>
      <c r="F5" s="141">
        <v>1331.4751009450999</v>
      </c>
      <c r="G5" s="141">
        <v>1137.1584153700442</v>
      </c>
      <c r="H5" s="141">
        <v>884.08888283622673</v>
      </c>
      <c r="I5" s="141">
        <v>715.90476532235584</v>
      </c>
      <c r="J5" s="141">
        <v>526.69035259804843</v>
      </c>
      <c r="K5" s="141">
        <v>429.14566487196953</v>
      </c>
      <c r="L5" s="141">
        <v>346.44248764901732</v>
      </c>
      <c r="M5" s="141">
        <v>246.27301600327888</v>
      </c>
      <c r="N5" s="141">
        <v>109.18113288775562</v>
      </c>
      <c r="O5" s="141">
        <v>40.315678894550416</v>
      </c>
      <c r="P5" s="141">
        <v>5.8798927502373912</v>
      </c>
      <c r="Q5" s="141">
        <v>3.154281161727027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26612.535735961003</v>
      </c>
      <c r="C7" s="141">
        <v>28708.912439992277</v>
      </c>
      <c r="D7" s="141">
        <v>30076.871293957032</v>
      </c>
      <c r="E7" s="141">
        <v>31177.455495764665</v>
      </c>
      <c r="F7" s="141">
        <v>31771.21894069888</v>
      </c>
      <c r="G7" s="141">
        <v>31978.967722224683</v>
      </c>
      <c r="H7" s="141">
        <v>31936.789655563534</v>
      </c>
      <c r="I7" s="141">
        <v>30735.298765787727</v>
      </c>
      <c r="J7" s="141">
        <v>28081.724877565845</v>
      </c>
      <c r="K7" s="141">
        <v>23793.864045479815</v>
      </c>
      <c r="L7" s="141">
        <v>17247.635884938514</v>
      </c>
      <c r="M7" s="141">
        <v>13728.14249422082</v>
      </c>
      <c r="N7" s="141">
        <v>11754.871488713776</v>
      </c>
      <c r="O7" s="141">
        <v>12156.415334491065</v>
      </c>
      <c r="P7" s="141">
        <v>13269.093281465945</v>
      </c>
      <c r="Q7" s="141">
        <v>14499.856512589708</v>
      </c>
      <c r="R7" s="141">
        <v>15472.43797092402</v>
      </c>
      <c r="S7" s="141">
        <v>16182.912892460319</v>
      </c>
      <c r="T7" s="141">
        <v>16973.516422779368</v>
      </c>
      <c r="U7" s="141">
        <v>17287.249182629519</v>
      </c>
      <c r="V7" s="141">
        <v>17620.100635208753</v>
      </c>
      <c r="W7" s="141">
        <v>17897.349234702604</v>
      </c>
      <c r="DA7" s="171" t="s">
        <v>248</v>
      </c>
    </row>
    <row r="8" spans="1:105" ht="12" customHeight="1" x14ac:dyDescent="0.25">
      <c r="A8" s="132" t="s">
        <v>73</v>
      </c>
      <c r="B8" s="141">
        <v>460.97824527328686</v>
      </c>
      <c r="C8" s="141">
        <v>492.03133400823043</v>
      </c>
      <c r="D8" s="141">
        <v>543.96370413678483</v>
      </c>
      <c r="E8" s="141">
        <v>601.16447028190373</v>
      </c>
      <c r="F8" s="141">
        <v>664.88287263955249</v>
      </c>
      <c r="G8" s="141">
        <v>721.53960811484626</v>
      </c>
      <c r="H8" s="141">
        <v>774.99819636667814</v>
      </c>
      <c r="I8" s="141">
        <v>805.77460903568476</v>
      </c>
      <c r="J8" s="141">
        <v>817.69230440277443</v>
      </c>
      <c r="K8" s="141">
        <v>806.02637951913994</v>
      </c>
      <c r="L8" s="141">
        <v>779.90770606079514</v>
      </c>
      <c r="M8" s="141">
        <v>746.18405482766343</v>
      </c>
      <c r="N8" s="141">
        <v>713.00598054841237</v>
      </c>
      <c r="O8" s="141">
        <v>693.33309652123319</v>
      </c>
      <c r="P8" s="141">
        <v>717.08806999384478</v>
      </c>
      <c r="Q8" s="141">
        <v>758.16517940068934</v>
      </c>
      <c r="R8" s="141">
        <v>821.81785809999189</v>
      </c>
      <c r="S8" s="141">
        <v>868.06988192709582</v>
      </c>
      <c r="T8" s="141">
        <v>902.2045675725808</v>
      </c>
      <c r="U8" s="141">
        <v>916.68553007335299</v>
      </c>
      <c r="V8" s="141">
        <v>917.49072817059141</v>
      </c>
      <c r="W8" s="141">
        <v>911.94079265357391</v>
      </c>
      <c r="DA8" s="171" t="s">
        <v>249</v>
      </c>
    </row>
    <row r="9" spans="1:105" ht="12" customHeight="1" x14ac:dyDescent="0.25">
      <c r="A9" s="132" t="s">
        <v>78</v>
      </c>
      <c r="B9" s="141">
        <v>43752.729603448475</v>
      </c>
      <c r="C9" s="141">
        <v>47151.965655738983</v>
      </c>
      <c r="D9" s="141">
        <v>48540.421389271745</v>
      </c>
      <c r="E9" s="141">
        <v>47842.10309374558</v>
      </c>
      <c r="F9" s="141">
        <v>44279.242362203797</v>
      </c>
      <c r="G9" s="141">
        <v>37854.441517226267</v>
      </c>
      <c r="H9" s="141">
        <v>33123.86831854003</v>
      </c>
      <c r="I9" s="141">
        <v>28614.291558247562</v>
      </c>
      <c r="J9" s="141">
        <v>27097.663724303733</v>
      </c>
      <c r="K9" s="141">
        <v>24949.876477985279</v>
      </c>
      <c r="L9" s="141">
        <v>24834.489683169071</v>
      </c>
      <c r="M9" s="141">
        <v>24921.064687207221</v>
      </c>
      <c r="N9" s="141">
        <v>26637.069367246575</v>
      </c>
      <c r="O9" s="141">
        <v>27434.46978370642</v>
      </c>
      <c r="P9" s="141">
        <v>27950.026606267456</v>
      </c>
      <c r="Q9" s="141">
        <v>26886.993910106274</v>
      </c>
      <c r="R9" s="141">
        <v>27251.546686287489</v>
      </c>
      <c r="S9" s="141">
        <v>26431.680640914659</v>
      </c>
      <c r="T9" s="141">
        <v>25900.522424769639</v>
      </c>
      <c r="U9" s="141">
        <v>26329.388016020246</v>
      </c>
      <c r="V9" s="141">
        <v>24465.127740229156</v>
      </c>
      <c r="W9" s="141">
        <v>25421.088938058609</v>
      </c>
      <c r="DA9" s="171" t="s">
        <v>250</v>
      </c>
    </row>
    <row r="10" spans="1:105" ht="12" customHeight="1" x14ac:dyDescent="0.25">
      <c r="A10" s="132" t="s">
        <v>128</v>
      </c>
      <c r="B10" s="141">
        <v>4594.4071654549289</v>
      </c>
      <c r="C10" s="141">
        <v>4433.3596591548649</v>
      </c>
      <c r="D10" s="141">
        <v>4566.0399283322949</v>
      </c>
      <c r="E10" s="141">
        <v>4668.1023797064408</v>
      </c>
      <c r="F10" s="141">
        <v>4834.790079076829</v>
      </c>
      <c r="G10" s="141">
        <v>4788.7832954809091</v>
      </c>
      <c r="H10" s="141">
        <v>4788.6581165943362</v>
      </c>
      <c r="I10" s="141">
        <v>4805.6568716656402</v>
      </c>
      <c r="J10" s="141">
        <v>4587.1776560104909</v>
      </c>
      <c r="K10" s="141">
        <v>4734.4050066069685</v>
      </c>
      <c r="L10" s="141">
        <v>4779.4882752338508</v>
      </c>
      <c r="M10" s="141">
        <v>4391.8164957980334</v>
      </c>
      <c r="N10" s="141">
        <v>3718.4909829852227</v>
      </c>
      <c r="O10" s="141">
        <v>3678.2386653358617</v>
      </c>
      <c r="P10" s="141">
        <v>3646.3745534833438</v>
      </c>
      <c r="Q10" s="141">
        <v>4133.0505539938613</v>
      </c>
      <c r="R10" s="141">
        <v>4345.0918565739985</v>
      </c>
      <c r="S10" s="141">
        <v>5247.7116439151241</v>
      </c>
      <c r="T10" s="141">
        <v>5912.8999320670691</v>
      </c>
      <c r="U10" s="141">
        <v>6541.8533907974579</v>
      </c>
      <c r="V10" s="141">
        <v>7018.3726850005478</v>
      </c>
      <c r="W10" s="141">
        <v>7281.660687290736</v>
      </c>
      <c r="DA10" s="171" t="s">
        <v>251</v>
      </c>
    </row>
    <row r="11" spans="1:105" ht="12" customHeight="1" x14ac:dyDescent="0.25">
      <c r="A11" s="132" t="s">
        <v>25</v>
      </c>
      <c r="B11" s="141">
        <v>536.55556386329408</v>
      </c>
      <c r="C11" s="141">
        <v>562.15725765711602</v>
      </c>
      <c r="D11" s="141">
        <v>613.0338349752526</v>
      </c>
      <c r="E11" s="141">
        <v>576.61814695046462</v>
      </c>
      <c r="F11" s="141">
        <v>582.12470339493905</v>
      </c>
      <c r="G11" s="141">
        <v>603.0364239063623</v>
      </c>
      <c r="H11" s="141">
        <v>624.56704379170219</v>
      </c>
      <c r="I11" s="141">
        <v>671.19366180732209</v>
      </c>
      <c r="J11" s="141">
        <v>719.80896281092998</v>
      </c>
      <c r="K11" s="141">
        <v>814.0019498803498</v>
      </c>
      <c r="L11" s="141">
        <v>900.27700423891974</v>
      </c>
      <c r="M11" s="141">
        <v>946.88908348122413</v>
      </c>
      <c r="N11" s="141">
        <v>1004.2180542751991</v>
      </c>
      <c r="O11" s="141">
        <v>1009.4784355060223</v>
      </c>
      <c r="P11" s="141">
        <v>1006.5382996930488</v>
      </c>
      <c r="Q11" s="141">
        <v>1085.8506330429491</v>
      </c>
      <c r="R11" s="141">
        <v>1218.2052154555281</v>
      </c>
      <c r="S11" s="141">
        <v>1441.7376538190526</v>
      </c>
      <c r="T11" s="141">
        <v>1549.0352273598924</v>
      </c>
      <c r="U11" s="141">
        <v>1580.1727975437311</v>
      </c>
      <c r="V11" s="141">
        <v>1611.010641048651</v>
      </c>
      <c r="W11" s="141">
        <v>1611.9056280462612</v>
      </c>
      <c r="DA11" s="171" t="s">
        <v>252</v>
      </c>
    </row>
    <row r="12" spans="1:105" ht="12" customHeight="1" x14ac:dyDescent="0.25">
      <c r="A12" s="132" t="s">
        <v>169</v>
      </c>
      <c r="B12" s="141">
        <v>38207.01291550522</v>
      </c>
      <c r="C12" s="141">
        <v>36889.048322854498</v>
      </c>
      <c r="D12" s="141">
        <v>37209.901397606685</v>
      </c>
      <c r="E12" s="141">
        <v>38201.261007861547</v>
      </c>
      <c r="F12" s="141">
        <v>41903.860071424751</v>
      </c>
      <c r="G12" s="141">
        <v>47593.401768022391</v>
      </c>
      <c r="H12" s="141">
        <v>53157.183261801212</v>
      </c>
      <c r="I12" s="141">
        <v>60041.511205785151</v>
      </c>
      <c r="J12" s="141">
        <v>65955.139020922754</v>
      </c>
      <c r="K12" s="141">
        <v>70792.783152298842</v>
      </c>
      <c r="L12" s="141">
        <v>78061.435044084152</v>
      </c>
      <c r="M12" s="141">
        <v>82080.057277733489</v>
      </c>
      <c r="N12" s="141">
        <v>81495.895433519356</v>
      </c>
      <c r="O12" s="141">
        <v>79590.158246557243</v>
      </c>
      <c r="P12" s="141">
        <v>78927.821426585797</v>
      </c>
      <c r="Q12" s="141">
        <v>79636.692982672626</v>
      </c>
      <c r="R12" s="141">
        <v>81014.76034918474</v>
      </c>
      <c r="S12" s="141">
        <v>80817.78293244564</v>
      </c>
      <c r="T12" s="141">
        <v>79503.865749931487</v>
      </c>
      <c r="U12" s="141">
        <v>79019.843320242973</v>
      </c>
      <c r="V12" s="141">
        <v>80727.820586416259</v>
      </c>
      <c r="W12" s="141">
        <v>80798.700419769128</v>
      </c>
      <c r="DA12" s="171" t="s">
        <v>253</v>
      </c>
    </row>
    <row r="13" spans="1:105" ht="12" customHeight="1" x14ac:dyDescent="0.25">
      <c r="A13" s="132" t="s">
        <v>77</v>
      </c>
      <c r="B13" s="141">
        <v>2066.6482582473445</v>
      </c>
      <c r="C13" s="141">
        <v>2416.5510057148076</v>
      </c>
      <c r="D13" s="141">
        <v>3485.9839474391879</v>
      </c>
      <c r="E13" s="141">
        <v>4811.2553907984375</v>
      </c>
      <c r="F13" s="141">
        <v>6658.9531945398385</v>
      </c>
      <c r="G13" s="141">
        <v>8945.3322682207909</v>
      </c>
      <c r="H13" s="141">
        <v>11322.356888938861</v>
      </c>
      <c r="I13" s="141">
        <v>13762.975398890576</v>
      </c>
      <c r="J13" s="141">
        <v>15777.616015953139</v>
      </c>
      <c r="K13" s="141">
        <v>17484.332033797302</v>
      </c>
      <c r="L13" s="141">
        <v>19465.487987066237</v>
      </c>
      <c r="M13" s="141">
        <v>22153.026901375306</v>
      </c>
      <c r="N13" s="141">
        <v>25158.58521260319</v>
      </c>
      <c r="O13" s="141">
        <v>28037.090296477272</v>
      </c>
      <c r="P13" s="141">
        <v>30034.927837249601</v>
      </c>
      <c r="Q13" s="141">
        <v>31814.803042969277</v>
      </c>
      <c r="R13" s="141">
        <v>33527.645688903285</v>
      </c>
      <c r="S13" s="141">
        <v>34954.135614228886</v>
      </c>
      <c r="T13" s="141">
        <v>36376.359919997194</v>
      </c>
      <c r="U13" s="141">
        <v>36825.943195217274</v>
      </c>
      <c r="V13" s="141">
        <v>37543.538378857891</v>
      </c>
      <c r="W13" s="141">
        <v>37913.870340555601</v>
      </c>
      <c r="DA13" s="171" t="s">
        <v>254</v>
      </c>
    </row>
    <row r="14" spans="1:105" ht="12" customHeight="1" x14ac:dyDescent="0.25">
      <c r="A14" s="60" t="s">
        <v>76</v>
      </c>
      <c r="B14" s="142">
        <v>30731.83911507023</v>
      </c>
      <c r="C14" s="142">
        <v>27666.638626629003</v>
      </c>
      <c r="D14" s="142">
        <v>25171.871614753331</v>
      </c>
      <c r="E14" s="142">
        <v>23638.856788904199</v>
      </c>
      <c r="F14" s="142">
        <v>23553.28921204065</v>
      </c>
      <c r="G14" s="142">
        <v>24640.848378514202</v>
      </c>
      <c r="H14" s="142">
        <v>25308.024735567455</v>
      </c>
      <c r="I14" s="142">
        <v>25398.233741570944</v>
      </c>
      <c r="J14" s="142">
        <v>23940.314370487817</v>
      </c>
      <c r="K14" s="142">
        <v>20636.147194591373</v>
      </c>
      <c r="L14" s="142">
        <v>20038.128984901155</v>
      </c>
      <c r="M14" s="142">
        <v>18714.470291474092</v>
      </c>
      <c r="N14" s="142">
        <v>17910.821566687762</v>
      </c>
      <c r="O14" s="142">
        <v>16579.559735440973</v>
      </c>
      <c r="P14" s="142">
        <v>14648.62442143776</v>
      </c>
      <c r="Q14" s="142">
        <v>12712.577293859771</v>
      </c>
      <c r="R14" s="142">
        <v>10282.317087052965</v>
      </c>
      <c r="S14" s="142">
        <v>10566.47606340446</v>
      </c>
      <c r="T14" s="142">
        <v>11942.070156088806</v>
      </c>
      <c r="U14" s="142">
        <v>12799.417625370383</v>
      </c>
      <c r="V14" s="142">
        <v>13549.781938401462</v>
      </c>
      <c r="W14" s="142">
        <v>13673.224818117054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116348.82819566634</v>
      </c>
      <c r="C15" s="144">
        <f t="shared" si="3"/>
        <v>120177.97371215801</v>
      </c>
      <c r="D15" s="144">
        <f t="shared" si="3"/>
        <v>123249.84517512587</v>
      </c>
      <c r="E15" s="144">
        <f t="shared" si="3"/>
        <v>124643.87592822802</v>
      </c>
      <c r="F15" s="144">
        <f t="shared" si="3"/>
        <v>125367.59413038386</v>
      </c>
      <c r="G15" s="144">
        <f t="shared" si="3"/>
        <v>124677.32875034551</v>
      </c>
      <c r="H15" s="144">
        <f t="shared" si="3"/>
        <v>125290.15347549372</v>
      </c>
      <c r="I15" s="144">
        <f t="shared" si="3"/>
        <v>126389.63143765145</v>
      </c>
      <c r="J15" s="144">
        <f t="shared" si="3"/>
        <v>127785.89689861458</v>
      </c>
      <c r="K15" s="144">
        <f t="shared" si="3"/>
        <v>126320.10267664236</v>
      </c>
      <c r="L15" s="144">
        <f t="shared" si="3"/>
        <v>126949.67608537432</v>
      </c>
      <c r="M15" s="144">
        <f t="shared" si="3"/>
        <v>127060.42710927172</v>
      </c>
      <c r="N15" s="144">
        <f t="shared" si="3"/>
        <v>125432.7324401763</v>
      </c>
      <c r="O15" s="144">
        <f t="shared" si="3"/>
        <v>124602.4092410124</v>
      </c>
      <c r="P15" s="144">
        <f t="shared" si="3"/>
        <v>125522.82213023967</v>
      </c>
      <c r="Q15" s="144">
        <f t="shared" si="3"/>
        <v>127003.76405296783</v>
      </c>
      <c r="R15" s="144">
        <f t="shared" ref="R15:W15" si="4">SUM(R5:R12)</f>
        <v>130123.85993652577</v>
      </c>
      <c r="S15" s="144">
        <f t="shared" si="4"/>
        <v>130989.89564548188</v>
      </c>
      <c r="T15" s="144">
        <f t="shared" si="4"/>
        <v>130742.04432448003</v>
      </c>
      <c r="U15" s="144">
        <f t="shared" si="4"/>
        <v>131675.19223730726</v>
      </c>
      <c r="V15" s="144">
        <f t="shared" si="4"/>
        <v>132359.92301607394</v>
      </c>
      <c r="W15" s="144">
        <f t="shared" si="4"/>
        <v>133922.64570052089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20674.807797791018</v>
      </c>
      <c r="C16" s="140">
        <f t="shared" si="5"/>
        <v>21615.953473737634</v>
      </c>
      <c r="D16" s="140">
        <f t="shared" si="5"/>
        <v>23002.274194880712</v>
      </c>
      <c r="E16" s="140">
        <f t="shared" si="5"/>
        <v>23739.791062820041</v>
      </c>
      <c r="F16" s="140">
        <f t="shared" si="5"/>
        <v>24952.665704017279</v>
      </c>
      <c r="G16" s="140">
        <f t="shared" si="5"/>
        <v>26561.563483794147</v>
      </c>
      <c r="H16" s="140">
        <f t="shared" si="5"/>
        <v>28121.480255031725</v>
      </c>
      <c r="I16" s="140">
        <f t="shared" si="5"/>
        <v>30186.544133552739</v>
      </c>
      <c r="J16" s="140">
        <f t="shared" si="5"/>
        <v>31417.497289581799</v>
      </c>
      <c r="K16" s="140">
        <f t="shared" si="5"/>
        <v>32258.589298638599</v>
      </c>
      <c r="L16" s="140">
        <f t="shared" si="5"/>
        <v>33809.749903655742</v>
      </c>
      <c r="M16" s="140">
        <f t="shared" si="5"/>
        <v>34589.802703988476</v>
      </c>
      <c r="N16" s="140">
        <f t="shared" si="5"/>
        <v>35285.040977557568</v>
      </c>
      <c r="O16" s="140">
        <f t="shared" si="5"/>
        <v>35840.090990929006</v>
      </c>
      <c r="P16" s="140">
        <f t="shared" si="5"/>
        <v>36067.501758693521</v>
      </c>
      <c r="Q16" s="140">
        <f t="shared" si="5"/>
        <v>36701.733514874373</v>
      </c>
      <c r="R16" s="140">
        <f t="shared" ref="R16:W16" si="6">SUM(R17:R18)</f>
        <v>37796.192349216057</v>
      </c>
      <c r="S16" s="140">
        <f t="shared" si="6"/>
        <v>38329.619140205628</v>
      </c>
      <c r="T16" s="140">
        <f t="shared" si="6"/>
        <v>39109.47886283353</v>
      </c>
      <c r="U16" s="140">
        <f t="shared" si="6"/>
        <v>39905.287619573253</v>
      </c>
      <c r="V16" s="140">
        <f t="shared" si="6"/>
        <v>40717.093451468776</v>
      </c>
      <c r="W16" s="140">
        <f t="shared" si="6"/>
        <v>41631.027159253936</v>
      </c>
      <c r="DA16" s="170" t="s">
        <v>256</v>
      </c>
    </row>
    <row r="17" spans="1:105" ht="12.95" customHeight="1" x14ac:dyDescent="0.25">
      <c r="A17" s="132" t="s">
        <v>73</v>
      </c>
      <c r="B17" s="141">
        <v>28.417226970990363</v>
      </c>
      <c r="C17" s="141">
        <v>30.99663617802673</v>
      </c>
      <c r="D17" s="141">
        <v>37.251269251932186</v>
      </c>
      <c r="E17" s="141">
        <v>38.434073480095357</v>
      </c>
      <c r="F17" s="141">
        <v>50.018422819597106</v>
      </c>
      <c r="G17" s="141">
        <v>58.212044744471704</v>
      </c>
      <c r="H17" s="141">
        <v>65.387773777991711</v>
      </c>
      <c r="I17" s="141">
        <v>81.946036227333835</v>
      </c>
      <c r="J17" s="141">
        <v>96.015733486166681</v>
      </c>
      <c r="K17" s="141">
        <v>114.02900382927112</v>
      </c>
      <c r="L17" s="141">
        <v>124.69640247313666</v>
      </c>
      <c r="M17" s="141">
        <v>135.44680310996969</v>
      </c>
      <c r="N17" s="141">
        <v>153.5676177160729</v>
      </c>
      <c r="O17" s="141">
        <v>171.65170845002118</v>
      </c>
      <c r="P17" s="141">
        <v>192.18890525692547</v>
      </c>
      <c r="Q17" s="141">
        <v>217.63404499902043</v>
      </c>
      <c r="R17" s="141">
        <v>236.50270702748483</v>
      </c>
      <c r="S17" s="141">
        <v>265.53443417990218</v>
      </c>
      <c r="T17" s="141">
        <v>286.58075826852399</v>
      </c>
      <c r="U17" s="141">
        <v>323.31191122068702</v>
      </c>
      <c r="V17" s="141">
        <v>333.66502255435313</v>
      </c>
      <c r="W17" s="141">
        <v>353.11739402121657</v>
      </c>
      <c r="DA17" s="171" t="s">
        <v>257</v>
      </c>
    </row>
    <row r="18" spans="1:105" ht="12" customHeight="1" x14ac:dyDescent="0.25">
      <c r="A18" s="132" t="s">
        <v>72</v>
      </c>
      <c r="B18" s="141">
        <v>20646.390570820029</v>
      </c>
      <c r="C18" s="141">
        <v>21584.956837559606</v>
      </c>
      <c r="D18" s="141">
        <v>22965.022925628778</v>
      </c>
      <c r="E18" s="141">
        <v>23701.356989339944</v>
      </c>
      <c r="F18" s="141">
        <v>24902.647281197682</v>
      </c>
      <c r="G18" s="141">
        <v>26503.351439049675</v>
      </c>
      <c r="H18" s="141">
        <v>28056.092481253734</v>
      </c>
      <c r="I18" s="141">
        <v>30104.598097325405</v>
      </c>
      <c r="J18" s="141">
        <v>31321.481556095634</v>
      </c>
      <c r="K18" s="141">
        <v>32144.560294809329</v>
      </c>
      <c r="L18" s="141">
        <v>33685.053501182607</v>
      </c>
      <c r="M18" s="141">
        <v>34454.355900878509</v>
      </c>
      <c r="N18" s="141">
        <v>35131.473359841497</v>
      </c>
      <c r="O18" s="141">
        <v>35668.439282478983</v>
      </c>
      <c r="P18" s="141">
        <v>35875.312853436597</v>
      </c>
      <c r="Q18" s="141">
        <v>36484.099469875349</v>
      </c>
      <c r="R18" s="141">
        <v>37559.689642188569</v>
      </c>
      <c r="S18" s="141">
        <v>38064.084706025729</v>
      </c>
      <c r="T18" s="141">
        <v>38822.898104565007</v>
      </c>
      <c r="U18" s="141">
        <v>39581.975708352569</v>
      </c>
      <c r="V18" s="141">
        <v>40383.42842891442</v>
      </c>
      <c r="W18" s="141">
        <v>41277.909765232718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149147.3155689839</v>
      </c>
      <c r="C19" s="140">
        <f t="shared" si="7"/>
        <v>150261.16334450181</v>
      </c>
      <c r="D19" s="140">
        <f t="shared" si="7"/>
        <v>151907.70073731834</v>
      </c>
      <c r="E19" s="140">
        <f t="shared" si="7"/>
        <v>153093.98810793064</v>
      </c>
      <c r="F19" s="140">
        <f t="shared" si="7"/>
        <v>155579.83653696434</v>
      </c>
      <c r="G19" s="140">
        <f t="shared" si="7"/>
        <v>158263.50939708049</v>
      </c>
      <c r="H19" s="140">
        <f t="shared" si="7"/>
        <v>161920.53510000007</v>
      </c>
      <c r="I19" s="140">
        <f t="shared" si="7"/>
        <v>165550.84057811298</v>
      </c>
      <c r="J19" s="140">
        <f t="shared" si="7"/>
        <v>167503.82728505551</v>
      </c>
      <c r="K19" s="140">
        <f t="shared" si="7"/>
        <v>164440.58190503105</v>
      </c>
      <c r="L19" s="140">
        <f t="shared" si="7"/>
        <v>166453.29305734168</v>
      </c>
      <c r="M19" s="140">
        <f t="shared" si="7"/>
        <v>167927.9243021211</v>
      </c>
      <c r="N19" s="140">
        <f t="shared" si="7"/>
        <v>168502.13921946727</v>
      </c>
      <c r="O19" s="140">
        <f t="shared" si="7"/>
        <v>169219.0592729307</v>
      </c>
      <c r="P19" s="140">
        <f t="shared" si="7"/>
        <v>170206.37438892707</v>
      </c>
      <c r="Q19" s="140">
        <f t="shared" si="7"/>
        <v>171531.14438979677</v>
      </c>
      <c r="R19" s="140">
        <f t="shared" ref="R19:W19" si="8">SUM(R20:R26)</f>
        <v>173933.82271248195</v>
      </c>
      <c r="S19" s="140">
        <f t="shared" si="8"/>
        <v>176510.50732311525</v>
      </c>
      <c r="T19" s="140">
        <f t="shared" si="8"/>
        <v>179060.47440056602</v>
      </c>
      <c r="U19" s="140">
        <f t="shared" si="8"/>
        <v>181300.55305789501</v>
      </c>
      <c r="V19" s="140">
        <f t="shared" si="8"/>
        <v>183453.24333333335</v>
      </c>
      <c r="W19" s="140">
        <f t="shared" si="8"/>
        <v>185509.74085919361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8621.5161528372264</v>
      </c>
      <c r="C21" s="141">
        <v>9259.0241664671466</v>
      </c>
      <c r="D21" s="141">
        <v>9958.1559187017247</v>
      </c>
      <c r="E21" s="141">
        <v>10602.440462238255</v>
      </c>
      <c r="F21" s="141">
        <v>10983.540777668755</v>
      </c>
      <c r="G21" s="141">
        <v>11089.100074619862</v>
      </c>
      <c r="H21" s="141">
        <v>11045.441225582361</v>
      </c>
      <c r="I21" s="141">
        <v>10724.029966092314</v>
      </c>
      <c r="J21" s="141">
        <v>9981.4910840618359</v>
      </c>
      <c r="K21" s="141">
        <v>8568.0143697243675</v>
      </c>
      <c r="L21" s="141">
        <v>6458.5432820269452</v>
      </c>
      <c r="M21" s="141">
        <v>4124.0525802878765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32537.099689177696</v>
      </c>
      <c r="C22" s="141">
        <v>32127.84661188479</v>
      </c>
      <c r="D22" s="141">
        <v>31786.716088190518</v>
      </c>
      <c r="E22" s="141">
        <v>31210.993772876885</v>
      </c>
      <c r="F22" s="141">
        <v>30184.025342842731</v>
      </c>
      <c r="G22" s="141">
        <v>28303.941515200349</v>
      </c>
      <c r="H22" s="141">
        <v>26283.452817309131</v>
      </c>
      <c r="I22" s="141">
        <v>24341.858157335391</v>
      </c>
      <c r="J22" s="141">
        <v>22360.152520773467</v>
      </c>
      <c r="K22" s="141">
        <v>20391.922443809442</v>
      </c>
      <c r="L22" s="141">
        <v>18569.308514498654</v>
      </c>
      <c r="M22" s="141">
        <v>17007.607841733457</v>
      </c>
      <c r="N22" s="141">
        <v>15304.096187484511</v>
      </c>
      <c r="O22" s="141">
        <v>14088.037294426262</v>
      </c>
      <c r="P22" s="141">
        <v>13030.814358632138</v>
      </c>
      <c r="Q22" s="141">
        <v>12405.063919492086</v>
      </c>
      <c r="R22" s="141">
        <v>12168.904888411529</v>
      </c>
      <c r="S22" s="141">
        <v>12307.948281794743</v>
      </c>
      <c r="T22" s="141">
        <v>12432.515918548919</v>
      </c>
      <c r="U22" s="141">
        <v>12508.920505037377</v>
      </c>
      <c r="V22" s="141">
        <v>12375.846993099274</v>
      </c>
      <c r="W22" s="141">
        <v>12708.251694503875</v>
      </c>
      <c r="DA22" s="171" t="s">
        <v>262</v>
      </c>
    </row>
    <row r="23" spans="1:105" ht="12" customHeight="1" x14ac:dyDescent="0.25">
      <c r="A23" s="132" t="s">
        <v>153</v>
      </c>
      <c r="B23" s="141">
        <v>12666.134550024881</v>
      </c>
      <c r="C23" s="141">
        <v>12755.797955112139</v>
      </c>
      <c r="D23" s="141">
        <v>13032.809640051071</v>
      </c>
      <c r="E23" s="141">
        <v>13296.580649084068</v>
      </c>
      <c r="F23" s="141">
        <v>13589.528614839195</v>
      </c>
      <c r="G23" s="141">
        <v>13773.543147770555</v>
      </c>
      <c r="H23" s="141">
        <v>14060.413284936107</v>
      </c>
      <c r="I23" s="141">
        <v>14271.710706434495</v>
      </c>
      <c r="J23" s="141">
        <v>14592.677689595204</v>
      </c>
      <c r="K23" s="141">
        <v>14745.259748641027</v>
      </c>
      <c r="L23" s="141">
        <v>15350.689686806729</v>
      </c>
      <c r="M23" s="141">
        <v>15830.328205188163</v>
      </c>
      <c r="N23" s="141">
        <v>16260.250659504969</v>
      </c>
      <c r="O23" s="141">
        <v>16540.322359707185</v>
      </c>
      <c r="P23" s="141">
        <v>16711.185737710912</v>
      </c>
      <c r="Q23" s="141">
        <v>16943.982423196234</v>
      </c>
      <c r="R23" s="141">
        <v>17240.024299030563</v>
      </c>
      <c r="S23" s="141">
        <v>17674.56915981873</v>
      </c>
      <c r="T23" s="141">
        <v>18209.369019700091</v>
      </c>
      <c r="U23" s="141">
        <v>18682.369679926975</v>
      </c>
      <c r="V23" s="141">
        <v>19056.338015616711</v>
      </c>
      <c r="W23" s="141">
        <v>19642.697771498984</v>
      </c>
      <c r="DA23" s="171" t="s">
        <v>263</v>
      </c>
    </row>
    <row r="24" spans="1:105" ht="12" customHeight="1" x14ac:dyDescent="0.25">
      <c r="A24" s="132" t="s">
        <v>128</v>
      </c>
      <c r="B24" s="141">
        <v>3348.7947042357614</v>
      </c>
      <c r="C24" s="141">
        <v>3350.6531076041533</v>
      </c>
      <c r="D24" s="141">
        <v>3391.1738338094929</v>
      </c>
      <c r="E24" s="141">
        <v>3425.2750291449006</v>
      </c>
      <c r="F24" s="141">
        <v>3465.1704605063128</v>
      </c>
      <c r="G24" s="141">
        <v>3470.3296343352295</v>
      </c>
      <c r="H24" s="141">
        <v>3502.8360344200519</v>
      </c>
      <c r="I24" s="141">
        <v>3516.8648954000696</v>
      </c>
      <c r="J24" s="141">
        <v>3580.7687025019682</v>
      </c>
      <c r="K24" s="141">
        <v>3632.7103487639843</v>
      </c>
      <c r="L24" s="141">
        <v>3814.7244312650714</v>
      </c>
      <c r="M24" s="141">
        <v>3972.6599150990592</v>
      </c>
      <c r="N24" s="141">
        <v>4119.3233793826676</v>
      </c>
      <c r="O24" s="141">
        <v>4197.3824677467601</v>
      </c>
      <c r="P24" s="141">
        <v>4263.6463217619685</v>
      </c>
      <c r="Q24" s="141">
        <v>4327.8078639376645</v>
      </c>
      <c r="R24" s="141">
        <v>4402.7262778583063</v>
      </c>
      <c r="S24" s="141">
        <v>4538.2577758663956</v>
      </c>
      <c r="T24" s="141">
        <v>4695.0571914287975</v>
      </c>
      <c r="U24" s="141">
        <v>4856.4665231060872</v>
      </c>
      <c r="V24" s="141">
        <v>4960.6817769553127</v>
      </c>
      <c r="W24" s="141">
        <v>5098.437996582833</v>
      </c>
      <c r="DA24" s="171" t="s">
        <v>264</v>
      </c>
    </row>
    <row r="25" spans="1:105" ht="12" customHeight="1" x14ac:dyDescent="0.25">
      <c r="A25" s="132" t="s">
        <v>169</v>
      </c>
      <c r="B25" s="141">
        <v>42970.074873810714</v>
      </c>
      <c r="C25" s="141">
        <v>42903.889460917293</v>
      </c>
      <c r="D25" s="141">
        <v>42753.765220030145</v>
      </c>
      <c r="E25" s="141">
        <v>42255.003621050644</v>
      </c>
      <c r="F25" s="141">
        <v>42382.955844083728</v>
      </c>
      <c r="G25" s="141">
        <v>43594.417938231032</v>
      </c>
      <c r="H25" s="141">
        <v>47684.079232999044</v>
      </c>
      <c r="I25" s="141">
        <v>53111.702392362204</v>
      </c>
      <c r="J25" s="141">
        <v>59083.949862813999</v>
      </c>
      <c r="K25" s="141">
        <v>65796.351875679858</v>
      </c>
      <c r="L25" s="141">
        <v>71579.79601500828</v>
      </c>
      <c r="M25" s="141">
        <v>76174.924404382822</v>
      </c>
      <c r="N25" s="141">
        <v>78904.128048241924</v>
      </c>
      <c r="O25" s="141">
        <v>78925.998647819346</v>
      </c>
      <c r="P25" s="141">
        <v>78245.678165279707</v>
      </c>
      <c r="Q25" s="141">
        <v>77414.399893064605</v>
      </c>
      <c r="R25" s="141">
        <v>77755.412612488304</v>
      </c>
      <c r="S25" s="141">
        <v>79017.992064084814</v>
      </c>
      <c r="T25" s="141">
        <v>81528.758985378168</v>
      </c>
      <c r="U25" s="141">
        <v>83850.80931677515</v>
      </c>
      <c r="V25" s="141">
        <v>84199.487792184198</v>
      </c>
      <c r="W25" s="141">
        <v>83919.339764135861</v>
      </c>
      <c r="DA25" s="171" t="s">
        <v>265</v>
      </c>
    </row>
    <row r="26" spans="1:105" ht="12" customHeight="1" x14ac:dyDescent="0.25">
      <c r="A26" s="132" t="s">
        <v>24</v>
      </c>
      <c r="B26" s="142">
        <v>49003.695598897619</v>
      </c>
      <c r="C26" s="142">
        <v>49863.952042516277</v>
      </c>
      <c r="D26" s="142">
        <v>50985.080036535393</v>
      </c>
      <c r="E26" s="142">
        <v>52303.694573535875</v>
      </c>
      <c r="F26" s="142">
        <v>54974.615497023617</v>
      </c>
      <c r="G26" s="142">
        <v>58032.177086923453</v>
      </c>
      <c r="H26" s="142">
        <v>59344.31250475339</v>
      </c>
      <c r="I26" s="142">
        <v>59584.674460488503</v>
      </c>
      <c r="J26" s="142">
        <v>57904.787425309041</v>
      </c>
      <c r="K26" s="142">
        <v>51306.323118412365</v>
      </c>
      <c r="L26" s="142">
        <v>50680.231127735991</v>
      </c>
      <c r="M26" s="142">
        <v>50818.351355429739</v>
      </c>
      <c r="N26" s="142">
        <v>53914.340944853197</v>
      </c>
      <c r="O26" s="142">
        <v>55467.318503231138</v>
      </c>
      <c r="P26" s="142">
        <v>57955.049805542352</v>
      </c>
      <c r="Q26" s="142">
        <v>60439.890290106174</v>
      </c>
      <c r="R26" s="142">
        <v>62366.754634693243</v>
      </c>
      <c r="S26" s="142">
        <v>62971.740041550562</v>
      </c>
      <c r="T26" s="142">
        <v>62194.773285510033</v>
      </c>
      <c r="U26" s="142">
        <v>61401.987033049438</v>
      </c>
      <c r="V26" s="142">
        <v>62860.888755477863</v>
      </c>
      <c r="W26" s="142">
        <v>64141.013632472052</v>
      </c>
      <c r="DA26" s="172" t="s">
        <v>266</v>
      </c>
    </row>
    <row r="27" spans="1:105" ht="12" customHeight="1" x14ac:dyDescent="0.25">
      <c r="A27" s="145" t="s">
        <v>26</v>
      </c>
      <c r="B27" s="151">
        <v>35159.761319411533</v>
      </c>
      <c r="C27" s="151">
        <v>36160.72457871955</v>
      </c>
      <c r="D27" s="151">
        <v>36831.711948478442</v>
      </c>
      <c r="E27" s="151">
        <v>43530.29873434933</v>
      </c>
      <c r="F27" s="151">
        <v>45494.224708872352</v>
      </c>
      <c r="G27" s="151">
        <v>41266.570802712675</v>
      </c>
      <c r="H27" s="151">
        <v>28768.064362347501</v>
      </c>
      <c r="I27" s="151">
        <v>34859.563466639243</v>
      </c>
      <c r="J27" s="151">
        <v>46507.55136141312</v>
      </c>
      <c r="K27" s="151">
        <v>26081.235446292965</v>
      </c>
      <c r="L27" s="151">
        <v>39164.269467764345</v>
      </c>
      <c r="M27" s="151">
        <v>52941.95893106085</v>
      </c>
      <c r="N27" s="151">
        <v>67819.698834705341</v>
      </c>
      <c r="O27" s="151">
        <v>56892.010989754468</v>
      </c>
      <c r="P27" s="151">
        <v>62561.064819406456</v>
      </c>
      <c r="Q27" s="151">
        <v>49870.315610029589</v>
      </c>
      <c r="R27" s="151">
        <v>45182.217598406372</v>
      </c>
      <c r="S27" s="151">
        <v>56158.838927246921</v>
      </c>
      <c r="T27" s="151">
        <v>68427.76617832655</v>
      </c>
      <c r="U27" s="151">
        <v>67985.818354102244</v>
      </c>
      <c r="V27" s="151">
        <v>78058.737699079022</v>
      </c>
      <c r="W27" s="151">
        <v>62773.233335747806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149147.31556898393</v>
      </c>
      <c r="C29" s="140">
        <f t="shared" si="9"/>
        <v>150261.16334450181</v>
      </c>
      <c r="D29" s="140">
        <f t="shared" si="9"/>
        <v>151907.70073731837</v>
      </c>
      <c r="E29" s="140">
        <f t="shared" si="9"/>
        <v>153093.98810793067</v>
      </c>
      <c r="F29" s="140">
        <f t="shared" si="9"/>
        <v>155579.83653696431</v>
      </c>
      <c r="G29" s="140">
        <f t="shared" si="9"/>
        <v>158263.50939708055</v>
      </c>
      <c r="H29" s="140">
        <f t="shared" si="9"/>
        <v>161920.5351000001</v>
      </c>
      <c r="I29" s="140">
        <f t="shared" si="9"/>
        <v>165550.84057811298</v>
      </c>
      <c r="J29" s="140">
        <f t="shared" si="9"/>
        <v>167503.82728505542</v>
      </c>
      <c r="K29" s="140">
        <f t="shared" si="9"/>
        <v>164440.58190503111</v>
      </c>
      <c r="L29" s="140">
        <f t="shared" si="9"/>
        <v>166453.29305734174</v>
      </c>
      <c r="M29" s="140">
        <f t="shared" si="9"/>
        <v>167927.92430212116</v>
      </c>
      <c r="N29" s="140">
        <f t="shared" si="9"/>
        <v>168502.1392194673</v>
      </c>
      <c r="O29" s="140">
        <f t="shared" si="9"/>
        <v>169219.05927293058</v>
      </c>
      <c r="P29" s="140">
        <f t="shared" si="9"/>
        <v>170206.37438892707</v>
      </c>
      <c r="Q29" s="140">
        <f t="shared" si="9"/>
        <v>171531.14438979668</v>
      </c>
      <c r="R29" s="140">
        <f t="shared" ref="R29:W29" si="10">SUM(R30:R33)</f>
        <v>173933.82271248204</v>
      </c>
      <c r="S29" s="140">
        <f t="shared" si="10"/>
        <v>176510.50732311525</v>
      </c>
      <c r="T29" s="140">
        <f t="shared" si="10"/>
        <v>179060.47440056613</v>
      </c>
      <c r="U29" s="140">
        <f t="shared" si="10"/>
        <v>181300.55305789501</v>
      </c>
      <c r="V29" s="140">
        <f t="shared" si="10"/>
        <v>183453.24333333335</v>
      </c>
      <c r="W29" s="140">
        <f t="shared" si="10"/>
        <v>185509.74085919361</v>
      </c>
      <c r="DA29" s="170" t="s">
        <v>268</v>
      </c>
    </row>
    <row r="30" spans="1:105" ht="12" customHeight="1" x14ac:dyDescent="0.25">
      <c r="A30" s="132" t="s">
        <v>52</v>
      </c>
      <c r="B30" s="141">
        <v>18230.911001438537</v>
      </c>
      <c r="C30" s="141">
        <v>19544.623958500517</v>
      </c>
      <c r="D30" s="141">
        <v>25774.204392575801</v>
      </c>
      <c r="E30" s="141">
        <v>30476.304144572601</v>
      </c>
      <c r="F30" s="141">
        <v>31176.523760450506</v>
      </c>
      <c r="G30" s="141">
        <v>30707.769068935217</v>
      </c>
      <c r="H30" s="141">
        <v>28610.713613293792</v>
      </c>
      <c r="I30" s="141">
        <v>22591.854781832106</v>
      </c>
      <c r="J30" s="141">
        <v>22166.729136428159</v>
      </c>
      <c r="K30" s="141">
        <v>22251.694683245107</v>
      </c>
      <c r="L30" s="141">
        <v>21820.860047940583</v>
      </c>
      <c r="M30" s="141">
        <v>18985.455624689115</v>
      </c>
      <c r="N30" s="141">
        <v>9776.5349484229992</v>
      </c>
      <c r="O30" s="141">
        <v>4504.0069302382499</v>
      </c>
      <c r="P30" s="141">
        <v>1949.7011667396923</v>
      </c>
      <c r="Q30" s="141">
        <v>2114.5579124427254</v>
      </c>
      <c r="R30" s="141">
        <v>2476.5893293631252</v>
      </c>
      <c r="S30" s="141">
        <v>3454.4699299745216</v>
      </c>
      <c r="T30" s="141">
        <v>3896.7610682801146</v>
      </c>
      <c r="U30" s="141">
        <v>4322.5097176063418</v>
      </c>
      <c r="V30" s="141">
        <v>4528.6281323743897</v>
      </c>
      <c r="W30" s="141">
        <v>4770.9707070866143</v>
      </c>
      <c r="DA30" s="171" t="s">
        <v>269</v>
      </c>
    </row>
    <row r="31" spans="1:105" ht="12" customHeight="1" x14ac:dyDescent="0.25">
      <c r="A31" s="132" t="s">
        <v>153</v>
      </c>
      <c r="B31" s="141">
        <v>36959.720325785434</v>
      </c>
      <c r="C31" s="141">
        <v>38979.568543319801</v>
      </c>
      <c r="D31" s="141">
        <v>41109.617562262385</v>
      </c>
      <c r="E31" s="141">
        <v>43117.876329671039</v>
      </c>
      <c r="F31" s="141">
        <v>45247.080247288817</v>
      </c>
      <c r="G31" s="141">
        <v>47088.504720471785</v>
      </c>
      <c r="H31" s="141">
        <v>48778.550395766295</v>
      </c>
      <c r="I31" s="141">
        <v>50158.437228036899</v>
      </c>
      <c r="J31" s="141">
        <v>51419.247404643349</v>
      </c>
      <c r="K31" s="141">
        <v>52359.888154690627</v>
      </c>
      <c r="L31" s="141">
        <v>53185.028149771984</v>
      </c>
      <c r="M31" s="141">
        <v>53652.095141965838</v>
      </c>
      <c r="N31" s="141">
        <v>53887.486610496861</v>
      </c>
      <c r="O31" s="141">
        <v>54261.944215155832</v>
      </c>
      <c r="P31" s="141">
        <v>54681.496931362031</v>
      </c>
      <c r="Q31" s="141">
        <v>55162.771643910848</v>
      </c>
      <c r="R31" s="141">
        <v>55589.467460913547</v>
      </c>
      <c r="S31" s="141">
        <v>56353.556441359739</v>
      </c>
      <c r="T31" s="141">
        <v>57162.831232668621</v>
      </c>
      <c r="U31" s="141">
        <v>57911.555729415493</v>
      </c>
      <c r="V31" s="141">
        <v>58336.188972912329</v>
      </c>
      <c r="W31" s="141">
        <v>58606.196333642241</v>
      </c>
      <c r="DA31" s="171" t="s">
        <v>270</v>
      </c>
    </row>
    <row r="32" spans="1:105" ht="12" customHeight="1" x14ac:dyDescent="0.25">
      <c r="A32" s="132" t="s">
        <v>128</v>
      </c>
      <c r="B32" s="141">
        <v>2440.3863231362452</v>
      </c>
      <c r="C32" s="141">
        <v>2430.2767951634082</v>
      </c>
      <c r="D32" s="141">
        <v>2421.9502491903381</v>
      </c>
      <c r="E32" s="141">
        <v>2381.9560551655459</v>
      </c>
      <c r="F32" s="141">
        <v>2347.3495435511613</v>
      </c>
      <c r="G32" s="141">
        <v>2280.4138113579734</v>
      </c>
      <c r="H32" s="141">
        <v>2209.9189855588356</v>
      </c>
      <c r="I32" s="141">
        <v>2124.8792749210847</v>
      </c>
      <c r="J32" s="141">
        <v>2047.4800700029502</v>
      </c>
      <c r="K32" s="141">
        <v>1974.3439174598998</v>
      </c>
      <c r="L32" s="141">
        <v>1959.495388746026</v>
      </c>
      <c r="M32" s="141">
        <v>1940.8434486253918</v>
      </c>
      <c r="N32" s="141">
        <v>1967.6576305220442</v>
      </c>
      <c r="O32" s="141">
        <v>2015.2963237050358</v>
      </c>
      <c r="P32" s="141">
        <v>2114.1092966192618</v>
      </c>
      <c r="Q32" s="141">
        <v>2243.6625497895084</v>
      </c>
      <c r="R32" s="141">
        <v>2374.1471786152997</v>
      </c>
      <c r="S32" s="141">
        <v>2537.1000020505994</v>
      </c>
      <c r="T32" s="141">
        <v>2754.8063028050283</v>
      </c>
      <c r="U32" s="141">
        <v>2998.8747929424785</v>
      </c>
      <c r="V32" s="141">
        <v>3210.5942593236182</v>
      </c>
      <c r="W32" s="141">
        <v>3337.9954169278913</v>
      </c>
      <c r="DA32" s="171" t="s">
        <v>271</v>
      </c>
    </row>
    <row r="33" spans="1:105" ht="12" customHeight="1" x14ac:dyDescent="0.25">
      <c r="A33" s="62" t="s">
        <v>24</v>
      </c>
      <c r="B33" s="153">
        <v>91516.297918623706</v>
      </c>
      <c r="C33" s="153">
        <v>89306.694047518075</v>
      </c>
      <c r="D33" s="153">
        <v>82601.928533289843</v>
      </c>
      <c r="E33" s="153">
        <v>77117.851578521484</v>
      </c>
      <c r="F33" s="153">
        <v>76808.88298567383</v>
      </c>
      <c r="G33" s="153">
        <v>78186.821796315577</v>
      </c>
      <c r="H33" s="153">
        <v>82321.352105381156</v>
      </c>
      <c r="I33" s="153">
        <v>90675.669293322877</v>
      </c>
      <c r="J33" s="153">
        <v>91870.370673980971</v>
      </c>
      <c r="K33" s="153">
        <v>87854.655149635451</v>
      </c>
      <c r="L33" s="153">
        <v>89487.90947088314</v>
      </c>
      <c r="M33" s="153">
        <v>93349.530086840794</v>
      </c>
      <c r="N33" s="153">
        <v>102870.4600300254</v>
      </c>
      <c r="O33" s="153">
        <v>108437.81180383146</v>
      </c>
      <c r="P33" s="153">
        <v>111461.06699420608</v>
      </c>
      <c r="Q33" s="153">
        <v>112010.1522836536</v>
      </c>
      <c r="R33" s="153">
        <v>113493.61874359006</v>
      </c>
      <c r="S33" s="153">
        <v>114165.3809497304</v>
      </c>
      <c r="T33" s="153">
        <v>115246.07579681237</v>
      </c>
      <c r="U33" s="153">
        <v>116067.6128179307</v>
      </c>
      <c r="V33" s="153">
        <v>117377.83196872303</v>
      </c>
      <c r="W33" s="153">
        <v>118794.57840153688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2078.8337561231974</v>
      </c>
      <c r="C3" s="126">
        <f t="shared" si="0"/>
        <v>2466.5716123226089</v>
      </c>
      <c r="D3" s="126">
        <f t="shared" si="0"/>
        <v>2387.2084756520544</v>
      </c>
      <c r="E3" s="126">
        <f t="shared" si="0"/>
        <v>2703.4696315991114</v>
      </c>
      <c r="F3" s="126">
        <f t="shared" si="0"/>
        <v>2657.7340189368688</v>
      </c>
      <c r="G3" s="126">
        <f t="shared" si="0"/>
        <v>2472.9837095162648</v>
      </c>
      <c r="H3" s="126">
        <f t="shared" si="0"/>
        <v>2552.3001884661935</v>
      </c>
      <c r="I3" s="126">
        <f t="shared" si="0"/>
        <v>2144.1159899065101</v>
      </c>
      <c r="J3" s="126">
        <f t="shared" si="0"/>
        <v>2351.8225754533141</v>
      </c>
      <c r="K3" s="126">
        <f t="shared" si="0"/>
        <v>2024.5680349595395</v>
      </c>
      <c r="L3" s="126">
        <f t="shared" si="0"/>
        <v>1978.6839451075275</v>
      </c>
      <c r="M3" s="126">
        <f t="shared" si="0"/>
        <v>1872.3015087190322</v>
      </c>
      <c r="N3" s="126">
        <f t="shared" si="0"/>
        <v>1850.4302131302343</v>
      </c>
      <c r="O3" s="126">
        <f t="shared" si="0"/>
        <v>1824.9303256626843</v>
      </c>
      <c r="P3" s="126">
        <f t="shared" si="0"/>
        <v>1663.0585396742172</v>
      </c>
      <c r="Q3" s="126">
        <f t="shared" si="0"/>
        <v>1720.8540351368181</v>
      </c>
      <c r="R3" s="126">
        <f t="shared" ref="R3:W3" si="1">SUM(R4,R16,R19,R29)</f>
        <v>1653.6043796547897</v>
      </c>
      <c r="S3" s="126">
        <f t="shared" si="1"/>
        <v>1826.6869462444447</v>
      </c>
      <c r="T3" s="126">
        <f t="shared" si="1"/>
        <v>1753.1580408922528</v>
      </c>
      <c r="U3" s="126">
        <f t="shared" si="1"/>
        <v>1791.9089756726235</v>
      </c>
      <c r="V3" s="126">
        <f t="shared" si="1"/>
        <v>1687.5590807606386</v>
      </c>
      <c r="W3" s="126">
        <f t="shared" si="1"/>
        <v>1861.13980170593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1610.8690320468645</v>
      </c>
      <c r="C4" s="131">
        <f t="shared" si="2"/>
        <v>1985.0146949694004</v>
      </c>
      <c r="D4" s="131">
        <f t="shared" si="2"/>
        <v>1885.2423722876058</v>
      </c>
      <c r="E4" s="131">
        <f t="shared" si="2"/>
        <v>2185.0021817342467</v>
      </c>
      <c r="F4" s="131">
        <f t="shared" si="2"/>
        <v>2130.6854119443715</v>
      </c>
      <c r="G4" s="131">
        <f t="shared" si="2"/>
        <v>1937.4014278998736</v>
      </c>
      <c r="H4" s="131">
        <f t="shared" si="2"/>
        <v>2009.3101123025638</v>
      </c>
      <c r="I4" s="131">
        <f t="shared" si="2"/>
        <v>1598.5372499994237</v>
      </c>
      <c r="J4" s="131">
        <f t="shared" si="2"/>
        <v>1810.5619236286263</v>
      </c>
      <c r="K4" s="131">
        <f t="shared" si="2"/>
        <v>1469.3252242540982</v>
      </c>
      <c r="L4" s="131">
        <f t="shared" si="2"/>
        <v>1425.7010533283396</v>
      </c>
      <c r="M4" s="131">
        <f t="shared" si="2"/>
        <v>1317.5810189876627</v>
      </c>
      <c r="N4" s="131">
        <f t="shared" si="2"/>
        <v>1308.0652241493412</v>
      </c>
      <c r="O4" s="131">
        <f t="shared" si="2"/>
        <v>1278.4916181397095</v>
      </c>
      <c r="P4" s="131">
        <f t="shared" si="2"/>
        <v>1110.8445106710049</v>
      </c>
      <c r="Q4" s="131">
        <f t="shared" si="2"/>
        <v>1164.7940490505098</v>
      </c>
      <c r="R4" s="131">
        <f t="shared" ref="R4:W4" si="3">SUM(R5:R15)</f>
        <v>1095.4580675398211</v>
      </c>
      <c r="S4" s="131">
        <f t="shared" si="3"/>
        <v>1265.4122841418282</v>
      </c>
      <c r="T4" s="131">
        <f t="shared" si="3"/>
        <v>1194.4831862319063</v>
      </c>
      <c r="U4" s="131">
        <f t="shared" si="3"/>
        <v>1235.1699378199494</v>
      </c>
      <c r="V4" s="131">
        <f t="shared" si="3"/>
        <v>1153.2475125890808</v>
      </c>
      <c r="W4" s="131">
        <f t="shared" si="3"/>
        <v>1321.9289991262042</v>
      </c>
      <c r="DA4" s="156" t="s">
        <v>213</v>
      </c>
    </row>
    <row r="5" spans="1:105" ht="12" customHeight="1" x14ac:dyDescent="0.25">
      <c r="A5" s="132" t="s">
        <v>29</v>
      </c>
      <c r="B5" s="133">
        <v>27.257437661220976</v>
      </c>
      <c r="C5" s="133">
        <v>29.08211521926053</v>
      </c>
      <c r="D5" s="133">
        <v>20.26930352536543</v>
      </c>
      <c r="E5" s="133">
        <v>28.267583834909711</v>
      </c>
      <c r="F5" s="133">
        <v>20.337231298366294</v>
      </c>
      <c r="G5" s="133">
        <v>16.956061908856405</v>
      </c>
      <c r="H5" s="133">
        <v>12.320894239036971</v>
      </c>
      <c r="I5" s="133">
        <v>9.754772141014616</v>
      </c>
      <c r="J5" s="133">
        <v>5.9950128976784178</v>
      </c>
      <c r="K5" s="133">
        <v>4.5351676698194314</v>
      </c>
      <c r="L5" s="133">
        <v>5.0715391229578675</v>
      </c>
      <c r="M5" s="133">
        <v>3.5312983662940658</v>
      </c>
      <c r="N5" s="133">
        <v>6.4488392089423904E-2</v>
      </c>
      <c r="O5" s="133">
        <v>0.18667239896818574</v>
      </c>
      <c r="P5" s="133">
        <v>2.0120378331900259E-2</v>
      </c>
      <c r="Q5" s="133">
        <v>1.3757523645743759E-2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347.13113696175884</v>
      </c>
      <c r="C7" s="133">
        <v>475.49696898199716</v>
      </c>
      <c r="D7" s="133">
        <v>474.8504433402353</v>
      </c>
      <c r="E7" s="133">
        <v>592.10731404955959</v>
      </c>
      <c r="F7" s="133">
        <v>424.65265564226365</v>
      </c>
      <c r="G7" s="133">
        <v>543.95638620165539</v>
      </c>
      <c r="H7" s="133">
        <v>548.9786342552419</v>
      </c>
      <c r="I7" s="133">
        <v>375.88287972003496</v>
      </c>
      <c r="J7" s="133">
        <v>440.4014086700206</v>
      </c>
      <c r="K7" s="133">
        <v>341.36945324671143</v>
      </c>
      <c r="L7" s="133">
        <v>157.34887486037485</v>
      </c>
      <c r="M7" s="133">
        <v>153.04324100939243</v>
      </c>
      <c r="N7" s="133">
        <v>126.13591137817419</v>
      </c>
      <c r="O7" s="133">
        <v>125.22891781663833</v>
      </c>
      <c r="P7" s="133">
        <v>138.00439986364682</v>
      </c>
      <c r="Q7" s="133">
        <v>144.97291995994237</v>
      </c>
      <c r="R7" s="133">
        <v>131.70814797627318</v>
      </c>
      <c r="S7" s="133">
        <v>181.85015714551199</v>
      </c>
      <c r="T7" s="133">
        <v>159.28929212699964</v>
      </c>
      <c r="U7" s="133">
        <v>148.40985181077593</v>
      </c>
      <c r="V7" s="133">
        <v>145.66597379947237</v>
      </c>
      <c r="W7" s="133">
        <v>187.24852995160643</v>
      </c>
      <c r="DA7" s="157" t="s">
        <v>276</v>
      </c>
    </row>
    <row r="8" spans="1:105" ht="12" customHeight="1" x14ac:dyDescent="0.25">
      <c r="A8" s="132" t="s">
        <v>73</v>
      </c>
      <c r="B8" s="133">
        <v>2.9940719853685285</v>
      </c>
      <c r="C8" s="133">
        <v>3.9487680121964512</v>
      </c>
      <c r="D8" s="133">
        <v>4.0072048051201579</v>
      </c>
      <c r="E8" s="133">
        <v>4.9917843207241619</v>
      </c>
      <c r="F8" s="133">
        <v>5.340936737696909</v>
      </c>
      <c r="G8" s="133">
        <v>5.2050268374034454</v>
      </c>
      <c r="H8" s="133">
        <v>5.7283692603399867</v>
      </c>
      <c r="I8" s="133">
        <v>4.6411686975534767</v>
      </c>
      <c r="J8" s="133">
        <v>5.2677624384696049</v>
      </c>
      <c r="K8" s="133">
        <v>4.282738341603558</v>
      </c>
      <c r="L8" s="133">
        <v>4.0478898789069211</v>
      </c>
      <c r="M8" s="133">
        <v>3.6460145678923119</v>
      </c>
      <c r="N8" s="133">
        <v>3.3472879755034834</v>
      </c>
      <c r="O8" s="133">
        <v>2.9475273456081159</v>
      </c>
      <c r="P8" s="133">
        <v>2.760015106345882</v>
      </c>
      <c r="Q8" s="133">
        <v>2.7647382088729557</v>
      </c>
      <c r="R8" s="133">
        <v>2.837429275307632</v>
      </c>
      <c r="S8" s="133">
        <v>3.1235396464983092</v>
      </c>
      <c r="T8" s="133">
        <v>2.9109295183650703</v>
      </c>
      <c r="U8" s="133">
        <v>2.9678166058977511</v>
      </c>
      <c r="V8" s="133">
        <v>2.4810715943872212</v>
      </c>
      <c r="W8" s="133">
        <v>2.6750909820726863</v>
      </c>
      <c r="DA8" s="157" t="s">
        <v>277</v>
      </c>
    </row>
    <row r="9" spans="1:105" ht="12" customHeight="1" x14ac:dyDescent="0.25">
      <c r="A9" s="132" t="s">
        <v>78</v>
      </c>
      <c r="B9" s="133">
        <v>512.53025565323617</v>
      </c>
      <c r="C9" s="133">
        <v>739.65636377012663</v>
      </c>
      <c r="D9" s="133">
        <v>657.05648767345861</v>
      </c>
      <c r="E9" s="133">
        <v>750.05279193442811</v>
      </c>
      <c r="F9" s="133">
        <v>909.97529429625035</v>
      </c>
      <c r="G9" s="133">
        <v>438.69636921176595</v>
      </c>
      <c r="H9" s="133">
        <v>473.83934768412166</v>
      </c>
      <c r="I9" s="133">
        <v>343.23985279308403</v>
      </c>
      <c r="J9" s="133">
        <v>379.02089106825861</v>
      </c>
      <c r="K9" s="133">
        <v>265.52734261631332</v>
      </c>
      <c r="L9" s="133">
        <v>284.38482184551168</v>
      </c>
      <c r="M9" s="133">
        <v>230.05999531385879</v>
      </c>
      <c r="N9" s="133">
        <v>275.75427539113196</v>
      </c>
      <c r="O9" s="133">
        <v>276.55589341968209</v>
      </c>
      <c r="P9" s="133">
        <v>208.98576311884108</v>
      </c>
      <c r="Q9" s="133">
        <v>231.54393001482637</v>
      </c>
      <c r="R9" s="133">
        <v>209.91590186235501</v>
      </c>
      <c r="S9" s="133">
        <v>226.85830339966495</v>
      </c>
      <c r="T9" s="133">
        <v>207.22272177663999</v>
      </c>
      <c r="U9" s="133">
        <v>227.58822640517079</v>
      </c>
      <c r="V9" s="133">
        <v>221.88567169551294</v>
      </c>
      <c r="W9" s="133">
        <v>255.01525179293736</v>
      </c>
      <c r="DA9" s="157" t="s">
        <v>278</v>
      </c>
    </row>
    <row r="10" spans="1:105" ht="12" customHeight="1" x14ac:dyDescent="0.25">
      <c r="A10" s="132" t="s">
        <v>128</v>
      </c>
      <c r="B10" s="133">
        <v>67.001407193651858</v>
      </c>
      <c r="C10" s="133">
        <v>71.22218264065512</v>
      </c>
      <c r="D10" s="133">
        <v>70.467247183505847</v>
      </c>
      <c r="E10" s="133">
        <v>82.939230388943841</v>
      </c>
      <c r="F10" s="133">
        <v>89.805297370043704</v>
      </c>
      <c r="G10" s="133">
        <v>71.436508758556172</v>
      </c>
      <c r="H10" s="133">
        <v>76.955097327546866</v>
      </c>
      <c r="I10" s="133">
        <v>70.932957356455645</v>
      </c>
      <c r="J10" s="133">
        <v>56.506190726342922</v>
      </c>
      <c r="K10" s="133">
        <v>55.587009620976495</v>
      </c>
      <c r="L10" s="133">
        <v>69.504760766089163</v>
      </c>
      <c r="M10" s="133">
        <v>53.285254575964466</v>
      </c>
      <c r="N10" s="133">
        <v>32.330776269882413</v>
      </c>
      <c r="O10" s="133">
        <v>42.823940391330574</v>
      </c>
      <c r="P10" s="133">
        <v>33.857934647789641</v>
      </c>
      <c r="Q10" s="133">
        <v>47.487736408906429</v>
      </c>
      <c r="R10" s="133">
        <v>33.722360201670533</v>
      </c>
      <c r="S10" s="133">
        <v>62.917958408527355</v>
      </c>
      <c r="T10" s="133">
        <v>65.427529886702899</v>
      </c>
      <c r="U10" s="133">
        <v>73.264432783828568</v>
      </c>
      <c r="V10" s="133">
        <v>70.936719280572618</v>
      </c>
      <c r="W10" s="133">
        <v>82.434775404351797</v>
      </c>
      <c r="DA10" s="157" t="s">
        <v>279</v>
      </c>
    </row>
    <row r="11" spans="1:105" ht="12" customHeight="1" x14ac:dyDescent="0.25">
      <c r="A11" s="132" t="s">
        <v>25</v>
      </c>
      <c r="B11" s="133">
        <v>4.9202063628546862</v>
      </c>
      <c r="C11" s="133">
        <v>4.5380911435941522</v>
      </c>
      <c r="D11" s="133">
        <v>7.4042132416165103</v>
      </c>
      <c r="E11" s="133">
        <v>5.7323301805675007</v>
      </c>
      <c r="F11" s="133">
        <v>5.7323301805674971</v>
      </c>
      <c r="G11" s="133">
        <v>6.4447979363714518</v>
      </c>
      <c r="H11" s="133">
        <v>6.2772141014617393</v>
      </c>
      <c r="I11" s="133">
        <v>5.6556319862424749</v>
      </c>
      <c r="J11" s="133">
        <v>6.0750644883920906</v>
      </c>
      <c r="K11" s="133">
        <v>6.703869303525364</v>
      </c>
      <c r="L11" s="133">
        <v>7.6586414445399829</v>
      </c>
      <c r="M11" s="133">
        <v>6.6477214101461719</v>
      </c>
      <c r="N11" s="133">
        <v>8.2565778159931238</v>
      </c>
      <c r="O11" s="133">
        <v>7.8659501289767828</v>
      </c>
      <c r="P11" s="133">
        <v>6.3785898538263091</v>
      </c>
      <c r="Q11" s="133">
        <v>7.1853826311263873</v>
      </c>
      <c r="R11" s="133">
        <v>7.1656921754084308</v>
      </c>
      <c r="S11" s="133">
        <v>12.286070507308688</v>
      </c>
      <c r="T11" s="133">
        <v>11.291831470335312</v>
      </c>
      <c r="U11" s="133">
        <v>11.365864144453994</v>
      </c>
      <c r="V11" s="133">
        <v>11.77067927773003</v>
      </c>
      <c r="W11" s="133">
        <v>10.243594153052458</v>
      </c>
      <c r="DA11" s="157" t="s">
        <v>280</v>
      </c>
    </row>
    <row r="12" spans="1:105" ht="12" customHeight="1" x14ac:dyDescent="0.25">
      <c r="A12" s="132" t="s">
        <v>169</v>
      </c>
      <c r="B12" s="133">
        <v>325.46897286954112</v>
      </c>
      <c r="C12" s="133">
        <v>340.96850783024979</v>
      </c>
      <c r="D12" s="133">
        <v>355.86197353283234</v>
      </c>
      <c r="E12" s="133">
        <v>384.39852546318417</v>
      </c>
      <c r="F12" s="133">
        <v>408.22075938826271</v>
      </c>
      <c r="G12" s="133">
        <v>494.24360826829428</v>
      </c>
      <c r="H12" s="133">
        <v>535.35680877494906</v>
      </c>
      <c r="I12" s="133">
        <v>481.53332114712373</v>
      </c>
      <c r="J12" s="133">
        <v>559.77780733650934</v>
      </c>
      <c r="K12" s="133">
        <v>583.61834761588386</v>
      </c>
      <c r="L12" s="133">
        <v>638.63889284809352</v>
      </c>
      <c r="M12" s="133">
        <v>633.23444819106817</v>
      </c>
      <c r="N12" s="133">
        <v>632.34562039765012</v>
      </c>
      <c r="O12" s="133">
        <v>599.9426279645545</v>
      </c>
      <c r="P12" s="133">
        <v>521.01808325494289</v>
      </c>
      <c r="Q12" s="133">
        <v>542.15923487532802</v>
      </c>
      <c r="R12" s="133">
        <v>581.03004250787797</v>
      </c>
      <c r="S12" s="133">
        <v>607.89505895506989</v>
      </c>
      <c r="T12" s="133">
        <v>553.18539997624941</v>
      </c>
      <c r="U12" s="133">
        <v>573.97223711071172</v>
      </c>
      <c r="V12" s="133">
        <v>532.47682212016309</v>
      </c>
      <c r="W12" s="133">
        <v>616.53109714773461</v>
      </c>
      <c r="DA12" s="157" t="s">
        <v>281</v>
      </c>
    </row>
    <row r="13" spans="1:105" ht="12" customHeight="1" x14ac:dyDescent="0.25">
      <c r="A13" s="132" t="s">
        <v>77</v>
      </c>
      <c r="B13" s="133">
        <v>9.5902302982685228</v>
      </c>
      <c r="C13" s="133">
        <v>11.94056399864709</v>
      </c>
      <c r="D13" s="133">
        <v>17.382822186702221</v>
      </c>
      <c r="E13" s="133">
        <v>24.953561476921347</v>
      </c>
      <c r="F13" s="133">
        <v>33.670889817001424</v>
      </c>
      <c r="G13" s="133">
        <v>43.473165407221344</v>
      </c>
      <c r="H13" s="133">
        <v>52.037781606808124</v>
      </c>
      <c r="I13" s="133">
        <v>52.235129907920445</v>
      </c>
      <c r="J13" s="133">
        <v>67.221181982492027</v>
      </c>
      <c r="K13" s="133">
        <v>57.414402191022155</v>
      </c>
      <c r="L13" s="133">
        <v>61.419528385377774</v>
      </c>
      <c r="M13" s="133">
        <v>68.468901520002092</v>
      </c>
      <c r="N13" s="133">
        <v>72.445975759724405</v>
      </c>
      <c r="O13" s="133">
        <v>77.362123608356782</v>
      </c>
      <c r="P13" s="133">
        <v>82.934308884416595</v>
      </c>
      <c r="Q13" s="133">
        <v>72.184043187477982</v>
      </c>
      <c r="R13" s="133">
        <v>75.599290731901092</v>
      </c>
      <c r="S13" s="133">
        <v>83.345467371679661</v>
      </c>
      <c r="T13" s="133">
        <v>82.049912461893499</v>
      </c>
      <c r="U13" s="133">
        <v>92.739433903886621</v>
      </c>
      <c r="V13" s="133">
        <v>61.779990198764132</v>
      </c>
      <c r="W13" s="133">
        <v>57.676297944826125</v>
      </c>
      <c r="DA13" s="157" t="s">
        <v>282</v>
      </c>
    </row>
    <row r="14" spans="1:105" ht="12" customHeight="1" x14ac:dyDescent="0.25">
      <c r="A14" s="60" t="s">
        <v>76</v>
      </c>
      <c r="B14" s="65">
        <v>303.19684836749479</v>
      </c>
      <c r="C14" s="65">
        <v>293.62032775360763</v>
      </c>
      <c r="D14" s="65">
        <v>264.3543035040442</v>
      </c>
      <c r="E14" s="65">
        <v>295.73812711383744</v>
      </c>
      <c r="F14" s="65">
        <v>217.13458015579508</v>
      </c>
      <c r="G14" s="65">
        <v>304.85510191419593</v>
      </c>
      <c r="H14" s="65">
        <v>285.21883097651607</v>
      </c>
      <c r="I14" s="65">
        <v>245.38607431745405</v>
      </c>
      <c r="J14" s="65">
        <v>279.92998942695658</v>
      </c>
      <c r="K14" s="65">
        <v>141.92995814782924</v>
      </c>
      <c r="L14" s="65">
        <v>190.46983192192562</v>
      </c>
      <c r="M14" s="65">
        <v>159.16259830591559</v>
      </c>
      <c r="N14" s="65">
        <v>150.62575753682748</v>
      </c>
      <c r="O14" s="65">
        <v>138.73009960624708</v>
      </c>
      <c r="P14" s="65">
        <v>111.02618276217103</v>
      </c>
      <c r="Q14" s="65">
        <v>110.13517290864367</v>
      </c>
      <c r="R14" s="65">
        <v>47.390204704414629</v>
      </c>
      <c r="S14" s="65">
        <v>79.986850380355037</v>
      </c>
      <c r="T14" s="65">
        <v>106.54871190101503</v>
      </c>
      <c r="U14" s="65">
        <v>98.009731964334676</v>
      </c>
      <c r="V14" s="65">
        <v>99.605369963143019</v>
      </c>
      <c r="W14" s="65">
        <v>102.16178887314142</v>
      </c>
      <c r="DA14" s="109" t="s">
        <v>283</v>
      </c>
    </row>
    <row r="15" spans="1:105" ht="12" customHeight="1" x14ac:dyDescent="0.25">
      <c r="A15" s="134" t="s">
        <v>80</v>
      </c>
      <c r="B15" s="135">
        <v>10.77846469346869</v>
      </c>
      <c r="C15" s="135">
        <v>14.540805619065951</v>
      </c>
      <c r="D15" s="135">
        <v>13.58837329472518</v>
      </c>
      <c r="E15" s="135">
        <v>15.820932971170631</v>
      </c>
      <c r="F15" s="135">
        <v>15.815437058123649</v>
      </c>
      <c r="G15" s="135">
        <v>12.134401455552897</v>
      </c>
      <c r="H15" s="135">
        <v>12.597134076541323</v>
      </c>
      <c r="I15" s="135">
        <v>9.2754619325402157</v>
      </c>
      <c r="J15" s="135">
        <v>10.366614593506345</v>
      </c>
      <c r="K15" s="135">
        <v>8.3569355004134795</v>
      </c>
      <c r="L15" s="135">
        <v>7.1562722545621913</v>
      </c>
      <c r="M15" s="135">
        <v>6.50154572712853</v>
      </c>
      <c r="N15" s="135">
        <v>6.7585532323647417</v>
      </c>
      <c r="O15" s="135">
        <v>6.8478654593472923</v>
      </c>
      <c r="P15" s="135">
        <v>5.8591128006925901</v>
      </c>
      <c r="Q15" s="135">
        <v>6.3471333317398253</v>
      </c>
      <c r="R15" s="135">
        <v>6.0889981046124699</v>
      </c>
      <c r="S15" s="135">
        <v>7.1488783272121825</v>
      </c>
      <c r="T15" s="135">
        <v>6.556857113705453</v>
      </c>
      <c r="U15" s="135">
        <v>6.8523430908892005</v>
      </c>
      <c r="V15" s="135">
        <v>6.6452146593354531</v>
      </c>
      <c r="W15" s="135">
        <v>7.9425728764815204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19.313892570814339</v>
      </c>
      <c r="C16" s="131">
        <f t="shared" si="4"/>
        <v>19.331977655593835</v>
      </c>
      <c r="D16" s="131">
        <f t="shared" si="4"/>
        <v>19.844759113604699</v>
      </c>
      <c r="E16" s="131">
        <f t="shared" si="4"/>
        <v>22.030195772048426</v>
      </c>
      <c r="F16" s="131">
        <f t="shared" si="4"/>
        <v>19.646609299685348</v>
      </c>
      <c r="G16" s="131">
        <f t="shared" si="4"/>
        <v>20.092688711071851</v>
      </c>
      <c r="H16" s="131">
        <f t="shared" si="4"/>
        <v>21.179008132552415</v>
      </c>
      <c r="I16" s="131">
        <f t="shared" si="4"/>
        <v>21.410456413881732</v>
      </c>
      <c r="J16" s="131">
        <f t="shared" si="4"/>
        <v>20.430017722208579</v>
      </c>
      <c r="K16" s="131">
        <f t="shared" si="4"/>
        <v>20.933494385290917</v>
      </c>
      <c r="L16" s="131">
        <f t="shared" si="4"/>
        <v>22.197545452534541</v>
      </c>
      <c r="M16" s="131">
        <f t="shared" si="4"/>
        <v>21.679991142418537</v>
      </c>
      <c r="N16" s="131">
        <f t="shared" si="4"/>
        <v>22.381506685112381</v>
      </c>
      <c r="O16" s="131">
        <f t="shared" si="4"/>
        <v>23.588352071324483</v>
      </c>
      <c r="P16" s="131">
        <f t="shared" si="4"/>
        <v>20.396800039091314</v>
      </c>
      <c r="Q16" s="131">
        <f t="shared" si="4"/>
        <v>23.546050957914321</v>
      </c>
      <c r="R16" s="131">
        <f t="shared" ref="R16:W16" si="5">SUM(R17:R18)</f>
        <v>20.339159904181198</v>
      </c>
      <c r="S16" s="131">
        <f t="shared" si="5"/>
        <v>21.462903850098325</v>
      </c>
      <c r="T16" s="131">
        <f t="shared" si="5"/>
        <v>21.035852403187974</v>
      </c>
      <c r="U16" s="131">
        <f t="shared" si="5"/>
        <v>21.641543454909471</v>
      </c>
      <c r="V16" s="131">
        <f t="shared" si="5"/>
        <v>19.77979222848013</v>
      </c>
      <c r="W16" s="131">
        <f t="shared" si="5"/>
        <v>20.390780546829482</v>
      </c>
      <c r="DA16" s="156" t="s">
        <v>214</v>
      </c>
    </row>
    <row r="17" spans="1:105" ht="12.95" customHeight="1" x14ac:dyDescent="0.25">
      <c r="A17" s="132" t="s">
        <v>73</v>
      </c>
      <c r="B17" s="133">
        <v>3.8995403062072949E-2</v>
      </c>
      <c r="C17" s="133">
        <v>4.203738601165187E-2</v>
      </c>
      <c r="D17" s="133">
        <v>5.0519079739203894E-2</v>
      </c>
      <c r="E17" s="133">
        <v>5.8085526194894488E-2</v>
      </c>
      <c r="F17" s="133">
        <v>6.6614417092748721E-2</v>
      </c>
      <c r="G17" s="133">
        <v>7.7891760931118506E-2</v>
      </c>
      <c r="H17" s="133">
        <v>9.1276645538351311E-2</v>
      </c>
      <c r="I17" s="133">
        <v>0.11337327305531344</v>
      </c>
      <c r="J17" s="133">
        <v>0.12842201145205936</v>
      </c>
      <c r="K17" s="133">
        <v>0.1541335734116174</v>
      </c>
      <c r="L17" s="133">
        <v>0.17423322999780216</v>
      </c>
      <c r="M17" s="133">
        <v>0.19926552167993369</v>
      </c>
      <c r="N17" s="133">
        <v>0.21874338213467984</v>
      </c>
      <c r="O17" s="133">
        <v>0.26001080718759156</v>
      </c>
      <c r="P17" s="133">
        <v>0.25594089230897632</v>
      </c>
      <c r="Q17" s="133">
        <v>0.35181986455711822</v>
      </c>
      <c r="R17" s="133">
        <v>0.31437142058529266</v>
      </c>
      <c r="S17" s="133">
        <v>0.37316869630658073</v>
      </c>
      <c r="T17" s="133">
        <v>0.39213327650195584</v>
      </c>
      <c r="U17" s="133">
        <v>0.44768521616623141</v>
      </c>
      <c r="V17" s="133">
        <v>0.41849458706418219</v>
      </c>
      <c r="W17" s="133">
        <v>0.44870558693913554</v>
      </c>
      <c r="DA17" s="157" t="s">
        <v>285</v>
      </c>
    </row>
    <row r="18" spans="1:105" ht="12" customHeight="1" x14ac:dyDescent="0.25">
      <c r="A18" s="132" t="s">
        <v>72</v>
      </c>
      <c r="B18" s="133">
        <v>19.274897167752265</v>
      </c>
      <c r="C18" s="133">
        <v>19.289940269582182</v>
      </c>
      <c r="D18" s="133">
        <v>19.794240033865496</v>
      </c>
      <c r="E18" s="133">
        <v>21.972110245853532</v>
      </c>
      <c r="F18" s="133">
        <v>19.579994882592601</v>
      </c>
      <c r="G18" s="133">
        <v>20.014796950140731</v>
      </c>
      <c r="H18" s="133">
        <v>21.087731487014064</v>
      </c>
      <c r="I18" s="133">
        <v>21.29708314082642</v>
      </c>
      <c r="J18" s="133">
        <v>20.301595710756519</v>
      </c>
      <c r="K18" s="133">
        <v>20.7793608118793</v>
      </c>
      <c r="L18" s="133">
        <v>22.023312222536738</v>
      </c>
      <c r="M18" s="133">
        <v>21.480725620738603</v>
      </c>
      <c r="N18" s="133">
        <v>22.162763302977702</v>
      </c>
      <c r="O18" s="133">
        <v>23.328341264136892</v>
      </c>
      <c r="P18" s="133">
        <v>20.140859146782336</v>
      </c>
      <c r="Q18" s="133">
        <v>23.194231093357203</v>
      </c>
      <c r="R18" s="133">
        <v>20.024788483595906</v>
      </c>
      <c r="S18" s="133">
        <v>21.089735153791743</v>
      </c>
      <c r="T18" s="133">
        <v>20.643719126686019</v>
      </c>
      <c r="U18" s="133">
        <v>21.193858238743239</v>
      </c>
      <c r="V18" s="133">
        <v>19.361297641415948</v>
      </c>
      <c r="W18" s="133">
        <v>19.942074959890348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251.62917709938154</v>
      </c>
      <c r="C19" s="131">
        <f t="shared" si="6"/>
        <v>255.48683103794147</v>
      </c>
      <c r="D19" s="131">
        <f t="shared" si="6"/>
        <v>256.87338711635488</v>
      </c>
      <c r="E19" s="131">
        <f t="shared" si="6"/>
        <v>259.35442166970444</v>
      </c>
      <c r="F19" s="131">
        <f t="shared" si="6"/>
        <v>261.68954998375699</v>
      </c>
      <c r="G19" s="131">
        <f t="shared" si="6"/>
        <v>271.07121090255782</v>
      </c>
      <c r="H19" s="131">
        <f t="shared" si="6"/>
        <v>275.0451409212265</v>
      </c>
      <c r="I19" s="131">
        <f t="shared" si="6"/>
        <v>280.02899751201119</v>
      </c>
      <c r="J19" s="131">
        <f t="shared" si="6"/>
        <v>277.42385830598766</v>
      </c>
      <c r="K19" s="131">
        <f t="shared" si="6"/>
        <v>285.57389246881957</v>
      </c>
      <c r="L19" s="131">
        <f t="shared" si="6"/>
        <v>274.2695719797976</v>
      </c>
      <c r="M19" s="131">
        <f t="shared" si="6"/>
        <v>276.07875605018523</v>
      </c>
      <c r="N19" s="131">
        <f t="shared" si="6"/>
        <v>269.86659906182661</v>
      </c>
      <c r="O19" s="131">
        <f t="shared" si="6"/>
        <v>272.62201590702682</v>
      </c>
      <c r="P19" s="131">
        <f t="shared" si="6"/>
        <v>278.77544020528194</v>
      </c>
      <c r="Q19" s="131">
        <f t="shared" si="6"/>
        <v>277.97957396444849</v>
      </c>
      <c r="R19" s="131">
        <f t="shared" ref="R19:W19" si="7">SUM(R20:R27)</f>
        <v>280.12480496166103</v>
      </c>
      <c r="S19" s="131">
        <f t="shared" si="7"/>
        <v>279.69268225673432</v>
      </c>
      <c r="T19" s="131">
        <f t="shared" si="7"/>
        <v>276.45249685161605</v>
      </c>
      <c r="U19" s="131">
        <f t="shared" si="7"/>
        <v>271.86641603114464</v>
      </c>
      <c r="V19" s="131">
        <f t="shared" si="7"/>
        <v>261.96856623423707</v>
      </c>
      <c r="W19" s="131">
        <f t="shared" si="7"/>
        <v>257.64981558368754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15.624667992682392</v>
      </c>
      <c r="C21" s="133">
        <v>18.156715692184058</v>
      </c>
      <c r="D21" s="133">
        <v>18.893159878893456</v>
      </c>
      <c r="E21" s="133">
        <v>20.460637035904217</v>
      </c>
      <c r="F21" s="133">
        <v>21.239464049907468</v>
      </c>
      <c r="G21" s="133">
        <v>21.632025898618153</v>
      </c>
      <c r="H21" s="133">
        <v>21.84364252900269</v>
      </c>
      <c r="I21" s="133">
        <v>21.618161029579515</v>
      </c>
      <c r="J21" s="133">
        <v>20.432623083548247</v>
      </c>
      <c r="K21" s="133">
        <v>18.418937772184517</v>
      </c>
      <c r="L21" s="133">
        <v>12.880249960898407</v>
      </c>
      <c r="M21" s="133">
        <v>9.0716227104944203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66.327074560167134</v>
      </c>
      <c r="C22" s="133">
        <v>65.292368937177457</v>
      </c>
      <c r="D22" s="133">
        <v>64.426770761226379</v>
      </c>
      <c r="E22" s="133">
        <v>63.881250008909888</v>
      </c>
      <c r="F22" s="133">
        <v>62.897559319043211</v>
      </c>
      <c r="G22" s="133">
        <v>58.842581984071138</v>
      </c>
      <c r="H22" s="133">
        <v>54.534779330312567</v>
      </c>
      <c r="I22" s="133">
        <v>51.956501191400832</v>
      </c>
      <c r="J22" s="133">
        <v>46.556200960245725</v>
      </c>
      <c r="K22" s="133">
        <v>44.590305996624693</v>
      </c>
      <c r="L22" s="133">
        <v>37.573137177458392</v>
      </c>
      <c r="M22" s="133">
        <v>35.211789085190624</v>
      </c>
      <c r="N22" s="133">
        <v>29.452910633863624</v>
      </c>
      <c r="O22" s="133">
        <v>28.065923111994575</v>
      </c>
      <c r="P22" s="133">
        <v>26.125006843145957</v>
      </c>
      <c r="Q22" s="133">
        <v>24.588129051235629</v>
      </c>
      <c r="R22" s="133">
        <v>23.818851163881462</v>
      </c>
      <c r="S22" s="133">
        <v>23.76764165070454</v>
      </c>
      <c r="T22" s="133">
        <v>22.684224639982261</v>
      </c>
      <c r="U22" s="133">
        <v>21.60098223909506</v>
      </c>
      <c r="V22" s="133">
        <v>18.96412078350275</v>
      </c>
      <c r="W22" s="133">
        <v>20.227394382013635</v>
      </c>
      <c r="DA22" s="157" t="s">
        <v>289</v>
      </c>
    </row>
    <row r="23" spans="1:105" ht="12" customHeight="1" x14ac:dyDescent="0.25">
      <c r="A23" s="132" t="s">
        <v>153</v>
      </c>
      <c r="B23" s="133">
        <v>25.050595783582192</v>
      </c>
      <c r="C23" s="133">
        <v>25.197965172495866</v>
      </c>
      <c r="D23" s="133">
        <v>25.545206558183935</v>
      </c>
      <c r="E23" s="133">
        <v>25.871573531725954</v>
      </c>
      <c r="F23" s="133">
        <v>26.411671154799286</v>
      </c>
      <c r="G23" s="133">
        <v>26.916614527034572</v>
      </c>
      <c r="H23" s="133">
        <v>27.538639550837253</v>
      </c>
      <c r="I23" s="133">
        <v>27.888384353199218</v>
      </c>
      <c r="J23" s="133">
        <v>28.268702937469392</v>
      </c>
      <c r="K23" s="133">
        <v>28.444598891233994</v>
      </c>
      <c r="L23" s="133">
        <v>28.613263538378433</v>
      </c>
      <c r="M23" s="133">
        <v>28.723978445091042</v>
      </c>
      <c r="N23" s="133">
        <v>29.061023945653965</v>
      </c>
      <c r="O23" s="133">
        <v>29.662421921376527</v>
      </c>
      <c r="P23" s="133">
        <v>29.888710699488108</v>
      </c>
      <c r="Q23" s="133">
        <v>30.505700373611369</v>
      </c>
      <c r="R23" s="133">
        <v>30.47753051507209</v>
      </c>
      <c r="S23" s="133">
        <v>30.118514222092056</v>
      </c>
      <c r="T23" s="133">
        <v>29.854383611514667</v>
      </c>
      <c r="U23" s="133">
        <v>29.171362813816167</v>
      </c>
      <c r="V23" s="133">
        <v>27.583865780716231</v>
      </c>
      <c r="W23" s="133">
        <v>28.771208173626011</v>
      </c>
      <c r="DA23" s="157" t="s">
        <v>290</v>
      </c>
    </row>
    <row r="24" spans="1:105" ht="12" customHeight="1" x14ac:dyDescent="0.25">
      <c r="A24" s="132" t="s">
        <v>128</v>
      </c>
      <c r="B24" s="133">
        <v>7.5518841028036601</v>
      </c>
      <c r="C24" s="133">
        <v>7.4605316637300776</v>
      </c>
      <c r="D24" s="133">
        <v>7.425299368514783</v>
      </c>
      <c r="E24" s="133">
        <v>7.3867108750286308</v>
      </c>
      <c r="F24" s="133">
        <v>7.3810594141351222</v>
      </c>
      <c r="G24" s="133">
        <v>7.3197168326422188</v>
      </c>
      <c r="H24" s="133">
        <v>7.3033945340181337</v>
      </c>
      <c r="I24" s="133">
        <v>7.1649575949631643</v>
      </c>
      <c r="J24" s="133">
        <v>7.1270533149297215</v>
      </c>
      <c r="K24" s="133">
        <v>7.0460643291524603</v>
      </c>
      <c r="L24" s="133">
        <v>7.0360509732480949</v>
      </c>
      <c r="M24" s="133">
        <v>7.0435183009175439</v>
      </c>
      <c r="N24" s="133">
        <v>7.019824275996184</v>
      </c>
      <c r="O24" s="133">
        <v>7.0197633883309258</v>
      </c>
      <c r="P24" s="133">
        <v>7.207900835156817</v>
      </c>
      <c r="Q24" s="133">
        <v>7.3808566299069938</v>
      </c>
      <c r="R24" s="133">
        <v>7.3379186608086489</v>
      </c>
      <c r="S24" s="133">
        <v>7.3457995985988989</v>
      </c>
      <c r="T24" s="133">
        <v>7.3057828395336548</v>
      </c>
      <c r="U24" s="133">
        <v>7.3648543544176874</v>
      </c>
      <c r="V24" s="133">
        <v>6.7827974067943799</v>
      </c>
      <c r="W24" s="133">
        <v>7.2558926531436141</v>
      </c>
      <c r="DA24" s="157" t="s">
        <v>291</v>
      </c>
    </row>
    <row r="25" spans="1:105" ht="12" customHeight="1" x14ac:dyDescent="0.25">
      <c r="A25" s="132" t="s">
        <v>169</v>
      </c>
      <c r="B25" s="133">
        <v>57.018817328223307</v>
      </c>
      <c r="C25" s="133">
        <v>56.900967664161072</v>
      </c>
      <c r="D25" s="133">
        <v>57.365283560890674</v>
      </c>
      <c r="E25" s="133">
        <v>55.890038595285304</v>
      </c>
      <c r="F25" s="133">
        <v>55.379154627214525</v>
      </c>
      <c r="G25" s="133">
        <v>55.415205145291431</v>
      </c>
      <c r="H25" s="133">
        <v>63.877499049642395</v>
      </c>
      <c r="I25" s="133">
        <v>73.233660796126159</v>
      </c>
      <c r="J25" s="133">
        <v>79.901986300636281</v>
      </c>
      <c r="K25" s="133">
        <v>91.722667001484808</v>
      </c>
      <c r="L25" s="133">
        <v>98.612439912009592</v>
      </c>
      <c r="M25" s="133">
        <v>100.88773581581047</v>
      </c>
      <c r="N25" s="133">
        <v>104.78223858773335</v>
      </c>
      <c r="O25" s="133">
        <v>105.72856722031193</v>
      </c>
      <c r="P25" s="133">
        <v>107.92697263499682</v>
      </c>
      <c r="Q25" s="133">
        <v>108.09527931211819</v>
      </c>
      <c r="R25" s="133">
        <v>107.52971673545827</v>
      </c>
      <c r="S25" s="133">
        <v>105.78920587725983</v>
      </c>
      <c r="T25" s="133">
        <v>106.36335324817004</v>
      </c>
      <c r="U25" s="133">
        <v>107.22251783339767</v>
      </c>
      <c r="V25" s="133">
        <v>103.25335844733505</v>
      </c>
      <c r="W25" s="133">
        <v>106.40510233635823</v>
      </c>
      <c r="DA25" s="157" t="s">
        <v>292</v>
      </c>
    </row>
    <row r="26" spans="1:105" ht="12" customHeight="1" x14ac:dyDescent="0.25">
      <c r="A26" s="132" t="s">
        <v>24</v>
      </c>
      <c r="B26" s="65">
        <v>54.141347994003674</v>
      </c>
      <c r="C26" s="65">
        <v>55.440964625303849</v>
      </c>
      <c r="D26" s="65">
        <v>55.750427091827071</v>
      </c>
      <c r="E26" s="65">
        <v>52.855699155094676</v>
      </c>
      <c r="F26" s="65">
        <v>53.89130349948281</v>
      </c>
      <c r="G26" s="65">
        <v>68.985307271564096</v>
      </c>
      <c r="H26" s="65">
        <v>75.535835970405714</v>
      </c>
      <c r="I26" s="65">
        <v>68.872319649063897</v>
      </c>
      <c r="J26" s="65">
        <v>56.053542783964851</v>
      </c>
      <c r="K26" s="65">
        <v>73.622943585619737</v>
      </c>
      <c r="L26" s="65">
        <v>39.056923968965478</v>
      </c>
      <c r="M26" s="65">
        <v>37.016809887006104</v>
      </c>
      <c r="N26" s="65">
        <v>37.989982530015411</v>
      </c>
      <c r="O26" s="65">
        <v>48.482141640765249</v>
      </c>
      <c r="P26" s="65">
        <v>47.384888745374667</v>
      </c>
      <c r="Q26" s="65">
        <v>55.582523472898679</v>
      </c>
      <c r="R26" s="65">
        <v>62.703952116879108</v>
      </c>
      <c r="S26" s="65">
        <v>55.84546759767494</v>
      </c>
      <c r="T26" s="65">
        <v>43.993161798743834</v>
      </c>
      <c r="U26" s="65">
        <v>44.041522522146366</v>
      </c>
      <c r="V26" s="65">
        <v>36.961293979259317</v>
      </c>
      <c r="W26" s="65">
        <v>42.34662388549355</v>
      </c>
      <c r="DA26" s="109" t="s">
        <v>293</v>
      </c>
    </row>
    <row r="27" spans="1:105" ht="12" customHeight="1" x14ac:dyDescent="0.25">
      <c r="A27" s="145" t="s">
        <v>26</v>
      </c>
      <c r="B27" s="146">
        <v>25.914789337919174</v>
      </c>
      <c r="C27" s="146">
        <v>27.037317282889081</v>
      </c>
      <c r="D27" s="146">
        <v>27.467239896818572</v>
      </c>
      <c r="E27" s="146">
        <v>33.008512467755807</v>
      </c>
      <c r="F27" s="146">
        <v>34.489337919174559</v>
      </c>
      <c r="G27" s="146">
        <v>31.959759243336208</v>
      </c>
      <c r="H27" s="146">
        <v>24.411349957007744</v>
      </c>
      <c r="I27" s="146">
        <v>29.295012897678433</v>
      </c>
      <c r="J27" s="146">
        <v>39.083748925193476</v>
      </c>
      <c r="K27" s="146">
        <v>21.728374892519348</v>
      </c>
      <c r="L27" s="146">
        <v>50.497506448839189</v>
      </c>
      <c r="M27" s="146">
        <v>58.123301805675027</v>
      </c>
      <c r="N27" s="146">
        <v>61.560619088564074</v>
      </c>
      <c r="O27" s="146">
        <v>53.663198624247642</v>
      </c>
      <c r="P27" s="146">
        <v>60.241960447119567</v>
      </c>
      <c r="Q27" s="146">
        <v>51.827085124677609</v>
      </c>
      <c r="R27" s="146">
        <v>48.256835769561476</v>
      </c>
      <c r="S27" s="146">
        <v>56.826053310404042</v>
      </c>
      <c r="T27" s="146">
        <v>66.25159071367159</v>
      </c>
      <c r="U27" s="146">
        <v>62.465176268271691</v>
      </c>
      <c r="V27" s="146">
        <v>68.423129836629386</v>
      </c>
      <c r="W27" s="146">
        <v>52.643594153052476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197.02165440613737</v>
      </c>
      <c r="C29" s="131">
        <f t="shared" si="8"/>
        <v>206.73810865967317</v>
      </c>
      <c r="D29" s="131">
        <f t="shared" si="8"/>
        <v>225.24795713448924</v>
      </c>
      <c r="E29" s="131">
        <f t="shared" si="8"/>
        <v>237.08283242311148</v>
      </c>
      <c r="F29" s="131">
        <f t="shared" si="8"/>
        <v>245.71244770905523</v>
      </c>
      <c r="G29" s="131">
        <f t="shared" si="8"/>
        <v>244.4183820027614</v>
      </c>
      <c r="H29" s="131">
        <f t="shared" si="8"/>
        <v>246.76592710985096</v>
      </c>
      <c r="I29" s="131">
        <f t="shared" si="8"/>
        <v>244.13928598119358</v>
      </c>
      <c r="J29" s="131">
        <f t="shared" si="8"/>
        <v>243.40677579649184</v>
      </c>
      <c r="K29" s="131">
        <f t="shared" si="8"/>
        <v>248.73542385133089</v>
      </c>
      <c r="L29" s="131">
        <f t="shared" si="8"/>
        <v>256.51577434685566</v>
      </c>
      <c r="M29" s="131">
        <f t="shared" si="8"/>
        <v>256.96174253876569</v>
      </c>
      <c r="N29" s="131">
        <f t="shared" si="8"/>
        <v>250.11688323395401</v>
      </c>
      <c r="O29" s="131">
        <f t="shared" si="8"/>
        <v>250.22833954462359</v>
      </c>
      <c r="P29" s="131">
        <f t="shared" si="8"/>
        <v>253.04178875883906</v>
      </c>
      <c r="Q29" s="131">
        <f t="shared" si="8"/>
        <v>254.53436116394556</v>
      </c>
      <c r="R29" s="131">
        <f t="shared" ref="R29:W29" si="9">SUM(R30:R33)</f>
        <v>257.68234724912634</v>
      </c>
      <c r="S29" s="131">
        <f t="shared" si="9"/>
        <v>260.11907599578365</v>
      </c>
      <c r="T29" s="131">
        <f t="shared" si="9"/>
        <v>261.18650540554256</v>
      </c>
      <c r="U29" s="131">
        <f t="shared" si="9"/>
        <v>263.23107836662007</v>
      </c>
      <c r="V29" s="131">
        <f t="shared" si="9"/>
        <v>252.56320970884047</v>
      </c>
      <c r="W29" s="131">
        <f t="shared" si="9"/>
        <v>261.17020644920871</v>
      </c>
      <c r="DA29" s="156" t="s">
        <v>216</v>
      </c>
    </row>
    <row r="30" spans="1:105" ht="12" customHeight="1" x14ac:dyDescent="0.25">
      <c r="A30" s="132" t="s">
        <v>52</v>
      </c>
      <c r="B30" s="133">
        <v>10.743947656500749</v>
      </c>
      <c r="C30" s="133">
        <v>18.100120077377419</v>
      </c>
      <c r="D30" s="133">
        <v>49.225670731596644</v>
      </c>
      <c r="E30" s="133">
        <v>60.842544391438864</v>
      </c>
      <c r="F30" s="133">
        <v>74.34669244192402</v>
      </c>
      <c r="G30" s="133">
        <v>54.373219157271791</v>
      </c>
      <c r="H30" s="133">
        <v>53.903391004961172</v>
      </c>
      <c r="I30" s="133">
        <v>35.601701395184016</v>
      </c>
      <c r="J30" s="133">
        <v>26.061787922470661</v>
      </c>
      <c r="K30" s="133">
        <v>32.667992580351999</v>
      </c>
      <c r="L30" s="133">
        <v>53.341160185275236</v>
      </c>
      <c r="M30" s="133">
        <v>45.508084942128036</v>
      </c>
      <c r="N30" s="133">
        <v>4.1341358555459982</v>
      </c>
      <c r="O30" s="133">
        <v>3.9882201203783305</v>
      </c>
      <c r="P30" s="133">
        <v>3.1978503869303512</v>
      </c>
      <c r="Q30" s="133">
        <v>3.436887360275152</v>
      </c>
      <c r="R30" s="133">
        <v>2.9609630266552012</v>
      </c>
      <c r="S30" s="133">
        <v>7.5875322441960389</v>
      </c>
      <c r="T30" s="133">
        <v>6.8902837489251958</v>
      </c>
      <c r="U30" s="133">
        <v>7.5941530524505572</v>
      </c>
      <c r="V30" s="133">
        <v>7.3958727429062776</v>
      </c>
      <c r="W30" s="133">
        <v>8.5139294926913198</v>
      </c>
      <c r="DA30" s="157" t="s">
        <v>295</v>
      </c>
    </row>
    <row r="31" spans="1:105" ht="12" customHeight="1" x14ac:dyDescent="0.25">
      <c r="A31" s="132" t="s">
        <v>153</v>
      </c>
      <c r="B31" s="133">
        <v>56.355126746548009</v>
      </c>
      <c r="C31" s="133">
        <v>63.678511402935463</v>
      </c>
      <c r="D31" s="133">
        <v>69.767924961743901</v>
      </c>
      <c r="E31" s="133">
        <v>74.098851531294855</v>
      </c>
      <c r="F31" s="133">
        <v>79.615629567849581</v>
      </c>
      <c r="G31" s="133">
        <v>82.344682357619917</v>
      </c>
      <c r="H31" s="133">
        <v>84.075797641622131</v>
      </c>
      <c r="I31" s="133">
        <v>85.266833952755334</v>
      </c>
      <c r="J31" s="133">
        <v>87.332794201272094</v>
      </c>
      <c r="K31" s="133">
        <v>91.066423034875115</v>
      </c>
      <c r="L31" s="133">
        <v>93.218054619844878</v>
      </c>
      <c r="M31" s="133">
        <v>94.094391895244172</v>
      </c>
      <c r="N31" s="133">
        <v>94.536812039883586</v>
      </c>
      <c r="O31" s="133">
        <v>95.289967658338497</v>
      </c>
      <c r="P31" s="133">
        <v>96.873972590582383</v>
      </c>
      <c r="Q31" s="133">
        <v>97.755995545011075</v>
      </c>
      <c r="R31" s="133">
        <v>98.064311208709142</v>
      </c>
      <c r="S31" s="133">
        <v>98.618907397433148</v>
      </c>
      <c r="T31" s="133">
        <v>99.582514534089142</v>
      </c>
      <c r="U31" s="133">
        <v>102.92301729944771</v>
      </c>
      <c r="V31" s="133">
        <v>95.566579919275469</v>
      </c>
      <c r="W31" s="133">
        <v>96.82353538187968</v>
      </c>
      <c r="DA31" s="157" t="s">
        <v>296</v>
      </c>
    </row>
    <row r="32" spans="1:105" ht="12" customHeight="1" x14ac:dyDescent="0.25">
      <c r="A32" s="132" t="s">
        <v>128</v>
      </c>
      <c r="B32" s="133">
        <v>4.1463647654533293</v>
      </c>
      <c r="C32" s="133">
        <v>4.1489279999999988</v>
      </c>
      <c r="D32" s="133">
        <v>4.4377199999999988</v>
      </c>
      <c r="E32" s="133">
        <v>4.4003700000000014</v>
      </c>
      <c r="F32" s="133">
        <v>4.4426199999999998</v>
      </c>
      <c r="G32" s="133">
        <v>4.2574459479245688</v>
      </c>
      <c r="H32" s="133">
        <v>4.0700549999999955</v>
      </c>
      <c r="I32" s="133">
        <v>3.8829104999999995</v>
      </c>
      <c r="J32" s="133">
        <v>3.6998599999999997</v>
      </c>
      <c r="K32" s="133">
        <v>3.5560919999999991</v>
      </c>
      <c r="L32" s="133">
        <v>3.7020945375329131</v>
      </c>
      <c r="M32" s="133">
        <v>3.5540302185608108</v>
      </c>
      <c r="N32" s="133">
        <v>3.7021079665891921</v>
      </c>
      <c r="O32" s="133">
        <v>3.7021259709834253</v>
      </c>
      <c r="P32" s="133">
        <v>3.9409572943536859</v>
      </c>
      <c r="Q32" s="133">
        <v>4.299248749664641</v>
      </c>
      <c r="R32" s="133">
        <v>4.4590676551476216</v>
      </c>
      <c r="S32" s="133">
        <v>4.6755369197868948</v>
      </c>
      <c r="T32" s="133">
        <v>5.058776697667124</v>
      </c>
      <c r="U32" s="133">
        <v>5.5894574877210381</v>
      </c>
      <c r="V32" s="133">
        <v>5.9271729085057174</v>
      </c>
      <c r="W32" s="133">
        <v>6.0606647026077445</v>
      </c>
      <c r="DA32" s="157" t="s">
        <v>297</v>
      </c>
    </row>
    <row r="33" spans="1:105" ht="12" customHeight="1" x14ac:dyDescent="0.25">
      <c r="A33" s="62" t="s">
        <v>24</v>
      </c>
      <c r="B33" s="68">
        <v>125.77621523763527</v>
      </c>
      <c r="C33" s="68">
        <v>120.81054917936029</v>
      </c>
      <c r="D33" s="68">
        <v>101.81664144114868</v>
      </c>
      <c r="E33" s="68">
        <v>97.741066500377755</v>
      </c>
      <c r="F33" s="68">
        <v>87.30750569928162</v>
      </c>
      <c r="G33" s="68">
        <v>103.44303453994513</v>
      </c>
      <c r="H33" s="68">
        <v>104.71668346326767</v>
      </c>
      <c r="I33" s="68">
        <v>119.38784013325424</v>
      </c>
      <c r="J33" s="68">
        <v>126.31233367274909</v>
      </c>
      <c r="K33" s="68">
        <v>121.44491623610381</v>
      </c>
      <c r="L33" s="68">
        <v>106.25446500420263</v>
      </c>
      <c r="M33" s="68">
        <v>113.8052354828327</v>
      </c>
      <c r="N33" s="68">
        <v>147.74382737193523</v>
      </c>
      <c r="O33" s="68">
        <v>147.24802579492334</v>
      </c>
      <c r="P33" s="68">
        <v>149.02900848697263</v>
      </c>
      <c r="Q33" s="68">
        <v>149.04222950899469</v>
      </c>
      <c r="R33" s="68">
        <v>152.19800535861438</v>
      </c>
      <c r="S33" s="68">
        <v>149.23709943436759</v>
      </c>
      <c r="T33" s="68">
        <v>149.65493042486108</v>
      </c>
      <c r="U33" s="68">
        <v>147.12445052700076</v>
      </c>
      <c r="V33" s="68">
        <v>143.67358413815302</v>
      </c>
      <c r="W33" s="68">
        <v>149.77207687202997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1375.4355910190036</v>
      </c>
      <c r="C3" s="126">
        <f t="shared" si="0"/>
        <v>1601.449503768009</v>
      </c>
      <c r="D3" s="126">
        <f t="shared" si="0"/>
        <v>1575.0291994537545</v>
      </c>
      <c r="E3" s="126">
        <f t="shared" si="0"/>
        <v>1786.7887157269677</v>
      </c>
      <c r="F3" s="126">
        <f t="shared" si="0"/>
        <v>1780.9499940569638</v>
      </c>
      <c r="G3" s="126">
        <f t="shared" si="0"/>
        <v>1742.0214816468804</v>
      </c>
      <c r="H3" s="126">
        <f t="shared" si="0"/>
        <v>1825.0193438317528</v>
      </c>
      <c r="I3" s="126">
        <f t="shared" si="0"/>
        <v>1595.5867385989877</v>
      </c>
      <c r="J3" s="126">
        <f t="shared" si="0"/>
        <v>1780.8603926218234</v>
      </c>
      <c r="K3" s="126">
        <f t="shared" si="0"/>
        <v>1573.7493987450707</v>
      </c>
      <c r="L3" s="126">
        <f t="shared" si="0"/>
        <v>1610.666610960604</v>
      </c>
      <c r="M3" s="126">
        <f t="shared" si="0"/>
        <v>1572.6831918240798</v>
      </c>
      <c r="N3" s="126">
        <f t="shared" si="0"/>
        <v>1604.226404511719</v>
      </c>
      <c r="O3" s="126">
        <f t="shared" si="0"/>
        <v>1614.9870426703403</v>
      </c>
      <c r="P3" s="126">
        <f t="shared" si="0"/>
        <v>1500.9421519084945</v>
      </c>
      <c r="Q3" s="126">
        <f t="shared" si="0"/>
        <v>1547.2158485768691</v>
      </c>
      <c r="R3" s="126">
        <f t="shared" ref="R3:W3" si="1">SUM(R4,R16,R19,R29)</f>
        <v>1520.6944640024922</v>
      </c>
      <c r="S3" s="126">
        <f t="shared" si="1"/>
        <v>1688.6130866929536</v>
      </c>
      <c r="T3" s="126">
        <f t="shared" si="1"/>
        <v>1650.282065266467</v>
      </c>
      <c r="U3" s="126">
        <f t="shared" si="1"/>
        <v>1727.7348680268094</v>
      </c>
      <c r="V3" s="126">
        <f t="shared" si="1"/>
        <v>1589.7731630792537</v>
      </c>
      <c r="W3" s="126">
        <f t="shared" si="1"/>
        <v>1741.6773259657075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1022.0081115346519</v>
      </c>
      <c r="C4" s="131">
        <f t="shared" si="2"/>
        <v>1238.0908310401092</v>
      </c>
      <c r="D4" s="131">
        <f t="shared" si="2"/>
        <v>1199.4160796138929</v>
      </c>
      <c r="E4" s="131">
        <f t="shared" si="2"/>
        <v>1394.8586330085679</v>
      </c>
      <c r="F4" s="131">
        <f t="shared" si="2"/>
        <v>1385.8277391534546</v>
      </c>
      <c r="G4" s="131">
        <f t="shared" si="2"/>
        <v>1333.6633121450784</v>
      </c>
      <c r="H4" s="131">
        <f t="shared" si="2"/>
        <v>1405.6929657239536</v>
      </c>
      <c r="I4" s="131">
        <f t="shared" si="2"/>
        <v>1163.5694458924386</v>
      </c>
      <c r="J4" s="131">
        <f t="shared" si="2"/>
        <v>1343.4800730434279</v>
      </c>
      <c r="K4" s="131">
        <f t="shared" si="2"/>
        <v>1126.4003203609946</v>
      </c>
      <c r="L4" s="131">
        <f t="shared" si="2"/>
        <v>1153.3315070446261</v>
      </c>
      <c r="M4" s="131">
        <f t="shared" si="2"/>
        <v>1107.5907443066217</v>
      </c>
      <c r="N4" s="131">
        <f t="shared" si="2"/>
        <v>1132.0481664402082</v>
      </c>
      <c r="O4" s="131">
        <f t="shared" si="2"/>
        <v>1134.2171711463775</v>
      </c>
      <c r="P4" s="131">
        <f t="shared" si="2"/>
        <v>1018.3467444142831</v>
      </c>
      <c r="Q4" s="131">
        <f t="shared" si="2"/>
        <v>1050.9594281505531</v>
      </c>
      <c r="R4" s="131">
        <f t="shared" ref="R4:W4" si="3">SUM(R5:R15)</f>
        <v>1026.4450469194928</v>
      </c>
      <c r="S4" s="131">
        <f t="shared" si="3"/>
        <v>1183.8560900574441</v>
      </c>
      <c r="T4" s="131">
        <f t="shared" si="3"/>
        <v>1142.0960945403829</v>
      </c>
      <c r="U4" s="131">
        <f t="shared" si="3"/>
        <v>1215.7031114425736</v>
      </c>
      <c r="V4" s="131">
        <f t="shared" si="3"/>
        <v>1094.3265696449305</v>
      </c>
      <c r="W4" s="131">
        <f t="shared" si="3"/>
        <v>1236.8085382381</v>
      </c>
      <c r="DA4" s="156" t="s">
        <v>301</v>
      </c>
    </row>
    <row r="5" spans="1:105" ht="12" customHeight="1" x14ac:dyDescent="0.25">
      <c r="A5" s="132" t="s">
        <v>29</v>
      </c>
      <c r="B5" s="133">
        <v>15.400929949573955</v>
      </c>
      <c r="C5" s="133">
        <v>16.431904746295476</v>
      </c>
      <c r="D5" s="133">
        <v>11.452511699767093</v>
      </c>
      <c r="E5" s="133">
        <v>15.971680239941252</v>
      </c>
      <c r="F5" s="133">
        <v>11.4908920819079</v>
      </c>
      <c r="G5" s="133">
        <v>9.5804721237777279</v>
      </c>
      <c r="H5" s="133">
        <v>6.9615211616709916</v>
      </c>
      <c r="I5" s="133">
        <v>5.5116172064682658</v>
      </c>
      <c r="J5" s="133">
        <v>3.3872873463558677</v>
      </c>
      <c r="K5" s="133">
        <v>2.5624492096640061</v>
      </c>
      <c r="L5" s="133">
        <v>2.8655084802897477</v>
      </c>
      <c r="M5" s="133">
        <v>1.9952454609375674</v>
      </c>
      <c r="N5" s="133">
        <v>3.6437071652662009E-2</v>
      </c>
      <c r="O5" s="133">
        <v>0.13408102349654538</v>
      </c>
      <c r="P5" s="133">
        <v>1.4451846843939024E-2</v>
      </c>
      <c r="Q5" s="133">
        <v>9.8816046796164209E-3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169.76361692818853</v>
      </c>
      <c r="C7" s="133">
        <v>236.7629328853518</v>
      </c>
      <c r="D7" s="133">
        <v>239.92814057057578</v>
      </c>
      <c r="E7" s="133">
        <v>303.32388581817406</v>
      </c>
      <c r="F7" s="133">
        <v>220.25366201225546</v>
      </c>
      <c r="G7" s="133">
        <v>285.47641856987258</v>
      </c>
      <c r="H7" s="133">
        <v>291.52543952208691</v>
      </c>
      <c r="I7" s="133">
        <v>201.44972538128232</v>
      </c>
      <c r="J7" s="133">
        <v>237.58494043011814</v>
      </c>
      <c r="K7" s="133">
        <v>185.55849900158012</v>
      </c>
      <c r="L7" s="133">
        <v>86.158980666342444</v>
      </c>
      <c r="M7" s="133">
        <v>84.263862408845469</v>
      </c>
      <c r="N7" s="133">
        <v>70.504905996098017</v>
      </c>
      <c r="O7" s="133">
        <v>73.448792546828003</v>
      </c>
      <c r="P7" s="133">
        <v>82.244936656848651</v>
      </c>
      <c r="Q7" s="133">
        <v>88.873301633956999</v>
      </c>
      <c r="R7" s="133">
        <v>83.518587763551494</v>
      </c>
      <c r="S7" s="133">
        <v>120.11449751133978</v>
      </c>
      <c r="T7" s="133">
        <v>108.98808688974603</v>
      </c>
      <c r="U7" s="133">
        <v>104.45552659140807</v>
      </c>
      <c r="V7" s="133">
        <v>104.94601998559497</v>
      </c>
      <c r="W7" s="133">
        <v>137.22925949214687</v>
      </c>
      <c r="DA7" s="157" t="s">
        <v>304</v>
      </c>
    </row>
    <row r="8" spans="1:105" ht="12" customHeight="1" x14ac:dyDescent="0.25">
      <c r="A8" s="132" t="s">
        <v>73</v>
      </c>
      <c r="B8" s="133">
        <v>3.0305614981940177</v>
      </c>
      <c r="C8" s="133">
        <v>4.0503531872642693</v>
      </c>
      <c r="D8" s="133">
        <v>4.209439606642178</v>
      </c>
      <c r="E8" s="133">
        <v>5.3991560099638258</v>
      </c>
      <c r="F8" s="133">
        <v>5.9732045077536569</v>
      </c>
      <c r="G8" s="133">
        <v>6.0180467108148274</v>
      </c>
      <c r="H8" s="133">
        <v>6.8522064205356576</v>
      </c>
      <c r="I8" s="133">
        <v>5.7193861752133639</v>
      </c>
      <c r="J8" s="133">
        <v>6.671220443495252</v>
      </c>
      <c r="K8" s="133">
        <v>5.554619805090339</v>
      </c>
      <c r="L8" s="133">
        <v>5.3740538392715846</v>
      </c>
      <c r="M8" s="133">
        <v>4.969833534696189</v>
      </c>
      <c r="N8" s="133">
        <v>4.7239021949217808</v>
      </c>
      <c r="O8" s="133">
        <v>4.3471047871875648</v>
      </c>
      <c r="P8" s="133">
        <v>4.2411245987386126</v>
      </c>
      <c r="Q8" s="133">
        <v>4.4961075100941938</v>
      </c>
      <c r="R8" s="133">
        <v>4.9504759690339188</v>
      </c>
      <c r="S8" s="133">
        <v>5.847151316215391</v>
      </c>
      <c r="T8" s="133">
        <v>5.7990817734774565</v>
      </c>
      <c r="U8" s="133">
        <v>6.2230293998621624</v>
      </c>
      <c r="V8" s="133">
        <v>5.4265918830891859</v>
      </c>
      <c r="W8" s="133">
        <v>6.0502178167867289</v>
      </c>
      <c r="DA8" s="157" t="s">
        <v>305</v>
      </c>
    </row>
    <row r="9" spans="1:105" ht="12" customHeight="1" x14ac:dyDescent="0.25">
      <c r="A9" s="132" t="s">
        <v>78</v>
      </c>
      <c r="B9" s="133">
        <v>275.51938106683679</v>
      </c>
      <c r="C9" s="133">
        <v>406.87516181274952</v>
      </c>
      <c r="D9" s="133">
        <v>367.46377181228104</v>
      </c>
      <c r="E9" s="133">
        <v>424.22223391463137</v>
      </c>
      <c r="F9" s="133">
        <v>516.69406146012966</v>
      </c>
      <c r="G9" s="133">
        <v>250.21158835508115</v>
      </c>
      <c r="H9" s="133">
        <v>270.91325813926602</v>
      </c>
      <c r="I9" s="133">
        <v>196.76487866776924</v>
      </c>
      <c r="J9" s="133">
        <v>218.03965607179919</v>
      </c>
      <c r="K9" s="133">
        <v>155.63125996483703</v>
      </c>
      <c r="L9" s="133">
        <v>172.94541547944829</v>
      </c>
      <c r="M9" s="133">
        <v>145.8720806707322</v>
      </c>
      <c r="N9" s="133">
        <v>184.76410762126832</v>
      </c>
      <c r="O9" s="133">
        <v>194.30519555709211</v>
      </c>
      <c r="P9" s="133">
        <v>148.61307617046916</v>
      </c>
      <c r="Q9" s="133">
        <v>166.30940082094372</v>
      </c>
      <c r="R9" s="133">
        <v>153.68288999904536</v>
      </c>
      <c r="S9" s="133">
        <v>169.35924865379522</v>
      </c>
      <c r="T9" s="133">
        <v>156.61987119055675</v>
      </c>
      <c r="U9" s="133">
        <v>173.55850564430503</v>
      </c>
      <c r="V9" s="133">
        <v>169.44157934637153</v>
      </c>
      <c r="W9" s="133">
        <v>195.92912543073405</v>
      </c>
      <c r="DA9" s="157" t="s">
        <v>306</v>
      </c>
    </row>
    <row r="10" spans="1:105" ht="12" customHeight="1" x14ac:dyDescent="0.25">
      <c r="A10" s="132" t="s">
        <v>128</v>
      </c>
      <c r="B10" s="133">
        <v>32.34683703231962</v>
      </c>
      <c r="C10" s="133">
        <v>34.659955527172222</v>
      </c>
      <c r="D10" s="133">
        <v>34.96033437851009</v>
      </c>
      <c r="E10" s="133">
        <v>41.881316560322247</v>
      </c>
      <c r="F10" s="133">
        <v>46.213333620556405</v>
      </c>
      <c r="G10" s="133">
        <v>37.249181759959768</v>
      </c>
      <c r="H10" s="133">
        <v>40.717171494737478</v>
      </c>
      <c r="I10" s="133">
        <v>38.105206802607746</v>
      </c>
      <c r="J10" s="133">
        <v>30.7105164374317</v>
      </c>
      <c r="K10" s="133">
        <v>30.765903943261332</v>
      </c>
      <c r="L10" s="133">
        <v>39.107926292446464</v>
      </c>
      <c r="M10" s="133">
        <v>30.389748948709713</v>
      </c>
      <c r="N10" s="133">
        <v>18.736369520426337</v>
      </c>
      <c r="O10" s="133">
        <v>25.230079134135142</v>
      </c>
      <c r="P10" s="133">
        <v>19.951778925720571</v>
      </c>
      <c r="Q10" s="133">
        <v>28.002626686196379</v>
      </c>
      <c r="R10" s="133">
        <v>19.895909184265701</v>
      </c>
      <c r="S10" s="133">
        <v>37.157234878291867</v>
      </c>
      <c r="T10" s="133">
        <v>38.668362229641104</v>
      </c>
      <c r="U10" s="133">
        <v>43.327274287081217</v>
      </c>
      <c r="V10" s="133">
        <v>41.971555540834906</v>
      </c>
      <c r="W10" s="133">
        <v>48.792094104441887</v>
      </c>
      <c r="DA10" s="157" t="s">
        <v>307</v>
      </c>
    </row>
    <row r="11" spans="1:105" ht="12" customHeight="1" x14ac:dyDescent="0.25">
      <c r="A11" s="132" t="s">
        <v>25</v>
      </c>
      <c r="B11" s="133">
        <v>3.9582214859958151</v>
      </c>
      <c r="C11" s="133">
        <v>3.6782706640190841</v>
      </c>
      <c r="D11" s="133">
        <v>6.0576846803478475</v>
      </c>
      <c r="E11" s="133">
        <v>4.6979980124620093</v>
      </c>
      <c r="F11" s="133">
        <v>4.7249508321125386</v>
      </c>
      <c r="G11" s="133">
        <v>5.3498771984249576</v>
      </c>
      <c r="H11" s="133">
        <v>5.2473136937882039</v>
      </c>
      <c r="I11" s="133">
        <v>4.7670717179060436</v>
      </c>
      <c r="J11" s="133">
        <v>5.1608347309664495</v>
      </c>
      <c r="K11" s="133">
        <v>5.7461247937521804</v>
      </c>
      <c r="L11" s="133">
        <v>6.6137407277123845</v>
      </c>
      <c r="M11" s="133">
        <v>5.7753292278149786</v>
      </c>
      <c r="N11" s="133">
        <v>7.2171598121787541</v>
      </c>
      <c r="O11" s="133">
        <v>6.9063578209588865</v>
      </c>
      <c r="P11" s="133">
        <v>5.6062186789357815</v>
      </c>
      <c r="Q11" s="133">
        <v>6.332804065342037</v>
      </c>
      <c r="R11" s="133">
        <v>6.3385472336340705</v>
      </c>
      <c r="S11" s="133">
        <v>10.916930001488481</v>
      </c>
      <c r="T11" s="133">
        <v>10.060509382830478</v>
      </c>
      <c r="U11" s="133">
        <v>10.143639453727518</v>
      </c>
      <c r="V11" s="133">
        <v>10.526134975996722</v>
      </c>
      <c r="W11" s="133">
        <v>9.1778066634890454</v>
      </c>
      <c r="DA11" s="157" t="s">
        <v>308</v>
      </c>
    </row>
    <row r="12" spans="1:105" ht="12" customHeight="1" x14ac:dyDescent="0.25">
      <c r="A12" s="132" t="s">
        <v>169</v>
      </c>
      <c r="B12" s="133">
        <v>272.07662976566002</v>
      </c>
      <c r="C12" s="133">
        <v>285.44474200120447</v>
      </c>
      <c r="D12" s="133">
        <v>298.81268175508893</v>
      </c>
      <c r="E12" s="133">
        <v>323.96225827545646</v>
      </c>
      <c r="F12" s="133">
        <v>345.92156193991258</v>
      </c>
      <c r="G12" s="133">
        <v>421.28887542716677</v>
      </c>
      <c r="H12" s="133">
        <v>458.6156671766085</v>
      </c>
      <c r="I12" s="133">
        <v>414.49707051548495</v>
      </c>
      <c r="J12" s="133">
        <v>483.79450962208119</v>
      </c>
      <c r="K12" s="133">
        <v>506.19990912838529</v>
      </c>
      <c r="L12" s="133">
        <v>556.08351882434113</v>
      </c>
      <c r="M12" s="133">
        <v>553.18898691106699</v>
      </c>
      <c r="N12" s="133">
        <v>553.90862825171746</v>
      </c>
      <c r="O12" s="133">
        <v>526.78742613591135</v>
      </c>
      <c r="P12" s="133">
        <v>457.97064539138876</v>
      </c>
      <c r="Q12" s="133">
        <v>477.62922785603291</v>
      </c>
      <c r="R12" s="133">
        <v>513.56823856273911</v>
      </c>
      <c r="S12" s="133">
        <v>539.23072832062246</v>
      </c>
      <c r="T12" s="133">
        <v>492.65612778750955</v>
      </c>
      <c r="U12" s="133">
        <v>513.86186703217629</v>
      </c>
      <c r="V12" s="133">
        <v>480.10906648906564</v>
      </c>
      <c r="W12" s="133">
        <v>559.59744217810862</v>
      </c>
      <c r="DA12" s="157" t="s">
        <v>309</v>
      </c>
    </row>
    <row r="13" spans="1:105" ht="12" customHeight="1" x14ac:dyDescent="0.25">
      <c r="A13" s="132" t="s">
        <v>77</v>
      </c>
      <c r="B13" s="133">
        <v>13.938435248946718</v>
      </c>
      <c r="C13" s="133">
        <v>17.564491644959492</v>
      </c>
      <c r="D13" s="133">
        <v>26.597841227871083</v>
      </c>
      <c r="E13" s="133">
        <v>39.865115268190756</v>
      </c>
      <c r="F13" s="133">
        <v>56.444807820101715</v>
      </c>
      <c r="G13" s="133">
        <v>76.416895318848617</v>
      </c>
      <c r="H13" s="133">
        <v>95.378862761315816</v>
      </c>
      <c r="I13" s="133">
        <v>99.51589781289168</v>
      </c>
      <c r="J13" s="133">
        <v>132.24128373670968</v>
      </c>
      <c r="K13" s="133">
        <v>116.31053448505898</v>
      </c>
      <c r="L13" s="133">
        <v>128.6318854912212</v>
      </c>
      <c r="M13" s="133">
        <v>149.47896045517581</v>
      </c>
      <c r="N13" s="133">
        <v>165.42421966584345</v>
      </c>
      <c r="O13" s="133">
        <v>184.44448941699241</v>
      </c>
      <c r="P13" s="133">
        <v>204.36205579787085</v>
      </c>
      <c r="Q13" s="133">
        <v>184.18870140130392</v>
      </c>
      <c r="R13" s="133">
        <v>200.20283905107257</v>
      </c>
      <c r="S13" s="133">
        <v>229.45091847066408</v>
      </c>
      <c r="T13" s="133">
        <v>235.19366046473442</v>
      </c>
      <c r="U13" s="133">
        <v>275.22093650115175</v>
      </c>
      <c r="V13" s="133">
        <v>189.93704944574566</v>
      </c>
      <c r="W13" s="133">
        <v>183.01974376703376</v>
      </c>
      <c r="DA13" s="157" t="s">
        <v>310</v>
      </c>
    </row>
    <row r="14" spans="1:105" ht="12" customHeight="1" x14ac:dyDescent="0.25">
      <c r="A14" s="60" t="s">
        <v>76</v>
      </c>
      <c r="B14" s="65">
        <v>225.19503386546785</v>
      </c>
      <c r="C14" s="65">
        <v>218.08221295202699</v>
      </c>
      <c r="D14" s="65">
        <v>196.34530058808369</v>
      </c>
      <c r="E14" s="65">
        <v>219.71405593825543</v>
      </c>
      <c r="F14" s="65">
        <v>162.29582782060081</v>
      </c>
      <c r="G14" s="65">
        <v>229.93755522557896</v>
      </c>
      <c r="H14" s="65">
        <v>216.88439127740267</v>
      </c>
      <c r="I14" s="65">
        <v>187.96312968027496</v>
      </c>
      <c r="J14" s="65">
        <v>215.52320963096412</v>
      </c>
      <c r="K14" s="65">
        <v>109.71408452895179</v>
      </c>
      <c r="L14" s="65">
        <v>148.39420498899057</v>
      </c>
      <c r="M14" s="65">
        <v>125.15515096151421</v>
      </c>
      <c r="N14" s="65">
        <v>119.9738830737368</v>
      </c>
      <c r="O14" s="65">
        <v>111.76577926442803</v>
      </c>
      <c r="P14" s="65">
        <v>89.483343546774123</v>
      </c>
      <c r="Q14" s="65">
        <v>88.770243240263582</v>
      </c>
      <c r="R14" s="65">
        <v>38.198561051538142</v>
      </c>
      <c r="S14" s="65">
        <v>64.630502577814596</v>
      </c>
      <c r="T14" s="65">
        <v>87.553537708181565</v>
      </c>
      <c r="U14" s="65">
        <v>82.05998944197232</v>
      </c>
      <c r="V14" s="65">
        <v>85.323357318896385</v>
      </c>
      <c r="W14" s="65">
        <v>89.070275908877363</v>
      </c>
      <c r="DA14" s="109" t="s">
        <v>311</v>
      </c>
    </row>
    <row r="15" spans="1:105" ht="12" customHeight="1" x14ac:dyDescent="0.25">
      <c r="A15" s="134" t="s">
        <v>80</v>
      </c>
      <c r="B15" s="135">
        <v>10.77846469346869</v>
      </c>
      <c r="C15" s="135">
        <v>14.540805619065951</v>
      </c>
      <c r="D15" s="135">
        <v>13.58837329472518</v>
      </c>
      <c r="E15" s="135">
        <v>15.820932971170631</v>
      </c>
      <c r="F15" s="135">
        <v>15.815437058123649</v>
      </c>
      <c r="G15" s="135">
        <v>12.134401455552897</v>
      </c>
      <c r="H15" s="135">
        <v>12.597134076541323</v>
      </c>
      <c r="I15" s="135">
        <v>9.2754619325402157</v>
      </c>
      <c r="J15" s="135">
        <v>10.366614593506345</v>
      </c>
      <c r="K15" s="135">
        <v>8.3569355004134795</v>
      </c>
      <c r="L15" s="135">
        <v>7.1562722545621913</v>
      </c>
      <c r="M15" s="135">
        <v>6.50154572712853</v>
      </c>
      <c r="N15" s="135">
        <v>6.7585532323647417</v>
      </c>
      <c r="O15" s="135">
        <v>6.8478654593472923</v>
      </c>
      <c r="P15" s="135">
        <v>5.8591128006925901</v>
      </c>
      <c r="Q15" s="135">
        <v>6.3471333317398253</v>
      </c>
      <c r="R15" s="135">
        <v>6.0889981046124699</v>
      </c>
      <c r="S15" s="135">
        <v>7.1488783272121825</v>
      </c>
      <c r="T15" s="135">
        <v>6.556857113705453</v>
      </c>
      <c r="U15" s="135">
        <v>6.8523430908892005</v>
      </c>
      <c r="V15" s="135">
        <v>6.6452146593354531</v>
      </c>
      <c r="W15" s="135">
        <v>7.9425728764815204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36.018233955896882</v>
      </c>
      <c r="C16" s="131">
        <f t="shared" si="4"/>
        <v>37.380239729853685</v>
      </c>
      <c r="D16" s="131">
        <f t="shared" si="4"/>
        <v>40.016354493168123</v>
      </c>
      <c r="E16" s="131">
        <f t="shared" si="4"/>
        <v>46.171278214497811</v>
      </c>
      <c r="F16" s="131">
        <f t="shared" si="4"/>
        <v>43.032165265585952</v>
      </c>
      <c r="G16" s="131">
        <f t="shared" si="4"/>
        <v>46.203185849049866</v>
      </c>
      <c r="H16" s="131">
        <f t="shared" si="4"/>
        <v>51.195119103433171</v>
      </c>
      <c r="I16" s="131">
        <f t="shared" si="4"/>
        <v>54.661940884461892</v>
      </c>
      <c r="J16" s="131">
        <f t="shared" si="4"/>
        <v>55.149874207584837</v>
      </c>
      <c r="K16" s="131">
        <f t="shared" si="4"/>
        <v>57.303365862269196</v>
      </c>
      <c r="L16" s="131">
        <f t="shared" si="4"/>
        <v>62.155719712118056</v>
      </c>
      <c r="M16" s="131">
        <f t="shared" si="4"/>
        <v>62.488489153977504</v>
      </c>
      <c r="N16" s="131">
        <f t="shared" si="4"/>
        <v>66.524922553093646</v>
      </c>
      <c r="O16" s="131">
        <f t="shared" si="4"/>
        <v>72.30741950708267</v>
      </c>
      <c r="P16" s="131">
        <f t="shared" si="4"/>
        <v>64.627933796459033</v>
      </c>
      <c r="Q16" s="131">
        <f t="shared" si="4"/>
        <v>77.383196932472814</v>
      </c>
      <c r="R16" s="131">
        <f t="shared" ref="R16:W16" si="5">SUM(R17:R18)</f>
        <v>69.421864189049117</v>
      </c>
      <c r="S16" s="131">
        <f t="shared" si="5"/>
        <v>75.720151264951866</v>
      </c>
      <c r="T16" s="131">
        <f t="shared" si="5"/>
        <v>76.430578864540678</v>
      </c>
      <c r="U16" s="131">
        <f t="shared" si="5"/>
        <v>80.540169122990974</v>
      </c>
      <c r="V16" s="131">
        <f t="shared" si="5"/>
        <v>75.558434162034558</v>
      </c>
      <c r="W16" s="131">
        <f t="shared" si="5"/>
        <v>79.757358280282872</v>
      </c>
      <c r="DA16" s="156" t="s">
        <v>313</v>
      </c>
    </row>
    <row r="17" spans="1:105" ht="12.95" customHeight="1" x14ac:dyDescent="0.25">
      <c r="A17" s="132" t="s">
        <v>73</v>
      </c>
      <c r="B17" s="133">
        <v>4.9506546296808271E-2</v>
      </c>
      <c r="C17" s="133">
        <v>5.3602180601921248E-2</v>
      </c>
      <c r="D17" s="133">
        <v>6.4804899326195153E-2</v>
      </c>
      <c r="E17" s="133">
        <v>7.475002416285377E-2</v>
      </c>
      <c r="F17" s="133">
        <v>8.6259338016296955E-2</v>
      </c>
      <c r="G17" s="133">
        <v>0.10125839578148907</v>
      </c>
      <c r="H17" s="133">
        <v>0.11903834759851738</v>
      </c>
      <c r="I17" s="133">
        <v>0.14838828714556859</v>
      </c>
      <c r="J17" s="133">
        <v>0.16854481530594576</v>
      </c>
      <c r="K17" s="133">
        <v>0.20255835897391153</v>
      </c>
      <c r="L17" s="133">
        <v>0.22924146046080351</v>
      </c>
      <c r="M17" s="133">
        <v>0.26268223237155486</v>
      </c>
      <c r="N17" s="133">
        <v>0.28952982434972269</v>
      </c>
      <c r="O17" s="133">
        <v>0.34630731834488304</v>
      </c>
      <c r="P17" s="133">
        <v>0.34437552279231909</v>
      </c>
      <c r="Q17" s="133">
        <v>0.47982054235104904</v>
      </c>
      <c r="R17" s="133">
        <v>0.43439452508045345</v>
      </c>
      <c r="S17" s="133">
        <v>0.52456337535125086</v>
      </c>
      <c r="T17" s="133">
        <v>0.56005719330577119</v>
      </c>
      <c r="U17" s="133">
        <v>0.65253535218592207</v>
      </c>
      <c r="V17" s="133">
        <v>0.61918020752442005</v>
      </c>
      <c r="W17" s="133">
        <v>0.67650786330317025</v>
      </c>
      <c r="DA17" s="157" t="s">
        <v>314</v>
      </c>
    </row>
    <row r="18" spans="1:105" ht="12" customHeight="1" x14ac:dyDescent="0.25">
      <c r="A18" s="132" t="s">
        <v>72</v>
      </c>
      <c r="B18" s="133">
        <v>35.968727409600071</v>
      </c>
      <c r="C18" s="133">
        <v>37.326637549251764</v>
      </c>
      <c r="D18" s="133">
        <v>39.951549593841925</v>
      </c>
      <c r="E18" s="133">
        <v>46.096528190334958</v>
      </c>
      <c r="F18" s="133">
        <v>42.945905927569655</v>
      </c>
      <c r="G18" s="133">
        <v>46.101927453268374</v>
      </c>
      <c r="H18" s="133">
        <v>51.076080755834653</v>
      </c>
      <c r="I18" s="133">
        <v>54.51355259731632</v>
      </c>
      <c r="J18" s="133">
        <v>54.981329392278894</v>
      </c>
      <c r="K18" s="133">
        <v>57.100807503295286</v>
      </c>
      <c r="L18" s="133">
        <v>61.926478251657251</v>
      </c>
      <c r="M18" s="133">
        <v>62.225806921605951</v>
      </c>
      <c r="N18" s="133">
        <v>66.235392728743918</v>
      </c>
      <c r="O18" s="133">
        <v>71.961112188737786</v>
      </c>
      <c r="P18" s="133">
        <v>64.283558273666713</v>
      </c>
      <c r="Q18" s="133">
        <v>76.903376390121764</v>
      </c>
      <c r="R18" s="133">
        <v>68.987469663968668</v>
      </c>
      <c r="S18" s="133">
        <v>75.195587889600617</v>
      </c>
      <c r="T18" s="133">
        <v>75.870521671234911</v>
      </c>
      <c r="U18" s="133">
        <v>79.887633770805053</v>
      </c>
      <c r="V18" s="133">
        <v>74.939253954510136</v>
      </c>
      <c r="W18" s="133">
        <v>79.0808504169797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175.7185283349238</v>
      </c>
      <c r="C19" s="131">
        <f t="shared" si="6"/>
        <v>179.13762905359908</v>
      </c>
      <c r="D19" s="131">
        <f t="shared" si="6"/>
        <v>180.9507849202372</v>
      </c>
      <c r="E19" s="131">
        <f t="shared" si="6"/>
        <v>184.48900181904014</v>
      </c>
      <c r="F19" s="131">
        <f t="shared" si="6"/>
        <v>187.23159247444369</v>
      </c>
      <c r="G19" s="131">
        <f t="shared" si="6"/>
        <v>194.67643507995186</v>
      </c>
      <c r="H19" s="131">
        <f t="shared" si="6"/>
        <v>198.56954372319819</v>
      </c>
      <c r="I19" s="131">
        <f t="shared" si="6"/>
        <v>206.06762134032209</v>
      </c>
      <c r="J19" s="131">
        <f t="shared" si="6"/>
        <v>209.59937257630878</v>
      </c>
      <c r="K19" s="131">
        <f t="shared" si="6"/>
        <v>214.70593822316732</v>
      </c>
      <c r="L19" s="131">
        <f t="shared" si="6"/>
        <v>217.81257376705094</v>
      </c>
      <c r="M19" s="131">
        <f t="shared" si="6"/>
        <v>223.33510989906739</v>
      </c>
      <c r="N19" s="131">
        <f t="shared" si="6"/>
        <v>223.48088395152624</v>
      </c>
      <c r="O19" s="131">
        <f t="shared" si="6"/>
        <v>226.03571244634674</v>
      </c>
      <c r="P19" s="131">
        <f t="shared" si="6"/>
        <v>233.17205746934351</v>
      </c>
      <c r="Q19" s="131">
        <f t="shared" si="6"/>
        <v>232.81086695058141</v>
      </c>
      <c r="R19" s="131">
        <f t="shared" ref="R19:W19" si="7">SUM(R20:R27)</f>
        <v>235.61500922296051</v>
      </c>
      <c r="S19" s="131">
        <f t="shared" si="7"/>
        <v>238.2054473062332</v>
      </c>
      <c r="T19" s="131">
        <f t="shared" si="7"/>
        <v>239.21338624814831</v>
      </c>
      <c r="U19" s="131">
        <f t="shared" si="7"/>
        <v>237.16343039835903</v>
      </c>
      <c r="V19" s="131">
        <f t="shared" si="7"/>
        <v>231.86060377173322</v>
      </c>
      <c r="W19" s="131">
        <f t="shared" si="7"/>
        <v>229.27880758516554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9.1748975584725425</v>
      </c>
      <c r="C21" s="133">
        <v>10.706726130077808</v>
      </c>
      <c r="D21" s="133">
        <v>11.192854318822979</v>
      </c>
      <c r="E21" s="133">
        <v>12.166114343263194</v>
      </c>
      <c r="F21" s="133">
        <v>12.678073864552754</v>
      </c>
      <c r="G21" s="133">
        <v>12.962109854701561</v>
      </c>
      <c r="H21" s="133">
        <v>13.149324225486151</v>
      </c>
      <c r="I21" s="133">
        <v>13.045686731257035</v>
      </c>
      <c r="J21" s="133">
        <v>12.352390755067251</v>
      </c>
      <c r="K21" s="133">
        <v>11.186183356972334</v>
      </c>
      <c r="L21" s="133">
        <v>7.8381119617229844</v>
      </c>
      <c r="M21" s="133">
        <v>5.5288165859765712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36.70383022672727</v>
      </c>
      <c r="C22" s="133">
        <v>36.204434848147002</v>
      </c>
      <c r="D22" s="133">
        <v>35.813871047791856</v>
      </c>
      <c r="E22" s="133">
        <v>35.581039744176479</v>
      </c>
      <c r="F22" s="133">
        <v>35.119665594198473</v>
      </c>
      <c r="G22" s="133">
        <v>32.927964867010395</v>
      </c>
      <c r="H22" s="133">
        <v>30.623785951274449</v>
      </c>
      <c r="I22" s="133">
        <v>29.240400385972141</v>
      </c>
      <c r="J22" s="133">
        <v>26.265808873174503</v>
      </c>
      <c r="K22" s="133">
        <v>25.357908119893153</v>
      </c>
      <c r="L22" s="133">
        <v>21.457375433164366</v>
      </c>
      <c r="M22" s="133">
        <v>20.262824787163986</v>
      </c>
      <c r="N22" s="133">
        <v>17.171390005875622</v>
      </c>
      <c r="O22" s="133">
        <v>16.849351374657523</v>
      </c>
      <c r="P22" s="133">
        <v>15.717663371176519</v>
      </c>
      <c r="Q22" s="133">
        <v>15.016151041460674</v>
      </c>
      <c r="R22" s="133">
        <v>14.861841551485725</v>
      </c>
      <c r="S22" s="133">
        <v>15.196257149397111</v>
      </c>
      <c r="T22" s="133">
        <v>14.862686086816183</v>
      </c>
      <c r="U22" s="133">
        <v>14.611708930097461</v>
      </c>
      <c r="V22" s="133">
        <v>13.107695102459058</v>
      </c>
      <c r="W22" s="133">
        <v>14.600126905711035</v>
      </c>
      <c r="DA22" s="157" t="s">
        <v>319</v>
      </c>
    </row>
    <row r="23" spans="1:105" ht="12" customHeight="1" x14ac:dyDescent="0.25">
      <c r="A23" s="132" t="s">
        <v>153</v>
      </c>
      <c r="B23" s="133">
        <v>14.16216739805987</v>
      </c>
      <c r="C23" s="133">
        <v>14.348532874184423</v>
      </c>
      <c r="D23" s="133">
        <v>14.685280160762721</v>
      </c>
      <c r="E23" s="133">
        <v>14.990412491788298</v>
      </c>
      <c r="F23" s="133">
        <v>15.470412444809551</v>
      </c>
      <c r="G23" s="133">
        <v>15.961447766740061</v>
      </c>
      <c r="H23" s="133">
        <v>16.584694608487688</v>
      </c>
      <c r="I23" s="133">
        <v>16.972797417419773</v>
      </c>
      <c r="J23" s="133">
        <v>17.380877564695581</v>
      </c>
      <c r="K23" s="133">
        <v>17.848356040659137</v>
      </c>
      <c r="L23" s="133">
        <v>18.154180051403255</v>
      </c>
      <c r="M23" s="133">
        <v>18.496111442075239</v>
      </c>
      <c r="N23" s="133">
        <v>19.0628183723219</v>
      </c>
      <c r="O23" s="133">
        <v>19.990144180672601</v>
      </c>
      <c r="P23" s="133">
        <v>20.250729230857008</v>
      </c>
      <c r="Q23" s="133">
        <v>21.12758522000868</v>
      </c>
      <c r="R23" s="133">
        <v>21.487074825497182</v>
      </c>
      <c r="S23" s="133">
        <v>21.529927167589612</v>
      </c>
      <c r="T23" s="133">
        <v>21.659036975041797</v>
      </c>
      <c r="U23" s="133">
        <v>21.603755518114951</v>
      </c>
      <c r="V23" s="133">
        <v>20.760888080906746</v>
      </c>
      <c r="W23" s="133">
        <v>22.310408589494415</v>
      </c>
      <c r="DA23" s="157" t="s">
        <v>320</v>
      </c>
    </row>
    <row r="24" spans="1:105" ht="12" customHeight="1" x14ac:dyDescent="0.25">
      <c r="A24" s="132" t="s">
        <v>128</v>
      </c>
      <c r="B24" s="133">
        <v>3.7572928812697133</v>
      </c>
      <c r="C24" s="133">
        <v>3.7673942585742797</v>
      </c>
      <c r="D24" s="133">
        <v>3.823163123330092</v>
      </c>
      <c r="E24" s="133">
        <v>3.8643985067834623</v>
      </c>
      <c r="F24" s="133">
        <v>3.9494729411641054</v>
      </c>
      <c r="G24" s="133">
        <v>4.018049297093051</v>
      </c>
      <c r="H24" s="133">
        <v>4.143932591843571</v>
      </c>
      <c r="I24" s="133">
        <v>4.1593136002914655</v>
      </c>
      <c r="J24" s="133">
        <v>4.235433570462626</v>
      </c>
      <c r="K24" s="133">
        <v>4.3861191421014185</v>
      </c>
      <c r="L24" s="133">
        <v>4.498365145453576</v>
      </c>
      <c r="M24" s="133">
        <v>4.6609630782720579</v>
      </c>
      <c r="N24" s="133">
        <v>4.8335442465780707</v>
      </c>
      <c r="O24" s="133">
        <v>5.03990333523112</v>
      </c>
      <c r="P24" s="133">
        <v>5.2031378756463216</v>
      </c>
      <c r="Q24" s="133">
        <v>5.410006460183812</v>
      </c>
      <c r="R24" s="133">
        <v>5.451047499267883</v>
      </c>
      <c r="S24" s="133">
        <v>5.5231632067510841</v>
      </c>
      <c r="T24" s="133">
        <v>5.5614600548677657</v>
      </c>
      <c r="U24" s="133">
        <v>5.7018689890368695</v>
      </c>
      <c r="V24" s="133">
        <v>5.3182560848272473</v>
      </c>
      <c r="W24" s="133">
        <v>5.8269334594706175</v>
      </c>
      <c r="DA24" s="157" t="s">
        <v>321</v>
      </c>
    </row>
    <row r="25" spans="1:105" ht="12" customHeight="1" x14ac:dyDescent="0.25">
      <c r="A25" s="132" t="s">
        <v>169</v>
      </c>
      <c r="B25" s="133">
        <v>48.252390219171282</v>
      </c>
      <c r="C25" s="133">
        <v>48.259108032678817</v>
      </c>
      <c r="D25" s="133">
        <v>48.773236666381045</v>
      </c>
      <c r="E25" s="133">
        <v>47.608670023660352</v>
      </c>
      <c r="F25" s="133">
        <v>47.320551441323332</v>
      </c>
      <c r="G25" s="133">
        <v>47.568156758813139</v>
      </c>
      <c r="H25" s="133">
        <v>55.199455540653886</v>
      </c>
      <c r="I25" s="133">
        <v>63.592991708036053</v>
      </c>
      <c r="J25" s="133">
        <v>69.668491882511134</v>
      </c>
      <c r="K25" s="133">
        <v>80.53336572812583</v>
      </c>
      <c r="L25" s="133">
        <v>86.842183120809011</v>
      </c>
      <c r="M25" s="133">
        <v>89.165716845729364</v>
      </c>
      <c r="N25" s="133">
        <v>92.96660069118667</v>
      </c>
      <c r="O25" s="133">
        <v>94.275441217756494</v>
      </c>
      <c r="P25" s="133">
        <v>96.292810195309428</v>
      </c>
      <c r="Q25" s="133">
        <v>96.844633394529993</v>
      </c>
      <c r="R25" s="133">
        <v>96.677751458515331</v>
      </c>
      <c r="S25" s="133">
        <v>95.371695622409803</v>
      </c>
      <c r="T25" s="133">
        <v>96.206622657907786</v>
      </c>
      <c r="U25" s="133">
        <v>97.506542599136381</v>
      </c>
      <c r="V25" s="133">
        <v>94.267671055547467</v>
      </c>
      <c r="W25" s="133">
        <v>98.022072783262971</v>
      </c>
      <c r="DA25" s="157" t="s">
        <v>322</v>
      </c>
    </row>
    <row r="26" spans="1:105" ht="12" customHeight="1" x14ac:dyDescent="0.25">
      <c r="A26" s="132" t="s">
        <v>24</v>
      </c>
      <c r="B26" s="65">
        <v>37.75316071330397</v>
      </c>
      <c r="C26" s="65">
        <v>38.814115627047656</v>
      </c>
      <c r="D26" s="65">
        <v>39.195139706329925</v>
      </c>
      <c r="E26" s="65">
        <v>37.269854241612542</v>
      </c>
      <c r="F26" s="65">
        <v>38.204078269220915</v>
      </c>
      <c r="G26" s="65">
        <v>49.278947292257428</v>
      </c>
      <c r="H26" s="65">
        <v>54.4570008484447</v>
      </c>
      <c r="I26" s="65">
        <v>49.761418599667223</v>
      </c>
      <c r="J26" s="65">
        <v>40.612621005204197</v>
      </c>
      <c r="K26" s="65">
        <v>53.665630942896087</v>
      </c>
      <c r="L26" s="65">
        <v>28.524851605658526</v>
      </c>
      <c r="M26" s="65">
        <v>27.097375354175135</v>
      </c>
      <c r="N26" s="65">
        <v>27.8859115469999</v>
      </c>
      <c r="O26" s="65">
        <v>36.21767371378138</v>
      </c>
      <c r="P26" s="65">
        <v>35.465756349234688</v>
      </c>
      <c r="Q26" s="65">
        <v>42.585405709720639</v>
      </c>
      <c r="R26" s="65">
        <v>48.880458118632923</v>
      </c>
      <c r="S26" s="65">
        <v>43.75835084968157</v>
      </c>
      <c r="T26" s="65">
        <v>34.671989759843207</v>
      </c>
      <c r="U26" s="65">
        <v>35.274378093701692</v>
      </c>
      <c r="V26" s="65">
        <v>29.98296361136331</v>
      </c>
      <c r="W26" s="65">
        <v>35.875671694174017</v>
      </c>
      <c r="DA26" s="109" t="s">
        <v>323</v>
      </c>
    </row>
    <row r="27" spans="1:105" ht="12" customHeight="1" x14ac:dyDescent="0.25">
      <c r="A27" s="145" t="s">
        <v>26</v>
      </c>
      <c r="B27" s="146">
        <v>25.914789337919174</v>
      </c>
      <c r="C27" s="146">
        <v>27.037317282889081</v>
      </c>
      <c r="D27" s="146">
        <v>27.467239896818572</v>
      </c>
      <c r="E27" s="146">
        <v>33.008512467755807</v>
      </c>
      <c r="F27" s="146">
        <v>34.489337919174559</v>
      </c>
      <c r="G27" s="146">
        <v>31.959759243336208</v>
      </c>
      <c r="H27" s="146">
        <v>24.411349957007744</v>
      </c>
      <c r="I27" s="146">
        <v>29.295012897678433</v>
      </c>
      <c r="J27" s="146">
        <v>39.083748925193476</v>
      </c>
      <c r="K27" s="146">
        <v>21.728374892519348</v>
      </c>
      <c r="L27" s="146">
        <v>50.497506448839189</v>
      </c>
      <c r="M27" s="146">
        <v>58.123301805675027</v>
      </c>
      <c r="N27" s="146">
        <v>61.560619088564074</v>
      </c>
      <c r="O27" s="146">
        <v>53.663198624247642</v>
      </c>
      <c r="P27" s="146">
        <v>60.241960447119567</v>
      </c>
      <c r="Q27" s="146">
        <v>51.827085124677609</v>
      </c>
      <c r="R27" s="146">
        <v>48.256835769561476</v>
      </c>
      <c r="S27" s="146">
        <v>56.826053310404042</v>
      </c>
      <c r="T27" s="146">
        <v>66.25159071367159</v>
      </c>
      <c r="U27" s="146">
        <v>62.465176268271691</v>
      </c>
      <c r="V27" s="146">
        <v>68.423129836629386</v>
      </c>
      <c r="W27" s="146">
        <v>52.643594153052476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141.69071719353119</v>
      </c>
      <c r="C29" s="131">
        <f t="shared" si="8"/>
        <v>146.84080394444712</v>
      </c>
      <c r="D29" s="131">
        <f t="shared" si="8"/>
        <v>154.64598042645611</v>
      </c>
      <c r="E29" s="131">
        <f t="shared" si="8"/>
        <v>161.26980268486176</v>
      </c>
      <c r="F29" s="131">
        <f t="shared" si="8"/>
        <v>164.85849716347957</v>
      </c>
      <c r="G29" s="131">
        <f t="shared" si="8"/>
        <v>167.47854857280024</v>
      </c>
      <c r="H29" s="131">
        <f t="shared" si="8"/>
        <v>169.56171528116778</v>
      </c>
      <c r="I29" s="131">
        <f t="shared" si="8"/>
        <v>171.28773048176498</v>
      </c>
      <c r="J29" s="131">
        <f t="shared" si="8"/>
        <v>172.63107279450188</v>
      </c>
      <c r="K29" s="131">
        <f t="shared" si="8"/>
        <v>175.33977429863972</v>
      </c>
      <c r="L29" s="131">
        <f t="shared" si="8"/>
        <v>177.36681043680903</v>
      </c>
      <c r="M29" s="131">
        <f t="shared" si="8"/>
        <v>179.26884846441308</v>
      </c>
      <c r="N29" s="131">
        <f t="shared" si="8"/>
        <v>182.17243156689102</v>
      </c>
      <c r="O29" s="131">
        <f t="shared" si="8"/>
        <v>182.42673957053358</v>
      </c>
      <c r="P29" s="131">
        <f t="shared" si="8"/>
        <v>184.79541622840873</v>
      </c>
      <c r="Q29" s="131">
        <f t="shared" si="8"/>
        <v>186.06235654326187</v>
      </c>
      <c r="R29" s="131">
        <f t="shared" ref="R29:W29" si="9">SUM(R30:R33)</f>
        <v>189.21254367098985</v>
      </c>
      <c r="S29" s="131">
        <f t="shared" si="9"/>
        <v>190.83139806432422</v>
      </c>
      <c r="T29" s="131">
        <f t="shared" si="9"/>
        <v>192.54200561339533</v>
      </c>
      <c r="U29" s="131">
        <f t="shared" si="9"/>
        <v>194.32815706288579</v>
      </c>
      <c r="V29" s="131">
        <f t="shared" si="9"/>
        <v>188.02755550055565</v>
      </c>
      <c r="W29" s="131">
        <f t="shared" si="9"/>
        <v>195.83262186215899</v>
      </c>
      <c r="DA29" s="156" t="s">
        <v>325</v>
      </c>
    </row>
    <row r="30" spans="1:105" ht="12" customHeight="1" x14ac:dyDescent="0.25">
      <c r="A30" s="132" t="s">
        <v>52</v>
      </c>
      <c r="B30" s="133">
        <v>6.443520202097007</v>
      </c>
      <c r="C30" s="133">
        <v>10.8742081116308</v>
      </c>
      <c r="D30" s="133">
        <v>29.666169987226201</v>
      </c>
      <c r="E30" s="133">
        <v>36.733653328483655</v>
      </c>
      <c r="F30" s="133">
        <v>44.926734579489505</v>
      </c>
      <c r="G30" s="133">
        <v>32.881150520478457</v>
      </c>
      <c r="H30" s="133">
        <v>32.614871114509803</v>
      </c>
      <c r="I30" s="133">
        <v>21.553880401273315</v>
      </c>
      <c r="J30" s="133">
        <v>15.789657736601143</v>
      </c>
      <c r="K30" s="133">
        <v>19.819018193343847</v>
      </c>
      <c r="L30" s="133">
        <v>32.394583477871983</v>
      </c>
      <c r="M30" s="133">
        <v>27.641343939718038</v>
      </c>
      <c r="N30" s="133">
        <v>2.5115884120624723</v>
      </c>
      <c r="O30" s="133">
        <v>2.4232897521791696</v>
      </c>
      <c r="P30" s="133">
        <v>1.9439513020689629</v>
      </c>
      <c r="Q30" s="133">
        <v>2.0921974567039663</v>
      </c>
      <c r="R30" s="133">
        <v>1.8043798734670555</v>
      </c>
      <c r="S30" s="133">
        <v>4.6318087861073041</v>
      </c>
      <c r="T30" s="133">
        <v>4.2094044289997141</v>
      </c>
      <c r="U30" s="133">
        <v>4.6436511430765002</v>
      </c>
      <c r="V30" s="133">
        <v>4.5272804639568403</v>
      </c>
      <c r="W30" s="133">
        <v>5.2232155909693265</v>
      </c>
      <c r="DA30" s="157" t="s">
        <v>326</v>
      </c>
    </row>
    <row r="31" spans="1:105" ht="12" customHeight="1" x14ac:dyDescent="0.25">
      <c r="A31" s="132" t="s">
        <v>153</v>
      </c>
      <c r="B31" s="133">
        <v>33.976391330236623</v>
      </c>
      <c r="C31" s="133">
        <v>38.454581805548159</v>
      </c>
      <c r="D31" s="133">
        <v>42.200472219503773</v>
      </c>
      <c r="E31" s="133">
        <v>44.890355956265495</v>
      </c>
      <c r="F31" s="133">
        <v>48.307937065569902</v>
      </c>
      <c r="G31" s="133">
        <v>50.038859209184018</v>
      </c>
      <c r="H31" s="133">
        <v>51.166827677240711</v>
      </c>
      <c r="I31" s="133">
        <v>51.968451441793235</v>
      </c>
      <c r="J31" s="133">
        <v>53.308642771245182</v>
      </c>
      <c r="K31" s="133">
        <v>55.675259902782514</v>
      </c>
      <c r="L31" s="133">
        <v>57.056070071867907</v>
      </c>
      <c r="M31" s="133">
        <v>57.616674226002864</v>
      </c>
      <c r="N31" s="133">
        <v>57.917236013795119</v>
      </c>
      <c r="O31" s="133">
        <v>58.415972231970635</v>
      </c>
      <c r="P31" s="133">
        <v>59.41929485379503</v>
      </c>
      <c r="Q31" s="133">
        <v>59.98714147969676</v>
      </c>
      <c r="R31" s="133">
        <v>60.215114307545285</v>
      </c>
      <c r="S31" s="133">
        <v>60.619028077249027</v>
      </c>
      <c r="T31" s="133">
        <v>61.303270038350618</v>
      </c>
      <c r="U31" s="133">
        <v>63.482165604845378</v>
      </c>
      <c r="V31" s="133">
        <v>59.076601466541547</v>
      </c>
      <c r="W31" s="133">
        <v>60.002496159899998</v>
      </c>
      <c r="DA31" s="157" t="s">
        <v>327</v>
      </c>
    </row>
    <row r="32" spans="1:105" ht="12" customHeight="1" x14ac:dyDescent="0.25">
      <c r="A32" s="132" t="s">
        <v>128</v>
      </c>
      <c r="B32" s="133">
        <v>2.3388076171152501</v>
      </c>
      <c r="C32" s="133">
        <v>2.3428091291718554</v>
      </c>
      <c r="D32" s="133">
        <v>2.5088816777910981</v>
      </c>
      <c r="E32" s="133">
        <v>2.4906844701969155</v>
      </c>
      <c r="F32" s="133">
        <v>2.5179060620060487</v>
      </c>
      <c r="G32" s="133">
        <v>2.4161624076873944</v>
      </c>
      <c r="H32" s="133">
        <v>2.3132447679441515</v>
      </c>
      <c r="I32" s="133">
        <v>2.2104951350032085</v>
      </c>
      <c r="J32" s="133">
        <v>2.1103166718807591</v>
      </c>
      <c r="K32" s="133">
        <v>2.0328169514818373</v>
      </c>
      <c r="L32" s="133">
        <v>2.119848820351756</v>
      </c>
      <c r="M32" s="133">
        <v>2.0358425455554836</v>
      </c>
      <c r="N32" s="133">
        <v>2.1218755931798898</v>
      </c>
      <c r="O32" s="133">
        <v>2.1233834296709193</v>
      </c>
      <c r="P32" s="133">
        <v>2.2617195502081531</v>
      </c>
      <c r="Q32" s="133">
        <v>2.4684681070998895</v>
      </c>
      <c r="R32" s="133">
        <v>2.5619985077619853</v>
      </c>
      <c r="S32" s="133">
        <v>2.6895046660389177</v>
      </c>
      <c r="T32" s="133">
        <v>2.9152390078242369</v>
      </c>
      <c r="U32" s="133">
        <v>3.2285970820576018</v>
      </c>
      <c r="V32" s="133">
        <v>3.4323206872537129</v>
      </c>
      <c r="W32" s="133">
        <v>3.5180283669335592</v>
      </c>
      <c r="DA32" s="157" t="s">
        <v>328</v>
      </c>
    </row>
    <row r="33" spans="1:105" ht="12" customHeight="1" x14ac:dyDescent="0.25">
      <c r="A33" s="62" t="s">
        <v>24</v>
      </c>
      <c r="B33" s="68">
        <v>98.931998044082306</v>
      </c>
      <c r="C33" s="68">
        <v>95.169204898096311</v>
      </c>
      <c r="D33" s="68">
        <v>80.270456541935047</v>
      </c>
      <c r="E33" s="68">
        <v>77.155108929915684</v>
      </c>
      <c r="F33" s="68">
        <v>69.105919456414114</v>
      </c>
      <c r="G33" s="68">
        <v>82.142376435450373</v>
      </c>
      <c r="H33" s="68">
        <v>83.466771721473108</v>
      </c>
      <c r="I33" s="68">
        <v>95.554903503695229</v>
      </c>
      <c r="J33" s="68">
        <v>101.4224556147748</v>
      </c>
      <c r="K33" s="68">
        <v>97.81267925103154</v>
      </c>
      <c r="L33" s="68">
        <v>85.796308066717387</v>
      </c>
      <c r="M33" s="68">
        <v>91.974987753136702</v>
      </c>
      <c r="N33" s="68">
        <v>119.62173154785354</v>
      </c>
      <c r="O33" s="68">
        <v>119.46409415671285</v>
      </c>
      <c r="P33" s="68">
        <v>121.17045052233657</v>
      </c>
      <c r="Q33" s="68">
        <v>121.51454949976126</v>
      </c>
      <c r="R33" s="68">
        <v>124.63105098221551</v>
      </c>
      <c r="S33" s="68">
        <v>122.89105653492899</v>
      </c>
      <c r="T33" s="68">
        <v>124.11409213822076</v>
      </c>
      <c r="U33" s="68">
        <v>122.9737432329063</v>
      </c>
      <c r="V33" s="68">
        <v>120.99135288280357</v>
      </c>
      <c r="W33" s="68">
        <v>127.08888174435609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0.66163808768626298</v>
      </c>
      <c r="C3" s="127">
        <f>IF(SER_hh_tes!C3=0,"",SER_hh_tes!C3/SER_hh_fec!C3)</f>
        <v>0.64926130494951606</v>
      </c>
      <c r="D3" s="127">
        <f>IF(SER_hh_tes!D3=0,"",SER_hh_tes!D3/SER_hh_fec!D3)</f>
        <v>0.65977865591464224</v>
      </c>
      <c r="E3" s="127">
        <f>IF(SER_hh_tes!E3=0,"",SER_hh_tes!E3/SER_hh_fec!E3)</f>
        <v>0.66092427850579405</v>
      </c>
      <c r="F3" s="127">
        <f>IF(SER_hh_tes!F3=0,"",SER_hh_tes!F3/SER_hh_fec!F3)</f>
        <v>0.67010091354791368</v>
      </c>
      <c r="G3" s="127">
        <f>IF(SER_hh_tes!G3=0,"",SER_hh_tes!G3/SER_hh_fec!G3)</f>
        <v>0.70442092883322449</v>
      </c>
      <c r="H3" s="127">
        <f>IF(SER_hh_tes!H3=0,"",SER_hh_tes!H3/SER_hh_fec!H3)</f>
        <v>0.71504886144623114</v>
      </c>
      <c r="I3" s="127">
        <f>IF(SER_hh_tes!I3=0,"",SER_hh_tes!I3/SER_hh_fec!I3)</f>
        <v>0.74416997313123912</v>
      </c>
      <c r="J3" s="127">
        <f>IF(SER_hh_tes!J3=0,"",SER_hh_tes!J3/SER_hh_fec!J3)</f>
        <v>0.75722565605467174</v>
      </c>
      <c r="K3" s="127">
        <f>IF(SER_hh_tes!K3=0,"",SER_hh_tes!K3/SER_hh_fec!K3)</f>
        <v>0.77732601304086169</v>
      </c>
      <c r="L3" s="127">
        <f>IF(SER_hh_tes!L3=0,"",SER_hh_tes!L3/SER_hh_fec!L3)</f>
        <v>0.81400903612884756</v>
      </c>
      <c r="M3" s="127">
        <f>IF(SER_hh_tes!M3=0,"",SER_hh_tes!M3/SER_hh_fec!M3)</f>
        <v>0.83997325457482463</v>
      </c>
      <c r="N3" s="127">
        <f>IF(SER_hh_tes!N3=0,"",SER_hh_tes!N3/SER_hh_fec!N3)</f>
        <v>0.86694780118076931</v>
      </c>
      <c r="O3" s="127">
        <f>IF(SER_hh_tes!O3=0,"",SER_hh_tes!O3/SER_hh_fec!O3)</f>
        <v>0.88495819262792541</v>
      </c>
      <c r="P3" s="127">
        <f>IF(SER_hh_tes!P3=0,"",SER_hh_tes!P3/SER_hh_fec!P3)</f>
        <v>0.90251913333280476</v>
      </c>
      <c r="Q3" s="127">
        <f>IF(SER_hh_tes!Q3=0,"",SER_hh_tes!Q3/SER_hh_fec!Q3)</f>
        <v>0.89909766719630946</v>
      </c>
      <c r="R3" s="127">
        <f>IF(SER_hh_tes!R3=0,"",SER_hh_tes!R3/SER_hh_fec!R3)</f>
        <v>0.91962411488046247</v>
      </c>
      <c r="S3" s="127">
        <f>IF(SER_hh_tes!S3=0,"",SER_hh_tes!S3/SER_hh_fec!S3)</f>
        <v>0.92441295984768357</v>
      </c>
      <c r="T3" s="127">
        <f>IF(SER_hh_tes!T3=0,"",SER_hh_tes!T3/SER_hh_fec!T3)</f>
        <v>0.94131962251764367</v>
      </c>
      <c r="U3" s="127">
        <f>IF(SER_hh_tes!U3=0,"",SER_hh_tes!U3/SER_hh_fec!U3)</f>
        <v>0.96418673687276713</v>
      </c>
      <c r="V3" s="127">
        <f>IF(SER_hh_tes!V3=0,"",SER_hh_tes!V3/SER_hh_fec!V3)</f>
        <v>0.94205481823053594</v>
      </c>
      <c r="W3" s="127">
        <f>IF(SER_hh_tes!W3=0,"",SER_hh_tes!W3/SER_hh_fec!W3)</f>
        <v>0.93581219657399051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0.63444519151009349</v>
      </c>
      <c r="C4" s="136">
        <f>IF(SER_hh_tes!C4=0,"",SER_hh_tes!C4/SER_hh_fec!C4)</f>
        <v>0.62371872318012977</v>
      </c>
      <c r="D4" s="136">
        <f>IF(SER_hh_tes!D4=0,"",SER_hh_tes!D4/SER_hh_fec!D4)</f>
        <v>0.63621319849632274</v>
      </c>
      <c r="E4" s="136">
        <f>IF(SER_hh_tes!E4=0,"",SER_hh_tes!E4/SER_hh_fec!E4)</f>
        <v>0.63837859965039578</v>
      </c>
      <c r="F4" s="136">
        <f>IF(SER_hh_tes!F4=0,"",SER_hh_tes!F4/SER_hh_fec!F4)</f>
        <v>0.65041405520714957</v>
      </c>
      <c r="G4" s="136">
        <f>IF(SER_hh_tes!G4=0,"",SER_hh_tes!G4/SER_hh_fec!G4)</f>
        <v>0.68837737648968178</v>
      </c>
      <c r="H4" s="136">
        <f>IF(SER_hh_tes!H4=0,"",SER_hh_tes!H4/SER_hh_fec!H4)</f>
        <v>0.69958985281425945</v>
      </c>
      <c r="I4" s="136">
        <f>IF(SER_hh_tes!I4=0,"",SER_hh_tes!I4/SER_hh_fec!I4)</f>
        <v>0.72789636018357284</v>
      </c>
      <c r="J4" s="136">
        <f>IF(SER_hh_tes!J4=0,"",SER_hh_tes!J4/SER_hh_fec!J4)</f>
        <v>0.74202381896494363</v>
      </c>
      <c r="K4" s="136">
        <f>IF(SER_hh_tes!K4=0,"",SER_hh_tes!K4/SER_hh_fec!K4)</f>
        <v>0.76661061946500697</v>
      </c>
      <c r="L4" s="136">
        <f>IF(SER_hh_tes!L4=0,"",SER_hh_tes!L4/SER_hh_fec!L4)</f>
        <v>0.80895746296331961</v>
      </c>
      <c r="M4" s="136">
        <f>IF(SER_hh_tes!M4=0,"",SER_hh_tes!M4/SER_hh_fec!M4)</f>
        <v>0.84062439299377367</v>
      </c>
      <c r="N4" s="136">
        <f>IF(SER_hh_tes!N4=0,"",SER_hh_tes!N4/SER_hh_fec!N4)</f>
        <v>0.8654370940687609</v>
      </c>
      <c r="O4" s="136">
        <f>IF(SER_hh_tes!O4=0,"",SER_hh_tes!O4/SER_hh_fec!O4)</f>
        <v>0.88715260628516202</v>
      </c>
      <c r="P4" s="136">
        <f>IF(SER_hh_tes!P4=0,"",SER_hh_tes!P4/SER_hh_fec!P4)</f>
        <v>0.91673203101949119</v>
      </c>
      <c r="Q4" s="136">
        <f>IF(SER_hh_tes!Q4=0,"",SER_hh_tes!Q4/SER_hh_fec!Q4)</f>
        <v>0.90227060226419442</v>
      </c>
      <c r="R4" s="136">
        <f>IF(SER_hh_tes!R4=0,"",SER_hh_tes!R4/SER_hh_fec!R4)</f>
        <v>0.93700076464330795</v>
      </c>
      <c r="S4" s="136">
        <f>IF(SER_hh_tes!S4=0,"",SER_hh_tes!S4/SER_hh_fec!S4)</f>
        <v>0.93554970573112972</v>
      </c>
      <c r="T4" s="136">
        <f>IF(SER_hh_tes!T4=0,"",SER_hh_tes!T4/SER_hh_fec!T4)</f>
        <v>0.95614246203265296</v>
      </c>
      <c r="U4" s="136">
        <f>IF(SER_hh_tes!U4=0,"",SER_hh_tes!U4/SER_hh_fec!U4)</f>
        <v>0.98423955620897452</v>
      </c>
      <c r="V4" s="136">
        <f>IF(SER_hh_tes!V4=0,"",SER_hh_tes!V4/SER_hh_fec!V4)</f>
        <v>0.94890867545695312</v>
      </c>
      <c r="W4" s="136">
        <f>IF(SER_hh_tes!W4=0,"",SER_hh_tes!W4/SER_hh_fec!W4)</f>
        <v>0.93560890112527306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0.56501752442727893</v>
      </c>
      <c r="C5" s="137">
        <f>IF(SER_hh_tes!C5=0,"",SER_hh_tes!C5/SER_hh_fec!C5)</f>
        <v>0.56501752442727893</v>
      </c>
      <c r="D5" s="137">
        <f>IF(SER_hh_tes!D5=0,"",SER_hh_tes!D5/SER_hh_fec!D5)</f>
        <v>0.56501752442727893</v>
      </c>
      <c r="E5" s="137">
        <f>IF(SER_hh_tes!E5=0,"",SER_hh_tes!E5/SER_hh_fec!E5)</f>
        <v>0.56501752442727893</v>
      </c>
      <c r="F5" s="137">
        <f>IF(SER_hh_tes!F5=0,"",SER_hh_tes!F5/SER_hh_fec!F5)</f>
        <v>0.56501752442727893</v>
      </c>
      <c r="G5" s="137">
        <f>IF(SER_hh_tes!G5=0,"",SER_hh_tes!G5/SER_hh_fec!G5)</f>
        <v>0.56501752442727893</v>
      </c>
      <c r="H5" s="137">
        <f>IF(SER_hh_tes!H5=0,"",SER_hh_tes!H5/SER_hh_fec!H5)</f>
        <v>0.56501752442727893</v>
      </c>
      <c r="I5" s="137">
        <f>IF(SER_hh_tes!I5=0,"",SER_hh_tes!I5/SER_hh_fec!I5)</f>
        <v>0.56501752442727893</v>
      </c>
      <c r="J5" s="137">
        <f>IF(SER_hh_tes!J5=0,"",SER_hh_tes!J5/SER_hh_fec!J5)</f>
        <v>0.56501752442727893</v>
      </c>
      <c r="K5" s="137">
        <f>IF(SER_hh_tes!K5=0,"",SER_hh_tes!K5/SER_hh_fec!K5)</f>
        <v>0.56501752442727893</v>
      </c>
      <c r="L5" s="137">
        <f>IF(SER_hh_tes!L5=0,"",SER_hh_tes!L5/SER_hh_fec!L5)</f>
        <v>0.56501752442727893</v>
      </c>
      <c r="M5" s="137">
        <f>IF(SER_hh_tes!M5=0,"",SER_hh_tes!M5/SER_hh_fec!M5)</f>
        <v>0.56501752442727893</v>
      </c>
      <c r="N5" s="137">
        <f>IF(SER_hh_tes!N5=0,"",SER_hh_tes!N5/SER_hh_fec!N5)</f>
        <v>0.56501752442727893</v>
      </c>
      <c r="O5" s="137">
        <f>IF(SER_hh_tes!O5=0,"",SER_hh_tes!O5/SER_hh_fec!O5)</f>
        <v>0.71826914014961896</v>
      </c>
      <c r="P5" s="137">
        <f>IF(SER_hh_tes!P5=0,"",SER_hh_tes!P5/SER_hh_fec!P5)</f>
        <v>0.71826914014961896</v>
      </c>
      <c r="Q5" s="137">
        <f>IF(SER_hh_tes!Q5=0,"",SER_hh_tes!Q5/SER_hh_fec!Q5)</f>
        <v>0.71826914014961896</v>
      </c>
      <c r="R5" s="137" t="str">
        <f>IF(SER_hh_tes!R5=0,"",SER_hh_tes!R5/SER_hh_fec!R5)</f>
        <v/>
      </c>
      <c r="S5" s="137" t="str">
        <f>IF(SER_hh_tes!S5=0,"",SER_hh_tes!S5/SER_hh_fec!S5)</f>
        <v/>
      </c>
      <c r="T5" s="137" t="str">
        <f>IF(SER_hh_tes!T5=0,"",SER_hh_tes!T5/SER_hh_fec!T5)</f>
        <v/>
      </c>
      <c r="U5" s="137" t="str">
        <f>IF(SER_hh_tes!U5=0,"",SER_hh_tes!U5/SER_hh_fec!U5)</f>
        <v/>
      </c>
      <c r="V5" s="137" t="str">
        <f>IF(SER_hh_tes!V5=0,"",SER_hh_tes!V5/SER_hh_fec!V5)</f>
        <v/>
      </c>
      <c r="W5" s="137" t="str">
        <f>IF(SER_hh_tes!W5=0,"",SER_hh_tes!W5/SER_hh_fec!W5)</f>
        <v/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0.48904750640934369</v>
      </c>
      <c r="C7" s="137">
        <f>IF(SER_hh_tes!C7=0,"",SER_hh_tes!C7/SER_hh_fec!C7)</f>
        <v>0.49792732305369525</v>
      </c>
      <c r="D7" s="137">
        <f>IF(SER_hh_tes!D7=0,"",SER_hh_tes!D7/SER_hh_fec!D7)</f>
        <v>0.5052709625431786</v>
      </c>
      <c r="E7" s="137">
        <f>IF(SER_hh_tes!E7=0,"",SER_hh_tes!E7/SER_hh_fec!E7)</f>
        <v>0.51227856609922873</v>
      </c>
      <c r="F7" s="137">
        <f>IF(SER_hh_tes!F7=0,"",SER_hh_tes!F7/SER_hh_fec!F7)</f>
        <v>0.51866780787967515</v>
      </c>
      <c r="G7" s="137">
        <f>IF(SER_hh_tes!G7=0,"",SER_hh_tes!G7/SER_hh_fec!G7)</f>
        <v>0.52481490393614172</v>
      </c>
      <c r="H7" s="137">
        <f>IF(SER_hh_tes!H7=0,"",SER_hh_tes!H7/SER_hh_fec!H7)</f>
        <v>0.53103239603773944</v>
      </c>
      <c r="I7" s="137">
        <f>IF(SER_hh_tes!I7=0,"",SER_hh_tes!I7/SER_hh_fec!I7)</f>
        <v>0.53593748545112263</v>
      </c>
      <c r="J7" s="137">
        <f>IF(SER_hh_tes!J7=0,"",SER_hh_tes!J7/SER_hh_fec!J7)</f>
        <v>0.53947361600773924</v>
      </c>
      <c r="K7" s="137">
        <f>IF(SER_hh_tes!K7=0,"",SER_hh_tes!K7/SER_hh_fec!K7)</f>
        <v>0.5435708943397316</v>
      </c>
      <c r="L7" s="137">
        <f>IF(SER_hh_tes!L7=0,"",SER_hh_tes!L7/SER_hh_fec!L7)</f>
        <v>0.547566550716022</v>
      </c>
      <c r="M7" s="137">
        <f>IF(SER_hh_tes!M7=0,"",SER_hh_tes!M7/SER_hh_fec!M7)</f>
        <v>0.5505885908654673</v>
      </c>
      <c r="N7" s="137">
        <f>IF(SER_hh_tes!N7=0,"",SER_hh_tes!N7/SER_hh_fec!N7)</f>
        <v>0.55895981743624024</v>
      </c>
      <c r="O7" s="137">
        <f>IF(SER_hh_tes!O7=0,"",SER_hh_tes!O7/SER_hh_fec!O7)</f>
        <v>0.58651622825945515</v>
      </c>
      <c r="P7" s="137">
        <f>IF(SER_hh_tes!P7=0,"",SER_hh_tes!P7/SER_hh_fec!P7)</f>
        <v>0.59595880086511388</v>
      </c>
      <c r="Q7" s="137">
        <f>IF(SER_hh_tes!Q7=0,"",SER_hh_tes!Q7/SER_hh_fec!Q7)</f>
        <v>0.61303381113185607</v>
      </c>
      <c r="R7" s="137">
        <f>IF(SER_hh_tes!R7=0,"",SER_hh_tes!R7/SER_hh_fec!R7)</f>
        <v>0.63411861032771577</v>
      </c>
      <c r="S7" s="137">
        <f>IF(SER_hh_tes!S7=0,"",SER_hh_tes!S7/SER_hh_fec!S7)</f>
        <v>0.6605135755545547</v>
      </c>
      <c r="T7" s="137">
        <f>IF(SER_hh_tes!T7=0,"",SER_hh_tes!T7/SER_hh_fec!T7)</f>
        <v>0.68421477322437341</v>
      </c>
      <c r="U7" s="137">
        <f>IF(SER_hh_tes!U7=0,"",SER_hh_tes!U7/SER_hh_fec!U7)</f>
        <v>0.70383148636648418</v>
      </c>
      <c r="V7" s="137">
        <f>IF(SER_hh_tes!V7=0,"",SER_hh_tes!V7/SER_hh_fec!V7)</f>
        <v>0.72045665331607533</v>
      </c>
      <c r="W7" s="137">
        <f>IF(SER_hh_tes!W7=0,"",SER_hh_tes!W7/SER_hh_fec!W7)</f>
        <v>0.73287229292327782</v>
      </c>
      <c r="DA7" s="164" t="s">
        <v>333</v>
      </c>
    </row>
    <row r="8" spans="1:105" ht="12" customHeight="1" x14ac:dyDescent="0.25">
      <c r="A8" s="132" t="s">
        <v>73</v>
      </c>
      <c r="B8" s="137">
        <f>IF(SER_hh_tes!B8=0,"",SER_hh_tes!B8/SER_hh_fec!B8)</f>
        <v>1.012187253013223</v>
      </c>
      <c r="C8" s="137">
        <f>IF(SER_hh_tes!C8=0,"",SER_hh_tes!C8/SER_hh_fec!C8)</f>
        <v>1.0257257896017327</v>
      </c>
      <c r="D8" s="137">
        <f>IF(SER_hh_tes!D8=0,"",SER_hh_tes!D8/SER_hh_fec!D8)</f>
        <v>1.0504677977186534</v>
      </c>
      <c r="E8" s="137">
        <f>IF(SER_hh_tes!E8=0,"",SER_hh_tes!E8/SER_hh_fec!E8)</f>
        <v>1.0816084315879591</v>
      </c>
      <c r="F8" s="137">
        <f>IF(SER_hh_tes!F8=0,"",SER_hh_tes!F8/SER_hh_fec!F8)</f>
        <v>1.1183814377717927</v>
      </c>
      <c r="G8" s="137">
        <f>IF(SER_hh_tes!G8=0,"",SER_hh_tes!G8/SER_hh_fec!G8)</f>
        <v>1.1561989781818227</v>
      </c>
      <c r="H8" s="137">
        <f>IF(SER_hh_tes!H8=0,"",SER_hh_tes!H8/SER_hh_fec!H8)</f>
        <v>1.1961879741197008</v>
      </c>
      <c r="I8" s="137">
        <f>IF(SER_hh_tes!I8=0,"",SER_hh_tes!I8/SER_hh_fec!I8)</f>
        <v>1.2323159419368346</v>
      </c>
      <c r="J8" s="137">
        <f>IF(SER_hh_tes!J8=0,"",SER_hh_tes!J8/SER_hh_fec!J8)</f>
        <v>1.2664239364281926</v>
      </c>
      <c r="K8" s="137">
        <f>IF(SER_hh_tes!K8=0,"",SER_hh_tes!K8/SER_hh_fec!K8)</f>
        <v>1.2969785595191321</v>
      </c>
      <c r="L8" s="137">
        <f>IF(SER_hh_tes!L8=0,"",SER_hh_tes!L8/SER_hh_fec!L8)</f>
        <v>1.3276185864825889</v>
      </c>
      <c r="M8" s="137">
        <f>IF(SER_hh_tes!M8=0,"",SER_hh_tes!M8/SER_hh_fec!M8)</f>
        <v>1.363086581842472</v>
      </c>
      <c r="N8" s="137">
        <f>IF(SER_hh_tes!N8=0,"",SER_hh_tes!N8/SER_hh_fec!N8)</f>
        <v>1.4112625592697126</v>
      </c>
      <c r="O8" s="137">
        <f>IF(SER_hh_tes!O8=0,"",SER_hh_tes!O8/SER_hh_fec!O8)</f>
        <v>1.4748310286806505</v>
      </c>
      <c r="P8" s="137">
        <f>IF(SER_hh_tes!P8=0,"",SER_hh_tes!P8/SER_hh_fec!P8)</f>
        <v>1.5366309369058648</v>
      </c>
      <c r="Q8" s="137">
        <f>IF(SER_hh_tes!Q8=0,"",SER_hh_tes!Q8/SER_hh_fec!Q8)</f>
        <v>1.6262326377465699</v>
      </c>
      <c r="R8" s="137">
        <f>IF(SER_hh_tes!R8=0,"",SER_hh_tes!R8/SER_hh_fec!R8)</f>
        <v>1.7447046212269703</v>
      </c>
      <c r="S8" s="137">
        <f>IF(SER_hh_tes!S8=0,"",SER_hh_tes!S8/SER_hh_fec!S8)</f>
        <v>1.8719632141600724</v>
      </c>
      <c r="T8" s="137">
        <f>IF(SER_hh_tes!T8=0,"",SER_hh_tes!T8/SER_hh_fec!T8)</f>
        <v>1.9921752611634935</v>
      </c>
      <c r="U8" s="137">
        <f>IF(SER_hh_tes!U8=0,"",SER_hh_tes!U8/SER_hh_fec!U8)</f>
        <v>2.0968375833922948</v>
      </c>
      <c r="V8" s="137">
        <f>IF(SER_hh_tes!V8=0,"",SER_hh_tes!V8/SER_hh_fec!V8)</f>
        <v>2.1871968126052619</v>
      </c>
      <c r="W8" s="137">
        <f>IF(SER_hh_tes!W8=0,"",SER_hh_tes!W8/SER_hh_fec!W8)</f>
        <v>2.2616867453603247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0.53756705682804728</v>
      </c>
      <c r="C9" s="137">
        <f>IF(SER_hh_tes!C9=0,"",SER_hh_tes!C9/SER_hh_fec!C9)</f>
        <v>0.55008674533516189</v>
      </c>
      <c r="D9" s="137">
        <f>IF(SER_hh_tes!D9=0,"",SER_hh_tes!D9/SER_hh_fec!D9)</f>
        <v>0.55925750480512992</v>
      </c>
      <c r="E9" s="137">
        <f>IF(SER_hh_tes!E9=0,"",SER_hh_tes!E9/SER_hh_fec!E9)</f>
        <v>0.56558983377761785</v>
      </c>
      <c r="F9" s="137">
        <f>IF(SER_hh_tes!F9=0,"",SER_hh_tes!F9/SER_hh_fec!F9)</f>
        <v>0.56781108750839937</v>
      </c>
      <c r="G9" s="137">
        <f>IF(SER_hh_tes!G9=0,"",SER_hh_tes!G9/SER_hh_fec!G9)</f>
        <v>0.57035253974098865</v>
      </c>
      <c r="H9" s="137">
        <f>IF(SER_hh_tes!H9=0,"",SER_hh_tes!H9/SER_hh_fec!H9)</f>
        <v>0.57174073757983168</v>
      </c>
      <c r="I9" s="137">
        <f>IF(SER_hh_tes!I9=0,"",SER_hh_tes!I9/SER_hh_fec!I9)</f>
        <v>0.57325767117836812</v>
      </c>
      <c r="J9" s="137">
        <f>IF(SER_hh_tes!J9=0,"",SER_hh_tes!J9/SER_hh_fec!J9)</f>
        <v>0.57527081279678594</v>
      </c>
      <c r="K9" s="137">
        <f>IF(SER_hh_tes!K9=0,"",SER_hh_tes!K9/SER_hh_fec!K9)</f>
        <v>0.58612140818101732</v>
      </c>
      <c r="L9" s="137">
        <f>IF(SER_hh_tes!L9=0,"",SER_hh_tes!L9/SER_hh_fec!L9)</f>
        <v>0.60813869867287995</v>
      </c>
      <c r="M9" s="137">
        <f>IF(SER_hh_tes!M9=0,"",SER_hh_tes!M9/SER_hh_fec!M9)</f>
        <v>0.63406104338881941</v>
      </c>
      <c r="N9" s="137">
        <f>IF(SER_hh_tes!N9=0,"",SER_hh_tes!N9/SER_hh_fec!N9)</f>
        <v>0.67003170616012209</v>
      </c>
      <c r="O9" s="137">
        <f>IF(SER_hh_tes!O9=0,"",SER_hh_tes!O9/SER_hh_fec!O9)</f>
        <v>0.70258924210386642</v>
      </c>
      <c r="P9" s="137">
        <f>IF(SER_hh_tes!P9=0,"",SER_hh_tes!P9/SER_hh_fec!P9)</f>
        <v>0.71111579062904584</v>
      </c>
      <c r="Q9" s="137">
        <f>IF(SER_hh_tes!Q9=0,"",SER_hh_tes!Q9/SER_hh_fec!Q9)</f>
        <v>0.71826284027525356</v>
      </c>
      <c r="R9" s="137">
        <f>IF(SER_hh_tes!R9=0,"",SER_hh_tes!R9/SER_hh_fec!R9)</f>
        <v>0.73211647443373551</v>
      </c>
      <c r="S9" s="137">
        <f>IF(SER_hh_tes!S9=0,"",SER_hh_tes!S9/SER_hh_fec!S9)</f>
        <v>0.74654198729251953</v>
      </c>
      <c r="T9" s="137">
        <f>IF(SER_hh_tes!T9=0,"",SER_hh_tes!T9/SER_hh_fec!T9)</f>
        <v>0.75580452687699595</v>
      </c>
      <c r="U9" s="137">
        <f>IF(SER_hh_tes!U9=0,"",SER_hh_tes!U9/SER_hh_fec!U9)</f>
        <v>0.76259878810831927</v>
      </c>
      <c r="V9" s="137">
        <f>IF(SER_hh_tes!V9=0,"",SER_hh_tes!V9/SER_hh_fec!V9)</f>
        <v>0.76364362805224817</v>
      </c>
      <c r="W9" s="137">
        <f>IF(SER_hh_tes!W9=0,"",SER_hh_tes!W9/SER_hh_fec!W9)</f>
        <v>0.76830355852527987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0.48277847267936735</v>
      </c>
      <c r="C10" s="137">
        <f>IF(SER_hh_tes!C10=0,"",SER_hh_tes!C10/SER_hh_fec!C10)</f>
        <v>0.48664551186314797</v>
      </c>
      <c r="D10" s="137">
        <f>IF(SER_hh_tes!D10=0,"",SER_hh_tes!D10/SER_hh_fec!D10)</f>
        <v>0.49612175550818449</v>
      </c>
      <c r="E10" s="137">
        <f>IF(SER_hh_tes!E10=0,"",SER_hh_tes!E10/SER_hh_fec!E10)</f>
        <v>0.50496389180270485</v>
      </c>
      <c r="F10" s="137">
        <f>IF(SER_hh_tes!F10=0,"",SER_hh_tes!F10/SER_hh_fec!F10)</f>
        <v>0.51459473966367331</v>
      </c>
      <c r="G10" s="137">
        <f>IF(SER_hh_tes!G10=0,"",SER_hh_tes!G10/SER_hh_fec!G10)</f>
        <v>0.5214306019049163</v>
      </c>
      <c r="H10" s="137">
        <f>IF(SER_hh_tes!H10=0,"",SER_hh_tes!H10/SER_hh_fec!H10)</f>
        <v>0.52910298224211783</v>
      </c>
      <c r="I10" s="137">
        <f>IF(SER_hh_tes!I10=0,"",SER_hh_tes!I10/SER_hh_fec!I10)</f>
        <v>0.53720031171292726</v>
      </c>
      <c r="J10" s="137">
        <f>IF(SER_hh_tes!J10=0,"",SER_hh_tes!J10/SER_hh_fec!J10)</f>
        <v>0.54348941315406352</v>
      </c>
      <c r="K10" s="137">
        <f>IF(SER_hh_tes!K10=0,"",SER_hh_tes!K10/SER_hh_fec!K10)</f>
        <v>0.55347290946285066</v>
      </c>
      <c r="L10" s="137">
        <f>IF(SER_hh_tes!L10=0,"",SER_hh_tes!L10/SER_hh_fec!L10)</f>
        <v>0.56266543271848679</v>
      </c>
      <c r="M10" s="137">
        <f>IF(SER_hh_tes!M10=0,"",SER_hh_tes!M10/SER_hh_fec!M10)</f>
        <v>0.57032192471531706</v>
      </c>
      <c r="N10" s="137">
        <f>IF(SER_hh_tes!N10=0,"",SER_hh_tes!N10/SER_hh_fec!N10)</f>
        <v>0.57952117709837103</v>
      </c>
      <c r="O10" s="137">
        <f>IF(SER_hh_tes!O10=0,"",SER_hh_tes!O10/SER_hh_fec!O10)</f>
        <v>0.58915828164291972</v>
      </c>
      <c r="P10" s="137">
        <f>IF(SER_hh_tes!P10=0,"",SER_hh_tes!P10/SER_hh_fec!P10)</f>
        <v>0.58927926742345138</v>
      </c>
      <c r="Q10" s="137">
        <f>IF(SER_hh_tes!Q10=0,"",SER_hh_tes!Q10/SER_hh_fec!Q10)</f>
        <v>0.58968122727670014</v>
      </c>
      <c r="R10" s="137">
        <f>IF(SER_hh_tes!R10=0,"",SER_hh_tes!R10/SER_hh_fec!R10)</f>
        <v>0.5899915980163245</v>
      </c>
      <c r="S10" s="137">
        <f>IF(SER_hh_tes!S10=0,"",SER_hh_tes!S10/SER_hh_fec!S10)</f>
        <v>0.59056644268444503</v>
      </c>
      <c r="T10" s="137">
        <f>IF(SER_hh_tes!T10=0,"",SER_hh_tes!T10/SER_hh_fec!T10)</f>
        <v>0.59101057760549558</v>
      </c>
      <c r="U10" s="137">
        <f>IF(SER_hh_tes!U10=0,"",SER_hh_tes!U10/SER_hh_fec!U10)</f>
        <v>0.59138210234864075</v>
      </c>
      <c r="V10" s="137">
        <f>IF(SER_hh_tes!V10=0,"",SER_hh_tes!V10/SER_hh_fec!V10)</f>
        <v>0.59167601725175389</v>
      </c>
      <c r="W10" s="137">
        <f>IF(SER_hh_tes!W10=0,"",SER_hh_tes!W10/SER_hh_fec!W10)</f>
        <v>0.59188726923936175</v>
      </c>
      <c r="DA10" s="164" t="s">
        <v>336</v>
      </c>
    </row>
    <row r="11" spans="1:105" ht="12" customHeight="1" x14ac:dyDescent="0.25">
      <c r="A11" s="132" t="s">
        <v>25</v>
      </c>
      <c r="B11" s="137">
        <f>IF(SER_hh_tes!B11=0,"",SER_hh_tes!B11/SER_hh_fec!B11)</f>
        <v>0.80448281923266107</v>
      </c>
      <c r="C11" s="137">
        <f>IF(SER_hh_tes!C11=0,"",SER_hh_tes!C11/SER_hh_fec!C11)</f>
        <v>0.81053256702682852</v>
      </c>
      <c r="D11" s="137">
        <f>IF(SER_hh_tes!D11=0,"",SER_hh_tes!D11/SER_hh_fec!D11)</f>
        <v>0.81814022404159115</v>
      </c>
      <c r="E11" s="137">
        <f>IF(SER_hh_tes!E11=0,"",SER_hh_tes!E11/SER_hh_fec!E11)</f>
        <v>0.8195616554657198</v>
      </c>
      <c r="F11" s="137">
        <f>IF(SER_hh_tes!F11=0,"",SER_hh_tes!F11/SER_hh_fec!F11)</f>
        <v>0.82426355134427576</v>
      </c>
      <c r="G11" s="137">
        <f>IF(SER_hh_tes!G11=0,"",SER_hh_tes!G11/SER_hh_fec!G11)</f>
        <v>0.83010782513951764</v>
      </c>
      <c r="H11" s="137">
        <f>IF(SER_hh_tes!H11=0,"",SER_hh_tes!H11/SER_hh_fec!H11)</f>
        <v>0.83593033612893519</v>
      </c>
      <c r="I11" s="137">
        <f>IF(SER_hh_tes!I11=0,"",SER_hh_tes!I11/SER_hh_fec!I11)</f>
        <v>0.84288930565180242</v>
      </c>
      <c r="J11" s="137">
        <f>IF(SER_hh_tes!J11=0,"",SER_hh_tes!J11/SER_hh_fec!J11)</f>
        <v>0.84951110244631933</v>
      </c>
      <c r="K11" s="137">
        <f>IF(SER_hh_tes!K11=0,"",SER_hh_tes!K11/SER_hh_fec!K11)</f>
        <v>0.85713556359615561</v>
      </c>
      <c r="L11" s="137">
        <f>IF(SER_hh_tes!L11=0,"",SER_hh_tes!L11/SER_hh_fec!L11)</f>
        <v>0.86356578717070875</v>
      </c>
      <c r="M11" s="137">
        <f>IF(SER_hh_tes!M11=0,"",SER_hh_tes!M11/SER_hh_fec!M11)</f>
        <v>0.86876823974607398</v>
      </c>
      <c r="N11" s="137">
        <f>IF(SER_hh_tes!N11=0,"",SER_hh_tes!N11/SER_hh_fec!N11)</f>
        <v>0.87411031216819635</v>
      </c>
      <c r="O11" s="137">
        <f>IF(SER_hh_tes!O11=0,"",SER_hh_tes!O11/SER_hh_fec!O11)</f>
        <v>0.87800681516109202</v>
      </c>
      <c r="P11" s="137">
        <f>IF(SER_hh_tes!P11=0,"",SER_hh_tes!P11/SER_hh_fec!P11)</f>
        <v>0.87891192370250815</v>
      </c>
      <c r="Q11" s="137">
        <f>IF(SER_hh_tes!Q11=0,"",SER_hh_tes!Q11/SER_hh_fec!Q11)</f>
        <v>0.88134541894942908</v>
      </c>
      <c r="R11" s="137">
        <f>IF(SER_hh_tes!R11=0,"",SER_hh_tes!R11/SER_hh_fec!R11)</f>
        <v>0.88456873090181065</v>
      </c>
      <c r="S11" s="137">
        <f>IF(SER_hh_tes!S11=0,"",SER_hh_tes!S11/SER_hh_fec!S11)</f>
        <v>0.8885615620547076</v>
      </c>
      <c r="T11" s="137">
        <f>IF(SER_hh_tes!T11=0,"",SER_hh_tes!T11/SER_hh_fec!T11)</f>
        <v>0.89095461699551293</v>
      </c>
      <c r="U11" s="137">
        <f>IF(SER_hh_tes!U11=0,"",SER_hh_tes!U11/SER_hh_fec!U11)</f>
        <v>0.89246530882362662</v>
      </c>
      <c r="V11" s="137">
        <f>IF(SER_hh_tes!V11=0,"",SER_hh_tes!V11/SER_hh_fec!V11)</f>
        <v>0.89426741886613381</v>
      </c>
      <c r="W11" s="137">
        <f>IF(SER_hh_tes!W11=0,"",SER_hh_tes!W11/SER_hh_fec!W11)</f>
        <v>0.89595570913497957</v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0.8359525867146711</v>
      </c>
      <c r="C12" s="137">
        <f>IF(SER_hh_tes!C12=0,"",SER_hh_tes!C12/SER_hh_fec!C12)</f>
        <v>0.83715866845776954</v>
      </c>
      <c r="D12" s="137">
        <f>IF(SER_hh_tes!D12=0,"",SER_hh_tes!D12/SER_hh_fec!D12)</f>
        <v>0.83968702468717138</v>
      </c>
      <c r="E12" s="137">
        <f>IF(SER_hh_tes!E12=0,"",SER_hh_tes!E12/SER_hh_fec!E12)</f>
        <v>0.84277705770357847</v>
      </c>
      <c r="F12" s="137">
        <f>IF(SER_hh_tes!F12=0,"",SER_hh_tes!F12/SER_hh_fec!F12)</f>
        <v>0.84738846318911298</v>
      </c>
      <c r="G12" s="137">
        <f>IF(SER_hh_tes!G12=0,"",SER_hh_tes!G12/SER_hh_fec!G12)</f>
        <v>0.85239114553905393</v>
      </c>
      <c r="H12" s="137">
        <f>IF(SER_hh_tes!H12=0,"",SER_hh_tes!H12/SER_hh_fec!H12)</f>
        <v>0.85665421576696399</v>
      </c>
      <c r="I12" s="137">
        <f>IF(SER_hh_tes!I12=0,"",SER_hh_tes!I12/SER_hh_fec!I12)</f>
        <v>0.86078585284203613</v>
      </c>
      <c r="J12" s="137">
        <f>IF(SER_hh_tes!J12=0,"",SER_hh_tes!J12/SER_hh_fec!J12)</f>
        <v>0.86426168254871361</v>
      </c>
      <c r="K12" s="137">
        <f>IF(SER_hh_tes!K12=0,"",SER_hh_tes!K12/SER_hh_fec!K12)</f>
        <v>0.86734749035262926</v>
      </c>
      <c r="L12" s="137">
        <f>IF(SER_hh_tes!L12=0,"",SER_hh_tes!L12/SER_hh_fec!L12)</f>
        <v>0.87073231062457546</v>
      </c>
      <c r="M12" s="137">
        <f>IF(SER_hh_tes!M12=0,"",SER_hh_tes!M12/SER_hh_fec!M12)</f>
        <v>0.87359269302441867</v>
      </c>
      <c r="N12" s="137">
        <f>IF(SER_hh_tes!N12=0,"",SER_hh_tes!N12/SER_hh_fec!N12)</f>
        <v>0.8759586694115038</v>
      </c>
      <c r="O12" s="137">
        <f>IF(SER_hh_tes!O12=0,"",SER_hh_tes!O12/SER_hh_fec!O12)</f>
        <v>0.87806300399616666</v>
      </c>
      <c r="P12" s="137">
        <f>IF(SER_hh_tes!P12=0,"",SER_hh_tes!P12/SER_hh_fec!P12)</f>
        <v>0.87899184329710878</v>
      </c>
      <c r="Q12" s="137">
        <f>IF(SER_hh_tes!Q12=0,"",SER_hh_tes!Q12/SER_hh_fec!Q12)</f>
        <v>0.8809759146975813</v>
      </c>
      <c r="R12" s="137">
        <f>IF(SER_hh_tes!R12=0,"",SER_hh_tes!R12/SER_hh_fec!R12)</f>
        <v>0.88389274390364392</v>
      </c>
      <c r="S12" s="137">
        <f>IF(SER_hh_tes!S12=0,"",SER_hh_tes!S12/SER_hh_fec!S12)</f>
        <v>0.88704574971792549</v>
      </c>
      <c r="T12" s="137">
        <f>IF(SER_hh_tes!T12=0,"",SER_hh_tes!T12/SER_hh_fec!T12)</f>
        <v>0.8905804958132687</v>
      </c>
      <c r="U12" s="137">
        <f>IF(SER_hh_tes!U12=0,"",SER_hh_tes!U12/SER_hh_fec!U12)</f>
        <v>0.89527303553718585</v>
      </c>
      <c r="V12" s="137">
        <f>IF(SER_hh_tes!V12=0,"",SER_hh_tes!V12/SER_hh_fec!V12)</f>
        <v>0.90165251621172027</v>
      </c>
      <c r="W12" s="137">
        <f>IF(SER_hh_tes!W12=0,"",SER_hh_tes!W12/SER_hh_fec!W12)</f>
        <v>0.90765485271867252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1.4533994299869155</v>
      </c>
      <c r="C13" s="137">
        <f>IF(SER_hh_tes!C13=0,"",SER_hh_tes!C13/SER_hh_fec!C13)</f>
        <v>1.4709934678922716</v>
      </c>
      <c r="D13" s="137">
        <f>IF(SER_hh_tes!D13=0,"",SER_hh_tes!D13/SER_hh_fec!D13)</f>
        <v>1.5301221483021503</v>
      </c>
      <c r="E13" s="137">
        <f>IF(SER_hh_tes!E13=0,"",SER_hh_tes!E13/SER_hh_fec!E13)</f>
        <v>1.5975721664044056</v>
      </c>
      <c r="F13" s="137">
        <f>IF(SER_hh_tes!F13=0,"",SER_hh_tes!F13/SER_hh_fec!F13)</f>
        <v>1.6763681662966052</v>
      </c>
      <c r="G13" s="137">
        <f>IF(SER_hh_tes!G13=0,"",SER_hh_tes!G13/SER_hh_fec!G13)</f>
        <v>1.7577945981857346</v>
      </c>
      <c r="H13" s="137">
        <f>IF(SER_hh_tes!H13=0,"",SER_hh_tes!H13/SER_hh_fec!H13)</f>
        <v>1.8328771868483602</v>
      </c>
      <c r="I13" s="137">
        <f>IF(SER_hh_tes!I13=0,"",SER_hh_tes!I13/SER_hh_fec!I13)</f>
        <v>1.9051526815060533</v>
      </c>
      <c r="J13" s="137">
        <f>IF(SER_hh_tes!J13=0,"",SER_hh_tes!J13/SER_hh_fec!J13)</f>
        <v>1.9672561510619129</v>
      </c>
      <c r="K13" s="137">
        <f>IF(SER_hh_tes!K13=0,"",SER_hh_tes!K13/SER_hh_fec!K13)</f>
        <v>2.0258076379178318</v>
      </c>
      <c r="L13" s="137">
        <f>IF(SER_hh_tes!L13=0,"",SER_hh_tes!L13/SER_hh_fec!L13)</f>
        <v>2.0943157473323217</v>
      </c>
      <c r="M13" s="137">
        <f>IF(SER_hh_tes!M13=0,"",SER_hh_tes!M13/SER_hh_fec!M13)</f>
        <v>2.1831657458606655</v>
      </c>
      <c r="N13" s="137">
        <f>IF(SER_hh_tes!N13=0,"",SER_hh_tes!N13/SER_hh_fec!N13)</f>
        <v>2.2834148885576795</v>
      </c>
      <c r="O13" s="137">
        <f>IF(SER_hh_tes!O13=0,"",SER_hh_tes!O13/SER_hh_fec!O13)</f>
        <v>2.3841704546624989</v>
      </c>
      <c r="P13" s="137">
        <f>IF(SER_hh_tes!P13=0,"",SER_hh_tes!P13/SER_hh_fec!P13)</f>
        <v>2.4641437126181995</v>
      </c>
      <c r="Q13" s="137">
        <f>IF(SER_hh_tes!Q13=0,"",SER_hh_tes!Q13/SER_hh_fec!Q13)</f>
        <v>2.5516539842874271</v>
      </c>
      <c r="R13" s="137">
        <f>IF(SER_hh_tes!R13=0,"",SER_hh_tes!R13/SER_hh_fec!R13)</f>
        <v>2.648210546856252</v>
      </c>
      <c r="S13" s="137">
        <f>IF(SER_hh_tes!S13=0,"",SER_hh_tes!S13/SER_hh_fec!S13)</f>
        <v>2.7530101600777663</v>
      </c>
      <c r="T13" s="137">
        <f>IF(SER_hh_tes!T13=0,"",SER_hh_tes!T13/SER_hh_fec!T13)</f>
        <v>2.8664705836702211</v>
      </c>
      <c r="U13" s="137">
        <f>IF(SER_hh_tes!U13=0,"",SER_hh_tes!U13/SER_hh_fec!U13)</f>
        <v>2.9676797120239646</v>
      </c>
      <c r="V13" s="137">
        <f>IF(SER_hh_tes!V13=0,"",SER_hh_tes!V13/SER_hh_fec!V13)</f>
        <v>3.0744104820130778</v>
      </c>
      <c r="W13" s="137">
        <f>IF(SER_hh_tes!W13=0,"",SER_hh_tes!W13/SER_hh_fec!W13)</f>
        <v>3.1732228018884423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0.74273540466527688</v>
      </c>
      <c r="C14" s="138">
        <f>IF(SER_hh_tes!C14=0,"",SER_hh_tes!C14/SER_hh_fec!C14)</f>
        <v>0.74273540466527688</v>
      </c>
      <c r="D14" s="138">
        <f>IF(SER_hh_tes!D14=0,"",SER_hh_tes!D14/SER_hh_fec!D14)</f>
        <v>0.74273540466527688</v>
      </c>
      <c r="E14" s="138">
        <f>IF(SER_hh_tes!E14=0,"",SER_hh_tes!E14/SER_hh_fec!E14)</f>
        <v>0.74293449438692649</v>
      </c>
      <c r="F14" s="138">
        <f>IF(SER_hh_tes!F14=0,"",SER_hh_tes!F14/SER_hh_fec!F14)</f>
        <v>0.74744348737153143</v>
      </c>
      <c r="G14" s="138">
        <f>IF(SER_hh_tes!G14=0,"",SER_hh_tes!G14/SER_hh_fec!G14)</f>
        <v>0.7542519504570957</v>
      </c>
      <c r="H14" s="138">
        <f>IF(SER_hh_tes!H14=0,"",SER_hh_tes!H14/SER_hh_fec!H14)</f>
        <v>0.76041399698205825</v>
      </c>
      <c r="I14" s="138">
        <f>IF(SER_hh_tes!I14=0,"",SER_hh_tes!I14/SER_hh_fec!I14)</f>
        <v>0.76598939121992937</v>
      </c>
      <c r="J14" s="138">
        <f>IF(SER_hh_tes!J14=0,"",SER_hh_tes!J14/SER_hh_fec!J14)</f>
        <v>0.76991825731912722</v>
      </c>
      <c r="K14" s="138">
        <f>IF(SER_hh_tes!K14=0,"",SER_hh_tes!K14/SER_hh_fec!K14)</f>
        <v>0.77301568999743853</v>
      </c>
      <c r="L14" s="138">
        <f>IF(SER_hh_tes!L14=0,"",SER_hh_tes!L14/SER_hh_fec!L14)</f>
        <v>0.77909558428033876</v>
      </c>
      <c r="M14" s="138">
        <f>IF(SER_hh_tes!M14=0,"",SER_hh_tes!M14/SER_hh_fec!M14)</f>
        <v>0.7863351836023813</v>
      </c>
      <c r="N14" s="138">
        <f>IF(SER_hh_tes!N14=0,"",SER_hh_tes!N14/SER_hh_fec!N14)</f>
        <v>0.7965031016982842</v>
      </c>
      <c r="O14" s="138">
        <f>IF(SER_hh_tes!O14=0,"",SER_hh_tes!O14/SER_hh_fec!O14)</f>
        <v>0.80563467900368446</v>
      </c>
      <c r="P14" s="138">
        <f>IF(SER_hh_tes!P14=0,"",SER_hh_tes!P14/SER_hh_fec!P14)</f>
        <v>0.80596613628027014</v>
      </c>
      <c r="Q14" s="138">
        <f>IF(SER_hh_tes!Q14=0,"",SER_hh_tes!Q14/SER_hh_fec!Q14)</f>
        <v>0.80601174807159792</v>
      </c>
      <c r="R14" s="138">
        <f>IF(SER_hh_tes!R14=0,"",SER_hh_tes!R14/SER_hh_fec!R14)</f>
        <v>0.80604338575435108</v>
      </c>
      <c r="S14" s="138">
        <f>IF(SER_hh_tes!S14=0,"",SER_hh_tes!S14/SER_hh_fec!S14)</f>
        <v>0.80801409569800997</v>
      </c>
      <c r="T14" s="138">
        <f>IF(SER_hh_tes!T14=0,"",SER_hh_tes!T14/SER_hh_fec!T14)</f>
        <v>0.82172309872239291</v>
      </c>
      <c r="U14" s="138">
        <f>IF(SER_hh_tes!U14=0,"",SER_hh_tes!U14/SER_hh_fec!U14)</f>
        <v>0.83726368593512324</v>
      </c>
      <c r="V14" s="138">
        <f>IF(SER_hh_tes!V14=0,"",SER_hh_tes!V14/SER_hh_fec!V14)</f>
        <v>0.85661402944910092</v>
      </c>
      <c r="W14" s="138">
        <f>IF(SER_hh_tes!W14=0,"",SER_hh_tes!W14/SER_hh_fec!W14)</f>
        <v>0.87185509270476524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1.8648873511041919</v>
      </c>
      <c r="C16" s="136">
        <f>IF(SER_hh_tes!C16=0,"",SER_hh_tes!C16/SER_hh_fec!C16)</f>
        <v>1.9335962618929194</v>
      </c>
      <c r="D16" s="136">
        <f>IF(SER_hh_tes!D16=0,"",SER_hh_tes!D16/SER_hh_fec!D16)</f>
        <v>2.0164696514625193</v>
      </c>
      <c r="E16" s="136">
        <f>IF(SER_hh_tes!E16=0,"",SER_hh_tes!E16/SER_hh_fec!E16)</f>
        <v>2.0958178807053192</v>
      </c>
      <c r="F16" s="136">
        <f>IF(SER_hh_tes!F16=0,"",SER_hh_tes!F16/SER_hh_fec!F16)</f>
        <v>2.1903100229246752</v>
      </c>
      <c r="G16" s="136">
        <f>IF(SER_hh_tes!G16=0,"",SER_hh_tes!G16/SER_hh_fec!G16)</f>
        <v>2.2995023967892418</v>
      </c>
      <c r="H16" s="136">
        <f>IF(SER_hh_tes!H16=0,"",SER_hh_tes!H16/SER_hh_fec!H16)</f>
        <v>2.4172576346833541</v>
      </c>
      <c r="I16" s="136">
        <f>IF(SER_hh_tes!I16=0,"",SER_hh_tes!I16/SER_hh_fec!I16)</f>
        <v>2.5530488387450325</v>
      </c>
      <c r="J16" s="136">
        <f>IF(SER_hh_tes!J16=0,"",SER_hh_tes!J16/SER_hh_fec!J16)</f>
        <v>2.699453077205793</v>
      </c>
      <c r="K16" s="136">
        <f>IF(SER_hh_tes!K16=0,"",SER_hh_tes!K16/SER_hh_fec!K16)</f>
        <v>2.737400875724497</v>
      </c>
      <c r="L16" s="136">
        <f>IF(SER_hh_tes!L16=0,"",SER_hh_tes!L16/SER_hh_fec!L16)</f>
        <v>2.8001167897156414</v>
      </c>
      <c r="M16" s="136">
        <f>IF(SER_hh_tes!M16=0,"",SER_hh_tes!M16/SER_hh_fec!M16)</f>
        <v>2.8823115629283662</v>
      </c>
      <c r="N16" s="136">
        <f>IF(SER_hh_tes!N16=0,"",SER_hh_tes!N16/SER_hh_fec!N16)</f>
        <v>2.9723165419128983</v>
      </c>
      <c r="O16" s="136">
        <f>IF(SER_hh_tes!O16=0,"",SER_hh_tes!O16/SER_hh_fec!O16)</f>
        <v>3.0653866488191102</v>
      </c>
      <c r="P16" s="136">
        <f>IF(SER_hh_tes!P16=0,"",SER_hh_tes!P16/SER_hh_fec!P16)</f>
        <v>3.1685329891255938</v>
      </c>
      <c r="Q16" s="136">
        <f>IF(SER_hh_tes!Q16=0,"",SER_hh_tes!Q16/SER_hh_fec!Q16)</f>
        <v>3.2864617965358942</v>
      </c>
      <c r="R16" s="136">
        <f>IF(SER_hh_tes!R16=0,"",SER_hh_tes!R16/SER_hh_fec!R16)</f>
        <v>3.4132119770973333</v>
      </c>
      <c r="S16" s="136">
        <f>IF(SER_hh_tes!S16=0,"",SER_hh_tes!S16/SER_hh_fec!S16)</f>
        <v>3.527954641822848</v>
      </c>
      <c r="T16" s="136">
        <f>IF(SER_hh_tes!T16=0,"",SER_hh_tes!T16/SER_hh_fec!T16)</f>
        <v>3.6333483140886487</v>
      </c>
      <c r="U16" s="136">
        <f>IF(SER_hh_tes!U16=0,"",SER_hh_tes!U16/SER_hh_fec!U16)</f>
        <v>3.7215538388376879</v>
      </c>
      <c r="V16" s="136">
        <f>IF(SER_hh_tes!V16=0,"",SER_hh_tes!V16/SER_hh_fec!V16)</f>
        <v>3.8199811853049193</v>
      </c>
      <c r="W16" s="136">
        <f>IF(SER_hh_tes!W16=0,"",SER_hh_tes!W16/SER_hh_fec!W16)</f>
        <v>3.9114421391134124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1.2695482649071139</v>
      </c>
      <c r="C17" s="137">
        <f>IF(SER_hh_tes!C17=0,"",SER_hh_tes!C17/SER_hh_fec!C17)</f>
        <v>1.2751073672150752</v>
      </c>
      <c r="D17" s="137">
        <f>IF(SER_hh_tes!D17=0,"",SER_hh_tes!D17/SER_hh_fec!D17)</f>
        <v>1.2827806773349666</v>
      </c>
      <c r="E17" s="137">
        <f>IF(SER_hh_tes!E17=0,"",SER_hh_tes!E17/SER_hh_fec!E17)</f>
        <v>1.2868958768152474</v>
      </c>
      <c r="F17" s="137">
        <f>IF(SER_hh_tes!F17=0,"",SER_hh_tes!F17/SER_hh_fec!F17)</f>
        <v>1.2949049437180569</v>
      </c>
      <c r="G17" s="137">
        <f>IF(SER_hh_tes!G17=0,"",SER_hh_tes!G17/SER_hh_fec!G17)</f>
        <v>1.2999885298656197</v>
      </c>
      <c r="H17" s="137">
        <f>IF(SER_hh_tes!H17=0,"",SER_hh_tes!H17/SER_hh_fec!H17)</f>
        <v>1.3041490174888335</v>
      </c>
      <c r="I17" s="137">
        <f>IF(SER_hh_tes!I17=0,"",SER_hh_tes!I17/SER_hh_fec!I17)</f>
        <v>1.3088471660615439</v>
      </c>
      <c r="J17" s="137">
        <f>IF(SER_hh_tes!J17=0,"",SER_hh_tes!J17/SER_hh_fec!J17)</f>
        <v>1.3124293366862927</v>
      </c>
      <c r="K17" s="137">
        <f>IF(SER_hh_tes!K17=0,"",SER_hh_tes!K17/SER_hh_fec!K17)</f>
        <v>1.3141741574561083</v>
      </c>
      <c r="L17" s="137">
        <f>IF(SER_hh_tes!L17=0,"",SER_hh_tes!L17/SER_hh_fec!L17)</f>
        <v>1.315716068993815</v>
      </c>
      <c r="M17" s="137">
        <f>IF(SER_hh_tes!M17=0,"",SER_hh_tes!M17/SER_hh_fec!M17)</f>
        <v>1.3182523005333708</v>
      </c>
      <c r="N17" s="137">
        <f>IF(SER_hh_tes!N17=0,"",SER_hh_tes!N17/SER_hh_fec!N17)</f>
        <v>1.3236049544642214</v>
      </c>
      <c r="O17" s="137">
        <f>IF(SER_hh_tes!O17=0,"",SER_hh_tes!O17/SER_hh_fec!O17)</f>
        <v>1.3318958626786255</v>
      </c>
      <c r="P17" s="137">
        <f>IF(SER_hh_tes!P17=0,"",SER_hh_tes!P17/SER_hh_fec!P17)</f>
        <v>1.3455275539814207</v>
      </c>
      <c r="Q17" s="137">
        <f>IF(SER_hh_tes!Q17=0,"",SER_hh_tes!Q17/SER_hh_fec!Q17)</f>
        <v>1.3638244757869544</v>
      </c>
      <c r="R17" s="137">
        <f>IF(SER_hh_tes!R17=0,"",SER_hh_tes!R17/SER_hh_fec!R17)</f>
        <v>1.381787581936371</v>
      </c>
      <c r="S17" s="137">
        <f>IF(SER_hh_tes!S17=0,"",SER_hh_tes!S17/SER_hh_fec!S17)</f>
        <v>1.4057003723599855</v>
      </c>
      <c r="T17" s="137">
        <f>IF(SER_hh_tes!T17=0,"",SER_hh_tes!T17/SER_hh_fec!T17)</f>
        <v>1.4282317438137078</v>
      </c>
      <c r="U17" s="137">
        <f>IF(SER_hh_tes!U17=0,"",SER_hh_tes!U17/SER_hh_fec!U17)</f>
        <v>1.457576280436357</v>
      </c>
      <c r="V17" s="137">
        <f>IF(SER_hh_tes!V17=0,"",SER_hh_tes!V17/SER_hh_fec!V17)</f>
        <v>1.4795417352183335</v>
      </c>
      <c r="W17" s="137">
        <f>IF(SER_hh_tes!W17=0,"",SER_hh_tes!W17/SER_hh_fec!W17)</f>
        <v>1.5076876308093192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1.86609179268553</v>
      </c>
      <c r="C18" s="137">
        <f>IF(SER_hh_tes!C18=0,"",SER_hh_tes!C18/SER_hh_fec!C18)</f>
        <v>1.9350312664322342</v>
      </c>
      <c r="D18" s="137">
        <f>IF(SER_hh_tes!D18=0,"",SER_hh_tes!D18/SER_hh_fec!D18)</f>
        <v>2.0183421806287973</v>
      </c>
      <c r="E18" s="137">
        <f>IF(SER_hh_tes!E18=0,"",SER_hh_tes!E18/SER_hh_fec!E18)</f>
        <v>2.0979563489598849</v>
      </c>
      <c r="F18" s="137">
        <f>IF(SER_hh_tes!F18=0,"",SER_hh_tes!F18/SER_hh_fec!F18)</f>
        <v>2.1933563407491126</v>
      </c>
      <c r="G18" s="137">
        <f>IF(SER_hh_tes!G18=0,"",SER_hh_tes!G18/SER_hh_fec!G18)</f>
        <v>2.3033922136764029</v>
      </c>
      <c r="H18" s="137">
        <f>IF(SER_hh_tes!H18=0,"",SER_hh_tes!H18/SER_hh_fec!H18)</f>
        <v>2.4220756408667081</v>
      </c>
      <c r="I18" s="137">
        <f>IF(SER_hh_tes!I18=0,"",SER_hh_tes!I18/SER_hh_fec!I18)</f>
        <v>2.5596722441682198</v>
      </c>
      <c r="J18" s="137">
        <f>IF(SER_hh_tes!J18=0,"",SER_hh_tes!J18/SER_hh_fec!J18)</f>
        <v>2.7082269874553653</v>
      </c>
      <c r="K18" s="137">
        <f>IF(SER_hh_tes!K18=0,"",SER_hh_tes!K18/SER_hh_fec!K18)</f>
        <v>2.7479578424111808</v>
      </c>
      <c r="L18" s="137">
        <f>IF(SER_hh_tes!L18=0,"",SER_hh_tes!L18/SER_hh_fec!L18)</f>
        <v>2.8118603426185409</v>
      </c>
      <c r="M18" s="137">
        <f>IF(SER_hh_tes!M18=0,"",SER_hh_tes!M18/SER_hh_fec!M18)</f>
        <v>2.8968205274001515</v>
      </c>
      <c r="N18" s="137">
        <f>IF(SER_hh_tes!N18=0,"",SER_hh_tes!N18/SER_hh_fec!N18)</f>
        <v>2.9885890952887086</v>
      </c>
      <c r="O18" s="137">
        <f>IF(SER_hh_tes!O18=0,"",SER_hh_tes!O18/SER_hh_fec!O18)</f>
        <v>3.0847076255423693</v>
      </c>
      <c r="P18" s="137">
        <f>IF(SER_hh_tes!P18=0,"",SER_hh_tes!P18/SER_hh_fec!P18)</f>
        <v>3.1916989143899817</v>
      </c>
      <c r="Q18" s="137">
        <f>IF(SER_hh_tes!Q18=0,"",SER_hh_tes!Q18/SER_hh_fec!Q18)</f>
        <v>3.3156251690596799</v>
      </c>
      <c r="R18" s="137">
        <f>IF(SER_hh_tes!R18=0,"",SER_hh_tes!R18/SER_hh_fec!R18)</f>
        <v>3.4451035385708306</v>
      </c>
      <c r="S18" s="137">
        <f>IF(SER_hh_tes!S18=0,"",SER_hh_tes!S18/SER_hh_fec!S18)</f>
        <v>3.5655065054755384</v>
      </c>
      <c r="T18" s="137">
        <f>IF(SER_hh_tes!T18=0,"",SER_hh_tes!T18/SER_hh_fec!T18)</f>
        <v>3.6752351262693512</v>
      </c>
      <c r="U18" s="137">
        <f>IF(SER_hh_tes!U18=0,"",SER_hh_tes!U18/SER_hh_fec!U18)</f>
        <v>3.769376621797309</v>
      </c>
      <c r="V18" s="137">
        <f>IF(SER_hh_tes!V18=0,"",SER_hh_tes!V18/SER_hh_fec!V18)</f>
        <v>3.8705698007661851</v>
      </c>
      <c r="W18" s="137">
        <f>IF(SER_hh_tes!W18=0,"",SER_hh_tes!W18/SER_hh_fec!W18)</f>
        <v>3.965527688369221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0.69832334374134741</v>
      </c>
      <c r="C19" s="136">
        <f>IF(SER_hh_tes!C19=0,"",SER_hh_tes!C19/SER_hh_fec!C19)</f>
        <v>0.70116188895464426</v>
      </c>
      <c r="D19" s="136">
        <f>IF(SER_hh_tes!D19=0,"",SER_hh_tes!D19/SER_hh_fec!D19)</f>
        <v>0.70443570255206178</v>
      </c>
      <c r="E19" s="136">
        <f>IF(SER_hh_tes!E19=0,"",SER_hh_tes!E19/SER_hh_fec!E19)</f>
        <v>0.71133933491981238</v>
      </c>
      <c r="F19" s="136">
        <f>IF(SER_hh_tes!F19=0,"",SER_hh_tes!F19/SER_hh_fec!F19)</f>
        <v>0.71547217871735846</v>
      </c>
      <c r="G19" s="136">
        <f>IF(SER_hh_tes!G19=0,"",SER_hh_tes!G19/SER_hh_fec!G19)</f>
        <v>0.71817451374403729</v>
      </c>
      <c r="H19" s="136">
        <f>IF(SER_hh_tes!H19=0,"",SER_hh_tes!H19/SER_hh_fec!H19)</f>
        <v>0.72195256043468492</v>
      </c>
      <c r="I19" s="136">
        <f>IF(SER_hh_tes!I19=0,"",SER_hh_tes!I19/SER_hh_fec!I19)</f>
        <v>0.73587958094048211</v>
      </c>
      <c r="J19" s="136">
        <f>IF(SER_hh_tes!J19=0,"",SER_hh_tes!J19/SER_hh_fec!J19)</f>
        <v>0.75552035739164458</v>
      </c>
      <c r="K19" s="136">
        <f>IF(SER_hh_tes!K19=0,"",SER_hh_tes!K19/SER_hh_fec!K19)</f>
        <v>0.75184022029118092</v>
      </c>
      <c r="L19" s="136">
        <f>IF(SER_hh_tes!L19=0,"",SER_hh_tes!L19/SER_hh_fec!L19)</f>
        <v>0.7941550795984571</v>
      </c>
      <c r="M19" s="136">
        <f>IF(SER_hh_tes!M19=0,"",SER_hh_tes!M19/SER_hh_fec!M19)</f>
        <v>0.80895434728222926</v>
      </c>
      <c r="N19" s="136">
        <f>IF(SER_hh_tes!N19=0,"",SER_hh_tes!N19/SER_hh_fec!N19)</f>
        <v>0.82811613118645566</v>
      </c>
      <c r="O19" s="136">
        <f>IF(SER_hh_tes!O19=0,"",SER_hh_tes!O19/SER_hh_fec!O19)</f>
        <v>0.82911760333924178</v>
      </c>
      <c r="P19" s="136">
        <f>IF(SER_hh_tes!P19=0,"",SER_hh_tes!P19/SER_hh_fec!P19)</f>
        <v>0.83641535028208569</v>
      </c>
      <c r="Q19" s="136">
        <f>IF(SER_hh_tes!Q19=0,"",SER_hh_tes!Q19/SER_hh_fec!Q19)</f>
        <v>0.83751069774772802</v>
      </c>
      <c r="R19" s="136">
        <f>IF(SER_hh_tes!R19=0,"",SER_hh_tes!R19/SER_hh_fec!R19)</f>
        <v>0.84110726736679997</v>
      </c>
      <c r="S19" s="136">
        <f>IF(SER_hh_tes!S19=0,"",SER_hh_tes!S19/SER_hh_fec!S19)</f>
        <v>0.85166850052794973</v>
      </c>
      <c r="T19" s="136">
        <f>IF(SER_hh_tes!T19=0,"",SER_hh_tes!T19/SER_hh_fec!T19)</f>
        <v>0.86529653004561002</v>
      </c>
      <c r="U19" s="136">
        <f>IF(SER_hh_tes!U19=0,"",SER_hh_tes!U19/SER_hh_fec!U19)</f>
        <v>0.87235280422128314</v>
      </c>
      <c r="V19" s="136">
        <f>IF(SER_hh_tes!V19=0,"",SER_hh_tes!V19/SER_hh_fec!V19)</f>
        <v>0.88507032391213281</v>
      </c>
      <c r="W19" s="136">
        <f>IF(SER_hh_tes!W19=0,"",SER_hh_tes!W19/SER_hh_fec!W19)</f>
        <v>0.88988539373005382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>
        <f>IF(SER_hh_tes!B21=0,"",SER_hh_tes!B21/SER_hh_fec!B21)</f>
        <v>0.58720592096865576</v>
      </c>
      <c r="C21" s="137">
        <f>IF(SER_hh_tes!C21=0,"",SER_hh_tes!C21/SER_hh_fec!C21)</f>
        <v>0.58968407676762513</v>
      </c>
      <c r="D21" s="137">
        <f>IF(SER_hh_tes!D21=0,"",SER_hh_tes!D21/SER_hh_fec!D21)</f>
        <v>0.59242892086712851</v>
      </c>
      <c r="E21" s="137">
        <f>IF(SER_hh_tes!E21=0,"",SER_hh_tes!E21/SER_hh_fec!E21)</f>
        <v>0.59461073093248085</v>
      </c>
      <c r="F21" s="137">
        <f>IF(SER_hh_tes!F21=0,"",SER_hh_tes!F21/SER_hh_fec!F21)</f>
        <v>0.59691119487584188</v>
      </c>
      <c r="G21" s="137">
        <f>IF(SER_hh_tes!G21=0,"",SER_hh_tes!G21/SER_hh_fec!G21)</f>
        <v>0.59920924260402153</v>
      </c>
      <c r="H21" s="137">
        <f>IF(SER_hh_tes!H21=0,"",SER_hh_tes!H21/SER_hh_fec!H21)</f>
        <v>0.60197488619525152</v>
      </c>
      <c r="I21" s="137">
        <f>IF(SER_hh_tes!I21=0,"",SER_hh_tes!I21/SER_hh_fec!I21)</f>
        <v>0.60345959646646141</v>
      </c>
      <c r="J21" s="137">
        <f>IF(SER_hh_tes!J21=0,"",SER_hh_tes!J21/SER_hh_fec!J21)</f>
        <v>0.60454258391390958</v>
      </c>
      <c r="K21" s="137">
        <f>IF(SER_hh_tes!K21=0,"",SER_hh_tes!K21/SER_hh_fec!K21)</f>
        <v>0.60731967800364817</v>
      </c>
      <c r="L21" s="137">
        <f>IF(SER_hh_tes!L21=0,"",SER_hh_tes!L21/SER_hh_fec!L21)</f>
        <v>0.60853725552825144</v>
      </c>
      <c r="M21" s="137">
        <f>IF(SER_hh_tes!M21=0,"",SER_hh_tes!M21/SER_hh_fec!M21)</f>
        <v>0.60946280091439564</v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0.55337628668413841</v>
      </c>
      <c r="C22" s="137">
        <f>IF(SER_hh_tes!C22=0,"",SER_hh_tes!C22/SER_hh_fec!C22)</f>
        <v>0.55449718607976872</v>
      </c>
      <c r="D22" s="137">
        <f>IF(SER_hh_tes!D22=0,"",SER_hh_tes!D22/SER_hh_fec!D22)</f>
        <v>0.55588493144445361</v>
      </c>
      <c r="E22" s="137">
        <f>IF(SER_hh_tes!E22=0,"",SER_hh_tes!E22/SER_hh_fec!E22)</f>
        <v>0.55698721830292586</v>
      </c>
      <c r="F22" s="137">
        <f>IF(SER_hh_tes!F22=0,"",SER_hh_tes!F22/SER_hh_fec!F22)</f>
        <v>0.55836293131910841</v>
      </c>
      <c r="G22" s="137">
        <f>IF(SER_hh_tes!G22=0,"",SER_hh_tes!G22/SER_hh_fec!G22)</f>
        <v>0.55959415370189047</v>
      </c>
      <c r="H22" s="137">
        <f>IF(SER_hh_tes!H22=0,"",SER_hh_tes!H22/SER_hh_fec!H22)</f>
        <v>0.56154597721554456</v>
      </c>
      <c r="I22" s="137">
        <f>IF(SER_hh_tes!I22=0,"",SER_hh_tes!I22/SER_hh_fec!I22)</f>
        <v>0.56278617142163589</v>
      </c>
      <c r="J22" s="137">
        <f>IF(SER_hh_tes!J22=0,"",SER_hh_tes!J22/SER_hh_fec!J22)</f>
        <v>0.56417423096018593</v>
      </c>
      <c r="K22" s="137">
        <f>IF(SER_hh_tes!K22=0,"",SER_hh_tes!K22/SER_hh_fec!K22)</f>
        <v>0.56868656882086988</v>
      </c>
      <c r="L22" s="137">
        <f>IF(SER_hh_tes!L22=0,"",SER_hh_tes!L22/SER_hh_fec!L22)</f>
        <v>0.57108288115045902</v>
      </c>
      <c r="M22" s="137">
        <f>IF(SER_hh_tes!M22=0,"",SER_hh_tes!M22/SER_hh_fec!M22)</f>
        <v>0.57545570144534708</v>
      </c>
      <c r="N22" s="137">
        <f>IF(SER_hh_tes!N22=0,"",SER_hh_tes!N22/SER_hh_fec!N22)</f>
        <v>0.5830116493183779</v>
      </c>
      <c r="O22" s="137">
        <f>IF(SER_hh_tes!O22=0,"",SER_hh_tes!O22/SER_hh_fec!O22)</f>
        <v>0.60034908908649409</v>
      </c>
      <c r="P22" s="137">
        <f>IF(SER_hh_tes!P22=0,"",SER_hh_tes!P22/SER_hh_fec!P22)</f>
        <v>0.60163289010965892</v>
      </c>
      <c r="Q22" s="137">
        <f>IF(SER_hh_tes!Q22=0,"",SER_hh_tes!Q22/SER_hh_fec!Q22)</f>
        <v>0.61070734622267109</v>
      </c>
      <c r="R22" s="137">
        <f>IF(SER_hh_tes!R22=0,"",SER_hh_tes!R22/SER_hh_fec!R22)</f>
        <v>0.62395291230594663</v>
      </c>
      <c r="S22" s="137">
        <f>IF(SER_hh_tes!S22=0,"",SER_hh_tes!S22/SER_hh_fec!S22)</f>
        <v>0.63936748006913213</v>
      </c>
      <c r="T22" s="137">
        <f>IF(SER_hh_tes!T22=0,"",SER_hh_tes!T22/SER_hh_fec!T22)</f>
        <v>0.65519921102438017</v>
      </c>
      <c r="U22" s="137">
        <f>IF(SER_hh_tes!U22=0,"",SER_hh_tes!U22/SER_hh_fec!U22)</f>
        <v>0.67643724569395303</v>
      </c>
      <c r="V22" s="137">
        <f>IF(SER_hh_tes!V22=0,"",SER_hh_tes!V22/SER_hh_fec!V22)</f>
        <v>0.69118390734263258</v>
      </c>
      <c r="W22" s="137">
        <f>IF(SER_hh_tes!W22=0,"",SER_hh_tes!W22/SER_hh_fec!W22)</f>
        <v>0.72179968561316954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0.56534253797434852</v>
      </c>
      <c r="C23" s="137">
        <f>IF(SER_hh_tes!C23=0,"",SER_hh_tes!C23/SER_hh_fec!C23)</f>
        <v>0.56943220517846271</v>
      </c>
      <c r="D23" s="137">
        <f>IF(SER_hh_tes!D23=0,"",SER_hh_tes!D23/SER_hh_fec!D23)</f>
        <v>0.57487419909149207</v>
      </c>
      <c r="E23" s="137">
        <f>IF(SER_hh_tes!E23=0,"",SER_hh_tes!E23/SER_hh_fec!E23)</f>
        <v>0.57941634177781121</v>
      </c>
      <c r="F23" s="137">
        <f>IF(SER_hh_tes!F23=0,"",SER_hh_tes!F23/SER_hh_fec!F23)</f>
        <v>0.5857415213954914</v>
      </c>
      <c r="G23" s="137">
        <f>IF(SER_hh_tes!G23=0,"",SER_hh_tes!G23/SER_hh_fec!G23)</f>
        <v>0.59299611214882408</v>
      </c>
      <c r="H23" s="137">
        <f>IF(SER_hh_tes!H23=0,"",SER_hh_tes!H23/SER_hh_fec!H23)</f>
        <v>0.60223362079567455</v>
      </c>
      <c r="I23" s="137">
        <f>IF(SER_hh_tes!I23=0,"",SER_hh_tes!I23/SER_hh_fec!I23)</f>
        <v>0.60859737166784778</v>
      </c>
      <c r="J23" s="137">
        <f>IF(SER_hh_tes!J23=0,"",SER_hh_tes!J23/SER_hh_fec!J23)</f>
        <v>0.61484524433760646</v>
      </c>
      <c r="K23" s="137">
        <f>IF(SER_hh_tes!K23=0,"",SER_hh_tes!K23/SER_hh_fec!K23)</f>
        <v>0.62747785999399741</v>
      </c>
      <c r="L23" s="137">
        <f>IF(SER_hh_tes!L23=0,"",SER_hh_tes!L23/SER_hh_fec!L23)</f>
        <v>0.6344672996512053</v>
      </c>
      <c r="M23" s="137">
        <f>IF(SER_hh_tes!M23=0,"",SER_hh_tes!M23/SER_hh_fec!M23)</f>
        <v>0.64392582237284901</v>
      </c>
      <c r="N23" s="137">
        <f>IF(SER_hh_tes!N23=0,"",SER_hh_tes!N23/SER_hh_fec!N23)</f>
        <v>0.65595824868286234</v>
      </c>
      <c r="O23" s="137">
        <f>IF(SER_hh_tes!O23=0,"",SER_hh_tes!O23/SER_hh_fec!O23)</f>
        <v>0.6739215103088565</v>
      </c>
      <c r="P23" s="137">
        <f>IF(SER_hh_tes!P23=0,"",SER_hh_tes!P23/SER_hh_fec!P23)</f>
        <v>0.67753773103380577</v>
      </c>
      <c r="Q23" s="137">
        <f>IF(SER_hh_tes!Q23=0,"",SER_hh_tes!Q23/SER_hh_fec!Q23)</f>
        <v>0.69257827098717828</v>
      </c>
      <c r="R23" s="137">
        <f>IF(SER_hh_tes!R23=0,"",SER_hh_tes!R23/SER_hh_fec!R23)</f>
        <v>0.70501364324354143</v>
      </c>
      <c r="S23" s="137">
        <f>IF(SER_hh_tes!S23=0,"",SER_hh_tes!S23/SER_hh_fec!S23)</f>
        <v>0.71484028092585394</v>
      </c>
      <c r="T23" s="137">
        <f>IF(SER_hh_tes!T23=0,"",SER_hh_tes!T23/SER_hh_fec!T23)</f>
        <v>0.72548933707303298</v>
      </c>
      <c r="U23" s="137">
        <f>IF(SER_hh_tes!U23=0,"",SER_hh_tes!U23/SER_hh_fec!U23)</f>
        <v>0.74058094769171912</v>
      </c>
      <c r="V23" s="137">
        <f>IF(SER_hh_tes!V23=0,"",SER_hh_tes!V23/SER_hh_fec!V23)</f>
        <v>0.75264606657927546</v>
      </c>
      <c r="W23" s="137">
        <f>IF(SER_hh_tes!W23=0,"",SER_hh_tes!W23/SER_hh_fec!W23)</f>
        <v>0.77544218702452405</v>
      </c>
      <c r="DA23" s="164" t="s">
        <v>347</v>
      </c>
    </row>
    <row r="24" spans="1:105" ht="12" customHeight="1" x14ac:dyDescent="0.25">
      <c r="A24" s="132" t="s">
        <v>128</v>
      </c>
      <c r="B24" s="137">
        <f>IF(SER_hh_tes!B24=0,"",SER_hh_tes!B24/SER_hh_fec!B24)</f>
        <v>0.49753052749774151</v>
      </c>
      <c r="C24" s="137">
        <f>IF(SER_hh_tes!C24=0,"",SER_hh_tes!C24/SER_hh_fec!C24)</f>
        <v>0.50497664622077054</v>
      </c>
      <c r="D24" s="137">
        <f>IF(SER_hh_tes!D24=0,"",SER_hh_tes!D24/SER_hh_fec!D24)</f>
        <v>0.51488336477601249</v>
      </c>
      <c r="E24" s="137">
        <f>IF(SER_hh_tes!E24=0,"",SER_hh_tes!E24/SER_hh_fec!E24)</f>
        <v>0.5231555115887061</v>
      </c>
      <c r="F24" s="137">
        <f>IF(SER_hh_tes!F24=0,"",SER_hh_tes!F24/SER_hh_fec!F24)</f>
        <v>0.53508212298097124</v>
      </c>
      <c r="G24" s="137">
        <f>IF(SER_hh_tes!G24=0,"",SER_hh_tes!G24/SER_hh_fec!G24)</f>
        <v>0.54893507344090042</v>
      </c>
      <c r="H24" s="137">
        <f>IF(SER_hh_tes!H24=0,"",SER_hh_tes!H24/SER_hh_fec!H24)</f>
        <v>0.56739815609601052</v>
      </c>
      <c r="I24" s="137">
        <f>IF(SER_hh_tes!I24=0,"",SER_hh_tes!I24/SER_hh_fec!I24)</f>
        <v>0.58050777623797634</v>
      </c>
      <c r="J24" s="137">
        <f>IF(SER_hh_tes!J24=0,"",SER_hh_tes!J24/SER_hh_fec!J24)</f>
        <v>0.59427555587247505</v>
      </c>
      <c r="K24" s="137">
        <f>IF(SER_hh_tes!K24=0,"",SER_hh_tes!K24/SER_hh_fec!K24)</f>
        <v>0.62249206609628061</v>
      </c>
      <c r="L24" s="137">
        <f>IF(SER_hh_tes!L24=0,"",SER_hh_tes!L24/SER_hh_fec!L24)</f>
        <v>0.63933094893099796</v>
      </c>
      <c r="M24" s="137">
        <f>IF(SER_hh_tes!M24=0,"",SER_hh_tes!M24/SER_hh_fec!M24)</f>
        <v>0.66173790982624181</v>
      </c>
      <c r="N24" s="137">
        <f>IF(SER_hh_tes!N24=0,"",SER_hh_tes!N24/SER_hh_fec!N24)</f>
        <v>0.68855630234307286</v>
      </c>
      <c r="O24" s="137">
        <f>IF(SER_hh_tes!O24=0,"",SER_hh_tes!O24/SER_hh_fec!O24)</f>
        <v>0.71795914711442244</v>
      </c>
      <c r="P24" s="137">
        <f>IF(SER_hh_tes!P24=0,"",SER_hh_tes!P24/SER_hh_fec!P24)</f>
        <v>0.72186590723721034</v>
      </c>
      <c r="Q24" s="137">
        <f>IF(SER_hh_tes!Q24=0,"",SER_hh_tes!Q24/SER_hh_fec!Q24)</f>
        <v>0.73297812590785738</v>
      </c>
      <c r="R24" s="137">
        <f>IF(SER_hh_tes!R24=0,"",SER_hh_tes!R24/SER_hh_fec!R24)</f>
        <v>0.74286016938039623</v>
      </c>
      <c r="S24" s="137">
        <f>IF(SER_hh_tes!S24=0,"",SER_hh_tes!S24/SER_hh_fec!S24)</f>
        <v>0.75188046346983717</v>
      </c>
      <c r="T24" s="137">
        <f>IF(SER_hh_tes!T24=0,"",SER_hh_tes!T24/SER_hh_fec!T24)</f>
        <v>0.76124081115211006</v>
      </c>
      <c r="U24" s="137">
        <f>IF(SER_hh_tes!U24=0,"",SER_hh_tes!U24/SER_hh_fec!U24)</f>
        <v>0.7741998299826115</v>
      </c>
      <c r="V24" s="137">
        <f>IF(SER_hh_tes!V24=0,"",SER_hh_tes!V24/SER_hh_fec!V24)</f>
        <v>0.78408004336085724</v>
      </c>
      <c r="W24" s="137">
        <f>IF(SER_hh_tes!W24=0,"",SER_hh_tes!W24/SER_hh_fec!W24)</f>
        <v>0.80306224719932973</v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0.84625378919052396</v>
      </c>
      <c r="C25" s="137">
        <f>IF(SER_hh_tes!C25=0,"",SER_hh_tes!C25/SER_hh_fec!C25)</f>
        <v>0.84812455769666451</v>
      </c>
      <c r="D25" s="137">
        <f>IF(SER_hh_tes!D25=0,"",SER_hh_tes!D25/SER_hh_fec!D25)</f>
        <v>0.85022218385115178</v>
      </c>
      <c r="E25" s="137">
        <f>IF(SER_hh_tes!E25=0,"",SER_hh_tes!E25/SER_hh_fec!E25)</f>
        <v>0.8518274672953341</v>
      </c>
      <c r="F25" s="137">
        <f>IF(SER_hh_tes!F25=0,"",SER_hh_tes!F25/SER_hh_fec!F25)</f>
        <v>0.85448309494542152</v>
      </c>
      <c r="G25" s="137">
        <f>IF(SER_hh_tes!G25=0,"",SER_hh_tes!G25/SER_hh_fec!G25)</f>
        <v>0.85839539227718542</v>
      </c>
      <c r="H25" s="137">
        <f>IF(SER_hh_tes!H25=0,"",SER_hh_tes!H25/SER_hh_fec!H25)</f>
        <v>0.86414553421629159</v>
      </c>
      <c r="I25" s="137">
        <f>IF(SER_hh_tes!I25=0,"",SER_hh_tes!I25/SER_hh_fec!I25)</f>
        <v>0.86835740582559995</v>
      </c>
      <c r="J25" s="137">
        <f>IF(SER_hh_tes!J25=0,"",SER_hh_tes!J25/SER_hh_fec!J25)</f>
        <v>0.87192440523792514</v>
      </c>
      <c r="K25" s="137">
        <f>IF(SER_hh_tes!K25=0,"",SER_hh_tes!K25/SER_hh_fec!K25)</f>
        <v>0.87800942079913735</v>
      </c>
      <c r="L25" s="137">
        <f>IF(SER_hh_tes!L25=0,"",SER_hh_tes!L25/SER_hh_fec!L25)</f>
        <v>0.88064125781997682</v>
      </c>
      <c r="M25" s="137">
        <f>IF(SER_hh_tes!M25=0,"",SER_hh_tes!M25/SER_hh_fec!M25)</f>
        <v>0.88381125936375593</v>
      </c>
      <c r="N25" s="137">
        <f>IF(SER_hh_tes!N25=0,"",SER_hh_tes!N25/SER_hh_fec!N25)</f>
        <v>0.88723625248134463</v>
      </c>
      <c r="O25" s="137">
        <f>IF(SER_hh_tes!O25=0,"",SER_hh_tes!O25/SER_hh_fec!O25)</f>
        <v>0.89167425319696259</v>
      </c>
      <c r="P25" s="137">
        <f>IF(SER_hh_tes!P25=0,"",SER_hh_tes!P25/SER_hh_fec!P25)</f>
        <v>0.89220338386555609</v>
      </c>
      <c r="Q25" s="137">
        <f>IF(SER_hh_tes!Q25=0,"",SER_hh_tes!Q25/SER_hh_fec!Q25)</f>
        <v>0.89591917436928326</v>
      </c>
      <c r="R25" s="137">
        <f>IF(SER_hh_tes!R25=0,"",SER_hh_tes!R25/SER_hh_fec!R25)</f>
        <v>0.89907938376104302</v>
      </c>
      <c r="S25" s="137">
        <f>IF(SER_hh_tes!S25=0,"",SER_hh_tes!S25/SER_hh_fec!S25)</f>
        <v>0.90152577317825056</v>
      </c>
      <c r="T25" s="137">
        <f>IF(SER_hh_tes!T25=0,"",SER_hh_tes!T25/SER_hh_fec!T25)</f>
        <v>0.9045091163441954</v>
      </c>
      <c r="U25" s="137">
        <f>IF(SER_hh_tes!U25=0,"",SER_hh_tes!U25/SER_hh_fec!U25)</f>
        <v>0.90938493675966481</v>
      </c>
      <c r="V25" s="137">
        <f>IF(SER_hh_tes!V25=0,"",SER_hh_tes!V25/SER_hh_fec!V25)</f>
        <v>0.91297438139631282</v>
      </c>
      <c r="W25" s="137">
        <f>IF(SER_hh_tes!W25=0,"",SER_hh_tes!W25/SER_hh_fec!W25)</f>
        <v>0.92121590629558747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0.69730736511187807</v>
      </c>
      <c r="C26" s="138">
        <f>IF(SER_hh_tes!C26=0,"",SER_hh_tes!C26/SER_hh_fec!C26)</f>
        <v>0.70009812941336302</v>
      </c>
      <c r="D26" s="138">
        <f>IF(SER_hh_tes!D26=0,"",SER_hh_tes!D26/SER_hh_fec!D26)</f>
        <v>0.70304644737108879</v>
      </c>
      <c r="E26" s="138">
        <f>IF(SER_hh_tes!E26=0,"",SER_hh_tes!E26/SER_hh_fec!E26)</f>
        <v>0.70512460978430103</v>
      </c>
      <c r="F26" s="138">
        <f>IF(SER_hh_tes!F26=0,"",SER_hh_tes!F26/SER_hh_fec!F26)</f>
        <v>0.70890989433179241</v>
      </c>
      <c r="G26" s="138">
        <f>IF(SER_hh_tes!G26=0,"",SER_hh_tes!G26/SER_hh_fec!G26)</f>
        <v>0.71433975206152811</v>
      </c>
      <c r="H26" s="138">
        <f>IF(SER_hh_tes!H26=0,"",SER_hh_tes!H26/SER_hh_fec!H26)</f>
        <v>0.72094258505036579</v>
      </c>
      <c r="I26" s="138">
        <f>IF(SER_hh_tes!I26=0,"",SER_hh_tes!I26/SER_hh_fec!I26)</f>
        <v>0.7225169538825541</v>
      </c>
      <c r="J26" s="138">
        <f>IF(SER_hh_tes!J26=0,"",SER_hh_tes!J26/SER_hh_fec!J26)</f>
        <v>0.72453263412321167</v>
      </c>
      <c r="K26" s="138">
        <f>IF(SER_hh_tes!K26=0,"",SER_hh_tes!K26/SER_hh_fec!K26)</f>
        <v>0.72892536387771145</v>
      </c>
      <c r="L26" s="138">
        <f>IF(SER_hh_tes!L26=0,"",SER_hh_tes!L26/SER_hh_fec!L26)</f>
        <v>0.73034045457149399</v>
      </c>
      <c r="M26" s="138">
        <f>IF(SER_hh_tes!M26=0,"",SER_hh_tes!M26/SER_hh_fec!M26)</f>
        <v>0.73202891974997131</v>
      </c>
      <c r="N26" s="138">
        <f>IF(SER_hh_tes!N26=0,"",SER_hh_tes!N26/SER_hh_fec!N26)</f>
        <v>0.73403328166754456</v>
      </c>
      <c r="O26" s="138">
        <f>IF(SER_hh_tes!O26=0,"",SER_hh_tes!O26/SER_hh_fec!O26)</f>
        <v>0.74703122609848704</v>
      </c>
      <c r="P26" s="138">
        <f>IF(SER_hh_tes!P26=0,"",SER_hh_tes!P26/SER_hh_fec!P26)</f>
        <v>0.7484613193841585</v>
      </c>
      <c r="Q26" s="138">
        <f>IF(SER_hh_tes!Q26=0,"",SER_hh_tes!Q26/SER_hh_fec!Q26)</f>
        <v>0.76616538884717489</v>
      </c>
      <c r="R26" s="138">
        <f>IF(SER_hh_tes!R26=0,"",SER_hh_tes!R26/SER_hh_fec!R26)</f>
        <v>0.77954349715502103</v>
      </c>
      <c r="S26" s="138">
        <f>IF(SER_hh_tes!S26=0,"",SER_hh_tes!S26/SER_hh_fec!S26)</f>
        <v>0.78356136553333111</v>
      </c>
      <c r="T26" s="138">
        <f>IF(SER_hh_tes!T26=0,"",SER_hh_tes!T26/SER_hh_fec!T26)</f>
        <v>0.78812225223678334</v>
      </c>
      <c r="U26" s="138">
        <f>IF(SER_hh_tes!U26=0,"",SER_hh_tes!U26/SER_hh_fec!U26)</f>
        <v>0.80093457432049275</v>
      </c>
      <c r="V26" s="138">
        <f>IF(SER_hh_tes!V26=0,"",SER_hh_tes!V26/SER_hh_fec!V26)</f>
        <v>0.81119897014937115</v>
      </c>
      <c r="W26" s="138">
        <f>IF(SER_hh_tes!W26=0,"",SER_hh_tes!W26/SER_hh_fec!W26)</f>
        <v>0.84719083606718759</v>
      </c>
      <c r="DA26" s="165" t="s">
        <v>350</v>
      </c>
    </row>
    <row r="27" spans="1:105" ht="12" customHeight="1" x14ac:dyDescent="0.25">
      <c r="A27" s="145" t="s">
        <v>26</v>
      </c>
      <c r="B27" s="154">
        <f>IF(SER_hh_tes!B27=0,"",SER_hh_tes!B27/SER_hh_fec!B27)</f>
        <v>1</v>
      </c>
      <c r="C27" s="154">
        <f>IF(SER_hh_tes!C27=0,"",SER_hh_tes!C27/SER_hh_fec!C27)</f>
        <v>1</v>
      </c>
      <c r="D27" s="154">
        <f>IF(SER_hh_tes!D27=0,"",SER_hh_tes!D27/SER_hh_fec!D27)</f>
        <v>1</v>
      </c>
      <c r="E27" s="154">
        <f>IF(SER_hh_tes!E27=0,"",SER_hh_tes!E27/SER_hh_fec!E27)</f>
        <v>1</v>
      </c>
      <c r="F27" s="154">
        <f>IF(SER_hh_tes!F27=0,"",SER_hh_tes!F27/SER_hh_fec!F27)</f>
        <v>1</v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0.71916316823455428</v>
      </c>
      <c r="C29" s="136">
        <f>IF(SER_hh_tes!C29=0,"",SER_hh_tes!C29/SER_hh_fec!C29)</f>
        <v>0.7102744863849586</v>
      </c>
      <c r="D29" s="136">
        <f>IF(SER_hh_tes!D29=0,"",SER_hh_tes!D29/SER_hh_fec!D29)</f>
        <v>0.68655885892950108</v>
      </c>
      <c r="E29" s="136">
        <f>IF(SER_hh_tes!E29=0,"",SER_hh_tes!E29/SER_hh_fec!E29)</f>
        <v>0.68022556098473852</v>
      </c>
      <c r="F29" s="136">
        <f>IF(SER_hh_tes!F29=0,"",SER_hh_tes!F29/SER_hh_fec!F29)</f>
        <v>0.67094076307719774</v>
      </c>
      <c r="G29" s="136">
        <f>IF(SER_hh_tes!G29=0,"",SER_hh_tes!G29/SER_hh_fec!G29)</f>
        <v>0.68521257362266674</v>
      </c>
      <c r="H29" s="136">
        <f>IF(SER_hh_tes!H29=0,"",SER_hh_tes!H29/SER_hh_fec!H29)</f>
        <v>0.68713585083278228</v>
      </c>
      <c r="I29" s="136">
        <f>IF(SER_hh_tes!I29=0,"",SER_hh_tes!I29/SER_hh_fec!I29)</f>
        <v>0.70159839205460583</v>
      </c>
      <c r="J29" s="136">
        <f>IF(SER_hh_tes!J29=0,"",SER_hh_tes!J29/SER_hh_fec!J29)</f>
        <v>0.70922870667674309</v>
      </c>
      <c r="K29" s="136">
        <f>IF(SER_hh_tes!K29=0,"",SER_hh_tes!K29/SER_hh_fec!K29)</f>
        <v>0.70492482165885739</v>
      </c>
      <c r="L29" s="136">
        <f>IF(SER_hh_tes!L29=0,"",SER_hh_tes!L29/SER_hh_fec!L29)</f>
        <v>0.69144601687137208</v>
      </c>
      <c r="M29" s="136">
        <f>IF(SER_hh_tes!M29=0,"",SER_hh_tes!M29/SER_hh_fec!M29)</f>
        <v>0.69764801052969305</v>
      </c>
      <c r="N29" s="136">
        <f>IF(SER_hh_tes!N29=0,"",SER_hh_tes!N29/SER_hh_fec!N29)</f>
        <v>0.72834919902824313</v>
      </c>
      <c r="O29" s="136">
        <f>IF(SER_hh_tes!O29=0,"",SER_hh_tes!O29/SER_hh_fec!O29)</f>
        <v>0.72904108264684042</v>
      </c>
      <c r="P29" s="136">
        <f>IF(SER_hh_tes!P29=0,"",SER_hh_tes!P29/SER_hh_fec!P29)</f>
        <v>0.7302960397759739</v>
      </c>
      <c r="Q29" s="136">
        <f>IF(SER_hh_tes!Q29=0,"",SER_hh_tes!Q29/SER_hh_fec!Q29)</f>
        <v>0.73099111527586302</v>
      </c>
      <c r="R29" s="136">
        <f>IF(SER_hh_tes!R29=0,"",SER_hh_tes!R29/SER_hh_fec!R29)</f>
        <v>0.73428601412133154</v>
      </c>
      <c r="S29" s="136">
        <f>IF(SER_hh_tes!S29=0,"",SER_hh_tes!S29/SER_hh_fec!S29)</f>
        <v>0.73363092396736584</v>
      </c>
      <c r="T29" s="136">
        <f>IF(SER_hh_tes!T29=0,"",SER_hh_tes!T29/SER_hh_fec!T29)</f>
        <v>0.73718205814054838</v>
      </c>
      <c r="U29" s="136">
        <f>IF(SER_hh_tes!U29=0,"",SER_hh_tes!U29/SER_hh_fec!U29)</f>
        <v>0.73824169345320079</v>
      </c>
      <c r="V29" s="136">
        <f>IF(SER_hh_tes!V29=0,"",SER_hh_tes!V29/SER_hh_fec!V29)</f>
        <v>0.74447721707891379</v>
      </c>
      <c r="W29" s="136">
        <f>IF(SER_hh_tes!W29=0,"",SER_hh_tes!W29/SER_hh_fec!W29)</f>
        <v>0.74982757231247854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0.59973488405802877</v>
      </c>
      <c r="C30" s="137">
        <f>IF(SER_hh_tes!C30=0,"",SER_hh_tes!C30/SER_hh_fec!C30)</f>
        <v>0.60078099289639608</v>
      </c>
      <c r="D30" s="137">
        <f>IF(SER_hh_tes!D30=0,"",SER_hh_tes!D30/SER_hh_fec!D30)</f>
        <v>0.6026564909390717</v>
      </c>
      <c r="E30" s="137">
        <f>IF(SER_hh_tes!E30=0,"",SER_hh_tes!E30/SER_hh_fec!E30)</f>
        <v>0.60374946011712882</v>
      </c>
      <c r="F30" s="137">
        <f>IF(SER_hh_tes!F30=0,"",SER_hh_tes!F30/SER_hh_fec!F30)</f>
        <v>0.60428693064703665</v>
      </c>
      <c r="G30" s="137">
        <f>IF(SER_hh_tes!G30=0,"",SER_hh_tes!G30/SER_hh_fec!G30)</f>
        <v>0.60473061978124543</v>
      </c>
      <c r="H30" s="137">
        <f>IF(SER_hh_tes!H30=0,"",SER_hh_tes!H30/SER_hh_fec!H30)</f>
        <v>0.6050615834448706</v>
      </c>
      <c r="I30" s="137">
        <f>IF(SER_hh_tes!I30=0,"",SER_hh_tes!I30/SER_hh_fec!I30)</f>
        <v>0.60541714459155016</v>
      </c>
      <c r="J30" s="137">
        <f>IF(SER_hh_tes!J30=0,"",SER_hh_tes!J30/SER_hh_fec!J30)</f>
        <v>0.60585473965073544</v>
      </c>
      <c r="K30" s="137">
        <f>IF(SER_hh_tes!K30=0,"",SER_hh_tes!K30/SER_hh_fec!K30)</f>
        <v>0.60668001391869719</v>
      </c>
      <c r="L30" s="137">
        <f>IF(SER_hh_tes!L30=0,"",SER_hh_tes!L30/SER_hh_fec!L30)</f>
        <v>0.6073093154583179</v>
      </c>
      <c r="M30" s="137">
        <f>IF(SER_hh_tes!M30=0,"",SER_hh_tes!M30/SER_hh_fec!M30)</f>
        <v>0.60739413611601389</v>
      </c>
      <c r="N30" s="137">
        <f>IF(SER_hh_tes!N30=0,"",SER_hh_tes!N30/SER_hh_fec!N30)</f>
        <v>0.607524401669854</v>
      </c>
      <c r="O30" s="137">
        <f>IF(SER_hh_tes!O30=0,"",SER_hh_tes!O30/SER_hh_fec!O30)</f>
        <v>0.60761183661780727</v>
      </c>
      <c r="P30" s="137">
        <f>IF(SER_hh_tes!P30=0,"",SER_hh_tes!P30/SER_hh_fec!P30)</f>
        <v>0.60789313659385469</v>
      </c>
      <c r="Q30" s="137">
        <f>IF(SER_hh_tes!Q30=0,"",SER_hh_tes!Q30/SER_hh_fec!Q30)</f>
        <v>0.60874775265735448</v>
      </c>
      <c r="R30" s="137">
        <f>IF(SER_hh_tes!R30=0,"",SER_hh_tes!R30/SER_hh_fec!R30)</f>
        <v>0.60938953212980196</v>
      </c>
      <c r="S30" s="137">
        <f>IF(SER_hh_tes!S30=0,"",SER_hh_tes!S30/SER_hh_fec!S30)</f>
        <v>0.61044996410398544</v>
      </c>
      <c r="T30" s="137">
        <f>IF(SER_hh_tes!T30=0,"",SER_hh_tes!T30/SER_hh_fec!T30)</f>
        <v>0.61091887974226489</v>
      </c>
      <c r="U30" s="137">
        <f>IF(SER_hh_tes!U30=0,"",SER_hh_tes!U30/SER_hh_fec!U30)</f>
        <v>0.61147716025792243</v>
      </c>
      <c r="V30" s="137">
        <f>IF(SER_hh_tes!V30=0,"",SER_hh_tes!V30/SER_hh_fec!V30)</f>
        <v>0.61213606849836133</v>
      </c>
      <c r="W30" s="137">
        <f>IF(SER_hh_tes!W30=0,"",SER_hh_tes!W30/SER_hh_fec!W30)</f>
        <v>0.61349058568703596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0.60289796672878249</v>
      </c>
      <c r="C31" s="137">
        <f>IF(SER_hh_tes!C31=0,"",SER_hh_tes!C31/SER_hh_fec!C31)</f>
        <v>0.60388631829379535</v>
      </c>
      <c r="D31" s="137">
        <f>IF(SER_hh_tes!D31=0,"",SER_hh_tes!D31/SER_hh_fec!D31)</f>
        <v>0.6048692467583594</v>
      </c>
      <c r="E31" s="137">
        <f>IF(SER_hh_tes!E31=0,"",SER_hh_tes!E31/SER_hh_fec!E31)</f>
        <v>0.60581716219051696</v>
      </c>
      <c r="F31" s="137">
        <f>IF(SER_hh_tes!F31=0,"",SER_hh_tes!F31/SER_hh_fec!F31)</f>
        <v>0.60676449244681518</v>
      </c>
      <c r="G31" s="137">
        <f>IF(SER_hh_tes!G31=0,"",SER_hh_tes!G31/SER_hh_fec!G31)</f>
        <v>0.60767566012176844</v>
      </c>
      <c r="H31" s="137">
        <f>IF(SER_hh_tes!H31=0,"",SER_hh_tes!H31/SER_hh_fec!H31)</f>
        <v>0.60857974723406405</v>
      </c>
      <c r="I31" s="137">
        <f>IF(SER_hh_tes!I31=0,"",SER_hh_tes!I31/SER_hh_fec!I31)</f>
        <v>0.60948025196511846</v>
      </c>
      <c r="J31" s="137">
        <f>IF(SER_hh_tes!J31=0,"",SER_hh_tes!J31/SER_hh_fec!J31)</f>
        <v>0.61040807475353498</v>
      </c>
      <c r="K31" s="137">
        <f>IF(SER_hh_tes!K31=0,"",SER_hh_tes!K31/SER_hh_fec!K31)</f>
        <v>0.61136978973535527</v>
      </c>
      <c r="L31" s="137">
        <f>IF(SER_hh_tes!L31=0,"",SER_hh_tes!L31/SER_hh_fec!L31)</f>
        <v>0.61207102319984941</v>
      </c>
      <c r="M31" s="137">
        <f>IF(SER_hh_tes!M31=0,"",SER_hh_tes!M31/SER_hh_fec!M31)</f>
        <v>0.61232846151073317</v>
      </c>
      <c r="N31" s="137">
        <f>IF(SER_hh_tes!N31=0,"",SER_hh_tes!N31/SER_hh_fec!N31)</f>
        <v>0.61264215244915132</v>
      </c>
      <c r="O31" s="137">
        <f>IF(SER_hh_tes!O31=0,"",SER_hh_tes!O31/SER_hh_fec!O31)</f>
        <v>0.61303381318609207</v>
      </c>
      <c r="P31" s="137">
        <f>IF(SER_hh_tes!P31=0,"",SER_hh_tes!P31/SER_hh_fec!P31)</f>
        <v>0.61336696808045921</v>
      </c>
      <c r="Q31" s="137">
        <f>IF(SER_hh_tes!Q31=0,"",SER_hh_tes!Q31/SER_hh_fec!Q31)</f>
        <v>0.61364155871213133</v>
      </c>
      <c r="R31" s="137">
        <f>IF(SER_hh_tes!R31=0,"",SER_hh_tes!R31/SER_hh_fec!R31)</f>
        <v>0.61403698823102071</v>
      </c>
      <c r="S31" s="137">
        <f>IF(SER_hh_tes!S31=0,"",SER_hh_tes!S31/SER_hh_fec!S31)</f>
        <v>0.6146795749110765</v>
      </c>
      <c r="T31" s="137">
        <f>IF(SER_hh_tes!T31=0,"",SER_hh_tes!T31/SER_hh_fec!T31)</f>
        <v>0.61560275240253393</v>
      </c>
      <c r="U31" s="137">
        <f>IF(SER_hh_tes!U31=0,"",SER_hh_tes!U31/SER_hh_fec!U31)</f>
        <v>0.61679269876191267</v>
      </c>
      <c r="V31" s="137">
        <f>IF(SER_hh_tes!V31=0,"",SER_hh_tes!V31/SER_hh_fec!V31)</f>
        <v>0.61817218442308186</v>
      </c>
      <c r="W31" s="137">
        <f>IF(SER_hh_tes!W31=0,"",SER_hh_tes!W31/SER_hh_fec!W31)</f>
        <v>0.61970982492268445</v>
      </c>
      <c r="DA31" s="164" t="s">
        <v>353</v>
      </c>
    </row>
    <row r="32" spans="1:105" ht="12" customHeight="1" x14ac:dyDescent="0.25">
      <c r="A32" s="132" t="s">
        <v>128</v>
      </c>
      <c r="B32" s="137">
        <f>IF(SER_hh_tes!B32=0,"",SER_hh_tes!B32/SER_hh_fec!B32)</f>
        <v>0.56406219650565259</v>
      </c>
      <c r="C32" s="137">
        <f>IF(SER_hh_tes!C32=0,"",SER_hh_tes!C32/SER_hh_fec!C32)</f>
        <v>0.56467818414102533</v>
      </c>
      <c r="D32" s="137">
        <f>IF(SER_hh_tes!D32=0,"",SER_hh_tes!D32/SER_hh_fec!D32)</f>
        <v>0.56535375773845553</v>
      </c>
      <c r="E32" s="137">
        <f>IF(SER_hh_tes!E32=0,"",SER_hh_tes!E32/SER_hh_fec!E32)</f>
        <v>0.5660170554287286</v>
      </c>
      <c r="F32" s="137">
        <f>IF(SER_hh_tes!F32=0,"",SER_hh_tes!F32/SER_hh_fec!F32)</f>
        <v>0.56676151955513843</v>
      </c>
      <c r="G32" s="137">
        <f>IF(SER_hh_tes!G32=0,"",SER_hh_tes!G32/SER_hh_fec!G32)</f>
        <v>0.56751452331772567</v>
      </c>
      <c r="H32" s="137">
        <f>IF(SER_hh_tes!H32=0,"",SER_hh_tes!H32/SER_hh_fec!H32)</f>
        <v>0.56835712734696553</v>
      </c>
      <c r="I32" s="137">
        <f>IF(SER_hh_tes!I32=0,"",SER_hh_tes!I32/SER_hh_fec!I32)</f>
        <v>0.56928820146722636</v>
      </c>
      <c r="J32" s="137">
        <f>IF(SER_hh_tes!J32=0,"",SER_hh_tes!J32/SER_hh_fec!J32)</f>
        <v>0.57037743911411765</v>
      </c>
      <c r="K32" s="137">
        <f>IF(SER_hh_tes!K32=0,"",SER_hh_tes!K32/SER_hh_fec!K32)</f>
        <v>0.57164352088805293</v>
      </c>
      <c r="L32" s="137">
        <f>IF(SER_hh_tes!L32=0,"",SER_hh_tes!L32/SER_hh_fec!L32)</f>
        <v>0.57260796526401769</v>
      </c>
      <c r="M32" s="137">
        <f>IF(SER_hh_tes!M32=0,"",SER_hh_tes!M32/SER_hh_fec!M32)</f>
        <v>0.57282645907830498</v>
      </c>
      <c r="N32" s="137">
        <f>IF(SER_hh_tes!N32=0,"",SER_hh_tes!N32/SER_hh_fec!N32)</f>
        <v>0.57315335271942536</v>
      </c>
      <c r="O32" s="137">
        <f>IF(SER_hh_tes!O32=0,"",SER_hh_tes!O32/SER_hh_fec!O32)</f>
        <v>0.5735578546796094</v>
      </c>
      <c r="P32" s="137">
        <f>IF(SER_hh_tes!P32=0,"",SER_hh_tes!P32/SER_hh_fec!P32)</f>
        <v>0.57390105532190838</v>
      </c>
      <c r="Q32" s="137">
        <f>IF(SER_hh_tes!Q32=0,"",SER_hh_tes!Q32/SER_hh_fec!Q32)</f>
        <v>0.57416266209124101</v>
      </c>
      <c r="R32" s="137">
        <f>IF(SER_hh_tes!R32=0,"",SER_hh_tes!R32/SER_hh_fec!R32)</f>
        <v>0.5745592365714326</v>
      </c>
      <c r="S32" s="137">
        <f>IF(SER_hh_tes!S32=0,"",SER_hh_tes!S32/SER_hh_fec!S32)</f>
        <v>0.57522905116135881</v>
      </c>
      <c r="T32" s="137">
        <f>IF(SER_hh_tes!T32=0,"",SER_hh_tes!T32/SER_hh_fec!T32)</f>
        <v>0.57627351078149225</v>
      </c>
      <c r="U32" s="137">
        <f>IF(SER_hh_tes!U32=0,"",SER_hh_tes!U32/SER_hh_fec!U32)</f>
        <v>0.57762262064792658</v>
      </c>
      <c r="V32" s="137">
        <f>IF(SER_hh_tes!V32=0,"",SER_hh_tes!V32/SER_hh_fec!V32)</f>
        <v>0.57908226067240298</v>
      </c>
      <c r="W32" s="137">
        <f>IF(SER_hh_tes!W32=0,"",SER_hh_tes!W32/SER_hh_fec!W32)</f>
        <v>0.58046906396584586</v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0.78657159350172168</v>
      </c>
      <c r="C33" s="150">
        <f>IF(SER_hh_tes!C33=0,"",SER_hh_tes!C33/SER_hh_fec!C33)</f>
        <v>0.78775575100485806</v>
      </c>
      <c r="D33" s="150">
        <f>IF(SER_hh_tes!D33=0,"",SER_hh_tes!D33/SER_hh_fec!D33)</f>
        <v>0.78838248252700815</v>
      </c>
      <c r="E33" s="150">
        <f>IF(SER_hh_tes!E33=0,"",SER_hh_tes!E33/SER_hh_fec!E33)</f>
        <v>0.7893827200015</v>
      </c>
      <c r="F33" s="150">
        <f>IF(SER_hh_tes!F33=0,"",SER_hh_tes!F33/SER_hh_fec!F33)</f>
        <v>0.79152323620880549</v>
      </c>
      <c r="G33" s="150">
        <f>IF(SER_hh_tes!G33=0,"",SER_hh_tes!G33/SER_hh_fec!G33)</f>
        <v>0.79408320531945165</v>
      </c>
      <c r="H33" s="150">
        <f>IF(SER_hh_tes!H33=0,"",SER_hh_tes!H33/SER_hh_fec!H33)</f>
        <v>0.79707233805539146</v>
      </c>
      <c r="I33" s="150">
        <f>IF(SER_hh_tes!I33=0,"",SER_hh_tes!I33/SER_hh_fec!I33)</f>
        <v>0.80037383536750495</v>
      </c>
      <c r="J33" s="150">
        <f>IF(SER_hh_tes!J33=0,"",SER_hh_tes!J33/SER_hh_fec!J33)</f>
        <v>0.80294974105648964</v>
      </c>
      <c r="K33" s="150">
        <f>IF(SER_hh_tes!K33=0,"",SER_hh_tes!K33/SER_hh_fec!K33)</f>
        <v>0.80540777072028025</v>
      </c>
      <c r="L33" s="150">
        <f>IF(SER_hh_tes!L33=0,"",SER_hh_tes!L33/SER_hh_fec!L33)</f>
        <v>0.80746073177559108</v>
      </c>
      <c r="M33" s="150">
        <f>IF(SER_hh_tes!M33=0,"",SER_hh_tes!M33/SER_hh_fec!M33)</f>
        <v>0.80817888002183302</v>
      </c>
      <c r="N33" s="150">
        <f>IF(SER_hh_tes!N33=0,"",SER_hh_tes!N33/SER_hh_fec!N33)</f>
        <v>0.80965637397976575</v>
      </c>
      <c r="O33" s="150">
        <f>IF(SER_hh_tes!O33=0,"",SER_hh_tes!O33/SER_hh_fec!O33)</f>
        <v>0.81131202616661235</v>
      </c>
      <c r="P33" s="150">
        <f>IF(SER_hh_tes!P33=0,"",SER_hh_tes!P33/SER_hh_fec!P33)</f>
        <v>0.81306620605295565</v>
      </c>
      <c r="Q33" s="150">
        <f>IF(SER_hh_tes!Q33=0,"",SER_hh_tes!Q33/SER_hh_fec!Q33)</f>
        <v>0.81530281652441239</v>
      </c>
      <c r="R33" s="150">
        <f>IF(SER_hh_tes!R33=0,"",SER_hh_tes!R33/SER_hh_fec!R33)</f>
        <v>0.81887440435605829</v>
      </c>
      <c r="S33" s="150">
        <f>IF(SER_hh_tes!S33=0,"",SER_hh_tes!S33/SER_hh_fec!S33)</f>
        <v>0.82346184025758806</v>
      </c>
      <c r="T33" s="150">
        <f>IF(SER_hh_tes!T33=0,"",SER_hh_tes!T33/SER_hh_fec!T33)</f>
        <v>0.82933513640926182</v>
      </c>
      <c r="U33" s="150">
        <f>IF(SER_hh_tes!U33=0,"",SER_hh_tes!U33/SER_hh_fec!U33)</f>
        <v>0.83584844526122981</v>
      </c>
      <c r="V33" s="150">
        <f>IF(SER_hh_tes!V33=0,"",SER_hh_tes!V33/SER_hh_fec!V33)</f>
        <v>0.84212664150190075</v>
      </c>
      <c r="W33" s="150">
        <f>IF(SER_hh_tes!W33=0,"",SER_hh_tes!W33/SER_hh_fec!W33)</f>
        <v>0.8485485705919994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2958.9846021202115</v>
      </c>
      <c r="C3" s="126">
        <f t="shared" si="0"/>
        <v>3964.3284480581292</v>
      </c>
      <c r="D3" s="126">
        <f t="shared" si="0"/>
        <v>3828.1061311640683</v>
      </c>
      <c r="E3" s="126">
        <f t="shared" si="0"/>
        <v>4490.2416591065339</v>
      </c>
      <c r="F3" s="126">
        <f t="shared" si="0"/>
        <v>4332.3450981125206</v>
      </c>
      <c r="G3" s="126">
        <f t="shared" si="0"/>
        <v>3602.8330299266695</v>
      </c>
      <c r="H3" s="126">
        <f t="shared" si="0"/>
        <v>3628.1954025034925</v>
      </c>
      <c r="I3" s="126">
        <f t="shared" si="0"/>
        <v>2650.5417977914772</v>
      </c>
      <c r="J3" s="126">
        <f t="shared" si="0"/>
        <v>2841.3335942386207</v>
      </c>
      <c r="K3" s="126">
        <f t="shared" si="0"/>
        <v>2272.3018284222048</v>
      </c>
      <c r="L3" s="126">
        <f t="shared" si="0"/>
        <v>1765.8278098876926</v>
      </c>
      <c r="M3" s="126">
        <f t="shared" si="0"/>
        <v>1581.3454966463892</v>
      </c>
      <c r="N3" s="126">
        <f t="shared" si="0"/>
        <v>1435.9855202092949</v>
      </c>
      <c r="O3" s="126">
        <f t="shared" si="0"/>
        <v>1436.7450878015648</v>
      </c>
      <c r="P3" s="126">
        <f t="shared" si="0"/>
        <v>1311.4538559823141</v>
      </c>
      <c r="Q3" s="126">
        <f t="shared" si="0"/>
        <v>1383.7824532074046</v>
      </c>
      <c r="R3" s="126">
        <f t="shared" ref="R3:W3" si="1">SUM(R4,R16,R19,R29)</f>
        <v>1291.8092374799996</v>
      </c>
      <c r="S3" s="126">
        <f t="shared" si="1"/>
        <v>1498.5978030000001</v>
      </c>
      <c r="T3" s="126">
        <f t="shared" si="1"/>
        <v>1377.5239666799998</v>
      </c>
      <c r="U3" s="126">
        <f t="shared" si="1"/>
        <v>1396.8035701199997</v>
      </c>
      <c r="V3" s="126">
        <f t="shared" si="1"/>
        <v>1343.9147738400002</v>
      </c>
      <c r="W3" s="126">
        <f t="shared" si="1"/>
        <v>1563.9546751200003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2477.8261612112692</v>
      </c>
      <c r="C4" s="131">
        <f t="shared" si="2"/>
        <v>3440.9366136944777</v>
      </c>
      <c r="D4" s="131">
        <f t="shared" si="2"/>
        <v>3208.1376720367984</v>
      </c>
      <c r="E4" s="131">
        <f t="shared" si="2"/>
        <v>3828.1469452042029</v>
      </c>
      <c r="F4" s="131">
        <f t="shared" si="2"/>
        <v>3625.2032302116518</v>
      </c>
      <c r="G4" s="131">
        <f t="shared" si="2"/>
        <v>2940.1147547166611</v>
      </c>
      <c r="H4" s="131">
        <f t="shared" si="2"/>
        <v>2981.9080725150943</v>
      </c>
      <c r="I4" s="131">
        <f t="shared" si="2"/>
        <v>2065.4170811836434</v>
      </c>
      <c r="J4" s="131">
        <f t="shared" si="2"/>
        <v>2300.8516566439539</v>
      </c>
      <c r="K4" s="131">
        <f t="shared" si="2"/>
        <v>1716.8991133212965</v>
      </c>
      <c r="L4" s="131">
        <f t="shared" si="2"/>
        <v>1187.9942246366618</v>
      </c>
      <c r="M4" s="131">
        <f t="shared" si="2"/>
        <v>1039.2558357106639</v>
      </c>
      <c r="N4" s="131">
        <f t="shared" si="2"/>
        <v>1044.1964722574114</v>
      </c>
      <c r="O4" s="131">
        <f t="shared" si="2"/>
        <v>1045.2570813616335</v>
      </c>
      <c r="P4" s="131">
        <f t="shared" si="2"/>
        <v>924.14443301698702</v>
      </c>
      <c r="Q4" s="131">
        <f t="shared" si="2"/>
        <v>997.16878705061481</v>
      </c>
      <c r="R4" s="131">
        <f t="shared" ref="R4:W4" si="3">SUM(R5:R15)</f>
        <v>907.91858436182838</v>
      </c>
      <c r="S4" s="131">
        <f t="shared" si="3"/>
        <v>1102.1451528622711</v>
      </c>
      <c r="T4" s="131">
        <f t="shared" si="3"/>
        <v>984.80752023282457</v>
      </c>
      <c r="U4" s="131">
        <f t="shared" si="3"/>
        <v>998.89170956892258</v>
      </c>
      <c r="V4" s="131">
        <f t="shared" si="3"/>
        <v>975.75081548693424</v>
      </c>
      <c r="W4" s="131">
        <f t="shared" si="3"/>
        <v>1183.0302551661266</v>
      </c>
      <c r="DA4" s="156" t="s">
        <v>233</v>
      </c>
    </row>
    <row r="5" spans="1:105" ht="12" customHeight="1" x14ac:dyDescent="0.25">
      <c r="A5" s="132" t="s">
        <v>29</v>
      </c>
      <c r="B5" s="133">
        <v>108.63683516021109</v>
      </c>
      <c r="C5" s="133">
        <v>115.70874365812817</v>
      </c>
      <c r="D5" s="133">
        <v>81.513682964068124</v>
      </c>
      <c r="E5" s="133">
        <v>112.22350542653277</v>
      </c>
      <c r="F5" s="133">
        <v>81.045471672520065</v>
      </c>
      <c r="G5" s="133">
        <v>67.264527806668895</v>
      </c>
      <c r="H5" s="133">
        <v>49.080088263491618</v>
      </c>
      <c r="I5" s="133">
        <v>38.685383991478012</v>
      </c>
      <c r="J5" s="133">
        <v>23.820653278620302</v>
      </c>
      <c r="K5" s="133">
        <v>18.147125302205318</v>
      </c>
      <c r="L5" s="133">
        <v>20.302414447691977</v>
      </c>
      <c r="M5" s="133">
        <v>14.245010486388994</v>
      </c>
      <c r="N5" s="133">
        <v>0.28763324929536299</v>
      </c>
      <c r="O5" s="133">
        <v>0.72282824156378567</v>
      </c>
      <c r="P5" s="133">
        <v>9.0955702314335099E-2</v>
      </c>
      <c r="Q5" s="133">
        <v>6.2605007404109361E-2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1090.0302972500367</v>
      </c>
      <c r="C7" s="133">
        <v>1501.434886504959</v>
      </c>
      <c r="D7" s="133">
        <v>1498.280743520221</v>
      </c>
      <c r="E7" s="133">
        <v>1861.0945140736765</v>
      </c>
      <c r="F7" s="133">
        <v>1328.0532625367618</v>
      </c>
      <c r="G7" s="133">
        <v>1698.0356071985941</v>
      </c>
      <c r="H7" s="133">
        <v>1716.6017535663186</v>
      </c>
      <c r="I7" s="133">
        <v>1169.056824901427</v>
      </c>
      <c r="J7" s="133">
        <v>1368.0955275696633</v>
      </c>
      <c r="K7" s="133">
        <v>1058.9781108505895</v>
      </c>
      <c r="L7" s="133">
        <v>483.46460267801405</v>
      </c>
      <c r="M7" s="133">
        <v>471.50492126317232</v>
      </c>
      <c r="N7" s="133">
        <v>391.37539239073044</v>
      </c>
      <c r="O7" s="133">
        <v>388.5406071394591</v>
      </c>
      <c r="P7" s="133">
        <v>427.33310745238896</v>
      </c>
      <c r="Q7" s="133">
        <v>447.6231144890703</v>
      </c>
      <c r="R7" s="133">
        <v>409.17141190422649</v>
      </c>
      <c r="S7" s="133">
        <v>562.65039973103706</v>
      </c>
      <c r="T7" s="133">
        <v>492.05960584908894</v>
      </c>
      <c r="U7" s="133">
        <v>457.4419976913473</v>
      </c>
      <c r="V7" s="133">
        <v>448.84650220001174</v>
      </c>
      <c r="W7" s="133">
        <v>577.85124809752995</v>
      </c>
      <c r="DA7" s="157" t="s">
        <v>359</v>
      </c>
    </row>
    <row r="8" spans="1:105" ht="12" customHeight="1" x14ac:dyDescent="0.25">
      <c r="A8" s="132" t="s">
        <v>73</v>
      </c>
      <c r="B8" s="133">
        <v>7.0324607100592766</v>
      </c>
      <c r="C8" s="133">
        <v>9.2748457734533627</v>
      </c>
      <c r="D8" s="133">
        <v>9.4121018088012409</v>
      </c>
      <c r="E8" s="133">
        <v>11.724677055238445</v>
      </c>
      <c r="F8" s="133">
        <v>12.544764436631466</v>
      </c>
      <c r="G8" s="133">
        <v>12.22553996955366</v>
      </c>
      <c r="H8" s="133">
        <v>13.45476393116641</v>
      </c>
      <c r="I8" s="133">
        <v>10.90115290273638</v>
      </c>
      <c r="J8" s="133">
        <v>12.371297266434501</v>
      </c>
      <c r="K8" s="133">
        <v>10.052369117392997</v>
      </c>
      <c r="L8" s="133">
        <v>9.4987354410395337</v>
      </c>
      <c r="M8" s="133">
        <v>8.5428152580536434</v>
      </c>
      <c r="N8" s="133">
        <v>7.8258872258876302</v>
      </c>
      <c r="O8" s="133">
        <v>6.9178373730771021</v>
      </c>
      <c r="P8" s="133">
        <v>6.4745362856379387</v>
      </c>
      <c r="Q8" s="133">
        <v>6.4836561255397598</v>
      </c>
      <c r="R8" s="133">
        <v>6.6516459250756483</v>
      </c>
      <c r="S8" s="133">
        <v>7.3272447431642584</v>
      </c>
      <c r="T8" s="133">
        <v>6.8259150319467912</v>
      </c>
      <c r="U8" s="133">
        <v>6.9697737052664257</v>
      </c>
      <c r="V8" s="133">
        <v>5.8265646035034999</v>
      </c>
      <c r="W8" s="133">
        <v>6.2823809651352676</v>
      </c>
      <c r="DA8" s="157" t="s">
        <v>360</v>
      </c>
    </row>
    <row r="9" spans="1:105" ht="12" customHeight="1" x14ac:dyDescent="0.25">
      <c r="A9" s="132" t="s">
        <v>78</v>
      </c>
      <c r="B9" s="133">
        <v>1203.8283993209918</v>
      </c>
      <c r="C9" s="133">
        <v>1737.301021010182</v>
      </c>
      <c r="D9" s="133">
        <v>1543.290861553684</v>
      </c>
      <c r="E9" s="133">
        <v>1761.7200974210668</v>
      </c>
      <c r="F9" s="133">
        <v>2137.3452393715029</v>
      </c>
      <c r="G9" s="133">
        <v>1030.4077507834761</v>
      </c>
      <c r="H9" s="133">
        <v>1112.9513958758571</v>
      </c>
      <c r="I9" s="133">
        <v>806.19998139316135</v>
      </c>
      <c r="J9" s="133">
        <v>890.12748170864052</v>
      </c>
      <c r="K9" s="133">
        <v>623.24117091408721</v>
      </c>
      <c r="L9" s="133">
        <v>667.33440557111328</v>
      </c>
      <c r="M9" s="133">
        <v>539.04338604195925</v>
      </c>
      <c r="N9" s="133">
        <v>644.70755939149797</v>
      </c>
      <c r="O9" s="133">
        <v>649.07580860753353</v>
      </c>
      <c r="P9" s="133">
        <v>490.24583357664574</v>
      </c>
      <c r="Q9" s="133">
        <v>542.99941142860064</v>
      </c>
      <c r="R9" s="133">
        <v>492.09552653252621</v>
      </c>
      <c r="S9" s="133">
        <v>532.16750838806979</v>
      </c>
      <c r="T9" s="133">
        <v>485.92199935178883</v>
      </c>
      <c r="U9" s="133">
        <v>534.47993817230883</v>
      </c>
      <c r="V9" s="133">
        <v>521.07774868341903</v>
      </c>
      <c r="W9" s="133">
        <v>598.89662610346147</v>
      </c>
      <c r="DA9" s="157" t="s">
        <v>361</v>
      </c>
    </row>
    <row r="10" spans="1:105" ht="12" customHeight="1" x14ac:dyDescent="0.25">
      <c r="A10" s="132" t="s">
        <v>128</v>
      </c>
      <c r="B10" s="133">
        <v>68.298168769970218</v>
      </c>
      <c r="C10" s="133">
        <v>77.217116747755114</v>
      </c>
      <c r="D10" s="133">
        <v>75.640282190024323</v>
      </c>
      <c r="E10" s="133">
        <v>81.38415122768869</v>
      </c>
      <c r="F10" s="133">
        <v>66.214492194235532</v>
      </c>
      <c r="G10" s="133">
        <v>132.18132895836817</v>
      </c>
      <c r="H10" s="133">
        <v>89.82007087826068</v>
      </c>
      <c r="I10" s="133">
        <v>40.573737994840847</v>
      </c>
      <c r="J10" s="133">
        <v>6.4366968205948538</v>
      </c>
      <c r="K10" s="133">
        <v>6.4803371370214897</v>
      </c>
      <c r="L10" s="133">
        <v>7.3940664988029443</v>
      </c>
      <c r="M10" s="133">
        <v>5.919702661089822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9.1592199936101029E-2</v>
      </c>
      <c r="C16" s="131">
        <f t="shared" si="4"/>
        <v>9.8737193669760664E-2</v>
      </c>
      <c r="D16" s="131">
        <f t="shared" si="4"/>
        <v>0.11865895179222748</v>
      </c>
      <c r="E16" s="131">
        <f t="shared" si="4"/>
        <v>0.13643098188183198</v>
      </c>
      <c r="F16" s="131">
        <f t="shared" si="4"/>
        <v>0.15646359647247934</v>
      </c>
      <c r="G16" s="131">
        <f t="shared" si="4"/>
        <v>0.18295176303785432</v>
      </c>
      <c r="H16" s="131">
        <f t="shared" si="4"/>
        <v>0.2143901104019228</v>
      </c>
      <c r="I16" s="131">
        <f t="shared" si="4"/>
        <v>0.26629055421130038</v>
      </c>
      <c r="J16" s="131">
        <f t="shared" si="4"/>
        <v>0.30159804998504197</v>
      </c>
      <c r="K16" s="131">
        <f t="shared" si="4"/>
        <v>0.36177964884406982</v>
      </c>
      <c r="L16" s="131">
        <f t="shared" si="4"/>
        <v>0.4088538488684938</v>
      </c>
      <c r="M16" s="131">
        <f t="shared" si="4"/>
        <v>0.46689021870678254</v>
      </c>
      <c r="N16" s="131">
        <f t="shared" si="4"/>
        <v>0.51141731829564419</v>
      </c>
      <c r="O16" s="131">
        <f t="shared" si="4"/>
        <v>0.61024454346331636</v>
      </c>
      <c r="P16" s="131">
        <f t="shared" si="4"/>
        <v>0.60039475523992059</v>
      </c>
      <c r="Q16" s="131">
        <f t="shared" si="4"/>
        <v>0.82506148777544075</v>
      </c>
      <c r="R16" s="131">
        <f t="shared" ref="R16:W16" si="5">SUM(R17:R18)</f>
        <v>0.73696546267913254</v>
      </c>
      <c r="S16" s="131">
        <f t="shared" si="5"/>
        <v>0.87538455655306935</v>
      </c>
      <c r="T16" s="131">
        <f t="shared" si="5"/>
        <v>0.91952361254854575</v>
      </c>
      <c r="U16" s="131">
        <f t="shared" si="5"/>
        <v>1.0513670695390054</v>
      </c>
      <c r="V16" s="131">
        <f t="shared" si="5"/>
        <v>0.9827953990776368</v>
      </c>
      <c r="W16" s="131">
        <f t="shared" si="5"/>
        <v>1.0537732949000977</v>
      </c>
      <c r="DA16" s="156" t="s">
        <v>234</v>
      </c>
    </row>
    <row r="17" spans="1:105" ht="12.95" customHeight="1" x14ac:dyDescent="0.25">
      <c r="A17" s="132" t="s">
        <v>73</v>
      </c>
      <c r="B17" s="133">
        <v>9.1592199936101029E-2</v>
      </c>
      <c r="C17" s="133">
        <v>9.8737193669760664E-2</v>
      </c>
      <c r="D17" s="133">
        <v>0.11865895179222748</v>
      </c>
      <c r="E17" s="133">
        <v>0.13643098188183198</v>
      </c>
      <c r="F17" s="133">
        <v>0.15646359647247934</v>
      </c>
      <c r="G17" s="133">
        <v>0.18295176303785432</v>
      </c>
      <c r="H17" s="133">
        <v>0.2143901104019228</v>
      </c>
      <c r="I17" s="133">
        <v>0.26629055421130038</v>
      </c>
      <c r="J17" s="133">
        <v>0.30159804998504197</v>
      </c>
      <c r="K17" s="133">
        <v>0.36177964884406982</v>
      </c>
      <c r="L17" s="133">
        <v>0.4088538488684938</v>
      </c>
      <c r="M17" s="133">
        <v>0.46689021870678254</v>
      </c>
      <c r="N17" s="133">
        <v>0.51141731829564419</v>
      </c>
      <c r="O17" s="133">
        <v>0.61024454346331636</v>
      </c>
      <c r="P17" s="133">
        <v>0.60039475523992059</v>
      </c>
      <c r="Q17" s="133">
        <v>0.82506148777544075</v>
      </c>
      <c r="R17" s="133">
        <v>0.73696546267913254</v>
      </c>
      <c r="S17" s="133">
        <v>0.87538455655306935</v>
      </c>
      <c r="T17" s="133">
        <v>0.91952361254854575</v>
      </c>
      <c r="U17" s="133">
        <v>1.0513670695390054</v>
      </c>
      <c r="V17" s="133">
        <v>0.9827953990776368</v>
      </c>
      <c r="W17" s="133">
        <v>1.0537732949000977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316.08948394252212</v>
      </c>
      <c r="C19" s="131">
        <f t="shared" si="6"/>
        <v>321.4090092413947</v>
      </c>
      <c r="D19" s="131">
        <f t="shared" si="6"/>
        <v>321.16790351134199</v>
      </c>
      <c r="E19" s="131">
        <f t="shared" si="6"/>
        <v>322.85927960343406</v>
      </c>
      <c r="F19" s="131">
        <f t="shared" si="6"/>
        <v>320.29467624481492</v>
      </c>
      <c r="G19" s="131">
        <f t="shared" si="6"/>
        <v>317.59984902688365</v>
      </c>
      <c r="H19" s="131">
        <f t="shared" si="6"/>
        <v>301.4398821372468</v>
      </c>
      <c r="I19" s="131">
        <f t="shared" si="6"/>
        <v>288.30800497180098</v>
      </c>
      <c r="J19" s="131">
        <f t="shared" si="6"/>
        <v>265.80664969063633</v>
      </c>
      <c r="K19" s="131">
        <f t="shared" si="6"/>
        <v>254.5722224475636</v>
      </c>
      <c r="L19" s="131">
        <f t="shared" si="6"/>
        <v>217.3659431500532</v>
      </c>
      <c r="M19" s="131">
        <f t="shared" si="6"/>
        <v>200.53305410690163</v>
      </c>
      <c r="N19" s="131">
        <f t="shared" si="6"/>
        <v>159.330746484804</v>
      </c>
      <c r="O19" s="131">
        <f t="shared" si="6"/>
        <v>156.69614640842343</v>
      </c>
      <c r="P19" s="131">
        <f t="shared" si="6"/>
        <v>151.01049682721103</v>
      </c>
      <c r="Q19" s="131">
        <f t="shared" si="6"/>
        <v>147.45878328844117</v>
      </c>
      <c r="R19" s="131">
        <f t="shared" ref="R19:W19" si="7">SUM(R20:R27)</f>
        <v>145.44386324937827</v>
      </c>
      <c r="S19" s="131">
        <f t="shared" si="7"/>
        <v>144.19031804713109</v>
      </c>
      <c r="T19" s="131">
        <f t="shared" si="7"/>
        <v>140.08003128151159</v>
      </c>
      <c r="U19" s="131">
        <f t="shared" si="7"/>
        <v>135.08799594102652</v>
      </c>
      <c r="V19" s="131">
        <f t="shared" si="7"/>
        <v>123.21304739506155</v>
      </c>
      <c r="W19" s="131">
        <f t="shared" si="7"/>
        <v>129.9904131740096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41.278354129562224</v>
      </c>
      <c r="C21" s="133">
        <v>47.967697011082862</v>
      </c>
      <c r="D21" s="133">
        <v>49.913287403780174</v>
      </c>
      <c r="E21" s="133">
        <v>54.05435953455391</v>
      </c>
      <c r="F21" s="133">
        <v>56.111919881100292</v>
      </c>
      <c r="G21" s="133">
        <v>57.14901756640306</v>
      </c>
      <c r="H21" s="133">
        <v>57.708081363010365</v>
      </c>
      <c r="I21" s="133">
        <v>57.112388373744068</v>
      </c>
      <c r="J21" s="133">
        <v>53.980350291832082</v>
      </c>
      <c r="K21" s="133">
        <v>48.660453867351343</v>
      </c>
      <c r="L21" s="133">
        <v>34.027956268398647</v>
      </c>
      <c r="M21" s="133">
        <v>23.966055147472066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208.27437558996326</v>
      </c>
      <c r="C22" s="133">
        <v>206.16796097504158</v>
      </c>
      <c r="D22" s="133">
        <v>203.28377355977906</v>
      </c>
      <c r="E22" s="133">
        <v>200.78968984632425</v>
      </c>
      <c r="F22" s="133">
        <v>196.70501938323773</v>
      </c>
      <c r="G22" s="133">
        <v>183.68531368140634</v>
      </c>
      <c r="H22" s="133">
        <v>170.52484739368143</v>
      </c>
      <c r="I22" s="133">
        <v>161.59315997857286</v>
      </c>
      <c r="J22" s="133">
        <v>144.62562803033657</v>
      </c>
      <c r="K22" s="133">
        <v>138.32566902941022</v>
      </c>
      <c r="L22" s="133">
        <v>115.44589596198632</v>
      </c>
      <c r="M22" s="133">
        <v>108.48262053682801</v>
      </c>
      <c r="N22" s="133">
        <v>91.38669812926949</v>
      </c>
      <c r="O22" s="133">
        <v>87.078535820541191</v>
      </c>
      <c r="P22" s="133">
        <v>80.896553787611055</v>
      </c>
      <c r="Q22" s="133">
        <v>75.91910895092974</v>
      </c>
      <c r="R22" s="133">
        <v>73.996887135773235</v>
      </c>
      <c r="S22" s="133">
        <v>73.537869228962563</v>
      </c>
      <c r="T22" s="133">
        <v>70.073703550911176</v>
      </c>
      <c r="U22" s="133">
        <v>66.580461788652556</v>
      </c>
      <c r="V22" s="133">
        <v>58.434918319988526</v>
      </c>
      <c r="W22" s="133">
        <v>62.421985862470422</v>
      </c>
      <c r="DA22" s="157" t="s">
        <v>372</v>
      </c>
    </row>
    <row r="23" spans="1:105" ht="12" customHeight="1" x14ac:dyDescent="0.25">
      <c r="A23" s="132" t="s">
        <v>153</v>
      </c>
      <c r="B23" s="133">
        <v>58.838709113379785</v>
      </c>
      <c r="C23" s="133">
        <v>59.184849567739406</v>
      </c>
      <c r="D23" s="133">
        <v>60.00044832878833</v>
      </c>
      <c r="E23" s="133">
        <v>60.767017379135559</v>
      </c>
      <c r="F23" s="133">
        <v>62.035595867702568</v>
      </c>
      <c r="G23" s="133">
        <v>63.221604234703271</v>
      </c>
      <c r="H23" s="133">
        <v>64.68261337608088</v>
      </c>
      <c r="I23" s="133">
        <v>65.504092149195685</v>
      </c>
      <c r="J23" s="133">
        <v>66.388819059495248</v>
      </c>
      <c r="K23" s="133">
        <v>66.764668920635174</v>
      </c>
      <c r="L23" s="133">
        <v>67.143580627542349</v>
      </c>
      <c r="M23" s="133">
        <v>67.301881757038373</v>
      </c>
      <c r="N23" s="133">
        <v>67.944048355534505</v>
      </c>
      <c r="O23" s="133">
        <v>69.617610587882254</v>
      </c>
      <c r="P23" s="133">
        <v>70.113943039599974</v>
      </c>
      <c r="Q23" s="133">
        <v>71.539674337511428</v>
      </c>
      <c r="R23" s="133">
        <v>71.446976113605032</v>
      </c>
      <c r="S23" s="133">
        <v>70.652448818168523</v>
      </c>
      <c r="T23" s="133">
        <v>70.006327730600404</v>
      </c>
      <c r="U23" s="133">
        <v>68.50753415237395</v>
      </c>
      <c r="V23" s="133">
        <v>64.778129075073025</v>
      </c>
      <c r="W23" s="133">
        <v>67.568427311539182</v>
      </c>
      <c r="DA23" s="157" t="s">
        <v>373</v>
      </c>
    </row>
    <row r="24" spans="1:105" ht="12" customHeight="1" x14ac:dyDescent="0.25">
      <c r="A24" s="132" t="s">
        <v>128</v>
      </c>
      <c r="B24" s="133">
        <v>7.6980451096168583</v>
      </c>
      <c r="C24" s="133">
        <v>8.0885016875308473</v>
      </c>
      <c r="D24" s="133">
        <v>7.9703942189944446</v>
      </c>
      <c r="E24" s="133">
        <v>7.2482128434203563</v>
      </c>
      <c r="F24" s="133">
        <v>5.4421411127743244</v>
      </c>
      <c r="G24" s="133">
        <v>13.543913544370991</v>
      </c>
      <c r="H24" s="133">
        <v>8.5243400044741602</v>
      </c>
      <c r="I24" s="133">
        <v>4.0983644702884057</v>
      </c>
      <c r="J24" s="133">
        <v>0.81185230897243243</v>
      </c>
      <c r="K24" s="133">
        <v>0.82143063016684326</v>
      </c>
      <c r="L24" s="133">
        <v>0.74851029212586262</v>
      </c>
      <c r="M24" s="133">
        <v>0.78249666556316266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164.97736476648359</v>
      </c>
      <c r="C29" s="131">
        <f t="shared" si="8"/>
        <v>201.88408792858672</v>
      </c>
      <c r="D29" s="131">
        <f t="shared" si="8"/>
        <v>298.68189666413531</v>
      </c>
      <c r="E29" s="131">
        <f t="shared" si="8"/>
        <v>339.09900331701454</v>
      </c>
      <c r="F29" s="131">
        <f t="shared" si="8"/>
        <v>386.69072805958132</v>
      </c>
      <c r="G29" s="131">
        <f t="shared" si="8"/>
        <v>344.93547442008725</v>
      </c>
      <c r="H29" s="131">
        <f t="shared" si="8"/>
        <v>344.63305774074917</v>
      </c>
      <c r="I29" s="131">
        <f t="shared" si="8"/>
        <v>296.55042108182187</v>
      </c>
      <c r="J29" s="131">
        <f t="shared" si="8"/>
        <v>274.37368985404549</v>
      </c>
      <c r="K29" s="131">
        <f t="shared" si="8"/>
        <v>300.46871300450067</v>
      </c>
      <c r="L29" s="131">
        <f t="shared" si="8"/>
        <v>360.05878825210891</v>
      </c>
      <c r="M29" s="131">
        <f t="shared" si="8"/>
        <v>341.08971661011708</v>
      </c>
      <c r="N29" s="131">
        <f t="shared" si="8"/>
        <v>231.94688414878388</v>
      </c>
      <c r="O29" s="131">
        <f t="shared" si="8"/>
        <v>234.18161548804451</v>
      </c>
      <c r="P29" s="131">
        <f t="shared" si="8"/>
        <v>235.69853138287604</v>
      </c>
      <c r="Q29" s="131">
        <f t="shared" si="8"/>
        <v>238.32982138057321</v>
      </c>
      <c r="R29" s="131">
        <f t="shared" ref="R29:W29" si="9">SUM(R30:R33)</f>
        <v>237.70982440611394</v>
      </c>
      <c r="S29" s="131">
        <f t="shared" si="9"/>
        <v>251.38694753404491</v>
      </c>
      <c r="T29" s="131">
        <f t="shared" si="9"/>
        <v>251.71689155311518</v>
      </c>
      <c r="U29" s="131">
        <f t="shared" si="9"/>
        <v>261.77249754051184</v>
      </c>
      <c r="V29" s="131">
        <f t="shared" si="9"/>
        <v>243.96811555892677</v>
      </c>
      <c r="W29" s="131">
        <f t="shared" si="9"/>
        <v>249.88023348496412</v>
      </c>
      <c r="DA29" s="156" t="s">
        <v>236</v>
      </c>
    </row>
    <row r="30" spans="1:105" ht="12" customHeight="1" x14ac:dyDescent="0.25">
      <c r="A30" s="132" t="s">
        <v>52</v>
      </c>
      <c r="B30" s="133">
        <v>28.384121590437758</v>
      </c>
      <c r="C30" s="133">
        <v>47.818178708917152</v>
      </c>
      <c r="D30" s="133">
        <v>130.04786211621982</v>
      </c>
      <c r="E30" s="133">
        <v>160.73814142544612</v>
      </c>
      <c r="F30" s="133">
        <v>196.41435583889981</v>
      </c>
      <c r="G30" s="133">
        <v>143.64701999359698</v>
      </c>
      <c r="H30" s="133">
        <v>142.40579471698959</v>
      </c>
      <c r="I30" s="133">
        <v>94.055095346255925</v>
      </c>
      <c r="J30" s="133">
        <v>68.851876508167919</v>
      </c>
      <c r="K30" s="133">
        <v>86.304615692648625</v>
      </c>
      <c r="L30" s="133">
        <v>140.92045353160125</v>
      </c>
      <c r="M30" s="133">
        <v>120.22648077252776</v>
      </c>
      <c r="N30" s="133">
        <v>10.921852799999993</v>
      </c>
      <c r="O30" s="133">
        <v>10.536362279999999</v>
      </c>
      <c r="P30" s="133">
        <v>8.4483075599999982</v>
      </c>
      <c r="Q30" s="133">
        <v>9.0798123600000054</v>
      </c>
      <c r="R30" s="133">
        <v>7.8224817599999987</v>
      </c>
      <c r="S30" s="133">
        <v>20.045279879999988</v>
      </c>
      <c r="T30" s="133">
        <v>18.203239440000008</v>
      </c>
      <c r="U30" s="133">
        <v>20.0627712</v>
      </c>
      <c r="V30" s="133">
        <v>19.538940240000006</v>
      </c>
      <c r="W30" s="133">
        <v>22.492701720000014</v>
      </c>
      <c r="DA30" s="157" t="s">
        <v>378</v>
      </c>
    </row>
    <row r="31" spans="1:105" ht="12" customHeight="1" x14ac:dyDescent="0.25">
      <c r="A31" s="132" t="s">
        <v>153</v>
      </c>
      <c r="B31" s="133">
        <v>132.36662865563289</v>
      </c>
      <c r="C31" s="133">
        <v>149.56775645495554</v>
      </c>
      <c r="D31" s="133">
        <v>163.8705393569343</v>
      </c>
      <c r="E31" s="133">
        <v>174.04299716267741</v>
      </c>
      <c r="F31" s="133">
        <v>187.00077672769137</v>
      </c>
      <c r="G31" s="133">
        <v>193.41076172922942</v>
      </c>
      <c r="H31" s="133">
        <v>197.47679630649435</v>
      </c>
      <c r="I31" s="133">
        <v>200.2742962006952</v>
      </c>
      <c r="J31" s="133">
        <v>205.10035727544482</v>
      </c>
      <c r="K31" s="133">
        <v>213.74952787904039</v>
      </c>
      <c r="L31" s="133">
        <v>218.74449791143641</v>
      </c>
      <c r="M31" s="133">
        <v>220.46840236424225</v>
      </c>
      <c r="N31" s="133">
        <v>221.0250313487839</v>
      </c>
      <c r="O31" s="133">
        <v>223.64525320804452</v>
      </c>
      <c r="P31" s="133">
        <v>227.25022382287605</v>
      </c>
      <c r="Q31" s="133">
        <v>229.2500090205732</v>
      </c>
      <c r="R31" s="133">
        <v>229.88734264611395</v>
      </c>
      <c r="S31" s="133">
        <v>231.34166765404493</v>
      </c>
      <c r="T31" s="133">
        <v>233.51365211311517</v>
      </c>
      <c r="U31" s="133">
        <v>241.70972634051185</v>
      </c>
      <c r="V31" s="133">
        <v>224.42917531892675</v>
      </c>
      <c r="W31" s="133">
        <v>227.38753176496411</v>
      </c>
      <c r="DA31" s="157" t="s">
        <v>379</v>
      </c>
    </row>
    <row r="32" spans="1:105" ht="12" customHeight="1" x14ac:dyDescent="0.25">
      <c r="A32" s="132" t="s">
        <v>128</v>
      </c>
      <c r="B32" s="133">
        <v>4.2266145204129479</v>
      </c>
      <c r="C32" s="133">
        <v>4.4981527647140247</v>
      </c>
      <c r="D32" s="133">
        <v>4.7634951909812147</v>
      </c>
      <c r="E32" s="133">
        <v>4.317864728890993</v>
      </c>
      <c r="F32" s="133">
        <v>3.275595492990143</v>
      </c>
      <c r="G32" s="133">
        <v>7.8776926972608541</v>
      </c>
      <c r="H32" s="133">
        <v>4.7504667172652431</v>
      </c>
      <c r="I32" s="133">
        <v>2.2210295348707643</v>
      </c>
      <c r="J32" s="133">
        <v>0.42145607043271616</v>
      </c>
      <c r="K32" s="133">
        <v>0.41456943281166908</v>
      </c>
      <c r="L32" s="133">
        <v>0.39383680907119717</v>
      </c>
      <c r="M32" s="133">
        <v>0.39483347334701685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162100.38036206205</v>
      </c>
      <c r="C3" s="126">
        <f>IF(SER_hh_fec!C3=0,0,11630*1000*SER_hh_fec!C3/SER_hh_num!C3)</f>
        <v>190909.1292308406</v>
      </c>
      <c r="D3" s="126">
        <f>IF(SER_hh_fec!D3=0,0,11630*1000*SER_hh_fec!D3/SER_hh_num!D3)</f>
        <v>182763.83907516373</v>
      </c>
      <c r="E3" s="126">
        <f>IF(SER_hh_fec!E3=0,0,11630*1000*SER_hh_fec!E3/SER_hh_num!E3)</f>
        <v>205372.87064029995</v>
      </c>
      <c r="F3" s="126">
        <f>IF(SER_hh_fec!F3=0,0,11630*1000*SER_hh_fec!F3/SER_hh_num!F3)</f>
        <v>198672.57434026146</v>
      </c>
      <c r="G3" s="126">
        <f>IF(SER_hh_fec!G3=0,0,11630*1000*SER_hh_fec!G3/SER_hh_num!G3)</f>
        <v>181727.30183502877</v>
      </c>
      <c r="H3" s="126">
        <f>IF(SER_hh_fec!H3=0,0,11630*1000*SER_hh_fec!H3/SER_hh_num!H3)</f>
        <v>183319.86843750137</v>
      </c>
      <c r="I3" s="126">
        <f>IF(SER_hh_fec!I3=0,0,11630*1000*SER_hh_fec!I3/SER_hh_num!I3)</f>
        <v>150624.84053559948</v>
      </c>
      <c r="J3" s="126">
        <f>IF(SER_hh_fec!J3=0,0,11630*1000*SER_hh_fec!J3/SER_hh_num!J3)</f>
        <v>163289.97967297389</v>
      </c>
      <c r="K3" s="126">
        <f>IF(SER_hh_fec!K3=0,0,11630*1000*SER_hh_fec!K3/SER_hh_num!K3)</f>
        <v>143186.83365021017</v>
      </c>
      <c r="L3" s="126">
        <f>IF(SER_hh_fec!L3=0,0,11630*1000*SER_hh_fec!L3/SER_hh_num!L3)</f>
        <v>138249.55853335431</v>
      </c>
      <c r="M3" s="126">
        <f>IF(SER_hh_fec!M3=0,0,11630*1000*SER_hh_fec!M3/SER_hh_num!M3)</f>
        <v>129667.93126810122</v>
      </c>
      <c r="N3" s="126">
        <f>IF(SER_hh_fec!N3=0,0,11630*1000*SER_hh_fec!N3/SER_hh_num!N3)</f>
        <v>127716.49949603925</v>
      </c>
      <c r="O3" s="126">
        <f>IF(SER_hh_fec!O3=0,0,11630*1000*SER_hh_fec!O3/SER_hh_num!O3)</f>
        <v>125422.86772334122</v>
      </c>
      <c r="P3" s="126">
        <f>IF(SER_hh_fec!P3=0,0,11630*1000*SER_hh_fec!P3/SER_hh_num!P3)</f>
        <v>113634.82058677479</v>
      </c>
      <c r="Q3" s="126">
        <f>IF(SER_hh_fec!Q3=0,0,11630*1000*SER_hh_fec!Q3/SER_hh_num!Q3)</f>
        <v>116675.79377399437</v>
      </c>
      <c r="R3" s="126">
        <f>IF(SER_hh_fec!R3=0,0,11630*1000*SER_hh_fec!R3/SER_hh_num!R3)</f>
        <v>110567.44821376883</v>
      </c>
      <c r="S3" s="126">
        <f>IF(SER_hh_fec!S3=0,0,11630*1000*SER_hh_fec!S3/SER_hh_num!S3)</f>
        <v>120357.53285742665</v>
      </c>
      <c r="T3" s="126">
        <f>IF(SER_hh_fec!T3=0,0,11630*1000*SER_hh_fec!T3/SER_hh_num!T3)</f>
        <v>113867.83199270051</v>
      </c>
      <c r="U3" s="126">
        <f>IF(SER_hh_fec!U3=0,0,11630*1000*SER_hh_fec!U3/SER_hh_num!U3)</f>
        <v>114946.70609425983</v>
      </c>
      <c r="V3" s="126">
        <f>IF(SER_hh_fec!V3=0,0,11630*1000*SER_hh_fec!V3/SER_hh_num!V3)</f>
        <v>106982.63902364131</v>
      </c>
      <c r="W3" s="126">
        <f>IF(SER_hh_fec!W3=0,0,11630*1000*SER_hh_fec!W3/SER_hh_num!W3)</f>
        <v>116678.81046887503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125610.08403828736</v>
      </c>
      <c r="C4" s="131">
        <f>IF(SER_hh_fec!C4=0,0,11630*1000*SER_hh_fec!C4/SER_hh_num!C4)</f>
        <v>153637.30979219024</v>
      </c>
      <c r="D4" s="131">
        <f>IF(SER_hh_fec!D4=0,0,11630*1000*SER_hh_fec!D4/SER_hh_num!D4)</f>
        <v>144333.49121397478</v>
      </c>
      <c r="E4" s="131">
        <f>IF(SER_hh_fec!E4=0,0,11630*1000*SER_hh_fec!E4/SER_hh_num!E4)</f>
        <v>165986.76203832531</v>
      </c>
      <c r="F4" s="131">
        <f>IF(SER_hh_fec!F4=0,0,11630*1000*SER_hh_fec!F4/SER_hh_num!F4)</f>
        <v>159274.31145632785</v>
      </c>
      <c r="G4" s="131">
        <f>IF(SER_hh_fec!G4=0,0,11630*1000*SER_hh_fec!G4/SER_hh_num!G4)</f>
        <v>142370.01752528545</v>
      </c>
      <c r="H4" s="131">
        <f>IF(SER_hh_fec!H4=0,0,11630*1000*SER_hh_fec!H4/SER_hh_num!H4)</f>
        <v>144319.41317169479</v>
      </c>
      <c r="I4" s="131">
        <f>IF(SER_hh_fec!I4=0,0,11630*1000*SER_hh_fec!I4/SER_hh_num!I4)</f>
        <v>112297.7579127506</v>
      </c>
      <c r="J4" s="131">
        <f>IF(SER_hh_fec!J4=0,0,11630*1000*SER_hh_fec!J4/SER_hh_num!J4)</f>
        <v>125709.57639055444</v>
      </c>
      <c r="K4" s="131">
        <f>IF(SER_hh_fec!K4=0,0,11630*1000*SER_hh_fec!K4/SER_hh_num!K4)</f>
        <v>103917.48898057353</v>
      </c>
      <c r="L4" s="131">
        <f>IF(SER_hh_fec!L4=0,0,11630*1000*SER_hh_fec!L4/SER_hh_num!L4)</f>
        <v>99612.948146941213</v>
      </c>
      <c r="M4" s="131">
        <f>IF(SER_hh_fec!M4=0,0,11630*1000*SER_hh_fec!M4/SER_hh_num!M4)</f>
        <v>91250.262959589061</v>
      </c>
      <c r="N4" s="131">
        <f>IF(SER_hh_fec!N4=0,0,11630*1000*SER_hh_fec!N4/SER_hh_num!N4)</f>
        <v>90282.524763930633</v>
      </c>
      <c r="O4" s="131">
        <f>IF(SER_hh_fec!O4=0,0,11630*1000*SER_hh_fec!O4/SER_hh_num!O4)</f>
        <v>87867.510804342004</v>
      </c>
      <c r="P4" s="131">
        <f>IF(SER_hh_fec!P4=0,0,11630*1000*SER_hh_fec!P4/SER_hh_num!P4)</f>
        <v>75902.689928540378</v>
      </c>
      <c r="Q4" s="131">
        <f>IF(SER_hh_fec!Q4=0,0,11630*1000*SER_hh_fec!Q4/SER_hh_num!Q4)</f>
        <v>78974.315939229593</v>
      </c>
      <c r="R4" s="131">
        <f>IF(SER_hh_fec!R4=0,0,11630*1000*SER_hh_fec!R4/SER_hh_num!R4)</f>
        <v>73247.267994264839</v>
      </c>
      <c r="S4" s="131">
        <f>IF(SER_hh_fec!S4=0,0,11630*1000*SER_hh_fec!S4/SER_hh_num!S4)</f>
        <v>83376.02722782614</v>
      </c>
      <c r="T4" s="131">
        <f>IF(SER_hh_fec!T4=0,0,11630*1000*SER_hh_fec!T4/SER_hh_num!T4)</f>
        <v>77581.830956174192</v>
      </c>
      <c r="U4" s="131">
        <f>IF(SER_hh_fec!U4=0,0,11630*1000*SER_hh_fec!U4/SER_hh_num!U4)</f>
        <v>79233.218732977664</v>
      </c>
      <c r="V4" s="131">
        <f>IF(SER_hh_fec!V4=0,0,11630*1000*SER_hh_fec!V4/SER_hh_num!V4)</f>
        <v>73110.010636557723</v>
      </c>
      <c r="W4" s="131">
        <f>IF(SER_hh_fec!W4=0,0,11630*1000*SER_hh_fec!W4/SER_hh_num!W4)</f>
        <v>82874.53903300433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145107.89111938601</v>
      </c>
      <c r="C5" s="133">
        <f>IF(SER_hh_fec!C5=0,0,11630*1000*SER_hh_fec!C5/SER_hh_num!C5)</f>
        <v>174297.94735704936</v>
      </c>
      <c r="D5" s="133">
        <f>IF(SER_hh_fec!D5=0,0,11630*1000*SER_hh_fec!D5/SER_hh_num!D5)</f>
        <v>138697.40526700878</v>
      </c>
      <c r="E5" s="133">
        <f>IF(SER_hh_fec!E5=0,0,11630*1000*SER_hh_fec!E5/SER_hh_num!E5)</f>
        <v>208444.06243640924</v>
      </c>
      <c r="F5" s="133">
        <f>IF(SER_hh_fec!F5=0,0,11630*1000*SER_hh_fec!F5/SER_hh_num!F5)</f>
        <v>177639.07100636981</v>
      </c>
      <c r="G5" s="133">
        <f>IF(SER_hh_fec!G5=0,0,11630*1000*SER_hh_fec!G5/SER_hh_num!G5)</f>
        <v>173413.83340669313</v>
      </c>
      <c r="H5" s="133">
        <f>IF(SER_hh_fec!H5=0,0,11630*1000*SER_hh_fec!H5/SER_hh_num!H5)</f>
        <v>162078.72622525005</v>
      </c>
      <c r="I5" s="133">
        <f>IF(SER_hh_fec!I5=0,0,11630*1000*SER_hh_fec!I5/SER_hh_num!I5)</f>
        <v>158468.00509690266</v>
      </c>
      <c r="J5" s="133">
        <f>IF(SER_hh_fec!J5=0,0,11630*1000*SER_hh_fec!J5/SER_hh_num!J5)</f>
        <v>132377.59084835445</v>
      </c>
      <c r="K5" s="133">
        <f>IF(SER_hh_fec!K5=0,0,11630*1000*SER_hh_fec!K5/SER_hh_num!K5)</f>
        <v>122904.65526602844</v>
      </c>
      <c r="L5" s="133">
        <f>IF(SER_hh_fec!L5=0,0,11630*1000*SER_hh_fec!L5/SER_hh_num!L5)</f>
        <v>170250.48053504041</v>
      </c>
      <c r="M5" s="133">
        <f>IF(SER_hh_fec!M5=0,0,11630*1000*SER_hh_fec!M5/SER_hh_num!M5)</f>
        <v>166762.078389673</v>
      </c>
      <c r="N5" s="133">
        <f>IF(SER_hh_fec!N5=0,0,11630*1000*SER_hh_fec!N5/SER_hh_num!N5)</f>
        <v>6869.3187198473424</v>
      </c>
      <c r="O5" s="133">
        <f>IF(SER_hh_fec!O5=0,0,11630*1000*SER_hh_fec!O5/SER_hh_num!O5)</f>
        <v>53850.017152841749</v>
      </c>
      <c r="P5" s="133">
        <f>IF(SER_hh_fec!P5=0,0,11630*1000*SER_hh_fec!P5/SER_hh_num!P5)</f>
        <v>39796.644248409568</v>
      </c>
      <c r="Q5" s="133">
        <f>IF(SER_hh_fec!Q5=0,0,11630*1000*SER_hh_fec!Q5/SER_hh_num!Q5)</f>
        <v>50724.710891782699</v>
      </c>
      <c r="R5" s="133">
        <f>IF(SER_hh_fec!R5=0,0,11630*1000*SER_hh_fec!R5/SER_hh_num!R5)</f>
        <v>0</v>
      </c>
      <c r="S5" s="133">
        <f>IF(SER_hh_fec!S5=0,0,11630*1000*SER_hh_fec!S5/SER_hh_num!S5)</f>
        <v>0</v>
      </c>
      <c r="T5" s="133">
        <f>IF(SER_hh_fec!T5=0,0,11630*1000*SER_hh_fec!T5/SER_hh_num!T5)</f>
        <v>0</v>
      </c>
      <c r="U5" s="133">
        <f>IF(SER_hh_fec!U5=0,0,11630*1000*SER_hh_fec!U5/SER_hh_num!U5)</f>
        <v>0</v>
      </c>
      <c r="V5" s="133">
        <f>IF(SER_hh_fec!V5=0,0,11630*1000*SER_hh_fec!V5/SER_hh_num!V5)</f>
        <v>0</v>
      </c>
      <c r="W5" s="133">
        <f>IF(SER_hh_fec!W5=0,0,11630*1000*SER_hh_fec!W5/SER_hh_num!W5)</f>
        <v>0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151700.50546554846</v>
      </c>
      <c r="C7" s="133">
        <f>IF(SER_hh_fec!C7=0,0,11630*1000*SER_hh_fec!C7/SER_hh_num!C7)</f>
        <v>192624.14627581462</v>
      </c>
      <c r="D7" s="133">
        <f>IF(SER_hh_fec!D7=0,0,11630*1000*SER_hh_fec!D7/SER_hh_num!D7)</f>
        <v>183613.20238639668</v>
      </c>
      <c r="E7" s="133">
        <f>IF(SER_hh_fec!E7=0,0,11630*1000*SER_hh_fec!E7/SER_hh_num!E7)</f>
        <v>220871.39418198648</v>
      </c>
      <c r="F7" s="133">
        <f>IF(SER_hh_fec!F7=0,0,11630*1000*SER_hh_fec!F7/SER_hh_num!F7)</f>
        <v>155446.04676130463</v>
      </c>
      <c r="G7" s="133">
        <f>IF(SER_hh_fec!G7=0,0,11630*1000*SER_hh_fec!G7/SER_hh_num!G7)</f>
        <v>197824.17076360702</v>
      </c>
      <c r="H7" s="133">
        <f>IF(SER_hh_fec!H7=0,0,11630*1000*SER_hh_fec!H7/SER_hh_num!H7)</f>
        <v>199914.31778980431</v>
      </c>
      <c r="I7" s="133">
        <f>IF(SER_hh_fec!I7=0,0,11630*1000*SER_hh_fec!I7/SER_hh_num!I7)</f>
        <v>142231.18260395955</v>
      </c>
      <c r="J7" s="133">
        <f>IF(SER_hh_fec!J7=0,0,11630*1000*SER_hh_fec!J7/SER_hh_num!J7)</f>
        <v>182391.51637455644</v>
      </c>
      <c r="K7" s="133">
        <f>IF(SER_hh_fec!K7=0,0,11630*1000*SER_hh_fec!K7/SER_hh_num!K7)</f>
        <v>166855.06539293981</v>
      </c>
      <c r="L7" s="133">
        <f>IF(SER_hh_fec!L7=0,0,11630*1000*SER_hh_fec!L7/SER_hh_num!L7)</f>
        <v>106099.60848165731</v>
      </c>
      <c r="M7" s="133">
        <f>IF(SER_hh_fec!M7=0,0,11630*1000*SER_hh_fec!M7/SER_hh_num!M7)</f>
        <v>129652.85680043904</v>
      </c>
      <c r="N7" s="133">
        <f>IF(SER_hh_fec!N7=0,0,11630*1000*SER_hh_fec!N7/SER_hh_num!N7)</f>
        <v>124795.97507609004</v>
      </c>
      <c r="O7" s="133">
        <f>IF(SER_hh_fec!O7=0,0,11630*1000*SER_hh_fec!O7/SER_hh_num!O7)</f>
        <v>119806.06734250556</v>
      </c>
      <c r="P7" s="133">
        <f>IF(SER_hh_fec!P7=0,0,11630*1000*SER_hh_fec!P7/SER_hh_num!P7)</f>
        <v>120957.10960567578</v>
      </c>
      <c r="Q7" s="133">
        <f>IF(SER_hh_fec!Q7=0,0,11630*1000*SER_hh_fec!Q7/SER_hh_num!Q7)</f>
        <v>116279.43060472397</v>
      </c>
      <c r="R7" s="133">
        <f>IF(SER_hh_fec!R7=0,0,11630*1000*SER_hh_fec!R7/SER_hh_num!R7)</f>
        <v>98999.638185176038</v>
      </c>
      <c r="S7" s="133">
        <f>IF(SER_hh_fec!S7=0,0,11630*1000*SER_hh_fec!S7/SER_hh_num!S7)</f>
        <v>130688.29707336881</v>
      </c>
      <c r="T7" s="133">
        <f>IF(SER_hh_fec!T7=0,0,11630*1000*SER_hh_fec!T7/SER_hh_num!T7)</f>
        <v>109142.64441696979</v>
      </c>
      <c r="U7" s="133">
        <f>IF(SER_hh_fec!U7=0,0,11630*1000*SER_hh_fec!U7/SER_hh_num!U7)</f>
        <v>99842.754525320357</v>
      </c>
      <c r="V7" s="133">
        <f>IF(SER_hh_fec!V7=0,0,11630*1000*SER_hh_fec!V7/SER_hh_num!V7)</f>
        <v>96145.607244869912</v>
      </c>
      <c r="W7" s="133">
        <f>IF(SER_hh_fec!W7=0,0,11630*1000*SER_hh_fec!W7/SER_hh_num!W7)</f>
        <v>121677.25928455737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75537.311243815057</v>
      </c>
      <c r="C8" s="133">
        <f>IF(SER_hh_fec!C8=0,0,11630*1000*SER_hh_fec!C8/SER_hh_num!C8)</f>
        <v>93335.868688957387</v>
      </c>
      <c r="D8" s="133">
        <f>IF(SER_hh_fec!D8=0,0,11630*1000*SER_hh_fec!D8/SER_hh_num!D8)</f>
        <v>85674.451308296237</v>
      </c>
      <c r="E8" s="133">
        <f>IF(SER_hh_fec!E8=0,0,11630*1000*SER_hh_fec!E8/SER_hh_num!E8)</f>
        <v>96569.997928850586</v>
      </c>
      <c r="F8" s="133">
        <f>IF(SER_hh_fec!F8=0,0,11630*1000*SER_hh_fec!F8/SER_hh_num!F8)</f>
        <v>93422.611433531391</v>
      </c>
      <c r="G8" s="133">
        <f>IF(SER_hh_fec!G8=0,0,11630*1000*SER_hh_fec!G8/SER_hh_num!G8)</f>
        <v>83896.242753962433</v>
      </c>
      <c r="H8" s="133">
        <f>IF(SER_hh_fec!H8=0,0,11630*1000*SER_hh_fec!H8/SER_hh_num!H8)</f>
        <v>85962.696184435248</v>
      </c>
      <c r="I8" s="133">
        <f>IF(SER_hh_fec!I8=0,0,11630*1000*SER_hh_fec!I8/SER_hh_num!I8)</f>
        <v>66987.456972792876</v>
      </c>
      <c r="J8" s="133">
        <f>IF(SER_hh_fec!J8=0,0,11630*1000*SER_hh_fec!J8/SER_hh_num!J8)</f>
        <v>74923.142641225568</v>
      </c>
      <c r="K8" s="133">
        <f>IF(SER_hh_fec!K8=0,0,11630*1000*SER_hh_fec!K8/SER_hh_num!K8)</f>
        <v>61794.809919948326</v>
      </c>
      <c r="L8" s="133">
        <f>IF(SER_hh_fec!L8=0,0,11630*1000*SER_hh_fec!L8/SER_hh_num!L8)</f>
        <v>60362.218408466098</v>
      </c>
      <c r="M8" s="133">
        <f>IF(SER_hh_fec!M8=0,0,11630*1000*SER_hh_fec!M8/SER_hh_num!M8)</f>
        <v>56826.662470536037</v>
      </c>
      <c r="N8" s="133">
        <f>IF(SER_hh_fec!N8=0,0,11630*1000*SER_hh_fec!N8/SER_hh_num!N8)</f>
        <v>54598.362730650719</v>
      </c>
      <c r="O8" s="133">
        <f>IF(SER_hh_fec!O8=0,0,11630*1000*SER_hh_fec!O8/SER_hh_num!O8)</f>
        <v>49441.95394885866</v>
      </c>
      <c r="P8" s="133">
        <f>IF(SER_hh_fec!P8=0,0,11630*1000*SER_hh_fec!P8/SER_hh_num!P8)</f>
        <v>44762.947579197811</v>
      </c>
      <c r="Q8" s="133">
        <f>IF(SER_hh_fec!Q8=0,0,11630*1000*SER_hh_fec!Q8/SER_hh_num!Q8)</f>
        <v>42410.158423009263</v>
      </c>
      <c r="R8" s="133">
        <f>IF(SER_hh_fec!R8=0,0,11630*1000*SER_hh_fec!R8/SER_hh_num!R8)</f>
        <v>40154.034311350631</v>
      </c>
      <c r="S8" s="133">
        <f>IF(SER_hh_fec!S8=0,0,11630*1000*SER_hh_fec!S8/SER_hh_num!S8)</f>
        <v>41847.743879940543</v>
      </c>
      <c r="T8" s="133">
        <f>IF(SER_hh_fec!T8=0,0,11630*1000*SER_hh_fec!T8/SER_hh_num!T8)</f>
        <v>37523.762919613306</v>
      </c>
      <c r="U8" s="133">
        <f>IF(SER_hh_fec!U8=0,0,11630*1000*SER_hh_fec!U8/SER_hh_num!U8)</f>
        <v>37652.723855943172</v>
      </c>
      <c r="V8" s="133">
        <f>IF(SER_hh_fec!V8=0,0,11630*1000*SER_hh_fec!V8/SER_hh_num!V8)</f>
        <v>31449.759389130657</v>
      </c>
      <c r="W8" s="133">
        <f>IF(SER_hh_fec!W8=0,0,11630*1000*SER_hh_fec!W8/SER_hh_num!W8)</f>
        <v>34115.491238172785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136236.68573988418</v>
      </c>
      <c r="C9" s="133">
        <f>IF(SER_hh_fec!C9=0,0,11630*1000*SER_hh_fec!C9/SER_hh_num!C9)</f>
        <v>182435.73499039432</v>
      </c>
      <c r="D9" s="133">
        <f>IF(SER_hh_fec!D9=0,0,11630*1000*SER_hh_fec!D9/SER_hh_num!D9)</f>
        <v>157426.87708375024</v>
      </c>
      <c r="E9" s="133">
        <f>IF(SER_hh_fec!E9=0,0,11630*1000*SER_hh_fec!E9/SER_hh_num!E9)</f>
        <v>182331.32337649629</v>
      </c>
      <c r="F9" s="133">
        <f>IF(SER_hh_fec!F9=0,0,11630*1000*SER_hh_fec!F9/SER_hh_num!F9)</f>
        <v>239006.18231216437</v>
      </c>
      <c r="G9" s="133">
        <f>IF(SER_hh_fec!G9=0,0,11630*1000*SER_hh_fec!G9/SER_hh_num!G9)</f>
        <v>134780.45295189664</v>
      </c>
      <c r="H9" s="133">
        <f>IF(SER_hh_fec!H9=0,0,11630*1000*SER_hh_fec!H9/SER_hh_num!H9)</f>
        <v>166367.9966533941</v>
      </c>
      <c r="I9" s="133">
        <f>IF(SER_hh_fec!I9=0,0,11630*1000*SER_hh_fec!I9/SER_hh_num!I9)</f>
        <v>139506.49380424654</v>
      </c>
      <c r="J9" s="133">
        <f>IF(SER_hh_fec!J9=0,0,11630*1000*SER_hh_fec!J9/SER_hh_num!J9)</f>
        <v>162671.32871570502</v>
      </c>
      <c r="K9" s="133">
        <f>IF(SER_hh_fec!K9=0,0,11630*1000*SER_hh_fec!K9/SER_hh_num!K9)</f>
        <v>123771.4742737311</v>
      </c>
      <c r="L9" s="133">
        <f>IF(SER_hh_fec!L9=0,0,11630*1000*SER_hh_fec!L9/SER_hh_num!L9)</f>
        <v>133177.50919217808</v>
      </c>
      <c r="M9" s="133">
        <f>IF(SER_hh_fec!M9=0,0,11630*1000*SER_hh_fec!M9/SER_hh_num!M9)</f>
        <v>107362.89877990837</v>
      </c>
      <c r="N9" s="133">
        <f>IF(SER_hh_fec!N9=0,0,11630*1000*SER_hh_fec!N9/SER_hh_num!N9)</f>
        <v>120396.96178973344</v>
      </c>
      <c r="O9" s="133">
        <f>IF(SER_hh_fec!O9=0,0,11630*1000*SER_hh_fec!O9/SER_hh_num!O9)</f>
        <v>117237.36838468515</v>
      </c>
      <c r="P9" s="133">
        <f>IF(SER_hh_fec!P9=0,0,11630*1000*SER_hh_fec!P9/SER_hh_num!P9)</f>
        <v>86958.930641128987</v>
      </c>
      <c r="Q9" s="133">
        <f>IF(SER_hh_fec!Q9=0,0,11630*1000*SER_hh_fec!Q9/SER_hh_num!Q9)</f>
        <v>100154.59203344562</v>
      </c>
      <c r="R9" s="133">
        <f>IF(SER_hh_fec!R9=0,0,11630*1000*SER_hh_fec!R9/SER_hh_num!R9)</f>
        <v>89584.711163848187</v>
      </c>
      <c r="S9" s="133">
        <f>IF(SER_hh_fec!S9=0,0,11630*1000*SER_hh_fec!S9/SER_hh_num!S9)</f>
        <v>99818.172910809037</v>
      </c>
      <c r="T9" s="133">
        <f>IF(SER_hh_fec!T9=0,0,11630*1000*SER_hh_fec!T9/SER_hh_num!T9)</f>
        <v>93048.326004326052</v>
      </c>
      <c r="U9" s="133">
        <f>IF(SER_hh_fec!U9=0,0,11630*1000*SER_hh_fec!U9/SER_hh_num!U9)</f>
        <v>100528.39327224951</v>
      </c>
      <c r="V9" s="133">
        <f>IF(SER_hh_fec!V9=0,0,11630*1000*SER_hh_fec!V9/SER_hh_num!V9)</f>
        <v>105477.90263835527</v>
      </c>
      <c r="W9" s="133">
        <f>IF(SER_hh_fec!W9=0,0,11630*1000*SER_hh_fec!W9/SER_hh_num!W9)</f>
        <v>116667.99111471736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169603.24533731519</v>
      </c>
      <c r="C10" s="133">
        <f>IF(SER_hh_fec!C10=0,0,11630*1000*SER_hh_fec!C10/SER_hh_num!C10)</f>
        <v>186836.63131195662</v>
      </c>
      <c r="D10" s="133">
        <f>IF(SER_hh_fec!D10=0,0,11630*1000*SER_hh_fec!D10/SER_hh_num!D10)</f>
        <v>179484.65138444386</v>
      </c>
      <c r="E10" s="133">
        <f>IF(SER_hh_fec!E10=0,0,11630*1000*SER_hh_fec!E10/SER_hh_num!E10)</f>
        <v>206632.83942030332</v>
      </c>
      <c r="F10" s="133">
        <f>IF(SER_hh_fec!F10=0,0,11630*1000*SER_hh_fec!F10/SER_hh_num!F10)</f>
        <v>216025.01687374944</v>
      </c>
      <c r="G10" s="133">
        <f>IF(SER_hh_fec!G10=0,0,11630*1000*SER_hh_fec!G10/SER_hh_num!G10)</f>
        <v>173490.12172800259</v>
      </c>
      <c r="H10" s="133">
        <f>IF(SER_hh_fec!H10=0,0,11630*1000*SER_hh_fec!H10/SER_hh_num!H10)</f>
        <v>186897.40635647628</v>
      </c>
      <c r="I10" s="133">
        <f>IF(SER_hh_fec!I10=0,0,11630*1000*SER_hh_fec!I10/SER_hh_num!I10)</f>
        <v>171662.33796664127</v>
      </c>
      <c r="J10" s="133">
        <f>IF(SER_hh_fec!J10=0,0,11630*1000*SER_hh_fec!J10/SER_hh_num!J10)</f>
        <v>143261.7281099403</v>
      </c>
      <c r="K10" s="133">
        <f>IF(SER_hh_fec!K10=0,0,11630*1000*SER_hh_fec!K10/SER_hh_num!K10)</f>
        <v>136548.71541192263</v>
      </c>
      <c r="L10" s="133">
        <f>IF(SER_hh_fec!L10=0,0,11630*1000*SER_hh_fec!L10/SER_hh_num!L10)</f>
        <v>169126.96949132415</v>
      </c>
      <c r="M10" s="133">
        <f>IF(SER_hh_fec!M10=0,0,11630*1000*SER_hh_fec!M10/SER_hh_num!M10)</f>
        <v>141105.05557583872</v>
      </c>
      <c r="N10" s="133">
        <f>IF(SER_hh_fec!N10=0,0,11630*1000*SER_hh_fec!N10/SER_hh_num!N10)</f>
        <v>101118.14973849212</v>
      </c>
      <c r="O10" s="133">
        <f>IF(SER_hh_fec!O10=0,0,11630*1000*SER_hh_fec!O10/SER_hh_num!O10)</f>
        <v>135402.42275325494</v>
      </c>
      <c r="P10" s="133">
        <f>IF(SER_hh_fec!P10=0,0,11630*1000*SER_hh_fec!P10/SER_hh_num!P10)</f>
        <v>107988.84595594581</v>
      </c>
      <c r="Q10" s="133">
        <f>IF(SER_hh_fec!Q10=0,0,11630*1000*SER_hh_fec!Q10/SER_hh_num!Q10)</f>
        <v>133625.84541868203</v>
      </c>
      <c r="R10" s="133">
        <f>IF(SER_hh_fec!R10=0,0,11630*1000*SER_hh_fec!R10/SER_hh_num!R10)</f>
        <v>90260.703821958232</v>
      </c>
      <c r="S10" s="133">
        <f>IF(SER_hh_fec!S10=0,0,11630*1000*SER_hh_fec!S10/SER_hh_num!S10)</f>
        <v>139439.03665889156</v>
      </c>
      <c r="T10" s="133">
        <f>IF(SER_hh_fec!T10=0,0,11630*1000*SER_hh_fec!T10/SER_hh_num!T10)</f>
        <v>128688.49148887028</v>
      </c>
      <c r="U10" s="133">
        <f>IF(SER_hh_fec!U10=0,0,11630*1000*SER_hh_fec!U10/SER_hh_num!U10)</f>
        <v>130248.3107424177</v>
      </c>
      <c r="V10" s="133">
        <f>IF(SER_hh_fec!V10=0,0,11630*1000*SER_hh_fec!V10/SER_hh_num!V10)</f>
        <v>117547.76815944978</v>
      </c>
      <c r="W10" s="133">
        <f>IF(SER_hh_fec!W10=0,0,11630*1000*SER_hh_fec!W10/SER_hh_num!W10)</f>
        <v>131661.78418968845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106646.9231778934</v>
      </c>
      <c r="C11" s="133">
        <f>IF(SER_hh_fec!C11=0,0,11630*1000*SER_hh_fec!C11/SER_hh_num!C11)</f>
        <v>93884.761392143366</v>
      </c>
      <c r="D11" s="133">
        <f>IF(SER_hh_fec!D11=0,0,11630*1000*SER_hh_fec!D11/SER_hh_num!D11)</f>
        <v>140466.96134394637</v>
      </c>
      <c r="E11" s="133">
        <f>IF(SER_hh_fec!E11=0,0,11630*1000*SER_hh_fec!E11/SER_hh_num!E11)</f>
        <v>115617.24228170566</v>
      </c>
      <c r="F11" s="133">
        <f>IF(SER_hh_fec!F11=0,0,11630*1000*SER_hh_fec!F11/SER_hh_num!F11)</f>
        <v>114523.57134338991</v>
      </c>
      <c r="G11" s="133">
        <f>IF(SER_hh_fec!G11=0,0,11630*1000*SER_hh_fec!G11/SER_hh_num!G11)</f>
        <v>124292.65800309015</v>
      </c>
      <c r="H11" s="133">
        <f>IF(SER_hh_fec!H11=0,0,11630*1000*SER_hh_fec!H11/SER_hh_num!H11)</f>
        <v>116887.37138097765</v>
      </c>
      <c r="I11" s="133">
        <f>IF(SER_hh_fec!I11=0,0,11630*1000*SER_hh_fec!I11/SER_hh_num!I11)</f>
        <v>97997.051734499022</v>
      </c>
      <c r="J11" s="133">
        <f>IF(SER_hh_fec!J11=0,0,11630*1000*SER_hh_fec!J11/SER_hh_num!J11)</f>
        <v>98155.210132550434</v>
      </c>
      <c r="K11" s="133">
        <f>IF(SER_hh_fec!K11=0,0,11630*1000*SER_hh_fec!K11/SER_hh_num!K11)</f>
        <v>95781.097344373949</v>
      </c>
      <c r="L11" s="133">
        <f>IF(SER_hh_fec!L11=0,0,11630*1000*SER_hh_fec!L11/SER_hh_num!L11)</f>
        <v>98936.215832035392</v>
      </c>
      <c r="M11" s="133">
        <f>IF(SER_hh_fec!M11=0,0,11630*1000*SER_hh_fec!M11/SER_hh_num!M11)</f>
        <v>81649.478644066578</v>
      </c>
      <c r="N11" s="133">
        <f>IF(SER_hh_fec!N11=0,0,11630*1000*SER_hh_fec!N11/SER_hh_num!N11)</f>
        <v>95620.666837448938</v>
      </c>
      <c r="O11" s="133">
        <f>IF(SER_hh_fec!O11=0,0,11630*1000*SER_hh_fec!O11/SER_hh_num!O11)</f>
        <v>90622.044793005625</v>
      </c>
      <c r="P11" s="133">
        <f>IF(SER_hh_fec!P11=0,0,11630*1000*SER_hh_fec!P11/SER_hh_num!P11)</f>
        <v>73701.119989793355</v>
      </c>
      <c r="Q11" s="133">
        <f>IF(SER_hh_fec!Q11=0,0,11630*1000*SER_hh_fec!Q11/SER_hh_num!Q11)</f>
        <v>76959.019460915631</v>
      </c>
      <c r="R11" s="133">
        <f>IF(SER_hh_fec!R11=0,0,11630*1000*SER_hh_fec!R11/SER_hh_num!R11)</f>
        <v>68409.656224331236</v>
      </c>
      <c r="S11" s="133">
        <f>IF(SER_hh_fec!S11=0,0,11630*1000*SER_hh_fec!S11/SER_hh_num!S11)</f>
        <v>99107.489924746929</v>
      </c>
      <c r="T11" s="133">
        <f>IF(SER_hh_fec!T11=0,0,11630*1000*SER_hh_fec!T11/SER_hh_num!T11)</f>
        <v>84777.929953098967</v>
      </c>
      <c r="U11" s="133">
        <f>IF(SER_hh_fec!U11=0,0,11630*1000*SER_hh_fec!U11/SER_hh_num!U11)</f>
        <v>83652.243732756542</v>
      </c>
      <c r="V11" s="133">
        <f>IF(SER_hh_fec!V11=0,0,11630*1000*SER_hh_fec!V11/SER_hh_num!V11)</f>
        <v>84973.367966640406</v>
      </c>
      <c r="W11" s="133">
        <f>IF(SER_hh_fec!W11=0,0,11630*1000*SER_hh_fec!W11/SER_hh_num!W11)</f>
        <v>73908.172989257044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99070.926137139773</v>
      </c>
      <c r="C12" s="133">
        <f>IF(SER_hh_fec!C12=0,0,11630*1000*SER_hh_fec!C12/SER_hh_num!C12)</f>
        <v>107497.04658574816</v>
      </c>
      <c r="D12" s="133">
        <f>IF(SER_hh_fec!D12=0,0,11630*1000*SER_hh_fec!D12/SER_hh_num!D12)</f>
        <v>111225.09323427115</v>
      </c>
      <c r="E12" s="133">
        <f>IF(SER_hh_fec!E12=0,0,11630*1000*SER_hh_fec!E12/SER_hh_num!E12)</f>
        <v>117026.36858549836</v>
      </c>
      <c r="F12" s="133">
        <f>IF(SER_hh_fec!F12=0,0,11630*1000*SER_hh_fec!F12/SER_hh_num!F12)</f>
        <v>113297.61562761142</v>
      </c>
      <c r="G12" s="133">
        <f>IF(SER_hh_fec!G12=0,0,11630*1000*SER_hh_fec!G12/SER_hh_num!G12)</f>
        <v>120774.16092628056</v>
      </c>
      <c r="H12" s="133">
        <f>IF(SER_hh_fec!H12=0,0,11630*1000*SER_hh_fec!H12/SER_hh_num!H12)</f>
        <v>117128.09641151187</v>
      </c>
      <c r="I12" s="133">
        <f>IF(SER_hh_fec!I12=0,0,11630*1000*SER_hh_fec!I12/SER_hh_num!I12)</f>
        <v>93272.677727029833</v>
      </c>
      <c r="J12" s="133">
        <f>IF(SER_hh_fec!J12=0,0,11630*1000*SER_hh_fec!J12/SER_hh_num!J12)</f>
        <v>98706.726965709022</v>
      </c>
      <c r="K12" s="133">
        <f>IF(SER_hh_fec!K12=0,0,11630*1000*SER_hh_fec!K12/SER_hh_num!K12)</f>
        <v>95878.154248726132</v>
      </c>
      <c r="L12" s="133">
        <f>IF(SER_hh_fec!L12=0,0,11630*1000*SER_hh_fec!L12/SER_hh_num!L12)</f>
        <v>95147.755349729603</v>
      </c>
      <c r="M12" s="133">
        <f>IF(SER_hh_fec!M12=0,0,11630*1000*SER_hh_fec!M12/SER_hh_num!M12)</f>
        <v>89723.580571378989</v>
      </c>
      <c r="N12" s="133">
        <f>IF(SER_hh_fec!N12=0,0,11630*1000*SER_hh_fec!N12/SER_hh_num!N12)</f>
        <v>90239.876819610829</v>
      </c>
      <c r="O12" s="133">
        <f>IF(SER_hh_fec!O12=0,0,11630*1000*SER_hh_fec!O12/SER_hh_num!O12)</f>
        <v>87665.773218004382</v>
      </c>
      <c r="P12" s="133">
        <f>IF(SER_hh_fec!P12=0,0,11630*1000*SER_hh_fec!P12/SER_hh_num!P12)</f>
        <v>76771.918934708403</v>
      </c>
      <c r="Q12" s="133">
        <f>IF(SER_hh_fec!Q12=0,0,11630*1000*SER_hh_fec!Q12/SER_hh_num!Q12)</f>
        <v>79175.96355956138</v>
      </c>
      <c r="R12" s="133">
        <f>IF(SER_hh_fec!R12=0,0,11630*1000*SER_hh_fec!R12/SER_hh_num!R12)</f>
        <v>83409.237591290628</v>
      </c>
      <c r="S12" s="133">
        <f>IF(SER_hh_fec!S12=0,0,11630*1000*SER_hh_fec!S12/SER_hh_num!S12)</f>
        <v>87478.513751818929</v>
      </c>
      <c r="T12" s="133">
        <f>IF(SER_hh_fec!T12=0,0,11630*1000*SER_hh_fec!T12/SER_hh_num!T12)</f>
        <v>80921.17459998258</v>
      </c>
      <c r="U12" s="133">
        <f>IF(SER_hh_fec!U12=0,0,11630*1000*SER_hh_fec!U12/SER_hh_num!U12)</f>
        <v>84476.213025944176</v>
      </c>
      <c r="V12" s="133">
        <f>IF(SER_hh_fec!V12=0,0,11630*1000*SER_hh_fec!V12/SER_hh_num!V12)</f>
        <v>76710.92067484252</v>
      </c>
      <c r="W12" s="133">
        <f>IF(SER_hh_fec!W12=0,0,11630*1000*SER_hh_fec!W12/SER_hh_num!W12)</f>
        <v>88742.227567731985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53968.728313472908</v>
      </c>
      <c r="C13" s="133">
        <f>IF(SER_hh_fec!C13=0,0,11630*1000*SER_hh_fec!C13/SER_hh_num!C13)</f>
        <v>57465.68517521886</v>
      </c>
      <c r="D13" s="133">
        <f>IF(SER_hh_fec!D13=0,0,11630*1000*SER_hh_fec!D13/SER_hh_num!D13)</f>
        <v>57992.872336619817</v>
      </c>
      <c r="E13" s="133">
        <f>IF(SER_hh_fec!E13=0,0,11630*1000*SER_hh_fec!E13/SER_hh_num!E13)</f>
        <v>60318.959690151547</v>
      </c>
      <c r="F13" s="133">
        <f>IF(SER_hh_fec!F13=0,0,11630*1000*SER_hh_fec!F13/SER_hh_num!F13)</f>
        <v>58806.908102736292</v>
      </c>
      <c r="G13" s="133">
        <f>IF(SER_hh_fec!G13=0,0,11630*1000*SER_hh_fec!G13/SER_hh_num!G13)</f>
        <v>56520.305621531224</v>
      </c>
      <c r="H13" s="133">
        <f>IF(SER_hh_fec!H13=0,0,11630*1000*SER_hh_fec!H13/SER_hh_num!H13)</f>
        <v>53451.715576852672</v>
      </c>
      <c r="I13" s="133">
        <f>IF(SER_hh_fec!I13=0,0,11630*1000*SER_hh_fec!I13/SER_hh_num!I13)</f>
        <v>44139.769433729023</v>
      </c>
      <c r="J13" s="133">
        <f>IF(SER_hh_fec!J13=0,0,11630*1000*SER_hh_fec!J13/SER_hh_num!J13)</f>
        <v>49550.093351612988</v>
      </c>
      <c r="K13" s="133">
        <f>IF(SER_hh_fec!K13=0,0,11630*1000*SER_hh_fec!K13/SER_hh_num!K13)</f>
        <v>38190.163409781009</v>
      </c>
      <c r="L13" s="133">
        <f>IF(SER_hh_fec!L13=0,0,11630*1000*SER_hh_fec!L13/SER_hh_num!L13)</f>
        <v>36696.183296127136</v>
      </c>
      <c r="M13" s="133">
        <f>IF(SER_hh_fec!M13=0,0,11630*1000*SER_hh_fec!M13/SER_hh_num!M13)</f>
        <v>35945.125161572789</v>
      </c>
      <c r="N13" s="133">
        <f>IF(SER_hh_fec!N13=0,0,11630*1000*SER_hh_fec!N13/SER_hh_num!N13)</f>
        <v>33489.430783394018</v>
      </c>
      <c r="O13" s="133">
        <f>IF(SER_hh_fec!O13=0,0,11630*1000*SER_hh_fec!O13/SER_hh_num!O13)</f>
        <v>32090.401965792975</v>
      </c>
      <c r="P13" s="133">
        <f>IF(SER_hh_fec!P13=0,0,11630*1000*SER_hh_fec!P13/SER_hh_num!P13)</f>
        <v>32113.478599057951</v>
      </c>
      <c r="Q13" s="133">
        <f>IF(SER_hh_fec!Q13=0,0,11630*1000*SER_hh_fec!Q13/SER_hh_num!Q13)</f>
        <v>26387.101033960018</v>
      </c>
      <c r="R13" s="133">
        <f>IF(SER_hh_fec!R13=0,0,11630*1000*SER_hh_fec!R13/SER_hh_num!R13)</f>
        <v>26223.724724668242</v>
      </c>
      <c r="S13" s="133">
        <f>IF(SER_hh_fec!S13=0,0,11630*1000*SER_hh_fec!S13/SER_hh_num!S13)</f>
        <v>27730.846965589259</v>
      </c>
      <c r="T13" s="133">
        <f>IF(SER_hh_fec!T13=0,0,11630*1000*SER_hh_fec!T13/SER_hh_num!T13)</f>
        <v>26232.434581978232</v>
      </c>
      <c r="U13" s="133">
        <f>IF(SER_hh_fec!U13=0,0,11630*1000*SER_hh_fec!U13/SER_hh_num!U13)</f>
        <v>29288.03779945759</v>
      </c>
      <c r="V13" s="133">
        <f>IF(SER_hh_fec!V13=0,0,11630*1000*SER_hh_fec!V13/SER_hh_num!V13)</f>
        <v>19137.814842093856</v>
      </c>
      <c r="W13" s="133">
        <f>IF(SER_hh_fec!W13=0,0,11630*1000*SER_hh_fec!W13/SER_hh_num!W13)</f>
        <v>17692.083110302112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114740.26443099536</v>
      </c>
      <c r="C14" s="65">
        <f>IF(SER_hh_fec!C14=0,0,11630*1000*SER_hh_fec!C14/SER_hh_num!C14)</f>
        <v>123426.79057830047</v>
      </c>
      <c r="D14" s="65">
        <f>IF(SER_hh_fec!D14=0,0,11630*1000*SER_hh_fec!D14/SER_hh_num!D14)</f>
        <v>122137.94018995762</v>
      </c>
      <c r="E14" s="65">
        <f>IF(SER_hh_fec!E14=0,0,11630*1000*SER_hh_fec!E14/SER_hh_num!E14)</f>
        <v>145499.18589753291</v>
      </c>
      <c r="F14" s="65">
        <f>IF(SER_hh_fec!F14=0,0,11630*1000*SER_hh_fec!F14/SER_hh_num!F14)</f>
        <v>107215.3933354223</v>
      </c>
      <c r="G14" s="65">
        <f>IF(SER_hh_fec!G14=0,0,11630*1000*SER_hh_fec!G14/SER_hh_num!G14)</f>
        <v>143885.6641946467</v>
      </c>
      <c r="H14" s="65">
        <f>IF(SER_hh_fec!H14=0,0,11630*1000*SER_hh_fec!H14/SER_hh_num!H14)</f>
        <v>131068.90161977337</v>
      </c>
      <c r="I14" s="65">
        <f>IF(SER_hh_fec!I14=0,0,11630*1000*SER_hh_fec!I14/SER_hh_num!I14)</f>
        <v>112363.72077483973</v>
      </c>
      <c r="J14" s="65">
        <f>IF(SER_hh_fec!J14=0,0,11630*1000*SER_hh_fec!J14/SER_hh_num!J14)</f>
        <v>135987.59509393893</v>
      </c>
      <c r="K14" s="65">
        <f>IF(SER_hh_fec!K14=0,0,11630*1000*SER_hh_fec!K14/SER_hh_num!K14)</f>
        <v>79988.061613161961</v>
      </c>
      <c r="L14" s="65">
        <f>IF(SER_hh_fec!L14=0,0,11630*1000*SER_hh_fec!L14/SER_hh_num!L14)</f>
        <v>110547.45415208845</v>
      </c>
      <c r="M14" s="65">
        <f>IF(SER_hh_fec!M14=0,0,11630*1000*SER_hh_fec!M14/SER_hh_num!M14)</f>
        <v>98910.681919813767</v>
      </c>
      <c r="N14" s="65">
        <f>IF(SER_hh_fec!N14=0,0,11630*1000*SER_hh_fec!N14/SER_hh_num!N14)</f>
        <v>97805.539161387496</v>
      </c>
      <c r="O14" s="65">
        <f>IF(SER_hh_fec!O14=0,0,11630*1000*SER_hh_fec!O14/SER_hh_num!O14)</f>
        <v>97314.469392799016</v>
      </c>
      <c r="P14" s="65">
        <f>IF(SER_hh_fec!P14=0,0,11630*1000*SER_hh_fec!P14/SER_hh_num!P14)</f>
        <v>88147.150775083806</v>
      </c>
      <c r="Q14" s="65">
        <f>IF(SER_hh_fec!Q14=0,0,11630*1000*SER_hh_fec!Q14/SER_hh_num!Q14)</f>
        <v>100756.28500179837</v>
      </c>
      <c r="R14" s="65">
        <f>IF(SER_hh_fec!R14=0,0,11630*1000*SER_hh_fec!R14/SER_hh_num!R14)</f>
        <v>53601.544870301972</v>
      </c>
      <c r="S14" s="65">
        <f>IF(SER_hh_fec!S14=0,0,11630*1000*SER_hh_fec!S14/SER_hh_num!S14)</f>
        <v>88037.588344643314</v>
      </c>
      <c r="T14" s="65">
        <f>IF(SER_hh_fec!T14=0,0,11630*1000*SER_hh_fec!T14/SER_hh_num!T14)</f>
        <v>103764.38115103547</v>
      </c>
      <c r="U14" s="65">
        <f>IF(SER_hh_fec!U14=0,0,11630*1000*SER_hh_fec!U14/SER_hh_num!U14)</f>
        <v>89055.081731675891</v>
      </c>
      <c r="V14" s="65">
        <f>IF(SER_hh_fec!V14=0,0,11630*1000*SER_hh_fec!V14/SER_hh_num!V14)</f>
        <v>85492.922169345038</v>
      </c>
      <c r="W14" s="65">
        <f>IF(SER_hh_fec!W14=0,0,11630*1000*SER_hh_fec!W14/SER_hh_num!W14)</f>
        <v>86895.492497157247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1077.3941287507521</v>
      </c>
      <c r="C15" s="135">
        <f>IF(SER_hh_fec!C15=0,0,11630*1000*SER_hh_fec!C15/SER_hh_num!C15)</f>
        <v>1407.159433015376</v>
      </c>
      <c r="D15" s="135">
        <f>IF(SER_hh_fec!D15=0,0,11630*1000*SER_hh_fec!D15/SER_hh_num!D15)</f>
        <v>1282.2148473542086</v>
      </c>
      <c r="E15" s="135">
        <f>IF(SER_hh_fec!E15=0,0,11630*1000*SER_hh_fec!E15/SER_hh_num!E15)</f>
        <v>1476.185244437225</v>
      </c>
      <c r="F15" s="135">
        <f>IF(SER_hh_fec!F15=0,0,11630*1000*SER_hh_fec!F15/SER_hh_num!F15)</f>
        <v>1467.1537271002016</v>
      </c>
      <c r="G15" s="135">
        <f>IF(SER_hh_fec!G15=0,0,11630*1000*SER_hh_fec!G15/SER_hh_num!G15)</f>
        <v>1131.9065811128</v>
      </c>
      <c r="H15" s="135">
        <f>IF(SER_hh_fec!H15=0,0,11630*1000*SER_hh_fec!H15/SER_hh_num!H15)</f>
        <v>1169.3230892149188</v>
      </c>
      <c r="I15" s="135">
        <f>IF(SER_hh_fec!I15=0,0,11630*1000*SER_hh_fec!I15/SER_hh_num!I15)</f>
        <v>853.50056842801405</v>
      </c>
      <c r="J15" s="135">
        <f>IF(SER_hh_fec!J15=0,0,11630*1000*SER_hh_fec!J15/SER_hh_num!J15)</f>
        <v>943.4822672030399</v>
      </c>
      <c r="K15" s="135">
        <f>IF(SER_hh_fec!K15=0,0,11630*1000*SER_hh_fec!K15/SER_hh_num!K15)</f>
        <v>769.40374342951054</v>
      </c>
      <c r="L15" s="135">
        <f>IF(SER_hh_fec!L15=0,0,11630*1000*SER_hh_fec!L15/SER_hh_num!L15)</f>
        <v>655.59400297002242</v>
      </c>
      <c r="M15" s="135">
        <f>IF(SER_hh_fec!M15=0,0,11630*1000*SER_hh_fec!M15/SER_hh_num!M15)</f>
        <v>595.09462172260589</v>
      </c>
      <c r="N15" s="135">
        <f>IF(SER_hh_fec!N15=0,0,11630*1000*SER_hh_fec!N15/SER_hh_num!N15)</f>
        <v>626.64643082610246</v>
      </c>
      <c r="O15" s="135">
        <f>IF(SER_hh_fec!O15=0,0,11630*1000*SER_hh_fec!O15/SER_hh_num!O15)</f>
        <v>639.15839009311549</v>
      </c>
      <c r="P15" s="135">
        <f>IF(SER_hh_fec!P15=0,0,11630*1000*SER_hh_fec!P15/SER_hh_num!P15)</f>
        <v>542.86129578374801</v>
      </c>
      <c r="Q15" s="135">
        <f>IF(SER_hh_fec!Q15=0,0,11630*1000*SER_hh_fec!Q15/SER_hh_num!Q15)</f>
        <v>581.22025908892113</v>
      </c>
      <c r="R15" s="135">
        <f>IF(SER_hh_fec!R15=0,0,11630*1000*SER_hh_fec!R15/SER_hh_num!R15)</f>
        <v>544.212629345506</v>
      </c>
      <c r="S15" s="135">
        <f>IF(SER_hh_fec!S15=0,0,11630*1000*SER_hh_fec!S15/SER_hh_num!S15)</f>
        <v>634.71655226366613</v>
      </c>
      <c r="T15" s="135">
        <f>IF(SER_hh_fec!T15=0,0,11630*1000*SER_hh_fec!T15/SER_hh_num!T15)</f>
        <v>583.2572729483951</v>
      </c>
      <c r="U15" s="135">
        <f>IF(SER_hh_fec!U15=0,0,11630*1000*SER_hh_fec!U15/SER_hh_num!U15)</f>
        <v>605.2222046763203</v>
      </c>
      <c r="V15" s="135">
        <f>IF(SER_hh_fec!V15=0,0,11630*1000*SER_hh_fec!V15/SER_hh_num!V15)</f>
        <v>583.89159442685593</v>
      </c>
      <c r="W15" s="135">
        <f>IF(SER_hh_fec!W15=0,0,11630*1000*SER_hh_fec!W15/SER_hh_num!W15)</f>
        <v>689.74236635112118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10864.457498007318</v>
      </c>
      <c r="C16" s="131">
        <f>IF(SER_hh_fec!C16=0,0,11630*1000*SER_hh_fec!C16/SER_hh_num!C16)</f>
        <v>10401.155813354024</v>
      </c>
      <c r="D16" s="131">
        <f>IF(SER_hh_fec!D16=0,0,11630*1000*SER_hh_fec!D16/SER_hh_num!D16)</f>
        <v>10033.55348848886</v>
      </c>
      <c r="E16" s="131">
        <f>IF(SER_hh_fec!E16=0,0,11630*1000*SER_hh_fec!E16/SER_hh_num!E16)</f>
        <v>10792.478170972074</v>
      </c>
      <c r="F16" s="131">
        <f>IF(SER_hh_fec!F16=0,0,11630*1000*SER_hh_fec!F16/SER_hh_num!F16)</f>
        <v>9156.9401388066781</v>
      </c>
      <c r="G16" s="131">
        <f>IF(SER_hh_fec!G16=0,0,11630*1000*SER_hh_fec!G16/SER_hh_num!G16)</f>
        <v>8797.5984490648752</v>
      </c>
      <c r="H16" s="131">
        <f>IF(SER_hh_fec!H16=0,0,11630*1000*SER_hh_fec!H16/SER_hh_num!H16)</f>
        <v>8758.8513246031016</v>
      </c>
      <c r="I16" s="131">
        <f>IF(SER_hh_fec!I16=0,0,11630*1000*SER_hh_fec!I16/SER_hh_num!I16)</f>
        <v>8248.8279212019424</v>
      </c>
      <c r="J16" s="131">
        <f>IF(SER_hh_fec!J16=0,0,11630*1000*SER_hh_fec!J16/SER_hh_num!J16)</f>
        <v>7562.6999795453312</v>
      </c>
      <c r="K16" s="131">
        <f>IF(SER_hh_fec!K16=0,0,11630*1000*SER_hh_fec!K16/SER_hh_num!K16)</f>
        <v>7547.0299537000492</v>
      </c>
      <c r="L16" s="131">
        <f>IF(SER_hh_fec!L16=0,0,11630*1000*SER_hh_fec!L16/SER_hh_num!L16)</f>
        <v>7635.5919327596966</v>
      </c>
      <c r="M16" s="131">
        <f>IF(SER_hh_fec!M16=0,0,11630*1000*SER_hh_fec!M16/SER_hh_num!M16)</f>
        <v>7289.3823403408442</v>
      </c>
      <c r="N16" s="131">
        <f>IF(SER_hh_fec!N16=0,0,11630*1000*SER_hh_fec!N16/SER_hh_num!N16)</f>
        <v>7376.9766319221308</v>
      </c>
      <c r="O16" s="131">
        <f>IF(SER_hh_fec!O16=0,0,11630*1000*SER_hh_fec!O16/SER_hh_num!O16)</f>
        <v>7654.3481616421186</v>
      </c>
      <c r="P16" s="131">
        <f>IF(SER_hh_fec!P16=0,0,11630*1000*SER_hh_fec!P16/SER_hh_num!P16)</f>
        <v>6576.9674329455038</v>
      </c>
      <c r="Q16" s="131">
        <f>IF(SER_hh_fec!Q16=0,0,11630*1000*SER_hh_fec!Q16/SER_hh_num!Q16)</f>
        <v>7461.2435548735666</v>
      </c>
      <c r="R16" s="131">
        <f>IF(SER_hh_fec!R16=0,0,11630*1000*SER_hh_fec!R16/SER_hh_num!R16)</f>
        <v>6258.4195651267391</v>
      </c>
      <c r="S16" s="131">
        <f>IF(SER_hh_fec!S16=0,0,11630*1000*SER_hh_fec!S16/SER_hh_num!S16)</f>
        <v>6512.2893828812621</v>
      </c>
      <c r="T16" s="131">
        <f>IF(SER_hh_fec!T16=0,0,11630*1000*SER_hh_fec!T16/SER_hh_num!T16)</f>
        <v>6255.4391048551852</v>
      </c>
      <c r="U16" s="131">
        <f>IF(SER_hh_fec!U16=0,0,11630*1000*SER_hh_fec!U16/SER_hh_num!U16)</f>
        <v>6307.2130385333812</v>
      </c>
      <c r="V16" s="131">
        <f>IF(SER_hh_fec!V16=0,0,11630*1000*SER_hh_fec!V16/SER_hh_num!V16)</f>
        <v>5649.6906855940078</v>
      </c>
      <c r="W16" s="131">
        <f>IF(SER_hh_fec!W16=0,0,11630*1000*SER_hh_fec!W16/SER_hh_num!W16)</f>
        <v>5696.3470262806923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15959.211575249032</v>
      </c>
      <c r="C17" s="133">
        <f>IF(SER_hh_fec!C17=0,0,11630*1000*SER_hh_fec!C17/SER_hh_num!C17)</f>
        <v>15772.511459230047</v>
      </c>
      <c r="D17" s="133">
        <f>IF(SER_hh_fec!D17=0,0,11630*1000*SER_hh_fec!D17/SER_hh_num!D17)</f>
        <v>15772.265191647568</v>
      </c>
      <c r="E17" s="133">
        <f>IF(SER_hh_fec!E17=0,0,11630*1000*SER_hh_fec!E17/SER_hh_num!E17)</f>
        <v>17576.452571348593</v>
      </c>
      <c r="F17" s="133">
        <f>IF(SER_hh_fec!F17=0,0,11630*1000*SER_hh_fec!F17/SER_hh_num!F17)</f>
        <v>15488.80646602739</v>
      </c>
      <c r="G17" s="133">
        <f>IF(SER_hh_fec!G17=0,0,11630*1000*SER_hh_fec!G17/SER_hh_num!G17)</f>
        <v>15561.74815032482</v>
      </c>
      <c r="H17" s="133">
        <f>IF(SER_hh_fec!H17=0,0,11630*1000*SER_hh_fec!H17/SER_hh_num!H17)</f>
        <v>16234.646422055166</v>
      </c>
      <c r="I17" s="133">
        <f>IF(SER_hh_fec!I17=0,0,11630*1000*SER_hh_fec!I17/SER_hh_num!I17)</f>
        <v>16090.237262671742</v>
      </c>
      <c r="J17" s="133">
        <f>IF(SER_hh_fec!J17=0,0,11630*1000*SER_hh_fec!J17/SER_hh_num!J17)</f>
        <v>15555.242239571402</v>
      </c>
      <c r="K17" s="133">
        <f>IF(SER_hh_fec!K17=0,0,11630*1000*SER_hh_fec!K17/SER_hh_num!K17)</f>
        <v>15720.329026648558</v>
      </c>
      <c r="L17" s="133">
        <f>IF(SER_hh_fec!L17=0,0,11630*1000*SER_hh_fec!L17/SER_hh_num!L17)</f>
        <v>16250.12770766159</v>
      </c>
      <c r="M17" s="133">
        <f>IF(SER_hh_fec!M17=0,0,11630*1000*SER_hh_fec!M17/SER_hh_num!M17)</f>
        <v>17109.7284241997</v>
      </c>
      <c r="N17" s="133">
        <f>IF(SER_hh_fec!N17=0,0,11630*1000*SER_hh_fec!N17/SER_hh_num!N17)</f>
        <v>16565.898280260059</v>
      </c>
      <c r="O17" s="133">
        <f>IF(SER_hh_fec!O17=0,0,11630*1000*SER_hh_fec!O17/SER_hh_num!O17)</f>
        <v>17616.636122629381</v>
      </c>
      <c r="P17" s="133">
        <f>IF(SER_hh_fec!P17=0,0,11630*1000*SER_hh_fec!P17/SER_hh_num!P17)</f>
        <v>15487.84813345064</v>
      </c>
      <c r="Q17" s="133">
        <f>IF(SER_hh_fec!Q17=0,0,11630*1000*SER_hh_fec!Q17/SER_hh_num!Q17)</f>
        <v>18800.666158723932</v>
      </c>
      <c r="R17" s="133">
        <f>IF(SER_hh_fec!R17=0,0,11630*1000*SER_hh_fec!R17/SER_hh_num!R17)</f>
        <v>15459.187200686294</v>
      </c>
      <c r="S17" s="133">
        <f>IF(SER_hh_fec!S17=0,0,11630*1000*SER_hh_fec!S17/SER_hh_num!S17)</f>
        <v>16344.215210540922</v>
      </c>
      <c r="T17" s="133">
        <f>IF(SER_hh_fec!T17=0,0,11630*1000*SER_hh_fec!T17/SER_hh_num!T17)</f>
        <v>15913.524806311605</v>
      </c>
      <c r="U17" s="133">
        <f>IF(SER_hh_fec!U17=0,0,11630*1000*SER_hh_fec!U17/SER_hh_num!U17)</f>
        <v>16103.888793813576</v>
      </c>
      <c r="V17" s="133">
        <f>IF(SER_hh_fec!V17=0,0,11630*1000*SER_hh_fec!V17/SER_hh_num!V17)</f>
        <v>14586.761328162895</v>
      </c>
      <c r="W17" s="133">
        <f>IF(SER_hh_fec!W17=0,0,11630*1000*SER_hh_fec!W17/SER_hh_num!W17)</f>
        <v>14778.218418174562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10857.445193242578</v>
      </c>
      <c r="C18" s="133">
        <f>IF(SER_hh_fec!C18=0,0,11630*1000*SER_hh_fec!C18/SER_hh_num!C18)</f>
        <v>10393.442387842406</v>
      </c>
      <c r="D18" s="133">
        <f>IF(SER_hh_fec!D18=0,0,11630*1000*SER_hh_fec!D18/SER_hh_num!D18)</f>
        <v>10024.244797811481</v>
      </c>
      <c r="E18" s="133">
        <f>IF(SER_hh_fec!E18=0,0,11630*1000*SER_hh_fec!E18/SER_hh_num!E18)</f>
        <v>10781.477291541059</v>
      </c>
      <c r="F18" s="133">
        <f>IF(SER_hh_fec!F18=0,0,11630*1000*SER_hh_fec!F18/SER_hh_num!F18)</f>
        <v>9144.2222151411388</v>
      </c>
      <c r="G18" s="133">
        <f>IF(SER_hh_fec!G18=0,0,11630*1000*SER_hh_fec!G18/SER_hh_num!G18)</f>
        <v>8782.7416493135843</v>
      </c>
      <c r="H18" s="133">
        <f>IF(SER_hh_fec!H18=0,0,11630*1000*SER_hh_fec!H18/SER_hh_num!H18)</f>
        <v>8741.428171362164</v>
      </c>
      <c r="I18" s="133">
        <f>IF(SER_hh_fec!I18=0,0,11630*1000*SER_hh_fec!I18/SER_hh_num!I18)</f>
        <v>8227.4832610974627</v>
      </c>
      <c r="J18" s="133">
        <f>IF(SER_hh_fec!J18=0,0,11630*1000*SER_hh_fec!J18/SER_hh_num!J18)</f>
        <v>7538.1989096920042</v>
      </c>
      <c r="K18" s="133">
        <f>IF(SER_hh_fec!K18=0,0,11630*1000*SER_hh_fec!K18/SER_hh_num!K18)</f>
        <v>7518.0361475089121</v>
      </c>
      <c r="L18" s="133">
        <f>IF(SER_hh_fec!L18=0,0,11630*1000*SER_hh_fec!L18/SER_hh_num!L18)</f>
        <v>7603.7023702251226</v>
      </c>
      <c r="M18" s="133">
        <f>IF(SER_hh_fec!M18=0,0,11630*1000*SER_hh_fec!M18/SER_hh_num!M18)</f>
        <v>7250.7766416501217</v>
      </c>
      <c r="N18" s="133">
        <f>IF(SER_hh_fec!N18=0,0,11630*1000*SER_hh_fec!N18/SER_hh_num!N18)</f>
        <v>7336.8097766222918</v>
      </c>
      <c r="O18" s="133">
        <f>IF(SER_hh_fec!O18=0,0,11630*1000*SER_hh_fec!O18/SER_hh_num!O18)</f>
        <v>7606.4053925449998</v>
      </c>
      <c r="P18" s="133">
        <f>IF(SER_hh_fec!P18=0,0,11630*1000*SER_hh_fec!P18/SER_hh_num!P18)</f>
        <v>6529.2306392985292</v>
      </c>
      <c r="Q18" s="133">
        <f>IF(SER_hh_fec!Q18=0,0,11630*1000*SER_hh_fec!Q18/SER_hh_num!Q18)</f>
        <v>7393.6019124844779</v>
      </c>
      <c r="R18" s="133">
        <f>IF(SER_hh_fec!R18=0,0,11630*1000*SER_hh_fec!R18/SER_hh_num!R18)</f>
        <v>6200.4849423098212</v>
      </c>
      <c r="S18" s="133">
        <f>IF(SER_hh_fec!S18=0,0,11630*1000*SER_hh_fec!S18/SER_hh_num!S18)</f>
        <v>6443.7020286414499</v>
      </c>
      <c r="T18" s="133">
        <f>IF(SER_hh_fec!T18=0,0,11630*1000*SER_hh_fec!T18/SER_hh_num!T18)</f>
        <v>6184.1455729737945</v>
      </c>
      <c r="U18" s="133">
        <f>IF(SER_hh_fec!U18=0,0,11630*1000*SER_hh_fec!U18/SER_hh_num!U18)</f>
        <v>6227.1922233677387</v>
      </c>
      <c r="V18" s="133">
        <f>IF(SER_hh_fec!V18=0,0,11630*1000*SER_hh_fec!V18/SER_hh_num!V18)</f>
        <v>5575.8488154622619</v>
      </c>
      <c r="W18" s="133">
        <f>IF(SER_hh_fec!W18=0,0,11630*1000*SER_hh_fec!W18/SER_hh_num!W18)</f>
        <v>5618.6549440754416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19621.186734080115</v>
      </c>
      <c r="C19" s="131">
        <f>IF(SER_hh_fec!C19=0,0,11630*1000*SER_hh_fec!C19/SER_hh_num!C19)</f>
        <v>19774.316788423708</v>
      </c>
      <c r="D19" s="131">
        <f>IF(SER_hh_fec!D19=0,0,11630*1000*SER_hh_fec!D19/SER_hh_num!D19)</f>
        <v>19666.135934274589</v>
      </c>
      <c r="E19" s="131">
        <f>IF(SER_hh_fec!E19=0,0,11630*1000*SER_hh_fec!E19/SER_hh_num!E19)</f>
        <v>19702.223198289073</v>
      </c>
      <c r="F19" s="131">
        <f>IF(SER_hh_fec!F19=0,0,11630*1000*SER_hh_fec!F19/SER_hh_num!F19)</f>
        <v>19561.978814574715</v>
      </c>
      <c r="G19" s="131">
        <f>IF(SER_hh_fec!G19=0,0,11630*1000*SER_hh_fec!G19/SER_hh_num!G19)</f>
        <v>19919.678230355883</v>
      </c>
      <c r="H19" s="131">
        <f>IF(SER_hh_fec!H19=0,0,11630*1000*SER_hh_fec!H19/SER_hh_num!H19)</f>
        <v>19755.215031486532</v>
      </c>
      <c r="I19" s="131">
        <f>IF(SER_hh_fec!I19=0,0,11630*1000*SER_hh_fec!I19/SER_hh_num!I19)</f>
        <v>19672.127484777353</v>
      </c>
      <c r="J19" s="131">
        <f>IF(SER_hh_fec!J19=0,0,11630*1000*SER_hh_fec!J19/SER_hh_num!J19)</f>
        <v>19261.885082828168</v>
      </c>
      <c r="K19" s="131">
        <f>IF(SER_hh_fec!K19=0,0,11630*1000*SER_hh_fec!K19/SER_hh_num!K19)</f>
        <v>20197.109076945919</v>
      </c>
      <c r="L19" s="131">
        <f>IF(SER_hh_fec!L19=0,0,11630*1000*SER_hh_fec!L19/SER_hh_num!L19)</f>
        <v>19163.064085648362</v>
      </c>
      <c r="M19" s="131">
        <f>IF(SER_hh_fec!M19=0,0,11630*1000*SER_hh_fec!M19/SER_hh_num!M19)</f>
        <v>19120.083489432487</v>
      </c>
      <c r="N19" s="131">
        <f>IF(SER_hh_fec!N19=0,0,11630*1000*SER_hh_fec!N19/SER_hh_num!N19)</f>
        <v>18626.164401397957</v>
      </c>
      <c r="O19" s="131">
        <f>IF(SER_hh_fec!O19=0,0,11630*1000*SER_hh_fec!O19/SER_hh_num!O19)</f>
        <v>18736.624932330596</v>
      </c>
      <c r="P19" s="131">
        <f>IF(SER_hh_fec!P19=0,0,11630*1000*SER_hh_fec!P19/SER_hh_num!P19)</f>
        <v>19048.395697443106</v>
      </c>
      <c r="Q19" s="131">
        <f>IF(SER_hh_fec!Q19=0,0,11630*1000*SER_hh_fec!Q19/SER_hh_num!Q19)</f>
        <v>18847.320448465682</v>
      </c>
      <c r="R19" s="131">
        <f>IF(SER_hh_fec!R19=0,0,11630*1000*SER_hh_fec!R19/SER_hh_num!R19)</f>
        <v>18730.408099461183</v>
      </c>
      <c r="S19" s="131">
        <f>IF(SER_hh_fec!S19=0,0,11630*1000*SER_hh_fec!S19/SER_hh_num!S19)</f>
        <v>18428.511389926985</v>
      </c>
      <c r="T19" s="131">
        <f>IF(SER_hh_fec!T19=0,0,11630*1000*SER_hh_fec!T19/SER_hh_num!T19)</f>
        <v>17955.623926204295</v>
      </c>
      <c r="U19" s="131">
        <f>IF(SER_hh_fec!U19=0,0,11630*1000*SER_hh_fec!U19/SER_hh_num!U19)</f>
        <v>17439.585070832891</v>
      </c>
      <c r="V19" s="131">
        <f>IF(SER_hh_fec!V19=0,0,11630*1000*SER_hh_fec!V19/SER_hh_num!V19)</f>
        <v>16607.471037011612</v>
      </c>
      <c r="W19" s="131">
        <f>IF(SER_hh_fec!W19=0,0,11630*1000*SER_hh_fec!W19/SER_hh_num!W19)</f>
        <v>16152.614635544542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21076.906373955615</v>
      </c>
      <c r="C21" s="133">
        <f>IF(SER_hh_fec!C21=0,0,11630*1000*SER_hh_fec!C21/SER_hh_num!C21)</f>
        <v>22806.14022640264</v>
      </c>
      <c r="D21" s="133">
        <f>IF(SER_hh_fec!D21=0,0,11630*1000*SER_hh_fec!D21/SER_hh_num!D21)</f>
        <v>22065.074215083936</v>
      </c>
      <c r="E21" s="133">
        <f>IF(SER_hh_fec!E21=0,0,11630*1000*SER_hh_fec!E21/SER_hh_num!E21)</f>
        <v>22443.626028844632</v>
      </c>
      <c r="F21" s="133">
        <f>IF(SER_hh_fec!F21=0,0,11630*1000*SER_hh_fec!F21/SER_hh_num!F21)</f>
        <v>22489.557047272374</v>
      </c>
      <c r="G21" s="133">
        <f>IF(SER_hh_fec!G21=0,0,11630*1000*SER_hh_fec!G21/SER_hh_num!G21)</f>
        <v>22687.184668549704</v>
      </c>
      <c r="H21" s="133">
        <f>IF(SER_hh_fec!H21=0,0,11630*1000*SER_hh_fec!H21/SER_hh_num!H21)</f>
        <v>22999.675379550732</v>
      </c>
      <c r="I21" s="133">
        <f>IF(SER_hh_fec!I21=0,0,11630*1000*SER_hh_fec!I21/SER_hh_num!I21)</f>
        <v>23444.47130126991</v>
      </c>
      <c r="J21" s="133">
        <f>IF(SER_hh_fec!J21=0,0,11630*1000*SER_hh_fec!J21/SER_hh_num!J21)</f>
        <v>23807.205202147528</v>
      </c>
      <c r="K21" s="133">
        <f>IF(SER_hh_fec!K21=0,0,11630*1000*SER_hh_fec!K21/SER_hh_num!K21)</f>
        <v>25001.387374820326</v>
      </c>
      <c r="L21" s="133">
        <f>IF(SER_hh_fec!L21=0,0,11630*1000*SER_hh_fec!L21/SER_hh_num!L21)</f>
        <v>23193.667752000601</v>
      </c>
      <c r="M21" s="133">
        <f>IF(SER_hh_fec!M21=0,0,11630*1000*SER_hh_fec!M21/SER_hh_num!M21)</f>
        <v>25582.353781649785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23707.825359471641</v>
      </c>
      <c r="C22" s="133">
        <f>IF(SER_hh_fec!C22=0,0,11630*1000*SER_hh_fec!C22/SER_hh_num!C22)</f>
        <v>23635.267558158524</v>
      </c>
      <c r="D22" s="133">
        <f>IF(SER_hh_fec!D22=0,0,11630*1000*SER_hh_fec!D22/SER_hh_num!D22)</f>
        <v>23572.216201076477</v>
      </c>
      <c r="E22" s="133">
        <f>IF(SER_hh_fec!E22=0,0,11630*1000*SER_hh_fec!E22/SER_hh_num!E22)</f>
        <v>23803.757836421537</v>
      </c>
      <c r="F22" s="133">
        <f>IF(SER_hh_fec!F22=0,0,11630*1000*SER_hh_fec!F22/SER_hh_num!F22)</f>
        <v>24234.627640674382</v>
      </c>
      <c r="G22" s="133">
        <f>IF(SER_hh_fec!G22=0,0,11630*1000*SER_hh_fec!G22/SER_hh_num!G22)</f>
        <v>24178.23072829732</v>
      </c>
      <c r="H22" s="133">
        <f>IF(SER_hh_fec!H22=0,0,11630*1000*SER_hh_fec!H22/SER_hh_num!H22)</f>
        <v>24130.752075079454</v>
      </c>
      <c r="I22" s="133">
        <f>IF(SER_hh_fec!I22=0,0,11630*1000*SER_hh_fec!I22/SER_hh_num!I22)</f>
        <v>24823.664033795234</v>
      </c>
      <c r="J22" s="133">
        <f>IF(SER_hh_fec!J22=0,0,11630*1000*SER_hh_fec!J22/SER_hh_num!J22)</f>
        <v>24214.889261807606</v>
      </c>
      <c r="K22" s="133">
        <f>IF(SER_hh_fec!K22=0,0,11630*1000*SER_hh_fec!K22/SER_hh_num!K22)</f>
        <v>25430.915607379466</v>
      </c>
      <c r="L22" s="133">
        <f>IF(SER_hh_fec!L22=0,0,11630*1000*SER_hh_fec!L22/SER_hh_num!L22)</f>
        <v>23532.140953587837</v>
      </c>
      <c r="M22" s="133">
        <f>IF(SER_hh_fec!M22=0,0,11630*1000*SER_hh_fec!M22/SER_hh_num!M22)</f>
        <v>24078.230805386935</v>
      </c>
      <c r="N22" s="133">
        <f>IF(SER_hh_fec!N22=0,0,11630*1000*SER_hh_fec!N22/SER_hh_num!N22)</f>
        <v>22382.069903086242</v>
      </c>
      <c r="O22" s="133">
        <f>IF(SER_hh_fec!O22=0,0,11630*1000*SER_hh_fec!O22/SER_hh_num!O22)</f>
        <v>23169.067413076427</v>
      </c>
      <c r="P22" s="133">
        <f>IF(SER_hh_fec!P22=0,0,11630*1000*SER_hh_fec!P22/SER_hh_num!P22)</f>
        <v>23316.564968521376</v>
      </c>
      <c r="Q22" s="133">
        <f>IF(SER_hh_fec!Q22=0,0,11630*1000*SER_hh_fec!Q22/SER_hh_num!Q22)</f>
        <v>23051.871616440549</v>
      </c>
      <c r="R22" s="133">
        <f>IF(SER_hh_fec!R22=0,0,11630*1000*SER_hh_fec!R22/SER_hh_num!R22)</f>
        <v>22764.023679710215</v>
      </c>
      <c r="S22" s="133">
        <f>IF(SER_hh_fec!S22=0,0,11630*1000*SER_hh_fec!S22/SER_hh_num!S22)</f>
        <v>22458.468793418317</v>
      </c>
      <c r="T22" s="133">
        <f>IF(SER_hh_fec!T22=0,0,11630*1000*SER_hh_fec!T22/SER_hh_num!T22)</f>
        <v>21219.963384031249</v>
      </c>
      <c r="U22" s="133">
        <f>IF(SER_hh_fec!U22=0,0,11630*1000*SER_hh_fec!U22/SER_hh_num!U22)</f>
        <v>20083.221676843241</v>
      </c>
      <c r="V22" s="133">
        <f>IF(SER_hh_fec!V22=0,0,11630*1000*SER_hh_fec!V22/SER_hh_num!V22)</f>
        <v>17821.222647235081</v>
      </c>
      <c r="W22" s="133">
        <f>IF(SER_hh_fec!W22=0,0,11630*1000*SER_hh_fec!W22/SER_hh_num!W22)</f>
        <v>18511.169145678654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23001.368555846315</v>
      </c>
      <c r="C23" s="133">
        <f>IF(SER_hh_fec!C23=0,0,11630*1000*SER_hh_fec!C23/SER_hh_num!C23)</f>
        <v>22974.049603747477</v>
      </c>
      <c r="D23" s="133">
        <f>IF(SER_hh_fec!D23=0,0,11630*1000*SER_hh_fec!D23/SER_hh_num!D23)</f>
        <v>22795.602826783477</v>
      </c>
      <c r="E23" s="133">
        <f>IF(SER_hh_fec!E23=0,0,11630*1000*SER_hh_fec!E23/SER_hh_num!E23)</f>
        <v>22628.855351221395</v>
      </c>
      <c r="F23" s="133">
        <f>IF(SER_hh_fec!F23=0,0,11630*1000*SER_hh_fec!F23/SER_hh_num!F23)</f>
        <v>22603.266399903041</v>
      </c>
      <c r="G23" s="133">
        <f>IF(SER_hh_fec!G23=0,0,11630*1000*SER_hh_fec!G23/SER_hh_num!G23)</f>
        <v>22727.647025237809</v>
      </c>
      <c r="H23" s="133">
        <f>IF(SER_hh_fec!H23=0,0,11630*1000*SER_hh_fec!H23/SER_hh_num!H23)</f>
        <v>22778.446940771602</v>
      </c>
      <c r="I23" s="133">
        <f>IF(SER_hh_fec!I23=0,0,11630*1000*SER_hh_fec!I23/SER_hh_num!I23)</f>
        <v>22726.211082843434</v>
      </c>
      <c r="J23" s="133">
        <f>IF(SER_hh_fec!J23=0,0,11630*1000*SER_hh_fec!J23/SER_hh_num!J23)</f>
        <v>22529.450876392846</v>
      </c>
      <c r="K23" s="133">
        <f>IF(SER_hh_fec!K23=0,0,11630*1000*SER_hh_fec!K23/SER_hh_num!K23)</f>
        <v>22435.053077687557</v>
      </c>
      <c r="L23" s="133">
        <f>IF(SER_hh_fec!L23=0,0,11630*1000*SER_hh_fec!L23/SER_hh_num!L23)</f>
        <v>21678.000255411644</v>
      </c>
      <c r="M23" s="133">
        <f>IF(SER_hh_fec!M23=0,0,11630*1000*SER_hh_fec!M23/SER_hh_num!M23)</f>
        <v>21102.52326966446</v>
      </c>
      <c r="N23" s="133">
        <f>IF(SER_hh_fec!N23=0,0,11630*1000*SER_hh_fec!N23/SER_hh_num!N23)</f>
        <v>20785.639506140626</v>
      </c>
      <c r="O23" s="133">
        <f>IF(SER_hh_fec!O23=0,0,11630*1000*SER_hh_fec!O23/SER_hh_num!O23)</f>
        <v>20856.544355264679</v>
      </c>
      <c r="P23" s="133">
        <f>IF(SER_hh_fec!P23=0,0,11630*1000*SER_hh_fec!P23/SER_hh_num!P23)</f>
        <v>20800.780440769697</v>
      </c>
      <c r="Q23" s="133">
        <f>IF(SER_hh_fec!Q23=0,0,11630*1000*SER_hh_fec!Q23/SER_hh_num!Q23)</f>
        <v>20938.483438191382</v>
      </c>
      <c r="R23" s="133">
        <f>IF(SER_hh_fec!R23=0,0,11630*1000*SER_hh_fec!R23/SER_hh_num!R23)</f>
        <v>20559.929251968628</v>
      </c>
      <c r="S23" s="133">
        <f>IF(SER_hh_fec!S23=0,0,11630*1000*SER_hh_fec!S23/SER_hh_num!S23)</f>
        <v>19818.209837852879</v>
      </c>
      <c r="T23" s="133">
        <f>IF(SER_hh_fec!T23=0,0,11630*1000*SER_hh_fec!T23/SER_hh_num!T23)</f>
        <v>19067.463624153301</v>
      </c>
      <c r="U23" s="133">
        <f>IF(SER_hh_fec!U23=0,0,11630*1000*SER_hh_fec!U23/SER_hh_num!U23)</f>
        <v>18159.524478803065</v>
      </c>
      <c r="V23" s="133">
        <f>IF(SER_hh_fec!V23=0,0,11630*1000*SER_hh_fec!V23/SER_hh_num!V23)</f>
        <v>16834.313012648767</v>
      </c>
      <c r="W23" s="133">
        <f>IF(SER_hh_fec!W23=0,0,11630*1000*SER_hh_fec!W23/SER_hh_num!W23)</f>
        <v>17034.785901190171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26226.872613157142</v>
      </c>
      <c r="C24" s="133">
        <f>IF(SER_hh_fec!C24=0,0,11630*1000*SER_hh_fec!C24/SER_hh_num!C24)</f>
        <v>25895.245035145355</v>
      </c>
      <c r="D24" s="133">
        <f>IF(SER_hh_fec!D24=0,0,11630*1000*SER_hh_fec!D24/SER_hh_num!D24)</f>
        <v>25464.997044642267</v>
      </c>
      <c r="E24" s="133">
        <f>IF(SER_hh_fec!E24=0,0,11630*1000*SER_hh_fec!E24/SER_hh_num!E24)</f>
        <v>25080.452444144099</v>
      </c>
      <c r="F24" s="133">
        <f>IF(SER_hh_fec!F24=0,0,11630*1000*SER_hh_fec!F24/SER_hh_num!F24)</f>
        <v>24772.726757531207</v>
      </c>
      <c r="G24" s="133">
        <f>IF(SER_hh_fec!G24=0,0,11630*1000*SER_hh_fec!G24/SER_hh_num!G24)</f>
        <v>24530.322976058163</v>
      </c>
      <c r="H24" s="133">
        <f>IF(SER_hh_fec!H24=0,0,11630*1000*SER_hh_fec!H24/SER_hh_num!H24)</f>
        <v>24248.488252375122</v>
      </c>
      <c r="I24" s="133">
        <f>IF(SER_hh_fec!I24=0,0,11630*1000*SER_hh_fec!I24/SER_hh_num!I24)</f>
        <v>23693.960191195336</v>
      </c>
      <c r="J24" s="133">
        <f>IF(SER_hh_fec!J24=0,0,11630*1000*SER_hh_fec!J24/SER_hh_num!J24)</f>
        <v>23147.998918421374</v>
      </c>
      <c r="K24" s="133">
        <f>IF(SER_hh_fec!K24=0,0,11630*1000*SER_hh_fec!K24/SER_hh_num!K24)</f>
        <v>22557.737964416796</v>
      </c>
      <c r="L24" s="133">
        <f>IF(SER_hh_fec!L24=0,0,11630*1000*SER_hh_fec!L24/SER_hh_num!L24)</f>
        <v>21450.900135331249</v>
      </c>
      <c r="M24" s="133">
        <f>IF(SER_hh_fec!M24=0,0,11630*1000*SER_hh_fec!M24/SER_hh_num!M24)</f>
        <v>20619.967374586715</v>
      </c>
      <c r="N24" s="133">
        <f>IF(SER_hh_fec!N24=0,0,11630*1000*SER_hh_fec!N24/SER_hh_num!N24)</f>
        <v>19818.923840368778</v>
      </c>
      <c r="O24" s="133">
        <f>IF(SER_hh_fec!O24=0,0,11630*1000*SER_hh_fec!O24/SER_hh_num!O24)</f>
        <v>19450.18087668208</v>
      </c>
      <c r="P24" s="133">
        <f>IF(SER_hh_fec!P24=0,0,11630*1000*SER_hh_fec!P24/SER_hh_num!P24)</f>
        <v>19661.078895078612</v>
      </c>
      <c r="Q24" s="133">
        <f>IF(SER_hh_fec!Q24=0,0,11630*1000*SER_hh_fec!Q24/SER_hh_num!Q24)</f>
        <v>19834.374654450861</v>
      </c>
      <c r="R24" s="133">
        <f>IF(SER_hh_fec!R24=0,0,11630*1000*SER_hh_fec!R24/SER_hh_num!R24)</f>
        <v>19383.443039460992</v>
      </c>
      <c r="S24" s="133">
        <f>IF(SER_hh_fec!S24=0,0,11630*1000*SER_hh_fec!S24/SER_hh_num!S24)</f>
        <v>18824.76790675371</v>
      </c>
      <c r="T24" s="133">
        <f>IF(SER_hh_fec!T24=0,0,11630*1000*SER_hh_fec!T24/SER_hh_num!T24)</f>
        <v>18096.958345659579</v>
      </c>
      <c r="U24" s="133">
        <f>IF(SER_hh_fec!U24=0,0,11630*1000*SER_hh_fec!U24/SER_hh_num!U24)</f>
        <v>17636.949772917575</v>
      </c>
      <c r="V24" s="133">
        <f>IF(SER_hh_fec!V24=0,0,11630*1000*SER_hh_fec!V24/SER_hh_num!V24)</f>
        <v>15901.833132589034</v>
      </c>
      <c r="W24" s="133">
        <f>IF(SER_hh_fec!W24=0,0,11630*1000*SER_hh_fec!W24/SER_hh_num!W24)</f>
        <v>16551.349964953766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15432.340936678214</v>
      </c>
      <c r="C25" s="133">
        <f>IF(SER_hh_fec!C25=0,0,11630*1000*SER_hh_fec!C25/SER_hh_num!C25)</f>
        <v>15424.201913838437</v>
      </c>
      <c r="D25" s="133">
        <f>IF(SER_hh_fec!D25=0,0,11630*1000*SER_hh_fec!D25/SER_hh_num!D25)</f>
        <v>15604.666498486426</v>
      </c>
      <c r="E25" s="133">
        <f>IF(SER_hh_fec!E25=0,0,11630*1000*SER_hh_fec!E25/SER_hh_num!E25)</f>
        <v>15382.820806086735</v>
      </c>
      <c r="F25" s="133">
        <f>IF(SER_hh_fec!F25=0,0,11630*1000*SER_hh_fec!F25/SER_hh_num!F25)</f>
        <v>15196.192797025264</v>
      </c>
      <c r="G25" s="133">
        <f>IF(SER_hh_fec!G25=0,0,11630*1000*SER_hh_fec!G25/SER_hh_num!G25)</f>
        <v>14783.517393279615</v>
      </c>
      <c r="H25" s="133">
        <f>IF(SER_hh_fec!H25=0,0,11630*1000*SER_hh_fec!H25/SER_hh_num!H25)</f>
        <v>15579.525197861672</v>
      </c>
      <c r="I25" s="133">
        <f>IF(SER_hh_fec!I25=0,0,11630*1000*SER_hh_fec!I25/SER_hh_num!I25)</f>
        <v>16036.154683330733</v>
      </c>
      <c r="J25" s="133">
        <f>IF(SER_hh_fec!J25=0,0,11630*1000*SER_hh_fec!J25/SER_hh_num!J25)</f>
        <v>15727.79245182546</v>
      </c>
      <c r="K25" s="133">
        <f>IF(SER_hh_fec!K25=0,0,11630*1000*SER_hh_fec!K25/SER_hh_num!K25)</f>
        <v>16212.671171234993</v>
      </c>
      <c r="L25" s="133">
        <f>IF(SER_hh_fec!L25=0,0,11630*1000*SER_hh_fec!L25/SER_hh_num!L25)</f>
        <v>16022.156251132743</v>
      </c>
      <c r="M25" s="133">
        <f>IF(SER_hh_fec!M25=0,0,11630*1000*SER_hh_fec!M25/SER_hh_num!M25)</f>
        <v>15403.02634642808</v>
      </c>
      <c r="N25" s="133">
        <f>IF(SER_hh_fec!N25=0,0,11630*1000*SER_hh_fec!N25/SER_hh_num!N25)</f>
        <v>15444.279848454533</v>
      </c>
      <c r="O25" s="133">
        <f>IF(SER_hh_fec!O25=0,0,11630*1000*SER_hh_fec!O25/SER_hh_num!O25)</f>
        <v>15579.444769004531</v>
      </c>
      <c r="P25" s="133">
        <f>IF(SER_hh_fec!P25=0,0,11630*1000*SER_hh_fec!P25/SER_hh_num!P25)</f>
        <v>16041.661612206261</v>
      </c>
      <c r="Q25" s="133">
        <f>IF(SER_hh_fec!Q25=0,0,11630*1000*SER_hh_fec!Q25/SER_hh_num!Q25)</f>
        <v>16239.20226904142</v>
      </c>
      <c r="R25" s="133">
        <f>IF(SER_hh_fec!R25=0,0,11630*1000*SER_hh_fec!R25/SER_hh_num!R25)</f>
        <v>16083.389742472094</v>
      </c>
      <c r="S25" s="133">
        <f>IF(SER_hh_fec!S25=0,0,11630*1000*SER_hh_fec!S25/SER_hh_num!S25)</f>
        <v>15570.231946095473</v>
      </c>
      <c r="T25" s="133">
        <f>IF(SER_hh_fec!T25=0,0,11630*1000*SER_hh_fec!T25/SER_hh_num!T25)</f>
        <v>15172.631273561632</v>
      </c>
      <c r="U25" s="133">
        <f>IF(SER_hh_fec!U25=0,0,11630*1000*SER_hh_fec!U25/SER_hh_num!U25)</f>
        <v>14871.626076874863</v>
      </c>
      <c r="V25" s="133">
        <f>IF(SER_hh_fec!V25=0,0,11630*1000*SER_hh_fec!V25/SER_hh_num!V25)</f>
        <v>14261.803607479593</v>
      </c>
      <c r="W25" s="133">
        <f>IF(SER_hh_fec!W25=0,0,11630*1000*SER_hh_fec!W25/SER_hh_num!W25)</f>
        <v>14746.199668037736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12849.314107330867</v>
      </c>
      <c r="C26" s="65">
        <f>IF(SER_hh_fec!C26=0,0,11630*1000*SER_hh_fec!C26/SER_hh_num!C26)</f>
        <v>12930.752420957655</v>
      </c>
      <c r="D26" s="65">
        <f>IF(SER_hh_fec!D26=0,0,11630*1000*SER_hh_fec!D26/SER_hh_num!D26)</f>
        <v>12717.004006139208</v>
      </c>
      <c r="E26" s="65">
        <f>IF(SER_hh_fec!E26=0,0,11630*1000*SER_hh_fec!E26/SER_hh_num!E26)</f>
        <v>11752.741105305726</v>
      </c>
      <c r="F26" s="65">
        <f>IF(SER_hh_fec!F26=0,0,11630*1000*SER_hh_fec!F26/SER_hh_num!F26)</f>
        <v>11400.822980433912</v>
      </c>
      <c r="G26" s="65">
        <f>IF(SER_hh_fec!G26=0,0,11630*1000*SER_hh_fec!G26/SER_hh_num!G26)</f>
        <v>13825.073671914244</v>
      </c>
      <c r="H26" s="65">
        <f>IF(SER_hh_fec!H26=0,0,11630*1000*SER_hh_fec!H26/SER_hh_num!H26)</f>
        <v>14803.133362872024</v>
      </c>
      <c r="I26" s="65">
        <f>IF(SER_hh_fec!I26=0,0,11630*1000*SER_hh_fec!I26/SER_hh_num!I26)</f>
        <v>13442.803619742161</v>
      </c>
      <c r="J26" s="65">
        <f>IF(SER_hh_fec!J26=0,0,11630*1000*SER_hh_fec!J26/SER_hh_num!J26)</f>
        <v>11258.183158316499</v>
      </c>
      <c r="K26" s="65">
        <f>IF(SER_hh_fec!K26=0,0,11630*1000*SER_hh_fec!K26/SER_hh_num!K26)</f>
        <v>16688.68049508462</v>
      </c>
      <c r="L26" s="65">
        <f>IF(SER_hh_fec!L26=0,0,11630*1000*SER_hh_fec!L26/SER_hh_num!L26)</f>
        <v>8962.7062791842509</v>
      </c>
      <c r="M26" s="65">
        <f>IF(SER_hh_fec!M26=0,0,11630*1000*SER_hh_fec!M26/SER_hh_num!M26)</f>
        <v>8471.457406692969</v>
      </c>
      <c r="N26" s="65">
        <f>IF(SER_hh_fec!N26=0,0,11630*1000*SER_hh_fec!N26/SER_hh_num!N26)</f>
        <v>8194.9160294104804</v>
      </c>
      <c r="O26" s="65">
        <f>IF(SER_hh_fec!O26=0,0,11630*1000*SER_hh_fec!O26/SER_hh_num!O26)</f>
        <v>10165.396894916672</v>
      </c>
      <c r="P26" s="65">
        <f>IF(SER_hh_fec!P26=0,0,11630*1000*SER_hh_fec!P26/SER_hh_num!P26)</f>
        <v>9508.8565700103318</v>
      </c>
      <c r="Q26" s="65">
        <f>IF(SER_hh_fec!Q26=0,0,11630*1000*SER_hh_fec!Q26/SER_hh_num!Q26)</f>
        <v>10695.332914851922</v>
      </c>
      <c r="R26" s="65">
        <f>IF(SER_hh_fec!R26=0,0,11630*1000*SER_hh_fec!R26/SER_hh_num!R26)</f>
        <v>11692.87976247589</v>
      </c>
      <c r="S26" s="65">
        <f>IF(SER_hh_fec!S26=0,0,11630*1000*SER_hh_fec!S26/SER_hh_num!S26)</f>
        <v>10313.877109516305</v>
      </c>
      <c r="T26" s="65">
        <f>IF(SER_hh_fec!T26=0,0,11630*1000*SER_hh_fec!T26/SER_hh_num!T26)</f>
        <v>8226.4223292633396</v>
      </c>
      <c r="U26" s="65">
        <f>IF(SER_hh_fec!U26=0,0,11630*1000*SER_hh_fec!U26/SER_hh_num!U26)</f>
        <v>8341.7969300711811</v>
      </c>
      <c r="V26" s="65">
        <f>IF(SER_hh_fec!V26=0,0,11630*1000*SER_hh_fec!V26/SER_hh_num!V26)</f>
        <v>6838.2718967098081</v>
      </c>
      <c r="W26" s="65">
        <f>IF(SER_hh_fec!W26=0,0,11630*1000*SER_hh_fec!W26/SER_hh_num!W26)</f>
        <v>7678.2577620345119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2020.7470637351228</v>
      </c>
      <c r="C27" s="146">
        <f>IF(SER_hh_fec!C27=0,0,11630*1000*SER_hh_fec!C27/SER_hh_num!C19)</f>
        <v>2092.6498437861705</v>
      </c>
      <c r="D27" s="146">
        <f>IF(SER_hh_fec!D27=0,0,11630*1000*SER_hh_fec!D27/SER_hh_num!D19)</f>
        <v>2102.8822005040324</v>
      </c>
      <c r="E27" s="146">
        <f>IF(SER_hh_fec!E27=0,0,11630*1000*SER_hh_fec!E27/SER_hh_num!E19)</f>
        <v>2507.5380473422633</v>
      </c>
      <c r="F27" s="146">
        <f>IF(SER_hh_fec!F27=0,0,11630*1000*SER_hh_fec!F27/SER_hh_num!F19)</f>
        <v>2578.1682827819391</v>
      </c>
      <c r="G27" s="146">
        <f>IF(SER_hh_fec!G27=0,0,11630*1000*SER_hh_fec!G27/SER_hh_num!G19)</f>
        <v>2348.5641220518569</v>
      </c>
      <c r="H27" s="146">
        <f>IF(SER_hh_fec!H27=0,0,11630*1000*SER_hh_fec!H27/SER_hh_num!H19)</f>
        <v>1753.3538894536418</v>
      </c>
      <c r="I27" s="146">
        <f>IF(SER_hh_fec!I27=0,0,11630*1000*SER_hh_fec!I27/SER_hh_num!I19)</f>
        <v>2057.9841141866318</v>
      </c>
      <c r="J27" s="146">
        <f>IF(SER_hh_fec!J27=0,0,11630*1000*SER_hh_fec!J27/SER_hh_num!J19)</f>
        <v>2713.633517319362</v>
      </c>
      <c r="K27" s="146">
        <f>IF(SER_hh_fec!K27=0,0,11630*1000*SER_hh_fec!K27/SER_hh_num!K19)</f>
        <v>1536.7313656548708</v>
      </c>
      <c r="L27" s="146">
        <f>IF(SER_hh_fec!L27=0,0,11630*1000*SER_hh_fec!L27/SER_hh_num!L19)</f>
        <v>3528.2329908467773</v>
      </c>
      <c r="M27" s="146">
        <f>IF(SER_hh_fec!M27=0,0,11630*1000*SER_hh_fec!M27/SER_hh_num!M19)</f>
        <v>4025.3817392743322</v>
      </c>
      <c r="N27" s="146">
        <f>IF(SER_hh_fec!N27=0,0,11630*1000*SER_hh_fec!N27/SER_hh_num!N19)</f>
        <v>4248.907481628492</v>
      </c>
      <c r="O27" s="146">
        <f>IF(SER_hh_fec!O27=0,0,11630*1000*SER_hh_fec!O27/SER_hh_num!O19)</f>
        <v>3688.1365650035582</v>
      </c>
      <c r="P27" s="146">
        <f>IF(SER_hh_fec!P27=0,0,11630*1000*SER_hh_fec!P27/SER_hh_num!P19)</f>
        <v>4116.2618175455345</v>
      </c>
      <c r="Q27" s="146">
        <f>IF(SER_hh_fec!Q27=0,0,11630*1000*SER_hh_fec!Q27/SER_hh_num!Q19)</f>
        <v>3513.9332984934836</v>
      </c>
      <c r="R27" s="146">
        <f>IF(SER_hh_fec!R27=0,0,11630*1000*SER_hh_fec!R27/SER_hh_num!R19)</f>
        <v>3226.6697255756044</v>
      </c>
      <c r="S27" s="146">
        <f>IF(SER_hh_fec!S27=0,0,11630*1000*SER_hh_fec!S27/SER_hh_num!S19)</f>
        <v>3744.1793693912941</v>
      </c>
      <c r="T27" s="146">
        <f>IF(SER_hh_fec!T27=0,0,11630*1000*SER_hh_fec!T27/SER_hh_num!T19)</f>
        <v>4303.0490261985196</v>
      </c>
      <c r="U27" s="146">
        <f>IF(SER_hh_fec!U27=0,0,11630*1000*SER_hh_fec!U27/SER_hh_num!U19)</f>
        <v>4006.9927407668461</v>
      </c>
      <c r="V27" s="146">
        <f>IF(SER_hh_fec!V27=0,0,11630*1000*SER_hh_fec!V27/SER_hh_num!V19)</f>
        <v>4337.6774677900203</v>
      </c>
      <c r="W27" s="146">
        <f>IF(SER_hh_fec!W27=0,0,11630*1000*SER_hh_fec!W27/SER_hh_num!W19)</f>
        <v>3300.3388240658965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8571.98651782669</v>
      </c>
      <c r="C28" s="147">
        <f>IF(SER_hh_fec!C27=0,0,11630*1000*SER_hh_fec!C27/SER_hh_num!C27)</f>
        <v>8695.7328334357862</v>
      </c>
      <c r="D28" s="147">
        <f>IF(SER_hh_fec!D27=0,0,11630*1000*SER_hh_fec!D27/SER_hh_num!D27)</f>
        <v>8673.0695669766865</v>
      </c>
      <c r="E28" s="147">
        <f>IF(SER_hh_fec!E27=0,0,11630*1000*SER_hh_fec!E27/SER_hh_num!E27)</f>
        <v>8818.8919249726405</v>
      </c>
      <c r="F28" s="147">
        <f>IF(SER_hh_fec!F27=0,0,11630*1000*SER_hh_fec!F27/SER_hh_num!F27)</f>
        <v>8816.7454785041064</v>
      </c>
      <c r="G28" s="147">
        <f>IF(SER_hh_fec!G27=0,0,11630*1000*SER_hh_fec!G27/SER_hh_num!G27)</f>
        <v>9007.096852728233</v>
      </c>
      <c r="H28" s="147">
        <f>IF(SER_hh_fec!H27=0,0,11630*1000*SER_hh_fec!H27/SER_hh_num!H27)</f>
        <v>9868.7209686440383</v>
      </c>
      <c r="I28" s="147">
        <f>IF(SER_hh_fec!I27=0,0,11630*1000*SER_hh_fec!I27/SER_hh_num!I27)</f>
        <v>9773.5303061397353</v>
      </c>
      <c r="J28" s="147">
        <f>IF(SER_hh_fec!J27=0,0,11630*1000*SER_hh_fec!J27/SER_hh_num!J27)</f>
        <v>9773.5526101494779</v>
      </c>
      <c r="K28" s="147">
        <f>IF(SER_hh_fec!K27=0,0,11630*1000*SER_hh_fec!K27/SER_hh_num!K27)</f>
        <v>9688.9965400744641</v>
      </c>
      <c r="L28" s="147">
        <f>IF(SER_hh_fec!L27=0,0,11630*1000*SER_hh_fec!L27/SER_hh_num!L27)</f>
        <v>14995.453968147882</v>
      </c>
      <c r="M28" s="147">
        <f>IF(SER_hh_fec!M27=0,0,11630*1000*SER_hh_fec!M27/SER_hh_num!M27)</f>
        <v>12768.209066087451</v>
      </c>
      <c r="N28" s="147">
        <f>IF(SER_hh_fec!N27=0,0,11630*1000*SER_hh_fec!N27/SER_hh_num!N27)</f>
        <v>10556.667344468175</v>
      </c>
      <c r="O28" s="147">
        <f>IF(SER_hh_fec!O27=0,0,11630*1000*SER_hh_fec!O27/SER_hh_num!O27)</f>
        <v>10969.958508100428</v>
      </c>
      <c r="P28" s="147">
        <f>IF(SER_hh_fec!P27=0,0,11630*1000*SER_hh_fec!P27/SER_hh_num!P27)</f>
        <v>11198.88227641979</v>
      </c>
      <c r="Q28" s="147">
        <f>IF(SER_hh_fec!Q27=0,0,11630*1000*SER_hh_fec!Q27/SER_hh_num!Q27)</f>
        <v>12086.328161893158</v>
      </c>
      <c r="R28" s="147">
        <f>IF(SER_hh_fec!R27=0,0,11630*1000*SER_hh_fec!R27/SER_hh_num!R27)</f>
        <v>12421.413330978139</v>
      </c>
      <c r="S28" s="147">
        <f>IF(SER_hh_fec!S27=0,0,11630*1000*SER_hh_fec!S27/SER_hh_num!S27)</f>
        <v>11768.174211296817</v>
      </c>
      <c r="T28" s="147">
        <f>IF(SER_hh_fec!T27=0,0,11630*1000*SER_hh_fec!T27/SER_hh_num!T27)</f>
        <v>11260.136681826194</v>
      </c>
      <c r="U28" s="147">
        <f>IF(SER_hh_fec!U27=0,0,11630*1000*SER_hh_fec!U27/SER_hh_num!U27)</f>
        <v>10685.610875730008</v>
      </c>
      <c r="V28" s="147">
        <f>IF(SER_hh_fec!V27=0,0,11630*1000*SER_hh_fec!V27/SER_hh_num!V27)</f>
        <v>10194.387245508693</v>
      </c>
      <c r="W28" s="147">
        <f>IF(SER_hh_fec!W27=0,0,11630*1000*SER_hh_fec!W27/SER_hh_num!W27)</f>
        <v>9753.2812548520069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15363.077987706538</v>
      </c>
      <c r="C29" s="131">
        <f>IF(SER_hh_fec!C29=0,0,11630*1000*SER_hh_fec!C29/SER_hh_num!C29)</f>
        <v>16001.235117550264</v>
      </c>
      <c r="D29" s="131">
        <f>IF(SER_hh_fec!D29=0,0,11630*1000*SER_hh_fec!D29/SER_hh_num!D29)</f>
        <v>17244.904167195771</v>
      </c>
      <c r="E29" s="131">
        <f>IF(SER_hh_fec!E29=0,0,11630*1000*SER_hh_fec!E29/SER_hh_num!E29)</f>
        <v>18010.330615575313</v>
      </c>
      <c r="F29" s="131">
        <f>IF(SER_hh_fec!F29=0,0,11630*1000*SER_hh_fec!F29/SER_hh_num!F29)</f>
        <v>18367.648600642184</v>
      </c>
      <c r="G29" s="131">
        <f>IF(SER_hh_fec!G29=0,0,11630*1000*SER_hh_fec!G29/SER_hh_num!G29)</f>
        <v>17961.094086193389</v>
      </c>
      <c r="H29" s="131">
        <f>IF(SER_hh_fec!H29=0,0,11630*1000*SER_hh_fec!H29/SER_hh_num!H29)</f>
        <v>17724.050445579123</v>
      </c>
      <c r="I29" s="131">
        <f>IF(SER_hh_fec!I29=0,0,11630*1000*SER_hh_fec!I29/SER_hh_num!I29)</f>
        <v>17150.863662462507</v>
      </c>
      <c r="J29" s="131">
        <f>IF(SER_hh_fec!J29=0,0,11630*1000*SER_hh_fec!J29/SER_hh_num!J29)</f>
        <v>16900.036544811323</v>
      </c>
      <c r="K29" s="131">
        <f>IF(SER_hh_fec!K29=0,0,11630*1000*SER_hh_fec!K29/SER_hh_num!K29)</f>
        <v>17591.721860128448</v>
      </c>
      <c r="L29" s="131">
        <f>IF(SER_hh_fec!L29=0,0,11630*1000*SER_hh_fec!L29/SER_hh_num!L29)</f>
        <v>17922.616013527695</v>
      </c>
      <c r="M29" s="131">
        <f>IF(SER_hh_fec!M29=0,0,11630*1000*SER_hh_fec!M29/SER_hh_num!M29)</f>
        <v>17796.117460186437</v>
      </c>
      <c r="N29" s="131">
        <f>IF(SER_hh_fec!N29=0,0,11630*1000*SER_hh_fec!N29/SER_hh_num!N29)</f>
        <v>17263.041083545013</v>
      </c>
      <c r="O29" s="131">
        <f>IF(SER_hh_fec!O29=0,0,11630*1000*SER_hh_fec!O29/SER_hh_num!O29)</f>
        <v>17197.563923400801</v>
      </c>
      <c r="P29" s="131">
        <f>IF(SER_hh_fec!P29=0,0,11630*1000*SER_hh_fec!P29/SER_hh_num!P29)</f>
        <v>17290.045768443029</v>
      </c>
      <c r="Q29" s="131">
        <f>IF(SER_hh_fec!Q29=0,0,11630*1000*SER_hh_fec!Q29/SER_hh_num!Q29)</f>
        <v>17257.709268292929</v>
      </c>
      <c r="R29" s="131">
        <f>IF(SER_hh_fec!R29=0,0,11630*1000*SER_hh_fec!R29/SER_hh_num!R29)</f>
        <v>17229.804139136399</v>
      </c>
      <c r="S29" s="131">
        <f>IF(SER_hh_fec!S29=0,0,11630*1000*SER_hh_fec!S29/SER_hh_num!S29)</f>
        <v>17138.837226801144</v>
      </c>
      <c r="T29" s="131">
        <f>IF(SER_hh_fec!T29=0,0,11630*1000*SER_hh_fec!T29/SER_hh_num!T29)</f>
        <v>16964.095890147244</v>
      </c>
      <c r="U29" s="131">
        <f>IF(SER_hh_fec!U29=0,0,11630*1000*SER_hh_fec!U29/SER_hh_num!U29)</f>
        <v>16885.648663334174</v>
      </c>
      <c r="V29" s="131">
        <f>IF(SER_hh_fec!V29=0,0,11630*1000*SER_hh_fec!V29/SER_hh_num!V29)</f>
        <v>16011.219401429395</v>
      </c>
      <c r="W29" s="131">
        <f>IF(SER_hh_fec!W29=0,0,11630*1000*SER_hh_fec!W29/SER_hh_num!W29)</f>
        <v>16373.315422340893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6853.8599763469956</v>
      </c>
      <c r="C30" s="133">
        <f>IF(SER_hh_fec!C30=0,0,11630*1000*SER_hh_fec!C30/SER_hh_num!C30)</f>
        <v>10770.450070918096</v>
      </c>
      <c r="D30" s="133">
        <f>IF(SER_hh_fec!D30=0,0,11630*1000*SER_hh_fec!D30/SER_hh_num!D30)</f>
        <v>22211.919401608171</v>
      </c>
      <c r="E30" s="133">
        <f>IF(SER_hh_fec!E30=0,0,11630*1000*SER_hh_fec!E30/SER_hh_num!E30)</f>
        <v>23217.998741440155</v>
      </c>
      <c r="F30" s="133">
        <f>IF(SER_hh_fec!F30=0,0,11630*1000*SER_hh_fec!F30/SER_hh_num!F30)</f>
        <v>27734.074515275017</v>
      </c>
      <c r="G30" s="133">
        <f>IF(SER_hh_fec!G30=0,0,11630*1000*SER_hh_fec!G30/SER_hh_num!G30)</f>
        <v>20592.851840832143</v>
      </c>
      <c r="H30" s="133">
        <f>IF(SER_hh_fec!H30=0,0,11630*1000*SER_hh_fec!H30/SER_hh_num!H30)</f>
        <v>21911.247858439114</v>
      </c>
      <c r="I30" s="133">
        <f>IF(SER_hh_fec!I30=0,0,11630*1000*SER_hh_fec!I30/SER_hh_num!I30)</f>
        <v>18327.303854615719</v>
      </c>
      <c r="J30" s="133">
        <f>IF(SER_hh_fec!J30=0,0,11630*1000*SER_hh_fec!J30/SER_hh_num!J30)</f>
        <v>13673.582226447219</v>
      </c>
      <c r="K30" s="133">
        <f>IF(SER_hh_fec!K30=0,0,11630*1000*SER_hh_fec!K30/SER_hh_num!K30)</f>
        <v>17074.149143146806</v>
      </c>
      <c r="L30" s="133">
        <f>IF(SER_hh_fec!L30=0,0,11630*1000*SER_hh_fec!L30/SER_hh_num!L30)</f>
        <v>28429.571134768328</v>
      </c>
      <c r="M30" s="133">
        <f>IF(SER_hh_fec!M30=0,0,11630*1000*SER_hh_fec!M30/SER_hh_num!M30)</f>
        <v>27877.078029599073</v>
      </c>
      <c r="N30" s="133">
        <f>IF(SER_hh_fec!N30=0,0,11630*1000*SER_hh_fec!N30/SER_hh_num!N30)</f>
        <v>4917.8978292053753</v>
      </c>
      <c r="O30" s="133">
        <f>IF(SER_hh_fec!O30=0,0,11630*1000*SER_hh_fec!O30/SER_hh_num!O30)</f>
        <v>10298.163550460267</v>
      </c>
      <c r="P30" s="133">
        <f>IF(SER_hh_fec!P30=0,0,11630*1000*SER_hh_fec!P30/SER_hh_num!P30)</f>
        <v>19075.230929974314</v>
      </c>
      <c r="Q30" s="133">
        <f>IF(SER_hh_fec!Q30=0,0,11630*1000*SER_hh_fec!Q30/SER_hh_num!Q30)</f>
        <v>18902.76911537776</v>
      </c>
      <c r="R30" s="133">
        <f>IF(SER_hh_fec!R30=0,0,11630*1000*SER_hh_fec!R30/SER_hh_num!R30)</f>
        <v>13904.606464914183</v>
      </c>
      <c r="S30" s="133">
        <f>IF(SER_hh_fec!S30=0,0,11630*1000*SER_hh_fec!S30/SER_hh_num!S30)</f>
        <v>25544.584781101497</v>
      </c>
      <c r="T30" s="133">
        <f>IF(SER_hh_fec!T30=0,0,11630*1000*SER_hh_fec!T30/SER_hh_num!T30)</f>
        <v>20564.258007065389</v>
      </c>
      <c r="U30" s="133">
        <f>IF(SER_hh_fec!U30=0,0,11630*1000*SER_hh_fec!U30/SER_hh_num!U30)</f>
        <v>20432.574076180117</v>
      </c>
      <c r="V30" s="133">
        <f>IF(SER_hh_fec!V30=0,0,11630*1000*SER_hh_fec!V30/SER_hh_num!V30)</f>
        <v>18993.389937473694</v>
      </c>
      <c r="W30" s="133">
        <f>IF(SER_hh_fec!W30=0,0,11630*1000*SER_hh_fec!W30/SER_hh_num!W30)</f>
        <v>20754.057419158755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17733.092087417608</v>
      </c>
      <c r="C31" s="133">
        <f>IF(SER_hh_fec!C31=0,0,11630*1000*SER_hh_fec!C31/SER_hh_num!C31)</f>
        <v>18999.212030607709</v>
      </c>
      <c r="D31" s="133">
        <f>IF(SER_hh_fec!D31=0,0,11630*1000*SER_hh_fec!D31/SER_hh_num!D31)</f>
        <v>19737.497340523249</v>
      </c>
      <c r="E31" s="133">
        <f>IF(SER_hh_fec!E31=0,0,11630*1000*SER_hh_fec!E31/SER_hh_num!E31)</f>
        <v>19986.365671630792</v>
      </c>
      <c r="F31" s="133">
        <f>IF(SER_hh_fec!F31=0,0,11630*1000*SER_hh_fec!F31/SER_hh_num!F31)</f>
        <v>20463.856823768689</v>
      </c>
      <c r="G31" s="133">
        <f>IF(SER_hh_fec!G31=0,0,11630*1000*SER_hh_fec!G31/SER_hh_num!G31)</f>
        <v>20337.631477237628</v>
      </c>
      <c r="H31" s="133">
        <f>IF(SER_hh_fec!H31=0,0,11630*1000*SER_hh_fec!H31/SER_hh_num!H31)</f>
        <v>20045.72744861506</v>
      </c>
      <c r="I31" s="133">
        <f>IF(SER_hh_fec!I31=0,0,11630*1000*SER_hh_fec!I31/SER_hh_num!I31)</f>
        <v>19770.418172363698</v>
      </c>
      <c r="J31" s="133">
        <f>IF(SER_hh_fec!J31=0,0,11630*1000*SER_hh_fec!J31/SER_hh_num!J31)</f>
        <v>19752.922258233495</v>
      </c>
      <c r="K31" s="133">
        <f>IF(SER_hh_fec!K31=0,0,11630*1000*SER_hh_fec!K31/SER_hh_num!K31)</f>
        <v>20227.363678979109</v>
      </c>
      <c r="L31" s="133">
        <f>IF(SER_hh_fec!L31=0,0,11630*1000*SER_hh_fec!L31/SER_hh_num!L31)</f>
        <v>20384.044400161587</v>
      </c>
      <c r="M31" s="133">
        <f>IF(SER_hh_fec!M31=0,0,11630*1000*SER_hh_fec!M31/SER_hh_num!M31)</f>
        <v>20396.552545545073</v>
      </c>
      <c r="N31" s="133">
        <f>IF(SER_hh_fec!N31=0,0,11630*1000*SER_hh_fec!N31/SER_hh_num!N31)</f>
        <v>20402.939405410667</v>
      </c>
      <c r="O31" s="133">
        <f>IF(SER_hh_fec!O31=0,0,11630*1000*SER_hh_fec!O31/SER_hh_num!O31)</f>
        <v>20423.564615971514</v>
      </c>
      <c r="P31" s="133">
        <f>IF(SER_hh_fec!P31=0,0,11630*1000*SER_hh_fec!P31/SER_hh_num!P31)</f>
        <v>20603.757476549577</v>
      </c>
      <c r="Q31" s="133">
        <f>IF(SER_hh_fec!Q31=0,0,11630*1000*SER_hh_fec!Q31/SER_hh_num!Q31)</f>
        <v>20609.954763104724</v>
      </c>
      <c r="R31" s="133">
        <f>IF(SER_hh_fec!R31=0,0,11630*1000*SER_hh_fec!R31/SER_hh_num!R31)</f>
        <v>20516.259490328724</v>
      </c>
      <c r="S31" s="133">
        <f>IF(SER_hh_fec!S31=0,0,11630*1000*SER_hh_fec!S31/SER_hh_num!S31)</f>
        <v>20352.537895733796</v>
      </c>
      <c r="T31" s="133">
        <f>IF(SER_hh_fec!T31=0,0,11630*1000*SER_hh_fec!T31/SER_hh_num!T31)</f>
        <v>20260.449299956574</v>
      </c>
      <c r="U31" s="133">
        <f>IF(SER_hh_fec!U31=0,0,11630*1000*SER_hh_fec!U31/SER_hh_num!U31)</f>
        <v>20669.358232843631</v>
      </c>
      <c r="V31" s="133">
        <f>IF(SER_hh_fec!V31=0,0,11630*1000*SER_hh_fec!V31/SER_hh_num!V31)</f>
        <v>19052.312878670502</v>
      </c>
      <c r="W31" s="133">
        <f>IF(SER_hh_fec!W31=0,0,11630*1000*SER_hh_fec!W31/SER_hh_num!W31)</f>
        <v>19213.970312638423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19760.077232464475</v>
      </c>
      <c r="C32" s="133">
        <f>IF(SER_hh_fec!C32=0,0,11630*1000*SER_hh_fec!C32/SER_hh_num!C32)</f>
        <v>19854.541974818796</v>
      </c>
      <c r="D32" s="133">
        <f>IF(SER_hh_fec!D32=0,0,11630*1000*SER_hh_fec!D32/SER_hh_num!D32)</f>
        <v>21309.555643124182</v>
      </c>
      <c r="E32" s="133">
        <f>IF(SER_hh_fec!E32=0,0,11630*1000*SER_hh_fec!E32/SER_hh_num!E32)</f>
        <v>21484.990451027974</v>
      </c>
      <c r="F32" s="133">
        <f>IF(SER_hh_fec!F32=0,0,11630*1000*SER_hh_fec!F32/SER_hh_num!F32)</f>
        <v>22011.06807545805</v>
      </c>
      <c r="G32" s="133">
        <f>IF(SER_hh_fec!G32=0,0,11630*1000*SER_hh_fec!G32/SER_hh_num!G32)</f>
        <v>21712.768151003864</v>
      </c>
      <c r="H32" s="133">
        <f>IF(SER_hh_fec!H32=0,0,11630*1000*SER_hh_fec!H32/SER_hh_num!H32)</f>
        <v>21419.219419045861</v>
      </c>
      <c r="I32" s="133">
        <f>IF(SER_hh_fec!I32=0,0,11630*1000*SER_hh_fec!I32/SER_hh_num!I32)</f>
        <v>21252.148132828446</v>
      </c>
      <c r="J32" s="133">
        <f>IF(SER_hh_fec!J32=0,0,11630*1000*SER_hh_fec!J32/SER_hh_num!J32)</f>
        <v>21015.77076642216</v>
      </c>
      <c r="K32" s="133">
        <f>IF(SER_hh_fec!K32=0,0,11630*1000*SER_hh_fec!K32/SER_hh_num!K32)</f>
        <v>20947.388949949742</v>
      </c>
      <c r="L32" s="133">
        <f>IF(SER_hh_fec!L32=0,0,11630*1000*SER_hh_fec!L32/SER_hh_num!L32)</f>
        <v>21972.677107987962</v>
      </c>
      <c r="M32" s="133">
        <f>IF(SER_hh_fec!M32=0,0,11630*1000*SER_hh_fec!M32/SER_hh_num!M32)</f>
        <v>21296.602500905839</v>
      </c>
      <c r="N32" s="133">
        <f>IF(SER_hh_fec!N32=0,0,11630*1000*SER_hh_fec!N32/SER_hh_num!N32)</f>
        <v>21881.609373277573</v>
      </c>
      <c r="O32" s="133">
        <f>IF(SER_hh_fec!O32=0,0,11630*1000*SER_hh_fec!O32/SER_hh_num!O32)</f>
        <v>21364.463645416239</v>
      </c>
      <c r="P32" s="133">
        <f>IF(SER_hh_fec!P32=0,0,11630*1000*SER_hh_fec!P32/SER_hh_num!P32)</f>
        <v>21679.736902262754</v>
      </c>
      <c r="Q32" s="133">
        <f>IF(SER_hh_fec!Q32=0,0,11630*1000*SER_hh_fec!Q32/SER_hh_num!Q32)</f>
        <v>22285.108321342977</v>
      </c>
      <c r="R32" s="133">
        <f>IF(SER_hh_fec!R32=0,0,11630*1000*SER_hh_fec!R32/SER_hh_num!R32)</f>
        <v>21843.193756679026</v>
      </c>
      <c r="S32" s="133">
        <f>IF(SER_hh_fec!S32=0,0,11630*1000*SER_hh_fec!S32/SER_hh_num!S32)</f>
        <v>21432.538856636329</v>
      </c>
      <c r="T32" s="133">
        <f>IF(SER_hh_fec!T32=0,0,11630*1000*SER_hh_fec!T32/SER_hh_num!T32)</f>
        <v>21356.700445313523</v>
      </c>
      <c r="U32" s="133">
        <f>IF(SER_hh_fec!U32=0,0,11630*1000*SER_hh_fec!U32/SER_hh_num!U32)</f>
        <v>21676.593746153958</v>
      </c>
      <c r="V32" s="133">
        <f>IF(SER_hh_fec!V32=0,0,11630*1000*SER_hh_fec!V32/SER_hh_num!V32)</f>
        <v>21470.486569811455</v>
      </c>
      <c r="W32" s="133">
        <f>IF(SER_hh_fec!W32=0,0,11630*1000*SER_hh_fec!W32/SER_hh_num!W32)</f>
        <v>21116.125604569916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15983.791045769791</v>
      </c>
      <c r="C33" s="68">
        <f>IF(SER_hh_fec!C33=0,0,11630*1000*SER_hh_fec!C33/SER_hh_num!C33)</f>
        <v>15732.602151954896</v>
      </c>
      <c r="D33" s="68">
        <f>IF(SER_hh_fec!D33=0,0,11630*1000*SER_hh_fec!D33/SER_hh_num!D33)</f>
        <v>14335.349803404863</v>
      </c>
      <c r="E33" s="68">
        <f>IF(SER_hh_fec!E33=0,0,11630*1000*SER_hh_fec!E33/SER_hh_num!E33)</f>
        <v>14740.148748075209</v>
      </c>
      <c r="F33" s="68">
        <f>IF(SER_hh_fec!F33=0,0,11630*1000*SER_hh_fec!F33/SER_hh_num!F33)</f>
        <v>13219.646632174459</v>
      </c>
      <c r="G33" s="68">
        <f>IF(SER_hh_fec!G33=0,0,11630*1000*SER_hh_fec!G33/SER_hh_num!G33)</f>
        <v>15386.768051956464</v>
      </c>
      <c r="H33" s="68">
        <f>IF(SER_hh_fec!H33=0,0,11630*1000*SER_hh_fec!H33/SER_hh_num!H33)</f>
        <v>14793.91430693222</v>
      </c>
      <c r="I33" s="68">
        <f>IF(SER_hh_fec!I33=0,0,11630*1000*SER_hh_fec!I33/SER_hh_num!I33)</f>
        <v>15312.603607680136</v>
      </c>
      <c r="J33" s="68">
        <f>IF(SER_hh_fec!J33=0,0,11630*1000*SER_hh_fec!J33/SER_hh_num!J33)</f>
        <v>15990.056748841633</v>
      </c>
      <c r="K33" s="68">
        <f>IF(SER_hh_fec!K33=0,0,11630*1000*SER_hh_fec!K33/SER_hh_num!K33)</f>
        <v>16076.602582074422</v>
      </c>
      <c r="L33" s="68">
        <f>IF(SER_hh_fec!L33=0,0,11630*1000*SER_hh_fec!L33/SER_hh_num!L33)</f>
        <v>13809.009902068967</v>
      </c>
      <c r="M33" s="68">
        <f>IF(SER_hh_fec!M33=0,0,11630*1000*SER_hh_fec!M33/SER_hh_num!M33)</f>
        <v>14178.484749029518</v>
      </c>
      <c r="N33" s="68">
        <f>IF(SER_hh_fec!N33=0,0,11630*1000*SER_hh_fec!N33/SER_hh_num!N33)</f>
        <v>16703.149882231381</v>
      </c>
      <c r="O33" s="68">
        <f>IF(SER_hh_fec!O33=0,0,11630*1000*SER_hh_fec!O33/SER_hh_num!O33)</f>
        <v>15792.411443094525</v>
      </c>
      <c r="P33" s="68">
        <f>IF(SER_hh_fec!P33=0,0,11630*1000*SER_hh_fec!P33/SER_hh_num!P33)</f>
        <v>15549.890337884408</v>
      </c>
      <c r="Q33" s="68">
        <f>IF(SER_hh_fec!Q33=0,0,11630*1000*SER_hh_fec!Q33/SER_hh_num!Q33)</f>
        <v>15475.035912816711</v>
      </c>
      <c r="R33" s="68">
        <f>IF(SER_hh_fec!R33=0,0,11630*1000*SER_hh_fec!R33/SER_hh_num!R33)</f>
        <v>15596.143835361276</v>
      </c>
      <c r="S33" s="68">
        <f>IF(SER_hh_fec!S33=0,0,11630*1000*SER_hh_fec!S33/SER_hh_num!S33)</f>
        <v>15202.747557825178</v>
      </c>
      <c r="T33" s="68">
        <f>IF(SER_hh_fec!T33=0,0,11630*1000*SER_hh_fec!T33/SER_hh_num!T33)</f>
        <v>15102.352325729038</v>
      </c>
      <c r="U33" s="68">
        <f>IF(SER_hh_fec!U33=0,0,11630*1000*SER_hh_fec!U33/SER_hh_num!U33)</f>
        <v>14741.901880183119</v>
      </c>
      <c r="V33" s="68">
        <f>IF(SER_hh_fec!V33=0,0,11630*1000*SER_hh_fec!V33/SER_hh_num!V33)</f>
        <v>14235.428917889374</v>
      </c>
      <c r="W33" s="68">
        <f>IF(SER_hh_fec!W33=0,0,11630*1000*SER_hh_fec!W33/SER_hh_num!W33)</f>
        <v>14662.69990987378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107251.78567597058</v>
      </c>
      <c r="C3" s="126">
        <f>IF(SER_hh_tes!C3=0,0,11630*1000*SER_hh_tes!C3/SER_hh_num!C3)</f>
        <v>123949.91037119136</v>
      </c>
      <c r="D3" s="126">
        <f>IF(SER_hh_tes!D3=0,0,11630*1000*SER_hh_tes!D3/SER_hh_num!D3)</f>
        <v>120583.6800948115</v>
      </c>
      <c r="E3" s="126">
        <f>IF(SER_hh_tes!E3=0,0,11630*1000*SER_hh_tes!E3/SER_hh_num!E3)</f>
        <v>135735.91635260402</v>
      </c>
      <c r="F3" s="126">
        <f>IF(SER_hh_tes!F3=0,0,11630*1000*SER_hh_tes!F3/SER_hh_num!F3)</f>
        <v>133130.67356232501</v>
      </c>
      <c r="G3" s="126">
        <f>IF(SER_hh_tes!G3=0,0,11630*1000*SER_hh_tes!G3/SER_hh_num!G3)</f>
        <v>128012.51475298672</v>
      </c>
      <c r="H3" s="126">
        <f>IF(SER_hh_tes!H3=0,0,11630*1000*SER_hh_tes!H3/SER_hh_num!H3)</f>
        <v>131082.66320670824</v>
      </c>
      <c r="I3" s="126">
        <f>IF(SER_hh_tes!I3=0,0,11630*1000*SER_hh_tes!I3/SER_hh_num!I3)</f>
        <v>112090.48353427423</v>
      </c>
      <c r="J3" s="126">
        <f>IF(SER_hh_tes!J3=0,0,11630*1000*SER_hh_tes!J3/SER_hh_num!J3)</f>
        <v>123647.36198502163</v>
      </c>
      <c r="K3" s="126">
        <f>IF(SER_hh_tes!K3=0,0,11630*1000*SER_hh_tes!K3/SER_hh_num!K3)</f>
        <v>111302.85052126298</v>
      </c>
      <c r="L3" s="126">
        <f>IF(SER_hh_tes!L3=0,0,11630*1000*SER_hh_tes!L3/SER_hh_num!L3)</f>
        <v>112536.38988697446</v>
      </c>
      <c r="M3" s="126">
        <f>IF(SER_hh_tes!M3=0,0,11630*1000*SER_hh_tes!M3/SER_hh_num!M3)</f>
        <v>108917.59424125165</v>
      </c>
      <c r="N3" s="126">
        <f>IF(SER_hh_tes!N3=0,0,11630*1000*SER_hh_tes!N3/SER_hh_num!N3)</f>
        <v>110723.53841259607</v>
      </c>
      <c r="O3" s="126">
        <f>IF(SER_hh_tes!O3=0,0,11630*1000*SER_hh_tes!O3/SER_hh_num!O3)</f>
        <v>110993.99433465941</v>
      </c>
      <c r="P3" s="126">
        <f>IF(SER_hh_tes!P3=0,0,11630*1000*SER_hh_tes!P3/SER_hh_num!P3)</f>
        <v>102557.59979240476</v>
      </c>
      <c r="Q3" s="126">
        <f>IF(SER_hh_tes!Q3=0,0,11630*1000*SER_hh_tes!Q3/SER_hh_num!Q3)</f>
        <v>104902.93400047603</v>
      </c>
      <c r="R3" s="126">
        <f>IF(SER_hh_tes!R3=0,0,11630*1000*SER_hh_tes!R3/SER_hh_num!R3)</f>
        <v>101680.49169817854</v>
      </c>
      <c r="S3" s="126">
        <f>IF(SER_hh_tes!S3=0,0,11630*1000*SER_hh_tes!S3/SER_hh_num!S3)</f>
        <v>111260.06318869861</v>
      </c>
      <c r="T3" s="126">
        <f>IF(SER_hh_tes!T3=0,0,11630*1000*SER_hh_tes!T3/SER_hh_num!T3)</f>
        <v>107186.02462827129</v>
      </c>
      <c r="U3" s="126">
        <f>IF(SER_hh_tes!U3=0,0,11630*1000*SER_hh_tes!U3/SER_hh_num!U3)</f>
        <v>110830.08946329741</v>
      </c>
      <c r="V3" s="126">
        <f>IF(SER_hh_tes!V3=0,0,11630*1000*SER_hh_tes!V3/SER_hh_num!V3)</f>
        <v>100783.51055923945</v>
      </c>
      <c r="W3" s="126">
        <f>IF(SER_hh_tes!W3=0,0,11630*1000*SER_hh_tes!W3/SER_hh_num!W3)</f>
        <v>109189.45391851827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79692.713823270169</v>
      </c>
      <c r="C4" s="131">
        <f>IF(SER_hh_tes!C4=0,0,11630*1000*SER_hh_tes!C4/SER_hh_num!C4)</f>
        <v>95826.466696414951</v>
      </c>
      <c r="D4" s="131">
        <f>IF(SER_hh_tes!D4=0,0,11630*1000*SER_hh_tes!D4/SER_hh_num!D4)</f>
        <v>91826.872095383791</v>
      </c>
      <c r="E4" s="131">
        <f>IF(SER_hh_tes!E4=0,0,11630*1000*SER_hh_tes!E4/SER_hh_num!E4)</f>
        <v>105962.39671052956</v>
      </c>
      <c r="F4" s="131">
        <f>IF(SER_hh_tes!F4=0,0,11630*1000*SER_hh_tes!F4/SER_hh_num!F4)</f>
        <v>103594.25080463676</v>
      </c>
      <c r="G4" s="131">
        <f>IF(SER_hh_tes!G4=0,0,11630*1000*SER_hh_tes!G4/SER_hh_num!G4)</f>
        <v>98004.299154846027</v>
      </c>
      <c r="H4" s="131">
        <f>IF(SER_hh_tes!H4=0,0,11630*1000*SER_hh_tes!H4/SER_hh_num!H4)</f>
        <v>100964.39701902626</v>
      </c>
      <c r="I4" s="131">
        <f>IF(SER_hh_tes!I4=0,0,11630*1000*SER_hh_tes!I4/SER_hh_num!I4)</f>
        <v>81741.129241467192</v>
      </c>
      <c r="J4" s="131">
        <f>IF(SER_hh_tes!J4=0,0,11630*1000*SER_hh_tes!J4/SER_hh_num!J4)</f>
        <v>93279.4999537845</v>
      </c>
      <c r="K4" s="131">
        <f>IF(SER_hh_tes!K4=0,0,11630*1000*SER_hh_tes!K4/SER_hh_num!K4)</f>
        <v>79664.250600645508</v>
      </c>
      <c r="L4" s="131">
        <f>IF(SER_hh_tes!L4=0,0,11630*1000*SER_hh_tes!L4/SER_hh_num!L4)</f>
        <v>80582.63781124627</v>
      </c>
      <c r="M4" s="131">
        <f>IF(SER_hh_tes!M4=0,0,11630*1000*SER_hh_tes!M4/SER_hh_num!M4)</f>
        <v>76707.196910926781</v>
      </c>
      <c r="N4" s="131">
        <f>IF(SER_hh_tes!N4=0,0,11630*1000*SER_hh_tes!N4/SER_hh_num!N4)</f>
        <v>78133.845876887077</v>
      </c>
      <c r="O4" s="131">
        <f>IF(SER_hh_tes!O4=0,0,11630*1000*SER_hh_tes!O4/SER_hh_num!O4)</f>
        <v>77951.891217861645</v>
      </c>
      <c r="P4" s="131">
        <f>IF(SER_hh_tes!P4=0,0,11630*1000*SER_hh_tes!P4/SER_hh_num!P4)</f>
        <v>69582.427098033499</v>
      </c>
      <c r="Q4" s="131">
        <f>IF(SER_hh_tes!Q4=0,0,11630*1000*SER_hh_tes!Q4/SER_hh_num!Q4)</f>
        <v>71256.203605891453</v>
      </c>
      <c r="R4" s="131">
        <f>IF(SER_hh_tes!R4=0,0,11630*1000*SER_hh_tes!R4/SER_hh_num!R4)</f>
        <v>68632.746118659459</v>
      </c>
      <c r="S4" s="131">
        <f>IF(SER_hh_tes!S4=0,0,11630*1000*SER_hh_tes!S4/SER_hh_num!S4)</f>
        <v>78002.417738023403</v>
      </c>
      <c r="T4" s="131">
        <f>IF(SER_hh_tes!T4=0,0,11630*1000*SER_hh_tes!T4/SER_hh_num!T4)</f>
        <v>74179.282859437488</v>
      </c>
      <c r="U4" s="131">
        <f>IF(SER_hh_tes!U4=0,0,11630*1000*SER_hh_tes!U4/SER_hh_num!U4)</f>
        <v>77984.468042754539</v>
      </c>
      <c r="V4" s="131">
        <f>IF(SER_hh_tes!V4=0,0,11630*1000*SER_hh_tes!V4/SER_hh_num!V4)</f>
        <v>69374.723355779744</v>
      </c>
      <c r="W4" s="131">
        <f>IF(SER_hh_tes!W4=0,0,11630*1000*SER_hh_tes!W4/SER_hh_num!W4)</f>
        <v>77538.156395932732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81988.501415138613</v>
      </c>
      <c r="C5" s="133">
        <f>IF(SER_hh_tes!C5=0,0,11630*1000*SER_hh_tes!C5/SER_hh_num!C5)</f>
        <v>98481.394728436222</v>
      </c>
      <c r="D5" s="133">
        <f>IF(SER_hh_tes!D5=0,0,11630*1000*SER_hh_tes!D5/SER_hh_num!D5)</f>
        <v>78366.464568452357</v>
      </c>
      <c r="E5" s="133">
        <f>IF(SER_hh_tes!E5=0,0,11630*1000*SER_hh_tes!E5/SER_hh_num!E5)</f>
        <v>117774.54813938511</v>
      </c>
      <c r="F5" s="133">
        <f>IF(SER_hh_tes!F5=0,0,11630*1000*SER_hh_tes!F5/SER_hh_num!F5)</f>
        <v>100369.18814158069</v>
      </c>
      <c r="G5" s="133">
        <f>IF(SER_hh_tes!G5=0,0,11630*1000*SER_hh_tes!G5/SER_hh_num!G5)</f>
        <v>97981.854852894321</v>
      </c>
      <c r="H5" s="133">
        <f>IF(SER_hh_tes!H5=0,0,11630*1000*SER_hh_tes!H5/SER_hh_num!H5)</f>
        <v>91577.320654117473</v>
      </c>
      <c r="I5" s="133">
        <f>IF(SER_hh_tes!I5=0,0,11630*1000*SER_hh_tes!I5/SER_hh_num!I5)</f>
        <v>89537.199940781356</v>
      </c>
      <c r="J5" s="133">
        <f>IF(SER_hh_tes!J5=0,0,11630*1000*SER_hh_tes!J5/SER_hh_num!J5)</f>
        <v>74795.658670784454</v>
      </c>
      <c r="K5" s="133">
        <f>IF(SER_hh_tes!K5=0,0,11630*1000*SER_hh_tes!K5/SER_hh_num!K5)</f>
        <v>69443.284058999518</v>
      </c>
      <c r="L5" s="133">
        <f>IF(SER_hh_tes!L5=0,0,11630*1000*SER_hh_tes!L5/SER_hh_num!L5)</f>
        <v>96194.505044463163</v>
      </c>
      <c r="M5" s="133">
        <f>IF(SER_hh_tes!M5=0,0,11630*1000*SER_hh_tes!M5/SER_hh_num!M5)</f>
        <v>94223.496700080868</v>
      </c>
      <c r="N5" s="133">
        <f>IF(SER_hh_tes!N5=0,0,11630*1000*SER_hh_tes!N5/SER_hh_num!N5)</f>
        <v>3881.2854575901097</v>
      </c>
      <c r="O5" s="133">
        <f>IF(SER_hh_tes!O5=0,0,11630*1000*SER_hh_tes!O5/SER_hh_num!O5)</f>
        <v>38678.805517413879</v>
      </c>
      <c r="P5" s="133">
        <f>IF(SER_hh_tes!P5=0,0,11630*1000*SER_hh_tes!P5/SER_hh_num!P5)</f>
        <v>28584.701445145423</v>
      </c>
      <c r="Q5" s="133">
        <f>IF(SER_hh_tes!Q5=0,0,11630*1000*SER_hh_tes!Q5/SER_hh_num!Q5)</f>
        <v>36433.994476578773</v>
      </c>
      <c r="R5" s="133">
        <f>IF(SER_hh_tes!R5=0,0,11630*1000*SER_hh_tes!R5/SER_hh_num!R5)</f>
        <v>0</v>
      </c>
      <c r="S5" s="133">
        <f>IF(SER_hh_tes!S5=0,0,11630*1000*SER_hh_tes!S5/SER_hh_num!S5)</f>
        <v>0</v>
      </c>
      <c r="T5" s="133">
        <f>IF(SER_hh_tes!T5=0,0,11630*1000*SER_hh_tes!T5/SER_hh_num!T5)</f>
        <v>0</v>
      </c>
      <c r="U5" s="133">
        <f>IF(SER_hh_tes!U5=0,0,11630*1000*SER_hh_tes!U5/SER_hh_num!U5)</f>
        <v>0</v>
      </c>
      <c r="V5" s="133">
        <f>IF(SER_hh_tes!V5=0,0,11630*1000*SER_hh_tes!V5/SER_hh_num!V5)</f>
        <v>0</v>
      </c>
      <c r="W5" s="133">
        <f>IF(SER_hh_tes!W5=0,0,11630*1000*SER_hh_tes!W5/SER_hh_num!W5)</f>
        <v>0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74188.753918963484</v>
      </c>
      <c r="C7" s="133">
        <f>IF(SER_hh_tes!C7=0,0,11630*1000*SER_hh_tes!C7/SER_hh_num!C7)</f>
        <v>95912.825510619805</v>
      </c>
      <c r="D7" s="133">
        <f>IF(SER_hh_tes!D7=0,0,11630*1000*SER_hh_tes!D7/SER_hh_num!D7)</f>
        <v>92774.4195054101</v>
      </c>
      <c r="E7" s="133">
        <f>IF(SER_hh_tes!E7=0,0,11630*1000*SER_hh_tes!E7/SER_hh_num!E7)</f>
        <v>113147.68110388555</v>
      </c>
      <c r="F7" s="133">
        <f>IF(SER_hh_tes!F7=0,0,11630*1000*SER_hh_tes!F7/SER_hh_num!F7)</f>
        <v>80624.860317247367</v>
      </c>
      <c r="G7" s="133">
        <f>IF(SER_hh_tes!G7=0,0,11630*1000*SER_hh_tes!G7/SER_hh_num!G7)</f>
        <v>103821.0731755493</v>
      </c>
      <c r="H7" s="133">
        <f>IF(SER_hh_tes!H7=0,0,11630*1000*SER_hh_tes!H7/SER_hh_num!H7)</f>
        <v>106160.97917816986</v>
      </c>
      <c r="I7" s="133">
        <f>IF(SER_hh_tes!I7=0,0,11630*1000*SER_hh_tes!I7/SER_hh_num!I7)</f>
        <v>76227.022357505528</v>
      </c>
      <c r="J7" s="133">
        <f>IF(SER_hh_tes!J7=0,0,11630*1000*SER_hh_tes!J7/SER_hh_num!J7)</f>
        <v>98395.410867716739</v>
      </c>
      <c r="K7" s="133">
        <f>IF(SER_hh_tes!K7=0,0,11630*1000*SER_hh_tes!K7/SER_hh_num!K7)</f>
        <v>90697.557120754689</v>
      </c>
      <c r="L7" s="133">
        <f>IF(SER_hh_tes!L7=0,0,11630*1000*SER_hh_tes!L7/SER_hh_num!L7)</f>
        <v>58096.596648621489</v>
      </c>
      <c r="M7" s="133">
        <f>IF(SER_hh_tes!M7=0,0,11630*1000*SER_hh_tes!M7/SER_hh_num!M7)</f>
        <v>71385.383727435954</v>
      </c>
      <c r="N7" s="133">
        <f>IF(SER_hh_tes!N7=0,0,11630*1000*SER_hh_tes!N7/SER_hh_num!N7)</f>
        <v>69755.935445308874</v>
      </c>
      <c r="O7" s="133">
        <f>IF(SER_hh_tes!O7=0,0,11630*1000*SER_hh_tes!O7/SER_hh_num!O7)</f>
        <v>70268.202740324647</v>
      </c>
      <c r="P7" s="133">
        <f>IF(SER_hh_tes!P7=0,0,11630*1000*SER_hh_tes!P7/SER_hh_num!P7)</f>
        <v>72085.453996708704</v>
      </c>
      <c r="Q7" s="133">
        <f>IF(SER_hh_tes!Q7=0,0,11630*1000*SER_hh_tes!Q7/SER_hh_num!Q7)</f>
        <v>71283.222499856114</v>
      </c>
      <c r="R7" s="133">
        <f>IF(SER_hh_tes!R7=0,0,11630*1000*SER_hh_tes!R7/SER_hh_num!R7)</f>
        <v>62777.512988930481</v>
      </c>
      <c r="S7" s="133">
        <f>IF(SER_hh_tes!S7=0,0,11630*1000*SER_hh_tes!S7/SER_hh_num!S7)</f>
        <v>86321.394383066683</v>
      </c>
      <c r="T7" s="133">
        <f>IF(SER_hh_tes!T7=0,0,11630*1000*SER_hh_tes!T7/SER_hh_num!T7)</f>
        <v>74677.009698865411</v>
      </c>
      <c r="U7" s="133">
        <f>IF(SER_hh_tes!U7=0,0,11630*1000*SER_hh_tes!U7/SER_hh_num!U7)</f>
        <v>70272.474320480236</v>
      </c>
      <c r="V7" s="133">
        <f>IF(SER_hh_tes!V7=0,0,11630*1000*SER_hh_tes!V7/SER_hh_num!V7)</f>
        <v>69268.742426680779</v>
      </c>
      <c r="W7" s="133">
        <f>IF(SER_hh_tes!W7=0,0,11630*1000*SER_hh_tes!W7/SER_hh_num!W7)</f>
        <v>89173.892008493727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76457.903567882007</v>
      </c>
      <c r="C8" s="133">
        <f>IF(SER_hh_tes!C8=0,0,11630*1000*SER_hh_tes!C8/SER_hh_num!C8)</f>
        <v>95737.00760914445</v>
      </c>
      <c r="D8" s="133">
        <f>IF(SER_hh_tes!D8=0,0,11630*1000*SER_hh_tes!D8/SER_hh_num!D8)</f>
        <v>89998.252186579964</v>
      </c>
      <c r="E8" s="133">
        <f>IF(SER_hh_tes!E8=0,0,11630*1000*SER_hh_tes!E8/SER_hh_num!E8)</f>
        <v>104450.92399827651</v>
      </c>
      <c r="F8" s="133">
        <f>IF(SER_hh_tes!F8=0,0,11630*1000*SER_hh_tes!F8/SER_hh_num!F8)</f>
        <v>104482.11449542835</v>
      </c>
      <c r="G8" s="133">
        <f>IF(SER_hh_tes!G8=0,0,11630*1000*SER_hh_tes!G8/SER_hh_num!G8)</f>
        <v>97000.750145425525</v>
      </c>
      <c r="H8" s="133">
        <f>IF(SER_hh_tes!H8=0,0,11630*1000*SER_hh_tes!H8/SER_hh_num!H8)</f>
        <v>102827.54339872694</v>
      </c>
      <c r="I8" s="133">
        <f>IF(SER_hh_tes!I8=0,0,11630*1000*SER_hh_tes!I8/SER_hh_num!I8)</f>
        <v>82549.711137380422</v>
      </c>
      <c r="J8" s="133">
        <f>IF(SER_hh_tes!J8=0,0,11630*1000*SER_hh_tes!J8/SER_hh_num!J8)</f>
        <v>94884.461233271853</v>
      </c>
      <c r="K8" s="133">
        <f>IF(SER_hh_tes!K8=0,0,11630*1000*SER_hh_tes!K8/SER_hh_num!K8)</f>
        <v>80146.543555733137</v>
      </c>
      <c r="L8" s="133">
        <f>IF(SER_hh_tes!L8=0,0,11630*1000*SER_hh_tes!L8/SER_hh_num!L8)</f>
        <v>80138.003080401075</v>
      </c>
      <c r="M8" s="133">
        <f>IF(SER_hh_tes!M8=0,0,11630*1000*SER_hh_tes!M8/SER_hh_num!M8)</f>
        <v>77459.661104478859</v>
      </c>
      <c r="N8" s="133">
        <f>IF(SER_hh_tes!N8=0,0,11630*1000*SER_hh_tes!N8/SER_hh_num!N8)</f>
        <v>77052.625119194228</v>
      </c>
      <c r="O8" s="133">
        <f>IF(SER_hh_tes!O8=0,0,11630*1000*SER_hh_tes!O8/SER_hh_num!O8)</f>
        <v>72918.527802376571</v>
      </c>
      <c r="P8" s="133">
        <f>IF(SER_hh_tes!P8=0,0,11630*1000*SER_hh_tes!P8/SER_hh_num!P8)</f>
        <v>68784.130077290843</v>
      </c>
      <c r="Q8" s="133">
        <f>IF(SER_hh_tes!Q8=0,0,11630*1000*SER_hh_tes!Q8/SER_hh_num!Q8)</f>
        <v>68968.783799500263</v>
      </c>
      <c r="R8" s="133">
        <f>IF(SER_hh_tes!R8=0,0,11630*1000*SER_hh_tes!R8/SER_hh_num!R8)</f>
        <v>70056.929223919782</v>
      </c>
      <c r="S8" s="133">
        <f>IF(SER_hh_tes!S8=0,0,11630*1000*SER_hh_tes!S8/SER_hh_num!S8)</f>
        <v>78337.437138841007</v>
      </c>
      <c r="T8" s="133">
        <f>IF(SER_hh_tes!T8=0,0,11630*1000*SER_hh_tes!T8/SER_hh_num!T8)</f>
        <v>74753.912194217672</v>
      </c>
      <c r="U8" s="133">
        <f>IF(SER_hh_tes!U8=0,0,11630*1000*SER_hh_tes!U8/SER_hh_num!U8)</f>
        <v>78951.646498233269</v>
      </c>
      <c r="V8" s="133">
        <f>IF(SER_hh_tes!V8=0,0,11630*1000*SER_hh_tes!V8/SER_hh_num!V8)</f>
        <v>68786.813493108988</v>
      </c>
      <c r="W8" s="133">
        <f>IF(SER_hh_tes!W8=0,0,11630*1000*SER_hh_tes!W8/SER_hh_num!W8)</f>
        <v>77158.554344831675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73236.354185197124</v>
      </c>
      <c r="C9" s="133">
        <f>IF(SER_hh_tes!C9=0,0,11630*1000*SER_hh_tes!C9/SER_hh_num!C9)</f>
        <v>100355.47969369413</v>
      </c>
      <c r="D9" s="133">
        <f>IF(SER_hh_tes!D9=0,0,11630*1000*SER_hh_tes!D9/SER_hh_num!D9)</f>
        <v>88042.162467122034</v>
      </c>
      <c r="E9" s="133">
        <f>IF(SER_hh_tes!E9=0,0,11630*1000*SER_hh_tes!E9/SER_hh_num!E9)</f>
        <v>103124.74288096563</v>
      </c>
      <c r="F9" s="133">
        <f>IF(SER_hh_tes!F9=0,0,11630*1000*SER_hh_tes!F9/SER_hh_num!F9)</f>
        <v>135710.36029990081</v>
      </c>
      <c r="G9" s="133">
        <f>IF(SER_hh_tes!G9=0,0,11630*1000*SER_hh_tes!G9/SER_hh_num!G9)</f>
        <v>76872.373648555076</v>
      </c>
      <c r="H9" s="133">
        <f>IF(SER_hh_tes!H9=0,0,11630*1000*SER_hh_tes!H9/SER_hh_num!H9)</f>
        <v>95119.361116290514</v>
      </c>
      <c r="I9" s="133">
        <f>IF(SER_hh_tes!I9=0,0,11630*1000*SER_hh_tes!I9/SER_hh_num!I9)</f>
        <v>79973.167752481793</v>
      </c>
      <c r="J9" s="133">
        <f>IF(SER_hh_tes!J9=0,0,11630*1000*SER_hh_tes!J9/SER_hh_num!J9)</f>
        <v>93580.067489016757</v>
      </c>
      <c r="K9" s="133">
        <f>IF(SER_hh_tes!K9=0,0,11630*1000*SER_hh_tes!K9/SER_hh_num!K9)</f>
        <v>72545.110793959844</v>
      </c>
      <c r="L9" s="133">
        <f>IF(SER_hh_tes!L9=0,0,11630*1000*SER_hh_tes!L9/SER_hh_num!L9)</f>
        <v>80990.397132626691</v>
      </c>
      <c r="M9" s="133">
        <f>IF(SER_hh_tes!M9=0,0,11630*1000*SER_hh_tes!M9/SER_hh_num!M9)</f>
        <v>68074.631621636901</v>
      </c>
      <c r="N9" s="133">
        <f>IF(SER_hh_tes!N9=0,0,11630*1000*SER_hh_tes!N9/SER_hh_num!N9)</f>
        <v>80669.781724470129</v>
      </c>
      <c r="O9" s="133">
        <f>IF(SER_hh_tes!O9=0,0,11630*1000*SER_hh_tes!O9/SER_hh_num!O9)</f>
        <v>82369.713799647725</v>
      </c>
      <c r="P9" s="133">
        <f>IF(SER_hh_tes!P9=0,0,11630*1000*SER_hh_tes!P9/SER_hh_num!P9)</f>
        <v>61837.8687151228</v>
      </c>
      <c r="Q9" s="133">
        <f>IF(SER_hh_tes!Q9=0,0,11630*1000*SER_hh_tes!Q9/SER_hh_num!Q9)</f>
        <v>71937.321740551939</v>
      </c>
      <c r="R9" s="133">
        <f>IF(SER_hh_tes!R9=0,0,11630*1000*SER_hh_tes!R9/SER_hh_num!R9)</f>
        <v>65586.442900441034</v>
      </c>
      <c r="S9" s="133">
        <f>IF(SER_hh_tes!S9=0,0,11630*1000*SER_hh_tes!S9/SER_hh_num!S9)</f>
        <v>74518.457172743729</v>
      </c>
      <c r="T9" s="133">
        <f>IF(SER_hh_tes!T9=0,0,11630*1000*SER_hh_tes!T9/SER_hh_num!T9)</f>
        <v>70326.346012396141</v>
      </c>
      <c r="U9" s="133">
        <f>IF(SER_hh_tes!U9=0,0,11630*1000*SER_hh_tes!U9/SER_hh_num!U9)</f>
        <v>76662.830879893983</v>
      </c>
      <c r="V9" s="133">
        <f>IF(SER_hh_tes!V9=0,0,11630*1000*SER_hh_tes!V9/SER_hh_num!V9)</f>
        <v>80547.528250095405</v>
      </c>
      <c r="W9" s="133">
        <f>IF(SER_hh_tes!W9=0,0,11630*1000*SER_hh_tes!W9/SER_hh_num!W9)</f>
        <v>89636.43273943309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81880.795745413052</v>
      </c>
      <c r="C10" s="133">
        <f>IF(SER_hh_tes!C10=0,0,11630*1000*SER_hh_tes!C10/SER_hh_num!C10)</f>
        <v>90923.208079593373</v>
      </c>
      <c r="D10" s="133">
        <f>IF(SER_hh_tes!D10=0,0,11630*1000*SER_hh_tes!D10/SER_hh_num!D10)</f>
        <v>89046.24033162478</v>
      </c>
      <c r="E10" s="133">
        <f>IF(SER_hh_tes!E10=0,0,11630*1000*SER_hh_tes!E10/SER_hh_num!E10)</f>
        <v>104342.12276791973</v>
      </c>
      <c r="F10" s="133">
        <f>IF(SER_hh_tes!F10=0,0,11630*1000*SER_hh_tes!F10/SER_hh_num!F10)</f>
        <v>111165.33731898772</v>
      </c>
      <c r="G10" s="133">
        <f>IF(SER_hh_tes!G10=0,0,11630*1000*SER_hh_tes!G10/SER_hh_num!G10)</f>
        <v>90463.058597189578</v>
      </c>
      <c r="H10" s="133">
        <f>IF(SER_hh_tes!H10=0,0,11630*1000*SER_hh_tes!H10/SER_hh_num!H10)</f>
        <v>98887.975076528557</v>
      </c>
      <c r="I10" s="133">
        <f>IF(SER_hh_tes!I10=0,0,11630*1000*SER_hh_tes!I10/SER_hh_num!I10)</f>
        <v>92217.061465049555</v>
      </c>
      <c r="J10" s="133">
        <f>IF(SER_hh_tes!J10=0,0,11630*1000*SER_hh_tes!J10/SER_hh_num!J10)</f>
        <v>77861.232537908465</v>
      </c>
      <c r="K10" s="133">
        <f>IF(SER_hh_tes!K10=0,0,11630*1000*SER_hh_tes!K10/SER_hh_num!K10)</f>
        <v>75576.014802451609</v>
      </c>
      <c r="L10" s="133">
        <f>IF(SER_hh_tes!L10=0,0,11630*1000*SER_hh_tes!L10/SER_hh_num!L10)</f>
        <v>95161.899473202226</v>
      </c>
      <c r="M10" s="133">
        <f>IF(SER_hh_tes!M10=0,0,11630*1000*SER_hh_tes!M10/SER_hh_num!M10)</f>
        <v>80475.306883074125</v>
      </c>
      <c r="N10" s="133">
        <f>IF(SER_hh_tes!N10=0,0,11630*1000*SER_hh_tes!N10/SER_hh_num!N10)</f>
        <v>58600.109162460285</v>
      </c>
      <c r="O10" s="133">
        <f>IF(SER_hh_tes!O10=0,0,11630*1000*SER_hh_tes!O10/SER_hh_num!O10)</f>
        <v>79773.458719595845</v>
      </c>
      <c r="P10" s="133">
        <f>IF(SER_hh_tes!P10=0,0,11630*1000*SER_hh_tes!P10/SER_hh_num!P10)</f>
        <v>63635.58803482369</v>
      </c>
      <c r="Q10" s="133">
        <f>IF(SER_hh_tes!Q10=0,0,11630*1000*SER_hh_tes!Q10/SER_hh_num!Q10)</f>
        <v>78796.652522375036</v>
      </c>
      <c r="R10" s="133">
        <f>IF(SER_hh_tes!R10=0,0,11630*1000*SER_hh_tes!R10/SER_hh_num!R10)</f>
        <v>53253.056885995305</v>
      </c>
      <c r="S10" s="133">
        <f>IF(SER_hh_tes!S10=0,0,11630*1000*SER_hh_tes!S10/SER_hh_num!S10)</f>
        <v>82348.015850987518</v>
      </c>
      <c r="T10" s="133">
        <f>IF(SER_hh_tes!T10=0,0,11630*1000*SER_hh_tes!T10/SER_hh_num!T10)</f>
        <v>76056.259686017132</v>
      </c>
      <c r="U10" s="133">
        <f>IF(SER_hh_tes!U10=0,0,11630*1000*SER_hh_tes!U10/SER_hh_num!U10)</f>
        <v>77026.519834210034</v>
      </c>
      <c r="V10" s="133">
        <f>IF(SER_hh_tes!V10=0,0,11630*1000*SER_hh_tes!V10/SER_hh_num!V10)</f>
        <v>69550.195301415777</v>
      </c>
      <c r="W10" s="133">
        <f>IF(SER_hh_tes!W10=0,0,11630*1000*SER_hh_tes!W10/SER_hh_num!W10)</f>
        <v>77928.933907216866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85795.617420640701</v>
      </c>
      <c r="C11" s="133">
        <f>IF(SER_hh_tes!C11=0,0,11630*1000*SER_hh_tes!C11/SER_hh_num!C11)</f>
        <v>76096.656655875224</v>
      </c>
      <c r="D11" s="133">
        <f>IF(SER_hh_tes!D11=0,0,11630*1000*SER_hh_tes!D11/SER_hh_num!D11)</f>
        <v>114921.67122437783</v>
      </c>
      <c r="E11" s="133">
        <f>IF(SER_hh_tes!E11=0,0,11630*1000*SER_hh_tes!E11/SER_hh_num!E11)</f>
        <v>94755.458484775911</v>
      </c>
      <c r="F11" s="133">
        <f>IF(SER_hh_tes!F11=0,0,11630*1000*SER_hh_tes!F11/SER_hh_num!F11)</f>
        <v>94397.605628132093</v>
      </c>
      <c r="G11" s="133">
        <f>IF(SER_hh_tes!G11=0,0,11630*1000*SER_hh_tes!G11/SER_hh_num!G11)</f>
        <v>103176.30801575503</v>
      </c>
      <c r="H11" s="133">
        <f>IF(SER_hh_tes!H11=0,0,11630*1000*SER_hh_tes!H11/SER_hh_num!H11)</f>
        <v>97709.699647728325</v>
      </c>
      <c r="I11" s="133">
        <f>IF(SER_hh_tes!I11=0,0,11630*1000*SER_hh_tes!I11/SER_hh_num!I11)</f>
        <v>82600.66689241564</v>
      </c>
      <c r="J11" s="133">
        <f>IF(SER_hh_tes!J11=0,0,11630*1000*SER_hh_tes!J11/SER_hh_num!J11)</f>
        <v>83383.940770553047</v>
      </c>
      <c r="K11" s="133">
        <f>IF(SER_hh_tes!K11=0,0,11630*1000*SER_hh_tes!K11/SER_hh_num!K11)</f>
        <v>82097.384854128206</v>
      </c>
      <c r="L11" s="133">
        <f>IF(SER_hh_tes!L11=0,0,11630*1000*SER_hh_tes!L11/SER_hh_num!L11)</f>
        <v>85437.931104682779</v>
      </c>
      <c r="M11" s="133">
        <f>IF(SER_hh_tes!M11=0,0,11630*1000*SER_hh_tes!M11/SER_hh_num!M11)</f>
        <v>70934.473837790385</v>
      </c>
      <c r="N11" s="133">
        <f>IF(SER_hh_tes!N11=0,0,11630*1000*SER_hh_tes!N11/SER_hh_num!N11)</f>
        <v>83583.010939013591</v>
      </c>
      <c r="O11" s="133">
        <f>IF(SER_hh_tes!O11=0,0,11630*1000*SER_hh_tes!O11/SER_hh_num!O11)</f>
        <v>79566.772932092703</v>
      </c>
      <c r="P11" s="133">
        <f>IF(SER_hh_tes!P11=0,0,11630*1000*SER_hh_tes!P11/SER_hh_num!P11)</f>
        <v>64776.79314925865</v>
      </c>
      <c r="Q11" s="133">
        <f>IF(SER_hh_tes!Q11=0,0,11630*1000*SER_hh_tes!Q11/SER_hh_num!Q11)</f>
        <v>67827.479248717966</v>
      </c>
      <c r="R11" s="133">
        <f>IF(SER_hh_tes!R11=0,0,11630*1000*SER_hh_tes!R11/SER_hh_num!R11)</f>
        <v>60513.042787785831</v>
      </c>
      <c r="S11" s="133">
        <f>IF(SER_hh_tes!S11=0,0,11630*1000*SER_hh_tes!S11/SER_hh_num!S11)</f>
        <v>88063.106058854333</v>
      </c>
      <c r="T11" s="133">
        <f>IF(SER_hh_tes!T11=0,0,11630*1000*SER_hh_tes!T11/SER_hh_num!T11)</f>
        <v>75533.288111035712</v>
      </c>
      <c r="U11" s="133">
        <f>IF(SER_hh_tes!U11=0,0,11630*1000*SER_hh_tes!U11/SER_hh_num!U11)</f>
        <v>74656.725536743848</v>
      </c>
      <c r="V11" s="133">
        <f>IF(SER_hh_tes!V11=0,0,11630*1000*SER_hh_tes!V11/SER_hh_num!V11)</f>
        <v>75988.91444388972</v>
      </c>
      <c r="W11" s="133">
        <f>IF(SER_hh_tes!W11=0,0,11630*1000*SER_hh_tes!W11/SER_hh_num!W11)</f>
        <v>66218.449541460534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82818.596972560117</v>
      </c>
      <c r="C12" s="133">
        <f>IF(SER_hh_tes!C12=0,0,11630*1000*SER_hh_tes!C12/SER_hh_num!C12)</f>
        <v>89992.084382867746</v>
      </c>
      <c r="D12" s="133">
        <f>IF(SER_hh_tes!D12=0,0,11630*1000*SER_hh_tes!D12/SER_hh_num!D12)</f>
        <v>93394.267608438386</v>
      </c>
      <c r="E12" s="133">
        <f>IF(SER_hh_tes!E12=0,0,11630*1000*SER_hh_tes!E12/SER_hh_num!E12)</f>
        <v>98627.138590220799</v>
      </c>
      <c r="F12" s="133">
        <f>IF(SER_hh_tes!F12=0,0,11630*1000*SER_hh_tes!F12/SER_hh_num!F12)</f>
        <v>96007.092389672471</v>
      </c>
      <c r="G12" s="133">
        <f>IF(SER_hh_tes!G12=0,0,11630*1000*SER_hh_tes!G12/SER_hh_num!G12)</f>
        <v>102946.82538347035</v>
      </c>
      <c r="H12" s="133">
        <f>IF(SER_hh_tes!H12=0,0,11630*1000*SER_hh_tes!H12/SER_hh_num!H12)</f>
        <v>100338.27757568106</v>
      </c>
      <c r="I12" s="133">
        <f>IF(SER_hh_tes!I12=0,0,11630*1000*SER_hh_tes!I12/SER_hh_num!I12)</f>
        <v>80287.801444121767</v>
      </c>
      <c r="J12" s="133">
        <f>IF(SER_hh_tes!J12=0,0,11630*1000*SER_hh_tes!J12/SER_hh_num!J12)</f>
        <v>85308.441926260159</v>
      </c>
      <c r="K12" s="133">
        <f>IF(SER_hh_tes!K12=0,0,11630*1000*SER_hh_tes!K12/SER_hh_num!K12)</f>
        <v>83159.676467274898</v>
      </c>
      <c r="L12" s="133">
        <f>IF(SER_hh_tes!L12=0,0,11630*1000*SER_hh_tes!L12/SER_hh_num!L12)</f>
        <v>82848.224866411867</v>
      </c>
      <c r="M12" s="133">
        <f>IF(SER_hh_tes!M12=0,0,11630*1000*SER_hh_tes!M12/SER_hh_num!M12)</f>
        <v>78381.864379144376</v>
      </c>
      <c r="N12" s="133">
        <f>IF(SER_hh_tes!N12=0,0,11630*1000*SER_hh_tes!N12/SER_hh_num!N12)</f>
        <v>79046.402426764311</v>
      </c>
      <c r="O12" s="133">
        <f>IF(SER_hh_tes!O12=0,0,11630*1000*SER_hh_tes!O12/SER_hh_num!O12)</f>
        <v>76976.072179447627</v>
      </c>
      <c r="P12" s="133">
        <f>IF(SER_hh_tes!P12=0,0,11630*1000*SER_hh_tes!P12/SER_hh_num!P12)</f>
        <v>67481.890537875559</v>
      </c>
      <c r="Q12" s="133">
        <f>IF(SER_hh_tes!Q12=0,0,11630*1000*SER_hh_tes!Q12/SER_hh_num!Q12)</f>
        <v>69752.116918946951</v>
      </c>
      <c r="R12" s="133">
        <f>IF(SER_hh_tes!R12=0,0,11630*1000*SER_hh_tes!R12/SER_hh_num!R12)</f>
        <v>73724.81988147684</v>
      </c>
      <c r="S12" s="133">
        <f>IF(SER_hh_tes!S12=0,0,11630*1000*SER_hh_tes!S12/SER_hh_num!S12)</f>
        <v>77597.443815192077</v>
      </c>
      <c r="T12" s="133">
        <f>IF(SER_hh_tes!T12=0,0,11630*1000*SER_hh_tes!T12/SER_hh_num!T12)</f>
        <v>72066.819797044576</v>
      </c>
      <c r="U12" s="133">
        <f>IF(SER_hh_tes!U12=0,0,11630*1000*SER_hh_tes!U12/SER_hh_num!U12)</f>
        <v>75629.275666423011</v>
      </c>
      <c r="V12" s="133">
        <f>IF(SER_hh_tes!V12=0,0,11630*1000*SER_hh_tes!V12/SER_hh_num!V12)</f>
        <v>69166.594647389444</v>
      </c>
      <c r="W12" s="133">
        <f>IF(SER_hh_tes!W12=0,0,11630*1000*SER_hh_tes!W12/SER_hh_num!W12)</f>
        <v>80547.313492916699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78438.118967920222</v>
      </c>
      <c r="C13" s="133">
        <f>IF(SER_hh_tes!C13=0,0,11630*1000*SER_hh_tes!C13/SER_hh_num!C13)</f>
        <v>84531.647520700688</v>
      </c>
      <c r="D13" s="133">
        <f>IF(SER_hh_tes!D13=0,0,11630*1000*SER_hh_tes!D13/SER_hh_num!D13)</f>
        <v>88736.178405921048</v>
      </c>
      <c r="E13" s="133">
        <f>IF(SER_hh_tes!E13=0,0,11630*1000*SER_hh_tes!E13/SER_hh_num!E13)</f>
        <v>96363.89110745542</v>
      </c>
      <c r="F13" s="133">
        <f>IF(SER_hh_tes!F13=0,0,11630*1000*SER_hh_tes!F13/SER_hh_num!F13)</f>
        <v>98582.028701757023</v>
      </c>
      <c r="G13" s="133">
        <f>IF(SER_hh_tes!G13=0,0,11630*1000*SER_hh_tes!G13/SER_hh_num!G13)</f>
        <v>99351.087909334397</v>
      </c>
      <c r="H13" s="133">
        <f>IF(SER_hh_tes!H13=0,0,11630*1000*SER_hh_tes!H13/SER_hh_num!H13)</f>
        <v>97970.430078720412</v>
      </c>
      <c r="I13" s="133">
        <f>IF(SER_hh_tes!I13=0,0,11630*1000*SER_hh_tes!I13/SER_hh_num!I13)</f>
        <v>84093.000097727781</v>
      </c>
      <c r="J13" s="133">
        <f>IF(SER_hh_tes!J13=0,0,11630*1000*SER_hh_tes!J13/SER_hh_num!J13)</f>
        <v>97477.725931652647</v>
      </c>
      <c r="K13" s="133">
        <f>IF(SER_hh_tes!K13=0,0,11630*1000*SER_hh_tes!K13/SER_hh_num!K13)</f>
        <v>77365.924728864469</v>
      </c>
      <c r="L13" s="133">
        <f>IF(SER_hh_tes!L13=0,0,11630*1000*SER_hh_tes!L13/SER_hh_num!L13)</f>
        <v>76853.394544072362</v>
      </c>
      <c r="M13" s="133">
        <f>IF(SER_hh_tes!M13=0,0,11630*1000*SER_hh_tes!M13/SER_hh_num!M13)</f>
        <v>78474.165983420025</v>
      </c>
      <c r="N13" s="133">
        <f>IF(SER_hh_tes!N13=0,0,11630*1000*SER_hh_tes!N13/SER_hh_num!N13)</f>
        <v>76470.264860123774</v>
      </c>
      <c r="O13" s="133">
        <f>IF(SER_hh_tes!O13=0,0,11630*1000*SER_hh_tes!O13/SER_hh_num!O13)</f>
        <v>76508.988245086977</v>
      </c>
      <c r="P13" s="133">
        <f>IF(SER_hh_tes!P13=0,0,11630*1000*SER_hh_tes!P13/SER_hh_num!P13)</f>
        <v>79132.226380167762</v>
      </c>
      <c r="Q13" s="133">
        <f>IF(SER_hh_tes!Q13=0,0,11630*1000*SER_hh_tes!Q13/SER_hh_num!Q13)</f>
        <v>67330.751487098969</v>
      </c>
      <c r="R13" s="133">
        <f>IF(SER_hh_tes!R13=0,0,11630*1000*SER_hh_tes!R13/SER_hh_num!R13)</f>
        <v>69445.944393721496</v>
      </c>
      <c r="S13" s="133">
        <f>IF(SER_hh_tes!S13=0,0,11630*1000*SER_hh_tes!S13/SER_hh_num!S13)</f>
        <v>76343.303443828918</v>
      </c>
      <c r="T13" s="133">
        <f>IF(SER_hh_tes!T13=0,0,11630*1000*SER_hh_tes!T13/SER_hh_num!T13)</f>
        <v>75194.502067294045</v>
      </c>
      <c r="U13" s="133">
        <f>IF(SER_hh_tes!U13=0,0,11630*1000*SER_hh_tes!U13/SER_hh_num!U13)</f>
        <v>86917.51558244128</v>
      </c>
      <c r="V13" s="133">
        <f>IF(SER_hh_tes!V13=0,0,11630*1000*SER_hh_tes!V13/SER_hh_num!V13)</f>
        <v>58837.498553358804</v>
      </c>
      <c r="W13" s="133">
        <f>IF(SER_hh_tes!W13=0,0,11630*1000*SER_hh_tes!W13/SER_hh_num!W13)</f>
        <v>56140.92153851605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85221.656733556214</v>
      </c>
      <c r="C14" s="65">
        <f>IF(SER_hh_tes!C14=0,0,11630*1000*SER_hh_tes!C14/SER_hh_num!C14)</f>
        <v>91673.447246710391</v>
      </c>
      <c r="D14" s="65">
        <f>IF(SER_hh_tes!D14=0,0,11630*1000*SER_hh_tes!D14/SER_hh_num!D14)</f>
        <v>90716.172431971543</v>
      </c>
      <c r="E14" s="65">
        <f>IF(SER_hh_tes!E14=0,0,11630*1000*SER_hh_tes!E14/SER_hh_num!E14)</f>
        <v>108096.36410849303</v>
      </c>
      <c r="F14" s="65">
        <f>IF(SER_hh_tes!F14=0,0,11630*1000*SER_hh_tes!F14/SER_hh_num!F14)</f>
        <v>80137.447494538486</v>
      </c>
      <c r="G14" s="65">
        <f>IF(SER_hh_tes!G14=0,0,11630*1000*SER_hh_tes!G14/SER_hh_num!G14)</f>
        <v>108526.04286162695</v>
      </c>
      <c r="H14" s="65">
        <f>IF(SER_hh_tes!H14=0,0,11630*1000*SER_hh_tes!H14/SER_hh_num!H14)</f>
        <v>99666.627360740036</v>
      </c>
      <c r="I14" s="65">
        <f>IF(SER_hh_tes!I14=0,0,11630*1000*SER_hh_tes!I14/SER_hh_num!I14)</f>
        <v>86069.418071525608</v>
      </c>
      <c r="J14" s="65">
        <f>IF(SER_hh_tes!J14=0,0,11630*1000*SER_hh_tes!J14/SER_hh_num!J14)</f>
        <v>104699.33223174457</v>
      </c>
      <c r="K14" s="65">
        <f>IF(SER_hh_tes!K14=0,0,11630*1000*SER_hh_tes!K14/SER_hh_num!K14)</f>
        <v>61832.026639456024</v>
      </c>
      <c r="L14" s="65">
        <f>IF(SER_hh_tes!L14=0,0,11630*1000*SER_hh_tes!L14/SER_hh_num!L14)</f>
        <v>86127.03338332531</v>
      </c>
      <c r="M14" s="65">
        <f>IF(SER_hh_tes!M14=0,0,11630*1000*SER_hh_tes!M14/SER_hh_num!M14)</f>
        <v>77776.949227653502</v>
      </c>
      <c r="N14" s="65">
        <f>IF(SER_hh_tes!N14=0,0,11630*1000*SER_hh_tes!N14/SER_hh_num!N14)</f>
        <v>77902.415305318136</v>
      </c>
      <c r="O14" s="65">
        <f>IF(SER_hh_tes!O14=0,0,11630*1000*SER_hh_tes!O14/SER_hh_num!O14)</f>
        <v>78399.911311681513</v>
      </c>
      <c r="P14" s="65">
        <f>IF(SER_hh_tes!P14=0,0,11630*1000*SER_hh_tes!P14/SER_hh_num!P14)</f>
        <v>71043.618534308727</v>
      </c>
      <c r="Q14" s="65">
        <f>IF(SER_hh_tes!Q14=0,0,11630*1000*SER_hh_tes!Q14/SER_hh_num!Q14)</f>
        <v>81210.749403499634</v>
      </c>
      <c r="R14" s="65">
        <f>IF(SER_hh_tes!R14=0,0,11630*1000*SER_hh_tes!R14/SER_hh_num!R14)</f>
        <v>43205.170708921971</v>
      </c>
      <c r="S14" s="65">
        <f>IF(SER_hh_tes!S14=0,0,11630*1000*SER_hh_tes!S14/SER_hh_num!S14)</f>
        <v>71135.612333730634</v>
      </c>
      <c r="T14" s="65">
        <f>IF(SER_hh_tes!T14=0,0,11630*1000*SER_hh_tes!T14/SER_hh_num!T14)</f>
        <v>85265.58881644033</v>
      </c>
      <c r="U14" s="65">
        <f>IF(SER_hh_tes!U14=0,0,11630*1000*SER_hh_tes!U14/SER_hh_num!U14)</f>
        <v>74562.585981916607</v>
      </c>
      <c r="V14" s="65">
        <f>IF(SER_hh_tes!V14=0,0,11630*1000*SER_hh_tes!V14/SER_hh_num!V14)</f>
        <v>73234.43654886102</v>
      </c>
      <c r="W14" s="65">
        <f>IF(SER_hh_tes!W14=0,0,11630*1000*SER_hh_tes!W14/SER_hh_num!W14)</f>
        <v>75760.277666735259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1077.3941287507521</v>
      </c>
      <c r="C15" s="135">
        <f>IF(SER_hh_tes!C15=0,0,11630*1000*SER_hh_tes!C15/SER_hh_num!C15)</f>
        <v>1407.159433015376</v>
      </c>
      <c r="D15" s="135">
        <f>IF(SER_hh_tes!D15=0,0,11630*1000*SER_hh_tes!D15/SER_hh_num!D15)</f>
        <v>1282.2148473542086</v>
      </c>
      <c r="E15" s="135">
        <f>IF(SER_hh_tes!E15=0,0,11630*1000*SER_hh_tes!E15/SER_hh_num!E15)</f>
        <v>1476.185244437225</v>
      </c>
      <c r="F15" s="135">
        <f>IF(SER_hh_tes!F15=0,0,11630*1000*SER_hh_tes!F15/SER_hh_num!F15)</f>
        <v>1467.1537271002016</v>
      </c>
      <c r="G15" s="135">
        <f>IF(SER_hh_tes!G15=0,0,11630*1000*SER_hh_tes!G15/SER_hh_num!G15)</f>
        <v>1131.9065811128</v>
      </c>
      <c r="H15" s="135">
        <f>IF(SER_hh_tes!H15=0,0,11630*1000*SER_hh_tes!H15/SER_hh_num!H15)</f>
        <v>1169.3230892149188</v>
      </c>
      <c r="I15" s="135">
        <f>IF(SER_hh_tes!I15=0,0,11630*1000*SER_hh_tes!I15/SER_hh_num!I15)</f>
        <v>853.50056842801405</v>
      </c>
      <c r="J15" s="135">
        <f>IF(SER_hh_tes!J15=0,0,11630*1000*SER_hh_tes!J15/SER_hh_num!J15)</f>
        <v>943.4822672030399</v>
      </c>
      <c r="K15" s="135">
        <f>IF(SER_hh_tes!K15=0,0,11630*1000*SER_hh_tes!K15/SER_hh_num!K15)</f>
        <v>769.40374342951054</v>
      </c>
      <c r="L15" s="135">
        <f>IF(SER_hh_tes!L15=0,0,11630*1000*SER_hh_tes!L15/SER_hh_num!L15)</f>
        <v>655.59400297002242</v>
      </c>
      <c r="M15" s="135">
        <f>IF(SER_hh_tes!M15=0,0,11630*1000*SER_hh_tes!M15/SER_hh_num!M15)</f>
        <v>595.09462172260589</v>
      </c>
      <c r="N15" s="135">
        <f>IF(SER_hh_tes!N15=0,0,11630*1000*SER_hh_tes!N15/SER_hh_num!N15)</f>
        <v>626.64643082610246</v>
      </c>
      <c r="O15" s="135">
        <f>IF(SER_hh_tes!O15=0,0,11630*1000*SER_hh_tes!O15/SER_hh_num!O15)</f>
        <v>639.15839009311549</v>
      </c>
      <c r="P15" s="135">
        <f>IF(SER_hh_tes!P15=0,0,11630*1000*SER_hh_tes!P15/SER_hh_num!P15)</f>
        <v>542.86129578374801</v>
      </c>
      <c r="Q15" s="135">
        <f>IF(SER_hh_tes!Q15=0,0,11630*1000*SER_hh_tes!Q15/SER_hh_num!Q15)</f>
        <v>581.22025908892113</v>
      </c>
      <c r="R15" s="135">
        <f>IF(SER_hh_tes!R15=0,0,11630*1000*SER_hh_tes!R15/SER_hh_num!R15)</f>
        <v>544.212629345506</v>
      </c>
      <c r="S15" s="135">
        <f>IF(SER_hh_tes!S15=0,0,11630*1000*SER_hh_tes!S15/SER_hh_num!S15)</f>
        <v>634.71655226366613</v>
      </c>
      <c r="T15" s="135">
        <f>IF(SER_hh_tes!T15=0,0,11630*1000*SER_hh_tes!T15/SER_hh_num!T15)</f>
        <v>583.2572729483951</v>
      </c>
      <c r="U15" s="135">
        <f>IF(SER_hh_tes!U15=0,0,11630*1000*SER_hh_tes!U15/SER_hh_num!U15)</f>
        <v>605.2222046763203</v>
      </c>
      <c r="V15" s="135">
        <f>IF(SER_hh_tes!V15=0,0,11630*1000*SER_hh_tes!V15/SER_hh_num!V15)</f>
        <v>583.89159442685593</v>
      </c>
      <c r="W15" s="135">
        <f>IF(SER_hh_tes!W15=0,0,11630*1000*SER_hh_tes!W15/SER_hh_num!W15)</f>
        <v>689.74236635112118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20260.989364642937</v>
      </c>
      <c r="C16" s="131">
        <f>IF(SER_hh_tes!C16=0,0,11630*1000*SER_hh_tes!C16/SER_hh_num!C16)</f>
        <v>20111.636000067148</v>
      </c>
      <c r="D16" s="131">
        <f>IF(SER_hh_tes!D16=0,0,11630*1000*SER_hh_tes!D16/SER_hh_num!D16)</f>
        <v>20232.356105863677</v>
      </c>
      <c r="E16" s="131">
        <f>IF(SER_hh_tes!E16=0,0,11630*1000*SER_hh_tes!E16/SER_hh_num!E16)</f>
        <v>22619.068727845108</v>
      </c>
      <c r="F16" s="131">
        <f>IF(SER_hh_tes!F16=0,0,11630*1000*SER_hh_tes!F16/SER_hh_num!F16)</f>
        <v>20056.537765349531</v>
      </c>
      <c r="G16" s="131">
        <f>IF(SER_hh_tes!G16=0,0,11630*1000*SER_hh_tes!G16/SER_hh_num!G16)</f>
        <v>20230.098719613998</v>
      </c>
      <c r="H16" s="131">
        <f>IF(SER_hh_tes!H16=0,0,11630*1000*SER_hh_tes!H16/SER_hh_num!H16)</f>
        <v>21172.400235453253</v>
      </c>
      <c r="I16" s="131">
        <f>IF(SER_hh_tes!I16=0,0,11630*1000*SER_hh_tes!I16/SER_hh_num!I16)</f>
        <v>21059.660545232222</v>
      </c>
      <c r="J16" s="131">
        <f>IF(SER_hh_tes!J16=0,0,11630*1000*SER_hh_tes!J16/SER_hh_num!J16)</f>
        <v>20415.153731767834</v>
      </c>
      <c r="K16" s="131">
        <f>IF(SER_hh_tes!K16=0,0,11630*1000*SER_hh_tes!K16/SER_hh_num!K16)</f>
        <v>20659.246404377525</v>
      </c>
      <c r="L16" s="131">
        <f>IF(SER_hh_tes!L16=0,0,11630*1000*SER_hh_tes!L16/SER_hh_num!L16)</f>
        <v>21380.54917033773</v>
      </c>
      <c r="M16" s="131">
        <f>IF(SER_hh_tes!M16=0,0,11630*1000*SER_hh_tes!M16/SER_hh_num!M16)</f>
        <v>21010.271006170249</v>
      </c>
      <c r="N16" s="131">
        <f>IF(SER_hh_tes!N16=0,0,11630*1000*SER_hh_tes!N16/SER_hh_num!N16)</f>
        <v>21926.709672367047</v>
      </c>
      <c r="O16" s="131">
        <f>IF(SER_hh_tes!O16=0,0,11630*1000*SER_hh_tes!O16/SER_hh_num!O16)</f>
        <v>23463.536660110854</v>
      </c>
      <c r="P16" s="131">
        <f>IF(SER_hh_tes!P16=0,0,11630*1000*SER_hh_tes!P16/SER_hh_num!P16)</f>
        <v>20839.338279692503</v>
      </c>
      <c r="Q16" s="131">
        <f>IF(SER_hh_tes!Q16=0,0,11630*1000*SER_hh_tes!Q16/SER_hh_num!Q16)</f>
        <v>24521.09189774164</v>
      </c>
      <c r="R16" s="131">
        <f>IF(SER_hh_tes!R16=0,0,11630*1000*SER_hh_tes!R16/SER_hh_num!R16)</f>
        <v>21361.312617390871</v>
      </c>
      <c r="S16" s="131">
        <f>IF(SER_hh_tes!S16=0,0,11630*1000*SER_hh_tes!S16/SER_hh_num!S16)</f>
        <v>22975.061557229601</v>
      </c>
      <c r="T16" s="131">
        <f>IF(SER_hh_tes!T16=0,0,11630*1000*SER_hh_tes!T16/SER_hh_num!T16)</f>
        <v>22728.189125509791</v>
      </c>
      <c r="U16" s="131">
        <f>IF(SER_hh_tes!U16=0,0,11630*1000*SER_hh_tes!U16/SER_hh_num!U16)</f>
        <v>23472.632895921022</v>
      </c>
      <c r="V16" s="131">
        <f>IF(SER_hh_tes!V16=0,0,11630*1000*SER_hh_tes!V16/SER_hh_num!V16)</f>
        <v>21581.71212176156</v>
      </c>
      <c r="W16" s="131">
        <f>IF(SER_hh_tes!W16=0,0,11630*1000*SER_hh_tes!W16/SER_hh_num!W16)</f>
        <v>22280.931797607675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20260.989364642937</v>
      </c>
      <c r="C17" s="133">
        <f>IF(SER_hh_tes!C17=0,0,11630*1000*SER_hh_tes!C17/SER_hh_num!C17)</f>
        <v>20111.645561148431</v>
      </c>
      <c r="D17" s="133">
        <f>IF(SER_hh_tes!D17=0,0,11630*1000*SER_hh_tes!D17/SER_hh_num!D17)</f>
        <v>20232.35702564838</v>
      </c>
      <c r="E17" s="133">
        <f>IF(SER_hh_tes!E17=0,0,11630*1000*SER_hh_tes!E17/SER_hh_num!E17)</f>
        <v>22619.064343107264</v>
      </c>
      <c r="F17" s="133">
        <f>IF(SER_hh_tes!F17=0,0,11630*1000*SER_hh_tes!F17/SER_hh_num!F17)</f>
        <v>20056.532065151074</v>
      </c>
      <c r="G17" s="133">
        <f>IF(SER_hh_tes!G17=0,0,11630*1000*SER_hh_tes!G17/SER_hh_num!G17)</f>
        <v>20230.094100079794</v>
      </c>
      <c r="H17" s="133">
        <f>IF(SER_hh_tes!H17=0,0,11630*1000*SER_hh_tes!H17/SER_hh_num!H17)</f>
        <v>21172.398180601853</v>
      </c>
      <c r="I17" s="133">
        <f>IF(SER_hh_tes!I17=0,0,11630*1000*SER_hh_tes!I17/SER_hh_num!I17)</f>
        <v>21059.661442505763</v>
      </c>
      <c r="J17" s="133">
        <f>IF(SER_hh_tes!J17=0,0,11630*1000*SER_hh_tes!J17/SER_hh_num!J17)</f>
        <v>20415.1562544753</v>
      </c>
      <c r="K17" s="133">
        <f>IF(SER_hh_tes!K17=0,0,11630*1000*SER_hh_tes!K17/SER_hh_num!K17)</f>
        <v>20659.250153528676</v>
      </c>
      <c r="L17" s="133">
        <f>IF(SER_hh_tes!L17=0,0,11630*1000*SER_hh_tes!L17/SER_hh_num!L17)</f>
        <v>21380.554148171981</v>
      </c>
      <c r="M17" s="133">
        <f>IF(SER_hh_tes!M17=0,0,11630*1000*SER_hh_tes!M17/SER_hh_num!M17)</f>
        <v>22554.938856702458</v>
      </c>
      <c r="N17" s="133">
        <f>IF(SER_hh_tes!N17=0,0,11630*1000*SER_hh_tes!N17/SER_hh_num!N17)</f>
        <v>21926.705038902543</v>
      </c>
      <c r="O17" s="133">
        <f>IF(SER_hh_tes!O17=0,0,11630*1000*SER_hh_tes!O17/SER_hh_num!O17)</f>
        <v>23463.524766044895</v>
      </c>
      <c r="P17" s="133">
        <f>IF(SER_hh_tes!P17=0,0,11630*1000*SER_hh_tes!P17/SER_hh_num!P17)</f>
        <v>20839.32641543755</v>
      </c>
      <c r="Q17" s="133">
        <f>IF(SER_hh_tes!Q17=0,0,11630*1000*SER_hh_tes!Q17/SER_hh_num!Q17)</f>
        <v>25640.808668367197</v>
      </c>
      <c r="R17" s="133">
        <f>IF(SER_hh_tes!R17=0,0,11630*1000*SER_hh_tes!R17/SER_hh_num!R17)</f>
        <v>21361.312900738008</v>
      </c>
      <c r="S17" s="133">
        <f>IF(SER_hh_tes!S17=0,0,11630*1000*SER_hh_tes!S17/SER_hh_num!S17)</f>
        <v>22975.06940738911</v>
      </c>
      <c r="T17" s="133">
        <f>IF(SER_hh_tes!T17=0,0,11630*1000*SER_hh_tes!T17/SER_hh_num!T17)</f>
        <v>22728.201284341118</v>
      </c>
      <c r="U17" s="133">
        <f>IF(SER_hh_tes!U17=0,0,11630*1000*SER_hh_tes!U17/SER_hh_num!U17)</f>
        <v>23472.646328647523</v>
      </c>
      <c r="V17" s="133">
        <f>IF(SER_hh_tes!V17=0,0,11630*1000*SER_hh_tes!V17/SER_hh_num!V17)</f>
        <v>21581.722166685813</v>
      </c>
      <c r="W17" s="133">
        <f>IF(SER_hh_tes!W17=0,0,11630*1000*SER_hh_tes!W17/SER_hh_num!W17)</f>
        <v>22280.93711448025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20260.989364642937</v>
      </c>
      <c r="C18" s="133">
        <f>IF(SER_hh_tes!C18=0,0,11630*1000*SER_hh_tes!C18/SER_hh_num!C18)</f>
        <v>20111.635986337154</v>
      </c>
      <c r="D18" s="133">
        <f>IF(SER_hh_tes!D18=0,0,11630*1000*SER_hh_tes!D18/SER_hh_num!D18)</f>
        <v>20232.356104371705</v>
      </c>
      <c r="E18" s="133">
        <f>IF(SER_hh_tes!E18=0,0,11630*1000*SER_hh_tes!E18/SER_hh_num!E18)</f>
        <v>22619.068734955392</v>
      </c>
      <c r="F18" s="133">
        <f>IF(SER_hh_tes!F18=0,0,11630*1000*SER_hh_tes!F18/SER_hh_num!F18)</f>
        <v>20056.537776798712</v>
      </c>
      <c r="G18" s="133">
        <f>IF(SER_hh_tes!G18=0,0,11630*1000*SER_hh_tes!G18/SER_hh_num!G18)</f>
        <v>20230.098729760357</v>
      </c>
      <c r="H18" s="133">
        <f>IF(SER_hh_tes!H18=0,0,11630*1000*SER_hh_tes!H18/SER_hh_num!H18)</f>
        <v>21172.400240242307</v>
      </c>
      <c r="I18" s="133">
        <f>IF(SER_hh_tes!I18=0,0,11630*1000*SER_hh_tes!I18/SER_hh_num!I18)</f>
        <v>21059.660542789803</v>
      </c>
      <c r="J18" s="133">
        <f>IF(SER_hh_tes!J18=0,0,11630*1000*SER_hh_tes!J18/SER_hh_num!J18)</f>
        <v>20415.153724034495</v>
      </c>
      <c r="K18" s="133">
        <f>IF(SER_hh_tes!K18=0,0,11630*1000*SER_hh_tes!K18/SER_hh_num!K18)</f>
        <v>20659.246391077853</v>
      </c>
      <c r="L18" s="133">
        <f>IF(SER_hh_tes!L18=0,0,11630*1000*SER_hh_tes!L18/SER_hh_num!L18)</f>
        <v>21380.549151910625</v>
      </c>
      <c r="M18" s="133">
        <f>IF(SER_hh_tes!M18=0,0,11630*1000*SER_hh_tes!M18/SER_hh_num!M18)</f>
        <v>21004.19861512561</v>
      </c>
      <c r="N18" s="133">
        <f>IF(SER_hh_tes!N18=0,0,11630*1000*SER_hh_tes!N18/SER_hh_num!N18)</f>
        <v>21926.709692620963</v>
      </c>
      <c r="O18" s="133">
        <f>IF(SER_hh_tes!O18=0,0,11630*1000*SER_hh_tes!O18/SER_hh_num!O18)</f>
        <v>23463.536717350162</v>
      </c>
      <c r="P18" s="133">
        <f>IF(SER_hh_tes!P18=0,0,11630*1000*SER_hh_tes!P18/SER_hh_num!P18)</f>
        <v>20839.338343250922</v>
      </c>
      <c r="Q18" s="133">
        <f>IF(SER_hh_tes!Q18=0,0,11630*1000*SER_hh_tes!Q18/SER_hh_num!Q18)</f>
        <v>24514.41259104132</v>
      </c>
      <c r="R18" s="133">
        <f>IF(SER_hh_tes!R18=0,0,11630*1000*SER_hh_tes!R18/SER_hh_num!R18)</f>
        <v>21361.312615606716</v>
      </c>
      <c r="S18" s="133">
        <f>IF(SER_hh_tes!S18=0,0,11630*1000*SER_hh_tes!S18/SER_hh_num!S18)</f>
        <v>22975.061502467015</v>
      </c>
      <c r="T18" s="133">
        <f>IF(SER_hh_tes!T18=0,0,11630*1000*SER_hh_tes!T18/SER_hh_num!T18)</f>
        <v>22728.189035756393</v>
      </c>
      <c r="U18" s="133">
        <f>IF(SER_hh_tes!U18=0,0,11630*1000*SER_hh_tes!U18/SER_hh_num!U18)</f>
        <v>23472.63278620036</v>
      </c>
      <c r="V18" s="133">
        <f>IF(SER_hh_tes!V18=0,0,11630*1000*SER_hh_tes!V18/SER_hh_num!V18)</f>
        <v>21581.712038766134</v>
      </c>
      <c r="W18" s="133">
        <f>IF(SER_hh_tes!W18=0,0,11630*1000*SER_hh_tes!W18/SER_hh_num!W18)</f>
        <v>22280.931752123783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13701.932728316193</v>
      </c>
      <c r="C19" s="131">
        <f>IF(SER_hh_tes!C19=0,0,11630*1000*SER_hh_tes!C19/SER_hh_num!C19)</f>
        <v>13864.997312158703</v>
      </c>
      <c r="D19" s="131">
        <f>IF(SER_hh_tes!D19=0,0,11630*1000*SER_hh_tes!D19/SER_hh_num!D19)</f>
        <v>13853.528283345071</v>
      </c>
      <c r="E19" s="131">
        <f>IF(SER_hh_tes!E19=0,0,11630*1000*SER_hh_tes!E19/SER_hh_num!E19)</f>
        <v>14014.966346312649</v>
      </c>
      <c r="F19" s="131">
        <f>IF(SER_hh_tes!F19=0,0,11630*1000*SER_hh_tes!F19/SER_hh_num!F19)</f>
        <v>13996.051602486579</v>
      </c>
      <c r="G19" s="131">
        <f>IF(SER_hh_tes!G19=0,0,11630*1000*SER_hh_tes!G19/SER_hh_num!G19)</f>
        <v>14305.805227023522</v>
      </c>
      <c r="H19" s="131">
        <f>IF(SER_hh_tes!H19=0,0,11630*1000*SER_hh_tes!H19/SER_hh_num!H19)</f>
        <v>14262.328073919476</v>
      </c>
      <c r="I19" s="131">
        <f>IF(SER_hh_tes!I19=0,0,11630*1000*SER_hh_tes!I19/SER_hh_num!I19)</f>
        <v>14476.316929705697</v>
      </c>
      <c r="J19" s="131">
        <f>IF(SER_hh_tes!J19=0,0,11630*1000*SER_hh_tes!J19/SER_hh_num!J19)</f>
        <v>14552.746301815125</v>
      </c>
      <c r="K19" s="131">
        <f>IF(SER_hh_tes!K19=0,0,11630*1000*SER_hh_tes!K19/SER_hh_num!K19)</f>
        <v>15184.998937656032</v>
      </c>
      <c r="L19" s="131">
        <f>IF(SER_hh_tes!L19=0,0,11630*1000*SER_hh_tes!L19/SER_hh_num!L19)</f>
        <v>15218.44468428841</v>
      </c>
      <c r="M19" s="131">
        <f>IF(SER_hh_tes!M19=0,0,11630*1000*SER_hh_tes!M19/SER_hh_num!M19)</f>
        <v>15467.274659175588</v>
      </c>
      <c r="N19" s="131">
        <f>IF(SER_hh_tes!N19=0,0,11630*1000*SER_hh_tes!N19/SER_hh_num!N19)</f>
        <v>15424.627202928561</v>
      </c>
      <c r="O19" s="131">
        <f>IF(SER_hh_tes!O19=0,0,11630*1000*SER_hh_tes!O19/SER_hh_num!O19)</f>
        <v>15534.865558560225</v>
      </c>
      <c r="P19" s="131">
        <f>IF(SER_hh_tes!P19=0,0,11630*1000*SER_hh_tes!P19/SER_hh_num!P19)</f>
        <v>15932.370559588648</v>
      </c>
      <c r="Q19" s="131">
        <f>IF(SER_hh_tes!Q19=0,0,11630*1000*SER_hh_tes!Q19/SER_hh_num!Q19)</f>
        <v>15784.832499469516</v>
      </c>
      <c r="R19" s="131">
        <f>IF(SER_hh_tes!R19=0,0,11630*1000*SER_hh_tes!R19/SER_hh_num!R19)</f>
        <v>15754.282373202774</v>
      </c>
      <c r="S19" s="131">
        <f>IF(SER_hh_tes!S19=0,0,11630*1000*SER_hh_tes!S19/SER_hh_num!S19)</f>
        <v>15694.982662421358</v>
      </c>
      <c r="T19" s="131">
        <f>IF(SER_hh_tes!T19=0,0,11630*1000*SER_hh_tes!T19/SER_hh_num!T19)</f>
        <v>15536.939078148507</v>
      </c>
      <c r="U19" s="131">
        <f>IF(SER_hh_tes!U19=0,0,11630*1000*SER_hh_tes!U19/SER_hh_num!U19)</f>
        <v>15213.470940996696</v>
      </c>
      <c r="V19" s="131">
        <f>IF(SER_hh_tes!V19=0,0,11630*1000*SER_hh_tes!V19/SER_hh_num!V19)</f>
        <v>14698.779770089232</v>
      </c>
      <c r="W19" s="131">
        <f>IF(SER_hh_tes!W19=0,0,11630*1000*SER_hh_tes!W19/SER_hh_num!W19)</f>
        <v>14373.975834721385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12376.484218488737</v>
      </c>
      <c r="C21" s="133">
        <f>IF(SER_hh_tes!C21=0,0,11630*1000*SER_hh_tes!C21/SER_hh_num!C21)</f>
        <v>13448.41774403924</v>
      </c>
      <c r="D21" s="133">
        <f>IF(SER_hh_tes!D21=0,0,11630*1000*SER_hh_tes!D21/SER_hh_num!D21)</f>
        <v>13071.988106095279</v>
      </c>
      <c r="E21" s="133">
        <f>IF(SER_hh_tes!E21=0,0,11630*1000*SER_hh_tes!E21/SER_hh_num!E21)</f>
        <v>13345.22087778656</v>
      </c>
      <c r="F21" s="133">
        <f>IF(SER_hh_tes!F21=0,0,11630*1000*SER_hh_tes!F21/SER_hh_num!F21)</f>
        <v>13424.268369315765</v>
      </c>
      <c r="G21" s="133">
        <f>IF(SER_hh_tes!G21=0,0,11630*1000*SER_hh_tes!G21/SER_hh_num!G21)</f>
        <v>13594.370742059236</v>
      </c>
      <c r="H21" s="133">
        <f>IF(SER_hh_tes!H21=0,0,11630*1000*SER_hh_tes!H21/SER_hh_num!H21)</f>
        <v>13845.22696913278</v>
      </c>
      <c r="I21" s="133">
        <f>IF(SER_hh_tes!I21=0,0,11630*1000*SER_hh_tes!I21/SER_hh_num!I21)</f>
        <v>14147.791190833874</v>
      </c>
      <c r="J21" s="133">
        <f>IF(SER_hh_tes!J21=0,0,11630*1000*SER_hh_tes!J21/SER_hh_num!J21)</f>
        <v>14392.469348674937</v>
      </c>
      <c r="K21" s="133">
        <f>IF(SER_hh_tes!K21=0,0,11630*1000*SER_hh_tes!K21/SER_hh_num!K21)</f>
        <v>15183.834530120357</v>
      </c>
      <c r="L21" s="133">
        <f>IF(SER_hh_tes!L21=0,0,11630*1000*SER_hh_tes!L21/SER_hh_num!L21)</f>
        <v>14114.210919436553</v>
      </c>
      <c r="M21" s="133">
        <f>IF(SER_hh_tes!M21=0,0,11630*1000*SER_hh_tes!M21/SER_hh_num!M21)</f>
        <v>15591.492989747261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13119.348362780465</v>
      </c>
      <c r="C22" s="133">
        <f>IF(SER_hh_tes!C22=0,0,11630*1000*SER_hh_tes!C22/SER_hh_num!C22)</f>
        <v>13105.689353241349</v>
      </c>
      <c r="D22" s="133">
        <f>IF(SER_hh_tes!D22=0,0,11630*1000*SER_hh_tes!D22/SER_hh_num!D22)</f>
        <v>13103.439786929237</v>
      </c>
      <c r="E22" s="133">
        <f>IF(SER_hh_tes!E22=0,0,11630*1000*SER_hh_tes!E22/SER_hh_num!E22)</f>
        <v>13258.388862464906</v>
      </c>
      <c r="F22" s="133">
        <f>IF(SER_hh_tes!F22=0,0,11630*1000*SER_hh_tes!F22/SER_hh_num!F22)</f>
        <v>13531.717728874037</v>
      </c>
      <c r="G22" s="133">
        <f>IF(SER_hh_tes!G22=0,0,11630*1000*SER_hh_tes!G22/SER_hh_num!G22)</f>
        <v>13529.996562410583</v>
      </c>
      <c r="H22" s="133">
        <f>IF(SER_hh_tes!H22=0,0,11630*1000*SER_hh_tes!H22/SER_hh_num!H22)</f>
        <v>13550.526754946519</v>
      </c>
      <c r="I22" s="133">
        <f>IF(SER_hh_tes!I22=0,0,11630*1000*SER_hh_tes!I22/SER_hh_num!I22)</f>
        <v>13970.414842236583</v>
      </c>
      <c r="J22" s="133">
        <f>IF(SER_hh_tes!J22=0,0,11630*1000*SER_hh_tes!J22/SER_hh_num!J22)</f>
        <v>13661.416527066374</v>
      </c>
      <c r="K22" s="133">
        <f>IF(SER_hh_tes!K22=0,0,11630*1000*SER_hh_tes!K22/SER_hh_num!K22)</f>
        <v>14462.220138733734</v>
      </c>
      <c r="L22" s="133">
        <f>IF(SER_hh_tes!L22=0,0,11630*1000*SER_hh_tes!L22/SER_hh_num!L22)</f>
        <v>13438.802855413653</v>
      </c>
      <c r="M22" s="133">
        <f>IF(SER_hh_tes!M22=0,0,11630*1000*SER_hh_tes!M22/SER_hh_num!M22)</f>
        <v>13855.955197676903</v>
      </c>
      <c r="N22" s="133">
        <f>IF(SER_hh_tes!N22=0,0,11630*1000*SER_hh_tes!N22/SER_hh_num!N22)</f>
        <v>13049.007489357537</v>
      </c>
      <c r="O22" s="133">
        <f>IF(SER_hh_tes!O22=0,0,11630*1000*SER_hh_tes!O22/SER_hh_num!O22)</f>
        <v>13909.528516424007</v>
      </c>
      <c r="P22" s="133">
        <f>IF(SER_hh_tes!P22=0,0,11630*1000*SER_hh_tes!P22/SER_hh_num!P22)</f>
        <v>14028.012369441145</v>
      </c>
      <c r="Q22" s="133">
        <f>IF(SER_hh_tes!Q22=0,0,11630*1000*SER_hh_tes!Q22/SER_hh_num!Q22)</f>
        <v>14077.947340342122</v>
      </c>
      <c r="R22" s="133">
        <f>IF(SER_hh_tes!R22=0,0,11630*1000*SER_hh_tes!R22/SER_hh_num!R22)</f>
        <v>14203.678870756718</v>
      </c>
      <c r="S22" s="133">
        <f>IF(SER_hh_tes!S22=0,0,11630*1000*SER_hh_tes!S22/SER_hh_num!S22)</f>
        <v>14359.214598659111</v>
      </c>
      <c r="T22" s="133">
        <f>IF(SER_hh_tes!T22=0,0,11630*1000*SER_hh_tes!T22/SER_hh_num!T22)</f>
        <v>13903.303267183512</v>
      </c>
      <c r="U22" s="133">
        <f>IF(SER_hh_tes!U22=0,0,11630*1000*SER_hh_tes!U22/SER_hh_num!U22)</f>
        <v>13585.039155744935</v>
      </c>
      <c r="V22" s="133">
        <f>IF(SER_hh_tes!V22=0,0,11630*1000*SER_hh_tes!V22/SER_hh_num!V22)</f>
        <v>12317.742302938959</v>
      </c>
      <c r="W22" s="133">
        <f>IF(SER_hh_tes!W22=0,0,11630*1000*SER_hh_tes!W22/SER_hh_num!W22)</f>
        <v>13361.356069683055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13003.652076245531</v>
      </c>
      <c r="C23" s="133">
        <f>IF(SER_hh_tes!C23=0,0,11630*1000*SER_hh_tes!C23/SER_hh_num!C23)</f>
        <v>13082.163727741314</v>
      </c>
      <c r="D23" s="133">
        <f>IF(SER_hh_tes!D23=0,0,11630*1000*SER_hh_tes!D23/SER_hh_num!D23)</f>
        <v>13104.603917854905</v>
      </c>
      <c r="E23" s="133">
        <f>IF(SER_hh_tes!E23=0,0,11630*1000*SER_hh_tes!E23/SER_hh_num!E23)</f>
        <v>13111.528586223947</v>
      </c>
      <c r="F23" s="133">
        <f>IF(SER_hh_tes!F23=0,0,11630*1000*SER_hh_tes!F23/SER_hh_num!F23)</f>
        <v>13239.6716495868</v>
      </c>
      <c r="G23" s="133">
        <f>IF(SER_hh_tes!G23=0,0,11630*1000*SER_hh_tes!G23/SER_hh_num!G23)</f>
        <v>13477.406324256808</v>
      </c>
      <c r="H23" s="133">
        <f>IF(SER_hh_tes!H23=0,0,11630*1000*SER_hh_tes!H23/SER_hh_num!H23)</f>
        <v>13717.946577243038</v>
      </c>
      <c r="I23" s="133">
        <f>IF(SER_hh_tes!I23=0,0,11630*1000*SER_hh_tes!I23/SER_hh_num!I23)</f>
        <v>13831.112332987224</v>
      </c>
      <c r="J23" s="133">
        <f>IF(SER_hh_tes!J23=0,0,11630*1000*SER_hh_tes!J23/SER_hh_num!J23)</f>
        <v>13852.125728887861</v>
      </c>
      <c r="K23" s="133">
        <f>IF(SER_hh_tes!K23=0,0,11630*1000*SER_hh_tes!K23/SER_hh_num!K23)</f>
        <v>14077.499094039134</v>
      </c>
      <c r="L23" s="133">
        <f>IF(SER_hh_tes!L23=0,0,11630*1000*SER_hh_tes!L23/SER_hh_num!L23)</f>
        <v>13753.982283889165</v>
      </c>
      <c r="M23" s="133">
        <f>IF(SER_hh_tes!M23=0,0,11630*1000*SER_hh_tes!M23/SER_hh_num!M23)</f>
        <v>13588.459650560872</v>
      </c>
      <c r="N23" s="133">
        <f>IF(SER_hh_tes!N23=0,0,11630*1000*SER_hh_tes!N23/SER_hh_num!N23)</f>
        <v>13634.511688201319</v>
      </c>
      <c r="O23" s="133">
        <f>IF(SER_hh_tes!O23=0,0,11630*1000*SER_hh_tes!O23/SER_hh_num!O23)</f>
        <v>14055.673871723628</v>
      </c>
      <c r="P23" s="133">
        <f>IF(SER_hh_tes!P23=0,0,11630*1000*SER_hh_tes!P23/SER_hh_num!P23)</f>
        <v>14093.313583571469</v>
      </c>
      <c r="Q23" s="133">
        <f>IF(SER_hh_tes!Q23=0,0,11630*1000*SER_hh_tes!Q23/SER_hh_num!Q23)</f>
        <v>14501.538656716253</v>
      </c>
      <c r="R23" s="133">
        <f>IF(SER_hh_tes!R23=0,0,11630*1000*SER_hh_tes!R23/SER_hh_num!R23)</f>
        <v>14495.030626759861</v>
      </c>
      <c r="S23" s="133">
        <f>IF(SER_hh_tes!S23=0,0,11630*1000*SER_hh_tes!S23/SER_hh_num!S23)</f>
        <v>14166.854687938274</v>
      </c>
      <c r="T23" s="133">
        <f>IF(SER_hh_tes!T23=0,0,11630*1000*SER_hh_tes!T23/SER_hh_num!T23)</f>
        <v>13833.241544351153</v>
      </c>
      <c r="U23" s="133">
        <f>IF(SER_hh_tes!U23=0,0,11630*1000*SER_hh_tes!U23/SER_hh_num!U23)</f>
        <v>13448.597848142943</v>
      </c>
      <c r="V23" s="133">
        <f>IF(SER_hh_tes!V23=0,0,11630*1000*SER_hh_tes!V23/SER_hh_num!V23)</f>
        <v>12670.279472534405</v>
      </c>
      <c r="W23" s="133">
        <f>IF(SER_hh_tes!W23=0,0,11630*1000*SER_hh_tes!W23/SER_hh_num!W23)</f>
        <v>13209.491634713435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13048.669765840143</v>
      </c>
      <c r="C24" s="133">
        <f>IF(SER_hh_tes!C24=0,0,11630*1000*SER_hh_tes!C24/SER_hh_num!C24)</f>
        <v>13076.493990912759</v>
      </c>
      <c r="D24" s="133">
        <f>IF(SER_hh_tes!D24=0,0,11630*1000*SER_hh_tes!D24/SER_hh_num!D24)</f>
        <v>13111.503362356625</v>
      </c>
      <c r="E24" s="133">
        <f>IF(SER_hh_tes!E24=0,0,11630*1000*SER_hh_tes!E24/SER_hh_num!E24)</f>
        <v>13120.976929292421</v>
      </c>
      <c r="F24" s="133">
        <f>IF(SER_hh_tes!F24=0,0,11630*1000*SER_hh_tes!F24/SER_hh_num!F24)</f>
        <v>13255.443225447312</v>
      </c>
      <c r="G24" s="133">
        <f>IF(SER_hh_tes!G24=0,0,11630*1000*SER_hh_tes!G24/SER_hh_num!G24)</f>
        <v>13465.554644391494</v>
      </c>
      <c r="H24" s="133">
        <f>IF(SER_hh_tes!H24=0,0,11630*1000*SER_hh_tes!H24/SER_hh_num!H24)</f>
        <v>13758.547522513418</v>
      </c>
      <c r="I24" s="133">
        <f>IF(SER_hh_tes!I24=0,0,11630*1000*SER_hh_tes!I24/SER_hh_num!I24)</f>
        <v>13754.528140861941</v>
      </c>
      <c r="J24" s="133">
        <f>IF(SER_hh_tes!J24=0,0,11630*1000*SER_hh_tes!J24/SER_hh_num!J24)</f>
        <v>13756.289924580313</v>
      </c>
      <c r="K24" s="133">
        <f>IF(SER_hh_tes!K24=0,0,11630*1000*SER_hh_tes!K24/SER_hh_num!K24)</f>
        <v>14042.012911928321</v>
      </c>
      <c r="L24" s="133">
        <f>IF(SER_hh_tes!L24=0,0,11630*1000*SER_hh_tes!L24/SER_hh_num!L24)</f>
        <v>13714.2243389454</v>
      </c>
      <c r="M24" s="133">
        <f>IF(SER_hh_tes!M24=0,0,11630*1000*SER_hh_tes!M24/SER_hh_num!M24)</f>
        <v>13645.014111144314</v>
      </c>
      <c r="N24" s="133">
        <f>IF(SER_hh_tes!N24=0,0,11630*1000*SER_hh_tes!N24/SER_hh_num!N24)</f>
        <v>13646.444915943295</v>
      </c>
      <c r="O24" s="133">
        <f>IF(SER_hh_tes!O24=0,0,11630*1000*SER_hh_tes!O24/SER_hh_num!O24)</f>
        <v>13964.435273443914</v>
      </c>
      <c r="P24" s="133">
        <f>IF(SER_hh_tes!P24=0,0,11630*1000*SER_hh_tes!P24/SER_hh_num!P24)</f>
        <v>14192.662553858288</v>
      </c>
      <c r="Q24" s="133">
        <f>IF(SER_hh_tes!Q24=0,0,11630*1000*SER_hh_tes!Q24/SER_hh_num!Q24)</f>
        <v>14538.162762773698</v>
      </c>
      <c r="R24" s="133">
        <f>IF(SER_hh_tes!R24=0,0,11630*1000*SER_hh_tes!R24/SER_hh_num!R24)</f>
        <v>14399.187779469254</v>
      </c>
      <c r="S24" s="133">
        <f>IF(SER_hh_tes!S24=0,0,11630*1000*SER_hh_tes!S24/SER_hh_num!S24)</f>
        <v>14153.975218442096</v>
      </c>
      <c r="T24" s="133">
        <f>IF(SER_hh_tes!T24=0,0,11630*1000*SER_hh_tes!T24/SER_hh_num!T24)</f>
        <v>13776.143250435847</v>
      </c>
      <c r="U24" s="133">
        <f>IF(SER_hh_tes!U24=0,0,11630*1000*SER_hh_tes!U24/SER_hh_num!U24)</f>
        <v>13654.523515604644</v>
      </c>
      <c r="V24" s="133">
        <f>IF(SER_hh_tes!V24=0,0,11630*1000*SER_hh_tes!V24/SER_hh_num!V24)</f>
        <v>12468.310012117527</v>
      </c>
      <c r="W24" s="133">
        <f>IF(SER_hh_tes!W24=0,0,11630*1000*SER_hh_tes!W24/SER_hh_num!W24)</f>
        <v>13291.76429703832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13059.67699374398</v>
      </c>
      <c r="C25" s="133">
        <f>IF(SER_hh_tes!C25=0,0,11630*1000*SER_hh_tes!C25/SER_hh_num!C25)</f>
        <v>13081.644425998271</v>
      </c>
      <c r="D25" s="133">
        <f>IF(SER_hh_tes!D25=0,0,11630*1000*SER_hh_tes!D25/SER_hh_num!D25)</f>
        <v>13267.433628612034</v>
      </c>
      <c r="E25" s="133">
        <f>IF(SER_hh_tes!E25=0,0,11630*1000*SER_hh_tes!E25/SER_hh_num!E25)</f>
        <v>13103.50928710683</v>
      </c>
      <c r="F25" s="133">
        <f>IF(SER_hh_tes!F25=0,0,11630*1000*SER_hh_tes!F25/SER_hh_num!F25)</f>
        <v>12984.889852589467</v>
      </c>
      <c r="G25" s="133">
        <f>IF(SER_hh_tes!G25=0,0,11630*1000*SER_hh_tes!G25/SER_hh_num!G25)</f>
        <v>12690.103212040849</v>
      </c>
      <c r="H25" s="133">
        <f>IF(SER_hh_tes!H25=0,0,11630*1000*SER_hh_tes!H25/SER_hh_num!H25)</f>
        <v>13462.97712494235</v>
      </c>
      <c r="I25" s="133">
        <f>IF(SER_hh_tes!I25=0,0,11630*1000*SER_hh_tes!I25/SER_hh_num!I25)</f>
        <v>13925.113680235121</v>
      </c>
      <c r="J25" s="133">
        <f>IF(SER_hh_tes!J25=0,0,11630*1000*SER_hh_tes!J25/SER_hh_num!J25)</f>
        <v>13713.446079263442</v>
      </c>
      <c r="K25" s="133">
        <f>IF(SER_hh_tes!K25=0,0,11630*1000*SER_hh_tes!K25/SER_hh_num!K25)</f>
        <v>14234.87802466291</v>
      </c>
      <c r="L25" s="133">
        <f>IF(SER_hh_tes!L25=0,0,11630*1000*SER_hh_tes!L25/SER_hh_num!L25)</f>
        <v>14109.771833985744</v>
      </c>
      <c r="M25" s="133">
        <f>IF(SER_hh_tes!M25=0,0,11630*1000*SER_hh_tes!M25/SER_hh_num!M25)</f>
        <v>13613.368113249713</v>
      </c>
      <c r="N25" s="133">
        <f>IF(SER_hh_tes!N25=0,0,11630*1000*SER_hh_tes!N25/SER_hh_num!N25)</f>
        <v>13702.724975015948</v>
      </c>
      <c r="O25" s="133">
        <f>IF(SER_hh_tes!O25=0,0,11630*1000*SER_hh_tes!O25/SER_hh_num!O25)</f>
        <v>13891.78977962544</v>
      </c>
      <c r="P25" s="133">
        <f>IF(SER_hh_tes!P25=0,0,11630*1000*SER_hh_tes!P25/SER_hh_num!P25)</f>
        <v>14312.424773236615</v>
      </c>
      <c r="Q25" s="133">
        <f>IF(SER_hh_tes!Q25=0,0,11630*1000*SER_hh_tes!Q25/SER_hh_num!Q25)</f>
        <v>14549.012689295381</v>
      </c>
      <c r="R25" s="133">
        <f>IF(SER_hh_tes!R25=0,0,11630*1000*SER_hh_tes!R25/SER_hh_num!R25)</f>
        <v>14460.244138450489</v>
      </c>
      <c r="S25" s="133">
        <f>IF(SER_hh_tes!S25=0,0,11630*1000*SER_hh_tes!S25/SER_hh_num!S25)</f>
        <v>14036.965393768416</v>
      </c>
      <c r="T25" s="133">
        <f>IF(SER_hh_tes!T25=0,0,11630*1000*SER_hh_tes!T25/SER_hh_num!T25)</f>
        <v>13723.783305865532</v>
      </c>
      <c r="U25" s="133">
        <f>IF(SER_hh_tes!U25=0,0,11630*1000*SER_hh_tes!U25/SER_hh_num!U25)</f>
        <v>13524.032739432228</v>
      </c>
      <c r="V25" s="133">
        <f>IF(SER_hh_tes!V25=0,0,11630*1000*SER_hh_tes!V25/SER_hh_num!V25)</f>
        <v>13020.661326134385</v>
      </c>
      <c r="W25" s="133">
        <f>IF(SER_hh_tes!W25=0,0,11630*1000*SER_hh_tes!W25/SER_hh_num!W25)</f>
        <v>13584.433691607073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8959.9213636777713</v>
      </c>
      <c r="C26" s="65">
        <f>IF(SER_hh_tes!C26=0,0,11630*1000*SER_hh_tes!C26/SER_hh_num!C26)</f>
        <v>9052.7955818197697</v>
      </c>
      <c r="D26" s="65">
        <f>IF(SER_hh_tes!D26=0,0,11630*1000*SER_hh_tes!D26/SER_hh_num!D26)</f>
        <v>8940.6444877200756</v>
      </c>
      <c r="E26" s="65">
        <f>IF(SER_hh_tes!E26=0,0,11630*1000*SER_hh_tes!E26/SER_hh_num!E26)</f>
        <v>8287.1469857746142</v>
      </c>
      <c r="F26" s="65">
        <f>IF(SER_hh_tes!F26=0,0,11630*1000*SER_hh_tes!F26/SER_hh_num!F26)</f>
        <v>8082.1562143548754</v>
      </c>
      <c r="G26" s="65">
        <f>IF(SER_hh_tes!G26=0,0,11630*1000*SER_hh_tes!G26/SER_hh_num!G26)</f>
        <v>9875.7996990275806</v>
      </c>
      <c r="H26" s="65">
        <f>IF(SER_hh_tes!H26=0,0,11630*1000*SER_hh_tes!H26/SER_hh_num!H26)</f>
        <v>10672.209233474272</v>
      </c>
      <c r="I26" s="65">
        <f>IF(SER_hh_tes!I26=0,0,11630*1000*SER_hh_tes!I26/SER_hh_num!I26)</f>
        <v>9712.6535229774781</v>
      </c>
      <c r="J26" s="65">
        <f>IF(SER_hh_tes!J26=0,0,11630*1000*SER_hh_tes!J26/SER_hh_num!J26)</f>
        <v>8156.9210991366308</v>
      </c>
      <c r="K26" s="65">
        <f>IF(SER_hh_tes!K26=0,0,11630*1000*SER_hh_tes!K26/SER_hh_num!K26)</f>
        <v>12164.802502518422</v>
      </c>
      <c r="L26" s="65">
        <f>IF(SER_hh_tes!L26=0,0,11630*1000*SER_hh_tes!L26/SER_hh_num!L26)</f>
        <v>6545.8269781302088</v>
      </c>
      <c r="M26" s="65">
        <f>IF(SER_hh_tes!M26=0,0,11630*1000*SER_hh_tes!M26/SER_hh_num!M26)</f>
        <v>6201.351814129348</v>
      </c>
      <c r="N26" s="65">
        <f>IF(SER_hh_tes!N26=0,0,11630*1000*SER_hh_tes!N26/SER_hh_num!N26)</f>
        <v>6015.3411060581384</v>
      </c>
      <c r="O26" s="65">
        <f>IF(SER_hh_tes!O26=0,0,11630*1000*SER_hh_tes!O26/SER_hh_num!O26)</f>
        <v>7593.8689061873547</v>
      </c>
      <c r="P26" s="65">
        <f>IF(SER_hh_tes!P26=0,0,11630*1000*SER_hh_tes!P26/SER_hh_num!P26)</f>
        <v>7117.0113342246568</v>
      </c>
      <c r="Q26" s="65">
        <f>IF(SER_hh_tes!Q26=0,0,11630*1000*SER_hh_tes!Q26/SER_hh_num!Q26)</f>
        <v>8194.3939015575106</v>
      </c>
      <c r="R26" s="65">
        <f>IF(SER_hh_tes!R26=0,0,11630*1000*SER_hh_tes!R26/SER_hh_num!R26)</f>
        <v>9115.1083818536263</v>
      </c>
      <c r="S26" s="65">
        <f>IF(SER_hh_tes!S26=0,0,11630*1000*SER_hh_tes!S26/SER_hh_num!S26)</f>
        <v>8081.5556318755598</v>
      </c>
      <c r="T26" s="65">
        <f>IF(SER_hh_tes!T26=0,0,11630*1000*SER_hh_tes!T26/SER_hh_num!T26)</f>
        <v>6483.4264939899886</v>
      </c>
      <c r="U26" s="65">
        <f>IF(SER_hh_tes!U26=0,0,11630*1000*SER_hh_tes!U26/SER_hh_num!U26)</f>
        <v>6681.2335732545544</v>
      </c>
      <c r="V26" s="65">
        <f>IF(SER_hh_tes!V26=0,0,11630*1000*SER_hh_tes!V26/SER_hh_num!V26)</f>
        <v>5547.1991202123827</v>
      </c>
      <c r="W26" s="65">
        <f>IF(SER_hh_tes!W26=0,0,11630*1000*SER_hh_tes!W26/SER_hh_num!W26)</f>
        <v>6504.9496129573909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2020.7470637351228</v>
      </c>
      <c r="C27" s="146">
        <f>IF(SER_hh_tes!C27=0,0,11630*1000*SER_hh_tes!C27/SER_hh_num!C19)</f>
        <v>2092.6498437861705</v>
      </c>
      <c r="D27" s="146">
        <f>IF(SER_hh_tes!D27=0,0,11630*1000*SER_hh_tes!D27/SER_hh_num!D19)</f>
        <v>2102.8822005040324</v>
      </c>
      <c r="E27" s="146">
        <f>IF(SER_hh_tes!E27=0,0,11630*1000*SER_hh_tes!E27/SER_hh_num!E19)</f>
        <v>2507.5380473422633</v>
      </c>
      <c r="F27" s="146">
        <f>IF(SER_hh_tes!F27=0,0,11630*1000*SER_hh_tes!F27/SER_hh_num!F19)</f>
        <v>2578.1682827819391</v>
      </c>
      <c r="G27" s="146">
        <f>IF(SER_hh_tes!G27=0,0,11630*1000*SER_hh_tes!G27/SER_hh_num!G19)</f>
        <v>2348.5641220518569</v>
      </c>
      <c r="H27" s="146">
        <f>IF(SER_hh_tes!H27=0,0,11630*1000*SER_hh_tes!H27/SER_hh_num!H19)</f>
        <v>1753.3538894536418</v>
      </c>
      <c r="I27" s="146">
        <f>IF(SER_hh_tes!I27=0,0,11630*1000*SER_hh_tes!I27/SER_hh_num!I19)</f>
        <v>2057.9841141866318</v>
      </c>
      <c r="J27" s="146">
        <f>IF(SER_hh_tes!J27=0,0,11630*1000*SER_hh_tes!J27/SER_hh_num!J19)</f>
        <v>2713.633517319362</v>
      </c>
      <c r="K27" s="146">
        <f>IF(SER_hh_tes!K27=0,0,11630*1000*SER_hh_tes!K27/SER_hh_num!K19)</f>
        <v>1536.7313656548708</v>
      </c>
      <c r="L27" s="146">
        <f>IF(SER_hh_tes!L27=0,0,11630*1000*SER_hh_tes!L27/SER_hh_num!L19)</f>
        <v>3528.2329908467773</v>
      </c>
      <c r="M27" s="146">
        <f>IF(SER_hh_tes!M27=0,0,11630*1000*SER_hh_tes!M27/SER_hh_num!M19)</f>
        <v>4025.3817392743322</v>
      </c>
      <c r="N27" s="146">
        <f>IF(SER_hh_tes!N27=0,0,11630*1000*SER_hh_tes!N27/SER_hh_num!N19)</f>
        <v>4248.907481628492</v>
      </c>
      <c r="O27" s="146">
        <f>IF(SER_hh_tes!O27=0,0,11630*1000*SER_hh_tes!O27/SER_hh_num!O19)</f>
        <v>3688.1365650035582</v>
      </c>
      <c r="P27" s="146">
        <f>IF(SER_hh_tes!P27=0,0,11630*1000*SER_hh_tes!P27/SER_hh_num!P19)</f>
        <v>4116.2618175455345</v>
      </c>
      <c r="Q27" s="146">
        <f>IF(SER_hh_tes!Q27=0,0,11630*1000*SER_hh_tes!Q27/SER_hh_num!Q19)</f>
        <v>3513.9332984934836</v>
      </c>
      <c r="R27" s="146">
        <f>IF(SER_hh_tes!R27=0,0,11630*1000*SER_hh_tes!R27/SER_hh_num!R19)</f>
        <v>3226.6697255756044</v>
      </c>
      <c r="S27" s="146">
        <f>IF(SER_hh_tes!S27=0,0,11630*1000*SER_hh_tes!S27/SER_hh_num!S19)</f>
        <v>3744.1793693912941</v>
      </c>
      <c r="T27" s="146">
        <f>IF(SER_hh_tes!T27=0,0,11630*1000*SER_hh_tes!T27/SER_hh_num!T19)</f>
        <v>4303.0490261985196</v>
      </c>
      <c r="U27" s="146">
        <f>IF(SER_hh_tes!U27=0,0,11630*1000*SER_hh_tes!U27/SER_hh_num!U19)</f>
        <v>4006.9927407668461</v>
      </c>
      <c r="V27" s="146">
        <f>IF(SER_hh_tes!V27=0,0,11630*1000*SER_hh_tes!V27/SER_hh_num!V19)</f>
        <v>4337.6774677900203</v>
      </c>
      <c r="W27" s="146">
        <f>IF(SER_hh_tes!W27=0,0,11630*1000*SER_hh_tes!W27/SER_hh_num!W19)</f>
        <v>3300.3388240658965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8571.98651782669</v>
      </c>
      <c r="C28" s="147">
        <f>IF(SER_hh_tes!C27=0,0,11630*1000*SER_hh_tes!C27/SER_hh_num!C27)</f>
        <v>8695.7328334357862</v>
      </c>
      <c r="D28" s="147">
        <f>IF(SER_hh_tes!D27=0,0,11630*1000*SER_hh_tes!D27/SER_hh_num!D27)</f>
        <v>8673.0695669766865</v>
      </c>
      <c r="E28" s="147">
        <f>IF(SER_hh_tes!E27=0,0,11630*1000*SER_hh_tes!E27/SER_hh_num!E27)</f>
        <v>8818.8919249726405</v>
      </c>
      <c r="F28" s="147">
        <f>IF(SER_hh_tes!F27=0,0,11630*1000*SER_hh_tes!F27/SER_hh_num!F27)</f>
        <v>8816.7454785041064</v>
      </c>
      <c r="G28" s="147">
        <f>IF(SER_hh_tes!G27=0,0,11630*1000*SER_hh_tes!G27/SER_hh_num!G27)</f>
        <v>9007.096852728233</v>
      </c>
      <c r="H28" s="147">
        <f>IF(SER_hh_tes!H27=0,0,11630*1000*SER_hh_tes!H27/SER_hh_num!H27)</f>
        <v>9868.7209686440383</v>
      </c>
      <c r="I28" s="147">
        <f>IF(SER_hh_tes!I27=0,0,11630*1000*SER_hh_tes!I27/SER_hh_num!I27)</f>
        <v>9773.5303061397353</v>
      </c>
      <c r="J28" s="147">
        <f>IF(SER_hh_tes!J27=0,0,11630*1000*SER_hh_tes!J27/SER_hh_num!J27)</f>
        <v>9773.5526101494779</v>
      </c>
      <c r="K28" s="147">
        <f>IF(SER_hh_tes!K27=0,0,11630*1000*SER_hh_tes!K27/SER_hh_num!K27)</f>
        <v>9688.9965400744641</v>
      </c>
      <c r="L28" s="147">
        <f>IF(SER_hh_tes!L27=0,0,11630*1000*SER_hh_tes!L27/SER_hh_num!L27)</f>
        <v>14995.453968147882</v>
      </c>
      <c r="M28" s="147">
        <f>IF(SER_hh_tes!M27=0,0,11630*1000*SER_hh_tes!M27/SER_hh_num!M27)</f>
        <v>12768.209066087451</v>
      </c>
      <c r="N28" s="147">
        <f>IF(SER_hh_tes!N27=0,0,11630*1000*SER_hh_tes!N27/SER_hh_num!N27)</f>
        <v>10556.667344468175</v>
      </c>
      <c r="O28" s="147">
        <f>IF(SER_hh_tes!O27=0,0,11630*1000*SER_hh_tes!O27/SER_hh_num!O27)</f>
        <v>10969.958508100428</v>
      </c>
      <c r="P28" s="147">
        <f>IF(SER_hh_tes!P27=0,0,11630*1000*SER_hh_tes!P27/SER_hh_num!P27)</f>
        <v>11198.88227641979</v>
      </c>
      <c r="Q28" s="147">
        <f>IF(SER_hh_tes!Q27=0,0,11630*1000*SER_hh_tes!Q27/SER_hh_num!Q27)</f>
        <v>12086.328161893158</v>
      </c>
      <c r="R28" s="147">
        <f>IF(SER_hh_tes!R27=0,0,11630*1000*SER_hh_tes!R27/SER_hh_num!R27)</f>
        <v>12421.413330978139</v>
      </c>
      <c r="S28" s="147">
        <f>IF(SER_hh_tes!S27=0,0,11630*1000*SER_hh_tes!S27/SER_hh_num!S27)</f>
        <v>11768.174211296817</v>
      </c>
      <c r="T28" s="147">
        <f>IF(SER_hh_tes!T27=0,0,11630*1000*SER_hh_tes!T27/SER_hh_num!T27)</f>
        <v>11260.136681826194</v>
      </c>
      <c r="U28" s="147">
        <f>IF(SER_hh_tes!U27=0,0,11630*1000*SER_hh_tes!U27/SER_hh_num!U27)</f>
        <v>10685.610875730008</v>
      </c>
      <c r="V28" s="147">
        <f>IF(SER_hh_tes!V27=0,0,11630*1000*SER_hh_tes!V27/SER_hh_num!V27)</f>
        <v>10194.387245508693</v>
      </c>
      <c r="W28" s="147">
        <f>IF(SER_hh_tes!W27=0,0,11630*1000*SER_hh_tes!W27/SER_hh_num!W27)</f>
        <v>9753.2812548520069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11048.559839473575</v>
      </c>
      <c r="C29" s="131">
        <f>IF(SER_hh_tes!C29=0,0,11630*1000*SER_hh_tes!C29/SER_hh_num!C29)</f>
        <v>11365.269054642977</v>
      </c>
      <c r="D29" s="131">
        <f>IF(SER_hh_tes!D29=0,0,11630*1000*SER_hh_tes!D29/SER_hh_num!D29)</f>
        <v>11839.641727378526</v>
      </c>
      <c r="E29" s="131">
        <f>IF(SER_hh_tes!E29=0,0,11630*1000*SER_hh_tes!E29/SER_hh_num!E29)</f>
        <v>12251.087246500329</v>
      </c>
      <c r="F29" s="131">
        <f>IF(SER_hh_tes!F29=0,0,11630*1000*SER_hh_tes!F29/SER_hh_num!F29)</f>
        <v>12323.604168048691</v>
      </c>
      <c r="G29" s="131">
        <f>IF(SER_hh_tes!G29=0,0,11630*1000*SER_hh_tes!G29/SER_hh_num!G29)</f>
        <v>12307.167503879431</v>
      </c>
      <c r="H29" s="131">
        <f>IF(SER_hh_tes!H29=0,0,11630*1000*SER_hh_tes!H29/SER_hh_num!H29)</f>
        <v>12178.830483126165</v>
      </c>
      <c r="I29" s="131">
        <f>IF(SER_hh_tes!I29=0,0,11630*1000*SER_hh_tes!I29/SER_hh_num!I29)</f>
        <v>12033.018367931463</v>
      </c>
      <c r="J29" s="131">
        <f>IF(SER_hh_tes!J29=0,0,11630*1000*SER_hh_tes!J29/SER_hh_num!J29)</f>
        <v>11985.991061466226</v>
      </c>
      <c r="K29" s="131">
        <f>IF(SER_hh_tes!K29=0,0,11630*1000*SER_hh_tes!K29/SER_hh_num!K29)</f>
        <v>12400.841394923269</v>
      </c>
      <c r="L29" s="131">
        <f>IF(SER_hh_tes!L29=0,0,11630*1000*SER_hh_tes!L29/SER_hh_num!L29)</f>
        <v>12392.521454468793</v>
      </c>
      <c r="M29" s="131">
        <f>IF(SER_hh_tes!M29=0,0,11630*1000*SER_hh_tes!M29/SER_hh_num!M29)</f>
        <v>12415.425941251804</v>
      </c>
      <c r="N29" s="131">
        <f>IF(SER_hh_tes!N29=0,0,11630*1000*SER_hh_tes!N29/SER_hh_num!N29)</f>
        <v>12573.522145991665</v>
      </c>
      <c r="O29" s="131">
        <f>IF(SER_hh_tes!O29=0,0,11630*1000*SER_hh_tes!O29/SER_hh_num!O29)</f>
        <v>12537.730621604363</v>
      </c>
      <c r="P29" s="131">
        <f>IF(SER_hh_tes!P29=0,0,11630*1000*SER_hh_tes!P29/SER_hh_num!P29)</f>
        <v>12626.85195223928</v>
      </c>
      <c r="Q29" s="131">
        <f>IF(SER_hh_tes!Q29=0,0,11630*1000*SER_hh_tes!Q29/SER_hh_num!Q29)</f>
        <v>12615.232145136046</v>
      </c>
      <c r="R29" s="131">
        <f>IF(SER_hh_tes!R29=0,0,11630*1000*SER_hh_tes!R29/SER_hh_num!R29)</f>
        <v>12651.604205417685</v>
      </c>
      <c r="S29" s="131">
        <f>IF(SER_hh_tes!S29=0,0,11630*1000*SER_hh_tes!S29/SER_hh_num!S29)</f>
        <v>12573.580990424411</v>
      </c>
      <c r="T29" s="131">
        <f>IF(SER_hh_tes!T29=0,0,11630*1000*SER_hh_tes!T29/SER_hh_num!T29)</f>
        <v>12505.627122792364</v>
      </c>
      <c r="U29" s="131">
        <f>IF(SER_hh_tes!U29=0,0,11630*1000*SER_hh_tes!U29/SER_hh_num!U29)</f>
        <v>12465.689864275595</v>
      </c>
      <c r="V29" s="131">
        <f>IF(SER_hh_tes!V29=0,0,11630*1000*SER_hh_tes!V29/SER_hh_num!V29)</f>
        <v>11919.988062016067</v>
      </c>
      <c r="W29" s="131">
        <f>IF(SER_hh_tes!W29=0,0,11630*1000*SER_hh_tes!W29/SER_hh_num!W29)</f>
        <v>12277.163353840335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4110.4989182644294</v>
      </c>
      <c r="C30" s="133">
        <f>IF(SER_hh_tes!C30=0,0,11630*1000*SER_hh_tes!C30/SER_hh_num!C30)</f>
        <v>6470.6816875472332</v>
      </c>
      <c r="D30" s="133">
        <f>IF(SER_hh_tes!D30=0,0,11630*1000*SER_hh_tes!D30/SER_hh_num!D30)</f>
        <v>13386.157403594665</v>
      </c>
      <c r="E30" s="133">
        <f>IF(SER_hh_tes!E30=0,0,11630*1000*SER_hh_tes!E30/SER_hh_num!E30)</f>
        <v>14017.854205144668</v>
      </c>
      <c r="F30" s="133">
        <f>IF(SER_hh_tes!F30=0,0,11630*1000*SER_hh_tes!F30/SER_hh_num!F30)</f>
        <v>16759.338763171741</v>
      </c>
      <c r="G30" s="133">
        <f>IF(SER_hh_tes!G30=0,0,11630*1000*SER_hh_tes!G30/SER_hh_num!G30)</f>
        <v>12453.128056769781</v>
      </c>
      <c r="H30" s="133">
        <f>IF(SER_hh_tes!H30=0,0,11630*1000*SER_hh_tes!H30/SER_hh_num!H30)</f>
        <v>13257.654324480203</v>
      </c>
      <c r="I30" s="133">
        <f>IF(SER_hh_tes!I30=0,0,11630*1000*SER_hh_tes!I30/SER_hh_num!I30)</f>
        <v>11095.66396772316</v>
      </c>
      <c r="J30" s="133">
        <f>IF(SER_hh_tes!J30=0,0,11630*1000*SER_hh_tes!J30/SER_hh_num!J30)</f>
        <v>8284.2045998971025</v>
      </c>
      <c r="K30" s="133">
        <f>IF(SER_hh_tes!K30=0,0,11630*1000*SER_hh_tes!K30/SER_hh_num!K30)</f>
        <v>10358.545039814215</v>
      </c>
      <c r="L30" s="133">
        <f>IF(SER_hh_tes!L30=0,0,11630*1000*SER_hh_tes!L30/SER_hh_num!L30)</f>
        <v>17265.543384629706</v>
      </c>
      <c r="M30" s="133">
        <f>IF(SER_hh_tes!M30=0,0,11630*1000*SER_hh_tes!M30/SER_hh_num!M30)</f>
        <v>16932.373727227037</v>
      </c>
      <c r="N30" s="133">
        <f>IF(SER_hh_tes!N30=0,0,11630*1000*SER_hh_tes!N30/SER_hh_num!N30)</f>
        <v>2987.7429361614695</v>
      </c>
      <c r="O30" s="133">
        <f>IF(SER_hh_tes!O30=0,0,11630*1000*SER_hh_tes!O30/SER_hh_num!O30)</f>
        <v>6257.2860686857211</v>
      </c>
      <c r="P30" s="133">
        <f>IF(SER_hh_tes!P30=0,0,11630*1000*SER_hh_tes!P30/SER_hh_num!P30)</f>
        <v>11595.701961274197</v>
      </c>
      <c r="Q30" s="133">
        <f>IF(SER_hh_tes!Q30=0,0,11630*1000*SER_hh_tes!Q30/SER_hh_num!Q30)</f>
        <v>11507.018217987061</v>
      </c>
      <c r="R30" s="133">
        <f>IF(SER_hh_tes!R30=0,0,11630*1000*SER_hh_tes!R30/SER_hh_num!R30)</f>
        <v>8473.3216281030727</v>
      </c>
      <c r="S30" s="133">
        <f>IF(SER_hh_tes!S30=0,0,11630*1000*SER_hh_tes!S30/SER_hh_num!S30)</f>
        <v>15593.690862674623</v>
      </c>
      <c r="T30" s="133">
        <f>IF(SER_hh_tes!T30=0,0,11630*1000*SER_hh_tes!T30/SER_hh_num!T30)</f>
        <v>12563.09346440729</v>
      </c>
      <c r="U30" s="133">
        <f>IF(SER_hh_tes!U30=0,0,11630*1000*SER_hh_tes!U30/SER_hh_num!U30)</f>
        <v>12494.052372862261</v>
      </c>
      <c r="V30" s="133">
        <f>IF(SER_hh_tes!V30=0,0,11630*1000*SER_hh_tes!V30/SER_hh_num!V30)</f>
        <v>11626.539043781482</v>
      </c>
      <c r="W30" s="133">
        <f>IF(SER_hh_tes!W30=0,0,11630*1000*SER_hh_tes!W30/SER_hh_num!W30)</f>
        <v>12732.418841462078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10691.245163318335</v>
      </c>
      <c r="C31" s="133">
        <f>IF(SER_hh_tes!C31=0,0,11630*1000*SER_hh_tes!C31/SER_hh_num!C31)</f>
        <v>11473.364203646872</v>
      </c>
      <c r="D31" s="133">
        <f>IF(SER_hh_tes!D31=0,0,11630*1000*SER_hh_tes!D31/SER_hh_num!D31)</f>
        <v>11938.605149257417</v>
      </c>
      <c r="E31" s="133">
        <f>IF(SER_hh_tes!E31=0,0,11630*1000*SER_hh_tes!E31/SER_hh_num!E31)</f>
        <v>12108.083333689334</v>
      </c>
      <c r="F31" s="133">
        <f>IF(SER_hh_tes!F31=0,0,11630*1000*SER_hh_tes!F31/SER_hh_num!F31)</f>
        <v>12416.741699178303</v>
      </c>
      <c r="G31" s="133">
        <f>IF(SER_hh_tes!G31=0,0,11630*1000*SER_hh_tes!G31/SER_hh_num!G31)</f>
        <v>12358.683633243632</v>
      </c>
      <c r="H31" s="133">
        <f>IF(SER_hh_tes!H31=0,0,11630*1000*SER_hh_tes!H31/SER_hh_num!H31)</f>
        <v>12199.423743801091</v>
      </c>
      <c r="I31" s="133">
        <f>IF(SER_hh_tes!I31=0,0,11630*1000*SER_hh_tes!I31/SER_hh_num!I31)</f>
        <v>12049.679449147983</v>
      </c>
      <c r="J31" s="133">
        <f>IF(SER_hh_tes!J31=0,0,11630*1000*SER_hh_tes!J31/SER_hh_num!J31)</f>
        <v>12057.343246404556</v>
      </c>
      <c r="K31" s="133">
        <f>IF(SER_hh_tes!K31=0,0,11630*1000*SER_hh_tes!K31/SER_hh_num!K31)</f>
        <v>12366.39907931802</v>
      </c>
      <c r="L31" s="133">
        <f>IF(SER_hh_tes!L31=0,0,11630*1000*SER_hh_tes!L31/SER_hh_num!L31)</f>
        <v>12476.482912958065</v>
      </c>
      <c r="M31" s="133">
        <f>IF(SER_hh_tes!M31=0,0,11630*1000*SER_hh_tes!M31/SER_hh_num!M31)</f>
        <v>12489.389640336443</v>
      </c>
      <c r="N31" s="133">
        <f>IF(SER_hh_tes!N31=0,0,11630*1000*SER_hh_tes!N31/SER_hh_num!N31)</f>
        <v>12499.700713620397</v>
      </c>
      <c r="O31" s="133">
        <f>IF(SER_hh_tes!O31=0,0,11630*1000*SER_hh_tes!O31/SER_hh_num!O31)</f>
        <v>12520.33569538156</v>
      </c>
      <c r="P31" s="133">
        <f>IF(SER_hh_tes!P31=0,0,11630*1000*SER_hh_tes!P31/SER_hh_num!P31)</f>
        <v>12637.664254456306</v>
      </c>
      <c r="Q31" s="133">
        <f>IF(SER_hh_tes!Q31=0,0,11630*1000*SER_hh_tes!Q31/SER_hh_num!Q31)</f>
        <v>12647.1247658181</v>
      </c>
      <c r="R31" s="133">
        <f>IF(SER_hh_tes!R31=0,0,11630*1000*SER_hh_tes!R31/SER_hh_num!R31)</f>
        <v>12597.742187207545</v>
      </c>
      <c r="S31" s="133">
        <f>IF(SER_hh_tes!S31=0,0,11630*1000*SER_hh_tes!S31/SER_hh_num!S31)</f>
        <v>12510.289342111226</v>
      </c>
      <c r="T31" s="133">
        <f>IF(SER_hh_tes!T31=0,0,11630*1000*SER_hh_tes!T31/SER_hh_num!T31)</f>
        <v>12472.388353965258</v>
      </c>
      <c r="U31" s="133">
        <f>IF(SER_hh_tes!U31=0,0,11630*1000*SER_hh_tes!U31/SER_hh_num!U31)</f>
        <v>12748.709246112381</v>
      </c>
      <c r="V31" s="133">
        <f>IF(SER_hh_tes!V31=0,0,11630*1000*SER_hh_tes!V31/SER_hh_num!V31)</f>
        <v>11777.609870519758</v>
      </c>
      <c r="W31" s="133">
        <f>IF(SER_hh_tes!W31=0,0,11630*1000*SER_hh_tes!W31/SER_hh_num!W31)</f>
        <v>11907.086178514812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11145.912566865252</v>
      </c>
      <c r="C32" s="133">
        <f>IF(SER_hh_tes!C32=0,0,11630*1000*SER_hh_tes!C32/SER_hh_num!C32)</f>
        <v>11211.426709292444</v>
      </c>
      <c r="D32" s="133">
        <f>IF(SER_hh_tes!D32=0,0,11630*1000*SER_hh_tes!D32/SER_hh_num!D32)</f>
        <v>12047.437358576964</v>
      </c>
      <c r="E32" s="133">
        <f>IF(SER_hh_tes!E32=0,0,11630*1000*SER_hh_tes!E32/SER_hh_num!E32)</f>
        <v>12160.871031005207</v>
      </c>
      <c r="F32" s="133">
        <f>IF(SER_hh_tes!F32=0,0,11630*1000*SER_hh_tes!F32/SER_hh_num!F32)</f>
        <v>12475.0263894782</v>
      </c>
      <c r="G32" s="133">
        <f>IF(SER_hh_tes!G32=0,0,11630*1000*SER_hh_tes!G32/SER_hh_num!G32)</f>
        <v>12322.311267125253</v>
      </c>
      <c r="H32" s="133">
        <f>IF(SER_hh_tes!H32=0,0,11630*1000*SER_hh_tes!H32/SER_hh_num!H32)</f>
        <v>12173.766019023249</v>
      </c>
      <c r="I32" s="133">
        <f>IF(SER_hh_tes!I32=0,0,11630*1000*SER_hh_tes!I32/SER_hh_num!I32)</f>
        <v>12098.59718785298</v>
      </c>
      <c r="J32" s="133">
        <f>IF(SER_hh_tes!J32=0,0,11630*1000*SER_hh_tes!J32/SER_hh_num!J32)</f>
        <v>11986.921510761207</v>
      </c>
      <c r="K32" s="133">
        <f>IF(SER_hh_tes!K32=0,0,11630*1000*SER_hh_tes!K32/SER_hh_num!K32)</f>
        <v>11974.439172760764</v>
      </c>
      <c r="L32" s="133">
        <f>IF(SER_hh_tes!L32=0,0,11630*1000*SER_hh_tes!L32/SER_hh_num!L32)</f>
        <v>12581.729930208248</v>
      </c>
      <c r="M32" s="133">
        <f>IF(SER_hh_tes!M32=0,0,11630*1000*SER_hh_tes!M32/SER_hh_num!M32)</f>
        <v>12199.257400992065</v>
      </c>
      <c r="N32" s="133">
        <f>IF(SER_hh_tes!N32=0,0,11630*1000*SER_hh_tes!N32/SER_hh_num!N32)</f>
        <v>12541.517775190845</v>
      </c>
      <c r="O32" s="133">
        <f>IF(SER_hh_tes!O32=0,0,11630*1000*SER_hh_tes!O32/SER_hh_num!O32)</f>
        <v>12253.755934845447</v>
      </c>
      <c r="P32" s="133">
        <f>IF(SER_hh_tes!P32=0,0,11630*1000*SER_hh_tes!P32/SER_hh_num!P32)</f>
        <v>12442.023887309917</v>
      </c>
      <c r="Q32" s="133">
        <f>IF(SER_hh_tes!Q32=0,0,11630*1000*SER_hh_tes!Q32/SER_hh_num!Q32)</f>
        <v>12795.277118773949</v>
      </c>
      <c r="R32" s="133">
        <f>IF(SER_hh_tes!R32=0,0,11630*1000*SER_hh_tes!R32/SER_hh_num!R32)</f>
        <v>12550.208729119384</v>
      </c>
      <c r="S32" s="133">
        <f>IF(SER_hh_tes!S32=0,0,11630*1000*SER_hh_tes!S32/SER_hh_num!S32)</f>
        <v>12328.618990481871</v>
      </c>
      <c r="T32" s="133">
        <f>IF(SER_hh_tes!T32=0,0,11630*1000*SER_hh_tes!T32/SER_hh_num!T32)</f>
        <v>12307.300744329485</v>
      </c>
      <c r="U32" s="133">
        <f>IF(SER_hh_tes!U32=0,0,11630*1000*SER_hh_tes!U32/SER_hh_num!U32)</f>
        <v>12520.890886373903</v>
      </c>
      <c r="V32" s="133">
        <f>IF(SER_hh_tes!V32=0,0,11630*1000*SER_hh_tes!V32/SER_hh_num!V32)</f>
        <v>12433.177900582883</v>
      </c>
      <c r="W32" s="133">
        <f>IF(SER_hh_tes!W32=0,0,11630*1000*SER_hh_tes!W32/SER_hh_num!W32)</f>
        <v>12257.25766426993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12572.395993069695</v>
      </c>
      <c r="C33" s="68">
        <f>IF(SER_hh_tes!C33=0,0,11630*1000*SER_hh_tes!C33/SER_hh_num!C33)</f>
        <v>12393.447823473876</v>
      </c>
      <c r="D33" s="68">
        <f>IF(SER_hh_tes!D33=0,0,11630*1000*SER_hh_tes!D33/SER_hh_num!D33)</f>
        <v>11301.738665901383</v>
      </c>
      <c r="E33" s="68">
        <f>IF(SER_hh_tes!E33=0,0,11630*1000*SER_hh_tes!E33/SER_hh_num!E33)</f>
        <v>11635.618711982313</v>
      </c>
      <c r="F33" s="68">
        <f>IF(SER_hh_tes!F33=0,0,11630*1000*SER_hh_tes!F33/SER_hh_num!F33)</f>
        <v>10463.657483835565</v>
      </c>
      <c r="G33" s="68">
        <f>IF(SER_hh_tes!G33=0,0,11630*1000*SER_hh_tes!G33/SER_hh_num!G33)</f>
        <v>12218.374094204524</v>
      </c>
      <c r="H33" s="68">
        <f>IF(SER_hh_tes!H33=0,0,11630*1000*SER_hh_tes!H33/SER_hh_num!H33)</f>
        <v>11791.81986561757</v>
      </c>
      <c r="I33" s="68">
        <f>IF(SER_hh_tes!I33=0,0,11630*1000*SER_hh_tes!I33/SER_hh_num!I33)</f>
        <v>12255.807278941244</v>
      </c>
      <c r="J33" s="68">
        <f>IF(SER_hh_tes!J33=0,0,11630*1000*SER_hh_tes!J33/SER_hh_num!J33)</f>
        <v>12839.211925960964</v>
      </c>
      <c r="K33" s="68">
        <f>IF(SER_hh_tes!K33=0,0,11630*1000*SER_hh_tes!K33/SER_hh_num!K33)</f>
        <v>12948.220646384461</v>
      </c>
      <c r="L33" s="68">
        <f>IF(SER_hh_tes!L33=0,0,11630*1000*SER_hh_tes!L33/SER_hh_num!L33)</f>
        <v>11150.233240620992</v>
      </c>
      <c r="M33" s="68">
        <f>IF(SER_hh_tes!M33=0,0,11630*1000*SER_hh_tes!M33/SER_hh_num!M33)</f>
        <v>11458.751924877315</v>
      </c>
      <c r="N33" s="68">
        <f>IF(SER_hh_tes!N33=0,0,11630*1000*SER_hh_tes!N33/SER_hh_num!N33)</f>
        <v>13523.811767688012</v>
      </c>
      <c r="O33" s="68">
        <f>IF(SER_hh_tes!O33=0,0,11630*1000*SER_hh_tes!O33/SER_hh_num!O33)</f>
        <v>12812.573325953812</v>
      </c>
      <c r="P33" s="68">
        <f>IF(SER_hh_tes!P33=0,0,11630*1000*SER_hh_tes!P33/SER_hh_num!P33)</f>
        <v>12643.090341563187</v>
      </c>
      <c r="Q33" s="68">
        <f>IF(SER_hh_tes!Q33=0,0,11630*1000*SER_hh_tes!Q33/SER_hh_num!Q33)</f>
        <v>12616.840365535894</v>
      </c>
      <c r="R33" s="68">
        <f>IF(SER_hh_tes!R33=0,0,11630*1000*SER_hh_tes!R33/SER_hh_num!R33)</f>
        <v>12771.282993432877</v>
      </c>
      <c r="S33" s="68">
        <f>IF(SER_hh_tes!S33=0,0,11630*1000*SER_hh_tes!S33/SER_hh_num!S33)</f>
        <v>12518.882480938275</v>
      </c>
      <c r="T33" s="68">
        <f>IF(SER_hh_tes!T33=0,0,11630*1000*SER_hh_tes!T33/SER_hh_num!T33)</f>
        <v>12524.911426159224</v>
      </c>
      <c r="U33" s="68">
        <f>IF(SER_hh_tes!U33=0,0,11630*1000*SER_hh_tes!U33/SER_hh_num!U33)</f>
        <v>12321.99576674466</v>
      </c>
      <c r="V33" s="68">
        <f>IF(SER_hh_tes!V33=0,0,11630*1000*SER_hh_tes!V33/SER_hh_num!V33)</f>
        <v>11988.033944961217</v>
      </c>
      <c r="W33" s="68">
        <f>IF(SER_hh_tes!W33=0,0,11630*1000*SER_hh_tes!W33/SER_hh_num!W33)</f>
        <v>12442.013049542835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19839.342001107732</v>
      </c>
      <c r="C3" s="126">
        <f>IF(SER_hh_emi!C3=0,0,1000000*SER_hh_emi!C3/SER_hh_num!C3)</f>
        <v>26382.921307278615</v>
      </c>
      <c r="D3" s="126">
        <f>IF(SER_hh_emi!D3=0,0,1000000*SER_hh_emi!D3/SER_hh_num!D3)</f>
        <v>25200.211132045901</v>
      </c>
      <c r="E3" s="126">
        <f>IF(SER_hh_emi!E3=0,0,1000000*SER_hh_emi!E3/SER_hh_num!E3)</f>
        <v>29329.967261293965</v>
      </c>
      <c r="F3" s="126">
        <f>IF(SER_hh_emi!F3=0,0,1000000*SER_hh_emi!F3/SER_hh_num!F3)</f>
        <v>27846.443308758677</v>
      </c>
      <c r="G3" s="126">
        <f>IF(SER_hh_emi!G3=0,0,1000000*SER_hh_emi!G3/SER_hh_num!G3)</f>
        <v>22764.774038260595</v>
      </c>
      <c r="H3" s="126">
        <f>IF(SER_hh_emi!H3=0,0,1000000*SER_hh_emi!H3/SER_hh_num!H3)</f>
        <v>22407.259216768063</v>
      </c>
      <c r="I3" s="126">
        <f>IF(SER_hh_emi!I3=0,0,1000000*SER_hh_emi!I3/SER_hh_num!I3)</f>
        <v>16010.439986505864</v>
      </c>
      <c r="J3" s="126">
        <f>IF(SER_hh_emi!J3=0,0,1000000*SER_hh_emi!J3/SER_hh_num!J3)</f>
        <v>16962.798046418851</v>
      </c>
      <c r="K3" s="126">
        <f>IF(SER_hh_emi!K3=0,0,1000000*SER_hh_emi!K3/SER_hh_num!K3)</f>
        <v>13818.376231084621</v>
      </c>
      <c r="L3" s="126">
        <f>IF(SER_hh_emi!L3=0,0,1000000*SER_hh_emi!L3/SER_hh_num!L3)</f>
        <v>10608.548364851997</v>
      </c>
      <c r="M3" s="126">
        <f>IF(SER_hh_emi!M3=0,0,1000000*SER_hh_emi!M3/SER_hh_num!M3)</f>
        <v>9416.8108324936602</v>
      </c>
      <c r="N3" s="126">
        <f>IF(SER_hh_emi!N3=0,0,1000000*SER_hh_emi!N3/SER_hh_num!N3)</f>
        <v>8522.0610661742503</v>
      </c>
      <c r="O3" s="126">
        <f>IF(SER_hh_emi!O3=0,0,1000000*SER_hh_emi!O3/SER_hh_num!O3)</f>
        <v>8490.4448350836301</v>
      </c>
      <c r="P3" s="126">
        <f>IF(SER_hh_emi!P3=0,0,1000000*SER_hh_emi!P3/SER_hh_num!P3)</f>
        <v>7705.0807332609047</v>
      </c>
      <c r="Q3" s="126">
        <f>IF(SER_hh_emi!Q3=0,0,1000000*SER_hh_emi!Q3/SER_hh_num!Q3)</f>
        <v>8067.2373412423613</v>
      </c>
      <c r="R3" s="126">
        <f>IF(SER_hh_emi!R3=0,0,1000000*SER_hh_emi!R3/SER_hh_num!R3)</f>
        <v>7427.0157312381971</v>
      </c>
      <c r="S3" s="126">
        <f>IF(SER_hh_emi!S3=0,0,1000000*SER_hh_emi!S3/SER_hh_num!S3)</f>
        <v>8490.1336794455437</v>
      </c>
      <c r="T3" s="126">
        <f>IF(SER_hh_emi!T3=0,0,1000000*SER_hh_emi!T3/SER_hh_num!T3)</f>
        <v>7693.0655483377041</v>
      </c>
      <c r="U3" s="126">
        <f>IF(SER_hh_emi!U3=0,0,1000000*SER_hh_emi!U3/SER_hh_num!U3)</f>
        <v>7704.3536081986285</v>
      </c>
      <c r="V3" s="126">
        <f>IF(SER_hh_emi!V3=0,0,1000000*SER_hh_emi!V3/SER_hh_num!V3)</f>
        <v>7325.6528444041523</v>
      </c>
      <c r="W3" s="126">
        <f>IF(SER_hh_emi!W3=0,0,1000000*SER_hh_emi!W3/SER_hh_num!W3)</f>
        <v>8430.579806087273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16613.280311204933</v>
      </c>
      <c r="C4" s="131">
        <f>IF(SER_hh_emi!C4=0,0,1000000*SER_hh_emi!C4/SER_hh_num!C4)</f>
        <v>22899.70699751264</v>
      </c>
      <c r="D4" s="131">
        <f>IF(SER_hh_emi!D4=0,0,1000000*SER_hh_emi!D4/SER_hh_num!D4)</f>
        <v>21118.993023167201</v>
      </c>
      <c r="E4" s="131">
        <f>IF(SER_hh_emi!E4=0,0,1000000*SER_hh_emi!E4/SER_hh_num!E4)</f>
        <v>25005.207536336271</v>
      </c>
      <c r="F4" s="131">
        <f>IF(SER_hh_emi!F4=0,0,1000000*SER_hh_emi!F4/SER_hh_num!F4)</f>
        <v>23301.240770685192</v>
      </c>
      <c r="G4" s="131">
        <f>IF(SER_hh_emi!G4=0,0,1000000*SER_hh_emi!G4/SER_hh_num!G4)</f>
        <v>18577.33830064366</v>
      </c>
      <c r="H4" s="131">
        <f>IF(SER_hh_emi!H4=0,0,1000000*SER_hh_emi!H4/SER_hh_num!H4)</f>
        <v>18415.873383036353</v>
      </c>
      <c r="I4" s="131">
        <f>IF(SER_hh_emi!I4=0,0,1000000*SER_hh_emi!I4/SER_hh_num!I4)</f>
        <v>12476.028958663632</v>
      </c>
      <c r="J4" s="131">
        <f>IF(SER_hh_emi!J4=0,0,1000000*SER_hh_emi!J4/SER_hh_num!J4)</f>
        <v>13736.113938031986</v>
      </c>
      <c r="K4" s="131">
        <f>IF(SER_hh_emi!K4=0,0,1000000*SER_hh_emi!K4/SER_hh_num!K4)</f>
        <v>10440.847955116413</v>
      </c>
      <c r="L4" s="131">
        <f>IF(SER_hh_emi!L4=0,0,1000000*SER_hh_emi!L4/SER_hh_num!L4)</f>
        <v>7137.1025638249648</v>
      </c>
      <c r="M4" s="131">
        <f>IF(SER_hh_emi!M4=0,0,1000000*SER_hh_emi!M4/SER_hh_num!M4)</f>
        <v>6188.7017303978973</v>
      </c>
      <c r="N4" s="131">
        <f>IF(SER_hh_emi!N4=0,0,1000000*SER_hh_emi!N4/SER_hh_num!N4)</f>
        <v>6196.9330306091106</v>
      </c>
      <c r="O4" s="131">
        <f>IF(SER_hh_emi!O4=0,0,1000000*SER_hh_emi!O4/SER_hh_num!O4)</f>
        <v>6176.9465322210281</v>
      </c>
      <c r="P4" s="131">
        <f>IF(SER_hh_emi!P4=0,0,1000000*SER_hh_emi!P4/SER_hh_num!P4)</f>
        <v>5429.5524261934352</v>
      </c>
      <c r="Q4" s="131">
        <f>IF(SER_hh_emi!Q4=0,0,1000000*SER_hh_emi!Q4/SER_hh_num!Q4)</f>
        <v>5813.3395576525345</v>
      </c>
      <c r="R4" s="131">
        <f>IF(SER_hh_emi!R4=0,0,1000000*SER_hh_emi!R4/SER_hh_num!R4)</f>
        <v>5219.9081823357947</v>
      </c>
      <c r="S4" s="131">
        <f>IF(SER_hh_emi!S4=0,0,1000000*SER_hh_emi!S4/SER_hh_num!S4)</f>
        <v>6244.0767384160008</v>
      </c>
      <c r="T4" s="131">
        <f>IF(SER_hh_emi!T4=0,0,1000000*SER_hh_emi!T4/SER_hh_num!T4)</f>
        <v>5499.8598854919128</v>
      </c>
      <c r="U4" s="131">
        <f>IF(SER_hh_emi!U4=0,0,1000000*SER_hh_emi!U4/SER_hh_num!U4)</f>
        <v>5509.5899748852125</v>
      </c>
      <c r="V4" s="131">
        <f>IF(SER_hh_emi!V4=0,0,1000000*SER_hh_emi!V4/SER_hh_num!V4)</f>
        <v>5318.7983911192105</v>
      </c>
      <c r="W4" s="131">
        <f>IF(SER_hh_emi!W4=0,0,1000000*SER_hh_emi!W4/SER_hh_num!W4)</f>
        <v>6377.1867163788211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49728.274873448281</v>
      </c>
      <c r="C5" s="133">
        <f>IF(SER_hh_emi!C5=0,0,1000000*SER_hh_emi!C5/SER_hh_num!C5)</f>
        <v>59628.343590434612</v>
      </c>
      <c r="D5" s="133">
        <f>IF(SER_hh_emi!D5=0,0,1000000*SER_hh_emi!D5/SER_hh_num!D5)</f>
        <v>47960.125570027958</v>
      </c>
      <c r="E5" s="133">
        <f>IF(SER_hh_emi!E5=0,0,1000000*SER_hh_emi!E5/SER_hh_num!E5)</f>
        <v>71154.923382856708</v>
      </c>
      <c r="F5" s="133">
        <f>IF(SER_hh_emi!F5=0,0,1000000*SER_hh_emi!F5/SER_hh_num!F5)</f>
        <v>60868.935224543697</v>
      </c>
      <c r="G5" s="133">
        <f>IF(SER_hh_emi!G5=0,0,1000000*SER_hh_emi!G5/SER_hh_num!G5)</f>
        <v>59151.413644316439</v>
      </c>
      <c r="H5" s="133">
        <f>IF(SER_hh_emi!H5=0,0,1000000*SER_hh_emi!H5/SER_hh_num!H5)</f>
        <v>55514.880026586048</v>
      </c>
      <c r="I5" s="133">
        <f>IF(SER_hh_emi!I5=0,0,1000000*SER_hh_emi!I5/SER_hh_num!I5)</f>
        <v>54037.053341946747</v>
      </c>
      <c r="J5" s="133">
        <f>IF(SER_hh_emi!J5=0,0,1000000*SER_hh_emi!J5/SER_hh_num!J5)</f>
        <v>45227.054494387878</v>
      </c>
      <c r="K5" s="133">
        <f>IF(SER_hh_emi!K5=0,0,1000000*SER_hh_emi!K5/SER_hh_num!K5)</f>
        <v>42286.633158974808</v>
      </c>
      <c r="L5" s="133">
        <f>IF(SER_hh_emi!L5=0,0,1000000*SER_hh_emi!L5/SER_hh_num!L5)</f>
        <v>58602.553588232106</v>
      </c>
      <c r="M5" s="133">
        <f>IF(SER_hh_emi!M5=0,0,1000000*SER_hh_emi!M5/SER_hh_num!M5)</f>
        <v>57842.3520269039</v>
      </c>
      <c r="N5" s="133">
        <f>IF(SER_hh_emi!N5=0,0,1000000*SER_hh_emi!N5/SER_hh_num!N5)</f>
        <v>2634.459285113539</v>
      </c>
      <c r="O5" s="133">
        <f>IF(SER_hh_emi!O5=0,0,1000000*SER_hh_emi!O5/SER_hh_num!O5)</f>
        <v>17929.209215462139</v>
      </c>
      <c r="P5" s="133">
        <f>IF(SER_hh_emi!P5=0,0,1000000*SER_hh_emi!P5/SER_hh_num!P5)</f>
        <v>15468.939005845456</v>
      </c>
      <c r="Q5" s="133">
        <f>IF(SER_hh_emi!Q5=0,0,1000000*SER_hh_emi!Q5/SER_hh_num!Q5)</f>
        <v>19847.630630946027</v>
      </c>
      <c r="R5" s="133">
        <f>IF(SER_hh_emi!R5=0,0,1000000*SER_hh_emi!R5/SER_hh_num!R5)</f>
        <v>0</v>
      </c>
      <c r="S5" s="133">
        <f>IF(SER_hh_emi!S5=0,0,1000000*SER_hh_emi!S5/SER_hh_num!S5)</f>
        <v>0</v>
      </c>
      <c r="T5" s="133">
        <f>IF(SER_hh_emi!T5=0,0,1000000*SER_hh_emi!T5/SER_hh_num!T5)</f>
        <v>0</v>
      </c>
      <c r="U5" s="133">
        <f>IF(SER_hh_emi!U5=0,0,1000000*SER_hh_emi!U5/SER_hh_num!U5)</f>
        <v>0</v>
      </c>
      <c r="V5" s="133">
        <f>IF(SER_hh_emi!V5=0,0,1000000*SER_hh_emi!V5/SER_hh_num!V5)</f>
        <v>0</v>
      </c>
      <c r="W5" s="133">
        <f>IF(SER_hh_emi!W5=0,0,1000000*SER_hh_emi!W5/SER_hh_num!W5)</f>
        <v>0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40959.279794487979</v>
      </c>
      <c r="C7" s="133">
        <f>IF(SER_hh_emi!C7=0,0,1000000*SER_hh_emi!C7/SER_hh_num!C7)</f>
        <v>52298.563717565987</v>
      </c>
      <c r="D7" s="133">
        <f>IF(SER_hh_emi!D7=0,0,1000000*SER_hh_emi!D7/SER_hh_num!D7)</f>
        <v>49815.04654778543</v>
      </c>
      <c r="E7" s="133">
        <f>IF(SER_hh_emi!E7=0,0,1000000*SER_hh_emi!E7/SER_hh_num!E7)</f>
        <v>59693.598610909692</v>
      </c>
      <c r="F7" s="133">
        <f>IF(SER_hh_emi!F7=0,0,1000000*SER_hh_emi!F7/SER_hh_num!F7)</f>
        <v>41800.513383373138</v>
      </c>
      <c r="G7" s="133">
        <f>IF(SER_hh_emi!G7=0,0,1000000*SER_hh_emi!G7/SER_hh_num!G7)</f>
        <v>53098.512183008846</v>
      </c>
      <c r="H7" s="133">
        <f>IF(SER_hh_emi!H7=0,0,1000000*SER_hh_emi!H7/SER_hh_num!H7)</f>
        <v>53749.978381664878</v>
      </c>
      <c r="I7" s="133">
        <f>IF(SER_hh_emi!I7=0,0,1000000*SER_hh_emi!I7/SER_hh_num!I7)</f>
        <v>38036.292856952314</v>
      </c>
      <c r="J7" s="133">
        <f>IF(SER_hh_emi!J7=0,0,1000000*SER_hh_emi!J7/SER_hh_num!J7)</f>
        <v>48718.358061495666</v>
      </c>
      <c r="K7" s="133">
        <f>IF(SER_hh_emi!K7=0,0,1000000*SER_hh_emi!K7/SER_hh_num!K7)</f>
        <v>44506.352933111193</v>
      </c>
      <c r="L7" s="133">
        <f>IF(SER_hh_emi!L7=0,0,1000000*SER_hh_emi!L7/SER_hh_num!L7)</f>
        <v>28030.775110471757</v>
      </c>
      <c r="M7" s="133">
        <f>IF(SER_hh_emi!M7=0,0,1000000*SER_hh_emi!M7/SER_hh_num!M7)</f>
        <v>34345.86445046468</v>
      </c>
      <c r="N7" s="133">
        <f>IF(SER_hh_emi!N7=0,0,1000000*SER_hh_emi!N7/SER_hh_num!N7)</f>
        <v>33294.740207623909</v>
      </c>
      <c r="O7" s="133">
        <f>IF(SER_hh_emi!O7=0,0,1000000*SER_hh_emi!O7/SER_hh_num!O7)</f>
        <v>31961.77462257837</v>
      </c>
      <c r="P7" s="133">
        <f>IF(SER_hh_emi!P7=0,0,1000000*SER_hh_emi!P7/SER_hh_num!P7)</f>
        <v>32205.147585274794</v>
      </c>
      <c r="Q7" s="133">
        <f>IF(SER_hh_emi!Q7=0,0,1000000*SER_hh_emi!Q7/SER_hh_num!Q7)</f>
        <v>30870.865108245391</v>
      </c>
      <c r="R7" s="133">
        <f>IF(SER_hh_emi!R7=0,0,1000000*SER_hh_emi!R7/SER_hh_num!R7)</f>
        <v>26445.180305336886</v>
      </c>
      <c r="S7" s="133">
        <f>IF(SER_hh_emi!S7=0,0,1000000*SER_hh_emi!S7/SER_hh_num!S7)</f>
        <v>34768.178230334415</v>
      </c>
      <c r="T7" s="133">
        <f>IF(SER_hh_emi!T7=0,0,1000000*SER_hh_emi!T7/SER_hh_num!T7)</f>
        <v>28989.844743586462</v>
      </c>
      <c r="U7" s="133">
        <f>IF(SER_hh_emi!U7=0,0,1000000*SER_hh_emi!U7/SER_hh_num!U7)</f>
        <v>26461.23699952169</v>
      </c>
      <c r="V7" s="133">
        <f>IF(SER_hh_emi!V7=0,0,1000000*SER_hh_emi!V7/SER_hh_num!V7)</f>
        <v>25473.549299889914</v>
      </c>
      <c r="W7" s="133">
        <f>IF(SER_hh_emi!W7=0,0,1000000*SER_hh_emi!W7/SER_hh_num!W7)</f>
        <v>32286.973926680035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15255.51537880089</v>
      </c>
      <c r="C8" s="133">
        <f>IF(SER_hh_emi!C8=0,0,1000000*SER_hh_emi!C8/SER_hh_num!C8)</f>
        <v>18850.112040421835</v>
      </c>
      <c r="D8" s="133">
        <f>IF(SER_hh_emi!D8=0,0,1000000*SER_hh_emi!D8/SER_hh_num!D8)</f>
        <v>17302.812186223513</v>
      </c>
      <c r="E8" s="133">
        <f>IF(SER_hh_emi!E8=0,0,1000000*SER_hh_emi!E8/SER_hh_num!E8)</f>
        <v>19503.276781710665</v>
      </c>
      <c r="F8" s="133">
        <f>IF(SER_hh_emi!F8=0,0,1000000*SER_hh_emi!F8/SER_hh_num!F8)</f>
        <v>18867.630605116003</v>
      </c>
      <c r="G8" s="133">
        <f>IF(SER_hh_emi!G8=0,0,1000000*SER_hh_emi!G8/SER_hh_num!G8)</f>
        <v>16943.685186590257</v>
      </c>
      <c r="H8" s="133">
        <f>IF(SER_hh_emi!H8=0,0,1000000*SER_hh_emi!H8/SER_hh_num!H8)</f>
        <v>17361.026121408548</v>
      </c>
      <c r="I8" s="133">
        <f>IF(SER_hh_emi!I8=0,0,1000000*SER_hh_emi!I8/SER_hh_num!I8)</f>
        <v>13528.786810225249</v>
      </c>
      <c r="J8" s="133">
        <f>IF(SER_hh_emi!J8=0,0,1000000*SER_hh_emi!J8/SER_hh_num!J8)</f>
        <v>15129.526350954522</v>
      </c>
      <c r="K8" s="133">
        <f>IF(SER_hh_emi!K8=0,0,1000000*SER_hh_emi!K8/SER_hh_num!K8)</f>
        <v>12471.513802550791</v>
      </c>
      <c r="L8" s="133">
        <f>IF(SER_hh_emi!L8=0,0,1000000*SER_hh_emi!L8/SER_hh_num!L8)</f>
        <v>12179.307073418109</v>
      </c>
      <c r="M8" s="133">
        <f>IF(SER_hh_emi!M8=0,0,1000000*SER_hh_emi!M8/SER_hh_num!M8)</f>
        <v>11448.670341832309</v>
      </c>
      <c r="N8" s="133">
        <f>IF(SER_hh_emi!N8=0,0,1000000*SER_hh_emi!N8/SER_hh_num!N8)</f>
        <v>10975.906849853218</v>
      </c>
      <c r="O8" s="133">
        <f>IF(SER_hh_emi!O8=0,0,1000000*SER_hh_emi!O8/SER_hh_num!O8)</f>
        <v>9977.6534652492883</v>
      </c>
      <c r="P8" s="133">
        <f>IF(SER_hh_emi!P8=0,0,1000000*SER_hh_emi!P8/SER_hh_num!P8)</f>
        <v>9028.927626272618</v>
      </c>
      <c r="Q8" s="133">
        <f>IF(SER_hh_emi!Q8=0,0,1000000*SER_hh_emi!Q8/SER_hh_num!Q8)</f>
        <v>8551.7724919323373</v>
      </c>
      <c r="R8" s="133">
        <f>IF(SER_hh_emi!R8=0,0,1000000*SER_hh_emi!R8/SER_hh_num!R8)</f>
        <v>8093.8201324244428</v>
      </c>
      <c r="S8" s="133">
        <f>IF(SER_hh_emi!S8=0,0,1000000*SER_hh_emi!S8/SER_hh_num!S8)</f>
        <v>8440.8466365610311</v>
      </c>
      <c r="T8" s="133">
        <f>IF(SER_hh_emi!T8=0,0,1000000*SER_hh_emi!T8/SER_hh_num!T8)</f>
        <v>7565.8174180077604</v>
      </c>
      <c r="U8" s="133">
        <f>IF(SER_hh_emi!U8=0,0,1000000*SER_hh_emi!U8/SER_hh_num!U8)</f>
        <v>7603.2330353340531</v>
      </c>
      <c r="V8" s="133">
        <f>IF(SER_hh_emi!V8=0,0,1000000*SER_hh_emi!V8/SER_hh_num!V8)</f>
        <v>6350.5433075288274</v>
      </c>
      <c r="W8" s="133">
        <f>IF(SER_hh_emi!W8=0,0,1000000*SER_hh_emi!W8/SER_hh_num!W8)</f>
        <v>6889.0228573444301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27514.361052027009</v>
      </c>
      <c r="C9" s="133">
        <f>IF(SER_hh_emi!C9=0,0,1000000*SER_hh_emi!C9/SER_hh_num!C9)</f>
        <v>36844.721038660042</v>
      </c>
      <c r="D9" s="133">
        <f>IF(SER_hh_emi!D9=0,0,1000000*SER_hh_emi!D9/SER_hh_num!D9)</f>
        <v>31793.932095834203</v>
      </c>
      <c r="E9" s="133">
        <f>IF(SER_hh_emi!E9=0,0,1000000*SER_hh_emi!E9/SER_hh_num!E9)</f>
        <v>36823.634069117194</v>
      </c>
      <c r="F9" s="133">
        <f>IF(SER_hh_emi!F9=0,0,1000000*SER_hh_emi!F9/SER_hh_num!F9)</f>
        <v>48269.688579764719</v>
      </c>
      <c r="G9" s="133">
        <f>IF(SER_hh_emi!G9=0,0,1000000*SER_hh_emi!G9/SER_hh_num!G9)</f>
        <v>27220.260278165049</v>
      </c>
      <c r="H9" s="133">
        <f>IF(SER_hh_emi!H9=0,0,1000000*SER_hh_emi!H9/SER_hh_num!H9)</f>
        <v>33599.68060411948</v>
      </c>
      <c r="I9" s="133">
        <f>IF(SER_hh_emi!I9=0,0,1000000*SER_hh_emi!I9/SER_hh_num!I9)</f>
        <v>28174.731488705631</v>
      </c>
      <c r="J9" s="133">
        <f>IF(SER_hh_emi!J9=0,0,1000000*SER_hh_emi!J9/SER_hh_num!J9)</f>
        <v>32848.864417425422</v>
      </c>
      <c r="K9" s="133">
        <f>IF(SER_hh_emi!K9=0,0,1000000*SER_hh_emi!K9/SER_hh_num!K9)</f>
        <v>24979.729717860886</v>
      </c>
      <c r="L9" s="133">
        <f>IF(SER_hh_emi!L9=0,0,1000000*SER_hh_emi!L9/SER_hh_num!L9)</f>
        <v>26871.275153416249</v>
      </c>
      <c r="M9" s="133">
        <f>IF(SER_hh_emi!M9=0,0,1000000*SER_hh_emi!M9/SER_hh_num!M9)</f>
        <v>21630.030370197928</v>
      </c>
      <c r="N9" s="133">
        <f>IF(SER_hh_emi!N9=0,0,1000000*SER_hh_emi!N9/SER_hh_num!N9)</f>
        <v>24203.396796505029</v>
      </c>
      <c r="O9" s="133">
        <f>IF(SER_hh_emi!O9=0,0,1000000*SER_hh_emi!O9/SER_hh_num!O9)</f>
        <v>23659.134429236376</v>
      </c>
      <c r="P9" s="133">
        <f>IF(SER_hh_emi!P9=0,0,1000000*SER_hh_emi!P9/SER_hh_num!P9)</f>
        <v>17540.084683379657</v>
      </c>
      <c r="Q9" s="133">
        <f>IF(SER_hh_emi!Q9=0,0,1000000*SER_hh_emi!Q9/SER_hh_num!Q9)</f>
        <v>20195.616261306855</v>
      </c>
      <c r="R9" s="133">
        <f>IF(SER_hh_emi!R9=0,0,1000000*SER_hh_emi!R9/SER_hh_num!R9)</f>
        <v>18057.526502895347</v>
      </c>
      <c r="S9" s="133">
        <f>IF(SER_hh_emi!S9=0,0,1000000*SER_hh_emi!S9/SER_hh_num!S9)</f>
        <v>20133.69923834152</v>
      </c>
      <c r="T9" s="133">
        <f>IF(SER_hh_emi!T9=0,0,1000000*SER_hh_emi!T9/SER_hh_num!T9)</f>
        <v>18761.088729510855</v>
      </c>
      <c r="U9" s="133">
        <f>IF(SER_hh_emi!U9=0,0,1000000*SER_hh_emi!U9/SER_hh_num!U9)</f>
        <v>20299.747865278976</v>
      </c>
      <c r="V9" s="133">
        <f>IF(SER_hh_emi!V9=0,0,1000000*SER_hh_emi!V9/SER_hh_num!V9)</f>
        <v>21298.795339073029</v>
      </c>
      <c r="W9" s="133">
        <f>IF(SER_hh_emi!W9=0,0,1000000*SER_hh_emi!W9/SER_hh_num!W9)</f>
        <v>23559.046882796472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14865.501970199779</v>
      </c>
      <c r="C10" s="133">
        <f>IF(SER_hh_emi!C10=0,0,1000000*SER_hh_emi!C10/SER_hh_num!C10)</f>
        <v>17417.291328553089</v>
      </c>
      <c r="D10" s="133">
        <f>IF(SER_hh_emi!D10=0,0,1000000*SER_hh_emi!D10/SER_hh_num!D10)</f>
        <v>16565.838971463232</v>
      </c>
      <c r="E10" s="133">
        <f>IF(SER_hh_emi!E10=0,0,1000000*SER_hh_emi!E10/SER_hh_num!E10)</f>
        <v>17434.097328603712</v>
      </c>
      <c r="F10" s="133">
        <f>IF(SER_hh_emi!F10=0,0,1000000*SER_hh_emi!F10/SER_hh_num!F10)</f>
        <v>13695.422368136975</v>
      </c>
      <c r="G10" s="133">
        <f>IF(SER_hh_emi!G10=0,0,1000000*SER_hh_emi!G10/SER_hh_num!G10)</f>
        <v>27602.278241135984</v>
      </c>
      <c r="H10" s="133">
        <f>IF(SER_hh_emi!H10=0,0,1000000*SER_hh_emi!H10/SER_hh_num!H10)</f>
        <v>18756.835149079332</v>
      </c>
      <c r="I10" s="133">
        <f>IF(SER_hh_emi!I10=0,0,1000000*SER_hh_emi!I10/SER_hh_num!I10)</f>
        <v>8442.9119844292982</v>
      </c>
      <c r="J10" s="133">
        <f>IF(SER_hh_emi!J10=0,0,1000000*SER_hh_emi!J10/SER_hh_num!J10)</f>
        <v>1403.1932711742641</v>
      </c>
      <c r="K10" s="133">
        <f>IF(SER_hh_emi!K10=0,0,1000000*SER_hh_emi!K10/SER_hh_num!K10)</f>
        <v>1368.7754064086266</v>
      </c>
      <c r="L10" s="133">
        <f>IF(SER_hh_emi!L10=0,0,1000000*SER_hh_emi!L10/SER_hh_num!L10)</f>
        <v>1547.0414556966703</v>
      </c>
      <c r="M10" s="133">
        <f>IF(SER_hh_emi!M10=0,0,1000000*SER_hh_emi!M10/SER_hh_num!M10)</f>
        <v>1347.893899199483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4.4301354978442467</v>
      </c>
      <c r="C16" s="131">
        <f>IF(SER_hh_emi!C16=0,0,1000000*SER_hh_emi!C16/SER_hh_num!C16)</f>
        <v>4.5677926624759673</v>
      </c>
      <c r="D16" s="131">
        <f>IF(SER_hh_emi!D16=0,0,1000000*SER_hh_emi!D16/SER_hh_num!D16)</f>
        <v>5.1585747907759361</v>
      </c>
      <c r="E16" s="131">
        <f>IF(SER_hh_emi!E16=0,0,1000000*SER_hh_emi!E16/SER_hh_num!E16)</f>
        <v>5.7469327139741635</v>
      </c>
      <c r="F16" s="131">
        <f>IF(SER_hh_emi!F16=0,0,1000000*SER_hh_emi!F16/SER_hh_num!F16)</f>
        <v>6.270416088141209</v>
      </c>
      <c r="G16" s="131">
        <f>IF(SER_hh_emi!G16=0,0,1000000*SER_hh_emi!G16/SER_hh_num!G16)</f>
        <v>6.8878386300368808</v>
      </c>
      <c r="H16" s="131">
        <f>IF(SER_hh_emi!H16=0,0,1000000*SER_hh_emi!H16/SER_hh_num!H16)</f>
        <v>7.6237135619332266</v>
      </c>
      <c r="I16" s="131">
        <f>IF(SER_hh_emi!I16=0,0,1000000*SER_hh_emi!I16/SER_hh_num!I16)</f>
        <v>8.8214985138134754</v>
      </c>
      <c r="J16" s="131">
        <f>IF(SER_hh_emi!J16=0,0,1000000*SER_hh_emi!J16/SER_hh_num!J16)</f>
        <v>9.5996841252232201</v>
      </c>
      <c r="K16" s="131">
        <f>IF(SER_hh_emi!K16=0,0,1000000*SER_hh_emi!K16/SER_hh_num!K16)</f>
        <v>11.214986665871898</v>
      </c>
      <c r="L16" s="131">
        <f>IF(SER_hh_emi!L16=0,0,1000000*SER_hh_emi!L16/SER_hh_num!L16)</f>
        <v>12.09277945070767</v>
      </c>
      <c r="M16" s="131">
        <f>IF(SER_hh_emi!M16=0,0,1000000*SER_hh_emi!M16/SER_hh_num!M16)</f>
        <v>13.497915056131454</v>
      </c>
      <c r="N16" s="131">
        <f>IF(SER_hh_emi!N16=0,0,1000000*SER_hh_emi!N16/SER_hh_num!N16)</f>
        <v>14.493884777430816</v>
      </c>
      <c r="O16" s="131">
        <f>IF(SER_hh_emi!O16=0,0,1000000*SER_hh_emi!O16/SER_hh_num!O16)</f>
        <v>17.026869257049796</v>
      </c>
      <c r="P16" s="131">
        <f>IF(SER_hh_emi!P16=0,0,1000000*SER_hh_emi!P16/SER_hh_num!P16)</f>
        <v>16.646419240700656</v>
      </c>
      <c r="Q16" s="131">
        <f>IF(SER_hh_emi!Q16=0,0,1000000*SER_hh_emi!Q16/SER_hh_num!Q16)</f>
        <v>22.480177603629055</v>
      </c>
      <c r="R16" s="131">
        <f>IF(SER_hh_emi!R16=0,0,1000000*SER_hh_emi!R16/SER_hh_num!R16)</f>
        <v>19.498404915235284</v>
      </c>
      <c r="S16" s="131">
        <f>IF(SER_hh_emi!S16=0,0,1000000*SER_hh_emi!S16/SER_hh_num!S16)</f>
        <v>22.83833171811613</v>
      </c>
      <c r="T16" s="131">
        <f>IF(SER_hh_emi!T16=0,0,1000000*SER_hh_emi!T16/SER_hh_num!T16)</f>
        <v>23.511528132950556</v>
      </c>
      <c r="U16" s="131">
        <f>IF(SER_hh_emi!U16=0,0,1000000*SER_hh_emi!U16/SER_hh_num!U16)</f>
        <v>26.346560374703763</v>
      </c>
      <c r="V16" s="131">
        <f>IF(SER_hh_emi!V16=0,0,1000000*SER_hh_emi!V16/SER_hh_num!V16)</f>
        <v>24.137169816628564</v>
      </c>
      <c r="W16" s="131">
        <f>IF(SER_hh_emi!W16=0,0,1000000*SER_hh_emi!W16/SER_hh_num!W16)</f>
        <v>25.312209830159333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3223.1223697372948</v>
      </c>
      <c r="C17" s="133">
        <f>IF(SER_hh_emi!C17=0,0,1000000*SER_hh_emi!C17/SER_hh_num!C17)</f>
        <v>3185.4164143061007</v>
      </c>
      <c r="D17" s="133">
        <f>IF(SER_hh_emi!D17=0,0,1000000*SER_hh_emi!D17/SER_hh_num!D17)</f>
        <v>3185.3666781051429</v>
      </c>
      <c r="E17" s="133">
        <f>IF(SER_hh_emi!E17=0,0,1000000*SER_hh_emi!E17/SER_hh_num!E17)</f>
        <v>3549.7403613095626</v>
      </c>
      <c r="F17" s="133">
        <f>IF(SER_hh_emi!F17=0,0,1000000*SER_hh_emi!F17/SER_hh_num!F17)</f>
        <v>3128.1193538788925</v>
      </c>
      <c r="G17" s="133">
        <f>IF(SER_hh_emi!G17=0,0,1000000*SER_hh_emi!G17/SER_hh_num!G17)</f>
        <v>3142.8506564396007</v>
      </c>
      <c r="H17" s="133">
        <f>IF(SER_hh_emi!H17=0,0,1000000*SER_hh_emi!H17/SER_hh_num!H17)</f>
        <v>3278.7491913982622</v>
      </c>
      <c r="I17" s="133">
        <f>IF(SER_hh_emi!I17=0,0,1000000*SER_hh_emi!I17/SER_hh_num!I17)</f>
        <v>3249.5843175691857</v>
      </c>
      <c r="J17" s="133">
        <f>IF(SER_hh_emi!J17=0,0,1000000*SER_hh_emi!J17/SER_hh_num!J17)</f>
        <v>3141.1315524501433</v>
      </c>
      <c r="K17" s="133">
        <f>IF(SER_hh_emi!K17=0,0,1000000*SER_hh_emi!K17/SER_hh_num!K17)</f>
        <v>3172.6984950753499</v>
      </c>
      <c r="L17" s="133">
        <f>IF(SER_hh_emi!L17=0,0,1000000*SER_hh_emi!L17/SER_hh_num!L17)</f>
        <v>3278.794261579224</v>
      </c>
      <c r="M17" s="133">
        <f>IF(SER_hh_emi!M17=0,0,1000000*SER_hh_emi!M17/SER_hh_num!M17)</f>
        <v>3447.0375674183533</v>
      </c>
      <c r="N17" s="133">
        <f>IF(SER_hh_emi!N17=0,0,1000000*SER_hh_emi!N17/SER_hh_num!N17)</f>
        <v>3330.2419214524125</v>
      </c>
      <c r="O17" s="133">
        <f>IF(SER_hh_emi!O17=0,0,1000000*SER_hh_emi!O17/SER_hh_num!O17)</f>
        <v>3555.1323606021533</v>
      </c>
      <c r="P17" s="133">
        <f>IF(SER_hh_emi!P17=0,0,1000000*SER_hh_emi!P17/SER_hh_num!P17)</f>
        <v>3123.982388251236</v>
      </c>
      <c r="Q17" s="133">
        <f>IF(SER_hh_emi!Q17=0,0,1000000*SER_hh_emi!Q17/SER_hh_num!Q17)</f>
        <v>3791.049731116997</v>
      </c>
      <c r="R17" s="133">
        <f>IF(SER_hh_emi!R17=0,0,1000000*SER_hh_emi!R17/SER_hh_num!R17)</f>
        <v>3116.0973670947756</v>
      </c>
      <c r="S17" s="133">
        <f>IF(SER_hh_emi!S17=0,0,1000000*SER_hh_emi!S17/SER_hh_num!S17)</f>
        <v>3296.6894077473498</v>
      </c>
      <c r="T17" s="133">
        <f>IF(SER_hh_emi!T17=0,0,1000000*SER_hh_emi!T17/SER_hh_num!T17)</f>
        <v>3208.602064228468</v>
      </c>
      <c r="U17" s="133">
        <f>IF(SER_hh_emi!U17=0,0,1000000*SER_hh_emi!U17/SER_hh_num!U17)</f>
        <v>3251.866179533858</v>
      </c>
      <c r="V17" s="133">
        <f>IF(SER_hh_emi!V17=0,0,1000000*SER_hh_emi!V17/SER_hh_num!V17)</f>
        <v>2945.4552699408046</v>
      </c>
      <c r="W17" s="133">
        <f>IF(SER_hh_emi!W17=0,0,1000000*SER_hh_emi!W17/SER_hh_num!W17)</f>
        <v>2984.2010411891042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2119.3105805268333</v>
      </c>
      <c r="C19" s="131">
        <f>IF(SER_hh_emi!C19=0,0,1000000*SER_hh_emi!C19/SER_hh_num!C19)</f>
        <v>2139.0025345704562</v>
      </c>
      <c r="D19" s="131">
        <f>IF(SER_hh_emi!D19=0,0,1000000*SER_hh_emi!D19/SER_hh_num!D19)</f>
        <v>2114.2305620615743</v>
      </c>
      <c r="E19" s="131">
        <f>IF(SER_hh_emi!E19=0,0,1000000*SER_hh_emi!E19/SER_hh_num!E19)</f>
        <v>2108.895872356657</v>
      </c>
      <c r="F19" s="131">
        <f>IF(SER_hh_emi!F19=0,0,1000000*SER_hh_emi!F19/SER_hh_num!F19)</f>
        <v>2058.7158553076115</v>
      </c>
      <c r="G19" s="131">
        <f>IF(SER_hh_emi!G19=0,0,1000000*SER_hh_emi!G19/SER_hh_num!G19)</f>
        <v>2006.7787592781795</v>
      </c>
      <c r="H19" s="131">
        <f>IF(SER_hh_emi!H19=0,0,1000000*SER_hh_emi!H19/SER_hh_num!H19)</f>
        <v>1861.6531989045204</v>
      </c>
      <c r="I19" s="131">
        <f>IF(SER_hh_emi!I19=0,0,1000000*SER_hh_emi!I19/SER_hh_num!I19)</f>
        <v>1741.5073458099819</v>
      </c>
      <c r="J19" s="131">
        <f>IF(SER_hh_emi!J19=0,0,1000000*SER_hh_emi!J19/SER_hh_num!J19)</f>
        <v>1586.8691121802881</v>
      </c>
      <c r="K19" s="131">
        <f>IF(SER_hh_emi!K19=0,0,1000000*SER_hh_emi!K19/SER_hh_num!K19)</f>
        <v>1548.1106883615023</v>
      </c>
      <c r="L19" s="131">
        <f>IF(SER_hh_emi!L19=0,0,1000000*SER_hh_emi!L19/SER_hh_num!L19)</f>
        <v>1305.8674848515768</v>
      </c>
      <c r="M19" s="131">
        <f>IF(SER_hh_emi!M19=0,0,1000000*SER_hh_emi!M19/SER_hh_num!M19)</f>
        <v>1194.1614531370033</v>
      </c>
      <c r="N19" s="131">
        <f>IF(SER_hh_emi!N19=0,0,1000000*SER_hh_emi!N19/SER_hh_num!N19)</f>
        <v>945.57106053877521</v>
      </c>
      <c r="O19" s="131">
        <f>IF(SER_hh_emi!O19=0,0,1000000*SER_hh_emi!O19/SER_hh_num!O19)</f>
        <v>925.99584870455249</v>
      </c>
      <c r="P19" s="131">
        <f>IF(SER_hh_emi!P19=0,0,1000000*SER_hh_emi!P19/SER_hh_num!P19)</f>
        <v>887.21998438288301</v>
      </c>
      <c r="Q19" s="131">
        <f>IF(SER_hh_emi!Q19=0,0,1000000*SER_hh_emi!Q19/SER_hh_num!Q19)</f>
        <v>859.66186381493355</v>
      </c>
      <c r="R19" s="131">
        <f>IF(SER_hh_emi!R19=0,0,1000000*SER_hh_emi!R19/SER_hh_num!R19)</f>
        <v>836.20230373365348</v>
      </c>
      <c r="S19" s="131">
        <f>IF(SER_hh_emi!S19=0,0,1000000*SER_hh_emi!S19/SER_hh_num!S19)</f>
        <v>816.89368091373899</v>
      </c>
      <c r="T19" s="131">
        <f>IF(SER_hh_emi!T19=0,0,1000000*SER_hh_emi!T19/SER_hh_num!T19)</f>
        <v>782.30570845102602</v>
      </c>
      <c r="U19" s="131">
        <f>IF(SER_hh_emi!U19=0,0,1000000*SER_hh_emi!U19/SER_hh_num!U19)</f>
        <v>745.10526119514168</v>
      </c>
      <c r="V19" s="131">
        <f>IF(SER_hh_emi!V19=0,0,1000000*SER_hh_emi!V19/SER_hh_num!V19)</f>
        <v>671.63188372300533</v>
      </c>
      <c r="W19" s="131">
        <f>IF(SER_hh_emi!W19=0,0,1000000*SER_hh_emi!W19/SER_hh_num!W19)</f>
        <v>700.7201485590748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4787.8300519077566</v>
      </c>
      <c r="C21" s="133">
        <f>IF(SER_hh_emi!C21=0,0,1000000*SER_hh_emi!C21/SER_hh_num!C21)</f>
        <v>5180.642813829626</v>
      </c>
      <c r="D21" s="133">
        <f>IF(SER_hh_emi!D21=0,0,1000000*SER_hh_emi!D21/SER_hh_num!D21)</f>
        <v>5012.3022586984689</v>
      </c>
      <c r="E21" s="133">
        <f>IF(SER_hh_emi!E21=0,0,1000000*SER_hh_emi!E21/SER_hh_num!E21)</f>
        <v>5098.2940887123477</v>
      </c>
      <c r="F21" s="133">
        <f>IF(SER_hh_emi!F21=0,0,1000000*SER_hh_emi!F21/SER_hh_num!F21)</f>
        <v>5108.7277788583933</v>
      </c>
      <c r="G21" s="133">
        <f>IF(SER_hh_emi!G21=0,0,1000000*SER_hh_emi!G21/SER_hh_num!G21)</f>
        <v>5153.6208693077506</v>
      </c>
      <c r="H21" s="133">
        <f>IF(SER_hh_emi!H21=0,0,1000000*SER_hh_emi!H21/SER_hh_num!H21)</f>
        <v>5224.6062592187445</v>
      </c>
      <c r="I21" s="133">
        <f>IF(SER_hh_emi!I21=0,0,1000000*SER_hh_emi!I21/SER_hh_num!I21)</f>
        <v>5325.6461007964735</v>
      </c>
      <c r="J21" s="133">
        <f>IF(SER_hh_emi!J21=0,0,1000000*SER_hh_emi!J21/SER_hh_num!J21)</f>
        <v>5408.0447337198329</v>
      </c>
      <c r="K21" s="133">
        <f>IF(SER_hh_emi!K21=0,0,1000000*SER_hh_emi!K21/SER_hh_num!K21)</f>
        <v>5679.3151560641872</v>
      </c>
      <c r="L21" s="133">
        <f>IF(SER_hh_emi!L21=0,0,1000000*SER_hh_emi!L21/SER_hh_num!L21)</f>
        <v>5268.6735665444576</v>
      </c>
      <c r="M21" s="133">
        <f>IF(SER_hh_emi!M21=0,0,1000000*SER_hh_emi!M21/SER_hh_num!M21)</f>
        <v>5811.2874850395656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6401.1352449843062</v>
      </c>
      <c r="C22" s="133">
        <f>IF(SER_hh_emi!C22=0,0,1000000*SER_hh_emi!C22/SER_hh_num!C22)</f>
        <v>6417.1110957301307</v>
      </c>
      <c r="D22" s="133">
        <f>IF(SER_hh_emi!D22=0,0,1000000*SER_hh_emi!D22/SER_hh_num!D22)</f>
        <v>6395.2430001192724</v>
      </c>
      <c r="E22" s="133">
        <f>IF(SER_hh_emi!E22=0,0,1000000*SER_hh_emi!E22/SER_hh_num!E22)</f>
        <v>6433.3001155770762</v>
      </c>
      <c r="F22" s="133">
        <f>IF(SER_hh_emi!F22=0,0,1000000*SER_hh_emi!F22/SER_hh_num!F22)</f>
        <v>6516.8584093400459</v>
      </c>
      <c r="G22" s="133">
        <f>IF(SER_hh_emi!G22=0,0,1000000*SER_hh_emi!G22/SER_hh_num!G22)</f>
        <v>6489.7432600600869</v>
      </c>
      <c r="H22" s="133">
        <f>IF(SER_hh_emi!H22=0,0,1000000*SER_hh_emi!H22/SER_hh_num!H22)</f>
        <v>6487.9165069735909</v>
      </c>
      <c r="I22" s="133">
        <f>IF(SER_hh_emi!I22=0,0,1000000*SER_hh_emi!I22/SER_hh_num!I22)</f>
        <v>6638.4890970156657</v>
      </c>
      <c r="J22" s="133">
        <f>IF(SER_hh_emi!J22=0,0,1000000*SER_hh_emi!J22/SER_hh_num!J22)</f>
        <v>6468.0072238314842</v>
      </c>
      <c r="K22" s="133">
        <f>IF(SER_hh_emi!K22=0,0,1000000*SER_hh_emi!K22/SER_hh_num!K22)</f>
        <v>6783.355978847545</v>
      </c>
      <c r="L22" s="133">
        <f>IF(SER_hh_emi!L22=0,0,1000000*SER_hh_emi!L22/SER_hh_num!L22)</f>
        <v>6217.0271914997693</v>
      </c>
      <c r="M22" s="133">
        <f>IF(SER_hh_emi!M22=0,0,1000000*SER_hh_emi!M22/SER_hh_num!M22)</f>
        <v>6378.4761235282103</v>
      </c>
      <c r="N22" s="133">
        <f>IF(SER_hh_emi!N22=0,0,1000000*SER_hh_emi!N22/SER_hh_num!N22)</f>
        <v>5971.38811790822</v>
      </c>
      <c r="O22" s="133">
        <f>IF(SER_hh_emi!O22=0,0,1000000*SER_hh_emi!O22/SER_hh_num!O22)</f>
        <v>6181.0267818493503</v>
      </c>
      <c r="P22" s="133">
        <f>IF(SER_hh_emi!P22=0,0,1000000*SER_hh_emi!P22/SER_hh_num!P22)</f>
        <v>6208.0965595233047</v>
      </c>
      <c r="Q22" s="133">
        <f>IF(SER_hh_emi!Q22=0,0,1000000*SER_hh_emi!Q22/SER_hh_num!Q22)</f>
        <v>6120.0094931907606</v>
      </c>
      <c r="R22" s="133">
        <f>IF(SER_hh_emi!R22=0,0,1000000*SER_hh_emi!R22/SER_hh_num!R22)</f>
        <v>6080.8172809568605</v>
      </c>
      <c r="S22" s="133">
        <f>IF(SER_hh_emi!S22=0,0,1000000*SER_hh_emi!S22/SER_hh_num!S22)</f>
        <v>5974.8276110109955</v>
      </c>
      <c r="T22" s="133">
        <f>IF(SER_hh_emi!T22=0,0,1000000*SER_hh_emi!T22/SER_hh_num!T22)</f>
        <v>5636.325262722039</v>
      </c>
      <c r="U22" s="133">
        <f>IF(SER_hh_emi!U22=0,0,1000000*SER_hh_emi!U22/SER_hh_num!U22)</f>
        <v>5322.6384932129367</v>
      </c>
      <c r="V22" s="133">
        <f>IF(SER_hh_emi!V22=0,0,1000000*SER_hh_emi!V22/SER_hh_num!V22)</f>
        <v>4721.6904307698387</v>
      </c>
      <c r="W22" s="133">
        <f>IF(SER_hh_emi!W22=0,0,1000000*SER_hh_emi!W22/SER_hh_num!W22)</f>
        <v>4911.9255239071927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4645.3563935387219</v>
      </c>
      <c r="C23" s="133">
        <f>IF(SER_hh_emi!C23=0,0,1000000*SER_hh_emi!C23/SER_hh_num!C23)</f>
        <v>4639.8390579728411</v>
      </c>
      <c r="D23" s="133">
        <f>IF(SER_hh_emi!D23=0,0,1000000*SER_hh_emi!D23/SER_hh_num!D23)</f>
        <v>4603.7999468971921</v>
      </c>
      <c r="E23" s="133">
        <f>IF(SER_hh_emi!E23=0,0,1000000*SER_hh_emi!E23/SER_hh_num!E23)</f>
        <v>4570.1236267326731</v>
      </c>
      <c r="F23" s="133">
        <f>IF(SER_hh_emi!F23=0,0,1000000*SER_hh_emi!F23/SER_hh_num!F23)</f>
        <v>4564.9556821244187</v>
      </c>
      <c r="G23" s="133">
        <f>IF(SER_hh_emi!G23=0,0,1000000*SER_hh_emi!G23/SER_hh_num!G23)</f>
        <v>4590.0755932170287</v>
      </c>
      <c r="H23" s="133">
        <f>IF(SER_hh_emi!H23=0,0,1000000*SER_hh_emi!H23/SER_hh_num!H23)</f>
        <v>4600.3351441582327</v>
      </c>
      <c r="I23" s="133">
        <f>IF(SER_hh_emi!I23=0,0,1000000*SER_hh_emi!I23/SER_hh_num!I23)</f>
        <v>4589.7855902910596</v>
      </c>
      <c r="J23" s="133">
        <f>IF(SER_hh_emi!J23=0,0,1000000*SER_hh_emi!J23/SER_hh_num!J23)</f>
        <v>4549.461070248366</v>
      </c>
      <c r="K23" s="133">
        <f>IF(SER_hh_emi!K23=0,0,1000000*SER_hh_emi!K23/SER_hh_num!K23)</f>
        <v>4527.8733680353398</v>
      </c>
      <c r="L23" s="133">
        <f>IF(SER_hh_emi!L23=0,0,1000000*SER_hh_emi!L23/SER_hh_num!L23)</f>
        <v>4373.9781076578874</v>
      </c>
      <c r="M23" s="133">
        <f>IF(SER_hh_emi!M23=0,0,1000000*SER_hh_emi!M23/SER_hh_num!M23)</f>
        <v>4251.4520788634782</v>
      </c>
      <c r="N23" s="133">
        <f>IF(SER_hh_emi!N23=0,0,1000000*SER_hh_emi!N23/SER_hh_num!N23)</f>
        <v>4178.5363447529417</v>
      </c>
      <c r="O23" s="133">
        <f>IF(SER_hh_emi!O23=0,0,1000000*SER_hh_emi!O23/SER_hh_num!O23)</f>
        <v>4208.9633487115843</v>
      </c>
      <c r="P23" s="133">
        <f>IF(SER_hh_emi!P23=0,0,1000000*SER_hh_emi!P23/SER_hh_num!P23)</f>
        <v>4195.6294508401616</v>
      </c>
      <c r="Q23" s="133">
        <f>IF(SER_hh_emi!Q23=0,0,1000000*SER_hh_emi!Q23/SER_hh_num!Q23)</f>
        <v>4222.1286915155169</v>
      </c>
      <c r="R23" s="133">
        <f>IF(SER_hh_emi!R23=0,0,1000000*SER_hh_emi!R23/SER_hh_num!R23)</f>
        <v>4144.2503139408354</v>
      </c>
      <c r="S23" s="133">
        <f>IF(SER_hh_emi!S23=0,0,1000000*SER_hh_emi!S23/SER_hh_num!S23)</f>
        <v>3997.4071322083155</v>
      </c>
      <c r="T23" s="133">
        <f>IF(SER_hh_emi!T23=0,0,1000000*SER_hh_emi!T23/SER_hh_num!T23)</f>
        <v>3844.5224353937228</v>
      </c>
      <c r="U23" s="133">
        <f>IF(SER_hh_emi!U23=0,0,1000000*SER_hh_emi!U23/SER_hh_num!U23)</f>
        <v>3666.961703791836</v>
      </c>
      <c r="V23" s="133">
        <f>IF(SER_hh_emi!V23=0,0,1000000*SER_hh_emi!V23/SER_hh_num!V23)</f>
        <v>3399.2957630152869</v>
      </c>
      <c r="W23" s="133">
        <f>IF(SER_hh_emi!W23=0,0,1000000*SER_hh_emi!W23/SER_hh_num!W23)</f>
        <v>3439.8751178455295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2298.7509804288384</v>
      </c>
      <c r="C24" s="133">
        <f>IF(SER_hh_emi!C24=0,0,1000000*SER_hh_emi!C24/SER_hh_num!C24)</f>
        <v>2414.0074868312581</v>
      </c>
      <c r="D24" s="133">
        <f>IF(SER_hh_emi!D24=0,0,1000000*SER_hh_emi!D24/SER_hh_num!D24)</f>
        <v>2350.3349015997978</v>
      </c>
      <c r="E24" s="133">
        <f>IF(SER_hh_emi!E24=0,0,1000000*SER_hh_emi!E24/SER_hh_num!E24)</f>
        <v>2116.0966000531143</v>
      </c>
      <c r="F24" s="133">
        <f>IF(SER_hh_emi!F24=0,0,1000000*SER_hh_emi!F24/SER_hh_num!F24)</f>
        <v>1570.5262337885529</v>
      </c>
      <c r="G24" s="133">
        <f>IF(SER_hh_emi!G24=0,0,1000000*SER_hh_emi!G24/SER_hh_num!G24)</f>
        <v>3902.7743677051126</v>
      </c>
      <c r="H24" s="133">
        <f>IF(SER_hh_emi!H24=0,0,1000000*SER_hh_emi!H24/SER_hh_num!H24)</f>
        <v>2433.5538177382873</v>
      </c>
      <c r="I24" s="133">
        <f>IF(SER_hh_emi!I24=0,0,1000000*SER_hh_emi!I24/SER_hh_num!I24)</f>
        <v>1165.3460090687352</v>
      </c>
      <c r="J24" s="133">
        <f>IF(SER_hh_emi!J24=0,0,1000000*SER_hh_emi!J24/SER_hh_num!J24)</f>
        <v>226.7257051272739</v>
      </c>
      <c r="K24" s="133">
        <f>IF(SER_hh_emi!K24=0,0,1000000*SER_hh_emi!K24/SER_hh_num!K24)</f>
        <v>226.12059627774394</v>
      </c>
      <c r="L24" s="133">
        <f>IF(SER_hh_emi!L24=0,0,1000000*SER_hh_emi!L24/SER_hh_num!L24)</f>
        <v>196.21608470356412</v>
      </c>
      <c r="M24" s="133">
        <f>IF(SER_hh_emi!M24=0,0,1000000*SER_hh_emi!M24/SER_hh_num!M24)</f>
        <v>196.97046369086212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1106.1370037878951</v>
      </c>
      <c r="C29" s="131">
        <f>IF(SER_hh_emi!C29=0,0,1000000*SER_hh_emi!C29/SER_hh_num!C29)</f>
        <v>1343.5546713140354</v>
      </c>
      <c r="D29" s="131">
        <f>IF(SER_hh_emi!D29=0,0,1000000*SER_hh_emi!D29/SER_hh_num!D29)</f>
        <v>1966.2064214942047</v>
      </c>
      <c r="E29" s="131">
        <f>IF(SER_hh_emi!E29=0,0,1000000*SER_hh_emi!E29/SER_hh_num!E29)</f>
        <v>2214.9726942768716</v>
      </c>
      <c r="F29" s="131">
        <f>IF(SER_hh_emi!F29=0,0,1000000*SER_hh_emi!F29/SER_hh_num!F29)</f>
        <v>2485.4810023386754</v>
      </c>
      <c r="G29" s="131">
        <f>IF(SER_hh_emi!G29=0,0,1000000*SER_hh_emi!G29/SER_hh_num!G29)</f>
        <v>2179.5009837337157</v>
      </c>
      <c r="H29" s="131">
        <f>IF(SER_hh_emi!H29=0,0,1000000*SER_hh_emi!H29/SER_hh_num!H29)</f>
        <v>2128.4085896079091</v>
      </c>
      <c r="I29" s="131">
        <f>IF(SER_hh_emi!I29=0,0,1000000*SER_hh_emi!I29/SER_hh_num!I29)</f>
        <v>1791.2951697874253</v>
      </c>
      <c r="J29" s="131">
        <f>IF(SER_hh_emi!J29=0,0,1000000*SER_hh_emi!J29/SER_hh_num!J29)</f>
        <v>1638.0144519750024</v>
      </c>
      <c r="K29" s="131">
        <f>IF(SER_hh_emi!K29=0,0,1000000*SER_hh_emi!K29/SER_hh_num!K29)</f>
        <v>1827.2175245526041</v>
      </c>
      <c r="L29" s="131">
        <f>IF(SER_hh_emi!L29=0,0,1000000*SER_hh_emi!L29/SER_hh_num!L29)</f>
        <v>2163.1220484660025</v>
      </c>
      <c r="M29" s="131">
        <f>IF(SER_hh_emi!M29=0,0,1000000*SER_hh_emi!M29/SER_hh_num!M29)</f>
        <v>2031.1673477036402</v>
      </c>
      <c r="N29" s="131">
        <f>IF(SER_hh_emi!N29=0,0,1000000*SER_hh_emi!N29/SER_hh_num!N29)</f>
        <v>1376.5218959427118</v>
      </c>
      <c r="O29" s="131">
        <f>IF(SER_hh_emi!O29=0,0,1000000*SER_hh_emi!O29/SER_hh_num!O29)</f>
        <v>1383.8962141394304</v>
      </c>
      <c r="P29" s="131">
        <f>IF(SER_hh_emi!P29=0,0,1000000*SER_hh_emi!P29/SER_hh_num!P29)</f>
        <v>1384.7808710401014</v>
      </c>
      <c r="Q29" s="131">
        <f>IF(SER_hh_emi!Q29=0,0,1000000*SER_hh_emi!Q29/SER_hh_num!Q29)</f>
        <v>1389.4259391109733</v>
      </c>
      <c r="R29" s="131">
        <f>IF(SER_hh_emi!R29=0,0,1000000*SER_hh_emi!R29/SER_hh_num!R29)</f>
        <v>1366.6682000030298</v>
      </c>
      <c r="S29" s="131">
        <f>IF(SER_hh_emi!S29=0,0,1000000*SER_hh_emi!S29/SER_hh_num!S29)</f>
        <v>1424.2038694833216</v>
      </c>
      <c r="T29" s="131">
        <f>IF(SER_hh_emi!T29=0,0,1000000*SER_hh_emi!T29/SER_hh_num!T29)</f>
        <v>1405.7646859016661</v>
      </c>
      <c r="U29" s="131">
        <f>IF(SER_hh_emi!U29=0,0,1000000*SER_hh_emi!U29/SER_hh_num!U29)</f>
        <v>1443.8593436442502</v>
      </c>
      <c r="V29" s="131">
        <f>IF(SER_hh_emi!V29=0,0,1000000*SER_hh_emi!V29/SER_hh_num!V29)</f>
        <v>1329.8653712850326</v>
      </c>
      <c r="W29" s="131">
        <f>IF(SER_hh_emi!W29=0,0,1000000*SER_hh_emi!W29/SER_hh_num!W29)</f>
        <v>1346.9925208651405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1556.9228322269835</v>
      </c>
      <c r="C30" s="133">
        <f>IF(SER_hh_emi!C30=0,0,1000000*SER_hh_emi!C30/SER_hh_num!C30)</f>
        <v>2446.6154381097549</v>
      </c>
      <c r="D30" s="133">
        <f>IF(SER_hh_emi!D30=0,0,1000000*SER_hh_emi!D30/SER_hh_num!D30)</f>
        <v>5045.6596112693123</v>
      </c>
      <c r="E30" s="133">
        <f>IF(SER_hh_emi!E30=0,0,1000000*SER_hh_emi!E30/SER_hh_num!E30)</f>
        <v>5274.2005941055459</v>
      </c>
      <c r="F30" s="133">
        <f>IF(SER_hh_emi!F30=0,0,1000000*SER_hh_emi!F30/SER_hh_num!F30)</f>
        <v>6300.0723668898745</v>
      </c>
      <c r="G30" s="133">
        <f>IF(SER_hh_emi!G30=0,0,1000000*SER_hh_emi!G30/SER_hh_num!G30)</f>
        <v>4677.8722241634305</v>
      </c>
      <c r="H30" s="133">
        <f>IF(SER_hh_emi!H30=0,0,1000000*SER_hh_emi!H30/SER_hh_num!H30)</f>
        <v>4977.3590635230294</v>
      </c>
      <c r="I30" s="133">
        <f>IF(SER_hh_emi!I30=0,0,1000000*SER_hh_emi!I30/SER_hh_num!I30)</f>
        <v>4163.2303436145075</v>
      </c>
      <c r="J30" s="133">
        <f>IF(SER_hh_emi!J30=0,0,1000000*SER_hh_emi!J30/SER_hh_num!J30)</f>
        <v>3106.0909385597511</v>
      </c>
      <c r="K30" s="133">
        <f>IF(SER_hh_emi!K30=0,0,1000000*SER_hh_emi!K30/SER_hh_num!K30)</f>
        <v>3878.5637193572288</v>
      </c>
      <c r="L30" s="133">
        <f>IF(SER_hh_emi!L30=0,0,1000000*SER_hh_emi!L30/SER_hh_num!L30)</f>
        <v>6458.0613789739737</v>
      </c>
      <c r="M30" s="133">
        <f>IF(SER_hh_emi!M30=0,0,1000000*SER_hh_emi!M30/SER_hh_num!M30)</f>
        <v>6332.5570452037264</v>
      </c>
      <c r="N30" s="133">
        <f>IF(SER_hh_emi!N30=0,0,1000000*SER_hh_emi!N30/SER_hh_num!N30)</f>
        <v>1117.1496708822935</v>
      </c>
      <c r="O30" s="133">
        <f>IF(SER_hh_emi!O30=0,0,1000000*SER_hh_emi!O30/SER_hh_num!O30)</f>
        <v>2339.330832122555</v>
      </c>
      <c r="P30" s="133">
        <f>IF(SER_hh_emi!P30=0,0,1000000*SER_hh_emi!P30/SER_hh_num!P30)</f>
        <v>4333.1294580529657</v>
      </c>
      <c r="Q30" s="133">
        <f>IF(SER_hh_emi!Q30=0,0,1000000*SER_hh_emi!Q30/SER_hh_num!Q30)</f>
        <v>4293.9530322492119</v>
      </c>
      <c r="R30" s="133">
        <f>IF(SER_hh_emi!R30=0,0,1000000*SER_hh_emi!R30/SER_hh_num!R30)</f>
        <v>3158.5704045699063</v>
      </c>
      <c r="S30" s="133">
        <f>IF(SER_hh_emi!S30=0,0,1000000*SER_hh_emi!S30/SER_hh_num!S30)</f>
        <v>5802.7078788750177</v>
      </c>
      <c r="T30" s="133">
        <f>IF(SER_hh_emi!T30=0,0,1000000*SER_hh_emi!T30/SER_hh_num!T30)</f>
        <v>4671.3768488849746</v>
      </c>
      <c r="U30" s="133">
        <f>IF(SER_hh_emi!U30=0,0,1000000*SER_hh_emi!U30/SER_hh_num!U30)</f>
        <v>4641.4635271450761</v>
      </c>
      <c r="V30" s="133">
        <f>IF(SER_hh_emi!V30=0,0,1000000*SER_hh_emi!V30/SER_hh_num!V30)</f>
        <v>4314.5384581965245</v>
      </c>
      <c r="W30" s="133">
        <f>IF(SER_hh_emi!W30=0,0,1000000*SER_hh_emi!W30/SER_hh_num!W30)</f>
        <v>4714.491683336104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3581.3752779748602</v>
      </c>
      <c r="C31" s="133">
        <f>IF(SER_hh_emi!C31=0,0,1000000*SER_hh_emi!C31/SER_hh_num!C31)</f>
        <v>3837.0808617015341</v>
      </c>
      <c r="D31" s="133">
        <f>IF(SER_hh_emi!D31=0,0,1000000*SER_hh_emi!D31/SER_hh_num!D31)</f>
        <v>3986.1849628920759</v>
      </c>
      <c r="E31" s="133">
        <f>IF(SER_hh_emi!E31=0,0,1000000*SER_hh_emi!E31/SER_hh_num!E31)</f>
        <v>4036.4464110425552</v>
      </c>
      <c r="F31" s="133">
        <f>IF(SER_hh_emi!F31=0,0,1000000*SER_hh_emi!F31/SER_hh_num!F31)</f>
        <v>4132.8805241283253</v>
      </c>
      <c r="G31" s="133">
        <f>IF(SER_hh_emi!G31=0,0,1000000*SER_hh_emi!G31/SER_hh_num!G31)</f>
        <v>4107.3880531429122</v>
      </c>
      <c r="H31" s="133">
        <f>IF(SER_hh_emi!H31=0,0,1000000*SER_hh_emi!H31/SER_hh_num!H31)</f>
        <v>4048.435115522298</v>
      </c>
      <c r="I31" s="133">
        <f>IF(SER_hh_emi!I31=0,0,1000000*SER_hh_emi!I31/SER_hh_num!I31)</f>
        <v>3992.8336540905734</v>
      </c>
      <c r="J31" s="133">
        <f>IF(SER_hh_emi!J31=0,0,1000000*SER_hh_emi!J31/SER_hh_num!J31)</f>
        <v>3988.7856712761518</v>
      </c>
      <c r="K31" s="133">
        <f>IF(SER_hh_emi!K31=0,0,1000000*SER_hh_emi!K31/SER_hh_num!K31)</f>
        <v>4082.314447417164</v>
      </c>
      <c r="L31" s="133">
        <f>IF(SER_hh_emi!L31=0,0,1000000*SER_hh_emi!L31/SER_hh_num!L31)</f>
        <v>4112.8961574569403</v>
      </c>
      <c r="M31" s="133">
        <f>IF(SER_hh_emi!M31=0,0,1000000*SER_hh_emi!M31/SER_hh_num!M31)</f>
        <v>4109.2226087513081</v>
      </c>
      <c r="N31" s="133">
        <f>IF(SER_hh_emi!N31=0,0,1000000*SER_hh_emi!N31/SER_hh_num!N31)</f>
        <v>4101.6021575912573</v>
      </c>
      <c r="O31" s="133">
        <f>IF(SER_hh_emi!O31=0,0,1000000*SER_hh_emi!O31/SER_hh_num!O31)</f>
        <v>4121.5856977269614</v>
      </c>
      <c r="P31" s="133">
        <f>IF(SER_hh_emi!P31=0,0,1000000*SER_hh_emi!P31/SER_hh_num!P31)</f>
        <v>4155.8888577634925</v>
      </c>
      <c r="Q31" s="133">
        <f>IF(SER_hh_emi!Q31=0,0,1000000*SER_hh_emi!Q31/SER_hh_num!Q31)</f>
        <v>4155.8827119934795</v>
      </c>
      <c r="R31" s="133">
        <f>IF(SER_hh_emi!R31=0,0,1000000*SER_hh_emi!R31/SER_hh_num!R31)</f>
        <v>4135.4478311517187</v>
      </c>
      <c r="S31" s="133">
        <f>IF(SER_hh_emi!S31=0,0,1000000*SER_hh_emi!S31/SER_hh_num!S31)</f>
        <v>4105.1831022372817</v>
      </c>
      <c r="T31" s="133">
        <f>IF(SER_hh_emi!T31=0,0,1000000*SER_hh_emi!T31/SER_hh_num!T31)</f>
        <v>4085.0609929142533</v>
      </c>
      <c r="U31" s="133">
        <f>IF(SER_hh_emi!U31=0,0,1000000*SER_hh_emi!U31/SER_hh_num!U31)</f>
        <v>4173.773667381176</v>
      </c>
      <c r="V31" s="133">
        <f>IF(SER_hh_emi!V31=0,0,1000000*SER_hh_emi!V31/SER_hh_num!V31)</f>
        <v>3847.1689575597338</v>
      </c>
      <c r="W31" s="133">
        <f>IF(SER_hh_emi!W31=0,0,1000000*SER_hh_emi!W31/SER_hh_num!W31)</f>
        <v>3879.9230455165166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1731.9448483800484</v>
      </c>
      <c r="C32" s="133">
        <f>IF(SER_hh_emi!C32=0,0,1000000*SER_hh_emi!C32/SER_hh_num!C32)</f>
        <v>1850.8808435590465</v>
      </c>
      <c r="D32" s="133">
        <f>IF(SER_hh_emi!D32=0,0,1000000*SER_hh_emi!D32/SER_hh_num!D32)</f>
        <v>1966.8014207036908</v>
      </c>
      <c r="E32" s="133">
        <f>IF(SER_hh_emi!E32=0,0,1000000*SER_hh_emi!E32/SER_hh_num!E32)</f>
        <v>1812.7390383744512</v>
      </c>
      <c r="F32" s="133">
        <f>IF(SER_hh_emi!F32=0,0,1000000*SER_hh_emi!F32/SER_hh_num!F32)</f>
        <v>1395.4442796937244</v>
      </c>
      <c r="G32" s="133">
        <f>IF(SER_hh_emi!G32=0,0,1000000*SER_hh_emi!G32/SER_hh_num!G32)</f>
        <v>3454.501397081845</v>
      </c>
      <c r="H32" s="133">
        <f>IF(SER_hh_emi!H32=0,0,1000000*SER_hh_emi!H32/SER_hh_num!H32)</f>
        <v>2149.6112519545431</v>
      </c>
      <c r="I32" s="133">
        <f>IF(SER_hh_emi!I32=0,0,1000000*SER_hh_emi!I32/SER_hh_num!I32)</f>
        <v>1045.2497518727271</v>
      </c>
      <c r="J32" s="133">
        <f>IF(SER_hh_emi!J32=0,0,1000000*SER_hh_emi!J32/SER_hh_num!J32)</f>
        <v>205.84135426144044</v>
      </c>
      <c r="K32" s="133">
        <f>IF(SER_hh_emi!K32=0,0,1000000*SER_hh_emi!K32/SER_hh_num!K32)</f>
        <v>209.97832705106163</v>
      </c>
      <c r="L32" s="133">
        <f>IF(SER_hh_emi!L32=0,0,1000000*SER_hh_emi!L32/SER_hh_num!L32)</f>
        <v>200.98889302476593</v>
      </c>
      <c r="M32" s="133">
        <f>IF(SER_hh_emi!M32=0,0,1000000*SER_hh_emi!M32/SER_hh_num!M32)</f>
        <v>203.43396250050915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180.11153373562448</v>
      </c>
      <c r="C3" s="126">
        <f>IF(SER_hh_fech!C3=0,0,SER_hh_fech!C3/SER_summary!C$26)</f>
        <v>212.12125470093403</v>
      </c>
      <c r="D3" s="126">
        <f>IF(SER_hh_fech!D3=0,0,SER_hh_fech!D3/SER_summary!D$26)</f>
        <v>203.0709323057375</v>
      </c>
      <c r="E3" s="126">
        <f>IF(SER_hh_fech!E3=0,0,SER_hh_fech!E3/SER_summary!E$26)</f>
        <v>228.19207848922221</v>
      </c>
      <c r="F3" s="126">
        <f>IF(SER_hh_fech!F3=0,0,SER_hh_fech!F3/SER_summary!F$26)</f>
        <v>220.74730482251275</v>
      </c>
      <c r="G3" s="126">
        <f>IF(SER_hh_fech!G3=0,0,SER_hh_fech!G3/SER_summary!G$26)</f>
        <v>201.91922426114306</v>
      </c>
      <c r="H3" s="126">
        <f>IF(SER_hh_fech!H3=0,0,SER_hh_fech!H3/SER_summary!H$26)</f>
        <v>203.68874270833484</v>
      </c>
      <c r="I3" s="126">
        <f>IF(SER_hh_fech!I3=0,0,SER_hh_fech!I3/SER_summary!I$26)</f>
        <v>167.36093392844381</v>
      </c>
      <c r="J3" s="126">
        <f>IF(SER_hh_fech!J3=0,0,SER_hh_fech!J3/SER_summary!J$26)</f>
        <v>181.43331074774878</v>
      </c>
      <c r="K3" s="126">
        <f>IF(SER_hh_fech!K3=0,0,SER_hh_fech!K3/SER_summary!K$26)</f>
        <v>159.09648183356683</v>
      </c>
      <c r="L3" s="126">
        <f>IF(SER_hh_fech!L3=0,0,SER_hh_fech!L3/SER_summary!L$26)</f>
        <v>153.6106205926159</v>
      </c>
      <c r="M3" s="126">
        <f>IF(SER_hh_fech!M3=0,0,SER_hh_fech!M3/SER_summary!M$26)</f>
        <v>144.07547918677915</v>
      </c>
      <c r="N3" s="126">
        <f>IF(SER_hh_fech!N3=0,0,SER_hh_fech!N3/SER_summary!N$26)</f>
        <v>141.90722166226584</v>
      </c>
      <c r="O3" s="126">
        <f>IF(SER_hh_fech!O3=0,0,SER_hh_fech!O3/SER_summary!O$26)</f>
        <v>139.35874191482355</v>
      </c>
      <c r="P3" s="126">
        <f>IF(SER_hh_fech!P3=0,0,SER_hh_fech!P3/SER_summary!P$26)</f>
        <v>126.26091176308312</v>
      </c>
      <c r="Q3" s="126">
        <f>IF(SER_hh_fech!Q3=0,0,SER_hh_fech!Q3/SER_summary!Q$26)</f>
        <v>129.63977085999377</v>
      </c>
      <c r="R3" s="126">
        <f>IF(SER_hh_fech!R3=0,0,SER_hh_fech!R3/SER_summary!R$26)</f>
        <v>122.85272023752093</v>
      </c>
      <c r="S3" s="126">
        <f>IF(SER_hh_fech!S3=0,0,SER_hh_fech!S3/SER_summary!S$26)</f>
        <v>133.73059206380739</v>
      </c>
      <c r="T3" s="126">
        <f>IF(SER_hh_fech!T3=0,0,SER_hh_fech!T3/SER_summary!T$26)</f>
        <v>126.51981332522278</v>
      </c>
      <c r="U3" s="126">
        <f>IF(SER_hh_fech!U3=0,0,SER_hh_fech!U3/SER_summary!U$26)</f>
        <v>127.71856232695536</v>
      </c>
      <c r="V3" s="126">
        <f>IF(SER_hh_fech!V3=0,0,SER_hh_fech!V3/SER_summary!V$26)</f>
        <v>118.869598915157</v>
      </c>
      <c r="W3" s="126">
        <f>IF(SER_hh_fech!W3=0,0,SER_hh_fech!W3/SER_summary!W$26)</f>
        <v>129.64312274319451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139.56676004254149</v>
      </c>
      <c r="C4" s="131">
        <f>IF(SER_hh_fech!C4=0,0,SER_hh_fech!C4/SER_summary!C$26)</f>
        <v>170.70812199132251</v>
      </c>
      <c r="D4" s="131">
        <f>IF(SER_hh_fech!D4=0,0,SER_hh_fech!D4/SER_summary!D$26)</f>
        <v>160.37054579330533</v>
      </c>
      <c r="E4" s="131">
        <f>IF(SER_hh_fech!E4=0,0,SER_hh_fech!E4/SER_summary!E$26)</f>
        <v>184.42973559813925</v>
      </c>
      <c r="F4" s="131">
        <f>IF(SER_hh_fech!F4=0,0,SER_hh_fech!F4/SER_summary!F$26)</f>
        <v>176.97145717369762</v>
      </c>
      <c r="G4" s="131">
        <f>IF(SER_hh_fech!G4=0,0,SER_hh_fech!G4/SER_summary!G$26)</f>
        <v>158.18890836142828</v>
      </c>
      <c r="H4" s="131">
        <f>IF(SER_hh_fech!H4=0,0,SER_hh_fech!H4/SER_summary!H$26)</f>
        <v>160.35490352410531</v>
      </c>
      <c r="I4" s="131">
        <f>IF(SER_hh_fech!I4=0,0,SER_hh_fech!I4/SER_summary!I$26)</f>
        <v>124.77528656972287</v>
      </c>
      <c r="J4" s="131">
        <f>IF(SER_hh_fech!J4=0,0,SER_hh_fech!J4/SER_summary!J$26)</f>
        <v>139.67730710061608</v>
      </c>
      <c r="K4" s="131">
        <f>IF(SER_hh_fech!K4=0,0,SER_hh_fech!K4/SER_summary!K$26)</f>
        <v>115.46387664508168</v>
      </c>
      <c r="L4" s="131">
        <f>IF(SER_hh_fech!L4=0,0,SER_hh_fech!L4/SER_summary!L$26)</f>
        <v>110.68105349660135</v>
      </c>
      <c r="M4" s="131">
        <f>IF(SER_hh_fech!M4=0,0,SER_hh_fech!M4/SER_summary!M$26)</f>
        <v>101.38918106621007</v>
      </c>
      <c r="N4" s="131">
        <f>IF(SER_hh_fech!N4=0,0,SER_hh_fech!N4/SER_summary!N$26)</f>
        <v>100.31391640436738</v>
      </c>
      <c r="O4" s="131">
        <f>IF(SER_hh_fech!O4=0,0,SER_hh_fech!O4/SER_summary!O$26)</f>
        <v>97.630567560379987</v>
      </c>
      <c r="P4" s="131">
        <f>IF(SER_hh_fech!P4=0,0,SER_hh_fech!P4/SER_summary!P$26)</f>
        <v>84.336322142822652</v>
      </c>
      <c r="Q4" s="131">
        <f>IF(SER_hh_fech!Q4=0,0,SER_hh_fech!Q4/SER_summary!Q$26)</f>
        <v>87.749239932477337</v>
      </c>
      <c r="R4" s="131">
        <f>IF(SER_hh_fech!R4=0,0,SER_hh_fech!R4/SER_summary!R$26)</f>
        <v>81.385853326960927</v>
      </c>
      <c r="S4" s="131">
        <f>IF(SER_hh_fech!S4=0,0,SER_hh_fech!S4/SER_summary!S$26)</f>
        <v>92.640030253140168</v>
      </c>
      <c r="T4" s="131">
        <f>IF(SER_hh_fech!T4=0,0,SER_hh_fech!T4/SER_summary!T$26)</f>
        <v>86.202034395749095</v>
      </c>
      <c r="U4" s="131">
        <f>IF(SER_hh_fech!U4=0,0,SER_hh_fech!U4/SER_summary!U$26)</f>
        <v>88.03690970330851</v>
      </c>
      <c r="V4" s="131">
        <f>IF(SER_hh_fech!V4=0,0,SER_hh_fech!V4/SER_summary!V$26)</f>
        <v>81.233345151730788</v>
      </c>
      <c r="W4" s="131">
        <f>IF(SER_hh_fech!W4=0,0,SER_hh_fech!W4/SER_summary!W$26)</f>
        <v>92.082821147782596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161.2309901326511</v>
      </c>
      <c r="C5" s="133">
        <f>IF(SER_hh_fech!C5=0,0,SER_hh_fech!C5/SER_summary!C$26)</f>
        <v>193.66438595227709</v>
      </c>
      <c r="D5" s="133">
        <f>IF(SER_hh_fech!D5=0,0,SER_hh_fech!D5/SER_summary!D$26)</f>
        <v>154.10822807445422</v>
      </c>
      <c r="E5" s="133">
        <f>IF(SER_hh_fech!E5=0,0,SER_hh_fech!E5/SER_summary!E$26)</f>
        <v>231.6045138182325</v>
      </c>
      <c r="F5" s="133">
        <f>IF(SER_hh_fech!F5=0,0,SER_hh_fech!F5/SER_summary!F$26)</f>
        <v>197.37674556263312</v>
      </c>
      <c r="G5" s="133">
        <f>IF(SER_hh_fech!G5=0,0,SER_hh_fech!G5/SER_summary!G$26)</f>
        <v>192.6820371185479</v>
      </c>
      <c r="H5" s="133">
        <f>IF(SER_hh_fech!H5=0,0,SER_hh_fech!H5/SER_summary!H$26)</f>
        <v>180.08747358361117</v>
      </c>
      <c r="I5" s="133">
        <f>IF(SER_hh_fech!I5=0,0,SER_hh_fech!I5/SER_summary!I$26)</f>
        <v>176.07556121878071</v>
      </c>
      <c r="J5" s="133">
        <f>IF(SER_hh_fech!J5=0,0,SER_hh_fech!J5/SER_summary!J$26)</f>
        <v>147.08621205372719</v>
      </c>
      <c r="K5" s="133">
        <f>IF(SER_hh_fech!K5=0,0,SER_hh_fech!K5/SER_summary!K$26)</f>
        <v>136.56072807336491</v>
      </c>
      <c r="L5" s="133">
        <f>IF(SER_hh_fech!L5=0,0,SER_hh_fech!L5/SER_summary!L$26)</f>
        <v>189.16720059448934</v>
      </c>
      <c r="M5" s="133">
        <f>IF(SER_hh_fech!M5=0,0,SER_hh_fech!M5/SER_summary!M$26)</f>
        <v>185.29119821074778</v>
      </c>
      <c r="N5" s="133">
        <f>IF(SER_hh_fech!N5=0,0,SER_hh_fech!N5/SER_summary!N$26)</f>
        <v>7.6325763553859369</v>
      </c>
      <c r="O5" s="133">
        <f>IF(SER_hh_fech!O5=0,0,SER_hh_fech!O5/SER_summary!O$26)</f>
        <v>59.833352392046379</v>
      </c>
      <c r="P5" s="133">
        <f>IF(SER_hh_fech!P5=0,0,SER_hh_fech!P5/SER_summary!P$26)</f>
        <v>44.218493609343973</v>
      </c>
      <c r="Q5" s="133">
        <f>IF(SER_hh_fech!Q5=0,0,SER_hh_fech!Q5/SER_summary!Q$26)</f>
        <v>56.360789879758563</v>
      </c>
      <c r="R5" s="133">
        <f>IF(SER_hh_fech!R5=0,0,SER_hh_fech!R5/SER_summary!R$26)</f>
        <v>0</v>
      </c>
      <c r="S5" s="133">
        <f>IF(SER_hh_fech!S5=0,0,SER_hh_fech!S5/SER_summary!S$26)</f>
        <v>0</v>
      </c>
      <c r="T5" s="133">
        <f>IF(SER_hh_fech!T5=0,0,SER_hh_fech!T5/SER_summary!T$26)</f>
        <v>0</v>
      </c>
      <c r="U5" s="133">
        <f>IF(SER_hh_fech!U5=0,0,SER_hh_fech!U5/SER_summary!U$26)</f>
        <v>0</v>
      </c>
      <c r="V5" s="133">
        <f>IF(SER_hh_fech!V5=0,0,SER_hh_fech!V5/SER_summary!V$26)</f>
        <v>0</v>
      </c>
      <c r="W5" s="133">
        <f>IF(SER_hh_fech!W5=0,0,SER_hh_fech!W5/SER_summary!W$26)</f>
        <v>0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168.55611718394272</v>
      </c>
      <c r="C7" s="133">
        <f>IF(SER_hh_fech!C7=0,0,SER_hh_fech!C7/SER_summary!C$26)</f>
        <v>214.02682919534962</v>
      </c>
      <c r="D7" s="133">
        <f>IF(SER_hh_fech!D7=0,0,SER_hh_fech!D7/SER_summary!D$26)</f>
        <v>204.01466931821855</v>
      </c>
      <c r="E7" s="133">
        <f>IF(SER_hh_fech!E7=0,0,SER_hh_fech!E7/SER_summary!E$26)</f>
        <v>245.41266020220723</v>
      </c>
      <c r="F7" s="133">
        <f>IF(SER_hh_fech!F7=0,0,SER_hh_fech!F7/SER_summary!F$26)</f>
        <v>172.71782973478292</v>
      </c>
      <c r="G7" s="133">
        <f>IF(SER_hh_fech!G7=0,0,SER_hh_fech!G7/SER_summary!G$26)</f>
        <v>219.80463418178556</v>
      </c>
      <c r="H7" s="133">
        <f>IF(SER_hh_fech!H7=0,0,SER_hh_fech!H7/SER_summary!H$26)</f>
        <v>222.12701976644922</v>
      </c>
      <c r="I7" s="133">
        <f>IF(SER_hh_fech!I7=0,0,SER_hh_fech!I7/SER_summary!I$26)</f>
        <v>158.03464733773279</v>
      </c>
      <c r="J7" s="133">
        <f>IF(SER_hh_fech!J7=0,0,SER_hh_fech!J7/SER_summary!J$26)</f>
        <v>202.65724041617383</v>
      </c>
      <c r="K7" s="133">
        <f>IF(SER_hh_fech!K7=0,0,SER_hh_fech!K7/SER_summary!K$26)</f>
        <v>185.39451710326642</v>
      </c>
      <c r="L7" s="133">
        <f>IF(SER_hh_fech!L7=0,0,SER_hh_fech!L7/SER_summary!L$26)</f>
        <v>117.88845386850812</v>
      </c>
      <c r="M7" s="133">
        <f>IF(SER_hh_fech!M7=0,0,SER_hh_fech!M7/SER_summary!M$26)</f>
        <v>144.05872977826559</v>
      </c>
      <c r="N7" s="133">
        <f>IF(SER_hh_fech!N7=0,0,SER_hh_fech!N7/SER_summary!N$26)</f>
        <v>138.66219452898895</v>
      </c>
      <c r="O7" s="133">
        <f>IF(SER_hh_fech!O7=0,0,SER_hh_fech!O7/SER_summary!O$26)</f>
        <v>133.11785260278393</v>
      </c>
      <c r="P7" s="133">
        <f>IF(SER_hh_fech!P7=0,0,SER_hh_fech!P7/SER_summary!P$26)</f>
        <v>134.39678845075088</v>
      </c>
      <c r="Q7" s="133">
        <f>IF(SER_hh_fech!Q7=0,0,SER_hh_fech!Q7/SER_summary!Q$26)</f>
        <v>129.19936733858219</v>
      </c>
      <c r="R7" s="133">
        <f>IF(SER_hh_fech!R7=0,0,SER_hh_fech!R7/SER_summary!R$26)</f>
        <v>109.99959798352893</v>
      </c>
      <c r="S7" s="133">
        <f>IF(SER_hh_fech!S7=0,0,SER_hh_fech!S7/SER_summary!S$26)</f>
        <v>145.20921897040981</v>
      </c>
      <c r="T7" s="133">
        <f>IF(SER_hh_fech!T7=0,0,SER_hh_fech!T7/SER_summary!T$26)</f>
        <v>121.26960490774421</v>
      </c>
      <c r="U7" s="133">
        <f>IF(SER_hh_fech!U7=0,0,SER_hh_fech!U7/SER_summary!U$26)</f>
        <v>110.93639391702261</v>
      </c>
      <c r="V7" s="133">
        <f>IF(SER_hh_fech!V7=0,0,SER_hh_fech!V7/SER_summary!V$26)</f>
        <v>106.8284524942999</v>
      </c>
      <c r="W7" s="133">
        <f>IF(SER_hh_fech!W7=0,0,SER_hh_fech!W7/SER_summary!W$26)</f>
        <v>135.19695476061932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83.930345826461163</v>
      </c>
      <c r="C8" s="133">
        <f>IF(SER_hh_fech!C8=0,0,SER_hh_fech!C8/SER_summary!C$26)</f>
        <v>103.70652076550822</v>
      </c>
      <c r="D8" s="133">
        <f>IF(SER_hh_fech!D8=0,0,SER_hh_fech!D8/SER_summary!D$26)</f>
        <v>95.193834786995836</v>
      </c>
      <c r="E8" s="133">
        <f>IF(SER_hh_fech!E8=0,0,SER_hh_fech!E8/SER_summary!E$26)</f>
        <v>107.29999769872289</v>
      </c>
      <c r="F8" s="133">
        <f>IF(SER_hh_fech!F8=0,0,SER_hh_fech!F8/SER_summary!F$26)</f>
        <v>103.80290159281266</v>
      </c>
      <c r="G8" s="133">
        <f>IF(SER_hh_fech!G8=0,0,SER_hh_fech!G8/SER_summary!G$26)</f>
        <v>93.218047504402691</v>
      </c>
      <c r="H8" s="133">
        <f>IF(SER_hh_fech!H8=0,0,SER_hh_fech!H8/SER_summary!H$26)</f>
        <v>95.51410687159472</v>
      </c>
      <c r="I8" s="133">
        <f>IF(SER_hh_fech!I8=0,0,SER_hh_fech!I8/SER_summary!I$26)</f>
        <v>74.430507747547622</v>
      </c>
      <c r="J8" s="133">
        <f>IF(SER_hh_fech!J8=0,0,SER_hh_fech!J8/SER_summary!J$26)</f>
        <v>83.247936268028425</v>
      </c>
      <c r="K8" s="133">
        <f>IF(SER_hh_fech!K8=0,0,SER_hh_fech!K8/SER_summary!K$26)</f>
        <v>68.66089991105369</v>
      </c>
      <c r="L8" s="133">
        <f>IF(SER_hh_fech!L8=0,0,SER_hh_fech!L8/SER_summary!L$26)</f>
        <v>67.069131564962333</v>
      </c>
      <c r="M8" s="133">
        <f>IF(SER_hh_fech!M8=0,0,SER_hh_fech!M8/SER_summary!M$26)</f>
        <v>63.140736078373372</v>
      </c>
      <c r="N8" s="133">
        <f>IF(SER_hh_fech!N8=0,0,SER_hh_fech!N8/SER_summary!N$26)</f>
        <v>60.664847478500803</v>
      </c>
      <c r="O8" s="133">
        <f>IF(SER_hh_fech!O8=0,0,SER_hh_fech!O8/SER_summary!O$26)</f>
        <v>54.935504387620725</v>
      </c>
      <c r="P8" s="133">
        <f>IF(SER_hh_fech!P8=0,0,SER_hh_fech!P8/SER_summary!P$26)</f>
        <v>49.736608421330907</v>
      </c>
      <c r="Q8" s="133">
        <f>IF(SER_hh_fech!Q8=0,0,SER_hh_fech!Q8/SER_summary!Q$26)</f>
        <v>47.122398247788077</v>
      </c>
      <c r="R8" s="133">
        <f>IF(SER_hh_fech!R8=0,0,SER_hh_fech!R8/SER_summary!R$26)</f>
        <v>44.615593679278483</v>
      </c>
      <c r="S8" s="133">
        <f>IF(SER_hh_fech!S8=0,0,SER_hh_fech!S8/SER_summary!S$26)</f>
        <v>46.497493199933942</v>
      </c>
      <c r="T8" s="133">
        <f>IF(SER_hh_fech!T8=0,0,SER_hh_fech!T8/SER_summary!T$26)</f>
        <v>41.693069910681452</v>
      </c>
      <c r="U8" s="133">
        <f>IF(SER_hh_fech!U8=0,0,SER_hh_fech!U8/SER_summary!U$26)</f>
        <v>41.836359839936854</v>
      </c>
      <c r="V8" s="133">
        <f>IF(SER_hh_fech!V8=0,0,SER_hh_fech!V8/SER_summary!V$26)</f>
        <v>34.944177099034057</v>
      </c>
      <c r="W8" s="133">
        <f>IF(SER_hh_fech!W8=0,0,SER_hh_fech!W8/SER_summary!W$26)</f>
        <v>37.906101375747546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151.37409526653795</v>
      </c>
      <c r="C9" s="133">
        <f>IF(SER_hh_fech!C9=0,0,SER_hh_fech!C9/SER_summary!C$26)</f>
        <v>202.70637221154928</v>
      </c>
      <c r="D9" s="133">
        <f>IF(SER_hh_fech!D9=0,0,SER_hh_fech!D9/SER_summary!D$26)</f>
        <v>174.91875231527806</v>
      </c>
      <c r="E9" s="133">
        <f>IF(SER_hh_fech!E9=0,0,SER_hh_fech!E9/SER_summary!E$26)</f>
        <v>202.59035930721814</v>
      </c>
      <c r="F9" s="133">
        <f>IF(SER_hh_fech!F9=0,0,SER_hh_fech!F9/SER_summary!F$26)</f>
        <v>265.56242479129372</v>
      </c>
      <c r="G9" s="133">
        <f>IF(SER_hh_fech!G9=0,0,SER_hh_fech!G9/SER_summary!G$26)</f>
        <v>149.75605883544068</v>
      </c>
      <c r="H9" s="133">
        <f>IF(SER_hh_fech!H9=0,0,SER_hh_fech!H9/SER_summary!H$26)</f>
        <v>184.85332961488234</v>
      </c>
      <c r="I9" s="133">
        <f>IF(SER_hh_fech!I9=0,0,SER_hh_fech!I9/SER_summary!I$26)</f>
        <v>155.00721533805168</v>
      </c>
      <c r="J9" s="133">
        <f>IF(SER_hh_fech!J9=0,0,SER_hh_fech!J9/SER_summary!J$26)</f>
        <v>180.74592079522782</v>
      </c>
      <c r="K9" s="133">
        <f>IF(SER_hh_fech!K9=0,0,SER_hh_fech!K9/SER_summary!K$26)</f>
        <v>137.52386030414564</v>
      </c>
      <c r="L9" s="133">
        <f>IF(SER_hh_fech!L9=0,0,SER_hh_fech!L9/SER_summary!L$26)</f>
        <v>147.97501021353119</v>
      </c>
      <c r="M9" s="133">
        <f>IF(SER_hh_fech!M9=0,0,SER_hh_fech!M9/SER_summary!M$26)</f>
        <v>119.29210975545375</v>
      </c>
      <c r="N9" s="133">
        <f>IF(SER_hh_fech!N9=0,0,SER_hh_fech!N9/SER_summary!N$26)</f>
        <v>133.77440198859273</v>
      </c>
      <c r="O9" s="133">
        <f>IF(SER_hh_fech!O9=0,0,SER_hh_fech!O9/SER_summary!O$26)</f>
        <v>130.26374264965014</v>
      </c>
      <c r="P9" s="133">
        <f>IF(SER_hh_fech!P9=0,0,SER_hh_fech!P9/SER_summary!P$26)</f>
        <v>96.621034045698892</v>
      </c>
      <c r="Q9" s="133">
        <f>IF(SER_hh_fech!Q9=0,0,SER_hh_fech!Q9/SER_summary!Q$26)</f>
        <v>111.28288003716182</v>
      </c>
      <c r="R9" s="133">
        <f>IF(SER_hh_fech!R9=0,0,SER_hh_fech!R9/SER_summary!R$26)</f>
        <v>99.538567959831326</v>
      </c>
      <c r="S9" s="133">
        <f>IF(SER_hh_fech!S9=0,0,SER_hh_fech!S9/SER_summary!S$26)</f>
        <v>110.90908101201005</v>
      </c>
      <c r="T9" s="133">
        <f>IF(SER_hh_fech!T9=0,0,SER_hh_fech!T9/SER_summary!T$26)</f>
        <v>103.38702889369561</v>
      </c>
      <c r="U9" s="133">
        <f>IF(SER_hh_fech!U9=0,0,SER_hh_fech!U9/SER_summary!U$26)</f>
        <v>111.6982147469439</v>
      </c>
      <c r="V9" s="133">
        <f>IF(SER_hh_fech!V9=0,0,SER_hh_fech!V9/SER_summary!V$26)</f>
        <v>117.19766959817251</v>
      </c>
      <c r="W9" s="133">
        <f>IF(SER_hh_fech!W9=0,0,SER_hh_fech!W9/SER_summary!W$26)</f>
        <v>129.63110123857484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188.44805037479463</v>
      </c>
      <c r="C10" s="133">
        <f>IF(SER_hh_fech!C10=0,0,SER_hh_fech!C10/SER_summary!C$26)</f>
        <v>207.59625701328517</v>
      </c>
      <c r="D10" s="133">
        <f>IF(SER_hh_fech!D10=0,0,SER_hh_fech!D10/SER_summary!D$26)</f>
        <v>199.42739042715988</v>
      </c>
      <c r="E10" s="133">
        <f>IF(SER_hh_fech!E10=0,0,SER_hh_fech!E10/SER_summary!E$26)</f>
        <v>229.59204380033705</v>
      </c>
      <c r="F10" s="133">
        <f>IF(SER_hh_fech!F10=0,0,SER_hh_fech!F10/SER_summary!F$26)</f>
        <v>240.02779652638827</v>
      </c>
      <c r="G10" s="133">
        <f>IF(SER_hh_fech!G10=0,0,SER_hh_fech!G10/SER_summary!G$26)</f>
        <v>192.76680192000285</v>
      </c>
      <c r="H10" s="133">
        <f>IF(SER_hh_fech!H10=0,0,SER_hh_fech!H10/SER_summary!H$26)</f>
        <v>207.66378484052919</v>
      </c>
      <c r="I10" s="133">
        <f>IF(SER_hh_fech!I10=0,0,SER_hh_fech!I10/SER_summary!I$26)</f>
        <v>190.73593107404579</v>
      </c>
      <c r="J10" s="133">
        <f>IF(SER_hh_fech!J10=0,0,SER_hh_fech!J10/SER_summary!J$26)</f>
        <v>159.1796978999337</v>
      </c>
      <c r="K10" s="133">
        <f>IF(SER_hh_fech!K10=0,0,SER_hh_fech!K10/SER_summary!K$26)</f>
        <v>151.72079490213625</v>
      </c>
      <c r="L10" s="133">
        <f>IF(SER_hh_fech!L10=0,0,SER_hh_fech!L10/SER_summary!L$26)</f>
        <v>187.91885499036016</v>
      </c>
      <c r="M10" s="133">
        <f>IF(SER_hh_fech!M10=0,0,SER_hh_fech!M10/SER_summary!M$26)</f>
        <v>156.78339508426524</v>
      </c>
      <c r="N10" s="133">
        <f>IF(SER_hh_fech!N10=0,0,SER_hh_fech!N10/SER_summary!N$26)</f>
        <v>112.35349970943571</v>
      </c>
      <c r="O10" s="133">
        <f>IF(SER_hh_fech!O10=0,0,SER_hh_fech!O10/SER_summary!O$26)</f>
        <v>150.44713639250548</v>
      </c>
      <c r="P10" s="133">
        <f>IF(SER_hh_fech!P10=0,0,SER_hh_fech!P10/SER_summary!P$26)</f>
        <v>119.98760661771759</v>
      </c>
      <c r="Q10" s="133">
        <f>IF(SER_hh_fech!Q10=0,0,SER_hh_fech!Q10/SER_summary!Q$26)</f>
        <v>148.47316157631337</v>
      </c>
      <c r="R10" s="133">
        <f>IF(SER_hh_fech!R10=0,0,SER_hh_fech!R10/SER_summary!R$26)</f>
        <v>100.28967091328693</v>
      </c>
      <c r="S10" s="133">
        <f>IF(SER_hh_fech!S10=0,0,SER_hh_fech!S10/SER_summary!S$26)</f>
        <v>154.93226295432399</v>
      </c>
      <c r="T10" s="133">
        <f>IF(SER_hh_fech!T10=0,0,SER_hh_fech!T10/SER_summary!T$26)</f>
        <v>142.98721276541141</v>
      </c>
      <c r="U10" s="133">
        <f>IF(SER_hh_fech!U10=0,0,SER_hh_fech!U10/SER_summary!U$26)</f>
        <v>144.720345269353</v>
      </c>
      <c r="V10" s="133">
        <f>IF(SER_hh_fech!V10=0,0,SER_hh_fech!V10/SER_summary!V$26)</f>
        <v>130.60863128827751</v>
      </c>
      <c r="W10" s="133">
        <f>IF(SER_hh_fech!W10=0,0,SER_hh_fech!W10/SER_summary!W$26)</f>
        <v>146.29087132187607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118.49658130877043</v>
      </c>
      <c r="C11" s="133">
        <f>IF(SER_hh_fech!C11=0,0,SER_hh_fech!C11/SER_summary!C$26)</f>
        <v>104.31640154682597</v>
      </c>
      <c r="D11" s="133">
        <f>IF(SER_hh_fech!D11=0,0,SER_hh_fech!D11/SER_summary!D$26)</f>
        <v>156.07440149327377</v>
      </c>
      <c r="E11" s="133">
        <f>IF(SER_hh_fech!E11=0,0,SER_hh_fech!E11/SER_summary!E$26)</f>
        <v>128.46360253522855</v>
      </c>
      <c r="F11" s="133">
        <f>IF(SER_hh_fech!F11=0,0,SER_hh_fech!F11/SER_summary!F$26)</f>
        <v>127.24841260376657</v>
      </c>
      <c r="G11" s="133">
        <f>IF(SER_hh_fech!G11=0,0,SER_hh_fech!G11/SER_summary!G$26)</f>
        <v>138.10295333676683</v>
      </c>
      <c r="H11" s="133">
        <f>IF(SER_hh_fech!H11=0,0,SER_hh_fech!H11/SER_summary!H$26)</f>
        <v>129.87485708997517</v>
      </c>
      <c r="I11" s="133">
        <f>IF(SER_hh_fech!I11=0,0,SER_hh_fech!I11/SER_summary!I$26)</f>
        <v>108.88561303833222</v>
      </c>
      <c r="J11" s="133">
        <f>IF(SER_hh_fech!J11=0,0,SER_hh_fech!J11/SER_summary!J$26)</f>
        <v>109.06134459172272</v>
      </c>
      <c r="K11" s="133">
        <f>IF(SER_hh_fech!K11=0,0,SER_hh_fech!K11/SER_summary!K$26)</f>
        <v>106.42344149374883</v>
      </c>
      <c r="L11" s="133">
        <f>IF(SER_hh_fech!L11=0,0,SER_hh_fech!L11/SER_summary!L$26)</f>
        <v>109.92912870226155</v>
      </c>
      <c r="M11" s="133">
        <f>IF(SER_hh_fech!M11=0,0,SER_hh_fech!M11/SER_summary!M$26)</f>
        <v>90.721642937851755</v>
      </c>
      <c r="N11" s="133">
        <f>IF(SER_hh_fech!N11=0,0,SER_hh_fech!N11/SER_summary!N$26)</f>
        <v>106.24518537494328</v>
      </c>
      <c r="O11" s="133">
        <f>IF(SER_hh_fech!O11=0,0,SER_hh_fech!O11/SER_summary!O$26)</f>
        <v>100.69116088111736</v>
      </c>
      <c r="P11" s="133">
        <f>IF(SER_hh_fech!P11=0,0,SER_hh_fech!P11/SER_summary!P$26)</f>
        <v>81.890133321992622</v>
      </c>
      <c r="Q11" s="133">
        <f>IF(SER_hh_fech!Q11=0,0,SER_hh_fech!Q11/SER_summary!Q$26)</f>
        <v>85.510021623239595</v>
      </c>
      <c r="R11" s="133">
        <f>IF(SER_hh_fech!R11=0,0,SER_hh_fech!R11/SER_summary!R$26)</f>
        <v>76.01072913814582</v>
      </c>
      <c r="S11" s="133">
        <f>IF(SER_hh_fech!S11=0,0,SER_hh_fech!S11/SER_summary!S$26)</f>
        <v>110.11943324971882</v>
      </c>
      <c r="T11" s="133">
        <f>IF(SER_hh_fech!T11=0,0,SER_hh_fech!T11/SER_summary!T$26)</f>
        <v>94.197699947887742</v>
      </c>
      <c r="U11" s="133">
        <f>IF(SER_hh_fech!U11=0,0,SER_hh_fech!U11/SER_summary!U$26)</f>
        <v>92.946937480840603</v>
      </c>
      <c r="V11" s="133">
        <f>IF(SER_hh_fech!V11=0,0,SER_hh_fech!V11/SER_summary!V$26)</f>
        <v>94.414853296267111</v>
      </c>
      <c r="W11" s="133">
        <f>IF(SER_hh_fech!W11=0,0,SER_hh_fech!W11/SER_summary!W$26)</f>
        <v>82.120192210285609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110.07880681904417</v>
      </c>
      <c r="C12" s="133">
        <f>IF(SER_hh_fech!C12=0,0,SER_hh_fech!C12/SER_summary!C$26)</f>
        <v>119.44116287305353</v>
      </c>
      <c r="D12" s="133">
        <f>IF(SER_hh_fech!D12=0,0,SER_hh_fech!D12/SER_summary!D$26)</f>
        <v>123.58343692696795</v>
      </c>
      <c r="E12" s="133">
        <f>IF(SER_hh_fech!E12=0,0,SER_hh_fech!E12/SER_summary!E$26)</f>
        <v>130.02929842833154</v>
      </c>
      <c r="F12" s="133">
        <f>IF(SER_hh_fech!F12=0,0,SER_hh_fech!F12/SER_summary!F$26)</f>
        <v>125.88623958623491</v>
      </c>
      <c r="G12" s="133">
        <f>IF(SER_hh_fech!G12=0,0,SER_hh_fech!G12/SER_summary!G$26)</f>
        <v>134.19351214031173</v>
      </c>
      <c r="H12" s="133">
        <f>IF(SER_hh_fech!H12=0,0,SER_hh_fech!H12/SER_summary!H$26)</f>
        <v>130.14232934612431</v>
      </c>
      <c r="I12" s="133">
        <f>IF(SER_hh_fech!I12=0,0,SER_hh_fech!I12/SER_summary!I$26)</f>
        <v>103.63630858558868</v>
      </c>
      <c r="J12" s="133">
        <f>IF(SER_hh_fech!J12=0,0,SER_hh_fech!J12/SER_summary!J$26)</f>
        <v>109.67414107301003</v>
      </c>
      <c r="K12" s="133">
        <f>IF(SER_hh_fech!K12=0,0,SER_hh_fech!K12/SER_summary!K$26)</f>
        <v>106.53128249858457</v>
      </c>
      <c r="L12" s="133">
        <f>IF(SER_hh_fech!L12=0,0,SER_hh_fech!L12/SER_summary!L$26)</f>
        <v>105.71972816636622</v>
      </c>
      <c r="M12" s="133">
        <f>IF(SER_hh_fech!M12=0,0,SER_hh_fech!M12/SER_summary!M$26)</f>
        <v>99.692867301532203</v>
      </c>
      <c r="N12" s="133">
        <f>IF(SER_hh_fech!N12=0,0,SER_hh_fech!N12/SER_summary!N$26)</f>
        <v>100.26652979956761</v>
      </c>
      <c r="O12" s="133">
        <f>IF(SER_hh_fech!O12=0,0,SER_hh_fech!O12/SER_summary!O$26)</f>
        <v>97.406414686671525</v>
      </c>
      <c r="P12" s="133">
        <f>IF(SER_hh_fech!P12=0,0,SER_hh_fech!P12/SER_summary!P$26)</f>
        <v>85.302132149676012</v>
      </c>
      <c r="Q12" s="133">
        <f>IF(SER_hh_fech!Q12=0,0,SER_hh_fech!Q12/SER_summary!Q$26)</f>
        <v>87.973292843957097</v>
      </c>
      <c r="R12" s="133">
        <f>IF(SER_hh_fech!R12=0,0,SER_hh_fech!R12/SER_summary!R$26)</f>
        <v>92.676930656989583</v>
      </c>
      <c r="S12" s="133">
        <f>IF(SER_hh_fech!S12=0,0,SER_hh_fech!S12/SER_summary!S$26)</f>
        <v>97.198348613132154</v>
      </c>
      <c r="T12" s="133">
        <f>IF(SER_hh_fech!T12=0,0,SER_hh_fech!T12/SER_summary!T$26)</f>
        <v>89.912416222202864</v>
      </c>
      <c r="U12" s="133">
        <f>IF(SER_hh_fech!U12=0,0,SER_hh_fech!U12/SER_summary!U$26)</f>
        <v>93.862458917715756</v>
      </c>
      <c r="V12" s="133">
        <f>IF(SER_hh_fech!V12=0,0,SER_hh_fech!V12/SER_summary!V$26)</f>
        <v>85.234356305380572</v>
      </c>
      <c r="W12" s="133">
        <f>IF(SER_hh_fech!W12=0,0,SER_hh_fech!W12/SER_summary!W$26)</f>
        <v>98.602475075257772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59.965253681636554</v>
      </c>
      <c r="C13" s="133">
        <f>IF(SER_hh_fech!C13=0,0,SER_hh_fech!C13/SER_summary!C$26)</f>
        <v>63.850761305798741</v>
      </c>
      <c r="D13" s="133">
        <f>IF(SER_hh_fech!D13=0,0,SER_hh_fech!D13/SER_summary!D$26)</f>
        <v>64.436524818466467</v>
      </c>
      <c r="E13" s="133">
        <f>IF(SER_hh_fech!E13=0,0,SER_hh_fech!E13/SER_summary!E$26)</f>
        <v>67.02106632239061</v>
      </c>
      <c r="F13" s="133">
        <f>IF(SER_hh_fech!F13=0,0,SER_hh_fech!F13/SER_summary!F$26)</f>
        <v>65.341009003040327</v>
      </c>
      <c r="G13" s="133">
        <f>IF(SER_hh_fech!G13=0,0,SER_hh_fech!G13/SER_summary!G$26)</f>
        <v>62.800339579479129</v>
      </c>
      <c r="H13" s="133">
        <f>IF(SER_hh_fech!H13=0,0,SER_hh_fech!H13/SER_summary!H$26)</f>
        <v>59.390795085391858</v>
      </c>
      <c r="I13" s="133">
        <f>IF(SER_hh_fech!I13=0,0,SER_hh_fech!I13/SER_summary!I$26)</f>
        <v>49.044188259698899</v>
      </c>
      <c r="J13" s="133">
        <f>IF(SER_hh_fech!J13=0,0,SER_hh_fech!J13/SER_summary!J$26)</f>
        <v>55.055659279569994</v>
      </c>
      <c r="K13" s="133">
        <f>IF(SER_hh_fech!K13=0,0,SER_hh_fech!K13/SER_summary!K$26)</f>
        <v>42.433514899756673</v>
      </c>
      <c r="L13" s="133">
        <f>IF(SER_hh_fech!L13=0,0,SER_hh_fech!L13/SER_summary!L$26)</f>
        <v>40.773536995696816</v>
      </c>
      <c r="M13" s="133">
        <f>IF(SER_hh_fech!M13=0,0,SER_hh_fech!M13/SER_summary!M$26)</f>
        <v>39.939027957303097</v>
      </c>
      <c r="N13" s="133">
        <f>IF(SER_hh_fech!N13=0,0,SER_hh_fech!N13/SER_summary!N$26)</f>
        <v>37.210478648215577</v>
      </c>
      <c r="O13" s="133">
        <f>IF(SER_hh_fech!O13=0,0,SER_hh_fech!O13/SER_summary!O$26)</f>
        <v>35.656002184214415</v>
      </c>
      <c r="P13" s="133">
        <f>IF(SER_hh_fech!P13=0,0,SER_hh_fech!P13/SER_summary!P$26)</f>
        <v>35.681642887842173</v>
      </c>
      <c r="Q13" s="133">
        <f>IF(SER_hh_fech!Q13=0,0,SER_hh_fech!Q13/SER_summary!Q$26)</f>
        <v>29.319001148844468</v>
      </c>
      <c r="R13" s="133">
        <f>IF(SER_hh_fech!R13=0,0,SER_hh_fech!R13/SER_summary!R$26)</f>
        <v>29.137471916298047</v>
      </c>
      <c r="S13" s="133">
        <f>IF(SER_hh_fech!S13=0,0,SER_hh_fech!S13/SER_summary!S$26)</f>
        <v>30.812052183988069</v>
      </c>
      <c r="T13" s="133">
        <f>IF(SER_hh_fech!T13=0,0,SER_hh_fech!T13/SER_summary!T$26)</f>
        <v>29.147149535531369</v>
      </c>
      <c r="U13" s="133">
        <f>IF(SER_hh_fech!U13=0,0,SER_hh_fech!U13/SER_summary!U$26)</f>
        <v>32.542264221619547</v>
      </c>
      <c r="V13" s="133">
        <f>IF(SER_hh_fech!V13=0,0,SER_hh_fech!V13/SER_summary!V$26)</f>
        <v>21.264238713437614</v>
      </c>
      <c r="W13" s="133">
        <f>IF(SER_hh_fech!W13=0,0,SER_hh_fech!W13/SER_summary!W$26)</f>
        <v>19.657870122557906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127.48918270110595</v>
      </c>
      <c r="C14" s="65">
        <f>IF(SER_hh_fech!C14=0,0,SER_hh_fech!C14/SER_summary!C$26)</f>
        <v>137.14087842033388</v>
      </c>
      <c r="D14" s="65">
        <f>IF(SER_hh_fech!D14=0,0,SER_hh_fech!D14/SER_summary!D$26)</f>
        <v>135.70882243328626</v>
      </c>
      <c r="E14" s="65">
        <f>IF(SER_hh_fech!E14=0,0,SER_hh_fech!E14/SER_summary!E$26)</f>
        <v>161.66576210836993</v>
      </c>
      <c r="F14" s="65">
        <f>IF(SER_hh_fech!F14=0,0,SER_hh_fech!F14/SER_summary!F$26)</f>
        <v>119.12821481713588</v>
      </c>
      <c r="G14" s="65">
        <f>IF(SER_hh_fech!G14=0,0,SER_hh_fech!G14/SER_summary!G$26)</f>
        <v>159.87296021627409</v>
      </c>
      <c r="H14" s="65">
        <f>IF(SER_hh_fech!H14=0,0,SER_hh_fech!H14/SER_summary!H$26)</f>
        <v>145.63211291085929</v>
      </c>
      <c r="I14" s="65">
        <f>IF(SER_hh_fech!I14=0,0,SER_hh_fech!I14/SER_summary!I$26)</f>
        <v>124.84857863871079</v>
      </c>
      <c r="J14" s="65">
        <f>IF(SER_hh_fech!J14=0,0,SER_hh_fech!J14/SER_summary!J$26)</f>
        <v>151.09732788215439</v>
      </c>
      <c r="K14" s="65">
        <f>IF(SER_hh_fech!K14=0,0,SER_hh_fech!K14/SER_summary!K$26)</f>
        <v>88.875624014624393</v>
      </c>
      <c r="L14" s="65">
        <f>IF(SER_hh_fech!L14=0,0,SER_hh_fech!L14/SER_summary!L$26)</f>
        <v>122.83050461343161</v>
      </c>
      <c r="M14" s="65">
        <f>IF(SER_hh_fech!M14=0,0,SER_hh_fech!M14/SER_summary!M$26)</f>
        <v>109.90075768868196</v>
      </c>
      <c r="N14" s="65">
        <f>IF(SER_hh_fech!N14=0,0,SER_hh_fech!N14/SER_summary!N$26)</f>
        <v>108.67282129043056</v>
      </c>
      <c r="O14" s="65">
        <f>IF(SER_hh_fech!O14=0,0,SER_hh_fech!O14/SER_summary!O$26)</f>
        <v>108.12718821422112</v>
      </c>
      <c r="P14" s="65">
        <f>IF(SER_hh_fech!P14=0,0,SER_hh_fech!P14/SER_summary!P$26)</f>
        <v>97.941278638982013</v>
      </c>
      <c r="Q14" s="65">
        <f>IF(SER_hh_fech!Q14=0,0,SER_hh_fech!Q14/SER_summary!Q$26)</f>
        <v>111.95142777977598</v>
      </c>
      <c r="R14" s="65">
        <f>IF(SER_hh_fech!R14=0,0,SER_hh_fech!R14/SER_summary!R$26)</f>
        <v>59.5572720781133</v>
      </c>
      <c r="S14" s="65">
        <f>IF(SER_hh_fech!S14=0,0,SER_hh_fech!S14/SER_summary!S$26)</f>
        <v>97.819542605159256</v>
      </c>
      <c r="T14" s="65">
        <f>IF(SER_hh_fech!T14=0,0,SER_hh_fech!T14/SER_summary!T$26)</f>
        <v>115.29375683448386</v>
      </c>
      <c r="U14" s="65">
        <f>IF(SER_hh_fech!U14=0,0,SER_hh_fech!U14/SER_summary!U$26)</f>
        <v>98.950090812973215</v>
      </c>
      <c r="V14" s="65">
        <f>IF(SER_hh_fech!V14=0,0,SER_hh_fech!V14/SER_summary!V$26)</f>
        <v>94.992135743716702</v>
      </c>
      <c r="W14" s="65">
        <f>IF(SER_hh_fech!W14=0,0,SER_hh_fech!W14/SER_summary!W$26)</f>
        <v>96.550547219063617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1.1971045875008355</v>
      </c>
      <c r="C15" s="135">
        <f>IF(SER_hh_fech!C15=0,0,SER_hh_fech!C15/SER_summary!C$26)</f>
        <v>1.5635104811281957</v>
      </c>
      <c r="D15" s="135">
        <f>IF(SER_hh_fech!D15=0,0,SER_hh_fech!D15/SER_summary!D$26)</f>
        <v>1.4246831637268986</v>
      </c>
      <c r="E15" s="135">
        <f>IF(SER_hh_fech!E15=0,0,SER_hh_fech!E15/SER_summary!E$26)</f>
        <v>1.6402058271524724</v>
      </c>
      <c r="F15" s="135">
        <f>IF(SER_hh_fech!F15=0,0,SER_hh_fech!F15/SER_summary!F$26)</f>
        <v>1.6301708078891128</v>
      </c>
      <c r="G15" s="135">
        <f>IF(SER_hh_fech!G15=0,0,SER_hh_fech!G15/SER_summary!G$26)</f>
        <v>1.2576739790142222</v>
      </c>
      <c r="H15" s="135">
        <f>IF(SER_hh_fech!H15=0,0,SER_hh_fech!H15/SER_summary!H$26)</f>
        <v>1.2992478769054654</v>
      </c>
      <c r="I15" s="135">
        <f>IF(SER_hh_fech!I15=0,0,SER_hh_fech!I15/SER_summary!I$26)</f>
        <v>0.94833396492001532</v>
      </c>
      <c r="J15" s="135">
        <f>IF(SER_hh_fech!J15=0,0,SER_hh_fech!J15/SER_summary!J$26)</f>
        <v>1.0483136302256</v>
      </c>
      <c r="K15" s="135">
        <f>IF(SER_hh_fech!K15=0,0,SER_hh_fech!K15/SER_summary!K$26)</f>
        <v>0.85489304825501156</v>
      </c>
      <c r="L15" s="135">
        <f>IF(SER_hh_fech!L15=0,0,SER_hh_fech!L15/SER_summary!L$26)</f>
        <v>0.72843778107780266</v>
      </c>
      <c r="M15" s="135">
        <f>IF(SER_hh_fech!M15=0,0,SER_hh_fech!M15/SER_summary!M$26)</f>
        <v>0.661216246358451</v>
      </c>
      <c r="N15" s="135">
        <f>IF(SER_hh_fech!N15=0,0,SER_hh_fech!N15/SER_summary!N$26)</f>
        <v>0.69627381202900285</v>
      </c>
      <c r="O15" s="135">
        <f>IF(SER_hh_fech!O15=0,0,SER_hh_fech!O15/SER_summary!O$26)</f>
        <v>0.71017598899235046</v>
      </c>
      <c r="P15" s="135">
        <f>IF(SER_hh_fech!P15=0,0,SER_hh_fech!P15/SER_summary!P$26)</f>
        <v>0.60317921753749781</v>
      </c>
      <c r="Q15" s="135">
        <f>IF(SER_hh_fech!Q15=0,0,SER_hh_fech!Q15/SER_summary!Q$26)</f>
        <v>0.64580028787657906</v>
      </c>
      <c r="R15" s="135">
        <f>IF(SER_hh_fech!R15=0,0,SER_hh_fech!R15/SER_summary!R$26)</f>
        <v>0.60468069927278445</v>
      </c>
      <c r="S15" s="135">
        <f>IF(SER_hh_fech!S15=0,0,SER_hh_fech!S15/SER_summary!S$26)</f>
        <v>0.70524061362629575</v>
      </c>
      <c r="T15" s="135">
        <f>IF(SER_hh_fech!T15=0,0,SER_hh_fech!T15/SER_summary!T$26)</f>
        <v>0.64806363660932786</v>
      </c>
      <c r="U15" s="135">
        <f>IF(SER_hh_fech!U15=0,0,SER_hh_fech!U15/SER_summary!U$26)</f>
        <v>0.67246911630702255</v>
      </c>
      <c r="V15" s="135">
        <f>IF(SER_hh_fech!V15=0,0,SER_hh_fech!V15/SER_summary!V$26)</f>
        <v>0.6487684382520621</v>
      </c>
      <c r="W15" s="135">
        <f>IF(SER_hh_fech!W15=0,0,SER_hh_fech!W15/SER_summary!W$26)</f>
        <v>0.76638040705680144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12.071619442230352</v>
      </c>
      <c r="C16" s="131">
        <f>IF(SER_hh_fech!C16=0,0,SER_hh_fech!C16/SER_summary!C$26)</f>
        <v>11.556839792615584</v>
      </c>
      <c r="D16" s="131">
        <f>IF(SER_hh_fech!D16=0,0,SER_hh_fech!D16/SER_summary!D$26)</f>
        <v>11.148392764987625</v>
      </c>
      <c r="E16" s="131">
        <f>IF(SER_hh_fech!E16=0,0,SER_hh_fech!E16/SER_summary!E$26)</f>
        <v>11.991642412191194</v>
      </c>
      <c r="F16" s="131">
        <f>IF(SER_hh_fech!F16=0,0,SER_hh_fech!F16/SER_summary!F$26)</f>
        <v>10.17437793200742</v>
      </c>
      <c r="G16" s="131">
        <f>IF(SER_hh_fech!G16=0,0,SER_hh_fech!G16/SER_summary!G$26)</f>
        <v>9.7751093878498594</v>
      </c>
      <c r="H16" s="131">
        <f>IF(SER_hh_fech!H16=0,0,SER_hh_fech!H16/SER_summary!H$26)</f>
        <v>9.7320570273367792</v>
      </c>
      <c r="I16" s="131">
        <f>IF(SER_hh_fech!I16=0,0,SER_hh_fech!I16/SER_summary!I$26)</f>
        <v>9.165364356891045</v>
      </c>
      <c r="J16" s="131">
        <f>IF(SER_hh_fech!J16=0,0,SER_hh_fech!J16/SER_summary!J$26)</f>
        <v>8.4029999772725912</v>
      </c>
      <c r="K16" s="131">
        <f>IF(SER_hh_fech!K16=0,0,SER_hh_fech!K16/SER_summary!K$26)</f>
        <v>8.385588837444498</v>
      </c>
      <c r="L16" s="131">
        <f>IF(SER_hh_fech!L16=0,0,SER_hh_fech!L16/SER_summary!L$26)</f>
        <v>8.4839910363996633</v>
      </c>
      <c r="M16" s="131">
        <f>IF(SER_hh_fech!M16=0,0,SER_hh_fech!M16/SER_summary!M$26)</f>
        <v>8.0993137114898275</v>
      </c>
      <c r="N16" s="131">
        <f>IF(SER_hh_fech!N16=0,0,SER_hh_fech!N16/SER_summary!N$26)</f>
        <v>8.1966407021357011</v>
      </c>
      <c r="O16" s="131">
        <f>IF(SER_hh_fech!O16=0,0,SER_hh_fech!O16/SER_summary!O$26)</f>
        <v>8.5048312907134633</v>
      </c>
      <c r="P16" s="131">
        <f>IF(SER_hh_fech!P16=0,0,SER_hh_fech!P16/SER_summary!P$26)</f>
        <v>7.3077415921616717</v>
      </c>
      <c r="Q16" s="131">
        <f>IF(SER_hh_fech!Q16=0,0,SER_hh_fech!Q16/SER_summary!Q$26)</f>
        <v>8.2902706165261861</v>
      </c>
      <c r="R16" s="131">
        <f>IF(SER_hh_fech!R16=0,0,SER_hh_fech!R16/SER_summary!R$26)</f>
        <v>6.9537995168074875</v>
      </c>
      <c r="S16" s="131">
        <f>IF(SER_hh_fech!S16=0,0,SER_hh_fech!S16/SER_summary!S$26)</f>
        <v>7.2358770920902922</v>
      </c>
      <c r="T16" s="131">
        <f>IF(SER_hh_fech!T16=0,0,SER_hh_fech!T16/SER_summary!T$26)</f>
        <v>6.9504878942835395</v>
      </c>
      <c r="U16" s="131">
        <f>IF(SER_hh_fech!U16=0,0,SER_hh_fech!U16/SER_summary!U$26)</f>
        <v>7.0080144872593122</v>
      </c>
      <c r="V16" s="131">
        <f>IF(SER_hh_fech!V16=0,0,SER_hh_fech!V16/SER_summary!V$26)</f>
        <v>6.2774340951044527</v>
      </c>
      <c r="W16" s="131">
        <f>IF(SER_hh_fech!W16=0,0,SER_hh_fech!W16/SER_summary!W$26)</f>
        <v>6.3292744736452144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17.732457305832256</v>
      </c>
      <c r="C17" s="133">
        <f>IF(SER_hh_fech!C17=0,0,SER_hh_fech!C17/SER_summary!C$26)</f>
        <v>17.525012732477833</v>
      </c>
      <c r="D17" s="133">
        <f>IF(SER_hh_fech!D17=0,0,SER_hh_fech!D17/SER_summary!D$26)</f>
        <v>17.524739101830633</v>
      </c>
      <c r="E17" s="133">
        <f>IF(SER_hh_fech!E17=0,0,SER_hh_fech!E17/SER_summary!E$26)</f>
        <v>19.529391745942885</v>
      </c>
      <c r="F17" s="133">
        <f>IF(SER_hh_fech!F17=0,0,SER_hh_fech!F17/SER_summary!F$26)</f>
        <v>17.209784962252655</v>
      </c>
      <c r="G17" s="133">
        <f>IF(SER_hh_fech!G17=0,0,SER_hh_fech!G17/SER_summary!G$26)</f>
        <v>17.290831278138686</v>
      </c>
      <c r="H17" s="133">
        <f>IF(SER_hh_fech!H17=0,0,SER_hh_fech!H17/SER_summary!H$26)</f>
        <v>18.03849602450574</v>
      </c>
      <c r="I17" s="133">
        <f>IF(SER_hh_fech!I17=0,0,SER_hh_fech!I17/SER_summary!I$26)</f>
        <v>17.878041402968599</v>
      </c>
      <c r="J17" s="133">
        <f>IF(SER_hh_fech!J17=0,0,SER_hh_fech!J17/SER_summary!J$26)</f>
        <v>17.283602488412672</v>
      </c>
      <c r="K17" s="133">
        <f>IF(SER_hh_fech!K17=0,0,SER_hh_fech!K17/SER_summary!K$26)</f>
        <v>17.467032251831728</v>
      </c>
      <c r="L17" s="133">
        <f>IF(SER_hh_fech!L17=0,0,SER_hh_fech!L17/SER_summary!L$26)</f>
        <v>18.055697452957322</v>
      </c>
      <c r="M17" s="133">
        <f>IF(SER_hh_fech!M17=0,0,SER_hh_fech!M17/SER_summary!M$26)</f>
        <v>19.010809360221888</v>
      </c>
      <c r="N17" s="133">
        <f>IF(SER_hh_fech!N17=0,0,SER_hh_fech!N17/SER_summary!N$26)</f>
        <v>18.4065536447334</v>
      </c>
      <c r="O17" s="133">
        <f>IF(SER_hh_fech!O17=0,0,SER_hh_fech!O17/SER_summary!O$26)</f>
        <v>19.574040136254865</v>
      </c>
      <c r="P17" s="133">
        <f>IF(SER_hh_fech!P17=0,0,SER_hh_fech!P17/SER_summary!P$26)</f>
        <v>17.208720148278491</v>
      </c>
      <c r="Q17" s="133">
        <f>IF(SER_hh_fech!Q17=0,0,SER_hh_fech!Q17/SER_summary!Q$26)</f>
        <v>20.889629065248815</v>
      </c>
      <c r="R17" s="133">
        <f>IF(SER_hh_fech!R17=0,0,SER_hh_fech!R17/SER_summary!R$26)</f>
        <v>17.176874667429217</v>
      </c>
      <c r="S17" s="133">
        <f>IF(SER_hh_fech!S17=0,0,SER_hh_fech!S17/SER_summary!S$26)</f>
        <v>18.160239122823249</v>
      </c>
      <c r="T17" s="133">
        <f>IF(SER_hh_fech!T17=0,0,SER_hh_fech!T17/SER_summary!T$26)</f>
        <v>17.681694229235116</v>
      </c>
      <c r="U17" s="133">
        <f>IF(SER_hh_fech!U17=0,0,SER_hh_fech!U17/SER_summary!U$26)</f>
        <v>17.893209770903972</v>
      </c>
      <c r="V17" s="133">
        <f>IF(SER_hh_fech!V17=0,0,SER_hh_fech!V17/SER_summary!V$26)</f>
        <v>16.20751258684766</v>
      </c>
      <c r="W17" s="133">
        <f>IF(SER_hh_fech!W17=0,0,SER_hh_fech!W17/SER_summary!W$26)</f>
        <v>16.420242686860625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12.063827992491753</v>
      </c>
      <c r="C18" s="133">
        <f>IF(SER_hh_fech!C18=0,0,SER_hh_fech!C18/SER_summary!C$26)</f>
        <v>11.548269319824897</v>
      </c>
      <c r="D18" s="133">
        <f>IF(SER_hh_fech!D18=0,0,SER_hh_fech!D18/SER_summary!D$26)</f>
        <v>11.138049775346092</v>
      </c>
      <c r="E18" s="133">
        <f>IF(SER_hh_fech!E18=0,0,SER_hh_fech!E18/SER_summary!E$26)</f>
        <v>11.979419212823402</v>
      </c>
      <c r="F18" s="133">
        <f>IF(SER_hh_fech!F18=0,0,SER_hh_fech!F18/SER_summary!F$26)</f>
        <v>10.160246905712377</v>
      </c>
      <c r="G18" s="133">
        <f>IF(SER_hh_fech!G18=0,0,SER_hh_fech!G18/SER_summary!G$26)</f>
        <v>9.7586018325706476</v>
      </c>
      <c r="H18" s="133">
        <f>IF(SER_hh_fech!H18=0,0,SER_hh_fech!H18/SER_summary!H$26)</f>
        <v>9.7126979681801817</v>
      </c>
      <c r="I18" s="133">
        <f>IF(SER_hh_fech!I18=0,0,SER_hh_fech!I18/SER_summary!I$26)</f>
        <v>9.1416480678860665</v>
      </c>
      <c r="J18" s="133">
        <f>IF(SER_hh_fech!J18=0,0,SER_hh_fech!J18/SER_summary!J$26)</f>
        <v>8.3757765663244506</v>
      </c>
      <c r="K18" s="133">
        <f>IF(SER_hh_fech!K18=0,0,SER_hh_fech!K18/SER_summary!K$26)</f>
        <v>8.3533734972321234</v>
      </c>
      <c r="L18" s="133">
        <f>IF(SER_hh_fech!L18=0,0,SER_hh_fech!L18/SER_summary!L$26)</f>
        <v>8.4485581891390247</v>
      </c>
      <c r="M18" s="133">
        <f>IF(SER_hh_fech!M18=0,0,SER_hh_fech!M18/SER_summary!M$26)</f>
        <v>8.0564184907223577</v>
      </c>
      <c r="N18" s="133">
        <f>IF(SER_hh_fech!N18=0,0,SER_hh_fech!N18/SER_summary!N$26)</f>
        <v>8.1520108629136594</v>
      </c>
      <c r="O18" s="133">
        <f>IF(SER_hh_fech!O18=0,0,SER_hh_fech!O18/SER_summary!O$26)</f>
        <v>8.4515615472722203</v>
      </c>
      <c r="P18" s="133">
        <f>IF(SER_hh_fech!P18=0,0,SER_hh_fech!P18/SER_summary!P$26)</f>
        <v>7.2547007103316998</v>
      </c>
      <c r="Q18" s="133">
        <f>IF(SER_hh_fech!Q18=0,0,SER_hh_fech!Q18/SER_summary!Q$26)</f>
        <v>8.215113236093865</v>
      </c>
      <c r="R18" s="133">
        <f>IF(SER_hh_fech!R18=0,0,SER_hh_fech!R18/SER_summary!R$26)</f>
        <v>6.8894277136775788</v>
      </c>
      <c r="S18" s="133">
        <f>IF(SER_hh_fech!S18=0,0,SER_hh_fech!S18/SER_summary!S$26)</f>
        <v>7.1596689207127229</v>
      </c>
      <c r="T18" s="133">
        <f>IF(SER_hh_fech!T18=0,0,SER_hh_fech!T18/SER_summary!T$26)</f>
        <v>6.871272858859772</v>
      </c>
      <c r="U18" s="133">
        <f>IF(SER_hh_fech!U18=0,0,SER_hh_fech!U18/SER_summary!U$26)</f>
        <v>6.9191024704085988</v>
      </c>
      <c r="V18" s="133">
        <f>IF(SER_hh_fech!V18=0,0,SER_hh_fech!V18/SER_summary!V$26)</f>
        <v>6.1953875727358456</v>
      </c>
      <c r="W18" s="133">
        <f>IF(SER_hh_fech!W18=0,0,SER_hh_fech!W18/SER_summary!W$26)</f>
        <v>6.2429499378616029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21.801318593422348</v>
      </c>
      <c r="C19" s="131">
        <f>IF(SER_hh_fech!C19=0,0,SER_hh_fech!C19/SER_summary!C$26)</f>
        <v>21.971463098248567</v>
      </c>
      <c r="D19" s="131">
        <f>IF(SER_hh_fech!D19=0,0,SER_hh_fech!D19/SER_summary!D$26)</f>
        <v>21.851262149193989</v>
      </c>
      <c r="E19" s="131">
        <f>IF(SER_hh_fech!E19=0,0,SER_hh_fech!E19/SER_summary!E$26)</f>
        <v>21.891359109210086</v>
      </c>
      <c r="F19" s="131">
        <f>IF(SER_hh_fech!F19=0,0,SER_hh_fech!F19/SER_summary!F$26)</f>
        <v>21.735532016194128</v>
      </c>
      <c r="G19" s="131">
        <f>IF(SER_hh_fech!G19=0,0,SER_hh_fech!G19/SER_summary!G$26)</f>
        <v>22.132975811506533</v>
      </c>
      <c r="H19" s="131">
        <f>IF(SER_hh_fech!H19=0,0,SER_hh_fech!H19/SER_summary!H$26)</f>
        <v>21.950238923873926</v>
      </c>
      <c r="I19" s="131">
        <f>IF(SER_hh_fech!I19=0,0,SER_hh_fech!I19/SER_summary!I$26)</f>
        <v>21.857919427530387</v>
      </c>
      <c r="J19" s="131">
        <f>IF(SER_hh_fech!J19=0,0,SER_hh_fech!J19/SER_summary!J$26)</f>
        <v>21.402094536475744</v>
      </c>
      <c r="K19" s="131">
        <f>IF(SER_hh_fech!K19=0,0,SER_hh_fech!K19/SER_summary!K$26)</f>
        <v>22.441232307717684</v>
      </c>
      <c r="L19" s="131">
        <f>IF(SER_hh_fech!L19=0,0,SER_hh_fech!L19/SER_summary!L$26)</f>
        <v>21.29229342849818</v>
      </c>
      <c r="M19" s="131">
        <f>IF(SER_hh_fech!M19=0,0,SER_hh_fech!M19/SER_summary!M$26)</f>
        <v>21.244537210480541</v>
      </c>
      <c r="N19" s="131">
        <f>IF(SER_hh_fech!N19=0,0,SER_hh_fech!N19/SER_summary!N$26)</f>
        <v>20.695738223775511</v>
      </c>
      <c r="O19" s="131">
        <f>IF(SER_hh_fech!O19=0,0,SER_hh_fech!O19/SER_summary!O$26)</f>
        <v>20.818472147033994</v>
      </c>
      <c r="P19" s="131">
        <f>IF(SER_hh_fech!P19=0,0,SER_hh_fech!P19/SER_summary!P$26)</f>
        <v>21.164884108270119</v>
      </c>
      <c r="Q19" s="131">
        <f>IF(SER_hh_fech!Q19=0,0,SER_hh_fech!Q19/SER_summary!Q$26)</f>
        <v>20.941467164961871</v>
      </c>
      <c r="R19" s="131">
        <f>IF(SER_hh_fech!R19=0,0,SER_hh_fech!R19/SER_summary!R$26)</f>
        <v>20.81156455495687</v>
      </c>
      <c r="S19" s="131">
        <f>IF(SER_hh_fech!S19=0,0,SER_hh_fech!S19/SER_summary!S$26)</f>
        <v>20.476123766585541</v>
      </c>
      <c r="T19" s="131">
        <f>IF(SER_hh_fech!T19=0,0,SER_hh_fech!T19/SER_summary!T$26)</f>
        <v>19.950693251338105</v>
      </c>
      <c r="U19" s="131">
        <f>IF(SER_hh_fech!U19=0,0,SER_hh_fech!U19/SER_summary!U$26)</f>
        <v>19.377316745369878</v>
      </c>
      <c r="V19" s="131">
        <f>IF(SER_hh_fech!V19=0,0,SER_hh_fech!V19/SER_summary!V$26)</f>
        <v>18.452745596679566</v>
      </c>
      <c r="W19" s="131">
        <f>IF(SER_hh_fech!W19=0,0,SER_hh_fech!W19/SER_summary!W$26)</f>
        <v>17.947349595049491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23.41878485995068</v>
      </c>
      <c r="C21" s="133">
        <f>IF(SER_hh_fech!C21=0,0,SER_hh_fech!C21/SER_summary!C$26)</f>
        <v>25.340155807114048</v>
      </c>
      <c r="D21" s="133">
        <f>IF(SER_hh_fech!D21=0,0,SER_hh_fech!D21/SER_summary!D$26)</f>
        <v>24.516749127871044</v>
      </c>
      <c r="E21" s="133">
        <f>IF(SER_hh_fech!E21=0,0,SER_hh_fech!E21/SER_summary!E$26)</f>
        <v>24.937362254271818</v>
      </c>
      <c r="F21" s="133">
        <f>IF(SER_hh_fech!F21=0,0,SER_hh_fech!F21/SER_summary!F$26)</f>
        <v>24.988396719191527</v>
      </c>
      <c r="G21" s="133">
        <f>IF(SER_hh_fech!G21=0,0,SER_hh_fech!G21/SER_summary!G$26)</f>
        <v>25.207982965055223</v>
      </c>
      <c r="H21" s="133">
        <f>IF(SER_hh_fech!H21=0,0,SER_hh_fech!H21/SER_summary!H$26)</f>
        <v>25.555194866167479</v>
      </c>
      <c r="I21" s="133">
        <f>IF(SER_hh_fech!I21=0,0,SER_hh_fech!I21/SER_summary!I$26)</f>
        <v>26.049412556966562</v>
      </c>
      <c r="J21" s="133">
        <f>IF(SER_hh_fech!J21=0,0,SER_hh_fech!J21/SER_summary!J$26)</f>
        <v>26.45245022460837</v>
      </c>
      <c r="K21" s="133">
        <f>IF(SER_hh_fech!K21=0,0,SER_hh_fech!K21/SER_summary!K$26)</f>
        <v>27.779319305355916</v>
      </c>
      <c r="L21" s="133">
        <f>IF(SER_hh_fech!L21=0,0,SER_hh_fech!L21/SER_summary!L$26)</f>
        <v>25.770741946667336</v>
      </c>
      <c r="M21" s="133">
        <f>IF(SER_hh_fech!M21=0,0,SER_hh_fech!M21/SER_summary!M$26)</f>
        <v>28.424837535166429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26.342028177190709</v>
      </c>
      <c r="C22" s="133">
        <f>IF(SER_hh_fech!C22=0,0,SER_hh_fech!C22/SER_summary!C$26)</f>
        <v>26.261408397953918</v>
      </c>
      <c r="D22" s="133">
        <f>IF(SER_hh_fech!D22=0,0,SER_hh_fech!D22/SER_summary!D$26)</f>
        <v>26.191351334529422</v>
      </c>
      <c r="E22" s="133">
        <f>IF(SER_hh_fech!E22=0,0,SER_hh_fech!E22/SER_summary!E$26)</f>
        <v>26.448619818246154</v>
      </c>
      <c r="F22" s="133">
        <f>IF(SER_hh_fech!F22=0,0,SER_hh_fech!F22/SER_summary!F$26)</f>
        <v>26.927364045193759</v>
      </c>
      <c r="G22" s="133">
        <f>IF(SER_hh_fech!G22=0,0,SER_hh_fech!G22/SER_summary!G$26)</f>
        <v>26.86470080921924</v>
      </c>
      <c r="H22" s="133">
        <f>IF(SER_hh_fech!H22=0,0,SER_hh_fech!H22/SER_summary!H$26)</f>
        <v>26.811946750088282</v>
      </c>
      <c r="I22" s="133">
        <f>IF(SER_hh_fech!I22=0,0,SER_hh_fech!I22/SER_summary!I$26)</f>
        <v>27.581848926439143</v>
      </c>
      <c r="J22" s="133">
        <f>IF(SER_hh_fech!J22=0,0,SER_hh_fech!J22/SER_summary!J$26)</f>
        <v>26.905432513119564</v>
      </c>
      <c r="K22" s="133">
        <f>IF(SER_hh_fech!K22=0,0,SER_hh_fech!K22/SER_summary!K$26)</f>
        <v>28.25657289708829</v>
      </c>
      <c r="L22" s="133">
        <f>IF(SER_hh_fech!L22=0,0,SER_hh_fech!L22/SER_summary!L$26)</f>
        <v>26.146823281764263</v>
      </c>
      <c r="M22" s="133">
        <f>IF(SER_hh_fech!M22=0,0,SER_hh_fech!M22/SER_summary!M$26)</f>
        <v>26.75358978376326</v>
      </c>
      <c r="N22" s="133">
        <f>IF(SER_hh_fech!N22=0,0,SER_hh_fech!N22/SER_summary!N$26)</f>
        <v>24.868966558984717</v>
      </c>
      <c r="O22" s="133">
        <f>IF(SER_hh_fech!O22=0,0,SER_hh_fech!O22/SER_summary!O$26)</f>
        <v>25.743408236751584</v>
      </c>
      <c r="P22" s="133">
        <f>IF(SER_hh_fech!P22=0,0,SER_hh_fech!P22/SER_summary!P$26)</f>
        <v>25.9072944094682</v>
      </c>
      <c r="Q22" s="133">
        <f>IF(SER_hh_fech!Q22=0,0,SER_hh_fech!Q22/SER_summary!Q$26)</f>
        <v>25.613190684933947</v>
      </c>
      <c r="R22" s="133">
        <f>IF(SER_hh_fech!R22=0,0,SER_hh_fech!R22/SER_summary!R$26)</f>
        <v>25.293359644122461</v>
      </c>
      <c r="S22" s="133">
        <f>IF(SER_hh_fech!S22=0,0,SER_hh_fech!S22/SER_summary!S$26)</f>
        <v>24.953854214909242</v>
      </c>
      <c r="T22" s="133">
        <f>IF(SER_hh_fech!T22=0,0,SER_hh_fech!T22/SER_summary!T$26)</f>
        <v>23.577737093368054</v>
      </c>
      <c r="U22" s="133">
        <f>IF(SER_hh_fech!U22=0,0,SER_hh_fech!U22/SER_summary!U$26)</f>
        <v>22.314690752048044</v>
      </c>
      <c r="V22" s="133">
        <f>IF(SER_hh_fech!V22=0,0,SER_hh_fech!V22/SER_summary!V$26)</f>
        <v>19.801358496927865</v>
      </c>
      <c r="W22" s="133">
        <f>IF(SER_hh_fech!W22=0,0,SER_hh_fech!W22/SER_summary!W$26)</f>
        <v>20.56796571742073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25.557076173162567</v>
      </c>
      <c r="C23" s="133">
        <f>IF(SER_hh_fech!C23=0,0,SER_hh_fech!C23/SER_summary!C$26)</f>
        <v>25.526721781941646</v>
      </c>
      <c r="D23" s="133">
        <f>IF(SER_hh_fech!D23=0,0,SER_hh_fech!D23/SER_summary!D$26)</f>
        <v>25.328447585314979</v>
      </c>
      <c r="E23" s="133">
        <f>IF(SER_hh_fech!E23=0,0,SER_hh_fech!E23/SER_summary!E$26)</f>
        <v>25.14317261246822</v>
      </c>
      <c r="F23" s="133">
        <f>IF(SER_hh_fech!F23=0,0,SER_hh_fech!F23/SER_summary!F$26)</f>
        <v>25.114740444336711</v>
      </c>
      <c r="G23" s="133">
        <f>IF(SER_hh_fech!G23=0,0,SER_hh_fech!G23/SER_summary!G$26)</f>
        <v>25.252941139153119</v>
      </c>
      <c r="H23" s="133">
        <f>IF(SER_hh_fech!H23=0,0,SER_hh_fech!H23/SER_summary!H$26)</f>
        <v>25.309385489746226</v>
      </c>
      <c r="I23" s="133">
        <f>IF(SER_hh_fech!I23=0,0,SER_hh_fech!I23/SER_summary!I$26)</f>
        <v>25.251345647603809</v>
      </c>
      <c r="J23" s="133">
        <f>IF(SER_hh_fech!J23=0,0,SER_hh_fech!J23/SER_summary!J$26)</f>
        <v>25.032723195992055</v>
      </c>
      <c r="K23" s="133">
        <f>IF(SER_hh_fech!K23=0,0,SER_hh_fech!K23/SER_summary!K$26)</f>
        <v>24.92783675298617</v>
      </c>
      <c r="L23" s="133">
        <f>IF(SER_hh_fech!L23=0,0,SER_hh_fech!L23/SER_summary!L$26)</f>
        <v>24.086666950457381</v>
      </c>
      <c r="M23" s="133">
        <f>IF(SER_hh_fech!M23=0,0,SER_hh_fech!M23/SER_summary!M$26)</f>
        <v>23.447248077404954</v>
      </c>
      <c r="N23" s="133">
        <f>IF(SER_hh_fech!N23=0,0,SER_hh_fech!N23/SER_summary!N$26)</f>
        <v>23.095155006822921</v>
      </c>
      <c r="O23" s="133">
        <f>IF(SER_hh_fech!O23=0,0,SER_hh_fech!O23/SER_summary!O$26)</f>
        <v>23.173938172516308</v>
      </c>
      <c r="P23" s="133">
        <f>IF(SER_hh_fech!P23=0,0,SER_hh_fech!P23/SER_summary!P$26)</f>
        <v>23.111978267521888</v>
      </c>
      <c r="Q23" s="133">
        <f>IF(SER_hh_fech!Q23=0,0,SER_hh_fech!Q23/SER_summary!Q$26)</f>
        <v>23.264981597990428</v>
      </c>
      <c r="R23" s="133">
        <f>IF(SER_hh_fech!R23=0,0,SER_hh_fech!R23/SER_summary!R$26)</f>
        <v>22.844365835520698</v>
      </c>
      <c r="S23" s="133">
        <f>IF(SER_hh_fech!S23=0,0,SER_hh_fech!S23/SER_summary!S$26)</f>
        <v>22.020233153169869</v>
      </c>
      <c r="T23" s="133">
        <f>IF(SER_hh_fech!T23=0,0,SER_hh_fech!T23/SER_summary!T$26)</f>
        <v>21.186070693503666</v>
      </c>
      <c r="U23" s="133">
        <f>IF(SER_hh_fech!U23=0,0,SER_hh_fech!U23/SER_summary!U$26)</f>
        <v>20.177249420892295</v>
      </c>
      <c r="V23" s="133">
        <f>IF(SER_hh_fech!V23=0,0,SER_hh_fech!V23/SER_summary!V$26)</f>
        <v>18.704792236276404</v>
      </c>
      <c r="W23" s="133">
        <f>IF(SER_hh_fech!W23=0,0,SER_hh_fech!W23/SER_summary!W$26)</f>
        <v>18.927539890211303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29.140969570174597</v>
      </c>
      <c r="C24" s="133">
        <f>IF(SER_hh_fech!C24=0,0,SER_hh_fech!C24/SER_summary!C$26)</f>
        <v>28.772494483494842</v>
      </c>
      <c r="D24" s="133">
        <f>IF(SER_hh_fech!D24=0,0,SER_hh_fech!D24/SER_summary!D$26)</f>
        <v>28.294441160713632</v>
      </c>
      <c r="E24" s="133">
        <f>IF(SER_hh_fech!E24=0,0,SER_hh_fech!E24/SER_summary!E$26)</f>
        <v>27.867169382382336</v>
      </c>
      <c r="F24" s="133">
        <f>IF(SER_hh_fech!F24=0,0,SER_hh_fech!F24/SER_summary!F$26)</f>
        <v>27.525251952812454</v>
      </c>
      <c r="G24" s="133">
        <f>IF(SER_hh_fech!G24=0,0,SER_hh_fech!G24/SER_summary!G$26)</f>
        <v>27.255914417842401</v>
      </c>
      <c r="H24" s="133">
        <f>IF(SER_hh_fech!H24=0,0,SER_hh_fech!H24/SER_summary!H$26)</f>
        <v>26.942764724861245</v>
      </c>
      <c r="I24" s="133">
        <f>IF(SER_hh_fech!I24=0,0,SER_hh_fech!I24/SER_summary!I$26)</f>
        <v>26.326622434661477</v>
      </c>
      <c r="J24" s="133">
        <f>IF(SER_hh_fech!J24=0,0,SER_hh_fech!J24/SER_summary!J$26)</f>
        <v>25.719998798245975</v>
      </c>
      <c r="K24" s="133">
        <f>IF(SER_hh_fech!K24=0,0,SER_hh_fech!K24/SER_summary!K$26)</f>
        <v>25.064153293796437</v>
      </c>
      <c r="L24" s="133">
        <f>IF(SER_hh_fech!L24=0,0,SER_hh_fech!L24/SER_summary!L$26)</f>
        <v>23.834333483701389</v>
      </c>
      <c r="M24" s="133">
        <f>IF(SER_hh_fech!M24=0,0,SER_hh_fech!M24/SER_summary!M$26)</f>
        <v>22.911074860651905</v>
      </c>
      <c r="N24" s="133">
        <f>IF(SER_hh_fech!N24=0,0,SER_hh_fech!N24/SER_summary!N$26)</f>
        <v>22.021026489298645</v>
      </c>
      <c r="O24" s="133">
        <f>IF(SER_hh_fech!O24=0,0,SER_hh_fech!O24/SER_summary!O$26)</f>
        <v>21.611312085202307</v>
      </c>
      <c r="P24" s="133">
        <f>IF(SER_hh_fech!P24=0,0,SER_hh_fech!P24/SER_summary!P$26)</f>
        <v>21.845643216754016</v>
      </c>
      <c r="Q24" s="133">
        <f>IF(SER_hh_fech!Q24=0,0,SER_hh_fech!Q24/SER_summary!Q$26)</f>
        <v>22.03819406050096</v>
      </c>
      <c r="R24" s="133">
        <f>IF(SER_hh_fech!R24=0,0,SER_hh_fech!R24/SER_summary!R$26)</f>
        <v>21.537158932734435</v>
      </c>
      <c r="S24" s="133">
        <f>IF(SER_hh_fech!S24=0,0,SER_hh_fech!S24/SER_summary!S$26)</f>
        <v>20.916408785281902</v>
      </c>
      <c r="T24" s="133">
        <f>IF(SER_hh_fech!T24=0,0,SER_hh_fech!T24/SER_summary!T$26)</f>
        <v>20.107731495177312</v>
      </c>
      <c r="U24" s="133">
        <f>IF(SER_hh_fech!U24=0,0,SER_hh_fech!U24/SER_summary!U$26)</f>
        <v>19.596610858797305</v>
      </c>
      <c r="V24" s="133">
        <f>IF(SER_hh_fech!V24=0,0,SER_hh_fech!V24/SER_summary!V$26)</f>
        <v>17.668703480654479</v>
      </c>
      <c r="W24" s="133">
        <f>IF(SER_hh_fech!W24=0,0,SER_hh_fech!W24/SER_summary!W$26)</f>
        <v>18.390388849948632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17.147045485198014</v>
      </c>
      <c r="C25" s="133">
        <f>IF(SER_hh_fech!C25=0,0,SER_hh_fech!C25/SER_summary!C$26)</f>
        <v>17.138002126487155</v>
      </c>
      <c r="D25" s="133">
        <f>IF(SER_hh_fech!D25=0,0,SER_hh_fech!D25/SER_summary!D$26)</f>
        <v>17.338518331651585</v>
      </c>
      <c r="E25" s="133">
        <f>IF(SER_hh_fech!E25=0,0,SER_hh_fech!E25/SER_summary!E$26)</f>
        <v>17.092023117874152</v>
      </c>
      <c r="F25" s="133">
        <f>IF(SER_hh_fech!F25=0,0,SER_hh_fech!F25/SER_summary!F$26)</f>
        <v>16.884658663361403</v>
      </c>
      <c r="G25" s="133">
        <f>IF(SER_hh_fech!G25=0,0,SER_hh_fech!G25/SER_summary!G$26)</f>
        <v>16.426130436977349</v>
      </c>
      <c r="H25" s="133">
        <f>IF(SER_hh_fech!H25=0,0,SER_hh_fech!H25/SER_summary!H$26)</f>
        <v>17.310583553179637</v>
      </c>
      <c r="I25" s="133">
        <f>IF(SER_hh_fech!I25=0,0,SER_hh_fech!I25/SER_summary!I$26)</f>
        <v>17.817949648145255</v>
      </c>
      <c r="J25" s="133">
        <f>IF(SER_hh_fech!J25=0,0,SER_hh_fech!J25/SER_summary!J$26)</f>
        <v>17.475324946472735</v>
      </c>
      <c r="K25" s="133">
        <f>IF(SER_hh_fech!K25=0,0,SER_hh_fech!K25/SER_summary!K$26)</f>
        <v>18.01407907914999</v>
      </c>
      <c r="L25" s="133">
        <f>IF(SER_hh_fech!L25=0,0,SER_hh_fech!L25/SER_summary!L$26)</f>
        <v>17.802395834591938</v>
      </c>
      <c r="M25" s="133">
        <f>IF(SER_hh_fech!M25=0,0,SER_hh_fech!M25/SER_summary!M$26)</f>
        <v>17.114473718253421</v>
      </c>
      <c r="N25" s="133">
        <f>IF(SER_hh_fech!N25=0,0,SER_hh_fech!N25/SER_summary!N$26)</f>
        <v>17.160310942727261</v>
      </c>
      <c r="O25" s="133">
        <f>IF(SER_hh_fech!O25=0,0,SER_hh_fech!O25/SER_summary!O$26)</f>
        <v>17.310494187782808</v>
      </c>
      <c r="P25" s="133">
        <f>IF(SER_hh_fech!P25=0,0,SER_hh_fech!P25/SER_summary!P$26)</f>
        <v>17.824068458006959</v>
      </c>
      <c r="Q25" s="133">
        <f>IF(SER_hh_fech!Q25=0,0,SER_hh_fech!Q25/SER_summary!Q$26)</f>
        <v>18.043558076712692</v>
      </c>
      <c r="R25" s="133">
        <f>IF(SER_hh_fech!R25=0,0,SER_hh_fech!R25/SER_summary!R$26)</f>
        <v>17.870433047191217</v>
      </c>
      <c r="S25" s="133">
        <f>IF(SER_hh_fech!S25=0,0,SER_hh_fech!S25/SER_summary!S$26)</f>
        <v>17.300257717883863</v>
      </c>
      <c r="T25" s="133">
        <f>IF(SER_hh_fech!T25=0,0,SER_hh_fech!T25/SER_summary!T$26)</f>
        <v>16.858479192846257</v>
      </c>
      <c r="U25" s="133">
        <f>IF(SER_hh_fech!U25=0,0,SER_hh_fech!U25/SER_summary!U$26)</f>
        <v>16.524028974305402</v>
      </c>
      <c r="V25" s="133">
        <f>IF(SER_hh_fech!V25=0,0,SER_hh_fech!V25/SER_summary!V$26)</f>
        <v>15.846448452755101</v>
      </c>
      <c r="W25" s="133">
        <f>IF(SER_hh_fech!W25=0,0,SER_hh_fech!W25/SER_summary!W$26)</f>
        <v>16.38466629781971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14.277015674812073</v>
      </c>
      <c r="C26" s="65">
        <f>IF(SER_hh_fech!C26=0,0,SER_hh_fech!C26/SER_summary!C$26)</f>
        <v>14.367502689952952</v>
      </c>
      <c r="D26" s="65">
        <f>IF(SER_hh_fech!D26=0,0,SER_hh_fech!D26/SER_summary!D$26)</f>
        <v>14.130004451265789</v>
      </c>
      <c r="E26" s="65">
        <f>IF(SER_hh_fech!E26=0,0,SER_hh_fech!E26/SER_summary!E$26)</f>
        <v>13.058601228117475</v>
      </c>
      <c r="F26" s="65">
        <f>IF(SER_hh_fech!F26=0,0,SER_hh_fech!F26/SER_summary!F$26)</f>
        <v>12.667581089371012</v>
      </c>
      <c r="G26" s="65">
        <f>IF(SER_hh_fech!G26=0,0,SER_hh_fech!G26/SER_summary!G$26)</f>
        <v>15.361192968793603</v>
      </c>
      <c r="H26" s="65">
        <f>IF(SER_hh_fech!H26=0,0,SER_hh_fech!H26/SER_summary!H$26)</f>
        <v>16.447925958746694</v>
      </c>
      <c r="I26" s="65">
        <f>IF(SER_hh_fech!I26=0,0,SER_hh_fech!I26/SER_summary!I$26)</f>
        <v>14.936448466380174</v>
      </c>
      <c r="J26" s="65">
        <f>IF(SER_hh_fech!J26=0,0,SER_hh_fech!J26/SER_summary!J$26)</f>
        <v>12.509092398129445</v>
      </c>
      <c r="K26" s="65">
        <f>IF(SER_hh_fech!K26=0,0,SER_hh_fech!K26/SER_summary!K$26)</f>
        <v>18.542978327871797</v>
      </c>
      <c r="L26" s="65">
        <f>IF(SER_hh_fech!L26=0,0,SER_hh_fech!L26/SER_summary!L$26)</f>
        <v>9.9585625324269458</v>
      </c>
      <c r="M26" s="65">
        <f>IF(SER_hh_fech!M26=0,0,SER_hh_fech!M26/SER_summary!M$26)</f>
        <v>9.4127304518810764</v>
      </c>
      <c r="N26" s="65">
        <f>IF(SER_hh_fech!N26=0,0,SER_hh_fech!N26/SER_summary!N$26)</f>
        <v>9.1054622549005355</v>
      </c>
      <c r="O26" s="65">
        <f>IF(SER_hh_fech!O26=0,0,SER_hh_fech!O26/SER_summary!O$26)</f>
        <v>11.294885438796301</v>
      </c>
      <c r="P26" s="65">
        <f>IF(SER_hh_fech!P26=0,0,SER_hh_fech!P26/SER_summary!P$26)</f>
        <v>10.565396188900371</v>
      </c>
      <c r="Q26" s="65">
        <f>IF(SER_hh_fech!Q26=0,0,SER_hh_fech!Q26/SER_summary!Q$26)</f>
        <v>11.88370323872436</v>
      </c>
      <c r="R26" s="65">
        <f>IF(SER_hh_fech!R26=0,0,SER_hh_fech!R26/SER_summary!R$26)</f>
        <v>12.992088624973212</v>
      </c>
      <c r="S26" s="65">
        <f>IF(SER_hh_fech!S26=0,0,SER_hh_fech!S26/SER_summary!S$26)</f>
        <v>11.459863455018118</v>
      </c>
      <c r="T26" s="65">
        <f>IF(SER_hh_fech!T26=0,0,SER_hh_fech!T26/SER_summary!T$26)</f>
        <v>9.1404692547370434</v>
      </c>
      <c r="U26" s="65">
        <f>IF(SER_hh_fech!U26=0,0,SER_hh_fech!U26/SER_summary!U$26)</f>
        <v>9.268663255634646</v>
      </c>
      <c r="V26" s="65">
        <f>IF(SER_hh_fech!V26=0,0,SER_hh_fech!V26/SER_summary!V$26)</f>
        <v>7.5980798852331191</v>
      </c>
      <c r="W26" s="65">
        <f>IF(SER_hh_fech!W26=0,0,SER_hh_fech!W26/SER_summary!W$26)</f>
        <v>8.5313975133716813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2.2452745152612472</v>
      </c>
      <c r="C27" s="146">
        <f>IF(SER_hh_fech!C27=0,0,SER_hh_fech!C27/SER_summary!C$26)</f>
        <v>2.3251664930957454</v>
      </c>
      <c r="D27" s="146">
        <f>IF(SER_hh_fech!D27=0,0,SER_hh_fech!D27/SER_summary!D$26)</f>
        <v>2.3365357783378142</v>
      </c>
      <c r="E27" s="146">
        <f>IF(SER_hh_fech!E27=0,0,SER_hh_fech!E27/SER_summary!E$26)</f>
        <v>2.7861533859358483</v>
      </c>
      <c r="F27" s="146">
        <f>IF(SER_hh_fech!F27=0,0,SER_hh_fech!F27/SER_summary!F$26)</f>
        <v>2.8646314253132656</v>
      </c>
      <c r="G27" s="146">
        <f>IF(SER_hh_fech!G27=0,0,SER_hh_fech!G27/SER_summary!G$26)</f>
        <v>2.6095156911687294</v>
      </c>
      <c r="H27" s="146">
        <f>IF(SER_hh_fech!H27=0,0,SER_hh_fech!H27/SER_summary!H$26)</f>
        <v>1.9481709882818243</v>
      </c>
      <c r="I27" s="146">
        <f>IF(SER_hh_fech!I27=0,0,SER_hh_fech!I27/SER_summary!I$26)</f>
        <v>2.2866490157629236</v>
      </c>
      <c r="J27" s="146">
        <f>IF(SER_hh_fech!J27=0,0,SER_hh_fech!J27/SER_summary!J$26)</f>
        <v>3.0151483525770693</v>
      </c>
      <c r="K27" s="146">
        <f>IF(SER_hh_fech!K27=0,0,SER_hh_fech!K27/SER_summary!K$26)</f>
        <v>1.7074792951720785</v>
      </c>
      <c r="L27" s="146">
        <f>IF(SER_hh_fech!L27=0,0,SER_hh_fech!L27/SER_summary!L$26)</f>
        <v>3.9202588787186414</v>
      </c>
      <c r="M27" s="146">
        <f>IF(SER_hh_fech!M27=0,0,SER_hh_fech!M27/SER_summary!M$26)</f>
        <v>4.4726463769714799</v>
      </c>
      <c r="N27" s="146">
        <f>IF(SER_hh_fech!N27=0,0,SER_hh_fech!N27/SER_summary!N$26)</f>
        <v>4.7210083129205476</v>
      </c>
      <c r="O27" s="146">
        <f>IF(SER_hh_fech!O27=0,0,SER_hh_fech!O27/SER_summary!O$26)</f>
        <v>4.0979295166706198</v>
      </c>
      <c r="P27" s="146">
        <f>IF(SER_hh_fech!P27=0,0,SER_hh_fech!P27/SER_summary!P$26)</f>
        <v>4.573624241717261</v>
      </c>
      <c r="Q27" s="146">
        <f>IF(SER_hh_fech!Q27=0,0,SER_hh_fech!Q27/SER_summary!Q$26)</f>
        <v>3.9043703316594267</v>
      </c>
      <c r="R27" s="146">
        <f>IF(SER_hh_fech!R27=0,0,SER_hh_fech!R27/SER_summary!R$26)</f>
        <v>3.5851885839728936</v>
      </c>
      <c r="S27" s="146">
        <f>IF(SER_hh_fech!S27=0,0,SER_hh_fech!S27/SER_summary!S$26)</f>
        <v>4.1601992993236605</v>
      </c>
      <c r="T27" s="146">
        <f>IF(SER_hh_fech!T27=0,0,SER_hh_fech!T27/SER_summary!T$26)</f>
        <v>4.7811655846650218</v>
      </c>
      <c r="U27" s="146">
        <f>IF(SER_hh_fech!U27=0,0,SER_hh_fech!U27/SER_summary!U$26)</f>
        <v>4.4522141564076065</v>
      </c>
      <c r="V27" s="146">
        <f>IF(SER_hh_fech!V27=0,0,SER_hh_fech!V27/SER_summary!V$26)</f>
        <v>4.8196416308777996</v>
      </c>
      <c r="W27" s="146">
        <f>IF(SER_hh_fech!W27=0,0,SER_hh_fech!W27/SER_summary!W$26)</f>
        <v>3.6670431378509964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9.5244294642518774</v>
      </c>
      <c r="C28" s="147">
        <f>IF(SER_hh_fech!C28=0,0,SER_hh_fech!C28/SER_summary!C$26)</f>
        <v>9.6619253704842087</v>
      </c>
      <c r="D28" s="147">
        <f>IF(SER_hh_fech!D28=0,0,SER_hh_fech!D28/SER_summary!D$26)</f>
        <v>9.6367439633074312</v>
      </c>
      <c r="E28" s="147">
        <f>IF(SER_hh_fech!E28=0,0,SER_hh_fech!E28/SER_summary!E$26)</f>
        <v>9.7987688055251567</v>
      </c>
      <c r="F28" s="147">
        <f>IF(SER_hh_fech!F28=0,0,SER_hh_fech!F28/SER_summary!F$26)</f>
        <v>9.7963838650045627</v>
      </c>
      <c r="G28" s="147">
        <f>IF(SER_hh_fech!G28=0,0,SER_hh_fech!G28/SER_summary!G$26)</f>
        <v>10.007885391920258</v>
      </c>
      <c r="H28" s="147">
        <f>IF(SER_hh_fech!H28=0,0,SER_hh_fech!H28/SER_summary!H$26)</f>
        <v>10.965245520715598</v>
      </c>
      <c r="I28" s="147">
        <f>IF(SER_hh_fech!I28=0,0,SER_hh_fech!I28/SER_summary!I$26)</f>
        <v>10.859478117933037</v>
      </c>
      <c r="J28" s="147">
        <f>IF(SER_hh_fech!J28=0,0,SER_hh_fech!J28/SER_summary!J$26)</f>
        <v>10.859502900166088</v>
      </c>
      <c r="K28" s="147">
        <f>IF(SER_hh_fech!K28=0,0,SER_hh_fech!K28/SER_summary!K$26)</f>
        <v>10.765551711193847</v>
      </c>
      <c r="L28" s="147">
        <f>IF(SER_hh_fech!L28=0,0,SER_hh_fech!L28/SER_summary!L$26)</f>
        <v>16.661615520164315</v>
      </c>
      <c r="M28" s="147">
        <f>IF(SER_hh_fech!M28=0,0,SER_hh_fech!M28/SER_summary!M$26)</f>
        <v>14.18689896231939</v>
      </c>
      <c r="N28" s="147">
        <f>IF(SER_hh_fech!N28=0,0,SER_hh_fech!N28/SER_summary!N$26)</f>
        <v>11.729630382742418</v>
      </c>
      <c r="O28" s="147">
        <f>IF(SER_hh_fech!O28=0,0,SER_hh_fech!O28/SER_summary!O$26)</f>
        <v>12.188842786778253</v>
      </c>
      <c r="P28" s="147">
        <f>IF(SER_hh_fech!P28=0,0,SER_hh_fech!P28/SER_summary!P$26)</f>
        <v>12.443202529355323</v>
      </c>
      <c r="Q28" s="147">
        <f>IF(SER_hh_fech!Q28=0,0,SER_hh_fech!Q28/SER_summary!Q$26)</f>
        <v>13.429253513214622</v>
      </c>
      <c r="R28" s="147">
        <f>IF(SER_hh_fech!R28=0,0,SER_hh_fech!R28/SER_summary!R$26)</f>
        <v>13.801570367753488</v>
      </c>
      <c r="S28" s="147">
        <f>IF(SER_hh_fech!S28=0,0,SER_hh_fech!S28/SER_summary!S$26)</f>
        <v>13.075749123663131</v>
      </c>
      <c r="T28" s="147">
        <f>IF(SER_hh_fech!T28=0,0,SER_hh_fech!T28/SER_summary!T$26)</f>
        <v>12.511262979806883</v>
      </c>
      <c r="U28" s="147">
        <f>IF(SER_hh_fech!U28=0,0,SER_hh_fech!U28/SER_summary!U$26)</f>
        <v>11.872900973033342</v>
      </c>
      <c r="V28" s="147">
        <f>IF(SER_hh_fech!V28=0,0,SER_hh_fech!V28/SER_summary!V$26)</f>
        <v>11.327096939454101</v>
      </c>
      <c r="W28" s="147">
        <f>IF(SER_hh_fech!W28=0,0,SER_hh_fech!W28/SER_summary!W$26)</f>
        <v>10.836979172057786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17.070086653007262</v>
      </c>
      <c r="C29" s="131">
        <f>IF(SER_hh_fech!C29=0,0,SER_hh_fech!C29/SER_summary!C$26)</f>
        <v>17.779150130611406</v>
      </c>
      <c r="D29" s="131">
        <f>IF(SER_hh_fech!D29=0,0,SER_hh_fech!D29/SER_summary!D$26)</f>
        <v>19.161004630217526</v>
      </c>
      <c r="E29" s="131">
        <f>IF(SER_hh_fech!E29=0,0,SER_hh_fech!E29/SER_summary!E$26)</f>
        <v>20.01147846175035</v>
      </c>
      <c r="F29" s="131">
        <f>IF(SER_hh_fech!F29=0,0,SER_hh_fech!F29/SER_summary!F$26)</f>
        <v>20.408498445157981</v>
      </c>
      <c r="G29" s="131">
        <f>IF(SER_hh_fech!G29=0,0,SER_hh_fech!G29/SER_summary!G$26)</f>
        <v>19.956771206881541</v>
      </c>
      <c r="H29" s="131">
        <f>IF(SER_hh_fech!H29=0,0,SER_hh_fech!H29/SER_summary!H$26)</f>
        <v>19.693389383976804</v>
      </c>
      <c r="I29" s="131">
        <f>IF(SER_hh_fech!I29=0,0,SER_hh_fech!I29/SER_summary!I$26)</f>
        <v>19.056515180513891</v>
      </c>
      <c r="J29" s="131">
        <f>IF(SER_hh_fech!J29=0,0,SER_hh_fech!J29/SER_summary!J$26)</f>
        <v>18.777818383123694</v>
      </c>
      <c r="K29" s="131">
        <f>IF(SER_hh_fech!K29=0,0,SER_hh_fech!K29/SER_summary!K$26)</f>
        <v>19.54635762236494</v>
      </c>
      <c r="L29" s="131">
        <f>IF(SER_hh_fech!L29=0,0,SER_hh_fech!L29/SER_summary!L$26)</f>
        <v>19.914017792808551</v>
      </c>
      <c r="M29" s="131">
        <f>IF(SER_hh_fech!M29=0,0,SER_hh_fech!M29/SER_summary!M$26)</f>
        <v>19.773463844651598</v>
      </c>
      <c r="N29" s="131">
        <f>IF(SER_hh_fech!N29=0,0,SER_hh_fech!N29/SER_summary!N$26)</f>
        <v>19.18115675949446</v>
      </c>
      <c r="O29" s="131">
        <f>IF(SER_hh_fech!O29=0,0,SER_hh_fech!O29/SER_summary!O$26)</f>
        <v>19.108404359334223</v>
      </c>
      <c r="P29" s="131">
        <f>IF(SER_hh_fech!P29=0,0,SER_hh_fech!P29/SER_summary!P$26)</f>
        <v>19.2111619649367</v>
      </c>
      <c r="Q29" s="131">
        <f>IF(SER_hh_fech!Q29=0,0,SER_hh_fech!Q29/SER_summary!Q$26)</f>
        <v>19.17523252032548</v>
      </c>
      <c r="R29" s="131">
        <f>IF(SER_hh_fech!R29=0,0,SER_hh_fech!R29/SER_summary!R$26)</f>
        <v>19.144226821262667</v>
      </c>
      <c r="S29" s="131">
        <f>IF(SER_hh_fech!S29=0,0,SER_hh_fech!S29/SER_summary!S$26)</f>
        <v>19.043152474223497</v>
      </c>
      <c r="T29" s="131">
        <f>IF(SER_hh_fech!T29=0,0,SER_hh_fech!T29/SER_summary!T$26)</f>
        <v>18.848995433496938</v>
      </c>
      <c r="U29" s="131">
        <f>IF(SER_hh_fech!U29=0,0,SER_hh_fech!U29/SER_summary!U$26)</f>
        <v>18.761831848149082</v>
      </c>
      <c r="V29" s="131">
        <f>IF(SER_hh_fech!V29=0,0,SER_hh_fech!V29/SER_summary!V$26)</f>
        <v>17.790243779365991</v>
      </c>
      <c r="W29" s="131">
        <f>IF(SER_hh_fech!W29=0,0,SER_hh_fech!W29/SER_summary!W$26)</f>
        <v>18.192572691489882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7.6153999737188833</v>
      </c>
      <c r="C30" s="133">
        <f>IF(SER_hh_fech!C30=0,0,SER_hh_fech!C30/SER_summary!C$26)</f>
        <v>11.967166745464553</v>
      </c>
      <c r="D30" s="133">
        <f>IF(SER_hh_fech!D30=0,0,SER_hh_fech!D30/SER_summary!D$26)</f>
        <v>24.679910446231304</v>
      </c>
      <c r="E30" s="133">
        <f>IF(SER_hh_fech!E30=0,0,SER_hh_fech!E30/SER_summary!E$26)</f>
        <v>25.797776379377954</v>
      </c>
      <c r="F30" s="133">
        <f>IF(SER_hh_fech!F30=0,0,SER_hh_fech!F30/SER_summary!F$26)</f>
        <v>30.815638350305573</v>
      </c>
      <c r="G30" s="133">
        <f>IF(SER_hh_fech!G30=0,0,SER_hh_fech!G30/SER_summary!G$26)</f>
        <v>22.880946489813489</v>
      </c>
      <c r="H30" s="133">
        <f>IF(SER_hh_fech!H30=0,0,SER_hh_fech!H30/SER_summary!H$26)</f>
        <v>24.345830953821238</v>
      </c>
      <c r="I30" s="133">
        <f>IF(SER_hh_fech!I30=0,0,SER_hh_fech!I30/SER_summary!I$26)</f>
        <v>20.363670949573017</v>
      </c>
      <c r="J30" s="133">
        <f>IF(SER_hh_fech!J30=0,0,SER_hh_fech!J30/SER_summary!J$26)</f>
        <v>15.192869140496912</v>
      </c>
      <c r="K30" s="133">
        <f>IF(SER_hh_fech!K30=0,0,SER_hh_fech!K30/SER_summary!K$26)</f>
        <v>18.971276825718672</v>
      </c>
      <c r="L30" s="133">
        <f>IF(SER_hh_fech!L30=0,0,SER_hh_fech!L30/SER_summary!L$26)</f>
        <v>31.588412371964807</v>
      </c>
      <c r="M30" s="133">
        <f>IF(SER_hh_fech!M30=0,0,SER_hh_fech!M30/SER_summary!M$26)</f>
        <v>30.97453114399897</v>
      </c>
      <c r="N30" s="133">
        <f>IF(SER_hh_fech!N30=0,0,SER_hh_fech!N30/SER_summary!N$26)</f>
        <v>5.4643309213393065</v>
      </c>
      <c r="O30" s="133">
        <f>IF(SER_hh_fech!O30=0,0,SER_hh_fech!O30/SER_summary!O$26)</f>
        <v>11.442403944955851</v>
      </c>
      <c r="P30" s="133">
        <f>IF(SER_hh_fech!P30=0,0,SER_hh_fech!P30/SER_summary!P$26)</f>
        <v>21.194701033304796</v>
      </c>
      <c r="Q30" s="133">
        <f>IF(SER_hh_fech!Q30=0,0,SER_hh_fech!Q30/SER_summary!Q$26)</f>
        <v>21.003076794864182</v>
      </c>
      <c r="R30" s="133">
        <f>IF(SER_hh_fech!R30=0,0,SER_hh_fech!R30/SER_summary!R$26)</f>
        <v>15.449562738793537</v>
      </c>
      <c r="S30" s="133">
        <f>IF(SER_hh_fech!S30=0,0,SER_hh_fech!S30/SER_summary!S$26)</f>
        <v>28.382871979001667</v>
      </c>
      <c r="T30" s="133">
        <f>IF(SER_hh_fech!T30=0,0,SER_hh_fech!T30/SER_summary!T$26)</f>
        <v>22.849175563405989</v>
      </c>
      <c r="U30" s="133">
        <f>IF(SER_hh_fech!U30=0,0,SER_hh_fech!U30/SER_summary!U$26)</f>
        <v>22.702860084644573</v>
      </c>
      <c r="V30" s="133">
        <f>IF(SER_hh_fech!V30=0,0,SER_hh_fech!V30/SER_summary!V$26)</f>
        <v>21.10376659719299</v>
      </c>
      <c r="W30" s="133">
        <f>IF(SER_hh_fech!W30=0,0,SER_hh_fech!W30/SER_summary!W$26)</f>
        <v>23.060063799065286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19.703435652686228</v>
      </c>
      <c r="C31" s="133">
        <f>IF(SER_hh_fech!C31=0,0,SER_hh_fech!C31/SER_summary!C$26)</f>
        <v>21.110235589564123</v>
      </c>
      <c r="D31" s="133">
        <f>IF(SER_hh_fech!D31=0,0,SER_hh_fech!D31/SER_summary!D$26)</f>
        <v>21.93055260058139</v>
      </c>
      <c r="E31" s="133">
        <f>IF(SER_hh_fech!E31=0,0,SER_hh_fech!E31/SER_summary!E$26)</f>
        <v>22.207072968478663</v>
      </c>
      <c r="F31" s="133">
        <f>IF(SER_hh_fech!F31=0,0,SER_hh_fech!F31/SER_summary!F$26)</f>
        <v>22.737618693076321</v>
      </c>
      <c r="G31" s="133">
        <f>IF(SER_hh_fech!G31=0,0,SER_hh_fech!G31/SER_summary!G$26)</f>
        <v>22.597368308041805</v>
      </c>
      <c r="H31" s="133">
        <f>IF(SER_hh_fech!H31=0,0,SER_hh_fech!H31/SER_summary!H$26)</f>
        <v>22.273030498461178</v>
      </c>
      <c r="I31" s="133">
        <f>IF(SER_hh_fech!I31=0,0,SER_hh_fech!I31/SER_summary!I$26)</f>
        <v>21.967131302626324</v>
      </c>
      <c r="J31" s="133">
        <f>IF(SER_hh_fech!J31=0,0,SER_hh_fech!J31/SER_summary!J$26)</f>
        <v>21.947691398037218</v>
      </c>
      <c r="K31" s="133">
        <f>IF(SER_hh_fech!K31=0,0,SER_hh_fech!K31/SER_summary!K$26)</f>
        <v>22.474848532199008</v>
      </c>
      <c r="L31" s="133">
        <f>IF(SER_hh_fech!L31=0,0,SER_hh_fech!L31/SER_summary!L$26)</f>
        <v>22.648938222401764</v>
      </c>
      <c r="M31" s="133">
        <f>IF(SER_hh_fech!M31=0,0,SER_hh_fech!M31/SER_summary!M$26)</f>
        <v>22.662836161716747</v>
      </c>
      <c r="N31" s="133">
        <f>IF(SER_hh_fech!N31=0,0,SER_hh_fech!N31/SER_summary!N$26)</f>
        <v>22.66993267267852</v>
      </c>
      <c r="O31" s="133">
        <f>IF(SER_hh_fech!O31=0,0,SER_hh_fech!O31/SER_summary!O$26)</f>
        <v>22.692849573301679</v>
      </c>
      <c r="P31" s="133">
        <f>IF(SER_hh_fech!P31=0,0,SER_hh_fech!P31/SER_summary!P$26)</f>
        <v>22.893063862832868</v>
      </c>
      <c r="Q31" s="133">
        <f>IF(SER_hh_fech!Q31=0,0,SER_hh_fech!Q31/SER_summary!Q$26)</f>
        <v>22.899949736783029</v>
      </c>
      <c r="R31" s="133">
        <f>IF(SER_hh_fech!R31=0,0,SER_hh_fech!R31/SER_summary!R$26)</f>
        <v>22.795843878143028</v>
      </c>
      <c r="S31" s="133">
        <f>IF(SER_hh_fech!S31=0,0,SER_hh_fech!S31/SER_summary!S$26)</f>
        <v>22.613930995259775</v>
      </c>
      <c r="T31" s="133">
        <f>IF(SER_hh_fech!T31=0,0,SER_hh_fech!T31/SER_summary!T$26)</f>
        <v>22.511610333285081</v>
      </c>
      <c r="U31" s="133">
        <f>IF(SER_hh_fech!U31=0,0,SER_hh_fech!U31/SER_summary!U$26)</f>
        <v>22.965953592048479</v>
      </c>
      <c r="V31" s="133">
        <f>IF(SER_hh_fech!V31=0,0,SER_hh_fech!V31/SER_summary!V$26)</f>
        <v>21.169236531856111</v>
      </c>
      <c r="W31" s="133">
        <f>IF(SER_hh_fech!W31=0,0,SER_hh_fech!W31/SER_summary!W$26)</f>
        <v>21.348855902931582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21.955641369404969</v>
      </c>
      <c r="C32" s="133">
        <f>IF(SER_hh_fech!C32=0,0,SER_hh_fech!C32/SER_summary!C$26)</f>
        <v>22.06060219424311</v>
      </c>
      <c r="D32" s="133">
        <f>IF(SER_hh_fech!D32=0,0,SER_hh_fech!D32/SER_summary!D$26)</f>
        <v>23.677284047915762</v>
      </c>
      <c r="E32" s="133">
        <f>IF(SER_hh_fech!E32=0,0,SER_hh_fech!E32/SER_summary!E$26)</f>
        <v>23.872211612253306</v>
      </c>
      <c r="F32" s="133">
        <f>IF(SER_hh_fech!F32=0,0,SER_hh_fech!F32/SER_summary!F$26)</f>
        <v>24.456742306064498</v>
      </c>
      <c r="G32" s="133">
        <f>IF(SER_hh_fech!G32=0,0,SER_hh_fech!G32/SER_summary!G$26)</f>
        <v>24.125297945559847</v>
      </c>
      <c r="H32" s="133">
        <f>IF(SER_hh_fech!H32=0,0,SER_hh_fech!H32/SER_summary!H$26)</f>
        <v>23.799132687828735</v>
      </c>
      <c r="I32" s="133">
        <f>IF(SER_hh_fech!I32=0,0,SER_hh_fech!I32/SER_summary!I$26)</f>
        <v>23.613497925364936</v>
      </c>
      <c r="J32" s="133">
        <f>IF(SER_hh_fech!J32=0,0,SER_hh_fech!J32/SER_summary!J$26)</f>
        <v>23.350856407135737</v>
      </c>
      <c r="K32" s="133">
        <f>IF(SER_hh_fech!K32=0,0,SER_hh_fech!K32/SER_summary!K$26)</f>
        <v>23.274876611055266</v>
      </c>
      <c r="L32" s="133">
        <f>IF(SER_hh_fech!L32=0,0,SER_hh_fech!L32/SER_summary!L$26)</f>
        <v>24.414085675542179</v>
      </c>
      <c r="M32" s="133">
        <f>IF(SER_hh_fech!M32=0,0,SER_hh_fech!M32/SER_summary!M$26)</f>
        <v>23.662891667673154</v>
      </c>
      <c r="N32" s="133">
        <f>IF(SER_hh_fech!N32=0,0,SER_hh_fech!N32/SER_summary!N$26)</f>
        <v>24.31289930364175</v>
      </c>
      <c r="O32" s="133">
        <f>IF(SER_hh_fech!O32=0,0,SER_hh_fech!O32/SER_summary!O$26)</f>
        <v>23.738292939351375</v>
      </c>
      <c r="P32" s="133">
        <f>IF(SER_hh_fech!P32=0,0,SER_hh_fech!P32/SER_summary!P$26)</f>
        <v>24.088596558069728</v>
      </c>
      <c r="Q32" s="133">
        <f>IF(SER_hh_fech!Q32=0,0,SER_hh_fech!Q32/SER_summary!Q$26)</f>
        <v>24.761231468158869</v>
      </c>
      <c r="R32" s="133">
        <f>IF(SER_hh_fech!R32=0,0,SER_hh_fech!R32/SER_summary!R$26)</f>
        <v>24.270215285198919</v>
      </c>
      <c r="S32" s="133">
        <f>IF(SER_hh_fech!S32=0,0,SER_hh_fech!S32/SER_summary!S$26)</f>
        <v>23.813932062929258</v>
      </c>
      <c r="T32" s="133">
        <f>IF(SER_hh_fech!T32=0,0,SER_hh_fech!T32/SER_summary!T$26)</f>
        <v>23.729667161459471</v>
      </c>
      <c r="U32" s="133">
        <f>IF(SER_hh_fech!U32=0,0,SER_hh_fech!U32/SER_summary!U$26)</f>
        <v>24.085104162393286</v>
      </c>
      <c r="V32" s="133">
        <f>IF(SER_hh_fech!V32=0,0,SER_hh_fech!V32/SER_summary!V$26)</f>
        <v>23.856096188679391</v>
      </c>
      <c r="W32" s="133">
        <f>IF(SER_hh_fech!W32=0,0,SER_hh_fech!W32/SER_summary!W$26)</f>
        <v>23.462361782855464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17.759767828633098</v>
      </c>
      <c r="C33" s="68">
        <f>IF(SER_hh_fech!C33=0,0,SER_hh_fech!C33/SER_summary!C$26)</f>
        <v>17.480669057727663</v>
      </c>
      <c r="D33" s="68">
        <f>IF(SER_hh_fech!D33=0,0,SER_hh_fech!D33/SER_summary!D$26)</f>
        <v>15.928166448227627</v>
      </c>
      <c r="E33" s="68">
        <f>IF(SER_hh_fech!E33=0,0,SER_hh_fech!E33/SER_summary!E$26)</f>
        <v>16.377943053416903</v>
      </c>
      <c r="F33" s="68">
        <f>IF(SER_hh_fech!F33=0,0,SER_hh_fech!F33/SER_summary!F$26)</f>
        <v>14.688496257971622</v>
      </c>
      <c r="G33" s="68">
        <f>IF(SER_hh_fech!G33=0,0,SER_hh_fech!G33/SER_summary!G$26)</f>
        <v>17.09640894661829</v>
      </c>
      <c r="H33" s="68">
        <f>IF(SER_hh_fech!H33=0,0,SER_hh_fech!H33/SER_summary!H$26)</f>
        <v>16.437682563258022</v>
      </c>
      <c r="I33" s="68">
        <f>IF(SER_hh_fech!I33=0,0,SER_hh_fech!I33/SER_summary!I$26)</f>
        <v>17.01400400853348</v>
      </c>
      <c r="J33" s="68">
        <f>IF(SER_hh_fech!J33=0,0,SER_hh_fech!J33/SER_summary!J$26)</f>
        <v>17.76672972093515</v>
      </c>
      <c r="K33" s="68">
        <f>IF(SER_hh_fech!K33=0,0,SER_hh_fech!K33/SER_summary!K$26)</f>
        <v>17.862891757860467</v>
      </c>
      <c r="L33" s="68">
        <f>IF(SER_hh_fech!L33=0,0,SER_hh_fech!L33/SER_summary!L$26)</f>
        <v>15.343344335632185</v>
      </c>
      <c r="M33" s="68">
        <f>IF(SER_hh_fech!M33=0,0,SER_hh_fech!M33/SER_summary!M$26)</f>
        <v>15.75387194336613</v>
      </c>
      <c r="N33" s="68">
        <f>IF(SER_hh_fech!N33=0,0,SER_hh_fech!N33/SER_summary!N$26)</f>
        <v>18.559055424701537</v>
      </c>
      <c r="O33" s="68">
        <f>IF(SER_hh_fech!O33=0,0,SER_hh_fech!O33/SER_summary!O$26)</f>
        <v>17.547123825660581</v>
      </c>
      <c r="P33" s="68">
        <f>IF(SER_hh_fech!P33=0,0,SER_hh_fech!P33/SER_summary!P$26)</f>
        <v>17.277655930982679</v>
      </c>
      <c r="Q33" s="68">
        <f>IF(SER_hh_fech!Q33=0,0,SER_hh_fech!Q33/SER_summary!Q$26)</f>
        <v>17.194484347574125</v>
      </c>
      <c r="R33" s="68">
        <f>IF(SER_hh_fech!R33=0,0,SER_hh_fech!R33/SER_summary!R$26)</f>
        <v>17.329048705956971</v>
      </c>
      <c r="S33" s="68">
        <f>IF(SER_hh_fech!S33=0,0,SER_hh_fech!S33/SER_summary!S$26)</f>
        <v>16.891941730916866</v>
      </c>
      <c r="T33" s="68">
        <f>IF(SER_hh_fech!T33=0,0,SER_hh_fech!T33/SER_summary!T$26)</f>
        <v>16.780391473032264</v>
      </c>
      <c r="U33" s="68">
        <f>IF(SER_hh_fech!U33=0,0,SER_hh_fech!U33/SER_summary!U$26)</f>
        <v>16.379890977981244</v>
      </c>
      <c r="V33" s="68">
        <f>IF(SER_hh_fech!V33=0,0,SER_hh_fech!V33/SER_summary!V$26)</f>
        <v>15.817143242099302</v>
      </c>
      <c r="W33" s="68">
        <f>IF(SER_hh_fech!W33=0,0,SER_hh_fech!W33/SER_summary!W$26)</f>
        <v>16.291888788748647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119.1686507510784</v>
      </c>
      <c r="C3" s="126">
        <f>IF(SER_hh_tesh!C3=0,0,SER_hh_tesh!C3/SER_summary!C$26)</f>
        <v>137.7221226346571</v>
      </c>
      <c r="D3" s="126">
        <f>IF(SER_hh_tesh!D3=0,0,SER_hh_tesh!D3/SER_summary!D$26)</f>
        <v>133.98186677201278</v>
      </c>
      <c r="E3" s="126">
        <f>IF(SER_hh_tesh!E3=0,0,SER_hh_tesh!E3/SER_summary!E$26)</f>
        <v>150.8176848362267</v>
      </c>
      <c r="F3" s="126">
        <f>IF(SER_hh_tesh!F3=0,0,SER_hh_tesh!F3/SER_summary!F$26)</f>
        <v>147.92297062480557</v>
      </c>
      <c r="G3" s="126">
        <f>IF(SER_hh_tesh!G3=0,0,SER_hh_tesh!G3/SER_summary!G$26)</f>
        <v>142.23612750331856</v>
      </c>
      <c r="H3" s="126">
        <f>IF(SER_hh_tesh!H3=0,0,SER_hh_tesh!H3/SER_summary!H$26)</f>
        <v>145.64740356300916</v>
      </c>
      <c r="I3" s="126">
        <f>IF(SER_hh_tesh!I3=0,0,SER_hh_tesh!I3/SER_summary!I$26)</f>
        <v>124.54498170474912</v>
      </c>
      <c r="J3" s="126">
        <f>IF(SER_hh_tesh!J3=0,0,SER_hh_tesh!J3/SER_summary!J$26)</f>
        <v>137.38595776113516</v>
      </c>
      <c r="K3" s="126">
        <f>IF(SER_hh_tesh!K3=0,0,SER_hh_tesh!K3/SER_summary!K$26)</f>
        <v>123.66983391251441</v>
      </c>
      <c r="L3" s="126">
        <f>IF(SER_hh_tesh!L3=0,0,SER_hh_tesh!L3/SER_summary!L$26)</f>
        <v>125.0404332077494</v>
      </c>
      <c r="M3" s="126">
        <f>IF(SER_hh_tesh!M3=0,0,SER_hh_tesh!M3/SER_summary!M$26)</f>
        <v>121.01954915694627</v>
      </c>
      <c r="N3" s="126">
        <f>IF(SER_hh_tesh!N3=0,0,SER_hh_tesh!N3/SER_summary!N$26)</f>
        <v>123.02615379177342</v>
      </c>
      <c r="O3" s="126">
        <f>IF(SER_hh_tesh!O3=0,0,SER_hh_tesh!O3/SER_summary!O$26)</f>
        <v>123.32666037184377</v>
      </c>
      <c r="P3" s="126">
        <f>IF(SER_hh_tesh!P3=0,0,SER_hh_tesh!P3/SER_summary!P$26)</f>
        <v>113.95288865822752</v>
      </c>
      <c r="Q3" s="126">
        <f>IF(SER_hh_tesh!Q3=0,0,SER_hh_tesh!Q3/SER_summary!Q$26)</f>
        <v>116.5588155560845</v>
      </c>
      <c r="R3" s="126">
        <f>IF(SER_hh_tesh!R3=0,0,SER_hh_tesh!R3/SER_summary!R$26)</f>
        <v>112.97832410908727</v>
      </c>
      <c r="S3" s="126">
        <f>IF(SER_hh_tesh!S3=0,0,SER_hh_tesh!S3/SER_summary!S$26)</f>
        <v>123.62229243188736</v>
      </c>
      <c r="T3" s="126">
        <f>IF(SER_hh_tesh!T3=0,0,SER_hh_tesh!T3/SER_summary!T$26)</f>
        <v>119.09558292030144</v>
      </c>
      <c r="U3" s="126">
        <f>IF(SER_hh_tesh!U3=0,0,SER_hh_tesh!U3/SER_summary!U$26)</f>
        <v>123.14454384810823</v>
      </c>
      <c r="V3" s="126">
        <f>IF(SER_hh_tesh!V3=0,0,SER_hh_tesh!V3/SER_summary!V$26)</f>
        <v>111.98167839915493</v>
      </c>
      <c r="W3" s="126">
        <f>IF(SER_hh_tesh!W3=0,0,SER_hh_tesh!W3/SER_summary!W$26)</f>
        <v>121.32161546502032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88.547459803633515</v>
      </c>
      <c r="C4" s="131">
        <f>IF(SER_hh_tesh!C4=0,0,SER_hh_tesh!C4/SER_summary!C$26)</f>
        <v>106.47385188490551</v>
      </c>
      <c r="D4" s="131">
        <f>IF(SER_hh_tesh!D4=0,0,SER_hh_tesh!D4/SER_summary!D$26)</f>
        <v>102.02985788375977</v>
      </c>
      <c r="E4" s="131">
        <f>IF(SER_hh_tesh!E4=0,0,SER_hh_tesh!E4/SER_summary!E$26)</f>
        <v>117.73599634503286</v>
      </c>
      <c r="F4" s="131">
        <f>IF(SER_hh_tesh!F4=0,0,SER_hh_tesh!F4/SER_summary!F$26)</f>
        <v>115.10472311626306</v>
      </c>
      <c r="G4" s="131">
        <f>IF(SER_hh_tesh!G4=0,0,SER_hh_tesh!G4/SER_summary!G$26)</f>
        <v>108.89366572760669</v>
      </c>
      <c r="H4" s="131">
        <f>IF(SER_hh_tesh!H4=0,0,SER_hh_tesh!H4/SER_summary!H$26)</f>
        <v>112.18266335447362</v>
      </c>
      <c r="I4" s="131">
        <f>IF(SER_hh_tesh!I4=0,0,SER_hh_tesh!I4/SER_summary!I$26)</f>
        <v>90.823476934963523</v>
      </c>
      <c r="J4" s="131">
        <f>IF(SER_hh_tesh!J4=0,0,SER_hh_tesh!J4/SER_summary!J$26)</f>
        <v>103.64388883753834</v>
      </c>
      <c r="K4" s="131">
        <f>IF(SER_hh_tesh!K4=0,0,SER_hh_tesh!K4/SER_summary!K$26)</f>
        <v>88.51583400071722</v>
      </c>
      <c r="L4" s="131">
        <f>IF(SER_hh_tesh!L4=0,0,SER_hh_tesh!L4/SER_summary!L$26)</f>
        <v>89.536264234718075</v>
      </c>
      <c r="M4" s="131">
        <f>IF(SER_hh_tesh!M4=0,0,SER_hh_tesh!M4/SER_summary!M$26)</f>
        <v>85.230218789918652</v>
      </c>
      <c r="N4" s="131">
        <f>IF(SER_hh_tesh!N4=0,0,SER_hh_tesh!N4/SER_summary!N$26)</f>
        <v>86.815384307652323</v>
      </c>
      <c r="O4" s="131">
        <f>IF(SER_hh_tesh!O4=0,0,SER_hh_tesh!O4/SER_summary!O$26)</f>
        <v>86.613212464290712</v>
      </c>
      <c r="P4" s="131">
        <f>IF(SER_hh_tesh!P4=0,0,SER_hh_tesh!P4/SER_summary!P$26)</f>
        <v>77.313807886703898</v>
      </c>
      <c r="Q4" s="131">
        <f>IF(SER_hh_tesh!Q4=0,0,SER_hh_tesh!Q4/SER_summary!Q$26)</f>
        <v>79.17355956210163</v>
      </c>
      <c r="R4" s="131">
        <f>IF(SER_hh_tesh!R4=0,0,SER_hh_tesh!R4/SER_summary!R$26)</f>
        <v>76.258606798510513</v>
      </c>
      <c r="S4" s="131">
        <f>IF(SER_hh_tesh!S4=0,0,SER_hh_tesh!S4/SER_summary!S$26)</f>
        <v>86.669353042248233</v>
      </c>
      <c r="T4" s="131">
        <f>IF(SER_hh_tesh!T4=0,0,SER_hh_tesh!T4/SER_summary!T$26)</f>
        <v>82.421425399374982</v>
      </c>
      <c r="U4" s="131">
        <f>IF(SER_hh_tesh!U4=0,0,SER_hh_tesh!U4/SER_summary!U$26)</f>
        <v>86.649408936393925</v>
      </c>
      <c r="V4" s="131">
        <f>IF(SER_hh_tesh!V4=0,0,SER_hh_tesh!V4/SER_summary!V$26)</f>
        <v>77.083025950866372</v>
      </c>
      <c r="W4" s="131">
        <f>IF(SER_hh_tesh!W4=0,0,SER_hh_tesh!W4/SER_summary!W$26)</f>
        <v>86.153507106591931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91.098334905709564</v>
      </c>
      <c r="C5" s="133">
        <f>IF(SER_hh_tesh!C5=0,0,SER_hh_tesh!C5/SER_summary!C$26)</f>
        <v>109.42377192048471</v>
      </c>
      <c r="D5" s="133">
        <f>IF(SER_hh_tesh!D5=0,0,SER_hh_tesh!D5/SER_summary!D$26)</f>
        <v>87.073849520502634</v>
      </c>
      <c r="E5" s="133">
        <f>IF(SER_hh_tesh!E5=0,0,SER_hh_tesh!E5/SER_summary!E$26)</f>
        <v>130.86060904376126</v>
      </c>
      <c r="F5" s="133">
        <f>IF(SER_hh_tesh!F5=0,0,SER_hh_tesh!F5/SER_summary!F$26)</f>
        <v>111.52132015731188</v>
      </c>
      <c r="G5" s="133">
        <f>IF(SER_hh_tesh!G5=0,0,SER_hh_tesh!G5/SER_summary!G$26)</f>
        <v>108.86872761432701</v>
      </c>
      <c r="H5" s="133">
        <f>IF(SER_hh_tesh!H5=0,0,SER_hh_tesh!H5/SER_summary!H$26)</f>
        <v>101.75257850457497</v>
      </c>
      <c r="I5" s="133">
        <f>IF(SER_hh_tesh!I5=0,0,SER_hh_tesh!I5/SER_summary!I$26)</f>
        <v>99.485777711979253</v>
      </c>
      <c r="J5" s="133">
        <f>IF(SER_hh_tesh!J5=0,0,SER_hh_tesh!J5/SER_summary!J$26)</f>
        <v>83.106287411982734</v>
      </c>
      <c r="K5" s="133">
        <f>IF(SER_hh_tesh!K5=0,0,SER_hh_tesh!K5/SER_summary!K$26)</f>
        <v>77.159204509999455</v>
      </c>
      <c r="L5" s="133">
        <f>IF(SER_hh_tesh!L5=0,0,SER_hh_tesh!L5/SER_summary!L$26)</f>
        <v>106.88278338273685</v>
      </c>
      <c r="M5" s="133">
        <f>IF(SER_hh_tesh!M5=0,0,SER_hh_tesh!M5/SER_summary!M$26)</f>
        <v>104.69277411120096</v>
      </c>
      <c r="N5" s="133">
        <f>IF(SER_hh_tesh!N5=0,0,SER_hh_tesh!N5/SER_summary!N$26)</f>
        <v>4.3125393973223449</v>
      </c>
      <c r="O5" s="133">
        <f>IF(SER_hh_tesh!O5=0,0,SER_hh_tesh!O5/SER_summary!O$26)</f>
        <v>42.976450574904305</v>
      </c>
      <c r="P5" s="133">
        <f>IF(SER_hh_tesh!P5=0,0,SER_hh_tesh!P5/SER_summary!P$26)</f>
        <v>31.760779383494921</v>
      </c>
      <c r="Q5" s="133">
        <f>IF(SER_hh_tesh!Q5=0,0,SER_hh_tesh!Q5/SER_summary!Q$26)</f>
        <v>40.482216085087529</v>
      </c>
      <c r="R5" s="133">
        <f>IF(SER_hh_tesh!R5=0,0,SER_hh_tesh!R5/SER_summary!R$26)</f>
        <v>0</v>
      </c>
      <c r="S5" s="133">
        <f>IF(SER_hh_tesh!S5=0,0,SER_hh_tesh!S5/SER_summary!S$26)</f>
        <v>0</v>
      </c>
      <c r="T5" s="133">
        <f>IF(SER_hh_tesh!T5=0,0,SER_hh_tesh!T5/SER_summary!T$26)</f>
        <v>0</v>
      </c>
      <c r="U5" s="133">
        <f>IF(SER_hh_tesh!U5=0,0,SER_hh_tesh!U5/SER_summary!U$26)</f>
        <v>0</v>
      </c>
      <c r="V5" s="133">
        <f>IF(SER_hh_tesh!V5=0,0,SER_hh_tesh!V5/SER_summary!V$26)</f>
        <v>0</v>
      </c>
      <c r="W5" s="133">
        <f>IF(SER_hh_tesh!W5=0,0,SER_hh_tesh!W5/SER_summary!W$26)</f>
        <v>0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82.43194879884831</v>
      </c>
      <c r="C7" s="133">
        <f>IF(SER_hh_tesh!C7=0,0,SER_hh_tesh!C7/SER_summary!C$26)</f>
        <v>106.5698061229109</v>
      </c>
      <c r="D7" s="133">
        <f>IF(SER_hh_tesh!D7=0,0,SER_hh_tesh!D7/SER_summary!D$26)</f>
        <v>103.08268833934457</v>
      </c>
      <c r="E7" s="133">
        <f>IF(SER_hh_tesh!E7=0,0,SER_hh_tesh!E7/SER_summary!E$26)</f>
        <v>125.71964567098397</v>
      </c>
      <c r="F7" s="133">
        <f>IF(SER_hh_tesh!F7=0,0,SER_hh_tesh!F7/SER_summary!F$26)</f>
        <v>89.583178130274845</v>
      </c>
      <c r="G7" s="133">
        <f>IF(SER_hh_tesh!G7=0,0,SER_hh_tesh!G7/SER_summary!G$26)</f>
        <v>115.35674797283255</v>
      </c>
      <c r="H7" s="133">
        <f>IF(SER_hh_tesh!H7=0,0,SER_hh_tesh!H7/SER_summary!H$26)</f>
        <v>117.95664353129985</v>
      </c>
      <c r="I7" s="133">
        <f>IF(SER_hh_tesh!I7=0,0,SER_hh_tesh!I7/SER_summary!I$26)</f>
        <v>84.696691508339455</v>
      </c>
      <c r="J7" s="133">
        <f>IF(SER_hh_tesh!J7=0,0,SER_hh_tesh!J7/SER_summary!J$26)</f>
        <v>109.32823429746306</v>
      </c>
      <c r="K7" s="133">
        <f>IF(SER_hh_tesh!K7=0,0,SER_hh_tesh!K7/SER_summary!K$26)</f>
        <v>100.77506346750519</v>
      </c>
      <c r="L7" s="133">
        <f>IF(SER_hh_tesh!L7=0,0,SER_hh_tesh!L7/SER_summary!L$26)</f>
        <v>64.55177405402388</v>
      </c>
      <c r="M7" s="133">
        <f>IF(SER_hh_tesh!M7=0,0,SER_hh_tesh!M7/SER_summary!M$26)</f>
        <v>79.317093030484386</v>
      </c>
      <c r="N7" s="133">
        <f>IF(SER_hh_tesh!N7=0,0,SER_hh_tesh!N7/SER_summary!N$26)</f>
        <v>77.506594939232087</v>
      </c>
      <c r="O7" s="133">
        <f>IF(SER_hh_tesh!O7=0,0,SER_hh_tesh!O7/SER_summary!O$26)</f>
        <v>78.075780822582928</v>
      </c>
      <c r="P7" s="133">
        <f>IF(SER_hh_tesh!P7=0,0,SER_hh_tesh!P7/SER_summary!P$26)</f>
        <v>80.094948885231901</v>
      </c>
      <c r="Q7" s="133">
        <f>IF(SER_hh_tesh!Q7=0,0,SER_hh_tesh!Q7/SER_summary!Q$26)</f>
        <v>79.203580555395689</v>
      </c>
      <c r="R7" s="133">
        <f>IF(SER_hh_tesh!R7=0,0,SER_hh_tesh!R7/SER_summary!R$26)</f>
        <v>69.75279220992276</v>
      </c>
      <c r="S7" s="133">
        <f>IF(SER_hh_tesh!S7=0,0,SER_hh_tesh!S7/SER_summary!S$26)</f>
        <v>95.912660425629653</v>
      </c>
      <c r="T7" s="133">
        <f>IF(SER_hh_tesh!T7=0,0,SER_hh_tesh!T7/SER_summary!T$26)</f>
        <v>82.974455220961573</v>
      </c>
      <c r="U7" s="133">
        <f>IF(SER_hh_tesh!U7=0,0,SER_hh_tesh!U7/SER_summary!U$26)</f>
        <v>78.080527022755817</v>
      </c>
      <c r="V7" s="133">
        <f>IF(SER_hh_tesh!V7=0,0,SER_hh_tesh!V7/SER_summary!V$26)</f>
        <v>76.965269362978631</v>
      </c>
      <c r="W7" s="133">
        <f>IF(SER_hh_tesh!W7=0,0,SER_hh_tesh!W7/SER_summary!W$26)</f>
        <v>99.082102231659704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84.953226186535559</v>
      </c>
      <c r="C8" s="133">
        <f>IF(SER_hh_tesh!C8=0,0,SER_hh_tesh!C8/SER_summary!C$26)</f>
        <v>106.3744528990494</v>
      </c>
      <c r="D8" s="133">
        <f>IF(SER_hh_tesh!D8=0,0,SER_hh_tesh!D8/SER_summary!D$26)</f>
        <v>99.998057985088863</v>
      </c>
      <c r="E8" s="133">
        <f>IF(SER_hh_tesh!E8=0,0,SER_hh_tesh!E8/SER_summary!E$26)</f>
        <v>116.05658222030725</v>
      </c>
      <c r="F8" s="133">
        <f>IF(SER_hh_tesh!F8=0,0,SER_hh_tesh!F8/SER_summary!F$26)</f>
        <v>116.09123832825372</v>
      </c>
      <c r="G8" s="133">
        <f>IF(SER_hh_tesh!G8=0,0,SER_hh_tesh!G8/SER_summary!G$26)</f>
        <v>107.77861127269502</v>
      </c>
      <c r="H8" s="133">
        <f>IF(SER_hh_tesh!H8=0,0,SER_hh_tesh!H8/SER_summary!H$26)</f>
        <v>114.25282599858548</v>
      </c>
      <c r="I8" s="133">
        <f>IF(SER_hh_tesh!I8=0,0,SER_hh_tesh!I8/SER_summary!I$26)</f>
        <v>91.721901263755996</v>
      </c>
      <c r="J8" s="133">
        <f>IF(SER_hh_tesh!J8=0,0,SER_hh_tesh!J8/SER_summary!J$26)</f>
        <v>105.42717914807984</v>
      </c>
      <c r="K8" s="133">
        <f>IF(SER_hh_tesh!K8=0,0,SER_hh_tesh!K8/SER_summary!K$26)</f>
        <v>89.051715061925691</v>
      </c>
      <c r="L8" s="133">
        <f>IF(SER_hh_tesh!L8=0,0,SER_hh_tesh!L8/SER_summary!L$26)</f>
        <v>89.042225644890081</v>
      </c>
      <c r="M8" s="133">
        <f>IF(SER_hh_tesh!M8=0,0,SER_hh_tesh!M8/SER_summary!M$26)</f>
        <v>86.066290116087615</v>
      </c>
      <c r="N8" s="133">
        <f>IF(SER_hh_tesh!N8=0,0,SER_hh_tesh!N8/SER_summary!N$26)</f>
        <v>85.614027910215825</v>
      </c>
      <c r="O8" s="133">
        <f>IF(SER_hh_tesh!O8=0,0,SER_hh_tesh!O8/SER_summary!O$26)</f>
        <v>81.020586447085066</v>
      </c>
      <c r="P8" s="133">
        <f>IF(SER_hh_tesh!P8=0,0,SER_hh_tesh!P8/SER_summary!P$26)</f>
        <v>76.426811196989831</v>
      </c>
      <c r="Q8" s="133">
        <f>IF(SER_hh_tesh!Q8=0,0,SER_hh_tesh!Q8/SER_summary!Q$26)</f>
        <v>76.631981999444747</v>
      </c>
      <c r="R8" s="133">
        <f>IF(SER_hh_tesh!R8=0,0,SER_hh_tesh!R8/SER_summary!R$26)</f>
        <v>77.841032471021975</v>
      </c>
      <c r="S8" s="133">
        <f>IF(SER_hh_tesh!S8=0,0,SER_hh_tesh!S8/SER_summary!S$26)</f>
        <v>87.041596820934458</v>
      </c>
      <c r="T8" s="133">
        <f>IF(SER_hh_tesh!T8=0,0,SER_hh_tesh!T8/SER_summary!T$26)</f>
        <v>83.059902438019634</v>
      </c>
      <c r="U8" s="133">
        <f>IF(SER_hh_tesh!U8=0,0,SER_hh_tesh!U8/SER_summary!U$26)</f>
        <v>87.724051664703637</v>
      </c>
      <c r="V8" s="133">
        <f>IF(SER_hh_tesh!V8=0,0,SER_hh_tesh!V8/SER_summary!V$26)</f>
        <v>76.429792770121082</v>
      </c>
      <c r="W8" s="133">
        <f>IF(SER_hh_tesh!W8=0,0,SER_hh_tesh!W8/SER_summary!W$26)</f>
        <v>85.731727049812989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81.373726872441239</v>
      </c>
      <c r="C9" s="133">
        <f>IF(SER_hh_tesh!C9=0,0,SER_hh_tesh!C9/SER_summary!C$26)</f>
        <v>111.50608854854904</v>
      </c>
      <c r="D9" s="133">
        <f>IF(SER_hh_tesh!D9=0,0,SER_hh_tesh!D9/SER_summary!D$26)</f>
        <v>97.824624963468935</v>
      </c>
      <c r="E9" s="133">
        <f>IF(SER_hh_tesh!E9=0,0,SER_hh_tesh!E9/SER_summary!E$26)</f>
        <v>114.58304764551738</v>
      </c>
      <c r="F9" s="133">
        <f>IF(SER_hh_tesh!F9=0,0,SER_hh_tesh!F9/SER_summary!F$26)</f>
        <v>150.78928922211202</v>
      </c>
      <c r="G9" s="133">
        <f>IF(SER_hh_tesh!G9=0,0,SER_hh_tesh!G9/SER_summary!G$26)</f>
        <v>85.413748498394511</v>
      </c>
      <c r="H9" s="133">
        <f>IF(SER_hh_tesh!H9=0,0,SER_hh_tesh!H9/SER_summary!H$26)</f>
        <v>105.68817901810057</v>
      </c>
      <c r="I9" s="133">
        <f>IF(SER_hh_tesh!I9=0,0,SER_hh_tesh!I9/SER_summary!I$26)</f>
        <v>88.859075280535308</v>
      </c>
      <c r="J9" s="133">
        <f>IF(SER_hh_tesh!J9=0,0,SER_hh_tesh!J9/SER_summary!J$26)</f>
        <v>103.97785276557418</v>
      </c>
      <c r="K9" s="133">
        <f>IF(SER_hh_tesh!K9=0,0,SER_hh_tesh!K9/SER_summary!K$26)</f>
        <v>80.605678659955373</v>
      </c>
      <c r="L9" s="133">
        <f>IF(SER_hh_tesh!L9=0,0,SER_hh_tesh!L9/SER_summary!L$26)</f>
        <v>89.989330147362992</v>
      </c>
      <c r="M9" s="133">
        <f>IF(SER_hh_tesh!M9=0,0,SER_hh_tesh!M9/SER_summary!M$26)</f>
        <v>75.638479579596563</v>
      </c>
      <c r="N9" s="133">
        <f>IF(SER_hh_tesh!N9=0,0,SER_hh_tesh!N9/SER_summary!N$26)</f>
        <v>89.633090804966827</v>
      </c>
      <c r="O9" s="133">
        <f>IF(SER_hh_tesh!O9=0,0,SER_hh_tesh!O9/SER_summary!O$26)</f>
        <v>91.521904221830795</v>
      </c>
      <c r="P9" s="133">
        <f>IF(SER_hh_tesh!P9=0,0,SER_hh_tesh!P9/SER_summary!P$26)</f>
        <v>68.708743016803126</v>
      </c>
      <c r="Q9" s="133">
        <f>IF(SER_hh_tesh!Q9=0,0,SER_hh_tesh!Q9/SER_summary!Q$26)</f>
        <v>79.930357489502171</v>
      </c>
      <c r="R9" s="133">
        <f>IF(SER_hh_tesh!R9=0,0,SER_hh_tesh!R9/SER_summary!R$26)</f>
        <v>72.873825444934482</v>
      </c>
      <c r="S9" s="133">
        <f>IF(SER_hh_tesh!S9=0,0,SER_hh_tesh!S9/SER_summary!S$26)</f>
        <v>82.79828574749304</v>
      </c>
      <c r="T9" s="133">
        <f>IF(SER_hh_tesh!T9=0,0,SER_hh_tesh!T9/SER_summary!T$26)</f>
        <v>78.140384458217937</v>
      </c>
      <c r="U9" s="133">
        <f>IF(SER_hh_tesh!U9=0,0,SER_hh_tesh!U9/SER_summary!U$26)</f>
        <v>85.180923199882201</v>
      </c>
      <c r="V9" s="133">
        <f>IF(SER_hh_tesh!V9=0,0,SER_hh_tesh!V9/SER_summary!V$26)</f>
        <v>89.497253611217104</v>
      </c>
      <c r="W9" s="133">
        <f>IF(SER_hh_tesh!W9=0,0,SER_hh_tesh!W9/SER_summary!W$26)</f>
        <v>99.596036377147897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90.97866193934783</v>
      </c>
      <c r="C10" s="133">
        <f>IF(SER_hh_tesh!C10=0,0,SER_hh_tesh!C10/SER_summary!C$26)</f>
        <v>101.02578675510377</v>
      </c>
      <c r="D10" s="133">
        <f>IF(SER_hh_tesh!D10=0,0,SER_hh_tesh!D10/SER_summary!D$26)</f>
        <v>98.94026703513866</v>
      </c>
      <c r="E10" s="133">
        <f>IF(SER_hh_tesh!E10=0,0,SER_hh_tesh!E10/SER_summary!E$26)</f>
        <v>115.93569196435527</v>
      </c>
      <c r="F10" s="133">
        <f>IF(SER_hh_tesh!F10=0,0,SER_hh_tesh!F10/SER_summary!F$26)</f>
        <v>123.51704146554191</v>
      </c>
      <c r="G10" s="133">
        <f>IF(SER_hh_tesh!G10=0,0,SER_hh_tesh!G10/SER_summary!G$26)</f>
        <v>100.51450955243286</v>
      </c>
      <c r="H10" s="133">
        <f>IF(SER_hh_tesh!H10=0,0,SER_hh_tesh!H10/SER_summary!H$26)</f>
        <v>109.87552786280951</v>
      </c>
      <c r="I10" s="133">
        <f>IF(SER_hh_tesh!I10=0,0,SER_hh_tesh!I10/SER_summary!I$26)</f>
        <v>102.46340162783281</v>
      </c>
      <c r="J10" s="133">
        <f>IF(SER_hh_tesh!J10=0,0,SER_hh_tesh!J10/SER_summary!J$26)</f>
        <v>86.512480597676088</v>
      </c>
      <c r="K10" s="133">
        <f>IF(SER_hh_tesh!K10=0,0,SER_hh_tesh!K10/SER_summary!K$26)</f>
        <v>83.973349780501778</v>
      </c>
      <c r="L10" s="133">
        <f>IF(SER_hh_tesh!L10=0,0,SER_hh_tesh!L10/SER_summary!L$26)</f>
        <v>105.73544385911359</v>
      </c>
      <c r="M10" s="133">
        <f>IF(SER_hh_tesh!M10=0,0,SER_hh_tesh!M10/SER_summary!M$26)</f>
        <v>89.417007647860146</v>
      </c>
      <c r="N10" s="133">
        <f>IF(SER_hh_tesh!N10=0,0,SER_hh_tesh!N10/SER_summary!N$26)</f>
        <v>65.111232402733663</v>
      </c>
      <c r="O10" s="133">
        <f>IF(SER_hh_tesh!O10=0,0,SER_hh_tesh!O10/SER_summary!O$26)</f>
        <v>88.637176355106476</v>
      </c>
      <c r="P10" s="133">
        <f>IF(SER_hh_tesh!P10=0,0,SER_hh_tesh!P10/SER_summary!P$26)</f>
        <v>70.706208927581883</v>
      </c>
      <c r="Q10" s="133">
        <f>IF(SER_hh_tesh!Q10=0,0,SER_hh_tesh!Q10/SER_summary!Q$26)</f>
        <v>87.551836135972266</v>
      </c>
      <c r="R10" s="133">
        <f>IF(SER_hh_tesh!R10=0,0,SER_hh_tesh!R10/SER_summary!R$26)</f>
        <v>59.170063206661453</v>
      </c>
      <c r="S10" s="133">
        <f>IF(SER_hh_tesh!S10=0,0,SER_hh_tesh!S10/SER_summary!S$26)</f>
        <v>91.497795389986138</v>
      </c>
      <c r="T10" s="133">
        <f>IF(SER_hh_tesh!T10=0,0,SER_hh_tesh!T10/SER_summary!T$26)</f>
        <v>84.506955206685703</v>
      </c>
      <c r="U10" s="133">
        <f>IF(SER_hh_tesh!U10=0,0,SER_hh_tesh!U10/SER_summary!U$26)</f>
        <v>85.585022038011147</v>
      </c>
      <c r="V10" s="133">
        <f>IF(SER_hh_tesh!V10=0,0,SER_hh_tesh!V10/SER_summary!V$26)</f>
        <v>77.277994779350848</v>
      </c>
      <c r="W10" s="133">
        <f>IF(SER_hh_tesh!W10=0,0,SER_hh_tesh!W10/SER_summary!W$26)</f>
        <v>86.587704341352079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95.328463800711873</v>
      </c>
      <c r="C11" s="133">
        <f>IF(SER_hh_tesh!C11=0,0,SER_hh_tesh!C11/SER_summary!C$26)</f>
        <v>84.551840728750264</v>
      </c>
      <c r="D11" s="133">
        <f>IF(SER_hh_tesh!D11=0,0,SER_hh_tesh!D11/SER_summary!D$26)</f>
        <v>127.69074580486428</v>
      </c>
      <c r="E11" s="133">
        <f>IF(SER_hh_tesh!E11=0,0,SER_hh_tesh!E11/SER_summary!E$26)</f>
        <v>105.28384276086214</v>
      </c>
      <c r="F11" s="133">
        <f>IF(SER_hh_tesh!F11=0,0,SER_hh_tesh!F11/SER_summary!F$26)</f>
        <v>104.88622847570232</v>
      </c>
      <c r="G11" s="133">
        <f>IF(SER_hh_tesh!G11=0,0,SER_hh_tesh!G11/SER_summary!G$26)</f>
        <v>114.6403422397278</v>
      </c>
      <c r="H11" s="133">
        <f>IF(SER_hh_tesh!H11=0,0,SER_hh_tesh!H11/SER_summary!H$26)</f>
        <v>108.56633294192036</v>
      </c>
      <c r="I11" s="133">
        <f>IF(SER_hh_tesh!I11=0,0,SER_hh_tesh!I11/SER_summary!I$26)</f>
        <v>91.778518769350683</v>
      </c>
      <c r="J11" s="133">
        <f>IF(SER_hh_tesh!J11=0,0,SER_hh_tesh!J11/SER_summary!J$26)</f>
        <v>92.648823078392283</v>
      </c>
      <c r="K11" s="133">
        <f>IF(SER_hh_tesh!K11=0,0,SER_hh_tesh!K11/SER_summary!K$26)</f>
        <v>91.219316504586885</v>
      </c>
      <c r="L11" s="133">
        <f>IF(SER_hh_tesh!L11=0,0,SER_hh_tesh!L11/SER_summary!L$26)</f>
        <v>94.931034560758647</v>
      </c>
      <c r="M11" s="133">
        <f>IF(SER_hh_tesh!M11=0,0,SER_hh_tesh!M11/SER_summary!M$26)</f>
        <v>78.816082041989318</v>
      </c>
      <c r="N11" s="133">
        <f>IF(SER_hh_tesh!N11=0,0,SER_hh_tesh!N11/SER_summary!N$26)</f>
        <v>92.870012154459559</v>
      </c>
      <c r="O11" s="133">
        <f>IF(SER_hh_tesh!O11=0,0,SER_hh_tesh!O11/SER_summary!O$26)</f>
        <v>88.40752548010299</v>
      </c>
      <c r="P11" s="133">
        <f>IF(SER_hh_tesh!P11=0,0,SER_hh_tesh!P11/SER_summary!P$26)</f>
        <v>71.974214610287405</v>
      </c>
      <c r="Q11" s="133">
        <f>IF(SER_hh_tesh!Q11=0,0,SER_hh_tesh!Q11/SER_summary!Q$26)</f>
        <v>75.363865831908853</v>
      </c>
      <c r="R11" s="133">
        <f>IF(SER_hh_tesh!R11=0,0,SER_hh_tesh!R11/SER_summary!R$26)</f>
        <v>67.236714208650923</v>
      </c>
      <c r="S11" s="133">
        <f>IF(SER_hh_tesh!S11=0,0,SER_hh_tesh!S11/SER_summary!S$26)</f>
        <v>97.847895620949274</v>
      </c>
      <c r="T11" s="133">
        <f>IF(SER_hh_tesh!T11=0,0,SER_hh_tesh!T11/SER_summary!T$26)</f>
        <v>83.925875678928563</v>
      </c>
      <c r="U11" s="133">
        <f>IF(SER_hh_tesh!U11=0,0,SER_hh_tesh!U11/SER_summary!U$26)</f>
        <v>82.951917263048713</v>
      </c>
      <c r="V11" s="133">
        <f>IF(SER_hh_tesh!V11=0,0,SER_hh_tesh!V11/SER_summary!V$26)</f>
        <v>84.432127159877453</v>
      </c>
      <c r="W11" s="133">
        <f>IF(SER_hh_tesh!W11=0,0,SER_hh_tesh!W11/SER_summary!W$26)</f>
        <v>73.576055046067268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92.020663302844568</v>
      </c>
      <c r="C12" s="133">
        <f>IF(SER_hh_tesh!C12=0,0,SER_hh_tesh!C12/SER_summary!C$26)</f>
        <v>99.991204869853064</v>
      </c>
      <c r="D12" s="133">
        <f>IF(SER_hh_tesh!D12=0,0,SER_hh_tesh!D12/SER_summary!D$26)</f>
        <v>103.77140845382044</v>
      </c>
      <c r="E12" s="133">
        <f>IF(SER_hh_tesh!E12=0,0,SER_hh_tesh!E12/SER_summary!E$26)</f>
        <v>109.58570954468979</v>
      </c>
      <c r="F12" s="133">
        <f>IF(SER_hh_tesh!F12=0,0,SER_hh_tesh!F12/SER_summary!F$26)</f>
        <v>106.67454709963607</v>
      </c>
      <c r="G12" s="133">
        <f>IF(SER_hh_tesh!G12=0,0,SER_hh_tesh!G12/SER_summary!G$26)</f>
        <v>114.38536153718927</v>
      </c>
      <c r="H12" s="133">
        <f>IF(SER_hh_tesh!H12=0,0,SER_hh_tesh!H12/SER_summary!H$26)</f>
        <v>111.48697508409006</v>
      </c>
      <c r="I12" s="133">
        <f>IF(SER_hh_tesh!I12=0,0,SER_hh_tesh!I12/SER_summary!I$26)</f>
        <v>89.208668271246381</v>
      </c>
      <c r="J12" s="133">
        <f>IF(SER_hh_tesh!J12=0,0,SER_hh_tesh!J12/SER_summary!J$26)</f>
        <v>94.787157695844627</v>
      </c>
      <c r="K12" s="133">
        <f>IF(SER_hh_tesh!K12=0,0,SER_hh_tesh!K12/SER_summary!K$26)</f>
        <v>92.399640519194321</v>
      </c>
      <c r="L12" s="133">
        <f>IF(SER_hh_tesh!L12=0,0,SER_hh_tesh!L12/SER_summary!L$26)</f>
        <v>92.053583184902081</v>
      </c>
      <c r="M12" s="133">
        <f>IF(SER_hh_tesh!M12=0,0,SER_hh_tesh!M12/SER_summary!M$26)</f>
        <v>87.090960421271532</v>
      </c>
      <c r="N12" s="133">
        <f>IF(SER_hh_tesh!N12=0,0,SER_hh_tesh!N12/SER_summary!N$26)</f>
        <v>87.82933602973813</v>
      </c>
      <c r="O12" s="133">
        <f>IF(SER_hh_tesh!O12=0,0,SER_hh_tesh!O12/SER_summary!O$26)</f>
        <v>85.528969088275133</v>
      </c>
      <c r="P12" s="133">
        <f>IF(SER_hh_tesh!P12=0,0,SER_hh_tesh!P12/SER_summary!P$26)</f>
        <v>74.9798783754173</v>
      </c>
      <c r="Q12" s="133">
        <f>IF(SER_hh_tesh!Q12=0,0,SER_hh_tesh!Q12/SER_summary!Q$26)</f>
        <v>77.502352132163296</v>
      </c>
      <c r="R12" s="133">
        <f>IF(SER_hh_tesh!R12=0,0,SER_hh_tesh!R12/SER_summary!R$26)</f>
        <v>81.916466534974262</v>
      </c>
      <c r="S12" s="133">
        <f>IF(SER_hh_tesh!S12=0,0,SER_hh_tesh!S12/SER_summary!S$26)</f>
        <v>86.21938201688009</v>
      </c>
      <c r="T12" s="133">
        <f>IF(SER_hh_tesh!T12=0,0,SER_hh_tesh!T12/SER_summary!T$26)</f>
        <v>80.074244218938418</v>
      </c>
      <c r="U12" s="133">
        <f>IF(SER_hh_tesh!U12=0,0,SER_hh_tesh!U12/SER_summary!U$26)</f>
        <v>84.032528518247787</v>
      </c>
      <c r="V12" s="133">
        <f>IF(SER_hh_tesh!V12=0,0,SER_hh_tesh!V12/SER_summary!V$26)</f>
        <v>76.85177183043271</v>
      </c>
      <c r="W12" s="133">
        <f>IF(SER_hh_tesh!W12=0,0,SER_hh_tesh!W12/SER_summary!W$26)</f>
        <v>89.497014992129678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87.15346551991135</v>
      </c>
      <c r="C13" s="133">
        <f>IF(SER_hh_tesh!C13=0,0,SER_hh_tesh!C13/SER_summary!C$26)</f>
        <v>93.924052800778554</v>
      </c>
      <c r="D13" s="133">
        <f>IF(SER_hh_tesh!D13=0,0,SER_hh_tesh!D13/SER_summary!D$26)</f>
        <v>98.595753784356731</v>
      </c>
      <c r="E13" s="133">
        <f>IF(SER_hh_tesh!E13=0,0,SER_hh_tesh!E13/SER_summary!E$26)</f>
        <v>107.07099011939492</v>
      </c>
      <c r="F13" s="133">
        <f>IF(SER_hh_tesh!F13=0,0,SER_hh_tesh!F13/SER_summary!F$26)</f>
        <v>109.53558744639669</v>
      </c>
      <c r="G13" s="133">
        <f>IF(SER_hh_tesh!G13=0,0,SER_hh_tesh!G13/SER_summary!G$26)</f>
        <v>110.3900976770382</v>
      </c>
      <c r="H13" s="133">
        <f>IF(SER_hh_tesh!H13=0,0,SER_hh_tesh!H13/SER_summary!H$26)</f>
        <v>108.85603342080046</v>
      </c>
      <c r="I13" s="133">
        <f>IF(SER_hh_tesh!I13=0,0,SER_hh_tesh!I13/SER_summary!I$26)</f>
        <v>93.436666775253073</v>
      </c>
      <c r="J13" s="133">
        <f>IF(SER_hh_tesh!J13=0,0,SER_hh_tesh!J13/SER_summary!J$26)</f>
        <v>108.30858436850295</v>
      </c>
      <c r="K13" s="133">
        <f>IF(SER_hh_tesh!K13=0,0,SER_hh_tesh!K13/SER_summary!K$26)</f>
        <v>85.96213858762718</v>
      </c>
      <c r="L13" s="133">
        <f>IF(SER_hh_tesh!L13=0,0,SER_hh_tesh!L13/SER_summary!L$26)</f>
        <v>85.392660604524849</v>
      </c>
      <c r="M13" s="133">
        <f>IF(SER_hh_tesh!M13=0,0,SER_hh_tesh!M13/SER_summary!M$26)</f>
        <v>87.193517759355586</v>
      </c>
      <c r="N13" s="133">
        <f>IF(SER_hh_tesh!N13=0,0,SER_hh_tesh!N13/SER_summary!N$26)</f>
        <v>84.966960955693096</v>
      </c>
      <c r="O13" s="133">
        <f>IF(SER_hh_tesh!O13=0,0,SER_hh_tesh!O13/SER_summary!O$26)</f>
        <v>85.00998693898552</v>
      </c>
      <c r="P13" s="133">
        <f>IF(SER_hh_tesh!P13=0,0,SER_hh_tesh!P13/SER_summary!P$26)</f>
        <v>87.924695977964191</v>
      </c>
      <c r="Q13" s="133">
        <f>IF(SER_hh_tesh!Q13=0,0,SER_hh_tesh!Q13/SER_summary!Q$26)</f>
        <v>74.811946096776637</v>
      </c>
      <c r="R13" s="133">
        <f>IF(SER_hh_tesh!R13=0,0,SER_hh_tesh!R13/SER_summary!R$26)</f>
        <v>77.16216043746833</v>
      </c>
      <c r="S13" s="133">
        <f>IF(SER_hh_tesh!S13=0,0,SER_hh_tesh!S13/SER_summary!S$26)</f>
        <v>84.82589271536547</v>
      </c>
      <c r="T13" s="133">
        <f>IF(SER_hh_tesh!T13=0,0,SER_hh_tesh!T13/SER_summary!T$26)</f>
        <v>83.549446741437833</v>
      </c>
      <c r="U13" s="133">
        <f>IF(SER_hh_tesh!U13=0,0,SER_hh_tesh!U13/SER_summary!U$26)</f>
        <v>96.575017313823651</v>
      </c>
      <c r="V13" s="133">
        <f>IF(SER_hh_tesh!V13=0,0,SER_hh_tesh!V13/SER_summary!V$26)</f>
        <v>65.374998392620881</v>
      </c>
      <c r="W13" s="133">
        <f>IF(SER_hh_tesh!W13=0,0,SER_hh_tesh!W13/SER_summary!W$26)</f>
        <v>62.378801709462287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94.690729703951334</v>
      </c>
      <c r="C14" s="65">
        <f>IF(SER_hh_tesh!C14=0,0,SER_hh_tesh!C14/SER_summary!C$26)</f>
        <v>101.85938582967823</v>
      </c>
      <c r="D14" s="65">
        <f>IF(SER_hh_tesh!D14=0,0,SER_hh_tesh!D14/SER_summary!D$26)</f>
        <v>100.79574714663507</v>
      </c>
      <c r="E14" s="65">
        <f>IF(SER_hh_tesh!E14=0,0,SER_hh_tesh!E14/SER_summary!E$26)</f>
        <v>120.10707123165894</v>
      </c>
      <c r="F14" s="65">
        <f>IF(SER_hh_tesh!F14=0,0,SER_hh_tesh!F14/SER_summary!F$26)</f>
        <v>89.041608327264981</v>
      </c>
      <c r="G14" s="65">
        <f>IF(SER_hh_tesh!G14=0,0,SER_hh_tesh!G14/SER_summary!G$26)</f>
        <v>120.58449206847438</v>
      </c>
      <c r="H14" s="65">
        <f>IF(SER_hh_tesh!H14=0,0,SER_hh_tesh!H14/SER_summary!H$26)</f>
        <v>110.74069706748892</v>
      </c>
      <c r="I14" s="65">
        <f>IF(SER_hh_tesh!I14=0,0,SER_hh_tesh!I14/SER_summary!I$26)</f>
        <v>95.632686746139541</v>
      </c>
      <c r="J14" s="65">
        <f>IF(SER_hh_tesh!J14=0,0,SER_hh_tesh!J14/SER_summary!J$26)</f>
        <v>116.33259136860509</v>
      </c>
      <c r="K14" s="65">
        <f>IF(SER_hh_tesh!K14=0,0,SER_hh_tesh!K14/SER_summary!K$26)</f>
        <v>68.702251821617793</v>
      </c>
      <c r="L14" s="65">
        <f>IF(SER_hh_tesh!L14=0,0,SER_hh_tesh!L14/SER_summary!L$26)</f>
        <v>95.69670375925034</v>
      </c>
      <c r="M14" s="65">
        <f>IF(SER_hh_tesh!M14=0,0,SER_hh_tesh!M14/SER_summary!M$26)</f>
        <v>86.418832475170561</v>
      </c>
      <c r="N14" s="65">
        <f>IF(SER_hh_tesh!N14=0,0,SER_hh_tesh!N14/SER_summary!N$26)</f>
        <v>86.558239228131271</v>
      </c>
      <c r="O14" s="65">
        <f>IF(SER_hh_tesh!O14=0,0,SER_hh_tesh!O14/SER_summary!O$26)</f>
        <v>87.111012568535003</v>
      </c>
      <c r="P14" s="65">
        <f>IF(SER_hh_tesh!P14=0,0,SER_hh_tesh!P14/SER_summary!P$26)</f>
        <v>78.93735392700971</v>
      </c>
      <c r="Q14" s="65">
        <f>IF(SER_hh_tesh!Q14=0,0,SER_hh_tesh!Q14/SER_summary!Q$26)</f>
        <v>90.23416600388849</v>
      </c>
      <c r="R14" s="65">
        <f>IF(SER_hh_tesh!R14=0,0,SER_hh_tesh!R14/SER_summary!R$26)</f>
        <v>48.005745232135524</v>
      </c>
      <c r="S14" s="65">
        <f>IF(SER_hh_tesh!S14=0,0,SER_hh_tesh!S14/SER_summary!S$26)</f>
        <v>79.039569259700713</v>
      </c>
      <c r="T14" s="65">
        <f>IF(SER_hh_tesh!T14=0,0,SER_hh_tesh!T14/SER_summary!T$26)</f>
        <v>94.739543129378148</v>
      </c>
      <c r="U14" s="65">
        <f>IF(SER_hh_tesh!U14=0,0,SER_hh_tesh!U14/SER_summary!U$26)</f>
        <v>82.847317757685119</v>
      </c>
      <c r="V14" s="65">
        <f>IF(SER_hh_tesh!V14=0,0,SER_hh_tesh!V14/SER_summary!V$26)</f>
        <v>81.371596165401129</v>
      </c>
      <c r="W14" s="65">
        <f>IF(SER_hh_tesh!W14=0,0,SER_hh_tesh!W14/SER_summary!W$26)</f>
        <v>84.178086296372527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1.1971045875008355</v>
      </c>
      <c r="C15" s="135">
        <f>IF(SER_hh_tesh!C15=0,0,SER_hh_tesh!C15/SER_summary!C$26)</f>
        <v>1.5635104811281957</v>
      </c>
      <c r="D15" s="135">
        <f>IF(SER_hh_tesh!D15=0,0,SER_hh_tesh!D15/SER_summary!D$26)</f>
        <v>1.4246831637268986</v>
      </c>
      <c r="E15" s="135">
        <f>IF(SER_hh_tesh!E15=0,0,SER_hh_tesh!E15/SER_summary!E$26)</f>
        <v>1.6402058271524724</v>
      </c>
      <c r="F15" s="135">
        <f>IF(SER_hh_tesh!F15=0,0,SER_hh_tesh!F15/SER_summary!F$26)</f>
        <v>1.6301708078891128</v>
      </c>
      <c r="G15" s="135">
        <f>IF(SER_hh_tesh!G15=0,0,SER_hh_tesh!G15/SER_summary!G$26)</f>
        <v>1.2576739790142222</v>
      </c>
      <c r="H15" s="135">
        <f>IF(SER_hh_tesh!H15=0,0,SER_hh_tesh!H15/SER_summary!H$26)</f>
        <v>1.2992478769054654</v>
      </c>
      <c r="I15" s="135">
        <f>IF(SER_hh_tesh!I15=0,0,SER_hh_tesh!I15/SER_summary!I$26)</f>
        <v>0.94833396492001532</v>
      </c>
      <c r="J15" s="135">
        <f>IF(SER_hh_tesh!J15=0,0,SER_hh_tesh!J15/SER_summary!J$26)</f>
        <v>1.0483136302256</v>
      </c>
      <c r="K15" s="135">
        <f>IF(SER_hh_tesh!K15=0,0,SER_hh_tesh!K15/SER_summary!K$26)</f>
        <v>0.85489304825501156</v>
      </c>
      <c r="L15" s="135">
        <f>IF(SER_hh_tesh!L15=0,0,SER_hh_tesh!L15/SER_summary!L$26)</f>
        <v>0.72843778107780266</v>
      </c>
      <c r="M15" s="135">
        <f>IF(SER_hh_tesh!M15=0,0,SER_hh_tesh!M15/SER_summary!M$26)</f>
        <v>0.661216246358451</v>
      </c>
      <c r="N15" s="135">
        <f>IF(SER_hh_tesh!N15=0,0,SER_hh_tesh!N15/SER_summary!N$26)</f>
        <v>0.69627381202900285</v>
      </c>
      <c r="O15" s="135">
        <f>IF(SER_hh_tesh!O15=0,0,SER_hh_tesh!O15/SER_summary!O$26)</f>
        <v>0.71017598899235046</v>
      </c>
      <c r="P15" s="135">
        <f>IF(SER_hh_tesh!P15=0,0,SER_hh_tesh!P15/SER_summary!P$26)</f>
        <v>0.60317921753749781</v>
      </c>
      <c r="Q15" s="135">
        <f>IF(SER_hh_tesh!Q15=0,0,SER_hh_tesh!Q15/SER_summary!Q$26)</f>
        <v>0.64580028787657906</v>
      </c>
      <c r="R15" s="135">
        <f>IF(SER_hh_tesh!R15=0,0,SER_hh_tesh!R15/SER_summary!R$26)</f>
        <v>0.60468069927278445</v>
      </c>
      <c r="S15" s="135">
        <f>IF(SER_hh_tesh!S15=0,0,SER_hh_tesh!S15/SER_summary!S$26)</f>
        <v>0.70524061362629575</v>
      </c>
      <c r="T15" s="135">
        <f>IF(SER_hh_tesh!T15=0,0,SER_hh_tesh!T15/SER_summary!T$26)</f>
        <v>0.64806363660932786</v>
      </c>
      <c r="U15" s="135">
        <f>IF(SER_hh_tesh!U15=0,0,SER_hh_tesh!U15/SER_summary!U$26)</f>
        <v>0.67246911630702255</v>
      </c>
      <c r="V15" s="135">
        <f>IF(SER_hh_tesh!V15=0,0,SER_hh_tesh!V15/SER_summary!V$26)</f>
        <v>0.6487684382520621</v>
      </c>
      <c r="W15" s="135">
        <f>IF(SER_hh_tesh!W15=0,0,SER_hh_tesh!W15/SER_summary!W$26)</f>
        <v>0.76638040705680144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22.512210405158818</v>
      </c>
      <c r="C16" s="131">
        <f>IF(SER_hh_tesh!C16=0,0,SER_hh_tesh!C16/SER_summary!C$26)</f>
        <v>22.346262222296833</v>
      </c>
      <c r="D16" s="131">
        <f>IF(SER_hh_tesh!D16=0,0,SER_hh_tesh!D16/SER_summary!D$26)</f>
        <v>22.480395673181867</v>
      </c>
      <c r="E16" s="131">
        <f>IF(SER_hh_tesh!E16=0,0,SER_hh_tesh!E16/SER_summary!E$26)</f>
        <v>25.132298586494567</v>
      </c>
      <c r="F16" s="131">
        <f>IF(SER_hh_tesh!F16=0,0,SER_hh_tesh!F16/SER_summary!F$26)</f>
        <v>22.285041961499477</v>
      </c>
      <c r="G16" s="131">
        <f>IF(SER_hh_tesh!G16=0,0,SER_hh_tesh!G16/SER_summary!G$26)</f>
        <v>22.477887466237771</v>
      </c>
      <c r="H16" s="131">
        <f>IF(SER_hh_tesh!H16=0,0,SER_hh_tesh!H16/SER_summary!H$26)</f>
        <v>23.524889150503615</v>
      </c>
      <c r="I16" s="131">
        <f>IF(SER_hh_tesh!I16=0,0,SER_hh_tesh!I16/SER_summary!I$26)</f>
        <v>23.399622828035795</v>
      </c>
      <c r="J16" s="131">
        <f>IF(SER_hh_tesh!J16=0,0,SER_hh_tesh!J16/SER_summary!J$26)</f>
        <v>22.683504146408708</v>
      </c>
      <c r="K16" s="131">
        <f>IF(SER_hh_tesh!K16=0,0,SER_hh_tesh!K16/SER_summary!K$26)</f>
        <v>22.954718227086136</v>
      </c>
      <c r="L16" s="131">
        <f>IF(SER_hh_tesh!L16=0,0,SER_hh_tesh!L16/SER_summary!L$26)</f>
        <v>23.7561657448197</v>
      </c>
      <c r="M16" s="131">
        <f>IF(SER_hh_tesh!M16=0,0,SER_hh_tesh!M16/SER_summary!M$26)</f>
        <v>23.344745562411386</v>
      </c>
      <c r="N16" s="131">
        <f>IF(SER_hh_tesh!N16=0,0,SER_hh_tesh!N16/SER_summary!N$26)</f>
        <v>24.363010747074501</v>
      </c>
      <c r="O16" s="131">
        <f>IF(SER_hh_tesh!O16=0,0,SER_hh_tesh!O16/SER_summary!O$26)</f>
        <v>26.070596289012059</v>
      </c>
      <c r="P16" s="131">
        <f>IF(SER_hh_tesh!P16=0,0,SER_hh_tesh!P16/SER_summary!P$26)</f>
        <v>23.154820310769452</v>
      </c>
      <c r="Q16" s="131">
        <f>IF(SER_hh_tesh!Q16=0,0,SER_hh_tesh!Q16/SER_summary!Q$26)</f>
        <v>27.245657664157381</v>
      </c>
      <c r="R16" s="131">
        <f>IF(SER_hh_tesh!R16=0,0,SER_hh_tesh!R16/SER_summary!R$26)</f>
        <v>23.734791797100968</v>
      </c>
      <c r="S16" s="131">
        <f>IF(SER_hh_tesh!S16=0,0,SER_hh_tesh!S16/SER_summary!S$26)</f>
        <v>25.527846174699558</v>
      </c>
      <c r="T16" s="131">
        <f>IF(SER_hh_tesh!T16=0,0,SER_hh_tesh!T16/SER_summary!T$26)</f>
        <v>25.253543472788657</v>
      </c>
      <c r="U16" s="131">
        <f>IF(SER_hh_tesh!U16=0,0,SER_hh_tesh!U16/SER_summary!U$26)</f>
        <v>26.080703217690026</v>
      </c>
      <c r="V16" s="131">
        <f>IF(SER_hh_tesh!V16=0,0,SER_hh_tesh!V16/SER_summary!V$26)</f>
        <v>23.979680135290618</v>
      </c>
      <c r="W16" s="131">
        <f>IF(SER_hh_tesh!W16=0,0,SER_hh_tesh!W16/SER_summary!W$26)</f>
        <v>24.756590886230754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22.512210405158818</v>
      </c>
      <c r="C17" s="133">
        <f>IF(SER_hh_tesh!C17=0,0,SER_hh_tesh!C17/SER_summary!C$26)</f>
        <v>22.346272845720481</v>
      </c>
      <c r="D17" s="133">
        <f>IF(SER_hh_tesh!D17=0,0,SER_hh_tesh!D17/SER_summary!D$26)</f>
        <v>22.48039669516487</v>
      </c>
      <c r="E17" s="133">
        <f>IF(SER_hh_tesh!E17=0,0,SER_hh_tesh!E17/SER_summary!E$26)</f>
        <v>25.13229371456363</v>
      </c>
      <c r="F17" s="133">
        <f>IF(SER_hh_tesh!F17=0,0,SER_hh_tesh!F17/SER_summary!F$26)</f>
        <v>22.285035627945639</v>
      </c>
      <c r="G17" s="133">
        <f>IF(SER_hh_tesh!G17=0,0,SER_hh_tesh!G17/SER_summary!G$26)</f>
        <v>22.477882333421991</v>
      </c>
      <c r="H17" s="133">
        <f>IF(SER_hh_tesh!H17=0,0,SER_hh_tesh!H17/SER_summary!H$26)</f>
        <v>23.524886867335393</v>
      </c>
      <c r="I17" s="133">
        <f>IF(SER_hh_tesh!I17=0,0,SER_hh_tesh!I17/SER_summary!I$26)</f>
        <v>23.399623825006397</v>
      </c>
      <c r="J17" s="133">
        <f>IF(SER_hh_tesh!J17=0,0,SER_hh_tesh!J17/SER_summary!J$26)</f>
        <v>22.683506949417001</v>
      </c>
      <c r="K17" s="133">
        <f>IF(SER_hh_tesh!K17=0,0,SER_hh_tesh!K17/SER_summary!K$26)</f>
        <v>22.954722392809636</v>
      </c>
      <c r="L17" s="133">
        <f>IF(SER_hh_tesh!L17=0,0,SER_hh_tesh!L17/SER_summary!L$26)</f>
        <v>23.756171275746645</v>
      </c>
      <c r="M17" s="133">
        <f>IF(SER_hh_tesh!M17=0,0,SER_hh_tesh!M17/SER_summary!M$26)</f>
        <v>25.061043174113841</v>
      </c>
      <c r="N17" s="133">
        <f>IF(SER_hh_tesh!N17=0,0,SER_hh_tesh!N17/SER_summary!N$26)</f>
        <v>24.363005598780607</v>
      </c>
      <c r="O17" s="133">
        <f>IF(SER_hh_tesh!O17=0,0,SER_hh_tesh!O17/SER_summary!O$26)</f>
        <v>26.070583073383212</v>
      </c>
      <c r="P17" s="133">
        <f>IF(SER_hh_tesh!P17=0,0,SER_hh_tesh!P17/SER_summary!P$26)</f>
        <v>23.154807128263947</v>
      </c>
      <c r="Q17" s="133">
        <f>IF(SER_hh_tesh!Q17=0,0,SER_hh_tesh!Q17/SER_summary!Q$26)</f>
        <v>28.489787409296888</v>
      </c>
      <c r="R17" s="133">
        <f>IF(SER_hh_tesh!R17=0,0,SER_hh_tesh!R17/SER_summary!R$26)</f>
        <v>23.734792111931121</v>
      </c>
      <c r="S17" s="133">
        <f>IF(SER_hh_tesh!S17=0,0,SER_hh_tesh!S17/SER_summary!S$26)</f>
        <v>25.527854897099015</v>
      </c>
      <c r="T17" s="133">
        <f>IF(SER_hh_tesh!T17=0,0,SER_hh_tesh!T17/SER_summary!T$26)</f>
        <v>25.253556982601243</v>
      </c>
      <c r="U17" s="133">
        <f>IF(SER_hh_tesh!U17=0,0,SER_hh_tesh!U17/SER_summary!U$26)</f>
        <v>26.080718142941691</v>
      </c>
      <c r="V17" s="133">
        <f>IF(SER_hh_tesh!V17=0,0,SER_hh_tesh!V17/SER_summary!V$26)</f>
        <v>23.979691296317569</v>
      </c>
      <c r="W17" s="133">
        <f>IF(SER_hh_tesh!W17=0,0,SER_hh_tesh!W17/SER_summary!W$26)</f>
        <v>24.756596793866947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22.512210405158818</v>
      </c>
      <c r="C18" s="133">
        <f>IF(SER_hh_tesh!C18=0,0,SER_hh_tesh!C18/SER_summary!C$26)</f>
        <v>22.346262207041285</v>
      </c>
      <c r="D18" s="133">
        <f>IF(SER_hh_tesh!D18=0,0,SER_hh_tesh!D18/SER_summary!D$26)</f>
        <v>22.480395671524121</v>
      </c>
      <c r="E18" s="133">
        <f>IF(SER_hh_tesh!E18=0,0,SER_hh_tesh!E18/SER_summary!E$26)</f>
        <v>25.132298594394882</v>
      </c>
      <c r="F18" s="133">
        <f>IF(SER_hh_tesh!F18=0,0,SER_hh_tesh!F18/SER_summary!F$26)</f>
        <v>22.285041974220793</v>
      </c>
      <c r="G18" s="133">
        <f>IF(SER_hh_tesh!G18=0,0,SER_hh_tesh!G18/SER_summary!G$26)</f>
        <v>22.477887477511505</v>
      </c>
      <c r="H18" s="133">
        <f>IF(SER_hh_tesh!H18=0,0,SER_hh_tesh!H18/SER_summary!H$26)</f>
        <v>23.524889155824784</v>
      </c>
      <c r="I18" s="133">
        <f>IF(SER_hh_tesh!I18=0,0,SER_hh_tesh!I18/SER_summary!I$26)</f>
        <v>23.399622825321998</v>
      </c>
      <c r="J18" s="133">
        <f>IF(SER_hh_tesh!J18=0,0,SER_hh_tesh!J18/SER_summary!J$26)</f>
        <v>22.683504137816108</v>
      </c>
      <c r="K18" s="133">
        <f>IF(SER_hh_tesh!K18=0,0,SER_hh_tesh!K18/SER_summary!K$26)</f>
        <v>22.954718212308723</v>
      </c>
      <c r="L18" s="133">
        <f>IF(SER_hh_tesh!L18=0,0,SER_hh_tesh!L18/SER_summary!L$26)</f>
        <v>23.756165724345138</v>
      </c>
      <c r="M18" s="133">
        <f>IF(SER_hh_tesh!M18=0,0,SER_hh_tesh!M18/SER_summary!M$26)</f>
        <v>23.337998461250677</v>
      </c>
      <c r="N18" s="133">
        <f>IF(SER_hh_tesh!N18=0,0,SER_hh_tesh!N18/SER_summary!N$26)</f>
        <v>24.36301076957885</v>
      </c>
      <c r="O18" s="133">
        <f>IF(SER_hh_tesh!O18=0,0,SER_hh_tesh!O18/SER_summary!O$26)</f>
        <v>26.070596352611286</v>
      </c>
      <c r="P18" s="133">
        <f>IF(SER_hh_tesh!P18=0,0,SER_hh_tesh!P18/SER_summary!P$26)</f>
        <v>23.154820381389914</v>
      </c>
      <c r="Q18" s="133">
        <f>IF(SER_hh_tesh!Q18=0,0,SER_hh_tesh!Q18/SER_summary!Q$26)</f>
        <v>27.238236212268138</v>
      </c>
      <c r="R18" s="133">
        <f>IF(SER_hh_tesh!R18=0,0,SER_hh_tesh!R18/SER_summary!R$26)</f>
        <v>23.734791795118571</v>
      </c>
      <c r="S18" s="133">
        <f>IF(SER_hh_tesh!S18=0,0,SER_hh_tesh!S18/SER_summary!S$26)</f>
        <v>25.527846113852242</v>
      </c>
      <c r="T18" s="133">
        <f>IF(SER_hh_tesh!T18=0,0,SER_hh_tesh!T18/SER_summary!T$26)</f>
        <v>25.253543373062659</v>
      </c>
      <c r="U18" s="133">
        <f>IF(SER_hh_tesh!U18=0,0,SER_hh_tesh!U18/SER_summary!U$26)</f>
        <v>26.080703095778176</v>
      </c>
      <c r="V18" s="133">
        <f>IF(SER_hh_tesh!V18=0,0,SER_hh_tesh!V18/SER_summary!V$26)</f>
        <v>23.979680043073479</v>
      </c>
      <c r="W18" s="133">
        <f>IF(SER_hh_tesh!W18=0,0,SER_hh_tesh!W18/SER_summary!W$26)</f>
        <v>24.756590835693096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15.224369698129101</v>
      </c>
      <c r="C19" s="131">
        <f>IF(SER_hh_tesh!C19=0,0,SER_hh_tesh!C19/SER_summary!C$26)</f>
        <v>15.405552569065227</v>
      </c>
      <c r="D19" s="131">
        <f>IF(SER_hh_tesh!D19=0,0,SER_hh_tesh!D19/SER_summary!D$26)</f>
        <v>15.392809203716748</v>
      </c>
      <c r="E19" s="131">
        <f>IF(SER_hh_tesh!E19=0,0,SER_hh_tesh!E19/SER_summary!E$26)</f>
        <v>15.572184829236278</v>
      </c>
      <c r="F19" s="131">
        <f>IF(SER_hh_tesh!F19=0,0,SER_hh_tesh!F19/SER_summary!F$26)</f>
        <v>15.55116844720731</v>
      </c>
      <c r="G19" s="131">
        <f>IF(SER_hh_tesh!G19=0,0,SER_hh_tesh!G19/SER_summary!G$26)</f>
        <v>15.895339141137244</v>
      </c>
      <c r="H19" s="131">
        <f>IF(SER_hh_tesh!H19=0,0,SER_hh_tesh!H19/SER_summary!H$26)</f>
        <v>15.847031193243863</v>
      </c>
      <c r="I19" s="131">
        <f>IF(SER_hh_tesh!I19=0,0,SER_hh_tesh!I19/SER_summary!I$26)</f>
        <v>16.084796588561883</v>
      </c>
      <c r="J19" s="131">
        <f>IF(SER_hh_tesh!J19=0,0,SER_hh_tesh!J19/SER_summary!J$26)</f>
        <v>16.169718113127917</v>
      </c>
      <c r="K19" s="131">
        <f>IF(SER_hh_tesh!K19=0,0,SER_hh_tesh!K19/SER_summary!K$26)</f>
        <v>16.872221041840032</v>
      </c>
      <c r="L19" s="131">
        <f>IF(SER_hh_tesh!L19=0,0,SER_hh_tesh!L19/SER_summary!L$26)</f>
        <v>16.909382982542677</v>
      </c>
      <c r="M19" s="131">
        <f>IF(SER_hh_tesh!M19=0,0,SER_hh_tesh!M19/SER_summary!M$26)</f>
        <v>17.185860732417321</v>
      </c>
      <c r="N19" s="131">
        <f>IF(SER_hh_tesh!N19=0,0,SER_hh_tesh!N19/SER_summary!N$26)</f>
        <v>17.138474669920626</v>
      </c>
      <c r="O19" s="131">
        <f>IF(SER_hh_tesh!O19=0,0,SER_hh_tesh!O19/SER_summary!O$26)</f>
        <v>17.26096173173358</v>
      </c>
      <c r="P19" s="131">
        <f>IF(SER_hh_tesh!P19=0,0,SER_hh_tesh!P19/SER_summary!P$26)</f>
        <v>17.702633955098499</v>
      </c>
      <c r="Q19" s="131">
        <f>IF(SER_hh_tesh!Q19=0,0,SER_hh_tesh!Q19/SER_summary!Q$26)</f>
        <v>17.538702777188352</v>
      </c>
      <c r="R19" s="131">
        <f>IF(SER_hh_tesh!R19=0,0,SER_hh_tesh!R19/SER_summary!R$26)</f>
        <v>17.504758192447525</v>
      </c>
      <c r="S19" s="131">
        <f>IF(SER_hh_tesh!S19=0,0,SER_hh_tesh!S19/SER_summary!S$26)</f>
        <v>17.438869624912623</v>
      </c>
      <c r="T19" s="131">
        <f>IF(SER_hh_tesh!T19=0,0,SER_hh_tesh!T19/SER_summary!T$26)</f>
        <v>17.263265642387232</v>
      </c>
      <c r="U19" s="131">
        <f>IF(SER_hh_tesh!U19=0,0,SER_hh_tesh!U19/SER_summary!U$26)</f>
        <v>16.903856601107439</v>
      </c>
      <c r="V19" s="131">
        <f>IF(SER_hh_tesh!V19=0,0,SER_hh_tesh!V19/SER_summary!V$26)</f>
        <v>16.331977522321367</v>
      </c>
      <c r="W19" s="131">
        <f>IF(SER_hh_tesh!W19=0,0,SER_hh_tesh!W19/SER_summary!W$26)</f>
        <v>15.97108426080154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13.751649131654149</v>
      </c>
      <c r="C21" s="133">
        <f>IF(SER_hh_tesh!C21=0,0,SER_hh_tesh!C21/SER_summary!C$26)</f>
        <v>14.942686382265824</v>
      </c>
      <c r="D21" s="133">
        <f>IF(SER_hh_tesh!D21=0,0,SER_hh_tesh!D21/SER_summary!D$26)</f>
        <v>14.524431228994757</v>
      </c>
      <c r="E21" s="133">
        <f>IF(SER_hh_tesh!E21=0,0,SER_hh_tesh!E21/SER_summary!E$26)</f>
        <v>14.828023197540624</v>
      </c>
      <c r="F21" s="133">
        <f>IF(SER_hh_tesh!F21=0,0,SER_hh_tesh!F21/SER_summary!F$26)</f>
        <v>14.915853743684183</v>
      </c>
      <c r="G21" s="133">
        <f>IF(SER_hh_tesh!G21=0,0,SER_hh_tesh!G21/SER_summary!G$26)</f>
        <v>15.104856380065817</v>
      </c>
      <c r="H21" s="133">
        <f>IF(SER_hh_tesh!H21=0,0,SER_hh_tesh!H21/SER_summary!H$26)</f>
        <v>15.383585521258645</v>
      </c>
      <c r="I21" s="133">
        <f>IF(SER_hh_tesh!I21=0,0,SER_hh_tesh!I21/SER_summary!I$26)</f>
        <v>15.719767989815411</v>
      </c>
      <c r="J21" s="133">
        <f>IF(SER_hh_tesh!J21=0,0,SER_hh_tesh!J21/SER_summary!J$26)</f>
        <v>15.99163260963882</v>
      </c>
      <c r="K21" s="133">
        <f>IF(SER_hh_tesh!K21=0,0,SER_hh_tesh!K21/SER_summary!K$26)</f>
        <v>16.870927255689285</v>
      </c>
      <c r="L21" s="133">
        <f>IF(SER_hh_tesh!L21=0,0,SER_hh_tesh!L21/SER_summary!L$26)</f>
        <v>15.682456577151726</v>
      </c>
      <c r="M21" s="133">
        <f>IF(SER_hh_tesh!M21=0,0,SER_hh_tesh!M21/SER_summary!M$26)</f>
        <v>17.323881099719181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14.577053736422737</v>
      </c>
      <c r="C22" s="133">
        <f>IF(SER_hh_tesh!C22=0,0,SER_hh_tesh!C22/SER_summary!C$26)</f>
        <v>14.561877059157055</v>
      </c>
      <c r="D22" s="133">
        <f>IF(SER_hh_tesh!D22=0,0,SER_hh_tesh!D22/SER_summary!D$26)</f>
        <v>14.559377541032488</v>
      </c>
      <c r="E22" s="133">
        <f>IF(SER_hh_tesh!E22=0,0,SER_hh_tesh!E22/SER_summary!E$26)</f>
        <v>14.731543180516564</v>
      </c>
      <c r="F22" s="133">
        <f>IF(SER_hh_tesh!F22=0,0,SER_hh_tesh!F22/SER_summary!F$26)</f>
        <v>15.035241920971153</v>
      </c>
      <c r="G22" s="133">
        <f>IF(SER_hh_tesh!G22=0,0,SER_hh_tesh!G22/SER_summary!G$26)</f>
        <v>15.033329513789534</v>
      </c>
      <c r="H22" s="133">
        <f>IF(SER_hh_tesh!H22=0,0,SER_hh_tesh!H22/SER_summary!H$26)</f>
        <v>15.056140838829466</v>
      </c>
      <c r="I22" s="133">
        <f>IF(SER_hh_tesh!I22=0,0,SER_hh_tesh!I22/SER_summary!I$26)</f>
        <v>15.522683158040644</v>
      </c>
      <c r="J22" s="133">
        <f>IF(SER_hh_tesh!J22=0,0,SER_hh_tesh!J22/SER_summary!J$26)</f>
        <v>15.179351696740417</v>
      </c>
      <c r="K22" s="133">
        <f>IF(SER_hh_tesh!K22=0,0,SER_hh_tesh!K22/SER_summary!K$26)</f>
        <v>16.069133487481924</v>
      </c>
      <c r="L22" s="133">
        <f>IF(SER_hh_tesh!L22=0,0,SER_hh_tesh!L22/SER_summary!L$26)</f>
        <v>14.932003172681837</v>
      </c>
      <c r="M22" s="133">
        <f>IF(SER_hh_tesh!M22=0,0,SER_hh_tesh!M22/SER_summary!M$26)</f>
        <v>15.395505775196559</v>
      </c>
      <c r="N22" s="133">
        <f>IF(SER_hh_tesh!N22=0,0,SER_hh_tesh!N22/SER_summary!N$26)</f>
        <v>14.498897210397265</v>
      </c>
      <c r="O22" s="133">
        <f>IF(SER_hh_tesh!O22=0,0,SER_hh_tesh!O22/SER_summary!O$26)</f>
        <v>15.455031684915561</v>
      </c>
      <c r="P22" s="133">
        <f>IF(SER_hh_tesh!P22=0,0,SER_hh_tesh!P22/SER_summary!P$26)</f>
        <v>15.586680410490162</v>
      </c>
      <c r="Q22" s="133">
        <f>IF(SER_hh_tesh!Q22=0,0,SER_hh_tesh!Q22/SER_summary!Q$26)</f>
        <v>15.642163711491248</v>
      </c>
      <c r="R22" s="133">
        <f>IF(SER_hh_tesh!R22=0,0,SER_hh_tesh!R22/SER_summary!R$26)</f>
        <v>15.781865411951909</v>
      </c>
      <c r="S22" s="133">
        <f>IF(SER_hh_tesh!S22=0,0,SER_hh_tesh!S22/SER_summary!S$26)</f>
        <v>15.954682887399015</v>
      </c>
      <c r="T22" s="133">
        <f>IF(SER_hh_tesh!T22=0,0,SER_hh_tesh!T22/SER_summary!T$26)</f>
        <v>15.448114741315013</v>
      </c>
      <c r="U22" s="133">
        <f>IF(SER_hh_tesh!U22=0,0,SER_hh_tesh!U22/SER_summary!U$26)</f>
        <v>15.094487950827705</v>
      </c>
      <c r="V22" s="133">
        <f>IF(SER_hh_tesh!V22=0,0,SER_hh_tesh!V22/SER_summary!V$26)</f>
        <v>13.686380336598841</v>
      </c>
      <c r="W22" s="133">
        <f>IF(SER_hh_tesh!W22=0,0,SER_hh_tesh!W22/SER_summary!W$26)</f>
        <v>14.845951188536731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14.448502306939478</v>
      </c>
      <c r="C23" s="133">
        <f>IF(SER_hh_tesh!C23=0,0,SER_hh_tesh!C23/SER_summary!C$26)</f>
        <v>14.535737475268128</v>
      </c>
      <c r="D23" s="133">
        <f>IF(SER_hh_tesh!D23=0,0,SER_hh_tesh!D23/SER_summary!D$26)</f>
        <v>14.560671019838786</v>
      </c>
      <c r="E23" s="133">
        <f>IF(SER_hh_tesh!E23=0,0,SER_hh_tesh!E23/SER_summary!E$26)</f>
        <v>14.568365095804387</v>
      </c>
      <c r="F23" s="133">
        <f>IF(SER_hh_tesh!F23=0,0,SER_hh_tesh!F23/SER_summary!F$26)</f>
        <v>14.710746277318668</v>
      </c>
      <c r="G23" s="133">
        <f>IF(SER_hh_tesh!G23=0,0,SER_hh_tesh!G23/SER_summary!G$26)</f>
        <v>14.974895915840897</v>
      </c>
      <c r="H23" s="133">
        <f>IF(SER_hh_tesh!H23=0,0,SER_hh_tesh!H23/SER_summary!H$26)</f>
        <v>15.242162863603376</v>
      </c>
      <c r="I23" s="133">
        <f>IF(SER_hh_tesh!I23=0,0,SER_hh_tesh!I23/SER_summary!I$26)</f>
        <v>15.367902592208024</v>
      </c>
      <c r="J23" s="133">
        <f>IF(SER_hh_tesh!J23=0,0,SER_hh_tesh!J23/SER_summary!J$26)</f>
        <v>15.391250809875402</v>
      </c>
      <c r="K23" s="133">
        <f>IF(SER_hh_tesh!K23=0,0,SER_hh_tesh!K23/SER_summary!K$26)</f>
        <v>15.641665660043481</v>
      </c>
      <c r="L23" s="133">
        <f>IF(SER_hh_tesh!L23=0,0,SER_hh_tesh!L23/SER_summary!L$26)</f>
        <v>15.282202537654628</v>
      </c>
      <c r="M23" s="133">
        <f>IF(SER_hh_tesh!M23=0,0,SER_hh_tesh!M23/SER_summary!M$26)</f>
        <v>15.098288500623191</v>
      </c>
      <c r="N23" s="133">
        <f>IF(SER_hh_tesh!N23=0,0,SER_hh_tesh!N23/SER_summary!N$26)</f>
        <v>15.149457431334801</v>
      </c>
      <c r="O23" s="133">
        <f>IF(SER_hh_tesh!O23=0,0,SER_hh_tesh!O23/SER_summary!O$26)</f>
        <v>15.617415413026251</v>
      </c>
      <c r="P23" s="133">
        <f>IF(SER_hh_tesh!P23=0,0,SER_hh_tesh!P23/SER_summary!P$26)</f>
        <v>15.659237315079412</v>
      </c>
      <c r="Q23" s="133">
        <f>IF(SER_hh_tesh!Q23=0,0,SER_hh_tesh!Q23/SER_summary!Q$26)</f>
        <v>16.112820729684728</v>
      </c>
      <c r="R23" s="133">
        <f>IF(SER_hh_tesh!R23=0,0,SER_hh_tesh!R23/SER_summary!R$26)</f>
        <v>16.105589585288733</v>
      </c>
      <c r="S23" s="133">
        <f>IF(SER_hh_tesh!S23=0,0,SER_hh_tesh!S23/SER_summary!S$26)</f>
        <v>15.740949653264751</v>
      </c>
      <c r="T23" s="133">
        <f>IF(SER_hh_tesh!T23=0,0,SER_hh_tesh!T23/SER_summary!T$26)</f>
        <v>15.370268382612393</v>
      </c>
      <c r="U23" s="133">
        <f>IF(SER_hh_tesh!U23=0,0,SER_hh_tesh!U23/SER_summary!U$26)</f>
        <v>14.942886497936604</v>
      </c>
      <c r="V23" s="133">
        <f>IF(SER_hh_tesh!V23=0,0,SER_hh_tesh!V23/SER_summary!V$26)</f>
        <v>14.078088302816003</v>
      </c>
      <c r="W23" s="133">
        <f>IF(SER_hh_tesh!W23=0,0,SER_hh_tesh!W23/SER_summary!W$26)</f>
        <v>14.677212927459374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14.498521962044601</v>
      </c>
      <c r="C24" s="133">
        <f>IF(SER_hh_tesh!C24=0,0,SER_hh_tesh!C24/SER_summary!C$26)</f>
        <v>14.529437767680845</v>
      </c>
      <c r="D24" s="133">
        <f>IF(SER_hh_tesh!D24=0,0,SER_hh_tesh!D24/SER_summary!D$26)</f>
        <v>14.568337069285141</v>
      </c>
      <c r="E24" s="133">
        <f>IF(SER_hh_tesh!E24=0,0,SER_hh_tesh!E24/SER_summary!E$26)</f>
        <v>14.57886325476936</v>
      </c>
      <c r="F24" s="133">
        <f>IF(SER_hh_tesh!F24=0,0,SER_hh_tesh!F24/SER_summary!F$26)</f>
        <v>14.728270250497014</v>
      </c>
      <c r="G24" s="133">
        <f>IF(SER_hh_tesh!G24=0,0,SER_hh_tesh!G24/SER_summary!G$26)</f>
        <v>14.961727382657214</v>
      </c>
      <c r="H24" s="133">
        <f>IF(SER_hh_tesh!H24=0,0,SER_hh_tesh!H24/SER_summary!H$26)</f>
        <v>15.287275025014909</v>
      </c>
      <c r="I24" s="133">
        <f>IF(SER_hh_tesh!I24=0,0,SER_hh_tesh!I24/SER_summary!I$26)</f>
        <v>15.282809045402153</v>
      </c>
      <c r="J24" s="133">
        <f>IF(SER_hh_tesh!J24=0,0,SER_hh_tesh!J24/SER_summary!J$26)</f>
        <v>15.284766582867016</v>
      </c>
      <c r="K24" s="133">
        <f>IF(SER_hh_tesh!K24=0,0,SER_hh_tesh!K24/SER_summary!K$26)</f>
        <v>15.602236568809243</v>
      </c>
      <c r="L24" s="133">
        <f>IF(SER_hh_tesh!L24=0,0,SER_hh_tesh!L24/SER_summary!L$26)</f>
        <v>15.238027043272666</v>
      </c>
      <c r="M24" s="133">
        <f>IF(SER_hh_tesh!M24=0,0,SER_hh_tesh!M24/SER_summary!M$26)</f>
        <v>15.161126790160349</v>
      </c>
      <c r="N24" s="133">
        <f>IF(SER_hh_tesh!N24=0,0,SER_hh_tesh!N24/SER_summary!N$26)</f>
        <v>15.16271657327033</v>
      </c>
      <c r="O24" s="133">
        <f>IF(SER_hh_tesh!O24=0,0,SER_hh_tesh!O24/SER_summary!O$26)</f>
        <v>15.516039192715459</v>
      </c>
      <c r="P24" s="133">
        <f>IF(SER_hh_tesh!P24=0,0,SER_hh_tesh!P24/SER_summary!P$26)</f>
        <v>15.769625059842545</v>
      </c>
      <c r="Q24" s="133">
        <f>IF(SER_hh_tesh!Q24=0,0,SER_hh_tesh!Q24/SER_summary!Q$26)</f>
        <v>16.153514180859666</v>
      </c>
      <c r="R24" s="133">
        <f>IF(SER_hh_tesh!R24=0,0,SER_hh_tesh!R24/SER_summary!R$26)</f>
        <v>15.999097532743615</v>
      </c>
      <c r="S24" s="133">
        <f>IF(SER_hh_tesh!S24=0,0,SER_hh_tesh!S24/SER_summary!S$26)</f>
        <v>15.726639131602331</v>
      </c>
      <c r="T24" s="133">
        <f>IF(SER_hh_tesh!T24=0,0,SER_hh_tesh!T24/SER_summary!T$26)</f>
        <v>15.306825833817609</v>
      </c>
      <c r="U24" s="133">
        <f>IF(SER_hh_tesh!U24=0,0,SER_hh_tesh!U24/SER_summary!U$26)</f>
        <v>15.171692795116272</v>
      </c>
      <c r="V24" s="133">
        <f>IF(SER_hh_tesh!V24=0,0,SER_hh_tesh!V24/SER_summary!V$26)</f>
        <v>13.853677791241694</v>
      </c>
      <c r="W24" s="133">
        <f>IF(SER_hh_tesh!W24=0,0,SER_hh_tesh!W24/SER_summary!W$26)</f>
        <v>14.768626996709246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14.510752215271088</v>
      </c>
      <c r="C25" s="133">
        <f>IF(SER_hh_tesh!C25=0,0,SER_hh_tesh!C25/SER_summary!C$26)</f>
        <v>14.535160473331414</v>
      </c>
      <c r="D25" s="133">
        <f>IF(SER_hh_tesh!D25=0,0,SER_hh_tesh!D25/SER_summary!D$26)</f>
        <v>14.74159292068004</v>
      </c>
      <c r="E25" s="133">
        <f>IF(SER_hh_tesh!E25=0,0,SER_hh_tesh!E25/SER_summary!E$26)</f>
        <v>14.559454763452035</v>
      </c>
      <c r="F25" s="133">
        <f>IF(SER_hh_tesh!F25=0,0,SER_hh_tesh!F25/SER_summary!F$26)</f>
        <v>14.427655391766075</v>
      </c>
      <c r="G25" s="133">
        <f>IF(SER_hh_tesh!G25=0,0,SER_hh_tesh!G25/SER_summary!G$26)</f>
        <v>14.100114680045387</v>
      </c>
      <c r="H25" s="133">
        <f>IF(SER_hh_tesh!H25=0,0,SER_hh_tesh!H25/SER_summary!H$26)</f>
        <v>14.958863472158168</v>
      </c>
      <c r="I25" s="133">
        <f>IF(SER_hh_tesh!I25=0,0,SER_hh_tesh!I25/SER_summary!I$26)</f>
        <v>15.472348533594575</v>
      </c>
      <c r="J25" s="133">
        <f>IF(SER_hh_tesh!J25=0,0,SER_hh_tesh!J25/SER_summary!J$26)</f>
        <v>15.237162310292716</v>
      </c>
      <c r="K25" s="133">
        <f>IF(SER_hh_tesh!K25=0,0,SER_hh_tesh!K25/SER_summary!K$26)</f>
        <v>15.816531138514343</v>
      </c>
      <c r="L25" s="133">
        <f>IF(SER_hh_tesh!L25=0,0,SER_hh_tesh!L25/SER_summary!L$26)</f>
        <v>15.67752425998416</v>
      </c>
      <c r="M25" s="133">
        <f>IF(SER_hh_tesh!M25=0,0,SER_hh_tesh!M25/SER_summary!M$26)</f>
        <v>15.125964570277459</v>
      </c>
      <c r="N25" s="133">
        <f>IF(SER_hh_tesh!N25=0,0,SER_hh_tesh!N25/SER_summary!N$26)</f>
        <v>15.225249972239943</v>
      </c>
      <c r="O25" s="133">
        <f>IF(SER_hh_tesh!O25=0,0,SER_hh_tesh!O25/SER_summary!O$26)</f>
        <v>15.435321977361598</v>
      </c>
      <c r="P25" s="133">
        <f>IF(SER_hh_tesh!P25=0,0,SER_hh_tesh!P25/SER_summary!P$26)</f>
        <v>15.90269419248513</v>
      </c>
      <c r="Q25" s="133">
        <f>IF(SER_hh_tesh!Q25=0,0,SER_hh_tesh!Q25/SER_summary!Q$26)</f>
        <v>16.165569654772646</v>
      </c>
      <c r="R25" s="133">
        <f>IF(SER_hh_tesh!R25=0,0,SER_hh_tesh!R25/SER_summary!R$26)</f>
        <v>16.066937931611655</v>
      </c>
      <c r="S25" s="133">
        <f>IF(SER_hh_tesh!S25=0,0,SER_hh_tesh!S25/SER_summary!S$26)</f>
        <v>15.596628215298242</v>
      </c>
      <c r="T25" s="133">
        <f>IF(SER_hh_tesh!T25=0,0,SER_hh_tesh!T25/SER_summary!T$26)</f>
        <v>15.248648117628369</v>
      </c>
      <c r="U25" s="133">
        <f>IF(SER_hh_tesh!U25=0,0,SER_hh_tesh!U25/SER_summary!U$26)</f>
        <v>15.026703043813587</v>
      </c>
      <c r="V25" s="133">
        <f>IF(SER_hh_tesh!V25=0,0,SER_hh_tesh!V25/SER_summary!V$26)</f>
        <v>14.467401473482647</v>
      </c>
      <c r="W25" s="133">
        <f>IF(SER_hh_tesh!W25=0,0,SER_hh_tesh!W25/SER_summary!W$26)</f>
        <v>15.09381521289675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9.9554681818641892</v>
      </c>
      <c r="C26" s="65">
        <f>IF(SER_hh_tesh!C26=0,0,SER_hh_tesh!C26/SER_summary!C$26)</f>
        <v>10.058661757577523</v>
      </c>
      <c r="D26" s="65">
        <f>IF(SER_hh_tesh!D26=0,0,SER_hh_tesh!D26/SER_summary!D$26)</f>
        <v>9.9340494308000853</v>
      </c>
      <c r="E26" s="65">
        <f>IF(SER_hh_tesh!E26=0,0,SER_hh_tesh!E26/SER_summary!E$26)</f>
        <v>9.2079410953051273</v>
      </c>
      <c r="F26" s="65">
        <f>IF(SER_hh_tesh!F26=0,0,SER_hh_tesh!F26/SER_summary!F$26)</f>
        <v>8.9801735715054178</v>
      </c>
      <c r="G26" s="65">
        <f>IF(SER_hh_tesh!G26=0,0,SER_hh_tesh!G26/SER_summary!G$26)</f>
        <v>10.973110776697311</v>
      </c>
      <c r="H26" s="65">
        <f>IF(SER_hh_tesh!H26=0,0,SER_hh_tesh!H26/SER_summary!H$26)</f>
        <v>11.858010259415858</v>
      </c>
      <c r="I26" s="65">
        <f>IF(SER_hh_tesh!I26=0,0,SER_hh_tesh!I26/SER_summary!I$26)</f>
        <v>10.791837247752751</v>
      </c>
      <c r="J26" s="65">
        <f>IF(SER_hh_tesh!J26=0,0,SER_hh_tesh!J26/SER_summary!J$26)</f>
        <v>9.0632456657073686</v>
      </c>
      <c r="K26" s="65">
        <f>IF(SER_hh_tesh!K26=0,0,SER_hh_tesh!K26/SER_summary!K$26)</f>
        <v>13.516447225020467</v>
      </c>
      <c r="L26" s="65">
        <f>IF(SER_hh_tesh!L26=0,0,SER_hh_tesh!L26/SER_summary!L$26)</f>
        <v>7.2731410868113429</v>
      </c>
      <c r="M26" s="65">
        <f>IF(SER_hh_tesh!M26=0,0,SER_hh_tesh!M26/SER_summary!M$26)</f>
        <v>6.8903909045881644</v>
      </c>
      <c r="N26" s="65">
        <f>IF(SER_hh_tesh!N26=0,0,SER_hh_tesh!N26/SER_summary!N$26)</f>
        <v>6.6837123400645995</v>
      </c>
      <c r="O26" s="65">
        <f>IF(SER_hh_tesh!O26=0,0,SER_hh_tesh!O26/SER_summary!O$26)</f>
        <v>8.4376321179859488</v>
      </c>
      <c r="P26" s="65">
        <f>IF(SER_hh_tesh!P26=0,0,SER_hh_tesh!P26/SER_summary!P$26)</f>
        <v>7.9077903713607309</v>
      </c>
      <c r="Q26" s="65">
        <f>IF(SER_hh_tesh!Q26=0,0,SER_hh_tesh!Q26/SER_summary!Q$26)</f>
        <v>9.104882112841679</v>
      </c>
      <c r="R26" s="65">
        <f>IF(SER_hh_tesh!R26=0,0,SER_hh_tesh!R26/SER_summary!R$26)</f>
        <v>10.127898202059585</v>
      </c>
      <c r="S26" s="65">
        <f>IF(SER_hh_tesh!S26=0,0,SER_hh_tesh!S26/SER_summary!S$26)</f>
        <v>8.9795062576395122</v>
      </c>
      <c r="T26" s="65">
        <f>IF(SER_hh_tesh!T26=0,0,SER_hh_tesh!T26/SER_summary!T$26)</f>
        <v>7.2038072155444315</v>
      </c>
      <c r="U26" s="65">
        <f>IF(SER_hh_tesh!U26=0,0,SER_hh_tesh!U26/SER_summary!U$26)</f>
        <v>7.4235928591717268</v>
      </c>
      <c r="V26" s="65">
        <f>IF(SER_hh_tesh!V26=0,0,SER_hh_tesh!V26/SER_summary!V$26)</f>
        <v>6.1635545780137582</v>
      </c>
      <c r="W26" s="65">
        <f>IF(SER_hh_tesh!W26=0,0,SER_hh_tesh!W26/SER_summary!W$26)</f>
        <v>7.2277217921748793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2.2452745152612472</v>
      </c>
      <c r="C27" s="146">
        <f>IF(SER_hh_tesh!C27=0,0,SER_hh_tesh!C27/SER_summary!C$26)</f>
        <v>2.3251664930957454</v>
      </c>
      <c r="D27" s="146">
        <f>IF(SER_hh_tesh!D27=0,0,SER_hh_tesh!D27/SER_summary!D$26)</f>
        <v>2.3365357783378142</v>
      </c>
      <c r="E27" s="146">
        <f>IF(SER_hh_tesh!E27=0,0,SER_hh_tesh!E27/SER_summary!E$26)</f>
        <v>2.7861533859358483</v>
      </c>
      <c r="F27" s="146">
        <f>IF(SER_hh_tesh!F27=0,0,SER_hh_tesh!F27/SER_summary!F$26)</f>
        <v>2.8646314253132656</v>
      </c>
      <c r="G27" s="146">
        <f>IF(SER_hh_tesh!G27=0,0,SER_hh_tesh!G27/SER_summary!G$26)</f>
        <v>2.6095156911687294</v>
      </c>
      <c r="H27" s="146">
        <f>IF(SER_hh_tesh!H27=0,0,SER_hh_tesh!H27/SER_summary!H$26)</f>
        <v>1.9481709882818243</v>
      </c>
      <c r="I27" s="146">
        <f>IF(SER_hh_tesh!I27=0,0,SER_hh_tesh!I27/SER_summary!I$26)</f>
        <v>2.2866490157629236</v>
      </c>
      <c r="J27" s="146">
        <f>IF(SER_hh_tesh!J27=0,0,SER_hh_tesh!J27/SER_summary!J$26)</f>
        <v>3.0151483525770693</v>
      </c>
      <c r="K27" s="146">
        <f>IF(SER_hh_tesh!K27=0,0,SER_hh_tesh!K27/SER_summary!K$26)</f>
        <v>1.7074792951720785</v>
      </c>
      <c r="L27" s="146">
        <f>IF(SER_hh_tesh!L27=0,0,SER_hh_tesh!L27/SER_summary!L$26)</f>
        <v>3.9202588787186414</v>
      </c>
      <c r="M27" s="146">
        <f>IF(SER_hh_tesh!M27=0,0,SER_hh_tesh!M27/SER_summary!M$26)</f>
        <v>4.4726463769714799</v>
      </c>
      <c r="N27" s="146">
        <f>IF(SER_hh_tesh!N27=0,0,SER_hh_tesh!N27/SER_summary!N$26)</f>
        <v>4.7210083129205476</v>
      </c>
      <c r="O27" s="146">
        <f>IF(SER_hh_tesh!O27=0,0,SER_hh_tesh!O27/SER_summary!O$26)</f>
        <v>4.0979295166706198</v>
      </c>
      <c r="P27" s="146">
        <f>IF(SER_hh_tesh!P27=0,0,SER_hh_tesh!P27/SER_summary!P$26)</f>
        <v>4.573624241717261</v>
      </c>
      <c r="Q27" s="146">
        <f>IF(SER_hh_tesh!Q27=0,0,SER_hh_tesh!Q27/SER_summary!Q$26)</f>
        <v>3.9043703316594267</v>
      </c>
      <c r="R27" s="146">
        <f>IF(SER_hh_tesh!R27=0,0,SER_hh_tesh!R27/SER_summary!R$26)</f>
        <v>3.5851885839728936</v>
      </c>
      <c r="S27" s="146">
        <f>IF(SER_hh_tesh!S27=0,0,SER_hh_tesh!S27/SER_summary!S$26)</f>
        <v>4.1601992993236605</v>
      </c>
      <c r="T27" s="146">
        <f>IF(SER_hh_tesh!T27=0,0,SER_hh_tesh!T27/SER_summary!T$26)</f>
        <v>4.7811655846650218</v>
      </c>
      <c r="U27" s="146">
        <f>IF(SER_hh_tesh!U27=0,0,SER_hh_tesh!U27/SER_summary!U$26)</f>
        <v>4.4522141564076065</v>
      </c>
      <c r="V27" s="146">
        <f>IF(SER_hh_tesh!V27=0,0,SER_hh_tesh!V27/SER_summary!V$26)</f>
        <v>4.8196416308777996</v>
      </c>
      <c r="W27" s="146">
        <f>IF(SER_hh_tesh!W27=0,0,SER_hh_tesh!W27/SER_summary!W$26)</f>
        <v>3.6670431378509964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9.5244294642518774</v>
      </c>
      <c r="C28" s="147">
        <f>IF(SER_hh_tesh!C28=0,0,SER_hh_tesh!C28/SER_summary!C$26)</f>
        <v>9.6619253704842087</v>
      </c>
      <c r="D28" s="147">
        <f>IF(SER_hh_tesh!D28=0,0,SER_hh_tesh!D28/SER_summary!D$26)</f>
        <v>9.6367439633074312</v>
      </c>
      <c r="E28" s="147">
        <f>IF(SER_hh_tesh!E28=0,0,SER_hh_tesh!E28/SER_summary!E$26)</f>
        <v>9.7987688055251567</v>
      </c>
      <c r="F28" s="147">
        <f>IF(SER_hh_tesh!F28=0,0,SER_hh_tesh!F28/SER_summary!F$26)</f>
        <v>9.7963838650045627</v>
      </c>
      <c r="G28" s="147">
        <f>IF(SER_hh_tesh!G28=0,0,SER_hh_tesh!G28/SER_summary!G$26)</f>
        <v>10.007885391920258</v>
      </c>
      <c r="H28" s="147">
        <f>IF(SER_hh_tesh!H28=0,0,SER_hh_tesh!H28/SER_summary!H$26)</f>
        <v>10.965245520715598</v>
      </c>
      <c r="I28" s="147">
        <f>IF(SER_hh_tesh!I28=0,0,SER_hh_tesh!I28/SER_summary!I$26)</f>
        <v>10.859478117933037</v>
      </c>
      <c r="J28" s="147">
        <f>IF(SER_hh_tesh!J28=0,0,SER_hh_tesh!J28/SER_summary!J$26)</f>
        <v>10.859502900166088</v>
      </c>
      <c r="K28" s="147">
        <f>IF(SER_hh_tesh!K28=0,0,SER_hh_tesh!K28/SER_summary!K$26)</f>
        <v>10.765551711193847</v>
      </c>
      <c r="L28" s="147">
        <f>IF(SER_hh_tesh!L28=0,0,SER_hh_tesh!L28/SER_summary!L$26)</f>
        <v>16.661615520164315</v>
      </c>
      <c r="M28" s="147">
        <f>IF(SER_hh_tesh!M28=0,0,SER_hh_tesh!M28/SER_summary!M$26)</f>
        <v>14.18689896231939</v>
      </c>
      <c r="N28" s="147">
        <f>IF(SER_hh_tesh!N28=0,0,SER_hh_tesh!N28/SER_summary!N$26)</f>
        <v>11.729630382742418</v>
      </c>
      <c r="O28" s="147">
        <f>IF(SER_hh_tesh!O28=0,0,SER_hh_tesh!O28/SER_summary!O$26)</f>
        <v>12.188842786778253</v>
      </c>
      <c r="P28" s="147">
        <f>IF(SER_hh_tesh!P28=0,0,SER_hh_tesh!P28/SER_summary!P$26)</f>
        <v>12.443202529355323</v>
      </c>
      <c r="Q28" s="147">
        <f>IF(SER_hh_tesh!Q28=0,0,SER_hh_tesh!Q28/SER_summary!Q$26)</f>
        <v>13.429253513214622</v>
      </c>
      <c r="R28" s="147">
        <f>IF(SER_hh_tesh!R28=0,0,SER_hh_tesh!R28/SER_summary!R$26)</f>
        <v>13.801570367753488</v>
      </c>
      <c r="S28" s="147">
        <f>IF(SER_hh_tesh!S28=0,0,SER_hh_tesh!S28/SER_summary!S$26)</f>
        <v>13.075749123663131</v>
      </c>
      <c r="T28" s="147">
        <f>IF(SER_hh_tesh!T28=0,0,SER_hh_tesh!T28/SER_summary!T$26)</f>
        <v>12.511262979806883</v>
      </c>
      <c r="U28" s="147">
        <f>IF(SER_hh_tesh!U28=0,0,SER_hh_tesh!U28/SER_summary!U$26)</f>
        <v>11.872900973033342</v>
      </c>
      <c r="V28" s="147">
        <f>IF(SER_hh_tesh!V28=0,0,SER_hh_tesh!V28/SER_summary!V$26)</f>
        <v>11.327096939454101</v>
      </c>
      <c r="W28" s="147">
        <f>IF(SER_hh_tesh!W28=0,0,SER_hh_tesh!W28/SER_summary!W$26)</f>
        <v>10.836979172057786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12.276177599415082</v>
      </c>
      <c r="C29" s="131">
        <f>IF(SER_hh_tesh!C29=0,0,SER_hh_tesh!C29/SER_summary!C$26)</f>
        <v>12.628076727381087</v>
      </c>
      <c r="D29" s="131">
        <f>IF(SER_hh_tesh!D29=0,0,SER_hh_tesh!D29/SER_summary!D$26)</f>
        <v>13.155157474865032</v>
      </c>
      <c r="E29" s="131">
        <f>IF(SER_hh_tesh!E29=0,0,SER_hh_tesh!E29/SER_summary!E$26)</f>
        <v>13.612319162778144</v>
      </c>
      <c r="F29" s="131">
        <f>IF(SER_hh_tesh!F29=0,0,SER_hh_tesh!F29/SER_summary!F$26)</f>
        <v>13.692893520054101</v>
      </c>
      <c r="G29" s="131">
        <f>IF(SER_hh_tesh!G29=0,0,SER_hh_tesh!G29/SER_summary!G$26)</f>
        <v>13.674630559866033</v>
      </c>
      <c r="H29" s="131">
        <f>IF(SER_hh_tesh!H29=0,0,SER_hh_tesh!H29/SER_summary!H$26)</f>
        <v>13.532033870140182</v>
      </c>
      <c r="I29" s="131">
        <f>IF(SER_hh_tesh!I29=0,0,SER_hh_tesh!I29/SER_summary!I$26)</f>
        <v>13.370020408812733</v>
      </c>
      <c r="J29" s="131">
        <f>IF(SER_hh_tesh!J29=0,0,SER_hh_tesh!J29/SER_summary!J$26)</f>
        <v>13.317767846073586</v>
      </c>
      <c r="K29" s="131">
        <f>IF(SER_hh_tesh!K29=0,0,SER_hh_tesh!K29/SER_summary!K$26)</f>
        <v>13.778712661025853</v>
      </c>
      <c r="L29" s="131">
        <f>IF(SER_hh_tesh!L29=0,0,SER_hh_tesh!L29/SER_summary!L$26)</f>
        <v>13.769468282743103</v>
      </c>
      <c r="M29" s="131">
        <f>IF(SER_hh_tesh!M29=0,0,SER_hh_tesh!M29/SER_summary!M$26)</f>
        <v>13.794917712502004</v>
      </c>
      <c r="N29" s="131">
        <f>IF(SER_hh_tesh!N29=0,0,SER_hh_tesh!N29/SER_summary!N$26)</f>
        <v>13.970580162212963</v>
      </c>
      <c r="O29" s="131">
        <f>IF(SER_hh_tesh!O29=0,0,SER_hh_tesh!O29/SER_summary!O$26)</f>
        <v>13.930811801782625</v>
      </c>
      <c r="P29" s="131">
        <f>IF(SER_hh_tesh!P29=0,0,SER_hh_tesh!P29/SER_summary!P$26)</f>
        <v>14.029835502488091</v>
      </c>
      <c r="Q29" s="131">
        <f>IF(SER_hh_tesh!Q29=0,0,SER_hh_tesh!Q29/SER_summary!Q$26)</f>
        <v>14.01692460570672</v>
      </c>
      <c r="R29" s="131">
        <f>IF(SER_hh_tesh!R29=0,0,SER_hh_tesh!R29/SER_summary!R$26)</f>
        <v>14.05733800601965</v>
      </c>
      <c r="S29" s="131">
        <f>IF(SER_hh_tesh!S29=0,0,SER_hh_tesh!S29/SER_summary!S$26)</f>
        <v>13.970645544916014</v>
      </c>
      <c r="T29" s="131">
        <f>IF(SER_hh_tesh!T29=0,0,SER_hh_tesh!T29/SER_summary!T$26)</f>
        <v>13.895141247547071</v>
      </c>
      <c r="U29" s="131">
        <f>IF(SER_hh_tesh!U29=0,0,SER_hh_tesh!U29/SER_summary!U$26)</f>
        <v>13.850766515861773</v>
      </c>
      <c r="V29" s="131">
        <f>IF(SER_hh_tesh!V29=0,0,SER_hh_tesh!V29/SER_summary!V$26)</f>
        <v>13.244431180017852</v>
      </c>
      <c r="W29" s="131">
        <f>IF(SER_hh_tesh!W29=0,0,SER_hh_tesh!W29/SER_summary!W$26)</f>
        <v>13.641292615378152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4.5672210202938102</v>
      </c>
      <c r="C30" s="133">
        <f>IF(SER_hh_tesh!C30=0,0,SER_hh_tesh!C30/SER_summary!C$26)</f>
        <v>7.1896463194969265</v>
      </c>
      <c r="D30" s="133">
        <f>IF(SER_hh_tesh!D30=0,0,SER_hh_tesh!D30/SER_summary!D$26)</f>
        <v>14.873508226216297</v>
      </c>
      <c r="E30" s="133">
        <f>IF(SER_hh_tesh!E30=0,0,SER_hh_tesh!E30/SER_summary!E$26)</f>
        <v>15.575393561271854</v>
      </c>
      <c r="F30" s="133">
        <f>IF(SER_hh_tesh!F30=0,0,SER_hh_tesh!F30/SER_summary!F$26)</f>
        <v>18.62148751463527</v>
      </c>
      <c r="G30" s="133">
        <f>IF(SER_hh_tesh!G30=0,0,SER_hh_tesh!G30/SER_summary!G$26)</f>
        <v>13.836808951966422</v>
      </c>
      <c r="H30" s="133">
        <f>IF(SER_hh_tesh!H30=0,0,SER_hh_tesh!H30/SER_summary!H$26)</f>
        <v>14.730727027200226</v>
      </c>
      <c r="I30" s="133">
        <f>IF(SER_hh_tesh!I30=0,0,SER_hh_tesh!I30/SER_summary!I$26)</f>
        <v>12.328515519692397</v>
      </c>
      <c r="J30" s="133">
        <f>IF(SER_hh_tesh!J30=0,0,SER_hh_tesh!J30/SER_summary!J$26)</f>
        <v>9.2046717776634477</v>
      </c>
      <c r="K30" s="133">
        <f>IF(SER_hh_tesh!K30=0,0,SER_hh_tesh!K30/SER_summary!K$26)</f>
        <v>11.50949448868246</v>
      </c>
      <c r="L30" s="133">
        <f>IF(SER_hh_tesh!L30=0,0,SER_hh_tesh!L30/SER_summary!L$26)</f>
        <v>19.183937094033006</v>
      </c>
      <c r="M30" s="133">
        <f>IF(SER_hh_tesh!M30=0,0,SER_hh_tesh!M30/SER_summary!M$26)</f>
        <v>18.813748585807819</v>
      </c>
      <c r="N30" s="133">
        <f>IF(SER_hh_tesh!N30=0,0,SER_hh_tesh!N30/SER_summary!N$26)</f>
        <v>3.3197143735127441</v>
      </c>
      <c r="O30" s="133">
        <f>IF(SER_hh_tesh!O30=0,0,SER_hh_tesh!O30/SER_summary!O$26)</f>
        <v>6.952540076317467</v>
      </c>
      <c r="P30" s="133">
        <f>IF(SER_hh_tesh!P30=0,0,SER_hh_tesh!P30/SER_summary!P$26)</f>
        <v>12.884113290304665</v>
      </c>
      <c r="Q30" s="133">
        <f>IF(SER_hh_tesh!Q30=0,0,SER_hh_tesh!Q30/SER_summary!Q$26)</f>
        <v>12.785575797763402</v>
      </c>
      <c r="R30" s="133">
        <f>IF(SER_hh_tesh!R30=0,0,SER_hh_tesh!R30/SER_summary!R$26)</f>
        <v>9.4148018090034142</v>
      </c>
      <c r="S30" s="133">
        <f>IF(SER_hh_tesh!S30=0,0,SER_hh_tesh!S30/SER_summary!S$26)</f>
        <v>17.326323180749583</v>
      </c>
      <c r="T30" s="133">
        <f>IF(SER_hh_tesh!T30=0,0,SER_hh_tesh!T30/SER_summary!T$26)</f>
        <v>13.958992738230322</v>
      </c>
      <c r="U30" s="133">
        <f>IF(SER_hh_tesh!U30=0,0,SER_hh_tesh!U30/SER_summary!U$26)</f>
        <v>13.882280414291401</v>
      </c>
      <c r="V30" s="133">
        <f>IF(SER_hh_tesh!V30=0,0,SER_hh_tesh!V30/SER_summary!V$26)</f>
        <v>12.918376715312757</v>
      </c>
      <c r="W30" s="133">
        <f>IF(SER_hh_tesh!W30=0,0,SER_hh_tesh!W30/SER_summary!W$26)</f>
        <v>14.147132046068977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11.879161292575926</v>
      </c>
      <c r="C31" s="133">
        <f>IF(SER_hh_tesh!C31=0,0,SER_hh_tesh!C31/SER_summary!C$26)</f>
        <v>12.748182448496525</v>
      </c>
      <c r="D31" s="133">
        <f>IF(SER_hh_tesh!D31=0,0,SER_hh_tesh!D31/SER_summary!D$26)</f>
        <v>13.265116832508243</v>
      </c>
      <c r="E31" s="133">
        <f>IF(SER_hh_tesh!E31=0,0,SER_hh_tesh!E31/SER_summary!E$26)</f>
        <v>13.453425926321485</v>
      </c>
      <c r="F31" s="133">
        <f>IF(SER_hh_tesh!F31=0,0,SER_hh_tesh!F31/SER_summary!F$26)</f>
        <v>13.796379665753671</v>
      </c>
      <c r="G31" s="133">
        <f>IF(SER_hh_tesh!G31=0,0,SER_hh_tesh!G31/SER_summary!G$26)</f>
        <v>13.731870703604034</v>
      </c>
      <c r="H31" s="133">
        <f>IF(SER_hh_tesh!H31=0,0,SER_hh_tesh!H31/SER_summary!H$26)</f>
        <v>13.554915270890101</v>
      </c>
      <c r="I31" s="133">
        <f>IF(SER_hh_tesh!I31=0,0,SER_hh_tesh!I31/SER_summary!I$26)</f>
        <v>13.388532721275533</v>
      </c>
      <c r="J31" s="133">
        <f>IF(SER_hh_tesh!J31=0,0,SER_hh_tesh!J31/SER_summary!J$26)</f>
        <v>13.397048051560621</v>
      </c>
      <c r="K31" s="133">
        <f>IF(SER_hh_tesh!K31=0,0,SER_hh_tesh!K31/SER_summary!K$26)</f>
        <v>13.740443421464464</v>
      </c>
      <c r="L31" s="133">
        <f>IF(SER_hh_tesh!L31=0,0,SER_hh_tesh!L31/SER_summary!L$26)</f>
        <v>13.862758792175628</v>
      </c>
      <c r="M31" s="133">
        <f>IF(SER_hh_tesh!M31=0,0,SER_hh_tesh!M31/SER_summary!M$26)</f>
        <v>13.877099600373827</v>
      </c>
      <c r="N31" s="133">
        <f>IF(SER_hh_tesh!N31=0,0,SER_hh_tesh!N31/SER_summary!N$26)</f>
        <v>13.888556348467111</v>
      </c>
      <c r="O31" s="133">
        <f>IF(SER_hh_tesh!O31=0,0,SER_hh_tesh!O31/SER_summary!O$26)</f>
        <v>13.911484105979509</v>
      </c>
      <c r="P31" s="133">
        <f>IF(SER_hh_tesh!P31=0,0,SER_hh_tesh!P31/SER_summary!P$26)</f>
        <v>14.04184917161812</v>
      </c>
      <c r="Q31" s="133">
        <f>IF(SER_hh_tesh!Q31=0,0,SER_hh_tesh!Q31/SER_summary!Q$26)</f>
        <v>14.052360850909002</v>
      </c>
      <c r="R31" s="133">
        <f>IF(SER_hh_tesh!R31=0,0,SER_hh_tesh!R31/SER_summary!R$26)</f>
        <v>13.997491319119494</v>
      </c>
      <c r="S31" s="133">
        <f>IF(SER_hh_tesh!S31=0,0,SER_hh_tesh!S31/SER_summary!S$26)</f>
        <v>13.900321491234697</v>
      </c>
      <c r="T31" s="133">
        <f>IF(SER_hh_tesh!T31=0,0,SER_hh_tesh!T31/SER_summary!T$26)</f>
        <v>13.858209282183619</v>
      </c>
      <c r="U31" s="133">
        <f>IF(SER_hh_tesh!U31=0,0,SER_hh_tesh!U31/SER_summary!U$26)</f>
        <v>14.165232495680424</v>
      </c>
      <c r="V31" s="133">
        <f>IF(SER_hh_tesh!V31=0,0,SER_hh_tesh!V31/SER_summary!V$26)</f>
        <v>13.086233189466396</v>
      </c>
      <c r="W31" s="133">
        <f>IF(SER_hh_tesh!W31=0,0,SER_hh_tesh!W31/SER_summary!W$26)</f>
        <v>13.230095753905347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12.384347296516946</v>
      </c>
      <c r="C32" s="133">
        <f>IF(SER_hh_tesh!C32=0,0,SER_hh_tesh!C32/SER_summary!C$26)</f>
        <v>12.457140788102716</v>
      </c>
      <c r="D32" s="133">
        <f>IF(SER_hh_tesh!D32=0,0,SER_hh_tesh!D32/SER_summary!D$26)</f>
        <v>13.386041509529962</v>
      </c>
      <c r="E32" s="133">
        <f>IF(SER_hh_tesh!E32=0,0,SER_hh_tesh!E32/SER_summary!E$26)</f>
        <v>13.51207892333912</v>
      </c>
      <c r="F32" s="133">
        <f>IF(SER_hh_tesh!F32=0,0,SER_hh_tesh!F32/SER_summary!F$26)</f>
        <v>13.861140432753556</v>
      </c>
      <c r="G32" s="133">
        <f>IF(SER_hh_tesh!G32=0,0,SER_hh_tesh!G32/SER_summary!G$26)</f>
        <v>13.691456963472502</v>
      </c>
      <c r="H32" s="133">
        <f>IF(SER_hh_tesh!H32=0,0,SER_hh_tesh!H32/SER_summary!H$26)</f>
        <v>13.526406687803609</v>
      </c>
      <c r="I32" s="133">
        <f>IF(SER_hh_tesh!I32=0,0,SER_hh_tesh!I32/SER_summary!I$26)</f>
        <v>13.442885764281085</v>
      </c>
      <c r="J32" s="133">
        <f>IF(SER_hh_tesh!J32=0,0,SER_hh_tesh!J32/SER_summary!J$26)</f>
        <v>13.318801678623565</v>
      </c>
      <c r="K32" s="133">
        <f>IF(SER_hh_tesh!K32=0,0,SER_hh_tesh!K32/SER_summary!K$26)</f>
        <v>13.304932414178625</v>
      </c>
      <c r="L32" s="133">
        <f>IF(SER_hh_tesh!L32=0,0,SER_hh_tesh!L32/SER_summary!L$26)</f>
        <v>13.979699922453609</v>
      </c>
      <c r="M32" s="133">
        <f>IF(SER_hh_tesh!M32=0,0,SER_hh_tesh!M32/SER_summary!M$26)</f>
        <v>13.554730445546738</v>
      </c>
      <c r="N32" s="133">
        <f>IF(SER_hh_tesh!N32=0,0,SER_hh_tesh!N32/SER_summary!N$26)</f>
        <v>13.935019750212051</v>
      </c>
      <c r="O32" s="133">
        <f>IF(SER_hh_tesh!O32=0,0,SER_hh_tesh!O32/SER_summary!O$26)</f>
        <v>13.615284372050494</v>
      </c>
      <c r="P32" s="133">
        <f>IF(SER_hh_tesh!P32=0,0,SER_hh_tesh!P32/SER_summary!P$26)</f>
        <v>13.824470985899909</v>
      </c>
      <c r="Q32" s="133">
        <f>IF(SER_hh_tesh!Q32=0,0,SER_hh_tesh!Q32/SER_summary!Q$26)</f>
        <v>14.216974576415501</v>
      </c>
      <c r="R32" s="133">
        <f>IF(SER_hh_tesh!R32=0,0,SER_hh_tesh!R32/SER_summary!R$26)</f>
        <v>13.944676365688204</v>
      </c>
      <c r="S32" s="133">
        <f>IF(SER_hh_tesh!S32=0,0,SER_hh_tesh!S32/SER_summary!S$26)</f>
        <v>13.698465544979859</v>
      </c>
      <c r="T32" s="133">
        <f>IF(SER_hh_tesh!T32=0,0,SER_hh_tesh!T32/SER_summary!T$26)</f>
        <v>13.674778604810539</v>
      </c>
      <c r="U32" s="133">
        <f>IF(SER_hh_tesh!U32=0,0,SER_hh_tesh!U32/SER_summary!U$26)</f>
        <v>13.912100984859892</v>
      </c>
      <c r="V32" s="133">
        <f>IF(SER_hh_tesh!V32=0,0,SER_hh_tesh!V32/SER_summary!V$26)</f>
        <v>13.814642111758758</v>
      </c>
      <c r="W32" s="133">
        <f>IF(SER_hh_tesh!W32=0,0,SER_hh_tesh!W32/SER_summary!W$26)</f>
        <v>13.619175182522145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13.969328881188547</v>
      </c>
      <c r="C33" s="68">
        <f>IF(SER_hh_tesh!C33=0,0,SER_hh_tesh!C33/SER_summary!C$26)</f>
        <v>13.770497581637642</v>
      </c>
      <c r="D33" s="68">
        <f>IF(SER_hh_tesh!D33=0,0,SER_hh_tesh!D33/SER_summary!D$26)</f>
        <v>12.557487406557094</v>
      </c>
      <c r="E33" s="68">
        <f>IF(SER_hh_tesh!E33=0,0,SER_hh_tesh!E33/SER_summary!E$26)</f>
        <v>12.928465235535905</v>
      </c>
      <c r="F33" s="68">
        <f>IF(SER_hh_tesh!F33=0,0,SER_hh_tesh!F33/SER_summary!F$26)</f>
        <v>11.626286093150627</v>
      </c>
      <c r="G33" s="68">
        <f>IF(SER_hh_tesh!G33=0,0,SER_hh_tesh!G33/SER_summary!G$26)</f>
        <v>13.575971215782802</v>
      </c>
      <c r="H33" s="68">
        <f>IF(SER_hh_tesh!H33=0,0,SER_hh_tesh!H33/SER_summary!H$26)</f>
        <v>13.102022072908412</v>
      </c>
      <c r="I33" s="68">
        <f>IF(SER_hh_tesh!I33=0,0,SER_hh_tesh!I33/SER_summary!I$26)</f>
        <v>13.617563643268046</v>
      </c>
      <c r="J33" s="68">
        <f>IF(SER_hh_tesh!J33=0,0,SER_hh_tesh!J33/SER_summary!J$26)</f>
        <v>14.265791028845518</v>
      </c>
      <c r="K33" s="68">
        <f>IF(SER_hh_tesh!K33=0,0,SER_hh_tesh!K33/SER_summary!K$26)</f>
        <v>14.386911829316066</v>
      </c>
      <c r="L33" s="68">
        <f>IF(SER_hh_tesh!L33=0,0,SER_hh_tesh!L33/SER_summary!L$26)</f>
        <v>12.389148045134435</v>
      </c>
      <c r="M33" s="68">
        <f>IF(SER_hh_tesh!M33=0,0,SER_hh_tesh!M33/SER_summary!M$26)</f>
        <v>12.731946583197017</v>
      </c>
      <c r="N33" s="68">
        <f>IF(SER_hh_tesh!N33=0,0,SER_hh_tesh!N33/SER_summary!N$26)</f>
        <v>15.026457519653349</v>
      </c>
      <c r="O33" s="68">
        <f>IF(SER_hh_tesh!O33=0,0,SER_hh_tesh!O33/SER_summary!O$26)</f>
        <v>14.236192584393123</v>
      </c>
      <c r="P33" s="68">
        <f>IF(SER_hh_tesh!P33=0,0,SER_hh_tesh!P33/SER_summary!P$26)</f>
        <v>14.047878157292432</v>
      </c>
      <c r="Q33" s="68">
        <f>IF(SER_hh_tesh!Q33=0,0,SER_hh_tesh!Q33/SER_summary!Q$26)</f>
        <v>14.018711517262107</v>
      </c>
      <c r="R33" s="68">
        <f>IF(SER_hh_tesh!R33=0,0,SER_hh_tesh!R33/SER_summary!R$26)</f>
        <v>14.19031443714764</v>
      </c>
      <c r="S33" s="68">
        <f>IF(SER_hh_tesh!S33=0,0,SER_hh_tesh!S33/SER_summary!S$26)</f>
        <v>13.909869423264752</v>
      </c>
      <c r="T33" s="68">
        <f>IF(SER_hh_tesh!T33=0,0,SER_hh_tesh!T33/SER_summary!T$26)</f>
        <v>13.916568251288027</v>
      </c>
      <c r="U33" s="68">
        <f>IF(SER_hh_tesh!U33=0,0,SER_hh_tesh!U33/SER_summary!U$26)</f>
        <v>13.691106407494066</v>
      </c>
      <c r="V33" s="68">
        <f>IF(SER_hh_tesh!V33=0,0,SER_hh_tesh!V33/SER_summary!V$26)</f>
        <v>13.320037716623572</v>
      </c>
      <c r="W33" s="68">
        <f>IF(SER_hh_tesh!W33=0,0,SER_hh_tesh!W33/SER_summary!W$26)</f>
        <v>13.824458943936484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22.043713334564146</v>
      </c>
      <c r="C3" s="126">
        <f>IF(SER_hh_emih!C3=0,0,SER_hh_emih!C3/SER_summary!C$26)</f>
        <v>29.314357008087352</v>
      </c>
      <c r="D3" s="126">
        <f>IF(SER_hh_emih!D3=0,0,SER_hh_emih!D3/SER_summary!D$26)</f>
        <v>28.000234591162116</v>
      </c>
      <c r="E3" s="126">
        <f>IF(SER_hh_emih!E3=0,0,SER_hh_emih!E3/SER_summary!E$26)</f>
        <v>32.588852512548854</v>
      </c>
      <c r="F3" s="126">
        <f>IF(SER_hh_emih!F3=0,0,SER_hh_emih!F3/SER_summary!F$26)</f>
        <v>30.940492565287418</v>
      </c>
      <c r="G3" s="126">
        <f>IF(SER_hh_emih!G3=0,0,SER_hh_emih!G3/SER_summary!G$26)</f>
        <v>25.294193375845104</v>
      </c>
      <c r="H3" s="126">
        <f>IF(SER_hh_emih!H3=0,0,SER_hh_emih!H3/SER_summary!H$26)</f>
        <v>24.89695468529785</v>
      </c>
      <c r="I3" s="126">
        <f>IF(SER_hh_emih!I3=0,0,SER_hh_emih!I3/SER_summary!I$26)</f>
        <v>17.789377762784287</v>
      </c>
      <c r="J3" s="126">
        <f>IF(SER_hh_emih!J3=0,0,SER_hh_emih!J3/SER_summary!J$26)</f>
        <v>18.847553384909837</v>
      </c>
      <c r="K3" s="126">
        <f>IF(SER_hh_emih!K3=0,0,SER_hh_emih!K3/SER_summary!K$26)</f>
        <v>15.3537513678718</v>
      </c>
      <c r="L3" s="126">
        <f>IF(SER_hh_emih!L3=0,0,SER_hh_emih!L3/SER_summary!L$26)</f>
        <v>11.787275960946664</v>
      </c>
      <c r="M3" s="126">
        <f>IF(SER_hh_emih!M3=0,0,SER_hh_emih!M3/SER_summary!M$26)</f>
        <v>10.463123147215178</v>
      </c>
      <c r="N3" s="126">
        <f>IF(SER_hh_emih!N3=0,0,SER_hh_emih!N3/SER_summary!N$26)</f>
        <v>9.4689567401936134</v>
      </c>
      <c r="O3" s="126">
        <f>IF(SER_hh_emih!O3=0,0,SER_hh_emih!O3/SER_summary!O$26)</f>
        <v>9.433827594537366</v>
      </c>
      <c r="P3" s="126">
        <f>IF(SER_hh_emih!P3=0,0,SER_hh_emih!P3/SER_summary!P$26)</f>
        <v>8.5612008147343399</v>
      </c>
      <c r="Q3" s="126">
        <f>IF(SER_hh_emih!Q3=0,0,SER_hh_emih!Q3/SER_summary!Q$26)</f>
        <v>8.9635970458248462</v>
      </c>
      <c r="R3" s="126">
        <f>IF(SER_hh_emih!R3=0,0,SER_hh_emih!R3/SER_summary!R$26)</f>
        <v>8.2522397013757747</v>
      </c>
      <c r="S3" s="126">
        <f>IF(SER_hh_emih!S3=0,0,SER_hh_emih!S3/SER_summary!S$26)</f>
        <v>9.4334818660506059</v>
      </c>
      <c r="T3" s="126">
        <f>IF(SER_hh_emih!T3=0,0,SER_hh_emih!T3/SER_summary!T$26)</f>
        <v>8.5478506092641151</v>
      </c>
      <c r="U3" s="126">
        <f>IF(SER_hh_emih!U3=0,0,SER_hh_emih!U3/SER_summary!U$26)</f>
        <v>8.5603928979984758</v>
      </c>
      <c r="V3" s="126">
        <f>IF(SER_hh_emih!V3=0,0,SER_hh_emih!V3/SER_summary!V$26)</f>
        <v>8.139614271560168</v>
      </c>
      <c r="W3" s="126">
        <f>IF(SER_hh_emih!W3=0,0,SER_hh_emih!W3/SER_summary!W$26)</f>
        <v>9.3673108956525262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18.459200345783255</v>
      </c>
      <c r="C4" s="131">
        <f>IF(SER_hh_emih!C4=0,0,SER_hh_emih!C4/SER_summary!C$26)</f>
        <v>25.444118886125157</v>
      </c>
      <c r="D4" s="131">
        <f>IF(SER_hh_emih!D4=0,0,SER_hh_emih!D4/SER_summary!D$26)</f>
        <v>23.465547803519115</v>
      </c>
      <c r="E4" s="131">
        <f>IF(SER_hh_emih!E4=0,0,SER_hh_emih!E4/SER_summary!E$26)</f>
        <v>27.783563929262527</v>
      </c>
      <c r="F4" s="131">
        <f>IF(SER_hh_emih!F4=0,0,SER_hh_emih!F4/SER_summary!F$26)</f>
        <v>25.890267522983546</v>
      </c>
      <c r="G4" s="131">
        <f>IF(SER_hh_emih!G4=0,0,SER_hh_emih!G4/SER_summary!G$26)</f>
        <v>20.641487000715173</v>
      </c>
      <c r="H4" s="131">
        <f>IF(SER_hh_emih!H4=0,0,SER_hh_emih!H4/SER_summary!H$26)</f>
        <v>20.462081536707057</v>
      </c>
      <c r="I4" s="131">
        <f>IF(SER_hh_emih!I4=0,0,SER_hh_emih!I4/SER_summary!I$26)</f>
        <v>13.862254398515143</v>
      </c>
      <c r="J4" s="131">
        <f>IF(SER_hh_emih!J4=0,0,SER_hh_emih!J4/SER_summary!J$26)</f>
        <v>15.262348820035541</v>
      </c>
      <c r="K4" s="131">
        <f>IF(SER_hh_emih!K4=0,0,SER_hh_emih!K4/SER_summary!K$26)</f>
        <v>11.600942172351568</v>
      </c>
      <c r="L4" s="131">
        <f>IF(SER_hh_emih!L4=0,0,SER_hh_emih!L4/SER_summary!L$26)</f>
        <v>7.9301139598055164</v>
      </c>
      <c r="M4" s="131">
        <f>IF(SER_hh_emih!M4=0,0,SER_hh_emih!M4/SER_summary!M$26)</f>
        <v>6.876335255997664</v>
      </c>
      <c r="N4" s="131">
        <f>IF(SER_hh_emih!N4=0,0,SER_hh_emih!N4/SER_summary!N$26)</f>
        <v>6.8854811451212345</v>
      </c>
      <c r="O4" s="131">
        <f>IF(SER_hh_emih!O4=0,0,SER_hh_emih!O4/SER_summary!O$26)</f>
        <v>6.8632739246900307</v>
      </c>
      <c r="P4" s="131">
        <f>IF(SER_hh_emih!P4=0,0,SER_hh_emih!P4/SER_summary!P$26)</f>
        <v>6.0328360291038177</v>
      </c>
      <c r="Q4" s="131">
        <f>IF(SER_hh_emih!Q4=0,0,SER_hh_emih!Q4/SER_summary!Q$26)</f>
        <v>6.4592661751694838</v>
      </c>
      <c r="R4" s="131">
        <f>IF(SER_hh_emih!R4=0,0,SER_hh_emih!R4/SER_summary!R$26)</f>
        <v>5.799897980373105</v>
      </c>
      <c r="S4" s="131">
        <f>IF(SER_hh_emih!S4=0,0,SER_hh_emih!S4/SER_summary!S$26)</f>
        <v>6.9378630426844463</v>
      </c>
      <c r="T4" s="131">
        <f>IF(SER_hh_emih!T4=0,0,SER_hh_emih!T4/SER_summary!T$26)</f>
        <v>6.1109554283243472</v>
      </c>
      <c r="U4" s="131">
        <f>IF(SER_hh_emih!U4=0,0,SER_hh_emih!U4/SER_summary!U$26)</f>
        <v>6.121766638761347</v>
      </c>
      <c r="V4" s="131">
        <f>IF(SER_hh_emih!V4=0,0,SER_hh_emih!V4/SER_summary!V$26)</f>
        <v>5.9097759901324549</v>
      </c>
      <c r="W4" s="131">
        <f>IF(SER_hh_emih!W4=0,0,SER_hh_emih!W4/SER_summary!W$26)</f>
        <v>7.0857630181986906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55.253638748275861</v>
      </c>
      <c r="C5" s="133">
        <f>IF(SER_hh_emih!C5=0,0,SER_hh_emih!C5/SER_summary!C$26)</f>
        <v>66.253715100482907</v>
      </c>
      <c r="D5" s="133">
        <f>IF(SER_hh_emih!D5=0,0,SER_hh_emih!D5/SER_summary!D$26)</f>
        <v>53.289028411142183</v>
      </c>
      <c r="E5" s="133">
        <f>IF(SER_hh_emih!E5=0,0,SER_hh_emih!E5/SER_summary!E$26)</f>
        <v>79.061025980951911</v>
      </c>
      <c r="F5" s="133">
        <f>IF(SER_hh_emih!F5=0,0,SER_hh_emih!F5/SER_summary!F$26)</f>
        <v>67.632150249492994</v>
      </c>
      <c r="G5" s="133">
        <f>IF(SER_hh_emih!G5=0,0,SER_hh_emih!G5/SER_summary!G$26)</f>
        <v>65.723792938129364</v>
      </c>
      <c r="H5" s="133">
        <f>IF(SER_hh_emih!H5=0,0,SER_hh_emih!H5/SER_summary!H$26)</f>
        <v>61.683200029540053</v>
      </c>
      <c r="I5" s="133">
        <f>IF(SER_hh_emih!I5=0,0,SER_hh_emih!I5/SER_summary!I$26)</f>
        <v>60.041170379940816</v>
      </c>
      <c r="J5" s="133">
        <f>IF(SER_hh_emih!J5=0,0,SER_hh_emih!J5/SER_summary!J$26)</f>
        <v>50.252282771542092</v>
      </c>
      <c r="K5" s="133">
        <f>IF(SER_hh_emih!K5=0,0,SER_hh_emih!K5/SER_summary!K$26)</f>
        <v>46.985147954416448</v>
      </c>
      <c r="L5" s="133">
        <f>IF(SER_hh_emih!L5=0,0,SER_hh_emih!L5/SER_summary!L$26)</f>
        <v>65.11394843136901</v>
      </c>
      <c r="M5" s="133">
        <f>IF(SER_hh_emih!M5=0,0,SER_hh_emih!M5/SER_summary!M$26)</f>
        <v>64.269280029893224</v>
      </c>
      <c r="N5" s="133">
        <f>IF(SER_hh_emih!N5=0,0,SER_hh_emih!N5/SER_summary!N$26)</f>
        <v>2.9271769834594883</v>
      </c>
      <c r="O5" s="133">
        <f>IF(SER_hh_emih!O5=0,0,SER_hh_emih!O5/SER_summary!O$26)</f>
        <v>19.921343572735708</v>
      </c>
      <c r="P5" s="133">
        <f>IF(SER_hh_emih!P5=0,0,SER_hh_emih!P5/SER_summary!P$26)</f>
        <v>17.187710006494953</v>
      </c>
      <c r="Q5" s="133">
        <f>IF(SER_hh_emih!Q5=0,0,SER_hh_emih!Q5/SER_summary!Q$26)</f>
        <v>22.052922923273368</v>
      </c>
      <c r="R5" s="133">
        <f>IF(SER_hh_emih!R5=0,0,SER_hh_emih!R5/SER_summary!R$26)</f>
        <v>0</v>
      </c>
      <c r="S5" s="133">
        <f>IF(SER_hh_emih!S5=0,0,SER_hh_emih!S5/SER_summary!S$26)</f>
        <v>0</v>
      </c>
      <c r="T5" s="133">
        <f>IF(SER_hh_emih!T5=0,0,SER_hh_emih!T5/SER_summary!T$26)</f>
        <v>0</v>
      </c>
      <c r="U5" s="133">
        <f>IF(SER_hh_emih!U5=0,0,SER_hh_emih!U5/SER_summary!U$26)</f>
        <v>0</v>
      </c>
      <c r="V5" s="133">
        <f>IF(SER_hh_emih!V5=0,0,SER_hh_emih!V5/SER_summary!V$26)</f>
        <v>0</v>
      </c>
      <c r="W5" s="133">
        <f>IF(SER_hh_emih!W5=0,0,SER_hh_emih!W5/SER_summary!W$26)</f>
        <v>0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45.510310882764415</v>
      </c>
      <c r="C7" s="133">
        <f>IF(SER_hh_emih!C7=0,0,SER_hh_emih!C7/SER_summary!C$26)</f>
        <v>58.109515241739992</v>
      </c>
      <c r="D7" s="133">
        <f>IF(SER_hh_emih!D7=0,0,SER_hh_emih!D7/SER_summary!D$26)</f>
        <v>55.350051719761595</v>
      </c>
      <c r="E7" s="133">
        <f>IF(SER_hh_emih!E7=0,0,SER_hh_emih!E7/SER_summary!E$26)</f>
        <v>66.326220678788559</v>
      </c>
      <c r="F7" s="133">
        <f>IF(SER_hh_emih!F7=0,0,SER_hh_emih!F7/SER_summary!F$26)</f>
        <v>46.445014870414596</v>
      </c>
      <c r="G7" s="133">
        <f>IF(SER_hh_emih!G7=0,0,SER_hh_emih!G7/SER_summary!G$26)</f>
        <v>58.998346870009819</v>
      </c>
      <c r="H7" s="133">
        <f>IF(SER_hh_emih!H7=0,0,SER_hh_emih!H7/SER_summary!H$26)</f>
        <v>59.722198201849864</v>
      </c>
      <c r="I7" s="133">
        <f>IF(SER_hh_emih!I7=0,0,SER_hh_emih!I7/SER_summary!I$26)</f>
        <v>42.262547618835896</v>
      </c>
      <c r="J7" s="133">
        <f>IF(SER_hh_emih!J7=0,0,SER_hh_emih!J7/SER_summary!J$26)</f>
        <v>54.131508957217413</v>
      </c>
      <c r="K7" s="133">
        <f>IF(SER_hh_emih!K7=0,0,SER_hh_emih!K7/SER_summary!K$26)</f>
        <v>49.451503259012433</v>
      </c>
      <c r="L7" s="133">
        <f>IF(SER_hh_emih!L7=0,0,SER_hh_emih!L7/SER_summary!L$26)</f>
        <v>31.145305678301952</v>
      </c>
      <c r="M7" s="133">
        <f>IF(SER_hh_emih!M7=0,0,SER_hh_emih!M7/SER_summary!M$26)</f>
        <v>38.162071611627425</v>
      </c>
      <c r="N7" s="133">
        <f>IF(SER_hh_emih!N7=0,0,SER_hh_emih!N7/SER_summary!N$26)</f>
        <v>36.99415578624879</v>
      </c>
      <c r="O7" s="133">
        <f>IF(SER_hh_emih!O7=0,0,SER_hh_emih!O7/SER_summary!O$26)</f>
        <v>35.513082913975964</v>
      </c>
      <c r="P7" s="133">
        <f>IF(SER_hh_emih!P7=0,0,SER_hh_emih!P7/SER_summary!P$26)</f>
        <v>35.783497316971996</v>
      </c>
      <c r="Q7" s="133">
        <f>IF(SER_hh_emih!Q7=0,0,SER_hh_emih!Q7/SER_summary!Q$26)</f>
        <v>34.300961231383774</v>
      </c>
      <c r="R7" s="133">
        <f>IF(SER_hh_emih!R7=0,0,SER_hh_emih!R7/SER_summary!R$26)</f>
        <v>29.383533672596538</v>
      </c>
      <c r="S7" s="133">
        <f>IF(SER_hh_emih!S7=0,0,SER_hh_emih!S7/SER_summary!S$26)</f>
        <v>38.631309144816022</v>
      </c>
      <c r="T7" s="133">
        <f>IF(SER_hh_emih!T7=0,0,SER_hh_emih!T7/SER_summary!T$26)</f>
        <v>32.210938603984957</v>
      </c>
      <c r="U7" s="133">
        <f>IF(SER_hh_emih!U7=0,0,SER_hh_emih!U7/SER_summary!U$26)</f>
        <v>29.401374443912989</v>
      </c>
      <c r="V7" s="133">
        <f>IF(SER_hh_emih!V7=0,0,SER_hh_emih!V7/SER_summary!V$26)</f>
        <v>28.303943666544345</v>
      </c>
      <c r="W7" s="133">
        <f>IF(SER_hh_emih!W7=0,0,SER_hh_emih!W7/SER_summary!W$26)</f>
        <v>35.874415474088934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16.9505726431121</v>
      </c>
      <c r="C8" s="133">
        <f>IF(SER_hh_emih!C8=0,0,SER_hh_emih!C8/SER_summary!C$26)</f>
        <v>20.944568933802042</v>
      </c>
      <c r="D8" s="133">
        <f>IF(SER_hh_emih!D8=0,0,SER_hh_emih!D8/SER_summary!D$26)</f>
        <v>19.225346873581685</v>
      </c>
      <c r="E8" s="133">
        <f>IF(SER_hh_emih!E8=0,0,SER_hh_emih!E8/SER_summary!E$26)</f>
        <v>21.670307535234077</v>
      </c>
      <c r="F8" s="133">
        <f>IF(SER_hh_emih!F8=0,0,SER_hh_emih!F8/SER_summary!F$26)</f>
        <v>20.964034005684447</v>
      </c>
      <c r="G8" s="133">
        <f>IF(SER_hh_emih!G8=0,0,SER_hh_emih!G8/SER_summary!G$26)</f>
        <v>18.826316873989171</v>
      </c>
      <c r="H8" s="133">
        <f>IF(SER_hh_emih!H8=0,0,SER_hh_emih!H8/SER_summary!H$26)</f>
        <v>19.290029023787277</v>
      </c>
      <c r="I8" s="133">
        <f>IF(SER_hh_emih!I8=0,0,SER_hh_emih!I8/SER_summary!I$26)</f>
        <v>15.031985344694718</v>
      </c>
      <c r="J8" s="133">
        <f>IF(SER_hh_emih!J8=0,0,SER_hh_emih!J8/SER_summary!J$26)</f>
        <v>16.810584834393914</v>
      </c>
      <c r="K8" s="133">
        <f>IF(SER_hh_emih!K8=0,0,SER_hh_emih!K8/SER_summary!K$26)</f>
        <v>13.857237558389766</v>
      </c>
      <c r="L8" s="133">
        <f>IF(SER_hh_emih!L8=0,0,SER_hh_emih!L8/SER_summary!L$26)</f>
        <v>13.53256341490901</v>
      </c>
      <c r="M8" s="133">
        <f>IF(SER_hh_emih!M8=0,0,SER_hh_emih!M8/SER_summary!M$26)</f>
        <v>12.720744824258121</v>
      </c>
      <c r="N8" s="133">
        <f>IF(SER_hh_emih!N8=0,0,SER_hh_emih!N8/SER_summary!N$26)</f>
        <v>12.195452055392465</v>
      </c>
      <c r="O8" s="133">
        <f>IF(SER_hh_emih!O8=0,0,SER_hh_emih!O8/SER_summary!O$26)</f>
        <v>11.086281628054763</v>
      </c>
      <c r="P8" s="133">
        <f>IF(SER_hh_emih!P8=0,0,SER_hh_emih!P8/SER_summary!P$26)</f>
        <v>10.032141806969577</v>
      </c>
      <c r="Q8" s="133">
        <f>IF(SER_hh_emih!Q8=0,0,SER_hh_emih!Q8/SER_summary!Q$26)</f>
        <v>9.5019694354803761</v>
      </c>
      <c r="R8" s="133">
        <f>IF(SER_hh_emih!R8=0,0,SER_hh_emih!R8/SER_summary!R$26)</f>
        <v>8.9931334804716023</v>
      </c>
      <c r="S8" s="133">
        <f>IF(SER_hh_emih!S8=0,0,SER_hh_emih!S8/SER_summary!S$26)</f>
        <v>9.3787184850678127</v>
      </c>
      <c r="T8" s="133">
        <f>IF(SER_hh_emih!T8=0,0,SER_hh_emih!T8/SER_summary!T$26)</f>
        <v>8.406463797786401</v>
      </c>
      <c r="U8" s="133">
        <f>IF(SER_hh_emih!U8=0,0,SER_hh_emih!U8/SER_summary!U$26)</f>
        <v>8.4480367059267252</v>
      </c>
      <c r="V8" s="133">
        <f>IF(SER_hh_emih!V8=0,0,SER_hh_emih!V8/SER_summary!V$26)</f>
        <v>7.0561592305875855</v>
      </c>
      <c r="W8" s="133">
        <f>IF(SER_hh_emih!W8=0,0,SER_hh_emih!W8/SER_summary!W$26)</f>
        <v>7.6544698414938122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30.571512280030007</v>
      </c>
      <c r="C9" s="133">
        <f>IF(SER_hh_emih!C9=0,0,SER_hh_emih!C9/SER_summary!C$26)</f>
        <v>40.938578931844496</v>
      </c>
      <c r="D9" s="133">
        <f>IF(SER_hh_emih!D9=0,0,SER_hh_emih!D9/SER_summary!D$26)</f>
        <v>35.326591217593567</v>
      </c>
      <c r="E9" s="133">
        <f>IF(SER_hh_emih!E9=0,0,SER_hh_emih!E9/SER_summary!E$26)</f>
        <v>40.915148965685773</v>
      </c>
      <c r="F9" s="133">
        <f>IF(SER_hh_emih!F9=0,0,SER_hh_emih!F9/SER_summary!F$26)</f>
        <v>53.632987310849686</v>
      </c>
      <c r="G9" s="133">
        <f>IF(SER_hh_emih!G9=0,0,SER_hh_emih!G9/SER_summary!G$26)</f>
        <v>30.244733642405606</v>
      </c>
      <c r="H9" s="133">
        <f>IF(SER_hh_emih!H9=0,0,SER_hh_emih!H9/SER_summary!H$26)</f>
        <v>37.332978449021645</v>
      </c>
      <c r="I9" s="133">
        <f>IF(SER_hh_emih!I9=0,0,SER_hh_emih!I9/SER_summary!I$26)</f>
        <v>31.305257209672916</v>
      </c>
      <c r="J9" s="133">
        <f>IF(SER_hh_emih!J9=0,0,SER_hh_emih!J9/SER_summary!J$26)</f>
        <v>36.498738241583808</v>
      </c>
      <c r="K9" s="133">
        <f>IF(SER_hh_emih!K9=0,0,SER_hh_emih!K9/SER_summary!K$26)</f>
        <v>27.755255242067648</v>
      </c>
      <c r="L9" s="133">
        <f>IF(SER_hh_emih!L9=0,0,SER_hh_emih!L9/SER_summary!L$26)</f>
        <v>29.856972392684721</v>
      </c>
      <c r="M9" s="133">
        <f>IF(SER_hh_emih!M9=0,0,SER_hh_emih!M9/SER_summary!M$26)</f>
        <v>24.033367077997699</v>
      </c>
      <c r="N9" s="133">
        <f>IF(SER_hh_emih!N9=0,0,SER_hh_emih!N9/SER_summary!N$26)</f>
        <v>26.892663107227815</v>
      </c>
      <c r="O9" s="133">
        <f>IF(SER_hh_emih!O9=0,0,SER_hh_emih!O9/SER_summary!O$26)</f>
        <v>26.287927143595969</v>
      </c>
      <c r="P9" s="133">
        <f>IF(SER_hh_emih!P9=0,0,SER_hh_emih!P9/SER_summary!P$26)</f>
        <v>19.488982981532953</v>
      </c>
      <c r="Q9" s="133">
        <f>IF(SER_hh_emih!Q9=0,0,SER_hh_emih!Q9/SER_summary!Q$26)</f>
        <v>22.439573623674288</v>
      </c>
      <c r="R9" s="133">
        <f>IF(SER_hh_emih!R9=0,0,SER_hh_emih!R9/SER_summary!R$26)</f>
        <v>20.063918336550387</v>
      </c>
      <c r="S9" s="133">
        <f>IF(SER_hh_emih!S9=0,0,SER_hh_emih!S9/SER_summary!S$26)</f>
        <v>22.370776931490582</v>
      </c>
      <c r="T9" s="133">
        <f>IF(SER_hh_emih!T9=0,0,SER_hh_emih!T9/SER_summary!T$26)</f>
        <v>20.845654143900951</v>
      </c>
      <c r="U9" s="133">
        <f>IF(SER_hh_emih!U9=0,0,SER_hh_emih!U9/SER_summary!U$26)</f>
        <v>22.55527540586553</v>
      </c>
      <c r="V9" s="133">
        <f>IF(SER_hh_emih!V9=0,0,SER_hh_emih!V9/SER_summary!V$26)</f>
        <v>23.665328154525586</v>
      </c>
      <c r="W9" s="133">
        <f>IF(SER_hh_emih!W9=0,0,SER_hh_emih!W9/SER_summary!W$26)</f>
        <v>26.176718758662751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16.517224411333085</v>
      </c>
      <c r="C10" s="133">
        <f>IF(SER_hh_emih!C10=0,0,SER_hh_emih!C10/SER_summary!C$26)</f>
        <v>19.352545920614546</v>
      </c>
      <c r="D10" s="133">
        <f>IF(SER_hh_emih!D10=0,0,SER_hh_emih!D10/SER_summary!D$26)</f>
        <v>18.406487746070262</v>
      </c>
      <c r="E10" s="133">
        <f>IF(SER_hh_emih!E10=0,0,SER_hh_emih!E10/SER_summary!E$26)</f>
        <v>19.371219254004128</v>
      </c>
      <c r="F10" s="133">
        <f>IF(SER_hh_emih!F10=0,0,SER_hh_emih!F10/SER_summary!F$26)</f>
        <v>15.217135964596638</v>
      </c>
      <c r="G10" s="133">
        <f>IF(SER_hh_emih!G10=0,0,SER_hh_emih!G10/SER_summary!G$26)</f>
        <v>30.669198045706644</v>
      </c>
      <c r="H10" s="133">
        <f>IF(SER_hh_emih!H10=0,0,SER_hh_emih!H10/SER_summary!H$26)</f>
        <v>20.84092794342148</v>
      </c>
      <c r="I10" s="133">
        <f>IF(SER_hh_emih!I10=0,0,SER_hh_emih!I10/SER_summary!I$26)</f>
        <v>9.3810133160325506</v>
      </c>
      <c r="J10" s="133">
        <f>IF(SER_hh_emih!J10=0,0,SER_hh_emih!J10/SER_summary!J$26)</f>
        <v>1.5591036346380713</v>
      </c>
      <c r="K10" s="133">
        <f>IF(SER_hh_emih!K10=0,0,SER_hh_emih!K10/SER_summary!K$26)</f>
        <v>1.5208615626762516</v>
      </c>
      <c r="L10" s="133">
        <f>IF(SER_hh_emih!L10=0,0,SER_hh_emih!L10/SER_summary!L$26)</f>
        <v>1.7189349507740781</v>
      </c>
      <c r="M10" s="133">
        <f>IF(SER_hh_emih!M10=0,0,SER_hh_emih!M10/SER_summary!M$26)</f>
        <v>1.4976598879994256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4.9223727753824956E-3</v>
      </c>
      <c r="C16" s="131">
        <f>IF(SER_hh_emih!C16=0,0,SER_hh_emih!C16/SER_summary!C$26)</f>
        <v>5.0753251805288535E-3</v>
      </c>
      <c r="D16" s="131">
        <f>IF(SER_hh_emih!D16=0,0,SER_hh_emih!D16/SER_summary!D$26)</f>
        <v>5.7317497675288187E-3</v>
      </c>
      <c r="E16" s="131">
        <f>IF(SER_hh_emih!E16=0,0,SER_hh_emih!E16/SER_summary!E$26)</f>
        <v>6.3854807933046267E-3</v>
      </c>
      <c r="F16" s="131">
        <f>IF(SER_hh_emih!F16=0,0,SER_hh_emih!F16/SER_summary!F$26)</f>
        <v>6.967128986823566E-3</v>
      </c>
      <c r="G16" s="131">
        <f>IF(SER_hh_emih!G16=0,0,SER_hh_emih!G16/SER_summary!G$26)</f>
        <v>7.6531540333743108E-3</v>
      </c>
      <c r="H16" s="131">
        <f>IF(SER_hh_emih!H16=0,0,SER_hh_emih!H16/SER_summary!H$26)</f>
        <v>8.4707928465924745E-3</v>
      </c>
      <c r="I16" s="131">
        <f>IF(SER_hh_emih!I16=0,0,SER_hh_emih!I16/SER_summary!I$26)</f>
        <v>9.8016650153483036E-3</v>
      </c>
      <c r="J16" s="131">
        <f>IF(SER_hh_emih!J16=0,0,SER_hh_emih!J16/SER_summary!J$26)</f>
        <v>1.0666315694692468E-2</v>
      </c>
      <c r="K16" s="131">
        <f>IF(SER_hh_emih!K16=0,0,SER_hh_emih!K16/SER_summary!K$26)</f>
        <v>1.2461096295413218E-2</v>
      </c>
      <c r="L16" s="131">
        <f>IF(SER_hh_emih!L16=0,0,SER_hh_emih!L16/SER_summary!L$26)</f>
        <v>1.3436421611897412E-2</v>
      </c>
      <c r="M16" s="131">
        <f>IF(SER_hh_emih!M16=0,0,SER_hh_emih!M16/SER_summary!M$26)</f>
        <v>1.4997683395701615E-2</v>
      </c>
      <c r="N16" s="131">
        <f>IF(SER_hh_emih!N16=0,0,SER_hh_emih!N16/SER_summary!N$26)</f>
        <v>1.6104316419367576E-2</v>
      </c>
      <c r="O16" s="131">
        <f>IF(SER_hh_emih!O16=0,0,SER_hh_emih!O16/SER_summary!O$26)</f>
        <v>1.8918743618944217E-2</v>
      </c>
      <c r="P16" s="131">
        <f>IF(SER_hh_emih!P16=0,0,SER_hh_emih!P16/SER_summary!P$26)</f>
        <v>1.8496021378556285E-2</v>
      </c>
      <c r="Q16" s="131">
        <f>IF(SER_hh_emih!Q16=0,0,SER_hh_emih!Q16/SER_summary!Q$26)</f>
        <v>2.4977975115143398E-2</v>
      </c>
      <c r="R16" s="131">
        <f>IF(SER_hh_emih!R16=0,0,SER_hh_emih!R16/SER_summary!R$26)</f>
        <v>2.1664894350261428E-2</v>
      </c>
      <c r="S16" s="131">
        <f>IF(SER_hh_emih!S16=0,0,SER_hh_emih!S16/SER_summary!S$26)</f>
        <v>2.5375924131240148E-2</v>
      </c>
      <c r="T16" s="131">
        <f>IF(SER_hh_emih!T16=0,0,SER_hh_emih!T16/SER_summary!T$26)</f>
        <v>2.6123920147722839E-2</v>
      </c>
      <c r="U16" s="131">
        <f>IF(SER_hh_emih!U16=0,0,SER_hh_emih!U16/SER_summary!U$26)</f>
        <v>2.927395597189307E-2</v>
      </c>
      <c r="V16" s="131">
        <f>IF(SER_hh_emih!V16=0,0,SER_hh_emih!V16/SER_summary!V$26)</f>
        <v>2.6819077574031736E-2</v>
      </c>
      <c r="W16" s="131">
        <f>IF(SER_hh_emih!W16=0,0,SER_hh_emih!W16/SER_summary!W$26)</f>
        <v>2.8124677589065929E-2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3.5812470774858824</v>
      </c>
      <c r="C17" s="133">
        <f>IF(SER_hh_emih!C17=0,0,SER_hh_emih!C17/SER_summary!C$26)</f>
        <v>3.5393515714512236</v>
      </c>
      <c r="D17" s="133">
        <f>IF(SER_hh_emih!D17=0,0,SER_hh_emih!D17/SER_summary!D$26)</f>
        <v>3.539296309005715</v>
      </c>
      <c r="E17" s="133">
        <f>IF(SER_hh_emih!E17=0,0,SER_hh_emih!E17/SER_summary!E$26)</f>
        <v>3.9441559570106257</v>
      </c>
      <c r="F17" s="133">
        <f>IF(SER_hh_emih!F17=0,0,SER_hh_emih!F17/SER_summary!F$26)</f>
        <v>3.475688170976547</v>
      </c>
      <c r="G17" s="133">
        <f>IF(SER_hh_emih!G17=0,0,SER_hh_emih!G17/SER_summary!G$26)</f>
        <v>3.4920562849328891</v>
      </c>
      <c r="H17" s="133">
        <f>IF(SER_hh_emih!H17=0,0,SER_hh_emih!H17/SER_summary!H$26)</f>
        <v>3.6430546571091802</v>
      </c>
      <c r="I17" s="133">
        <f>IF(SER_hh_emih!I17=0,0,SER_hh_emih!I17/SER_summary!I$26)</f>
        <v>3.610649241743539</v>
      </c>
      <c r="J17" s="133">
        <f>IF(SER_hh_emih!J17=0,0,SER_hh_emih!J17/SER_summary!J$26)</f>
        <v>3.4901461693890488</v>
      </c>
      <c r="K17" s="133">
        <f>IF(SER_hh_emih!K17=0,0,SER_hh_emih!K17/SER_summary!K$26)</f>
        <v>3.5252205500837217</v>
      </c>
      <c r="L17" s="133">
        <f>IF(SER_hh_emih!L17=0,0,SER_hh_emih!L17/SER_summary!L$26)</f>
        <v>3.6431047350880266</v>
      </c>
      <c r="M17" s="133">
        <f>IF(SER_hh_emih!M17=0,0,SER_hh_emih!M17/SER_summary!M$26)</f>
        <v>3.8300417415759482</v>
      </c>
      <c r="N17" s="133">
        <f>IF(SER_hh_emih!N17=0,0,SER_hh_emih!N17/SER_summary!N$26)</f>
        <v>3.7002688016137921</v>
      </c>
      <c r="O17" s="133">
        <f>IF(SER_hh_emih!O17=0,0,SER_hh_emih!O17/SER_summary!O$26)</f>
        <v>3.9501470673357253</v>
      </c>
      <c r="P17" s="133">
        <f>IF(SER_hh_emih!P17=0,0,SER_hh_emih!P17/SER_summary!P$26)</f>
        <v>3.471091542501374</v>
      </c>
      <c r="Q17" s="133">
        <f>IF(SER_hh_emih!Q17=0,0,SER_hh_emih!Q17/SER_summary!Q$26)</f>
        <v>4.2122774790188862</v>
      </c>
      <c r="R17" s="133">
        <f>IF(SER_hh_emih!R17=0,0,SER_hh_emih!R17/SER_summary!R$26)</f>
        <v>3.4623304078830839</v>
      </c>
      <c r="S17" s="133">
        <f>IF(SER_hh_emih!S17=0,0,SER_hh_emih!S17/SER_summary!S$26)</f>
        <v>3.6629882308303894</v>
      </c>
      <c r="T17" s="133">
        <f>IF(SER_hh_emih!T17=0,0,SER_hh_emih!T17/SER_summary!T$26)</f>
        <v>3.5651134046982977</v>
      </c>
      <c r="U17" s="133">
        <f>IF(SER_hh_emih!U17=0,0,SER_hh_emih!U17/SER_summary!U$26)</f>
        <v>3.613184643926509</v>
      </c>
      <c r="V17" s="133">
        <f>IF(SER_hh_emih!V17=0,0,SER_hh_emih!V17/SER_summary!V$26)</f>
        <v>3.2727280777120047</v>
      </c>
      <c r="W17" s="133">
        <f>IF(SER_hh_emih!W17=0,0,SER_hh_emih!W17/SER_summary!W$26)</f>
        <v>3.3157789346545608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2.3547895339187033</v>
      </c>
      <c r="C19" s="131">
        <f>IF(SER_hh_emih!C19=0,0,SER_hh_emih!C19/SER_summary!C$26)</f>
        <v>2.3766694828560628</v>
      </c>
      <c r="D19" s="131">
        <f>IF(SER_hh_emih!D19=0,0,SER_hh_emih!D19/SER_summary!D$26)</f>
        <v>2.3491450689573052</v>
      </c>
      <c r="E19" s="131">
        <f>IF(SER_hh_emih!E19=0,0,SER_hh_emih!E19/SER_summary!E$26)</f>
        <v>2.3432176359518415</v>
      </c>
      <c r="F19" s="131">
        <f>IF(SER_hh_emih!F19=0,0,SER_hh_emih!F19/SER_summary!F$26)</f>
        <v>2.2874620614529015</v>
      </c>
      <c r="G19" s="131">
        <f>IF(SER_hh_emih!G19=0,0,SER_hh_emih!G19/SER_summary!G$26)</f>
        <v>2.2297541769757547</v>
      </c>
      <c r="H19" s="131">
        <f>IF(SER_hh_emih!H19=0,0,SER_hh_emih!H19/SER_summary!H$26)</f>
        <v>2.0685035543383559</v>
      </c>
      <c r="I19" s="131">
        <f>IF(SER_hh_emih!I19=0,0,SER_hh_emih!I19/SER_summary!I$26)</f>
        <v>1.9350081620110904</v>
      </c>
      <c r="J19" s="131">
        <f>IF(SER_hh_emih!J19=0,0,SER_hh_emih!J19/SER_summary!J$26)</f>
        <v>1.7631879024225425</v>
      </c>
      <c r="K19" s="131">
        <f>IF(SER_hh_emih!K19=0,0,SER_hh_emih!K19/SER_summary!K$26)</f>
        <v>1.7201229870683357</v>
      </c>
      <c r="L19" s="131">
        <f>IF(SER_hh_emih!L19=0,0,SER_hh_emih!L19/SER_summary!L$26)</f>
        <v>1.4509638720573075</v>
      </c>
      <c r="M19" s="131">
        <f>IF(SER_hh_emih!M19=0,0,SER_hh_emih!M19/SER_summary!M$26)</f>
        <v>1.3268460590411146</v>
      </c>
      <c r="N19" s="131">
        <f>IF(SER_hh_emih!N19=0,0,SER_hh_emih!N19/SER_summary!N$26)</f>
        <v>1.0506345117097504</v>
      </c>
      <c r="O19" s="131">
        <f>IF(SER_hh_emih!O19=0,0,SER_hh_emih!O19/SER_summary!O$26)</f>
        <v>1.0288842763383914</v>
      </c>
      <c r="P19" s="131">
        <f>IF(SER_hh_emih!P19=0,0,SER_hh_emih!P19/SER_summary!P$26)</f>
        <v>0.9857999826476479</v>
      </c>
      <c r="Q19" s="131">
        <f>IF(SER_hh_emih!Q19=0,0,SER_hh_emih!Q19/SER_summary!Q$26)</f>
        <v>0.95517984868325967</v>
      </c>
      <c r="R19" s="131">
        <f>IF(SER_hh_emih!R19=0,0,SER_hh_emih!R19/SER_summary!R$26)</f>
        <v>0.92911367081517049</v>
      </c>
      <c r="S19" s="131">
        <f>IF(SER_hh_emih!S19=0,0,SER_hh_emih!S19/SER_summary!S$26)</f>
        <v>0.90765964545971012</v>
      </c>
      <c r="T19" s="131">
        <f>IF(SER_hh_emih!T19=0,0,SER_hh_emih!T19/SER_summary!T$26)</f>
        <v>0.86922856494558443</v>
      </c>
      <c r="U19" s="131">
        <f>IF(SER_hh_emih!U19=0,0,SER_hh_emih!U19/SER_summary!U$26)</f>
        <v>0.82789473466126851</v>
      </c>
      <c r="V19" s="131">
        <f>IF(SER_hh_emih!V19=0,0,SER_hh_emih!V19/SER_summary!V$26)</f>
        <v>0.74625764858111698</v>
      </c>
      <c r="W19" s="131">
        <f>IF(SER_hh_emih!W19=0,0,SER_hh_emih!W19/SER_summary!W$26)</f>
        <v>0.77857794284341653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5.3198111687863952</v>
      </c>
      <c r="C21" s="133">
        <f>IF(SER_hh_emih!C21=0,0,SER_hh_emih!C21/SER_summary!C$26)</f>
        <v>5.7562697931440292</v>
      </c>
      <c r="D21" s="133">
        <f>IF(SER_hh_emih!D21=0,0,SER_hh_emih!D21/SER_summary!D$26)</f>
        <v>5.5692247318871884</v>
      </c>
      <c r="E21" s="133">
        <f>IF(SER_hh_emih!E21=0,0,SER_hh_emih!E21/SER_summary!E$26)</f>
        <v>5.6647712096803868</v>
      </c>
      <c r="F21" s="133">
        <f>IF(SER_hh_emih!F21=0,0,SER_hh_emih!F21/SER_summary!F$26)</f>
        <v>5.6763641987315481</v>
      </c>
      <c r="G21" s="133">
        <f>IF(SER_hh_emih!G21=0,0,SER_hh_emih!G21/SER_summary!G$26)</f>
        <v>5.726245410341944</v>
      </c>
      <c r="H21" s="133">
        <f>IF(SER_hh_emih!H21=0,0,SER_hh_emih!H21/SER_summary!H$26)</f>
        <v>5.805118065798605</v>
      </c>
      <c r="I21" s="133">
        <f>IF(SER_hh_emih!I21=0,0,SER_hh_emih!I21/SER_summary!I$26)</f>
        <v>5.917384556440525</v>
      </c>
      <c r="J21" s="133">
        <f>IF(SER_hh_emih!J21=0,0,SER_hh_emih!J21/SER_summary!J$26)</f>
        <v>6.0089385930220374</v>
      </c>
      <c r="K21" s="133">
        <f>IF(SER_hh_emih!K21=0,0,SER_hh_emih!K21/SER_summary!K$26)</f>
        <v>6.3103501734046521</v>
      </c>
      <c r="L21" s="133">
        <f>IF(SER_hh_emih!L21=0,0,SER_hh_emih!L21/SER_summary!L$26)</f>
        <v>5.8540817406049532</v>
      </c>
      <c r="M21" s="133">
        <f>IF(SER_hh_emih!M21=0,0,SER_hh_emih!M21/SER_summary!M$26)</f>
        <v>6.4569860944884061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7.1123724944270057</v>
      </c>
      <c r="C22" s="133">
        <f>IF(SER_hh_emih!C22=0,0,SER_hh_emih!C22/SER_summary!C$26)</f>
        <v>7.1301234397001458</v>
      </c>
      <c r="D22" s="133">
        <f>IF(SER_hh_emih!D22=0,0,SER_hh_emih!D22/SER_summary!D$26)</f>
        <v>7.1058255556880816</v>
      </c>
      <c r="E22" s="133">
        <f>IF(SER_hh_emih!E22=0,0,SER_hh_emih!E22/SER_summary!E$26)</f>
        <v>7.1481112395300856</v>
      </c>
      <c r="F22" s="133">
        <f>IF(SER_hh_emih!F22=0,0,SER_hh_emih!F22/SER_summary!F$26)</f>
        <v>7.2409537881556068</v>
      </c>
      <c r="G22" s="133">
        <f>IF(SER_hh_emih!G22=0,0,SER_hh_emih!G22/SER_summary!G$26)</f>
        <v>7.2108258445112066</v>
      </c>
      <c r="H22" s="133">
        <f>IF(SER_hh_emih!H22=0,0,SER_hh_emih!H22/SER_summary!H$26)</f>
        <v>7.2087961188595457</v>
      </c>
      <c r="I22" s="133">
        <f>IF(SER_hh_emih!I22=0,0,SER_hh_emih!I22/SER_summary!I$26)</f>
        <v>7.3760989966840711</v>
      </c>
      <c r="J22" s="133">
        <f>IF(SER_hh_emih!J22=0,0,SER_hh_emih!J22/SER_summary!J$26)</f>
        <v>7.1866746931460943</v>
      </c>
      <c r="K22" s="133">
        <f>IF(SER_hh_emih!K22=0,0,SER_hh_emih!K22/SER_summary!K$26)</f>
        <v>7.5370621987194939</v>
      </c>
      <c r="L22" s="133">
        <f>IF(SER_hh_emih!L22=0,0,SER_hh_emih!L22/SER_summary!L$26)</f>
        <v>6.9078079905552991</v>
      </c>
      <c r="M22" s="133">
        <f>IF(SER_hh_emih!M22=0,0,SER_hh_emih!M22/SER_summary!M$26)</f>
        <v>7.0871956928091224</v>
      </c>
      <c r="N22" s="133">
        <f>IF(SER_hh_emih!N22=0,0,SER_hh_emih!N22/SER_summary!N$26)</f>
        <v>6.6348756865646896</v>
      </c>
      <c r="O22" s="133">
        <f>IF(SER_hh_emih!O22=0,0,SER_hh_emih!O22/SER_summary!O$26)</f>
        <v>6.8678075353881658</v>
      </c>
      <c r="P22" s="133">
        <f>IF(SER_hh_emih!P22=0,0,SER_hh_emih!P22/SER_summary!P$26)</f>
        <v>6.8978850661370057</v>
      </c>
      <c r="Q22" s="133">
        <f>IF(SER_hh_emih!Q22=0,0,SER_hh_emih!Q22/SER_summary!Q$26)</f>
        <v>6.8000105479897348</v>
      </c>
      <c r="R22" s="133">
        <f>IF(SER_hh_emih!R22=0,0,SER_hh_emih!R22/SER_summary!R$26)</f>
        <v>6.7564636455076226</v>
      </c>
      <c r="S22" s="133">
        <f>IF(SER_hh_emih!S22=0,0,SER_hh_emih!S22/SER_summary!S$26)</f>
        <v>6.638697345567774</v>
      </c>
      <c r="T22" s="133">
        <f>IF(SER_hh_emih!T22=0,0,SER_hh_emih!T22/SER_summary!T$26)</f>
        <v>6.2625836252467098</v>
      </c>
      <c r="U22" s="133">
        <f>IF(SER_hh_emih!U22=0,0,SER_hh_emih!U22/SER_summary!U$26)</f>
        <v>5.9140427702365965</v>
      </c>
      <c r="V22" s="133">
        <f>IF(SER_hh_emih!V22=0,0,SER_hh_emih!V22/SER_summary!V$26)</f>
        <v>5.2463227008553757</v>
      </c>
      <c r="W22" s="133">
        <f>IF(SER_hh_emih!W22=0,0,SER_hh_emih!W22/SER_summary!W$26)</f>
        <v>5.457695026563548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5.1615071039319123</v>
      </c>
      <c r="C23" s="133">
        <f>IF(SER_hh_emih!C23=0,0,SER_hh_emih!C23/SER_summary!C$26)</f>
        <v>5.1553767310809349</v>
      </c>
      <c r="D23" s="133">
        <f>IF(SER_hh_emih!D23=0,0,SER_hh_emih!D23/SER_summary!D$26)</f>
        <v>5.1153332743302142</v>
      </c>
      <c r="E23" s="133">
        <f>IF(SER_hh_emih!E23=0,0,SER_hh_emih!E23/SER_summary!E$26)</f>
        <v>5.0779151408140821</v>
      </c>
      <c r="F23" s="133">
        <f>IF(SER_hh_emih!F23=0,0,SER_hh_emih!F23/SER_summary!F$26)</f>
        <v>5.0721729801382427</v>
      </c>
      <c r="G23" s="133">
        <f>IF(SER_hh_emih!G23=0,0,SER_hh_emih!G23/SER_summary!G$26)</f>
        <v>5.1000839924633645</v>
      </c>
      <c r="H23" s="133">
        <f>IF(SER_hh_emih!H23=0,0,SER_hh_emih!H23/SER_summary!H$26)</f>
        <v>5.1114834935091471</v>
      </c>
      <c r="I23" s="133">
        <f>IF(SER_hh_emih!I23=0,0,SER_hh_emih!I23/SER_summary!I$26)</f>
        <v>5.0997617669900652</v>
      </c>
      <c r="J23" s="133">
        <f>IF(SER_hh_emih!J23=0,0,SER_hh_emih!J23/SER_summary!J$26)</f>
        <v>5.0549567447204069</v>
      </c>
      <c r="K23" s="133">
        <f>IF(SER_hh_emih!K23=0,0,SER_hh_emih!K23/SER_summary!K$26)</f>
        <v>5.0309704089281544</v>
      </c>
      <c r="L23" s="133">
        <f>IF(SER_hh_emih!L23=0,0,SER_hh_emih!L23/SER_summary!L$26)</f>
        <v>4.8599756751754306</v>
      </c>
      <c r="M23" s="133">
        <f>IF(SER_hh_emih!M23=0,0,SER_hh_emih!M23/SER_summary!M$26)</f>
        <v>4.7238356431816424</v>
      </c>
      <c r="N23" s="133">
        <f>IF(SER_hh_emih!N23=0,0,SER_hh_emih!N23/SER_summary!N$26)</f>
        <v>4.6428181608366028</v>
      </c>
      <c r="O23" s="133">
        <f>IF(SER_hh_emih!O23=0,0,SER_hh_emih!O23/SER_summary!O$26)</f>
        <v>4.6766259430128709</v>
      </c>
      <c r="P23" s="133">
        <f>IF(SER_hh_emih!P23=0,0,SER_hh_emih!P23/SER_summary!P$26)</f>
        <v>4.6618105009335133</v>
      </c>
      <c r="Q23" s="133">
        <f>IF(SER_hh_emih!Q23=0,0,SER_hh_emih!Q23/SER_summary!Q$26)</f>
        <v>4.6912541016839082</v>
      </c>
      <c r="R23" s="133">
        <f>IF(SER_hh_emih!R23=0,0,SER_hh_emih!R23/SER_summary!R$26)</f>
        <v>4.6047225710453725</v>
      </c>
      <c r="S23" s="133">
        <f>IF(SER_hh_emih!S23=0,0,SER_hh_emih!S23/SER_summary!S$26)</f>
        <v>4.4415634802314621</v>
      </c>
      <c r="T23" s="133">
        <f>IF(SER_hh_emih!T23=0,0,SER_hh_emih!T23/SER_summary!T$26)</f>
        <v>4.2716915948819141</v>
      </c>
      <c r="U23" s="133">
        <f>IF(SER_hh_emih!U23=0,0,SER_hh_emih!U23/SER_summary!U$26)</f>
        <v>4.0744018931020403</v>
      </c>
      <c r="V23" s="133">
        <f>IF(SER_hh_emih!V23=0,0,SER_hh_emih!V23/SER_summary!V$26)</f>
        <v>3.7769952922392069</v>
      </c>
      <c r="W23" s="133">
        <f>IF(SER_hh_emih!W23=0,0,SER_hh_emih!W23/SER_summary!W$26)</f>
        <v>3.822083464272811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2.5541677560320424</v>
      </c>
      <c r="C24" s="133">
        <f>IF(SER_hh_emih!C24=0,0,SER_hh_emih!C24/SER_summary!C$26)</f>
        <v>2.6822305409236207</v>
      </c>
      <c r="D24" s="133">
        <f>IF(SER_hh_emih!D24=0,0,SER_hh_emih!D24/SER_summary!D$26)</f>
        <v>2.6114832239997758</v>
      </c>
      <c r="E24" s="133">
        <f>IF(SER_hh_emih!E24=0,0,SER_hh_emih!E24/SER_summary!E$26)</f>
        <v>2.3512184445034605</v>
      </c>
      <c r="F24" s="133">
        <f>IF(SER_hh_emih!F24=0,0,SER_hh_emih!F24/SER_summary!F$26)</f>
        <v>1.7450291486539475</v>
      </c>
      <c r="G24" s="133">
        <f>IF(SER_hh_emih!G24=0,0,SER_hh_emih!G24/SER_summary!G$26)</f>
        <v>4.3364159641167914</v>
      </c>
      <c r="H24" s="133">
        <f>IF(SER_hh_emih!H24=0,0,SER_hh_emih!H24/SER_summary!H$26)</f>
        <v>2.7039486863758748</v>
      </c>
      <c r="I24" s="133">
        <f>IF(SER_hh_emih!I24=0,0,SER_hh_emih!I24/SER_summary!I$26)</f>
        <v>1.294828898965261</v>
      </c>
      <c r="J24" s="133">
        <f>IF(SER_hh_emih!J24=0,0,SER_hh_emih!J24/SER_summary!J$26)</f>
        <v>0.25191745014141548</v>
      </c>
      <c r="K24" s="133">
        <f>IF(SER_hh_emih!K24=0,0,SER_hh_emih!K24/SER_summary!K$26)</f>
        <v>0.25124510697527103</v>
      </c>
      <c r="L24" s="133">
        <f>IF(SER_hh_emih!L24=0,0,SER_hh_emih!L24/SER_summary!L$26)</f>
        <v>0.21801787189284902</v>
      </c>
      <c r="M24" s="133">
        <f>IF(SER_hh_emih!M24=0,0,SER_hh_emih!M24/SER_summary!M$26)</f>
        <v>0.21885607076762459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1.2290411153198832</v>
      </c>
      <c r="C29" s="131">
        <f>IF(SER_hh_emih!C29=0,0,SER_hh_emih!C29/SER_summary!C$26)</f>
        <v>1.4928385236822619</v>
      </c>
      <c r="D29" s="131">
        <f>IF(SER_hh_emih!D29=0,0,SER_hh_emih!D29/SER_summary!D$26)</f>
        <v>2.1846738016602276</v>
      </c>
      <c r="E29" s="131">
        <f>IF(SER_hh_emih!E29=0,0,SER_hh_emih!E29/SER_summary!E$26)</f>
        <v>2.4610807714187466</v>
      </c>
      <c r="F29" s="131">
        <f>IF(SER_hh_emih!F29=0,0,SER_hh_emih!F29/SER_summary!F$26)</f>
        <v>2.7616455581540835</v>
      </c>
      <c r="G29" s="131">
        <f>IF(SER_hh_emih!G29=0,0,SER_hh_emih!G29/SER_summary!G$26)</f>
        <v>2.4216677597041283</v>
      </c>
      <c r="H29" s="131">
        <f>IF(SER_hh_emih!H29=0,0,SER_hh_emih!H29/SER_summary!H$26)</f>
        <v>2.364898432897677</v>
      </c>
      <c r="I29" s="131">
        <f>IF(SER_hh_emih!I29=0,0,SER_hh_emih!I29/SER_summary!I$26)</f>
        <v>1.9903279664304721</v>
      </c>
      <c r="J29" s="131">
        <f>IF(SER_hh_emih!J29=0,0,SER_hh_emih!J29/SER_summary!J$26)</f>
        <v>1.8200160577500029</v>
      </c>
      <c r="K29" s="131">
        <f>IF(SER_hh_emih!K29=0,0,SER_hh_emih!K29/SER_summary!K$26)</f>
        <v>2.0302416939473376</v>
      </c>
      <c r="L29" s="131">
        <f>IF(SER_hh_emih!L29=0,0,SER_hh_emih!L29/SER_summary!L$26)</f>
        <v>2.4034689427400027</v>
      </c>
      <c r="M29" s="131">
        <f>IF(SER_hh_emih!M29=0,0,SER_hh_emih!M29/SER_summary!M$26)</f>
        <v>2.2568526085596003</v>
      </c>
      <c r="N29" s="131">
        <f>IF(SER_hh_emih!N29=0,0,SER_hh_emih!N29/SER_summary!N$26)</f>
        <v>1.5294687732696799</v>
      </c>
      <c r="O29" s="131">
        <f>IF(SER_hh_emih!O29=0,0,SER_hh_emih!O29/SER_summary!O$26)</f>
        <v>1.5376624601549225</v>
      </c>
      <c r="P29" s="131">
        <f>IF(SER_hh_emih!P29=0,0,SER_hh_emih!P29/SER_summary!P$26)</f>
        <v>1.5386454122667794</v>
      </c>
      <c r="Q29" s="131">
        <f>IF(SER_hh_emih!Q29=0,0,SER_hh_emih!Q29/SER_summary!Q$26)</f>
        <v>1.5438065990121927</v>
      </c>
      <c r="R29" s="131">
        <f>IF(SER_hh_emih!R29=0,0,SER_hh_emih!R29/SER_summary!R$26)</f>
        <v>1.5185202222255887</v>
      </c>
      <c r="S29" s="131">
        <f>IF(SER_hh_emih!S29=0,0,SER_hh_emih!S29/SER_summary!S$26)</f>
        <v>1.5824487438703574</v>
      </c>
      <c r="T29" s="131">
        <f>IF(SER_hh_emih!T29=0,0,SER_hh_emih!T29/SER_summary!T$26)</f>
        <v>1.5619607621129623</v>
      </c>
      <c r="U29" s="131">
        <f>IF(SER_hh_emih!U29=0,0,SER_hh_emih!U29/SER_summary!U$26)</f>
        <v>1.6042881596047225</v>
      </c>
      <c r="V29" s="131">
        <f>IF(SER_hh_emih!V29=0,0,SER_hh_emih!V29/SER_summary!V$26)</f>
        <v>1.4776281903167026</v>
      </c>
      <c r="W29" s="131">
        <f>IF(SER_hh_emih!W29=0,0,SER_hh_emih!W29/SER_summary!W$26)</f>
        <v>1.496658356516823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1.7299142580299813</v>
      </c>
      <c r="C30" s="133">
        <f>IF(SER_hh_emih!C30=0,0,SER_hh_emih!C30/SER_summary!C$26)</f>
        <v>2.718461597899728</v>
      </c>
      <c r="D30" s="133">
        <f>IF(SER_hh_emih!D30=0,0,SER_hh_emih!D30/SER_summary!D$26)</f>
        <v>5.6062884569659035</v>
      </c>
      <c r="E30" s="133">
        <f>IF(SER_hh_emih!E30=0,0,SER_hh_emih!E30/SER_summary!E$26)</f>
        <v>5.860222882339496</v>
      </c>
      <c r="F30" s="133">
        <f>IF(SER_hh_emih!F30=0,0,SER_hh_emih!F30/SER_summary!F$26)</f>
        <v>7.0000804076554157</v>
      </c>
      <c r="G30" s="133">
        <f>IF(SER_hh_emih!G30=0,0,SER_hh_emih!G30/SER_summary!G$26)</f>
        <v>5.1976358046260334</v>
      </c>
      <c r="H30" s="133">
        <f>IF(SER_hh_emih!H30=0,0,SER_hh_emih!H30/SER_summary!H$26)</f>
        <v>5.5303989594700322</v>
      </c>
      <c r="I30" s="133">
        <f>IF(SER_hh_emih!I30=0,0,SER_hh_emih!I30/SER_summary!I$26)</f>
        <v>4.6258114929050071</v>
      </c>
      <c r="J30" s="133">
        <f>IF(SER_hh_emih!J30=0,0,SER_hh_emih!J30/SER_summary!J$26)</f>
        <v>3.4512121539552796</v>
      </c>
      <c r="K30" s="133">
        <f>IF(SER_hh_emih!K30=0,0,SER_hh_emih!K30/SER_summary!K$26)</f>
        <v>4.309515243730254</v>
      </c>
      <c r="L30" s="133">
        <f>IF(SER_hh_emih!L30=0,0,SER_hh_emih!L30/SER_summary!L$26)</f>
        <v>7.1756237544155264</v>
      </c>
      <c r="M30" s="133">
        <f>IF(SER_hh_emih!M30=0,0,SER_hh_emih!M30/SER_summary!M$26)</f>
        <v>7.0361744946708074</v>
      </c>
      <c r="N30" s="133">
        <f>IF(SER_hh_emih!N30=0,0,SER_hh_emih!N30/SER_summary!N$26)</f>
        <v>1.2412774120914374</v>
      </c>
      <c r="O30" s="133">
        <f>IF(SER_hh_emih!O30=0,0,SER_hh_emih!O30/SER_summary!O$26)</f>
        <v>2.5992564801361717</v>
      </c>
      <c r="P30" s="133">
        <f>IF(SER_hh_emih!P30=0,0,SER_hh_emih!P30/SER_summary!P$26)</f>
        <v>4.8145882867255176</v>
      </c>
      <c r="Q30" s="133">
        <f>IF(SER_hh_emih!Q30=0,0,SER_hh_emih!Q30/SER_summary!Q$26)</f>
        <v>4.7710589247213475</v>
      </c>
      <c r="R30" s="133">
        <f>IF(SER_hh_emih!R30=0,0,SER_hh_emih!R30/SER_summary!R$26)</f>
        <v>3.5095226717443402</v>
      </c>
      <c r="S30" s="133">
        <f>IF(SER_hh_emih!S30=0,0,SER_hh_emih!S30/SER_summary!S$26)</f>
        <v>6.4474531987500203</v>
      </c>
      <c r="T30" s="133">
        <f>IF(SER_hh_emih!T30=0,0,SER_hh_emih!T30/SER_summary!T$26)</f>
        <v>5.1904187209833053</v>
      </c>
      <c r="U30" s="133">
        <f>IF(SER_hh_emih!U30=0,0,SER_hh_emih!U30/SER_summary!U$26)</f>
        <v>5.1571816968278625</v>
      </c>
      <c r="V30" s="133">
        <f>IF(SER_hh_emih!V30=0,0,SER_hh_emih!V30/SER_summary!V$26)</f>
        <v>4.7939316202183599</v>
      </c>
      <c r="W30" s="133">
        <f>IF(SER_hh_emih!W30=0,0,SER_hh_emih!W30/SER_summary!W$26)</f>
        <v>5.238324092595672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3.9793058644165109</v>
      </c>
      <c r="C31" s="133">
        <f>IF(SER_hh_emih!C31=0,0,SER_hh_emih!C31/SER_summary!C$26)</f>
        <v>4.2634231796683721</v>
      </c>
      <c r="D31" s="133">
        <f>IF(SER_hh_emih!D31=0,0,SER_hh_emih!D31/SER_summary!D$26)</f>
        <v>4.4290944032134183</v>
      </c>
      <c r="E31" s="133">
        <f>IF(SER_hh_emih!E31=0,0,SER_hh_emih!E31/SER_summary!E$26)</f>
        <v>4.484940456713951</v>
      </c>
      <c r="F31" s="133">
        <f>IF(SER_hh_emih!F31=0,0,SER_hh_emih!F31/SER_summary!F$26)</f>
        <v>4.5920894712536944</v>
      </c>
      <c r="G31" s="133">
        <f>IF(SER_hh_emih!G31=0,0,SER_hh_emih!G31/SER_summary!G$26)</f>
        <v>4.5637645034921244</v>
      </c>
      <c r="H31" s="133">
        <f>IF(SER_hh_emih!H31=0,0,SER_hh_emih!H31/SER_summary!H$26)</f>
        <v>4.4982612394692199</v>
      </c>
      <c r="I31" s="133">
        <f>IF(SER_hh_emih!I31=0,0,SER_hh_emih!I31/SER_summary!I$26)</f>
        <v>4.4364818378784134</v>
      </c>
      <c r="J31" s="133">
        <f>IF(SER_hh_emih!J31=0,0,SER_hh_emih!J31/SER_summary!J$26)</f>
        <v>4.4319840791957246</v>
      </c>
      <c r="K31" s="133">
        <f>IF(SER_hh_emih!K31=0,0,SER_hh_emih!K31/SER_summary!K$26)</f>
        <v>4.5359049415746258</v>
      </c>
      <c r="L31" s="133">
        <f>IF(SER_hh_emih!L31=0,0,SER_hh_emih!L31/SER_summary!L$26)</f>
        <v>4.5698846193966007</v>
      </c>
      <c r="M31" s="133">
        <f>IF(SER_hh_emih!M31=0,0,SER_hh_emih!M31/SER_summary!M$26)</f>
        <v>4.5658028986125645</v>
      </c>
      <c r="N31" s="133">
        <f>IF(SER_hh_emih!N31=0,0,SER_hh_emih!N31/SER_summary!N$26)</f>
        <v>4.5573357306569529</v>
      </c>
      <c r="O31" s="133">
        <f>IF(SER_hh_emih!O31=0,0,SER_hh_emih!O31/SER_summary!O$26)</f>
        <v>4.5795396641410679</v>
      </c>
      <c r="P31" s="133">
        <f>IF(SER_hh_emih!P31=0,0,SER_hh_emih!P31/SER_summary!P$26)</f>
        <v>4.617654286403881</v>
      </c>
      <c r="Q31" s="133">
        <f>IF(SER_hh_emih!Q31=0,0,SER_hh_emih!Q31/SER_summary!Q$26)</f>
        <v>4.6176474577705333</v>
      </c>
      <c r="R31" s="133">
        <f>IF(SER_hh_emih!R31=0,0,SER_hh_emih!R31/SER_summary!R$26)</f>
        <v>4.5949420346130205</v>
      </c>
      <c r="S31" s="133">
        <f>IF(SER_hh_emih!S31=0,0,SER_hh_emih!S31/SER_summary!S$26)</f>
        <v>4.5613145580414249</v>
      </c>
      <c r="T31" s="133">
        <f>IF(SER_hh_emih!T31=0,0,SER_hh_emih!T31/SER_summary!T$26)</f>
        <v>4.538956658793615</v>
      </c>
      <c r="U31" s="133">
        <f>IF(SER_hh_emih!U31=0,0,SER_hh_emih!U31/SER_summary!U$26)</f>
        <v>4.6375262970901954</v>
      </c>
      <c r="V31" s="133">
        <f>IF(SER_hh_emih!V31=0,0,SER_hh_emih!V31/SER_summary!V$26)</f>
        <v>4.2746321750663707</v>
      </c>
      <c r="W31" s="133">
        <f>IF(SER_hh_emih!W31=0,0,SER_hh_emih!W31/SER_summary!W$26)</f>
        <v>4.3110256061294638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1.9243831648667202</v>
      </c>
      <c r="C32" s="133">
        <f>IF(SER_hh_emih!C32=0,0,SER_hh_emih!C32/SER_summary!C$26)</f>
        <v>2.0565342706211629</v>
      </c>
      <c r="D32" s="133">
        <f>IF(SER_hh_emih!D32=0,0,SER_hh_emih!D32/SER_summary!D$26)</f>
        <v>2.1853349118929901</v>
      </c>
      <c r="E32" s="133">
        <f>IF(SER_hh_emih!E32=0,0,SER_hh_emih!E32/SER_summary!E$26)</f>
        <v>2.0141544870827239</v>
      </c>
      <c r="F32" s="133">
        <f>IF(SER_hh_emih!F32=0,0,SER_hh_emih!F32/SER_summary!F$26)</f>
        <v>1.5504936441041381</v>
      </c>
      <c r="G32" s="133">
        <f>IF(SER_hh_emih!G32=0,0,SER_hh_emih!G32/SER_summary!G$26)</f>
        <v>3.8383348856464941</v>
      </c>
      <c r="H32" s="133">
        <f>IF(SER_hh_emih!H32=0,0,SER_hh_emih!H32/SER_summary!H$26)</f>
        <v>2.3884569466161589</v>
      </c>
      <c r="I32" s="133">
        <f>IF(SER_hh_emih!I32=0,0,SER_hh_emih!I32/SER_summary!I$26)</f>
        <v>1.1613886131919187</v>
      </c>
      <c r="J32" s="133">
        <f>IF(SER_hh_emih!J32=0,0,SER_hh_emih!J32/SER_summary!J$26)</f>
        <v>0.22871261584604496</v>
      </c>
      <c r="K32" s="133">
        <f>IF(SER_hh_emih!K32=0,0,SER_hh_emih!K32/SER_summary!K$26)</f>
        <v>0.23330925227895732</v>
      </c>
      <c r="L32" s="133">
        <f>IF(SER_hh_emih!L32=0,0,SER_hh_emih!L32/SER_summary!L$26)</f>
        <v>0.22332099224973992</v>
      </c>
      <c r="M32" s="133">
        <f>IF(SER_hh_emih!M32=0,0,SER_hh_emih!M32/SER_summary!M$26)</f>
        <v>0.22603773611167682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1710.5999254616536</v>
      </c>
      <c r="D3" s="125">
        <f t="shared" si="0"/>
        <v>2247.5588347711187</v>
      </c>
      <c r="E3" s="125">
        <f t="shared" si="0"/>
        <v>1793.9499334723828</v>
      </c>
      <c r="F3" s="125">
        <f t="shared" si="0"/>
        <v>3098.2546496834671</v>
      </c>
      <c r="G3" s="125">
        <f t="shared" si="0"/>
        <v>3306.040762124363</v>
      </c>
      <c r="H3" s="125">
        <f t="shared" si="0"/>
        <v>4290.3040178439996</v>
      </c>
      <c r="I3" s="125">
        <f t="shared" si="0"/>
        <v>4277.8147664064345</v>
      </c>
      <c r="J3" s="125">
        <f t="shared" si="0"/>
        <v>2615.2013343841031</v>
      </c>
      <c r="K3" s="125">
        <f t="shared" si="0"/>
        <v>669.80447990512403</v>
      </c>
      <c r="L3" s="125">
        <f t="shared" si="0"/>
        <v>2670.6564877414858</v>
      </c>
      <c r="M3" s="125">
        <f t="shared" si="0"/>
        <v>2140.6407984527787</v>
      </c>
      <c r="N3" s="125">
        <f t="shared" si="0"/>
        <v>1245.9168603672076</v>
      </c>
      <c r="O3" s="125">
        <f t="shared" si="0"/>
        <v>1390.9938253792486</v>
      </c>
      <c r="P3" s="125">
        <f t="shared" si="0"/>
        <v>1664.2350825860694</v>
      </c>
      <c r="Q3" s="125">
        <f t="shared" si="0"/>
        <v>2005.4848936911069</v>
      </c>
      <c r="R3" s="125">
        <f t="shared" si="0"/>
        <v>3282.3252169919197</v>
      </c>
      <c r="S3" s="125">
        <f t="shared" si="0"/>
        <v>3468.6529322356882</v>
      </c>
      <c r="T3" s="125">
        <f t="shared" si="0"/>
        <v>3455.1491662872477</v>
      </c>
      <c r="U3" s="125">
        <f t="shared" si="0"/>
        <v>3158.3375004088807</v>
      </c>
      <c r="V3" s="125">
        <f t="shared" si="0"/>
        <v>3082.4367013761703</v>
      </c>
      <c r="W3" s="125">
        <f t="shared" si="0"/>
        <v>2997.2833891080668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1710.5999254616536</v>
      </c>
      <c r="D4" s="140">
        <f t="shared" si="1"/>
        <v>2247.5588347711187</v>
      </c>
      <c r="E4" s="140">
        <f t="shared" si="1"/>
        <v>1793.9499334723828</v>
      </c>
      <c r="F4" s="140">
        <f t="shared" si="1"/>
        <v>3098.2546496834671</v>
      </c>
      <c r="G4" s="140">
        <f t="shared" si="1"/>
        <v>3306.040762124363</v>
      </c>
      <c r="H4" s="140">
        <f t="shared" si="1"/>
        <v>4290.3040178439996</v>
      </c>
      <c r="I4" s="140">
        <f t="shared" si="1"/>
        <v>4277.8147664064345</v>
      </c>
      <c r="J4" s="140">
        <f t="shared" si="1"/>
        <v>2615.2013343841031</v>
      </c>
      <c r="K4" s="140">
        <f t="shared" si="1"/>
        <v>669.80447990512403</v>
      </c>
      <c r="L4" s="140">
        <f t="shared" si="1"/>
        <v>2670.6564877414858</v>
      </c>
      <c r="M4" s="140">
        <f t="shared" si="1"/>
        <v>2140.6407984527787</v>
      </c>
      <c r="N4" s="140">
        <f t="shared" si="1"/>
        <v>1245.9168603672076</v>
      </c>
      <c r="O4" s="140">
        <f t="shared" si="1"/>
        <v>1390.9938253792486</v>
      </c>
      <c r="P4" s="140">
        <f t="shared" si="1"/>
        <v>1664.2350825860694</v>
      </c>
      <c r="Q4" s="140">
        <f t="shared" si="1"/>
        <v>2005.4848936911069</v>
      </c>
      <c r="R4" s="140">
        <f t="shared" ref="R4:W4" si="2">SUM(R5:R14)</f>
        <v>3282.3252169919197</v>
      </c>
      <c r="S4" s="140">
        <f t="shared" si="2"/>
        <v>3468.6529322356882</v>
      </c>
      <c r="T4" s="140">
        <f t="shared" si="2"/>
        <v>3455.1491662872477</v>
      </c>
      <c r="U4" s="140">
        <f t="shared" si="2"/>
        <v>3158.3375004088807</v>
      </c>
      <c r="V4" s="140">
        <f t="shared" si="2"/>
        <v>3082.4367013761703</v>
      </c>
      <c r="W4" s="140">
        <f t="shared" si="2"/>
        <v>2997.2833891080668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3.9081995313659195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528.93506116234755</v>
      </c>
      <c r="D7" s="141">
        <v>575.50536316587386</v>
      </c>
      <c r="E7" s="141">
        <v>474.23333368736223</v>
      </c>
      <c r="F7" s="141">
        <v>580.454970419353</v>
      </c>
      <c r="G7" s="141">
        <v>443.67820256375251</v>
      </c>
      <c r="H7" s="141">
        <v>544.13133242003767</v>
      </c>
      <c r="I7" s="141">
        <v>271.29206939042865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193.30833993685093</v>
      </c>
      <c r="P7" s="141">
        <v>240.59130133826977</v>
      </c>
      <c r="Q7" s="141">
        <v>359.91229729883457</v>
      </c>
      <c r="R7" s="141">
        <v>509.66646955538522</v>
      </c>
      <c r="S7" s="141">
        <v>603.81886837066656</v>
      </c>
      <c r="T7" s="141">
        <v>545.9890917197381</v>
      </c>
      <c r="U7" s="141">
        <v>366.31368457547165</v>
      </c>
      <c r="V7" s="141">
        <v>292.06378763781686</v>
      </c>
      <c r="W7" s="141">
        <v>253.33052289164297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8.4958103589967191</v>
      </c>
      <c r="D8" s="141">
        <v>14.681489290500423</v>
      </c>
      <c r="E8" s="141">
        <v>13.887919975586831</v>
      </c>
      <c r="F8" s="141">
        <v>21.553607947222392</v>
      </c>
      <c r="G8" s="141">
        <v>17.747437085437621</v>
      </c>
      <c r="H8" s="141">
        <v>23.254229434705259</v>
      </c>
      <c r="I8" s="141">
        <v>18.063101363730627</v>
      </c>
      <c r="J8" s="141">
        <v>11.222425371863169</v>
      </c>
      <c r="K8" s="141">
        <v>1.8959863552567338</v>
      </c>
      <c r="L8" s="141">
        <v>3.5304571038183785</v>
      </c>
      <c r="M8" s="141">
        <v>3.0163805510255672</v>
      </c>
      <c r="N8" s="141">
        <v>2.4397002537854506</v>
      </c>
      <c r="O8" s="141">
        <v>4.2486037454517387</v>
      </c>
      <c r="P8" s="141">
        <v>12.970642194750292</v>
      </c>
      <c r="Q8" s="141">
        <v>17.157295113902901</v>
      </c>
      <c r="R8" s="141">
        <v>28.198817881613209</v>
      </c>
      <c r="S8" s="141">
        <v>28.077626069519152</v>
      </c>
      <c r="T8" s="141">
        <v>24.363426461000667</v>
      </c>
      <c r="U8" s="141">
        <v>17.260941796988178</v>
      </c>
      <c r="V8" s="141">
        <v>12.200200446074135</v>
      </c>
      <c r="W8" s="141">
        <v>10.669226682493715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863.60622504633238</v>
      </c>
      <c r="D9" s="141">
        <v>802.5340403353872</v>
      </c>
      <c r="E9" s="141">
        <v>406.54569158582899</v>
      </c>
      <c r="F9" s="141">
        <v>0</v>
      </c>
      <c r="G9" s="141">
        <v>0</v>
      </c>
      <c r="H9" s="141">
        <v>0</v>
      </c>
      <c r="I9" s="141">
        <v>0</v>
      </c>
      <c r="J9" s="141">
        <v>0</v>
      </c>
      <c r="K9" s="141">
        <v>66.372549522078685</v>
      </c>
      <c r="L9" s="141">
        <v>469.10993315374697</v>
      </c>
      <c r="M9" s="141">
        <v>464.81070557942445</v>
      </c>
      <c r="N9" s="141">
        <v>458.68806867338122</v>
      </c>
      <c r="O9" s="141">
        <v>445.01398795153631</v>
      </c>
      <c r="P9" s="141">
        <v>395.96180542789841</v>
      </c>
      <c r="Q9" s="141">
        <v>146.11829350135764</v>
      </c>
      <c r="R9" s="141">
        <v>572.92400701497695</v>
      </c>
      <c r="S9" s="141">
        <v>420.47913961411666</v>
      </c>
      <c r="T9" s="141">
        <v>273.9579599020214</v>
      </c>
      <c r="U9" s="141">
        <v>314.90340175745399</v>
      </c>
      <c r="V9" s="141">
        <v>0</v>
      </c>
      <c r="W9" s="141">
        <v>274.29515122700127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25.068070135033508</v>
      </c>
      <c r="D10" s="141">
        <v>82.062067875497021</v>
      </c>
      <c r="E10" s="141">
        <v>68.651829268898837</v>
      </c>
      <c r="F10" s="141">
        <v>113.44888303301657</v>
      </c>
      <c r="G10" s="141">
        <v>60.107594345783795</v>
      </c>
      <c r="H10" s="141">
        <v>93.459395722892168</v>
      </c>
      <c r="I10" s="141">
        <v>100.35260930247217</v>
      </c>
      <c r="J10" s="141">
        <v>35.046885690912859</v>
      </c>
      <c r="K10" s="141">
        <v>30.112298024743605</v>
      </c>
      <c r="L10" s="141">
        <v>66.913247403466755</v>
      </c>
      <c r="M10" s="141">
        <v>8.4527083339112146</v>
      </c>
      <c r="N10" s="141">
        <v>0</v>
      </c>
      <c r="O10" s="141">
        <v>27.587412914685711</v>
      </c>
      <c r="P10" s="141">
        <v>26.701428680234592</v>
      </c>
      <c r="Q10" s="141">
        <v>130.22703098418955</v>
      </c>
      <c r="R10" s="141">
        <v>111.73876032581289</v>
      </c>
      <c r="S10" s="141">
        <v>288.91874111297136</v>
      </c>
      <c r="T10" s="141">
        <v>231.39363643298176</v>
      </c>
      <c r="U10" s="141">
        <v>194.37299765950786</v>
      </c>
      <c r="V10" s="141">
        <v>143.51146955926941</v>
      </c>
      <c r="W10" s="141">
        <v>108.75145576172891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8.5532053082155137</v>
      </c>
      <c r="D11" s="141">
        <v>15.490781964959439</v>
      </c>
      <c r="E11" s="141">
        <v>0.83918413449599039</v>
      </c>
      <c r="F11" s="141">
        <v>10.301472762656642</v>
      </c>
      <c r="G11" s="141">
        <v>12.079848347888037</v>
      </c>
      <c r="H11" s="141">
        <v>16.554147954143236</v>
      </c>
      <c r="I11" s="141">
        <v>23.334612066964652</v>
      </c>
      <c r="J11" s="141">
        <v>19.560049359990163</v>
      </c>
      <c r="K11" s="141">
        <v>7.823670730979277</v>
      </c>
      <c r="L11" s="141">
        <v>19.741814870883484</v>
      </c>
      <c r="M11" s="141">
        <v>13.725608823866789</v>
      </c>
      <c r="N11" s="141">
        <v>9.7773984010347483</v>
      </c>
      <c r="O11" s="141">
        <v>6.4007528722352856</v>
      </c>
      <c r="P11" s="141">
        <v>6.282340159198089</v>
      </c>
      <c r="Q11" s="141">
        <v>22.628799508445063</v>
      </c>
      <c r="R11" s="141">
        <v>41.570076275499048</v>
      </c>
      <c r="S11" s="141">
        <v>66.687739527271589</v>
      </c>
      <c r="T11" s="141">
        <v>38.897966547969503</v>
      </c>
      <c r="U11" s="141">
        <v>19.495559237473863</v>
      </c>
      <c r="V11" s="141">
        <v>19.879591448590997</v>
      </c>
      <c r="W11" s="141">
        <v>17.4770280640092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211.16433614949943</v>
      </c>
      <c r="D12" s="141">
        <v>551.82146776083903</v>
      </c>
      <c r="E12" s="141">
        <v>592.10073098047451</v>
      </c>
      <c r="F12" s="141">
        <v>1441.3748859764623</v>
      </c>
      <c r="G12" s="141">
        <v>1647.396597934825</v>
      </c>
      <c r="H12" s="141">
        <v>2185.2611834847348</v>
      </c>
      <c r="I12" s="141">
        <v>2551.241312007141</v>
      </c>
      <c r="J12" s="141">
        <v>1881.8606439130451</v>
      </c>
      <c r="K12" s="141">
        <v>453.07242994486944</v>
      </c>
      <c r="L12" s="141">
        <v>1565.4582422203905</v>
      </c>
      <c r="M12" s="141">
        <v>1077.7945266915078</v>
      </c>
      <c r="N12" s="141">
        <v>326.33486665848261</v>
      </c>
      <c r="O12" s="141">
        <v>257.64871444515728</v>
      </c>
      <c r="P12" s="141">
        <v>427.57906089377525</v>
      </c>
      <c r="Q12" s="141">
        <v>801.5659880325793</v>
      </c>
      <c r="R12" s="141">
        <v>1327.6785389865659</v>
      </c>
      <c r="S12" s="141">
        <v>1263.2401793576964</v>
      </c>
      <c r="T12" s="141">
        <v>1159.5879746424012</v>
      </c>
      <c r="U12" s="141">
        <v>1321.7556573593517</v>
      </c>
      <c r="V12" s="141">
        <v>1651.3787841633543</v>
      </c>
      <c r="W12" s="141">
        <v>1486.2679050617423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64.777217301228831</v>
      </c>
      <c r="D13" s="141">
        <v>205.46362437806181</v>
      </c>
      <c r="E13" s="141">
        <v>221.35727283464882</v>
      </c>
      <c r="F13" s="141">
        <v>433.15034656191773</v>
      </c>
      <c r="G13" s="141">
        <v>465.33161615834769</v>
      </c>
      <c r="H13" s="141">
        <v>649.89226159388761</v>
      </c>
      <c r="I13" s="141">
        <v>675.79974973779247</v>
      </c>
      <c r="J13" s="141">
        <v>465.52108775352394</v>
      </c>
      <c r="K13" s="141">
        <v>110.52754532719636</v>
      </c>
      <c r="L13" s="141">
        <v>339.1396598490993</v>
      </c>
      <c r="M13" s="141">
        <v>424.49937166542855</v>
      </c>
      <c r="N13" s="141">
        <v>298.88264685312913</v>
      </c>
      <c r="O13" s="141">
        <v>355.94314574309351</v>
      </c>
      <c r="P13" s="141">
        <v>554.14850389194305</v>
      </c>
      <c r="Q13" s="141">
        <v>527.87518925179779</v>
      </c>
      <c r="R13" s="141">
        <v>690.5485469520662</v>
      </c>
      <c r="S13" s="141">
        <v>729.21381930943346</v>
      </c>
      <c r="T13" s="141">
        <v>761.68947020090661</v>
      </c>
      <c r="U13" s="141">
        <v>530.83264559389488</v>
      </c>
      <c r="V13" s="141">
        <v>549.80616254568656</v>
      </c>
      <c r="W13" s="141">
        <v>544.05367868936332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0</v>
      </c>
      <c r="D14" s="142">
        <v>0</v>
      </c>
      <c r="E14" s="142">
        <v>16.33397100508639</v>
      </c>
      <c r="F14" s="142">
        <v>497.97048298283829</v>
      </c>
      <c r="G14" s="142">
        <v>659.69946568832836</v>
      </c>
      <c r="H14" s="142">
        <v>777.75146723359842</v>
      </c>
      <c r="I14" s="142">
        <v>637.73131253790552</v>
      </c>
      <c r="J14" s="142">
        <v>201.99024229476743</v>
      </c>
      <c r="K14" s="142">
        <v>0</v>
      </c>
      <c r="L14" s="142">
        <v>206.76313314008064</v>
      </c>
      <c r="M14" s="142">
        <v>148.34149680761448</v>
      </c>
      <c r="N14" s="142">
        <v>149.79417952739439</v>
      </c>
      <c r="O14" s="142">
        <v>96.934668238871865</v>
      </c>
      <c r="P14" s="142">
        <v>0</v>
      </c>
      <c r="Q14" s="142">
        <v>0</v>
      </c>
      <c r="R14" s="142">
        <v>0</v>
      </c>
      <c r="S14" s="142">
        <v>68.216818874013157</v>
      </c>
      <c r="T14" s="142">
        <v>419.26964038022851</v>
      </c>
      <c r="U14" s="142">
        <v>393.40261242873845</v>
      </c>
      <c r="V14" s="142">
        <v>413.596705575378</v>
      </c>
      <c r="W14" s="142">
        <v>302.43842073008483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1645.8227081604248</v>
      </c>
      <c r="D15" s="144">
        <f t="shared" si="3"/>
        <v>2042.0952103930567</v>
      </c>
      <c r="E15" s="144">
        <f t="shared" si="3"/>
        <v>1556.2586896326475</v>
      </c>
      <c r="F15" s="144">
        <f t="shared" si="3"/>
        <v>2167.1338201387111</v>
      </c>
      <c r="G15" s="144">
        <f t="shared" si="3"/>
        <v>2181.009680277687</v>
      </c>
      <c r="H15" s="144">
        <f t="shared" si="3"/>
        <v>2862.6602890165132</v>
      </c>
      <c r="I15" s="144">
        <f t="shared" si="3"/>
        <v>2964.2837041307371</v>
      </c>
      <c r="J15" s="144">
        <f t="shared" si="3"/>
        <v>1947.6900043358114</v>
      </c>
      <c r="K15" s="144">
        <f t="shared" si="3"/>
        <v>559.2769345779277</v>
      </c>
      <c r="L15" s="144">
        <f t="shared" si="3"/>
        <v>2124.7536947523058</v>
      </c>
      <c r="M15" s="144">
        <f t="shared" si="3"/>
        <v>1567.7999299797359</v>
      </c>
      <c r="N15" s="144">
        <f t="shared" si="3"/>
        <v>797.24003398668401</v>
      </c>
      <c r="O15" s="144">
        <f t="shared" si="3"/>
        <v>938.11601139728327</v>
      </c>
      <c r="P15" s="144">
        <f t="shared" si="3"/>
        <v>1110.0865786941263</v>
      </c>
      <c r="Q15" s="144">
        <f t="shared" si="3"/>
        <v>1477.6097044393091</v>
      </c>
      <c r="R15" s="144">
        <f t="shared" ref="R15:W15" si="4">SUM(R5:R12)</f>
        <v>2591.7766700398533</v>
      </c>
      <c r="S15" s="144">
        <f t="shared" si="4"/>
        <v>2671.2222940522415</v>
      </c>
      <c r="T15" s="144">
        <f t="shared" si="4"/>
        <v>2274.1900557061126</v>
      </c>
      <c r="U15" s="144">
        <f t="shared" si="4"/>
        <v>2234.1022423862473</v>
      </c>
      <c r="V15" s="144">
        <f t="shared" si="4"/>
        <v>2119.0338332551055</v>
      </c>
      <c r="W15" s="144">
        <f t="shared" si="4"/>
        <v>2150.7912896886182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1710.5999254616538</v>
      </c>
      <c r="D16" s="140">
        <f t="shared" si="5"/>
        <v>2247.5588347711187</v>
      </c>
      <c r="E16" s="140">
        <f t="shared" si="5"/>
        <v>1793.9499334723828</v>
      </c>
      <c r="F16" s="140">
        <f t="shared" si="5"/>
        <v>3098.2546496834671</v>
      </c>
      <c r="G16" s="140">
        <f t="shared" si="5"/>
        <v>3306.0407621243626</v>
      </c>
      <c r="H16" s="140">
        <f t="shared" si="5"/>
        <v>4290.3040178439987</v>
      </c>
      <c r="I16" s="140">
        <f t="shared" si="5"/>
        <v>4277.8147664064354</v>
      </c>
      <c r="J16" s="140">
        <f t="shared" si="5"/>
        <v>2615.2013343841027</v>
      </c>
      <c r="K16" s="140">
        <f t="shared" si="5"/>
        <v>669.80447990512414</v>
      </c>
      <c r="L16" s="140">
        <f t="shared" si="5"/>
        <v>2670.6564877414862</v>
      </c>
      <c r="M16" s="140">
        <f t="shared" si="5"/>
        <v>2140.6407984527796</v>
      </c>
      <c r="N16" s="140">
        <f t="shared" si="5"/>
        <v>1245.9168603672076</v>
      </c>
      <c r="O16" s="140">
        <f t="shared" si="5"/>
        <v>1390.9938253792486</v>
      </c>
      <c r="P16" s="140">
        <f t="shared" si="5"/>
        <v>1664.2350825860694</v>
      </c>
      <c r="Q16" s="140">
        <f t="shared" si="5"/>
        <v>2005.4848936911067</v>
      </c>
      <c r="R16" s="140">
        <f t="shared" ref="R16:W16" si="6">SUM(R17:R18)</f>
        <v>3282.3252169919201</v>
      </c>
      <c r="S16" s="140">
        <f t="shared" si="6"/>
        <v>3468.6529322356887</v>
      </c>
      <c r="T16" s="140">
        <f t="shared" si="6"/>
        <v>3455.1491662872472</v>
      </c>
      <c r="U16" s="140">
        <f t="shared" si="6"/>
        <v>3158.3375004088807</v>
      </c>
      <c r="V16" s="140">
        <f t="shared" si="6"/>
        <v>3082.4367013761698</v>
      </c>
      <c r="W16" s="140">
        <f t="shared" si="6"/>
        <v>2997.2833891080672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2.9750845140065927</v>
      </c>
      <c r="D17" s="141">
        <v>5.5495763031006735</v>
      </c>
      <c r="E17" s="141">
        <v>2.5634461052190014</v>
      </c>
      <c r="F17" s="141">
        <v>12.190168891707138</v>
      </c>
      <c r="G17" s="141">
        <v>9.117688101795661</v>
      </c>
      <c r="H17" s="141">
        <v>10.885317351421934</v>
      </c>
      <c r="I17" s="141">
        <v>17.148595394230245</v>
      </c>
      <c r="J17" s="141">
        <v>10.516396779462985</v>
      </c>
      <c r="K17" s="141">
        <v>5.4270408788239806</v>
      </c>
      <c r="L17" s="141">
        <v>10.692673573628872</v>
      </c>
      <c r="M17" s="141">
        <v>9.4044396663510668</v>
      </c>
      <c r="N17" s="141">
        <v>7.7901573749943918</v>
      </c>
      <c r="O17" s="141">
        <v>9.1818163044114929</v>
      </c>
      <c r="P17" s="141">
        <v>13.143997090392279</v>
      </c>
      <c r="Q17" s="141">
        <v>16.243323649644417</v>
      </c>
      <c r="R17" s="141">
        <v>21.754765330218827</v>
      </c>
      <c r="S17" s="141">
        <v>34.494568531566614</v>
      </c>
      <c r="T17" s="141">
        <v>29.728395650202579</v>
      </c>
      <c r="U17" s="141">
        <v>39.407149474934506</v>
      </c>
      <c r="V17" s="141">
        <v>20.839226196843754</v>
      </c>
      <c r="W17" s="141">
        <v>26.466558946718923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1707.6248409476473</v>
      </c>
      <c r="D18" s="141">
        <v>2242.0092584680178</v>
      </c>
      <c r="E18" s="141">
        <v>1791.3864873671637</v>
      </c>
      <c r="F18" s="141">
        <v>3086.0644807917597</v>
      </c>
      <c r="G18" s="141">
        <v>3296.9230740225671</v>
      </c>
      <c r="H18" s="141">
        <v>4279.418700492577</v>
      </c>
      <c r="I18" s="141">
        <v>4260.6661710122053</v>
      </c>
      <c r="J18" s="141">
        <v>2604.6849376046398</v>
      </c>
      <c r="K18" s="141">
        <v>664.37743902630018</v>
      </c>
      <c r="L18" s="141">
        <v>2659.9638141678574</v>
      </c>
      <c r="M18" s="141">
        <v>2131.2363587864284</v>
      </c>
      <c r="N18" s="141">
        <v>1238.1267029922133</v>
      </c>
      <c r="O18" s="141">
        <v>1381.8120090748371</v>
      </c>
      <c r="P18" s="141">
        <v>1651.0910854956771</v>
      </c>
      <c r="Q18" s="141">
        <v>1989.2415700414622</v>
      </c>
      <c r="R18" s="141">
        <v>3260.5704516617011</v>
      </c>
      <c r="S18" s="141">
        <v>3434.1583637041222</v>
      </c>
      <c r="T18" s="141">
        <v>3425.4207706370448</v>
      </c>
      <c r="U18" s="141">
        <v>3118.9303509339461</v>
      </c>
      <c r="V18" s="141">
        <v>3061.597475179326</v>
      </c>
      <c r="W18" s="141">
        <v>2970.8168301613482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1710.599925461654</v>
      </c>
      <c r="D19" s="140">
        <f t="shared" si="7"/>
        <v>2247.5588347711187</v>
      </c>
      <c r="E19" s="140">
        <f t="shared" si="7"/>
        <v>1793.9499334723828</v>
      </c>
      <c r="F19" s="140">
        <f t="shared" si="7"/>
        <v>3098.2546496834666</v>
      </c>
      <c r="G19" s="140">
        <f t="shared" si="7"/>
        <v>3306.040762124363</v>
      </c>
      <c r="H19" s="140">
        <f t="shared" si="7"/>
        <v>4290.3040178439987</v>
      </c>
      <c r="I19" s="140">
        <f t="shared" si="7"/>
        <v>4277.8147664064354</v>
      </c>
      <c r="J19" s="140">
        <f t="shared" si="7"/>
        <v>2615.2013343841022</v>
      </c>
      <c r="K19" s="140">
        <f t="shared" si="7"/>
        <v>669.80447990512425</v>
      </c>
      <c r="L19" s="140">
        <f t="shared" si="7"/>
        <v>2670.6564877414862</v>
      </c>
      <c r="M19" s="140">
        <f t="shared" si="7"/>
        <v>2140.6407984527791</v>
      </c>
      <c r="N19" s="140">
        <f t="shared" si="7"/>
        <v>1245.9168603672074</v>
      </c>
      <c r="O19" s="140">
        <f t="shared" si="7"/>
        <v>1390.9938253792488</v>
      </c>
      <c r="P19" s="140">
        <f t="shared" si="7"/>
        <v>1664.2350825860692</v>
      </c>
      <c r="Q19" s="140">
        <f t="shared" si="7"/>
        <v>2005.4848936911067</v>
      </c>
      <c r="R19" s="140">
        <f t="shared" ref="R19:W19" si="8">SUM(R20:R26)</f>
        <v>3282.3252169919192</v>
      </c>
      <c r="S19" s="140">
        <f t="shared" si="8"/>
        <v>3468.6529322356882</v>
      </c>
      <c r="T19" s="140">
        <f t="shared" si="8"/>
        <v>3455.1491662872477</v>
      </c>
      <c r="U19" s="140">
        <f t="shared" si="8"/>
        <v>3158.3375004088807</v>
      </c>
      <c r="V19" s="140">
        <f t="shared" si="8"/>
        <v>3082.4367013761703</v>
      </c>
      <c r="W19" s="140">
        <f t="shared" si="8"/>
        <v>2997.2833891080668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175.67829500902789</v>
      </c>
      <c r="D21" s="141">
        <v>231.99255256807754</v>
      </c>
      <c r="E21" s="141">
        <v>184.14609803489896</v>
      </c>
      <c r="F21" s="141">
        <v>231.64507051933467</v>
      </c>
      <c r="G21" s="141">
        <v>180.04122795321953</v>
      </c>
      <c r="H21" s="141">
        <v>198.33123701301372</v>
      </c>
      <c r="I21" s="141">
        <v>114.65648037084775</v>
      </c>
      <c r="J21" s="141">
        <v>0</v>
      </c>
      <c r="K21" s="141">
        <v>11.523156069890018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285.77589417537962</v>
      </c>
      <c r="D22" s="141">
        <v>371.95495844906191</v>
      </c>
      <c r="E22" s="141">
        <v>274.79614227698409</v>
      </c>
      <c r="F22" s="141">
        <v>333.09466498515064</v>
      </c>
      <c r="G22" s="141">
        <v>173.03543845180565</v>
      </c>
      <c r="H22" s="141">
        <v>264.51187871405529</v>
      </c>
      <c r="I22" s="141">
        <v>154.65995739260927</v>
      </c>
      <c r="J22" s="141">
        <v>109.43102236215364</v>
      </c>
      <c r="K22" s="141">
        <v>47.469317990626081</v>
      </c>
      <c r="L22" s="141">
        <v>152.05075778700325</v>
      </c>
      <c r="M22" s="141">
        <v>167.38490312925953</v>
      </c>
      <c r="N22" s="141">
        <v>84.231038853380895</v>
      </c>
      <c r="O22" s="141">
        <v>122.65545162545509</v>
      </c>
      <c r="P22" s="141">
        <v>0</v>
      </c>
      <c r="Q22" s="141">
        <v>77.268619611960347</v>
      </c>
      <c r="R22" s="141">
        <v>204.9237609371456</v>
      </c>
      <c r="S22" s="141">
        <v>365.14687038657405</v>
      </c>
      <c r="T22" s="141">
        <v>322.23102411574973</v>
      </c>
      <c r="U22" s="141">
        <v>248.80545735929749</v>
      </c>
      <c r="V22" s="141">
        <v>163.8041290521746</v>
      </c>
      <c r="W22" s="141">
        <v>216.24503013060863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144.60997251862116</v>
      </c>
      <c r="D23" s="141">
        <v>214.0498364386001</v>
      </c>
      <c r="E23" s="141">
        <v>175.08814482212685</v>
      </c>
      <c r="F23" s="141">
        <v>280.99744878495324</v>
      </c>
      <c r="G23" s="141">
        <v>262.36585166267554</v>
      </c>
      <c r="H23" s="141">
        <v>312.42567757999194</v>
      </c>
      <c r="I23" s="141">
        <v>383.85457765322798</v>
      </c>
      <c r="J23" s="141">
        <v>283.48299070503583</v>
      </c>
      <c r="K23" s="141">
        <v>58.310983509109498</v>
      </c>
      <c r="L23" s="141">
        <v>341.33855193663987</v>
      </c>
      <c r="M23" s="141">
        <v>233.6615214654019</v>
      </c>
      <c r="N23" s="141">
        <v>116.55299222571243</v>
      </c>
      <c r="O23" s="141">
        <v>148.7361423049548</v>
      </c>
      <c r="P23" s="141">
        <v>172.42039066225391</v>
      </c>
      <c r="Q23" s="141">
        <v>214.73621590267197</v>
      </c>
      <c r="R23" s="141">
        <v>340.6761547165878</v>
      </c>
      <c r="S23" s="141">
        <v>384.00161566582875</v>
      </c>
      <c r="T23" s="141">
        <v>404.9711986918029</v>
      </c>
      <c r="U23" s="141">
        <v>352.31146611243724</v>
      </c>
      <c r="V23" s="141">
        <v>313.45678480729941</v>
      </c>
      <c r="W23" s="141">
        <v>329.67141410792675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35.305861260098823</v>
      </c>
      <c r="D24" s="141">
        <v>51.063356218477217</v>
      </c>
      <c r="E24" s="141">
        <v>41.315193332670127</v>
      </c>
      <c r="F24" s="141">
        <v>66.075508719198353</v>
      </c>
      <c r="G24" s="141">
        <v>60.002699952514739</v>
      </c>
      <c r="H24" s="141">
        <v>73.471778167745413</v>
      </c>
      <c r="I24" s="141">
        <v>87.315419946794918</v>
      </c>
      <c r="J24" s="141">
        <v>70.019570086507642</v>
      </c>
      <c r="K24" s="141">
        <v>14.98555324911011</v>
      </c>
      <c r="L24" s="141">
        <v>93.805878792381847</v>
      </c>
      <c r="M24" s="141">
        <v>65.311684830049202</v>
      </c>
      <c r="N24" s="141">
        <v>32.494985449708629</v>
      </c>
      <c r="O24" s="141">
        <v>39.134556298114802</v>
      </c>
      <c r="P24" s="141">
        <v>47.577170963857753</v>
      </c>
      <c r="Q24" s="141">
        <v>55.956184847420637</v>
      </c>
      <c r="R24" s="141">
        <v>85.239881298816769</v>
      </c>
      <c r="S24" s="141">
        <v>100.27725739685188</v>
      </c>
      <c r="T24" s="141">
        <v>104.00179325142132</v>
      </c>
      <c r="U24" s="141">
        <v>95.096801175801971</v>
      </c>
      <c r="V24" s="141">
        <v>78.521443588550497</v>
      </c>
      <c r="W24" s="141">
        <v>83.071498926621331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440.96339287643752</v>
      </c>
      <c r="D25" s="141">
        <v>541.99713769076436</v>
      </c>
      <c r="E25" s="141">
        <v>399.51047007824718</v>
      </c>
      <c r="F25" s="141">
        <v>763.81744835561335</v>
      </c>
      <c r="G25" s="141">
        <v>1000.1787457582406</v>
      </c>
      <c r="H25" s="141">
        <v>1525.9655192910941</v>
      </c>
      <c r="I25" s="141">
        <v>2844.6483117795774</v>
      </c>
      <c r="J25" s="141">
        <v>2004.2753439629703</v>
      </c>
      <c r="K25" s="141">
        <v>391.15465853747219</v>
      </c>
      <c r="L25" s="141">
        <v>1910.5385307148217</v>
      </c>
      <c r="M25" s="141">
        <v>1210.9411201488267</v>
      </c>
      <c r="N25" s="141">
        <v>483.35234007803365</v>
      </c>
      <c r="O25" s="141">
        <v>547.18904856830216</v>
      </c>
      <c r="P25" s="141">
        <v>297.63711079731308</v>
      </c>
      <c r="Q25" s="141">
        <v>771.33626521885617</v>
      </c>
      <c r="R25" s="141">
        <v>1225.9881536099351</v>
      </c>
      <c r="S25" s="141">
        <v>1365.8641779320485</v>
      </c>
      <c r="T25" s="141">
        <v>1695.068006315302</v>
      </c>
      <c r="U25" s="141">
        <v>1549.4284989343166</v>
      </c>
      <c r="V25" s="141">
        <v>1150.4086170866517</v>
      </c>
      <c r="W25" s="141">
        <v>1244.229471375133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628.26650962208885</v>
      </c>
      <c r="D26" s="142">
        <v>836.50099340613758</v>
      </c>
      <c r="E26" s="142">
        <v>719.09388492745563</v>
      </c>
      <c r="F26" s="142">
        <v>1422.6245083192164</v>
      </c>
      <c r="G26" s="142">
        <v>1630.4167983459067</v>
      </c>
      <c r="H26" s="142">
        <v>1915.5979270780986</v>
      </c>
      <c r="I26" s="142">
        <v>692.6800192633782</v>
      </c>
      <c r="J26" s="142">
        <v>147.99240726743488</v>
      </c>
      <c r="K26" s="142">
        <v>146.36081054891628</v>
      </c>
      <c r="L26" s="142">
        <v>172.92276851063914</v>
      </c>
      <c r="M26" s="142">
        <v>463.34156887924183</v>
      </c>
      <c r="N26" s="142">
        <v>529.28550376037185</v>
      </c>
      <c r="O26" s="142">
        <v>533.27862658242202</v>
      </c>
      <c r="P26" s="142">
        <v>1146.6004101626445</v>
      </c>
      <c r="Q26" s="142">
        <v>886.18760811019752</v>
      </c>
      <c r="R26" s="142">
        <v>1425.4972664294339</v>
      </c>
      <c r="S26" s="142">
        <v>1253.363010854385</v>
      </c>
      <c r="T26" s="142">
        <v>928.87714391297163</v>
      </c>
      <c r="U26" s="142">
        <v>912.69527682702744</v>
      </c>
      <c r="V26" s="142">
        <v>1376.2457268414939</v>
      </c>
      <c r="W26" s="142">
        <v>1124.0659745677772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1479.2833057946507</v>
      </c>
      <c r="D27" s="151">
        <v>1094.151339763295</v>
      </c>
      <c r="E27" s="151">
        <v>1702.7083570539289</v>
      </c>
      <c r="F27" s="151">
        <v>1814.8589308927537</v>
      </c>
      <c r="G27" s="151">
        <v>1.3200949355282384E-11</v>
      </c>
      <c r="H27" s="151">
        <v>0</v>
      </c>
      <c r="I27" s="151">
        <v>2196.9558622859176</v>
      </c>
      <c r="J27" s="151">
        <v>2615.2013343841022</v>
      </c>
      <c r="K27" s="151">
        <v>0</v>
      </c>
      <c r="L27" s="151">
        <v>2670.6564877414858</v>
      </c>
      <c r="M27" s="151">
        <v>2140.6407984527791</v>
      </c>
      <c r="N27" s="151">
        <v>1245.9168603672074</v>
      </c>
      <c r="O27" s="151">
        <v>0</v>
      </c>
      <c r="P27" s="151">
        <v>1562.961030147459</v>
      </c>
      <c r="Q27" s="151">
        <v>0</v>
      </c>
      <c r="R27" s="151">
        <v>0</v>
      </c>
      <c r="S27" s="151">
        <v>3189.8267528553179</v>
      </c>
      <c r="T27" s="151">
        <v>3455.1491662872481</v>
      </c>
      <c r="U27" s="151">
        <v>997.77630791955335</v>
      </c>
      <c r="V27" s="151">
        <v>2535.8499292029901</v>
      </c>
      <c r="W27" s="151">
        <v>0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1710.5999254616536</v>
      </c>
      <c r="D29" s="140">
        <f t="shared" si="9"/>
        <v>2247.5588347711187</v>
      </c>
      <c r="E29" s="140">
        <f t="shared" si="9"/>
        <v>1793.9499334723826</v>
      </c>
      <c r="F29" s="140">
        <f t="shared" si="9"/>
        <v>3098.2546496834666</v>
      </c>
      <c r="G29" s="140">
        <f t="shared" si="9"/>
        <v>3306.040762124363</v>
      </c>
      <c r="H29" s="140">
        <f t="shared" si="9"/>
        <v>4290.3040178439996</v>
      </c>
      <c r="I29" s="140">
        <f t="shared" si="9"/>
        <v>4277.8147664064354</v>
      </c>
      <c r="J29" s="140">
        <f t="shared" si="9"/>
        <v>2615.2013343841027</v>
      </c>
      <c r="K29" s="140">
        <f t="shared" si="9"/>
        <v>669.80447990512414</v>
      </c>
      <c r="L29" s="140">
        <f t="shared" si="9"/>
        <v>2670.6564877414858</v>
      </c>
      <c r="M29" s="140">
        <f t="shared" si="9"/>
        <v>2140.6407984527791</v>
      </c>
      <c r="N29" s="140">
        <f t="shared" si="9"/>
        <v>1245.9168603672078</v>
      </c>
      <c r="O29" s="140">
        <f t="shared" si="9"/>
        <v>1390.9938253792486</v>
      </c>
      <c r="P29" s="140">
        <f t="shared" si="9"/>
        <v>1664.2350825860694</v>
      </c>
      <c r="Q29" s="140">
        <f t="shared" si="9"/>
        <v>2005.4848936911067</v>
      </c>
      <c r="R29" s="140">
        <f t="shared" ref="R29:W29" si="10">SUM(R30:R33)</f>
        <v>3282.3252169919197</v>
      </c>
      <c r="S29" s="140">
        <f t="shared" si="10"/>
        <v>3468.6529322356887</v>
      </c>
      <c r="T29" s="140">
        <f t="shared" si="10"/>
        <v>3455.1491662872472</v>
      </c>
      <c r="U29" s="140">
        <f t="shared" si="10"/>
        <v>3158.3375004088807</v>
      </c>
      <c r="V29" s="140">
        <f t="shared" si="10"/>
        <v>3082.4367013761703</v>
      </c>
      <c r="W29" s="140">
        <f t="shared" si="10"/>
        <v>2997.2833891080672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330.07500650773756</v>
      </c>
      <c r="D30" s="141">
        <v>1062.9006231972708</v>
      </c>
      <c r="E30" s="141">
        <v>706.78708287870961</v>
      </c>
      <c r="F30" s="141">
        <v>452.65569885697971</v>
      </c>
      <c r="G30" s="141">
        <v>283.66329163962928</v>
      </c>
      <c r="H30" s="141">
        <v>36.567658191675243</v>
      </c>
      <c r="I30" s="141">
        <v>0</v>
      </c>
      <c r="J30" s="141">
        <v>110.4401040250024</v>
      </c>
      <c r="K30" s="141">
        <v>88.702851396368146</v>
      </c>
      <c r="L30" s="141">
        <v>310.69703227938527</v>
      </c>
      <c r="M30" s="141">
        <v>0</v>
      </c>
      <c r="N30" s="141">
        <v>0</v>
      </c>
      <c r="O30" s="141">
        <v>0</v>
      </c>
      <c r="P30" s="141">
        <v>0</v>
      </c>
      <c r="Q30" s="141">
        <v>86.079008874691056</v>
      </c>
      <c r="R30" s="141">
        <v>105.1917024918891</v>
      </c>
      <c r="S30" s="141">
        <v>192.16170181161846</v>
      </c>
      <c r="T30" s="141">
        <v>76.459460672521132</v>
      </c>
      <c r="U30" s="141">
        <v>68.963815375786396</v>
      </c>
      <c r="V30" s="141">
        <v>62.586703882764979</v>
      </c>
      <c r="W30" s="141">
        <v>107.16489823256165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603.05682400118576</v>
      </c>
      <c r="D31" s="141">
        <v>782.21302101730123</v>
      </c>
      <c r="E31" s="141">
        <v>628.47173857950315</v>
      </c>
      <c r="F31" s="141">
        <v>1028.7758854779822</v>
      </c>
      <c r="G31" s="141">
        <v>1036.9034593433921</v>
      </c>
      <c r="H31" s="141">
        <v>1253.9846415139709</v>
      </c>
      <c r="I31" s="141">
        <v>1030.4675968789579</v>
      </c>
      <c r="J31" s="141">
        <v>853.16980979390837</v>
      </c>
      <c r="K31" s="141">
        <v>266.88207680427564</v>
      </c>
      <c r="L31" s="141">
        <v>823.43769004190301</v>
      </c>
      <c r="M31" s="141">
        <v>690.43233080635696</v>
      </c>
      <c r="N31" s="141">
        <v>294.2890404667271</v>
      </c>
      <c r="O31" s="141">
        <v>439.19297110684994</v>
      </c>
      <c r="P31" s="141">
        <v>589.39690388241002</v>
      </c>
      <c r="Q31" s="141">
        <v>708.69749639997588</v>
      </c>
      <c r="R31" s="141">
        <v>1007.9672321906821</v>
      </c>
      <c r="S31" s="141">
        <v>1075.0460173903107</v>
      </c>
      <c r="T31" s="141">
        <v>1069.7300192449402</v>
      </c>
      <c r="U31" s="141">
        <v>999.75838701247164</v>
      </c>
      <c r="V31" s="141">
        <v>1004.3779900707133</v>
      </c>
      <c r="W31" s="141">
        <v>941.95908840834079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25.07821604337364</v>
      </c>
      <c r="D32" s="141">
        <v>32.162445654032247</v>
      </c>
      <c r="E32" s="141">
        <v>22.995198351004824</v>
      </c>
      <c r="F32" s="141">
        <v>37.855483658671837</v>
      </c>
      <c r="G32" s="141">
        <v>34.422572161909692</v>
      </c>
      <c r="H32" s="141">
        <v>42.22967476937891</v>
      </c>
      <c r="I32" s="141">
        <v>34.292467499990103</v>
      </c>
      <c r="J32" s="141">
        <v>30.282584908045578</v>
      </c>
      <c r="K32" s="141">
        <v>10.171940440996082</v>
      </c>
      <c r="L32" s="141">
        <v>34.22248159193397</v>
      </c>
      <c r="M32" s="141">
        <v>20.006803296758477</v>
      </c>
      <c r="N32" s="141">
        <v>12.303454007809485</v>
      </c>
      <c r="O32" s="141">
        <v>18.978715973629193</v>
      </c>
      <c r="P32" s="141">
        <v>29.371940757717216</v>
      </c>
      <c r="Q32" s="141">
        <v>37.592972309550177</v>
      </c>
      <c r="R32" s="141">
        <v>53.962436873372582</v>
      </c>
      <c r="S32" s="141">
        <v>59.967164021297272</v>
      </c>
      <c r="T32" s="141">
        <v>69.113470398775277</v>
      </c>
      <c r="U32" s="141">
        <v>70.557907447493989</v>
      </c>
      <c r="V32" s="141">
        <v>71.438521517762851</v>
      </c>
      <c r="W32" s="141">
        <v>57.999917357900358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752.38987890935664</v>
      </c>
      <c r="D33" s="153">
        <v>370.28274490251431</v>
      </c>
      <c r="E33" s="153">
        <v>435.69591366316496</v>
      </c>
      <c r="F33" s="153">
        <v>1578.9675816898327</v>
      </c>
      <c r="G33" s="153">
        <v>1951.0514389794321</v>
      </c>
      <c r="H33" s="153">
        <v>2957.5220433689747</v>
      </c>
      <c r="I33" s="153">
        <v>3213.0547020274871</v>
      </c>
      <c r="J33" s="153">
        <v>1621.3088356571463</v>
      </c>
      <c r="K33" s="153">
        <v>304.04761126348427</v>
      </c>
      <c r="L33" s="153">
        <v>1502.2992838282637</v>
      </c>
      <c r="M33" s="153">
        <v>1430.2016643496638</v>
      </c>
      <c r="N33" s="153">
        <v>939.32436589267115</v>
      </c>
      <c r="O33" s="153">
        <v>932.82213829876946</v>
      </c>
      <c r="P33" s="153">
        <v>1045.4662379459421</v>
      </c>
      <c r="Q33" s="153">
        <v>1173.1154161068896</v>
      </c>
      <c r="R33" s="153">
        <v>2115.2038454359758</v>
      </c>
      <c r="S33" s="153">
        <v>2141.4780490124622</v>
      </c>
      <c r="T33" s="153">
        <v>2239.8462159710107</v>
      </c>
      <c r="U33" s="153">
        <v>2019.0573905731287</v>
      </c>
      <c r="V33" s="153">
        <v>1944.033485904929</v>
      </c>
      <c r="W33" s="153">
        <v>1890.1594851092646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28.189059019790772</v>
      </c>
      <c r="D3" s="126">
        <f t="shared" si="0"/>
        <v>33.575755849628941</v>
      </c>
      <c r="E3" s="126">
        <f t="shared" si="0"/>
        <v>28.239670525948871</v>
      </c>
      <c r="F3" s="126">
        <f t="shared" si="0"/>
        <v>39.232636278714175</v>
      </c>
      <c r="G3" s="126">
        <f t="shared" si="0"/>
        <v>44.98749698652783</v>
      </c>
      <c r="H3" s="126">
        <f t="shared" si="0"/>
        <v>55.615335363534491</v>
      </c>
      <c r="I3" s="126">
        <f t="shared" si="0"/>
        <v>45.192939337241036</v>
      </c>
      <c r="J3" s="126">
        <f t="shared" si="0"/>
        <v>27.61864671320205</v>
      </c>
      <c r="K3" s="126">
        <f t="shared" si="0"/>
        <v>6.9363485681184596</v>
      </c>
      <c r="L3" s="126">
        <f t="shared" si="0"/>
        <v>28.251761745277079</v>
      </c>
      <c r="M3" s="126">
        <f t="shared" si="0"/>
        <v>20.107341018771244</v>
      </c>
      <c r="N3" s="126">
        <f t="shared" si="0"/>
        <v>11.890995270117195</v>
      </c>
      <c r="O3" s="126">
        <f t="shared" si="0"/>
        <v>12.896350785870403</v>
      </c>
      <c r="P3" s="126">
        <f t="shared" si="0"/>
        <v>13.231582192997172</v>
      </c>
      <c r="Q3" s="126">
        <f t="shared" si="0"/>
        <v>16.28927087139197</v>
      </c>
      <c r="R3" s="126">
        <f t="shared" ref="R3:W3" si="1">SUM(R4,R16,R19,R29)</f>
        <v>25.591444382627941</v>
      </c>
      <c r="S3" s="126">
        <f t="shared" si="1"/>
        <v>30.627279386456916</v>
      </c>
      <c r="T3" s="126">
        <f t="shared" si="1"/>
        <v>27.91360470502153</v>
      </c>
      <c r="U3" s="126">
        <f t="shared" si="1"/>
        <v>25.453302090857925</v>
      </c>
      <c r="V3" s="126">
        <f t="shared" si="1"/>
        <v>21.920696175942247</v>
      </c>
      <c r="W3" s="126">
        <f t="shared" si="1"/>
        <v>22.306167028933601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22.183607350091137</v>
      </c>
      <c r="D4" s="131">
        <f t="shared" si="2"/>
        <v>24.682888905490554</v>
      </c>
      <c r="E4" s="131">
        <f t="shared" si="2"/>
        <v>21.284817111571481</v>
      </c>
      <c r="F4" s="131">
        <f t="shared" si="2"/>
        <v>27.976074721220908</v>
      </c>
      <c r="G4" s="131">
        <f t="shared" si="2"/>
        <v>32.61966427182702</v>
      </c>
      <c r="H4" s="131">
        <f t="shared" si="2"/>
        <v>40.045610607896393</v>
      </c>
      <c r="I4" s="131">
        <f t="shared" si="2"/>
        <v>30.422401025079601</v>
      </c>
      <c r="J4" s="131">
        <f t="shared" si="2"/>
        <v>18.520634805246257</v>
      </c>
      <c r="K4" s="131">
        <f t="shared" si="2"/>
        <v>4.4655399786417949</v>
      </c>
      <c r="L4" s="131">
        <f t="shared" si="2"/>
        <v>18.608123290119039</v>
      </c>
      <c r="M4" s="131">
        <f t="shared" si="2"/>
        <v>12.499191446869791</v>
      </c>
      <c r="N4" s="131">
        <f t="shared" si="2"/>
        <v>7.4560667034187489</v>
      </c>
      <c r="O4" s="131">
        <f t="shared" si="2"/>
        <v>8.1068728167841009</v>
      </c>
      <c r="P4" s="131">
        <f t="shared" si="2"/>
        <v>7.3672718481029795</v>
      </c>
      <c r="Q4" s="131">
        <f t="shared" si="2"/>
        <v>9.5734918995501115</v>
      </c>
      <c r="R4" s="131">
        <f t="shared" ref="R4:W4" si="3">SUM(R5:R15)</f>
        <v>15.008179325815902</v>
      </c>
      <c r="S4" s="131">
        <f t="shared" si="3"/>
        <v>18.55129568195883</v>
      </c>
      <c r="T4" s="131">
        <f t="shared" si="3"/>
        <v>16.36291406495733</v>
      </c>
      <c r="U4" s="131">
        <f t="shared" si="3"/>
        <v>14.987872107550942</v>
      </c>
      <c r="V4" s="131">
        <f t="shared" si="3"/>
        <v>12.491613960468802</v>
      </c>
      <c r="W4" s="131">
        <f t="shared" si="3"/>
        <v>13.504008413730517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1.5097020215211535E-2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7.7479579929784439</v>
      </c>
      <c r="D7" s="133">
        <v>7.9854140927282735</v>
      </c>
      <c r="E7" s="133">
        <v>7.8516566459137245</v>
      </c>
      <c r="F7" s="133">
        <v>6.6976954274601415</v>
      </c>
      <c r="G7" s="133">
        <v>6.4409638650742922</v>
      </c>
      <c r="H7" s="133">
        <v>7.8868819024906953</v>
      </c>
      <c r="I7" s="133">
        <v>2.7528125645942567</v>
      </c>
      <c r="J7" s="133">
        <v>0</v>
      </c>
      <c r="K7" s="133">
        <v>0</v>
      </c>
      <c r="L7" s="133">
        <v>0</v>
      </c>
      <c r="M7" s="133">
        <v>0</v>
      </c>
      <c r="N7" s="133">
        <v>0</v>
      </c>
      <c r="O7" s="133">
        <v>1.4263089611552444</v>
      </c>
      <c r="P7" s="133">
        <v>1.7087224544278667</v>
      </c>
      <c r="Q7" s="133">
        <v>2.3929384432330707</v>
      </c>
      <c r="R7" s="133">
        <v>2.8780721455905867</v>
      </c>
      <c r="S7" s="133">
        <v>4.5419462257123389</v>
      </c>
      <c r="T7" s="133">
        <v>3.4406609726233883</v>
      </c>
      <c r="U7" s="133">
        <v>2.0973477436927217</v>
      </c>
      <c r="V7" s="133">
        <v>1.5861305545924975</v>
      </c>
      <c r="W7" s="133">
        <v>1.6936704455543841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6.1783317987113673E-2</v>
      </c>
      <c r="D8" s="133">
        <v>9.3297323369980964E-2</v>
      </c>
      <c r="E8" s="133">
        <v>9.5376280497649388E-2</v>
      </c>
      <c r="F8" s="133">
        <v>0.1381794966387184</v>
      </c>
      <c r="G8" s="133">
        <v>9.8684135817862895E-2</v>
      </c>
      <c r="H8" s="133">
        <v>0.12826680473986526</v>
      </c>
      <c r="I8" s="133">
        <v>7.4891462489729402E-2</v>
      </c>
      <c r="J8" s="133">
        <v>5.0076107524977757E-2</v>
      </c>
      <c r="K8" s="133">
        <v>6.686685007572358E-3</v>
      </c>
      <c r="L8" s="133">
        <v>1.1654705261956902E-2</v>
      </c>
      <c r="M8" s="133">
        <v>8.9785328088466676E-3</v>
      </c>
      <c r="N8" s="133">
        <v>6.7108648813586497E-3</v>
      </c>
      <c r="O8" s="133">
        <v>1.0244605944874256E-2</v>
      </c>
      <c r="P8" s="133">
        <v>2.7420061137348069E-2</v>
      </c>
      <c r="Q8" s="133">
        <v>3.4167408499433435E-2</v>
      </c>
      <c r="R8" s="133">
        <v>5.4969883561717177E-2</v>
      </c>
      <c r="S8" s="133">
        <v>5.9215938878619367E-2</v>
      </c>
      <c r="T8" s="133">
        <v>4.7473157978107361E-2</v>
      </c>
      <c r="U8" s="133">
        <v>3.4300598185214685E-2</v>
      </c>
      <c r="V8" s="133">
        <v>2.0297593699502646E-2</v>
      </c>
      <c r="W8" s="133">
        <v>1.8973318856045633E-2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11.563402684315342</v>
      </c>
      <c r="D9" s="133">
        <v>9.2049393852086752</v>
      </c>
      <c r="E9" s="133">
        <v>5.3296379521740134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0.52014068988142004</v>
      </c>
      <c r="L9" s="133">
        <v>3.9894670866881685</v>
      </c>
      <c r="M9" s="133">
        <v>3.2157246553647529</v>
      </c>
      <c r="N9" s="133">
        <v>3.6186690123247227</v>
      </c>
      <c r="O9" s="133">
        <v>3.4299194897056293</v>
      </c>
      <c r="P9" s="133">
        <v>2.1843771965813814</v>
      </c>
      <c r="Q9" s="133">
        <v>0.89541902433883325</v>
      </c>
      <c r="R9" s="133">
        <v>3.0915820996304788</v>
      </c>
      <c r="S9" s="133">
        <v>2.4909712381822215</v>
      </c>
      <c r="T9" s="133">
        <v>1.4771184990871931</v>
      </c>
      <c r="U9" s="133">
        <v>1.7821879491943549</v>
      </c>
      <c r="V9" s="133">
        <v>0</v>
      </c>
      <c r="W9" s="133">
        <v>1.6607131829170203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0.33027369051761574</v>
      </c>
      <c r="D10" s="133">
        <v>1.0473733115592179</v>
      </c>
      <c r="E10" s="133">
        <v>1.0149111603753016</v>
      </c>
      <c r="F10" s="133">
        <v>1.7658014684935328</v>
      </c>
      <c r="G10" s="133">
        <v>0.75152513141067889</v>
      </c>
      <c r="H10" s="133">
        <v>1.2605546388367743</v>
      </c>
      <c r="I10" s="133">
        <v>1.2448868104941275</v>
      </c>
      <c r="J10" s="133">
        <v>0.36140096609223743</v>
      </c>
      <c r="K10" s="133">
        <v>0.29632068656609278</v>
      </c>
      <c r="L10" s="133">
        <v>0.8151168426661356</v>
      </c>
      <c r="M10" s="133">
        <v>8.5426921212383905E-2</v>
      </c>
      <c r="N10" s="133">
        <v>0</v>
      </c>
      <c r="O10" s="133">
        <v>0.26511600724540391</v>
      </c>
      <c r="P10" s="133">
        <v>0.20007872364856372</v>
      </c>
      <c r="Q10" s="133">
        <v>1.1846519230099397</v>
      </c>
      <c r="R10" s="133">
        <v>0.67161557235260183</v>
      </c>
      <c r="S10" s="133">
        <v>2.6350109384510061</v>
      </c>
      <c r="T10" s="133">
        <v>1.9018616473724599</v>
      </c>
      <c r="U10" s="133">
        <v>1.5712182418657745</v>
      </c>
      <c r="V10" s="133">
        <v>1.0125719209856516</v>
      </c>
      <c r="W10" s="133">
        <v>0.82438993041827813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6.4595730342799848E-2</v>
      </c>
      <c r="D11" s="133">
        <v>0.17431388348146962</v>
      </c>
      <c r="E11" s="133">
        <v>7.6728640834366627E-3</v>
      </c>
      <c r="F11" s="133">
        <v>9.2458387499195591E-2</v>
      </c>
      <c r="G11" s="133">
        <v>0.11670593964683289</v>
      </c>
      <c r="H11" s="133">
        <v>0.14913128790350261</v>
      </c>
      <c r="I11" s="133">
        <v>0.17496089247692068</v>
      </c>
      <c r="J11" s="133">
        <v>0.14555481502979548</v>
      </c>
      <c r="K11" s="133">
        <v>5.6186536062505607E-2</v>
      </c>
      <c r="L11" s="133">
        <v>0.14472395701981167</v>
      </c>
      <c r="M11" s="133">
        <v>8.179205519321972E-2</v>
      </c>
      <c r="N11" s="133">
        <v>6.7072958869062921E-2</v>
      </c>
      <c r="O11" s="133">
        <v>4.0779521960570754E-2</v>
      </c>
      <c r="P11" s="133">
        <v>3.1747976526216866E-2</v>
      </c>
      <c r="Q11" s="133">
        <v>0.116813354407583</v>
      </c>
      <c r="R11" s="133">
        <v>0.18703657583698718</v>
      </c>
      <c r="S11" s="133">
        <v>0.42672934881609631</v>
      </c>
      <c r="T11" s="133">
        <v>0.20735243931013056</v>
      </c>
      <c r="U11" s="133">
        <v>9.9287566206871999E-2</v>
      </c>
      <c r="V11" s="133">
        <v>9.9362842383070485E-2</v>
      </c>
      <c r="W11" s="133">
        <v>7.2871654260118129E-2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1.8734179585569721</v>
      </c>
      <c r="D12" s="133">
        <v>5.0166330776930366</v>
      </c>
      <c r="E12" s="133">
        <v>5.6091039248063446</v>
      </c>
      <c r="F12" s="133">
        <v>13.117512218065022</v>
      </c>
      <c r="G12" s="133">
        <v>15.855551286658239</v>
      </c>
      <c r="H12" s="133">
        <v>20.214473625757442</v>
      </c>
      <c r="I12" s="133">
        <v>18.609622731414504</v>
      </c>
      <c r="J12" s="133">
        <v>14.345031462359067</v>
      </c>
      <c r="K12" s="133">
        <v>3.300911145233667</v>
      </c>
      <c r="L12" s="133">
        <v>11.143714040489312</v>
      </c>
      <c r="M12" s="133">
        <v>7.0992489400799599</v>
      </c>
      <c r="N12" s="133">
        <v>2.1128651344901801</v>
      </c>
      <c r="O12" s="133">
        <v>1.5785957249297078</v>
      </c>
      <c r="P12" s="133">
        <v>2.22647724305964</v>
      </c>
      <c r="Q12" s="133">
        <v>4.1812889232744928</v>
      </c>
      <c r="R12" s="133">
        <v>7.1046971737411928</v>
      </c>
      <c r="S12" s="133">
        <v>6.8936677143597551</v>
      </c>
      <c r="T12" s="133">
        <v>5.6838646757005646</v>
      </c>
      <c r="U12" s="133">
        <v>6.5662127699600141</v>
      </c>
      <c r="V12" s="133">
        <v>7.2365426295093238</v>
      </c>
      <c r="W12" s="133">
        <v>7.2643751968790902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0.30264527648127215</v>
      </c>
      <c r="D13" s="133">
        <v>0.93227707628844037</v>
      </c>
      <c r="E13" s="133">
        <v>1.0108886350289372</v>
      </c>
      <c r="F13" s="133">
        <v>1.8809580134307404</v>
      </c>
      <c r="G13" s="133">
        <v>1.8947526025030239</v>
      </c>
      <c r="H13" s="133">
        <v>2.432937463822046</v>
      </c>
      <c r="I13" s="133">
        <v>2.0262173015823062</v>
      </c>
      <c r="J13" s="133">
        <v>1.5088632096311347</v>
      </c>
      <c r="K13" s="133">
        <v>0.2647669864571488</v>
      </c>
      <c r="L13" s="133">
        <v>0.75276539305647105</v>
      </c>
      <c r="M13" s="133">
        <v>0.89443653127203948</v>
      </c>
      <c r="N13" s="133">
        <v>0.56767792563845831</v>
      </c>
      <c r="O13" s="133">
        <v>0.62422356088450204</v>
      </c>
      <c r="P13" s="133">
        <v>0.9311650173933872</v>
      </c>
      <c r="Q13" s="133">
        <v>0.70637571172999181</v>
      </c>
      <c r="R13" s="133">
        <v>0.91497486751594281</v>
      </c>
      <c r="S13" s="133">
        <v>1.0244938219560853</v>
      </c>
      <c r="T13" s="133">
        <v>1.0186836535537858</v>
      </c>
      <c r="U13" s="133">
        <v>0.79133166899531271</v>
      </c>
      <c r="V13" s="133">
        <v>0.5330543780317768</v>
      </c>
      <c r="W13" s="133">
        <v>0.4796778148699416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0.18642924889531362</v>
      </c>
      <c r="F14" s="65">
        <v>4.1485734014245921</v>
      </c>
      <c r="G14" s="65">
        <v>7.3253871508097026</v>
      </c>
      <c r="H14" s="65">
        <v>7.803255419764362</v>
      </c>
      <c r="I14" s="65">
        <v>5.4306805691665767</v>
      </c>
      <c r="J14" s="65">
        <v>2.0522303618845874</v>
      </c>
      <c r="K14" s="65">
        <v>0</v>
      </c>
      <c r="L14" s="65">
        <v>1.6558543882750301</v>
      </c>
      <c r="M14" s="65">
        <v>1.0471106095691343</v>
      </c>
      <c r="N14" s="65">
        <v>1.0302305522679696</v>
      </c>
      <c r="O14" s="65">
        <v>0.65014471207665736</v>
      </c>
      <c r="P14" s="65">
        <v>0</v>
      </c>
      <c r="Q14" s="65">
        <v>0</v>
      </c>
      <c r="R14" s="65">
        <v>0</v>
      </c>
      <c r="S14" s="65">
        <v>0.35219950857518229</v>
      </c>
      <c r="T14" s="65">
        <v>2.493980504092399</v>
      </c>
      <c r="U14" s="65">
        <v>1.9649534398755777</v>
      </c>
      <c r="V14" s="65">
        <v>1.9522658832748245</v>
      </c>
      <c r="W14" s="65">
        <v>1.4153572345166898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0.2395306989115846</v>
      </c>
      <c r="D15" s="135">
        <v>0.22864075516146021</v>
      </c>
      <c r="E15" s="135">
        <v>0.17914039979676072</v>
      </c>
      <c r="F15" s="135">
        <v>0.13489630820896384</v>
      </c>
      <c r="G15" s="135">
        <v>0.13609415990638557</v>
      </c>
      <c r="H15" s="135">
        <v>0.17010946458170767</v>
      </c>
      <c r="I15" s="135">
        <v>0.10832869286118241</v>
      </c>
      <c r="J15" s="135">
        <v>5.7477882724458432E-2</v>
      </c>
      <c r="K15" s="135">
        <v>2.0527249433388087E-2</v>
      </c>
      <c r="L15" s="135">
        <v>9.482687666214859E-2</v>
      </c>
      <c r="M15" s="135">
        <v>6.6473201369454948E-2</v>
      </c>
      <c r="N15" s="135">
        <v>5.2840254946996248E-2</v>
      </c>
      <c r="O15" s="135">
        <v>6.6443212666297852E-2</v>
      </c>
      <c r="P15" s="135">
        <v>5.7283175328575901E-2</v>
      </c>
      <c r="Q15" s="135">
        <v>6.1837111056768194E-2</v>
      </c>
      <c r="R15" s="135">
        <v>0.10523100758639539</v>
      </c>
      <c r="S15" s="135">
        <v>0.12706094702752679</v>
      </c>
      <c r="T15" s="135">
        <v>9.1918515239298129E-2</v>
      </c>
      <c r="U15" s="135">
        <v>8.1032129575101572E-2</v>
      </c>
      <c r="V15" s="135">
        <v>5.1388157992155833E-2</v>
      </c>
      <c r="W15" s="135">
        <v>7.3979635458950629E-2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1.2303626606901676</v>
      </c>
      <c r="D16" s="131">
        <f t="shared" si="4"/>
        <v>1.5635323555110952</v>
      </c>
      <c r="E16" s="131">
        <f t="shared" si="4"/>
        <v>1.3397815274419484</v>
      </c>
      <c r="F16" s="131">
        <f t="shared" si="4"/>
        <v>1.9824070308919011</v>
      </c>
      <c r="G16" s="131">
        <f t="shared" si="4"/>
        <v>2.0560963195366417</v>
      </c>
      <c r="H16" s="131">
        <f t="shared" si="4"/>
        <v>2.7008105575074826</v>
      </c>
      <c r="I16" s="131">
        <f t="shared" si="4"/>
        <v>2.5963515061089164</v>
      </c>
      <c r="J16" s="131">
        <f t="shared" si="4"/>
        <v>1.4843439166534562</v>
      </c>
      <c r="K16" s="131">
        <f t="shared" si="4"/>
        <v>0.37116883692435382</v>
      </c>
      <c r="L16" s="131">
        <f t="shared" si="4"/>
        <v>1.4692862112226883</v>
      </c>
      <c r="M16" s="131">
        <f t="shared" si="4"/>
        <v>1.1110455047008523</v>
      </c>
      <c r="N16" s="131">
        <f t="shared" si="4"/>
        <v>0.64272946747074777</v>
      </c>
      <c r="O16" s="131">
        <f t="shared" si="4"/>
        <v>0.72611091210479395</v>
      </c>
      <c r="P16" s="131">
        <f t="shared" si="4"/>
        <v>0.73008989123466472</v>
      </c>
      <c r="Q16" s="131">
        <f t="shared" si="4"/>
        <v>0.98696241713204991</v>
      </c>
      <c r="R16" s="131">
        <f t="shared" ref="R16:W16" si="5">SUM(R17:R18)</f>
        <v>1.3614414118490823</v>
      </c>
      <c r="S16" s="131">
        <f t="shared" si="5"/>
        <v>1.5199471051331641</v>
      </c>
      <c r="T16" s="131">
        <f t="shared" si="5"/>
        <v>1.4638447985900449</v>
      </c>
      <c r="U16" s="131">
        <f t="shared" si="5"/>
        <v>1.3613303412176994</v>
      </c>
      <c r="V16" s="131">
        <f t="shared" si="5"/>
        <v>1.1829397285049976</v>
      </c>
      <c r="W16" s="131">
        <f t="shared" si="5"/>
        <v>1.1603506818669764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3.9341777930288462E-3</v>
      </c>
      <c r="D17" s="133">
        <v>7.3109536274197163E-3</v>
      </c>
      <c r="E17" s="133">
        <v>3.7361978465733194E-3</v>
      </c>
      <c r="F17" s="133">
        <v>1.5681274011556164E-2</v>
      </c>
      <c r="G17" s="133">
        <v>1.1749133442824246E-2</v>
      </c>
      <c r="H17" s="133">
        <v>1.4603815158695729E-2</v>
      </c>
      <c r="I17" s="133">
        <v>2.2796272234608086E-2</v>
      </c>
      <c r="J17" s="133">
        <v>1.3417899680460203E-2</v>
      </c>
      <c r="K17" s="133">
        <v>6.9011463733726231E-3</v>
      </c>
      <c r="L17" s="133">
        <v>1.3932677550960353E-2</v>
      </c>
      <c r="M17" s="133">
        <v>1.274364144045325E-2</v>
      </c>
      <c r="N17" s="133">
        <v>1.002114739748655E-2</v>
      </c>
      <c r="O17" s="133">
        <v>1.2269628895294132E-2</v>
      </c>
      <c r="P17" s="133">
        <v>1.5085563643401688E-2</v>
      </c>
      <c r="Q17" s="133">
        <v>2.2162100380347192E-2</v>
      </c>
      <c r="R17" s="133">
        <v>2.4067861498993821E-2</v>
      </c>
      <c r="S17" s="133">
        <v>4.0212179936216681E-2</v>
      </c>
      <c r="T17" s="133">
        <v>3.3356177026479444E-2</v>
      </c>
      <c r="U17" s="133">
        <v>4.4477478025274263E-2</v>
      </c>
      <c r="V17" s="133">
        <v>2.0866724585004479E-2</v>
      </c>
      <c r="W17" s="133">
        <v>2.6463507952598154E-2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1.2264284828971388</v>
      </c>
      <c r="D18" s="133">
        <v>1.5562214018836755</v>
      </c>
      <c r="E18" s="133">
        <v>1.3360453295953751</v>
      </c>
      <c r="F18" s="133">
        <v>1.9667257568803449</v>
      </c>
      <c r="G18" s="133">
        <v>2.0443471860938174</v>
      </c>
      <c r="H18" s="133">
        <v>2.6862067423487868</v>
      </c>
      <c r="I18" s="133">
        <v>2.5735552338743082</v>
      </c>
      <c r="J18" s="133">
        <v>1.4709260169729961</v>
      </c>
      <c r="K18" s="133">
        <v>0.36426769055098118</v>
      </c>
      <c r="L18" s="133">
        <v>1.455353533671728</v>
      </c>
      <c r="M18" s="133">
        <v>1.0983018632603991</v>
      </c>
      <c r="N18" s="133">
        <v>0.63270832007326128</v>
      </c>
      <c r="O18" s="133">
        <v>0.7138412832094998</v>
      </c>
      <c r="P18" s="133">
        <v>0.71500432759126309</v>
      </c>
      <c r="Q18" s="133">
        <v>0.96480031675170275</v>
      </c>
      <c r="R18" s="133">
        <v>1.3373735503500885</v>
      </c>
      <c r="S18" s="133">
        <v>1.4797349251969474</v>
      </c>
      <c r="T18" s="133">
        <v>1.4304886215635655</v>
      </c>
      <c r="U18" s="133">
        <v>1.316852863192425</v>
      </c>
      <c r="V18" s="133">
        <v>1.1620730039199931</v>
      </c>
      <c r="W18" s="133">
        <v>1.1338871739143783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2.4530087816473394</v>
      </c>
      <c r="D19" s="131">
        <f t="shared" si="6"/>
        <v>3.489160511950161</v>
      </c>
      <c r="E19" s="131">
        <f t="shared" si="6"/>
        <v>2.5550447686323565</v>
      </c>
      <c r="F19" s="131">
        <f t="shared" si="6"/>
        <v>4.5657408549286149</v>
      </c>
      <c r="G19" s="131">
        <f t="shared" si="6"/>
        <v>5.4022556237784602</v>
      </c>
      <c r="H19" s="131">
        <f t="shared" si="6"/>
        <v>6.8575546305109194</v>
      </c>
      <c r="I19" s="131">
        <f t="shared" si="6"/>
        <v>6.1787010152749087</v>
      </c>
      <c r="J19" s="131">
        <f t="shared" si="6"/>
        <v>3.7756600247055765</v>
      </c>
      <c r="K19" s="131">
        <f t="shared" si="6"/>
        <v>1.071590452014622</v>
      </c>
      <c r="L19" s="131">
        <f t="shared" si="6"/>
        <v>4.1406919568464975</v>
      </c>
      <c r="M19" s="131">
        <f t="shared" si="6"/>
        <v>3.5227330405010986</v>
      </c>
      <c r="N19" s="131">
        <f t="shared" si="6"/>
        <v>1.9169171535064153</v>
      </c>
      <c r="O19" s="131">
        <f t="shared" si="6"/>
        <v>2.0062176802540148</v>
      </c>
      <c r="P19" s="131">
        <f t="shared" si="6"/>
        <v>2.6594876340709885</v>
      </c>
      <c r="Q19" s="131">
        <f t="shared" si="6"/>
        <v>2.7313481566316233</v>
      </c>
      <c r="R19" s="131">
        <f t="shared" ref="R19:W19" si="7">SUM(R20:R27)</f>
        <v>4.4551244769608536</v>
      </c>
      <c r="S19" s="131">
        <f t="shared" si="7"/>
        <v>5.4422417692596703</v>
      </c>
      <c r="T19" s="131">
        <f t="shared" si="7"/>
        <v>5.1777060508343649</v>
      </c>
      <c r="U19" s="131">
        <f t="shared" si="7"/>
        <v>4.643449602130949</v>
      </c>
      <c r="V19" s="131">
        <f t="shared" si="7"/>
        <v>4.1162470136131084</v>
      </c>
      <c r="W19" s="131">
        <f t="shared" si="7"/>
        <v>3.5370828900852689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0.15031849307063069</v>
      </c>
      <c r="D21" s="133">
        <v>0.40998475810078777</v>
      </c>
      <c r="E21" s="133">
        <v>0.26147221094541229</v>
      </c>
      <c r="F21" s="133">
        <v>0.42220368985460388</v>
      </c>
      <c r="G21" s="133">
        <v>0.36889706692945234</v>
      </c>
      <c r="H21" s="133">
        <v>0.40382763750708778</v>
      </c>
      <c r="I21" s="133">
        <v>0.1865600029992385</v>
      </c>
      <c r="J21" s="133">
        <v>0</v>
      </c>
      <c r="K21" s="133">
        <v>2.4514923078887547E-2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0.33383975484660244</v>
      </c>
      <c r="D22" s="133">
        <v>0.6885393936551093</v>
      </c>
      <c r="E22" s="133">
        <v>0.25847128098952132</v>
      </c>
      <c r="F22" s="133">
        <v>0.62815531659254709</v>
      </c>
      <c r="G22" s="133">
        <v>0.3685653449738997</v>
      </c>
      <c r="H22" s="133">
        <v>0.55267001707491092</v>
      </c>
      <c r="I22" s="133">
        <v>0.25673702313775454</v>
      </c>
      <c r="J22" s="133">
        <v>0.10889778905490961</v>
      </c>
      <c r="K22" s="133">
        <v>0.10119111028844514</v>
      </c>
      <c r="L22" s="133">
        <v>9.0523895134071844E-2</v>
      </c>
      <c r="M22" s="133">
        <v>0.14003414828115446</v>
      </c>
      <c r="N22" s="133">
        <v>8.3310942562820761E-2</v>
      </c>
      <c r="O22" s="133">
        <v>0.24575306471727884</v>
      </c>
      <c r="P22" s="133">
        <v>0</v>
      </c>
      <c r="Q22" s="133">
        <v>0.13851326570368422</v>
      </c>
      <c r="R22" s="133">
        <v>0.352939761931022</v>
      </c>
      <c r="S22" s="133">
        <v>0.38998049892297681</v>
      </c>
      <c r="T22" s="133">
        <v>0.30598567934716869</v>
      </c>
      <c r="U22" s="133">
        <v>0.3977250170566517</v>
      </c>
      <c r="V22" s="133">
        <v>0.16718023677094015</v>
      </c>
      <c r="W22" s="133">
        <v>0.32599367326090772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0.14975432794454613</v>
      </c>
      <c r="D23" s="133">
        <v>0.36311475025527895</v>
      </c>
      <c r="E23" s="133">
        <v>0.17719389996840515</v>
      </c>
      <c r="F23" s="133">
        <v>0.47654555361456236</v>
      </c>
      <c r="G23" s="133">
        <v>0.5033842966711447</v>
      </c>
      <c r="H23" s="133">
        <v>0.59229748469457666</v>
      </c>
      <c r="I23" s="133">
        <v>0.57299049175787631</v>
      </c>
      <c r="J23" s="133">
        <v>0.29586458119804654</v>
      </c>
      <c r="K23" s="133">
        <v>0.10870450709050734</v>
      </c>
      <c r="L23" s="133">
        <v>0.27139798395592712</v>
      </c>
      <c r="M23" s="133">
        <v>0.22149127168402977</v>
      </c>
      <c r="N23" s="133">
        <v>0.12624976554840661</v>
      </c>
      <c r="O23" s="133">
        <v>0.27887726493368192</v>
      </c>
      <c r="P23" s="133">
        <v>0.20504746562233175</v>
      </c>
      <c r="Q23" s="133">
        <v>0.37726014437240962</v>
      </c>
      <c r="R23" s="133">
        <v>0.57361008657618606</v>
      </c>
      <c r="S23" s="133">
        <v>0.39162956766280532</v>
      </c>
      <c r="T23" s="133">
        <v>0.36826173973489801</v>
      </c>
      <c r="U23" s="133">
        <v>0.54333445310282791</v>
      </c>
      <c r="V23" s="133">
        <v>0.32273424370581649</v>
      </c>
      <c r="W23" s="133">
        <v>0.48197651574087835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3.6729074202016196E-2</v>
      </c>
      <c r="D24" s="133">
        <v>8.5006986711641336E-2</v>
      </c>
      <c r="E24" s="133">
        <v>3.5743669336424311E-2</v>
      </c>
      <c r="F24" s="133">
        <v>0.10754809216076046</v>
      </c>
      <c r="G24" s="133">
        <v>0.10938799975783364</v>
      </c>
      <c r="H24" s="133">
        <v>0.13169339173428896</v>
      </c>
      <c r="I24" s="133">
        <v>0.12087256217304573</v>
      </c>
      <c r="J24" s="133">
        <v>6.721922937375803E-2</v>
      </c>
      <c r="K24" s="133">
        <v>2.5645136837365485E-2</v>
      </c>
      <c r="L24" s="133">
        <v>7.0091612547256141E-2</v>
      </c>
      <c r="M24" s="133">
        <v>5.8993213491262797E-2</v>
      </c>
      <c r="N24" s="133">
        <v>3.3666022906679076E-2</v>
      </c>
      <c r="O24" s="133">
        <v>6.9410955780028802E-2</v>
      </c>
      <c r="P24" s="133">
        <v>5.6489294348550809E-2</v>
      </c>
      <c r="Q24" s="133">
        <v>9.8202803634261981E-2</v>
      </c>
      <c r="R24" s="133">
        <v>0.14247888426887823</v>
      </c>
      <c r="S24" s="133">
        <v>0.10323963814042947</v>
      </c>
      <c r="T24" s="133">
        <v>9.4897717485719651E-2</v>
      </c>
      <c r="U24" s="133">
        <v>0.14759441055234163</v>
      </c>
      <c r="V24" s="133">
        <v>7.8763463070444184E-2</v>
      </c>
      <c r="W24" s="133">
        <v>0.11978176061154838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0.33367738019551685</v>
      </c>
      <c r="D25" s="133">
        <v>0.66755583433311749</v>
      </c>
      <c r="E25" s="133">
        <v>0.24751562427986012</v>
      </c>
      <c r="F25" s="133">
        <v>0.91511551044019424</v>
      </c>
      <c r="G25" s="133">
        <v>1.3166989202240413</v>
      </c>
      <c r="H25" s="133">
        <v>2.0798412032180402</v>
      </c>
      <c r="I25" s="133">
        <v>3.2049628969641697</v>
      </c>
      <c r="J25" s="133">
        <v>1.7106215615769225</v>
      </c>
      <c r="K25" s="133">
        <v>0.56223671615709458</v>
      </c>
      <c r="L25" s="133">
        <v>1.3134544168710551</v>
      </c>
      <c r="M25" s="133">
        <v>0.9462924465048147</v>
      </c>
      <c r="N25" s="133">
        <v>0.42386429099832823</v>
      </c>
      <c r="O25" s="133">
        <v>0.82578289951954076</v>
      </c>
      <c r="P25" s="133">
        <v>0.30162474883681134</v>
      </c>
      <c r="Q25" s="133">
        <v>1.1633276529843177</v>
      </c>
      <c r="R25" s="133">
        <v>1.7881156908249827</v>
      </c>
      <c r="S25" s="133">
        <v>1.2156582105398521</v>
      </c>
      <c r="T25" s="133">
        <v>1.3552891420699595</v>
      </c>
      <c r="U25" s="133">
        <v>2.1421822457376827</v>
      </c>
      <c r="V25" s="133">
        <v>1.0918210702038615</v>
      </c>
      <c r="W25" s="133">
        <v>1.6791867808121228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0.36747332375385516</v>
      </c>
      <c r="D26" s="65">
        <v>0.45924844436150181</v>
      </c>
      <c r="E26" s="65">
        <v>0.3432898423481191</v>
      </c>
      <c r="F26" s="65">
        <v>0.6181929410631507</v>
      </c>
      <c r="G26" s="65">
        <v>2.7353219952220771</v>
      </c>
      <c r="H26" s="65">
        <v>3.097224896282015</v>
      </c>
      <c r="I26" s="65">
        <v>0.17596011506312256</v>
      </c>
      <c r="J26" s="65">
        <v>2.086387561611185E-3</v>
      </c>
      <c r="K26" s="65">
        <v>0.24929805856232196</v>
      </c>
      <c r="L26" s="65">
        <v>1.6314364878907458E-3</v>
      </c>
      <c r="M26" s="65">
        <v>4.3291075940525619E-3</v>
      </c>
      <c r="N26" s="65">
        <v>5.3531399626210079E-3</v>
      </c>
      <c r="O26" s="65">
        <v>0.58639349530348472</v>
      </c>
      <c r="P26" s="65">
        <v>1.2397943325781926E-2</v>
      </c>
      <c r="Q26" s="65">
        <v>0.95404428993695001</v>
      </c>
      <c r="R26" s="65">
        <v>1.5979800533597845</v>
      </c>
      <c r="S26" s="65">
        <v>1.3240715979427118E-2</v>
      </c>
      <c r="T26" s="65">
        <v>8.2672464509655295E-3</v>
      </c>
      <c r="U26" s="65">
        <v>8.2518286839848003E-3</v>
      </c>
      <c r="V26" s="65">
        <v>1.1339224461300517E-2</v>
      </c>
      <c r="W26" s="65">
        <v>0.93014415965981134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1.081216427634172</v>
      </c>
      <c r="D27" s="148">
        <v>0.81571034453272429</v>
      </c>
      <c r="E27" s="148">
        <v>1.2313582407646142</v>
      </c>
      <c r="F27" s="148">
        <v>1.3979797512027967</v>
      </c>
      <c r="G27" s="148">
        <v>1.1296446927039566E-14</v>
      </c>
      <c r="H27" s="148">
        <v>0</v>
      </c>
      <c r="I27" s="148">
        <v>1.6606179231797014</v>
      </c>
      <c r="J27" s="148">
        <v>1.5909704759403289</v>
      </c>
      <c r="K27" s="148">
        <v>0</v>
      </c>
      <c r="L27" s="148">
        <v>2.393592611850297</v>
      </c>
      <c r="M27" s="148">
        <v>2.1515928529457842</v>
      </c>
      <c r="N27" s="148">
        <v>1.2444729915275596</v>
      </c>
      <c r="O27" s="148">
        <v>0</v>
      </c>
      <c r="P27" s="148">
        <v>2.0839281819375128</v>
      </c>
      <c r="Q27" s="148">
        <v>0</v>
      </c>
      <c r="R27" s="148">
        <v>0</v>
      </c>
      <c r="S27" s="148">
        <v>3.32849313801418</v>
      </c>
      <c r="T27" s="148">
        <v>3.0450045257456537</v>
      </c>
      <c r="U27" s="148">
        <v>1.40436164699746</v>
      </c>
      <c r="V27" s="148">
        <v>2.4444087754007455</v>
      </c>
      <c r="W27" s="148">
        <v>0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2.3220802273621244</v>
      </c>
      <c r="D29" s="131">
        <f t="shared" si="8"/>
        <v>3.8401740766771266</v>
      </c>
      <c r="E29" s="131">
        <f t="shared" si="8"/>
        <v>3.0600271183030832</v>
      </c>
      <c r="F29" s="131">
        <f t="shared" si="8"/>
        <v>4.7084136716727514</v>
      </c>
      <c r="G29" s="131">
        <f t="shared" si="8"/>
        <v>4.9094807713857085</v>
      </c>
      <c r="H29" s="131">
        <f t="shared" si="8"/>
        <v>6.0113595676197011</v>
      </c>
      <c r="I29" s="131">
        <f t="shared" si="8"/>
        <v>5.9954857907776073</v>
      </c>
      <c r="J29" s="131">
        <f t="shared" si="8"/>
        <v>3.8380079665967619</v>
      </c>
      <c r="K29" s="131">
        <f t="shared" si="8"/>
        <v>1.0280493005376892</v>
      </c>
      <c r="L29" s="131">
        <f t="shared" si="8"/>
        <v>4.033660287088856</v>
      </c>
      <c r="M29" s="131">
        <f t="shared" si="8"/>
        <v>2.9743710266995009</v>
      </c>
      <c r="N29" s="131">
        <f t="shared" si="8"/>
        <v>1.8752819457212841</v>
      </c>
      <c r="O29" s="131">
        <f t="shared" si="8"/>
        <v>2.0571493767274949</v>
      </c>
      <c r="P29" s="131">
        <f t="shared" si="8"/>
        <v>2.4747328195885392</v>
      </c>
      <c r="Q29" s="131">
        <f t="shared" si="8"/>
        <v>2.9974683980781869</v>
      </c>
      <c r="R29" s="131">
        <f t="shared" ref="R29:W29" si="9">SUM(R30:R33)</f>
        <v>4.7666991680021038</v>
      </c>
      <c r="S29" s="131">
        <f t="shared" si="9"/>
        <v>5.1137948301052516</v>
      </c>
      <c r="T29" s="131">
        <f t="shared" si="9"/>
        <v>4.909139790639788</v>
      </c>
      <c r="U29" s="131">
        <f t="shared" si="9"/>
        <v>4.4606500399583338</v>
      </c>
      <c r="V29" s="131">
        <f t="shared" si="9"/>
        <v>4.1298954733553384</v>
      </c>
      <c r="W29" s="131">
        <f t="shared" si="9"/>
        <v>4.1047250432508378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0.30296937977601279</v>
      </c>
      <c r="D30" s="133">
        <v>2.0170873144709223</v>
      </c>
      <c r="E30" s="133">
        <v>1.4037511259059443</v>
      </c>
      <c r="F30" s="133">
        <v>1.0742104263712755</v>
      </c>
      <c r="G30" s="133">
        <v>0.4999126417000459</v>
      </c>
      <c r="H30" s="133">
        <v>6.8568960438333895E-2</v>
      </c>
      <c r="I30" s="133">
        <v>0</v>
      </c>
      <c r="J30" s="133">
        <v>0.12925823507783685</v>
      </c>
      <c r="K30" s="133">
        <v>0.12974419797058334</v>
      </c>
      <c r="L30" s="133">
        <v>0.75709401001749566</v>
      </c>
      <c r="M30" s="133">
        <v>0</v>
      </c>
      <c r="N30" s="133">
        <v>0</v>
      </c>
      <c r="O30" s="133">
        <v>0</v>
      </c>
      <c r="P30" s="133">
        <v>0</v>
      </c>
      <c r="Q30" s="133">
        <v>0.13975733975622961</v>
      </c>
      <c r="R30" s="133">
        <v>0.12554681673554247</v>
      </c>
      <c r="S30" s="133">
        <v>0.42089363415068953</v>
      </c>
      <c r="T30" s="133">
        <v>0.13448456616016768</v>
      </c>
      <c r="U30" s="133">
        <v>0.12022966807585865</v>
      </c>
      <c r="V30" s="133">
        <v>0.10122013366148574</v>
      </c>
      <c r="W30" s="133">
        <v>0.18925576359778629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0.9760667666262548</v>
      </c>
      <c r="D31" s="133">
        <v>1.3162195091955982</v>
      </c>
      <c r="E31" s="133">
        <v>1.0716074615303233</v>
      </c>
      <c r="F31" s="133">
        <v>1.7973345910692933</v>
      </c>
      <c r="G31" s="133">
        <v>1.8015330630881941</v>
      </c>
      <c r="H31" s="133">
        <v>2.1488155964072631</v>
      </c>
      <c r="I31" s="133">
        <v>1.74268587026624</v>
      </c>
      <c r="J31" s="133">
        <v>1.4426069060913727</v>
      </c>
      <c r="K31" s="133">
        <v>0.46247550029911277</v>
      </c>
      <c r="L31" s="133">
        <v>1.4385620789385327</v>
      </c>
      <c r="M31" s="133">
        <v>1.2069678971393532</v>
      </c>
      <c r="N31" s="133">
        <v>0.51488126310330462</v>
      </c>
      <c r="O31" s="133">
        <v>0.7696703181558836</v>
      </c>
      <c r="P31" s="133">
        <v>1.0425767787124844</v>
      </c>
      <c r="Q31" s="133">
        <v>1.2545445431997118</v>
      </c>
      <c r="R31" s="133">
        <v>1.7729052007430952</v>
      </c>
      <c r="S31" s="133">
        <v>1.8701185661843649</v>
      </c>
      <c r="T31" s="133">
        <v>1.8464634204222663</v>
      </c>
      <c r="U31" s="133">
        <v>1.7553231293876455</v>
      </c>
      <c r="V31" s="133">
        <v>1.6217526222148202</v>
      </c>
      <c r="W31" s="133">
        <v>1.531283995260128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4.239437201579907E-2</v>
      </c>
      <c r="D32" s="133">
        <v>5.8373664091132323E-2</v>
      </c>
      <c r="E32" s="133">
        <v>4.2092355259958643E-2</v>
      </c>
      <c r="F32" s="133">
        <v>7.1023303903265209E-2</v>
      </c>
      <c r="G32" s="133">
        <v>6.3738305251638525E-2</v>
      </c>
      <c r="H32" s="133">
        <v>7.7187469909674067E-2</v>
      </c>
      <c r="I32" s="133">
        <v>6.2241875125902506E-2</v>
      </c>
      <c r="J32" s="133">
        <v>5.441319040691299E-2</v>
      </c>
      <c r="K32" s="133">
        <v>1.8244445180463448E-2</v>
      </c>
      <c r="L32" s="133">
        <v>6.4447481083707486E-2</v>
      </c>
      <c r="M32" s="133">
        <v>3.6516940492468224E-2</v>
      </c>
      <c r="N32" s="133">
        <v>2.3086624261413214E-2</v>
      </c>
      <c r="O32" s="133">
        <v>3.4795200152032878E-2</v>
      </c>
      <c r="P32" s="133">
        <v>5.4677287451790513E-2</v>
      </c>
      <c r="Q32" s="133">
        <v>7.1968035448857923E-2</v>
      </c>
      <c r="R32" s="133">
        <v>0.10107604782106827</v>
      </c>
      <c r="S32" s="133">
        <v>0.1098948687206279</v>
      </c>
      <c r="T32" s="133">
        <v>0.12584470108940646</v>
      </c>
      <c r="U32" s="133">
        <v>0.13007309810875287</v>
      </c>
      <c r="V32" s="133">
        <v>0.13018844636364746</v>
      </c>
      <c r="W32" s="133">
        <v>0.10377241399531997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1.0006497089440576</v>
      </c>
      <c r="D33" s="68">
        <v>0.44849358891947411</v>
      </c>
      <c r="E33" s="68">
        <v>0.54257617560685711</v>
      </c>
      <c r="F33" s="68">
        <v>1.7658453503289173</v>
      </c>
      <c r="G33" s="68">
        <v>2.54429676134583</v>
      </c>
      <c r="H33" s="68">
        <v>3.7167875408644306</v>
      </c>
      <c r="I33" s="68">
        <v>4.1905580453854645</v>
      </c>
      <c r="J33" s="68">
        <v>2.2117296350206397</v>
      </c>
      <c r="K33" s="68">
        <v>0.41758515708752969</v>
      </c>
      <c r="L33" s="68">
        <v>1.7735567170491202</v>
      </c>
      <c r="M33" s="68">
        <v>1.7308861890676797</v>
      </c>
      <c r="N33" s="68">
        <v>1.3373140583565664</v>
      </c>
      <c r="O33" s="68">
        <v>1.2526838584195783</v>
      </c>
      <c r="P33" s="68">
        <v>1.3774787534242643</v>
      </c>
      <c r="Q33" s="68">
        <v>1.5311984796733877</v>
      </c>
      <c r="R33" s="68">
        <v>2.7671711027023975</v>
      </c>
      <c r="S33" s="68">
        <v>2.712887761049569</v>
      </c>
      <c r="T33" s="68">
        <v>2.8023471029679476</v>
      </c>
      <c r="U33" s="68">
        <v>2.4550241443860767</v>
      </c>
      <c r="V33" s="68">
        <v>2.2767342711153855</v>
      </c>
      <c r="W33" s="68">
        <v>2.280412870397603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20.919137443184958</v>
      </c>
      <c r="D3" s="126">
        <f t="shared" si="0"/>
        <v>26.373496179427878</v>
      </c>
      <c r="E3" s="126">
        <f t="shared" si="0"/>
        <v>23.184921957513705</v>
      </c>
      <c r="F3" s="126">
        <f t="shared" si="0"/>
        <v>35.578933033251865</v>
      </c>
      <c r="G3" s="126">
        <f t="shared" si="0"/>
        <v>41.054924956342774</v>
      </c>
      <c r="H3" s="126">
        <f t="shared" si="0"/>
        <v>52.014056351726396</v>
      </c>
      <c r="I3" s="126">
        <f t="shared" si="0"/>
        <v>45.234747697562369</v>
      </c>
      <c r="J3" s="126">
        <f t="shared" si="0"/>
        <v>28.885186584979252</v>
      </c>
      <c r="K3" s="126">
        <f t="shared" si="0"/>
        <v>6.8793860158814466</v>
      </c>
      <c r="L3" s="126">
        <f t="shared" si="0"/>
        <v>28.02173229923288</v>
      </c>
      <c r="M3" s="126">
        <f t="shared" si="0"/>
        <v>21.226329214856047</v>
      </c>
      <c r="N3" s="126">
        <f t="shared" si="0"/>
        <v>12.588208831028011</v>
      </c>
      <c r="O3" s="126">
        <f t="shared" si="0"/>
        <v>13.469386864953369</v>
      </c>
      <c r="P3" s="126">
        <f t="shared" si="0"/>
        <v>15.308076890698423</v>
      </c>
      <c r="Q3" s="126">
        <f t="shared" si="0"/>
        <v>17.919001354919821</v>
      </c>
      <c r="R3" s="126">
        <f t="shared" ref="R3:W3" si="1">SUM(R4,R16,R19,R29)</f>
        <v>27.882978862566198</v>
      </c>
      <c r="S3" s="126">
        <f t="shared" si="1"/>
        <v>32.90973087300268</v>
      </c>
      <c r="T3" s="126">
        <f t="shared" si="1"/>
        <v>31.023558610989141</v>
      </c>
      <c r="U3" s="126">
        <f t="shared" si="1"/>
        <v>28.228645493289644</v>
      </c>
      <c r="V3" s="126">
        <f t="shared" si="1"/>
        <v>24.520055107675695</v>
      </c>
      <c r="W3" s="126">
        <f t="shared" si="1"/>
        <v>24.513728647802008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14.340413909872552</v>
      </c>
      <c r="D4" s="131">
        <f t="shared" si="2"/>
        <v>17.436979035378023</v>
      </c>
      <c r="E4" s="131">
        <f t="shared" si="2"/>
        <v>15.660703571695406</v>
      </c>
      <c r="F4" s="131">
        <f t="shared" si="2"/>
        <v>23.511520068721431</v>
      </c>
      <c r="G4" s="131">
        <f t="shared" si="2"/>
        <v>27.985587301536533</v>
      </c>
      <c r="H4" s="131">
        <f t="shared" si="2"/>
        <v>34.905153692227906</v>
      </c>
      <c r="I4" s="131">
        <f t="shared" si="2"/>
        <v>27.934442424975455</v>
      </c>
      <c r="J4" s="131">
        <f t="shared" si="2"/>
        <v>18.294853193637778</v>
      </c>
      <c r="K4" s="131">
        <f t="shared" si="2"/>
        <v>4.1901740685737821</v>
      </c>
      <c r="L4" s="131">
        <f t="shared" si="2"/>
        <v>16.743967078901051</v>
      </c>
      <c r="M4" s="131">
        <f t="shared" si="2"/>
        <v>12.177606783298687</v>
      </c>
      <c r="N4" s="131">
        <f t="shared" si="2"/>
        <v>7.2138426344908861</v>
      </c>
      <c r="O4" s="131">
        <f t="shared" si="2"/>
        <v>7.7702102480623116</v>
      </c>
      <c r="P4" s="131">
        <f t="shared" si="2"/>
        <v>8.2595864419071869</v>
      </c>
      <c r="Q4" s="131">
        <f t="shared" si="2"/>
        <v>9.6501491610161114</v>
      </c>
      <c r="R4" s="131">
        <f t="shared" ref="R4:W4" si="3">SUM(R5:R15)</f>
        <v>15.15174258834678</v>
      </c>
      <c r="S4" s="131">
        <f t="shared" si="3"/>
        <v>17.947314546699353</v>
      </c>
      <c r="T4" s="131">
        <f t="shared" si="3"/>
        <v>16.479101484824646</v>
      </c>
      <c r="U4" s="131">
        <f t="shared" si="3"/>
        <v>14.999237787451149</v>
      </c>
      <c r="V4" s="131">
        <f t="shared" si="3"/>
        <v>12.496839249428882</v>
      </c>
      <c r="W4" s="131">
        <f t="shared" si="3"/>
        <v>13.242864771077818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1.0843723728801406E-2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4.3193116714486024</v>
      </c>
      <c r="D7" s="133">
        <v>4.4988701570448644</v>
      </c>
      <c r="E7" s="133">
        <v>4.4715516592751117</v>
      </c>
      <c r="F7" s="133">
        <v>3.8551488867344124</v>
      </c>
      <c r="G7" s="133">
        <v>3.7477472126737084</v>
      </c>
      <c r="H7" s="133">
        <v>4.6396649845198352</v>
      </c>
      <c r="I7" s="133">
        <v>1.6376018494718274</v>
      </c>
      <c r="J7" s="133">
        <v>0</v>
      </c>
      <c r="K7" s="133">
        <v>0</v>
      </c>
      <c r="L7" s="133">
        <v>0</v>
      </c>
      <c r="M7" s="133">
        <v>0</v>
      </c>
      <c r="N7" s="133">
        <v>0</v>
      </c>
      <c r="O7" s="133">
        <v>0.96397848126351027</v>
      </c>
      <c r="P7" s="133">
        <v>1.2059150339712761</v>
      </c>
      <c r="Q7" s="133">
        <v>1.7479793646975235</v>
      </c>
      <c r="R7" s="133">
        <v>2.1371751593872057</v>
      </c>
      <c r="S7" s="133">
        <v>3.4120352718756908</v>
      </c>
      <c r="T7" s="133">
        <v>2.606537164229128</v>
      </c>
      <c r="U7" s="133">
        <v>1.5992448728558486</v>
      </c>
      <c r="V7" s="133">
        <v>1.2162349461088149</v>
      </c>
      <c r="W7" s="133">
        <v>1.3033865853195514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6.924925949022373E-2</v>
      </c>
      <c r="D8" s="133">
        <v>0.11135041065494104</v>
      </c>
      <c r="E8" s="133">
        <v>0.12092620537215525</v>
      </c>
      <c r="F8" s="133">
        <v>0.1856678024548486</v>
      </c>
      <c r="G8" s="133">
        <v>0.1402425755692798</v>
      </c>
      <c r="H8" s="133">
        <v>0.19242564184268154</v>
      </c>
      <c r="I8" s="133">
        <v>0.11839860523936972</v>
      </c>
      <c r="J8" s="133">
        <v>8.3305445196446906E-2</v>
      </c>
      <c r="K8" s="133">
        <v>1.1690325537898349E-2</v>
      </c>
      <c r="L8" s="133">
        <v>2.1387643271793499E-2</v>
      </c>
      <c r="M8" s="133">
        <v>1.7334888830225565E-2</v>
      </c>
      <c r="N8" s="133">
        <v>1.3668879560702157E-2</v>
      </c>
      <c r="O8" s="133">
        <v>2.2052274961172545E-2</v>
      </c>
      <c r="P8" s="133">
        <v>6.2218960147028567E-2</v>
      </c>
      <c r="Q8" s="133">
        <v>8.0794434221472991E-2</v>
      </c>
      <c r="R8" s="133">
        <v>0.13217601530562648</v>
      </c>
      <c r="S8" s="133">
        <v>0.14390359164177899</v>
      </c>
      <c r="T8" s="133">
        <v>0.11616417106404277</v>
      </c>
      <c r="U8" s="133">
        <v>8.4392411306161319E-2</v>
      </c>
      <c r="V8" s="133">
        <v>5.0258460438323563E-2</v>
      </c>
      <c r="W8" s="133">
        <v>4.7308781612426902E-2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7.3789044247033777</v>
      </c>
      <c r="D9" s="133">
        <v>5.9532977268652481</v>
      </c>
      <c r="E9" s="133">
        <v>3.4929263670916755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0.36766727275814409</v>
      </c>
      <c r="L9" s="133">
        <v>2.8561041822089859</v>
      </c>
      <c r="M9" s="133">
        <v>2.3393731438660184</v>
      </c>
      <c r="N9" s="133">
        <v>2.6862237749731328</v>
      </c>
      <c r="O9" s="133">
        <v>2.6097662952884164</v>
      </c>
      <c r="P9" s="133">
        <v>1.7070787733049728</v>
      </c>
      <c r="Q9" s="133">
        <v>0.71541481350104208</v>
      </c>
      <c r="R9" s="133">
        <v>2.5007988576766214</v>
      </c>
      <c r="S9" s="133">
        <v>2.0340627310217863</v>
      </c>
      <c r="T9" s="133">
        <v>1.2152031359438826</v>
      </c>
      <c r="U9" s="133">
        <v>1.4752470827511397</v>
      </c>
      <c r="V9" s="133">
        <v>0</v>
      </c>
      <c r="W9" s="133">
        <v>1.3871041044788495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0.19403304052589343</v>
      </c>
      <c r="D10" s="133">
        <v>0.61563163771535745</v>
      </c>
      <c r="E10" s="133">
        <v>0.59685265709697033</v>
      </c>
      <c r="F10" s="133">
        <v>1.0389685426319368</v>
      </c>
      <c r="G10" s="133">
        <v>0.44241209034205708</v>
      </c>
      <c r="H10" s="133">
        <v>0.74245372119385888</v>
      </c>
      <c r="I10" s="133">
        <v>0.73360581303916372</v>
      </c>
      <c r="J10" s="133">
        <v>0.21308242681611619</v>
      </c>
      <c r="K10" s="133">
        <v>0.17480144956952257</v>
      </c>
      <c r="L10" s="133">
        <v>0.48108978660716845</v>
      </c>
      <c r="M10" s="133">
        <v>5.0443648670689172E-2</v>
      </c>
      <c r="N10" s="133">
        <v>0</v>
      </c>
      <c r="O10" s="133">
        <v>0.15666597016879524</v>
      </c>
      <c r="P10" s="133">
        <v>0.11826852278516371</v>
      </c>
      <c r="Q10" s="133">
        <v>0.70050816257349557</v>
      </c>
      <c r="R10" s="133">
        <v>0.39734743720014626</v>
      </c>
      <c r="S10" s="133">
        <v>1.5598635309979978</v>
      </c>
      <c r="T10" s="133">
        <v>1.1265194913186569</v>
      </c>
      <c r="U10" s="133">
        <v>0.93117566629949911</v>
      </c>
      <c r="V10" s="133">
        <v>0.600368828991521</v>
      </c>
      <c r="W10" s="133">
        <v>0.48897138985077032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5.5413557928722261E-2</v>
      </c>
      <c r="D11" s="133">
        <v>0.15001692520014728</v>
      </c>
      <c r="E11" s="133">
        <v>6.6245683159207687E-3</v>
      </c>
      <c r="F11" s="133">
        <v>8.0081790032523109E-2</v>
      </c>
      <c r="G11" s="133">
        <v>0.10140598124096337</v>
      </c>
      <c r="H11" s="133">
        <v>0.12999250631706769</v>
      </c>
      <c r="I11" s="133">
        <v>0.15299080120676692</v>
      </c>
      <c r="J11" s="133">
        <v>0.12767966480479709</v>
      </c>
      <c r="K11" s="133">
        <v>4.9441819093536787E-2</v>
      </c>
      <c r="L11" s="133">
        <v>0.12775146776963206</v>
      </c>
      <c r="M11" s="133">
        <v>7.242860357246915E-2</v>
      </c>
      <c r="N11" s="133">
        <v>5.9584774716428396E-2</v>
      </c>
      <c r="O11" s="133">
        <v>3.6343578084214491E-2</v>
      </c>
      <c r="P11" s="133">
        <v>2.8384353846836814E-2</v>
      </c>
      <c r="Q11" s="133">
        <v>0.10474470926291385</v>
      </c>
      <c r="R11" s="133">
        <v>0.16814225640646929</v>
      </c>
      <c r="S11" s="133">
        <v>0.38452375882932621</v>
      </c>
      <c r="T11" s="133">
        <v>0.18725275918878051</v>
      </c>
      <c r="U11" s="133">
        <v>8.9848056721707301E-2</v>
      </c>
      <c r="V11" s="133">
        <v>9.0094234586574687E-2</v>
      </c>
      <c r="W11" s="133">
        <v>6.6196250506894094E-2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1.6177269605232281</v>
      </c>
      <c r="D12" s="133">
        <v>4.341645590438719</v>
      </c>
      <c r="E12" s="133">
        <v>4.8655392055295881</v>
      </c>
      <c r="F12" s="133">
        <v>11.404748298368736</v>
      </c>
      <c r="G12" s="133">
        <v>13.817643729493041</v>
      </c>
      <c r="H12" s="133">
        <v>17.658447823149572</v>
      </c>
      <c r="I12" s="133">
        <v>16.296299447658772</v>
      </c>
      <c r="J12" s="133">
        <v>12.593847674011441</v>
      </c>
      <c r="K12" s="133">
        <v>2.9057445731717659</v>
      </c>
      <c r="L12" s="133">
        <v>9.8375176694058872</v>
      </c>
      <c r="M12" s="133">
        <v>6.2917003686977013</v>
      </c>
      <c r="N12" s="133">
        <v>1.882421583152815</v>
      </c>
      <c r="O12" s="133">
        <v>1.4161069926670806</v>
      </c>
      <c r="P12" s="133">
        <v>2.0132209562540355</v>
      </c>
      <c r="Q12" s="133">
        <v>3.8090054645103493</v>
      </c>
      <c r="R12" s="133">
        <v>6.5088541678450609</v>
      </c>
      <c r="S12" s="133">
        <v>6.350191632159329</v>
      </c>
      <c r="T12" s="133">
        <v>5.2633611323813785</v>
      </c>
      <c r="U12" s="133">
        <v>6.1109470466569373</v>
      </c>
      <c r="V12" s="133">
        <v>6.7666850127282858</v>
      </c>
      <c r="W12" s="133">
        <v>6.8221957998293137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0.46624429634092002</v>
      </c>
      <c r="D13" s="133">
        <v>1.5375258322972869</v>
      </c>
      <c r="E13" s="133">
        <v>1.7801539306377316</v>
      </c>
      <c r="F13" s="133">
        <v>3.5275302907550943</v>
      </c>
      <c r="G13" s="133">
        <v>3.775928158869426</v>
      </c>
      <c r="H13" s="133">
        <v>5.1413781513541679</v>
      </c>
      <c r="I13" s="133">
        <v>4.5319840512903502</v>
      </c>
      <c r="J13" s="133">
        <v>3.5661592752773568</v>
      </c>
      <c r="K13" s="133">
        <v>0.66030137900952635</v>
      </c>
      <c r="L13" s="133">
        <v>1.9782205481550146</v>
      </c>
      <c r="M13" s="133">
        <v>2.4823537468842507</v>
      </c>
      <c r="N13" s="133">
        <v>1.6681414659357539</v>
      </c>
      <c r="O13" s="133">
        <v>1.9450262858779164</v>
      </c>
      <c r="P13" s="133">
        <v>3.0672166662692968</v>
      </c>
      <c r="Q13" s="133">
        <v>2.4298651011925467</v>
      </c>
      <c r="R13" s="133">
        <v>3.2020176869392536</v>
      </c>
      <c r="S13" s="133">
        <v>3.6239770291773667</v>
      </c>
      <c r="T13" s="133">
        <v>3.6280983718208559</v>
      </c>
      <c r="U13" s="133">
        <v>2.8336260330845224</v>
      </c>
      <c r="V13" s="133">
        <v>1.9211823032585369</v>
      </c>
      <c r="W13" s="133">
        <v>1.741568060918316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0.14698857857949124</v>
      </c>
      <c r="F14" s="65">
        <v>3.2844781495349138</v>
      </c>
      <c r="G14" s="65">
        <v>5.8241133934416727</v>
      </c>
      <c r="H14" s="65">
        <v>6.2306813992690149</v>
      </c>
      <c r="I14" s="65">
        <v>4.3552331642080233</v>
      </c>
      <c r="J14" s="65">
        <v>1.6533008248071595</v>
      </c>
      <c r="K14" s="65">
        <v>0</v>
      </c>
      <c r="L14" s="65">
        <v>1.3470689048204174</v>
      </c>
      <c r="M14" s="65">
        <v>0.85749918140787917</v>
      </c>
      <c r="N14" s="65">
        <v>0.8509619012050571</v>
      </c>
      <c r="O14" s="65">
        <v>0.54298343335610699</v>
      </c>
      <c r="P14" s="65">
        <v>0</v>
      </c>
      <c r="Q14" s="65">
        <v>0</v>
      </c>
      <c r="R14" s="65">
        <v>0</v>
      </c>
      <c r="S14" s="65">
        <v>0.31169605396854955</v>
      </c>
      <c r="T14" s="65">
        <v>2.2440467436386218</v>
      </c>
      <c r="U14" s="65">
        <v>1.7937244882002317</v>
      </c>
      <c r="V14" s="65">
        <v>1.8006273053246715</v>
      </c>
      <c r="W14" s="65">
        <v>1.3121541631027445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0.2395306989115846</v>
      </c>
      <c r="D15" s="135">
        <v>0.22864075516146021</v>
      </c>
      <c r="E15" s="135">
        <v>0.17914039979676072</v>
      </c>
      <c r="F15" s="135">
        <v>0.13489630820896384</v>
      </c>
      <c r="G15" s="135">
        <v>0.13609415990638557</v>
      </c>
      <c r="H15" s="135">
        <v>0.17010946458170767</v>
      </c>
      <c r="I15" s="135">
        <v>0.10832869286118241</v>
      </c>
      <c r="J15" s="135">
        <v>5.7477882724458432E-2</v>
      </c>
      <c r="K15" s="135">
        <v>2.0527249433388087E-2</v>
      </c>
      <c r="L15" s="135">
        <v>9.482687666214859E-2</v>
      </c>
      <c r="M15" s="135">
        <v>6.6473201369454948E-2</v>
      </c>
      <c r="N15" s="135">
        <v>5.2840254946996248E-2</v>
      </c>
      <c r="O15" s="135">
        <v>6.6443212666297852E-2</v>
      </c>
      <c r="P15" s="135">
        <v>5.7283175328575901E-2</v>
      </c>
      <c r="Q15" s="135">
        <v>6.1837111056768194E-2</v>
      </c>
      <c r="R15" s="135">
        <v>0.10523100758639539</v>
      </c>
      <c r="S15" s="135">
        <v>0.12706094702752679</v>
      </c>
      <c r="T15" s="135">
        <v>9.1918515239298129E-2</v>
      </c>
      <c r="U15" s="135">
        <v>8.1032129575101572E-2</v>
      </c>
      <c r="V15" s="135">
        <v>5.1388157992155833E-2</v>
      </c>
      <c r="W15" s="135">
        <v>7.3979635458950629E-2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2.9363164487619029</v>
      </c>
      <c r="D16" s="131">
        <f t="shared" si="4"/>
        <v>3.8540603200042023</v>
      </c>
      <c r="E16" s="131">
        <f t="shared" si="4"/>
        <v>3.4140510334289922</v>
      </c>
      <c r="F16" s="131">
        <f t="shared" si="4"/>
        <v>5.1990114149344162</v>
      </c>
      <c r="G16" s="131">
        <f t="shared" si="4"/>
        <v>5.5661965354791194</v>
      </c>
      <c r="H16" s="131">
        <f t="shared" si="4"/>
        <v>7.535255644748478</v>
      </c>
      <c r="I16" s="131">
        <f t="shared" si="4"/>
        <v>7.446256031170269</v>
      </c>
      <c r="J16" s="131">
        <f t="shared" si="4"/>
        <v>4.3818518434627363</v>
      </c>
      <c r="K16" s="131">
        <f t="shared" si="4"/>
        <v>1.1216950357491355</v>
      </c>
      <c r="L16" s="131">
        <f t="shared" si="4"/>
        <v>4.5939507760463734</v>
      </c>
      <c r="M16" s="131">
        <f t="shared" si="4"/>
        <v>3.5875048255623594</v>
      </c>
      <c r="N16" s="131">
        <f t="shared" si="4"/>
        <v>2.1523167288316936</v>
      </c>
      <c r="O16" s="131">
        <f t="shared" si="4"/>
        <v>2.5402994054454044</v>
      </c>
      <c r="P16" s="131">
        <f t="shared" si="4"/>
        <v>2.6686966524270348</v>
      </c>
      <c r="Q16" s="131">
        <f t="shared" si="4"/>
        <v>3.7434414221406325</v>
      </c>
      <c r="R16" s="131">
        <f t="shared" ref="R16:W16" si="5">SUM(R17:R18)</f>
        <v>5.301256489357848</v>
      </c>
      <c r="S16" s="131">
        <f t="shared" si="5"/>
        <v>5.9932512371115987</v>
      </c>
      <c r="T16" s="131">
        <f t="shared" si="5"/>
        <v>5.8728011564789178</v>
      </c>
      <c r="U16" s="131">
        <f t="shared" si="5"/>
        <v>5.5010751135962721</v>
      </c>
      <c r="V16" s="131">
        <f t="shared" si="5"/>
        <v>4.8914213790886123</v>
      </c>
      <c r="W16" s="131">
        <f t="shared" si="5"/>
        <v>4.845317198205767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5.107548169962518E-3</v>
      </c>
      <c r="D17" s="133">
        <v>9.5247638072143911E-3</v>
      </c>
      <c r="E17" s="133">
        <v>4.8815846064911407E-3</v>
      </c>
      <c r="F17" s="133">
        <v>2.0537183413115872E-2</v>
      </c>
      <c r="G17" s="133">
        <v>1.5416462487036845E-2</v>
      </c>
      <c r="H17" s="133">
        <v>1.9192772230776516E-2</v>
      </c>
      <c r="I17" s="133">
        <v>3.0000363717282864E-2</v>
      </c>
      <c r="J17" s="133">
        <v>1.7681631652780055E-2</v>
      </c>
      <c r="K17" s="133">
        <v>9.1083541098546696E-3</v>
      </c>
      <c r="L17" s="133">
        <v>1.8425390393146911E-2</v>
      </c>
      <c r="M17" s="133">
        <v>1.6934070684303918E-2</v>
      </c>
      <c r="N17" s="133">
        <v>1.3460784701414191E-2</v>
      </c>
      <c r="O17" s="133">
        <v>1.6775834657128379E-2</v>
      </c>
      <c r="P17" s="133">
        <v>2.1126085129254533E-2</v>
      </c>
      <c r="Q17" s="133">
        <v>3.1819195232023312E-2</v>
      </c>
      <c r="R17" s="133">
        <v>3.5256961863182112E-2</v>
      </c>
      <c r="S17" s="133">
        <v>6.0066452840412066E-2</v>
      </c>
      <c r="T17" s="133">
        <v>5.0949226613924738E-2</v>
      </c>
      <c r="U17" s="133">
        <v>6.9523369436681151E-2</v>
      </c>
      <c r="V17" s="133">
        <v>3.3337884518977172E-2</v>
      </c>
      <c r="W17" s="133">
        <v>4.3026666605660721E-2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2.9312089005919404</v>
      </c>
      <c r="D18" s="133">
        <v>3.8445355561969881</v>
      </c>
      <c r="E18" s="133">
        <v>3.4091694488225008</v>
      </c>
      <c r="F18" s="133">
        <v>5.1784742315213004</v>
      </c>
      <c r="G18" s="133">
        <v>5.5507800729920822</v>
      </c>
      <c r="H18" s="133">
        <v>7.5160628725177014</v>
      </c>
      <c r="I18" s="133">
        <v>7.4162556674529858</v>
      </c>
      <c r="J18" s="133">
        <v>4.3641702118099559</v>
      </c>
      <c r="K18" s="133">
        <v>1.1125866816392809</v>
      </c>
      <c r="L18" s="133">
        <v>4.5755253856532265</v>
      </c>
      <c r="M18" s="133">
        <v>3.5705707548780556</v>
      </c>
      <c r="N18" s="133">
        <v>2.1388559441302792</v>
      </c>
      <c r="O18" s="133">
        <v>2.5235235707882762</v>
      </c>
      <c r="P18" s="133">
        <v>2.6475705672977803</v>
      </c>
      <c r="Q18" s="133">
        <v>3.711622226908609</v>
      </c>
      <c r="R18" s="133">
        <v>5.2659995274946656</v>
      </c>
      <c r="S18" s="133">
        <v>5.9331847842711865</v>
      </c>
      <c r="T18" s="133">
        <v>5.8218519298649927</v>
      </c>
      <c r="U18" s="133">
        <v>5.4315517441595906</v>
      </c>
      <c r="V18" s="133">
        <v>4.8580834945696347</v>
      </c>
      <c r="W18" s="133">
        <v>4.8022905316001063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2.0378698390019356</v>
      </c>
      <c r="D19" s="131">
        <f t="shared" si="6"/>
        <v>2.6629382245850062</v>
      </c>
      <c r="E19" s="131">
        <f t="shared" si="6"/>
        <v>2.144005733069033</v>
      </c>
      <c r="F19" s="131">
        <f t="shared" si="6"/>
        <v>3.6565117175187263</v>
      </c>
      <c r="G19" s="131">
        <f t="shared" si="6"/>
        <v>4.011301126608724</v>
      </c>
      <c r="H19" s="131">
        <f t="shared" si="6"/>
        <v>5.1737026686184215</v>
      </c>
      <c r="I19" s="131">
        <f t="shared" si="6"/>
        <v>5.3647737314656503</v>
      </c>
      <c r="J19" s="131">
        <f t="shared" si="6"/>
        <v>3.4242001748088602</v>
      </c>
      <c r="K19" s="131">
        <f t="shared" si="6"/>
        <v>0.85574721336820303</v>
      </c>
      <c r="L19" s="131">
        <f t="shared" si="6"/>
        <v>3.8618432669145921</v>
      </c>
      <c r="M19" s="131">
        <f t="shared" si="6"/>
        <v>3.2896378452689596</v>
      </c>
      <c r="N19" s="131">
        <f t="shared" si="6"/>
        <v>1.8002029647472881</v>
      </c>
      <c r="O19" s="131">
        <f t="shared" si="6"/>
        <v>1.6383908800756295</v>
      </c>
      <c r="P19" s="131">
        <f t="shared" si="6"/>
        <v>2.5713698352454673</v>
      </c>
      <c r="Q19" s="131">
        <f t="shared" si="6"/>
        <v>2.355546557206786</v>
      </c>
      <c r="R19" s="131">
        <f t="shared" ref="R19:W19" si="7">SUM(R20:R27)</f>
        <v>3.8804921496710314</v>
      </c>
      <c r="S19" s="131">
        <f t="shared" si="7"/>
        <v>5.1863730637757968</v>
      </c>
      <c r="T19" s="131">
        <f t="shared" si="7"/>
        <v>4.9565114027447734</v>
      </c>
      <c r="U19" s="131">
        <f t="shared" si="7"/>
        <v>4.3431622574787401</v>
      </c>
      <c r="V19" s="131">
        <f t="shared" si="7"/>
        <v>3.9718472605804962</v>
      </c>
      <c r="W19" s="131">
        <f t="shared" si="7"/>
        <v>3.2605625579060593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9.1328133104322584E-2</v>
      </c>
      <c r="D21" s="133">
        <v>0.24990981632625817</v>
      </c>
      <c r="E21" s="133">
        <v>0.15999055880232038</v>
      </c>
      <c r="F21" s="133">
        <v>0.25934006756786299</v>
      </c>
      <c r="G21" s="133">
        <v>0.22758269379810978</v>
      </c>
      <c r="H21" s="133">
        <v>0.2503221191962528</v>
      </c>
      <c r="I21" s="133">
        <v>0.11625602160632702</v>
      </c>
      <c r="J21" s="133">
        <v>0</v>
      </c>
      <c r="K21" s="133">
        <v>1.5486977994352766E-2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0.19121784105629536</v>
      </c>
      <c r="D22" s="133">
        <v>0.39583071940062453</v>
      </c>
      <c r="E22" s="133">
        <v>0.14922421241980316</v>
      </c>
      <c r="F22" s="133">
        <v>0.36422357470450356</v>
      </c>
      <c r="G22" s="133">
        <v>0.21474364798532386</v>
      </c>
      <c r="H22" s="133">
        <v>0.3237272136122879</v>
      </c>
      <c r="I22" s="133">
        <v>0.15127189361862323</v>
      </c>
      <c r="J22" s="133">
        <v>6.4608769104948061E-2</v>
      </c>
      <c r="K22" s="133">
        <v>6.0537493557401907E-2</v>
      </c>
      <c r="L22" s="133">
        <v>5.4687976542630364E-2</v>
      </c>
      <c r="M22" s="133">
        <v>8.6329815035339444E-2</v>
      </c>
      <c r="N22" s="133">
        <v>5.307776456747243E-2</v>
      </c>
      <c r="O22" s="133">
        <v>0.16402540146795469</v>
      </c>
      <c r="P22" s="133">
        <v>0</v>
      </c>
      <c r="Q22" s="133">
        <v>0.10221760364698164</v>
      </c>
      <c r="R22" s="133">
        <v>0.26845006360984058</v>
      </c>
      <c r="S22" s="133">
        <v>0.30513515893047982</v>
      </c>
      <c r="T22" s="133">
        <v>0.24546274386041694</v>
      </c>
      <c r="U22" s="133">
        <v>0.32560767805913848</v>
      </c>
      <c r="V22" s="133">
        <v>0.1388628435926316</v>
      </c>
      <c r="W22" s="133">
        <v>0.27260733561704753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9.3504388715670711E-2</v>
      </c>
      <c r="D23" s="133">
        <v>0.22874455970779606</v>
      </c>
      <c r="E23" s="133">
        <v>0.11265239755701133</v>
      </c>
      <c r="F23" s="133">
        <v>0.30575701082506651</v>
      </c>
      <c r="G23" s="133">
        <v>0.32603420261731259</v>
      </c>
      <c r="H23" s="133">
        <v>0.38733528797621164</v>
      </c>
      <c r="I23" s="133">
        <v>0.37843730366634948</v>
      </c>
      <c r="J23" s="133">
        <v>0.19745199911418845</v>
      </c>
      <c r="K23" s="133">
        <v>7.3357560065045777E-2</v>
      </c>
      <c r="L23" s="133">
        <v>0.18533176302209428</v>
      </c>
      <c r="M23" s="133">
        <v>0.15394577819131283</v>
      </c>
      <c r="N23" s="133">
        <v>8.9942322816339876E-2</v>
      </c>
      <c r="O23" s="133">
        <v>0.20519876417718527</v>
      </c>
      <c r="P23" s="133">
        <v>0.15645492074107206</v>
      </c>
      <c r="Q23" s="133">
        <v>0.29697992245304011</v>
      </c>
      <c r="R23" s="133">
        <v>0.46066825104929293</v>
      </c>
      <c r="S23" s="133">
        <v>0.3202012614102438</v>
      </c>
      <c r="T23" s="133">
        <v>0.30578710376806895</v>
      </c>
      <c r="U23" s="133">
        <v>0.4568920913523809</v>
      </c>
      <c r="V23" s="133">
        <v>0.27393877921894255</v>
      </c>
      <c r="W23" s="133">
        <v>0.41107027086711206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2.3095450044087341E-2</v>
      </c>
      <c r="D24" s="133">
        <v>5.4531558216142945E-2</v>
      </c>
      <c r="E24" s="133">
        <v>2.3387261309109213E-2</v>
      </c>
      <c r="F24" s="133">
        <v>7.1758591607603922E-2</v>
      </c>
      <c r="G24" s="133">
        <v>7.4409836738116089E-2</v>
      </c>
      <c r="H24" s="133">
        <v>9.1307442783092649E-2</v>
      </c>
      <c r="I24" s="133">
        <v>8.5395461380966264E-2</v>
      </c>
      <c r="J24" s="133">
        <v>4.8375719030229802E-2</v>
      </c>
      <c r="K24" s="133">
        <v>1.879317287196032E-2</v>
      </c>
      <c r="L24" s="133">
        <v>5.2279887985568256E-2</v>
      </c>
      <c r="M24" s="133">
        <v>4.4711546179077105E-2</v>
      </c>
      <c r="N24" s="133">
        <v>2.5868905067049565E-2</v>
      </c>
      <c r="O24" s="133">
        <v>5.3936995452537918E-2</v>
      </c>
      <c r="P24" s="133">
        <v>4.4324952477151291E-2</v>
      </c>
      <c r="Q24" s="133">
        <v>7.7943713909876713E-2</v>
      </c>
      <c r="R24" s="133">
        <v>0.11498491948488589</v>
      </c>
      <c r="S24" s="133">
        <v>8.4859982867791256E-2</v>
      </c>
      <c r="T24" s="133">
        <v>7.9427781255536747E-2</v>
      </c>
      <c r="U24" s="133">
        <v>0.12557498080485407</v>
      </c>
      <c r="V24" s="133">
        <v>6.7925796522385284E-2</v>
      </c>
      <c r="W24" s="133">
        <v>0.10441685440827635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0.29170819956904137</v>
      </c>
      <c r="D25" s="133">
        <v>0.58494246519885973</v>
      </c>
      <c r="E25" s="133">
        <v>0.21739850214052578</v>
      </c>
      <c r="F25" s="133">
        <v>0.80567421152678598</v>
      </c>
      <c r="G25" s="133">
        <v>1.1620423523698427</v>
      </c>
      <c r="H25" s="133">
        <v>1.8400819190942403</v>
      </c>
      <c r="I25" s="133">
        <v>2.8426675985454333</v>
      </c>
      <c r="J25" s="133">
        <v>1.5212431180199186</v>
      </c>
      <c r="K25" s="133">
        <v>0.50138179564744867</v>
      </c>
      <c r="L25" s="133">
        <v>1.1747253591626621</v>
      </c>
      <c r="M25" s="133">
        <v>0.84977079380748421</v>
      </c>
      <c r="N25" s="133">
        <v>0.38270708648661833</v>
      </c>
      <c r="O25" s="133">
        <v>0.75089807252525498</v>
      </c>
      <c r="P25" s="133">
        <v>0.27652834889915678</v>
      </c>
      <c r="Q25" s="133">
        <v>1.0747432531687358</v>
      </c>
      <c r="R25" s="133">
        <v>1.6616240962981716</v>
      </c>
      <c r="S25" s="133">
        <v>1.1360571485674613</v>
      </c>
      <c r="T25" s="133">
        <v>1.2734276532772635</v>
      </c>
      <c r="U25" s="133">
        <v>2.0232046340412753</v>
      </c>
      <c r="V25" s="133">
        <v>1.0362128713626728</v>
      </c>
      <c r="W25" s="133">
        <v>1.6007922069551452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0.26579939887834636</v>
      </c>
      <c r="D26" s="65">
        <v>0.33326876120260063</v>
      </c>
      <c r="E26" s="65">
        <v>0.24999456007564866</v>
      </c>
      <c r="F26" s="65">
        <v>0.45177851008410647</v>
      </c>
      <c r="G26" s="65">
        <v>2.0064883931000081</v>
      </c>
      <c r="H26" s="65">
        <v>2.280928685956336</v>
      </c>
      <c r="I26" s="65">
        <v>0.13012752946825012</v>
      </c>
      <c r="J26" s="65">
        <v>1.5500935992462002E-3</v>
      </c>
      <c r="K26" s="65">
        <v>0.18619021323199356</v>
      </c>
      <c r="L26" s="65">
        <v>1.2256683513398173E-3</v>
      </c>
      <c r="M26" s="65">
        <v>3.2870591099619299E-3</v>
      </c>
      <c r="N26" s="65">
        <v>4.1338942822483531E-3</v>
      </c>
      <c r="O26" s="65">
        <v>0.46433164645269687</v>
      </c>
      <c r="P26" s="65">
        <v>1.0133431190574521E-2</v>
      </c>
      <c r="Q26" s="65">
        <v>0.80366206402815188</v>
      </c>
      <c r="R26" s="65">
        <v>1.37476481922884</v>
      </c>
      <c r="S26" s="65">
        <v>1.1626373985640398E-2</v>
      </c>
      <c r="T26" s="65">
        <v>7.4015948378329047E-3</v>
      </c>
      <c r="U26" s="65">
        <v>7.5212262236313346E-3</v>
      </c>
      <c r="V26" s="65">
        <v>1.0498194483118374E-2</v>
      </c>
      <c r="W26" s="65">
        <v>0.87167589005847823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1.081216427634172</v>
      </c>
      <c r="D27" s="148">
        <v>0.81571034453272429</v>
      </c>
      <c r="E27" s="148">
        <v>1.2313582407646142</v>
      </c>
      <c r="F27" s="148">
        <v>1.3979797512027967</v>
      </c>
      <c r="G27" s="148">
        <v>1.1296446927039566E-14</v>
      </c>
      <c r="H27" s="148">
        <v>0</v>
      </c>
      <c r="I27" s="148">
        <v>1.6606179231797014</v>
      </c>
      <c r="J27" s="148">
        <v>1.5909704759403289</v>
      </c>
      <c r="K27" s="148">
        <v>0</v>
      </c>
      <c r="L27" s="148">
        <v>2.393592611850297</v>
      </c>
      <c r="M27" s="148">
        <v>2.1515928529457842</v>
      </c>
      <c r="N27" s="148">
        <v>1.2444729915275596</v>
      </c>
      <c r="O27" s="148">
        <v>0</v>
      </c>
      <c r="P27" s="148">
        <v>2.0839281819375128</v>
      </c>
      <c r="Q27" s="148">
        <v>0</v>
      </c>
      <c r="R27" s="148">
        <v>0</v>
      </c>
      <c r="S27" s="148">
        <v>3.32849313801418</v>
      </c>
      <c r="T27" s="148">
        <v>3.0450045257456537</v>
      </c>
      <c r="U27" s="148">
        <v>1.40436164699746</v>
      </c>
      <c r="V27" s="148">
        <v>2.4444087754007455</v>
      </c>
      <c r="W27" s="148">
        <v>0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1.6045372455485682</v>
      </c>
      <c r="D29" s="131">
        <f t="shared" si="8"/>
        <v>2.4195185994606474</v>
      </c>
      <c r="E29" s="131">
        <f t="shared" si="8"/>
        <v>1.9661616193202747</v>
      </c>
      <c r="F29" s="131">
        <f t="shared" si="8"/>
        <v>3.2118898320772886</v>
      </c>
      <c r="G29" s="131">
        <f t="shared" si="8"/>
        <v>3.4918399927183934</v>
      </c>
      <c r="H29" s="131">
        <f t="shared" si="8"/>
        <v>4.3999443461315924</v>
      </c>
      <c r="I29" s="131">
        <f t="shared" si="8"/>
        <v>4.4892755099509962</v>
      </c>
      <c r="J29" s="131">
        <f t="shared" si="8"/>
        <v>2.7842813730698786</v>
      </c>
      <c r="K29" s="131">
        <f t="shared" si="8"/>
        <v>0.7117696981903251</v>
      </c>
      <c r="L29" s="131">
        <f t="shared" si="8"/>
        <v>2.8219711773708629</v>
      </c>
      <c r="M29" s="131">
        <f t="shared" si="8"/>
        <v>2.1715797607260443</v>
      </c>
      <c r="N29" s="131">
        <f t="shared" si="8"/>
        <v>1.421846502958142</v>
      </c>
      <c r="O29" s="131">
        <f t="shared" si="8"/>
        <v>1.5204863313700241</v>
      </c>
      <c r="P29" s="131">
        <f t="shared" si="8"/>
        <v>1.8084239611187334</v>
      </c>
      <c r="Q29" s="131">
        <f t="shared" si="8"/>
        <v>2.1698642145562919</v>
      </c>
      <c r="R29" s="131">
        <f t="shared" ref="R29:W29" si="9">SUM(R30:R33)</f>
        <v>3.5494876351905358</v>
      </c>
      <c r="S29" s="131">
        <f t="shared" si="9"/>
        <v>3.7827920254159277</v>
      </c>
      <c r="T29" s="131">
        <f t="shared" si="9"/>
        <v>3.7151445669408041</v>
      </c>
      <c r="U29" s="131">
        <f t="shared" si="9"/>
        <v>3.3851703347634836</v>
      </c>
      <c r="V29" s="131">
        <f t="shared" si="9"/>
        <v>3.1599472185777069</v>
      </c>
      <c r="W29" s="131">
        <f t="shared" si="9"/>
        <v>3.1649841206123632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0.18364662941759682</v>
      </c>
      <c r="D30" s="133">
        <v>1.2234011217968648</v>
      </c>
      <c r="E30" s="133">
        <v>0.85190354960217107</v>
      </c>
      <c r="F30" s="133">
        <v>0.65229666381980833</v>
      </c>
      <c r="G30" s="133">
        <v>0.30373992225220431</v>
      </c>
      <c r="H30" s="133">
        <v>4.16854145968166E-2</v>
      </c>
      <c r="I30" s="133">
        <v>0</v>
      </c>
      <c r="J30" s="133">
        <v>7.8667963695360221E-2</v>
      </c>
      <c r="K30" s="133">
        <v>7.9005372428996343E-2</v>
      </c>
      <c r="L30" s="133">
        <v>0.46125134052411193</v>
      </c>
      <c r="M30" s="133">
        <v>0</v>
      </c>
      <c r="N30" s="133">
        <v>0</v>
      </c>
      <c r="O30" s="133">
        <v>0</v>
      </c>
      <c r="P30" s="133">
        <v>0</v>
      </c>
      <c r="Q30" s="133">
        <v>8.5168763826942329E-2</v>
      </c>
      <c r="R30" s="133">
        <v>7.6639993793766792E-2</v>
      </c>
      <c r="S30" s="133">
        <v>0.25765349730832676</v>
      </c>
      <c r="T30" s="133">
        <v>8.2593925250821737E-2</v>
      </c>
      <c r="U30" s="133">
        <v>7.4087491069430633E-2</v>
      </c>
      <c r="V30" s="133">
        <v>6.2568078788869969E-2</v>
      </c>
      <c r="W30" s="133">
        <v>0.11732316159928058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0.59493470139812354</v>
      </c>
      <c r="D31" s="133">
        <v>0.80296925198051206</v>
      </c>
      <c r="E31" s="133">
        <v>0.65430680856313328</v>
      </c>
      <c r="F31" s="133">
        <v>1.0983701149031422</v>
      </c>
      <c r="G31" s="133">
        <v>1.1018711790404887</v>
      </c>
      <c r="H31" s="133">
        <v>1.3153817721450936</v>
      </c>
      <c r="I31" s="133">
        <v>1.0676529858233268</v>
      </c>
      <c r="J31" s="133">
        <v>0.88451945349568672</v>
      </c>
      <c r="K31" s="133">
        <v>0.28378076258631757</v>
      </c>
      <c r="L31" s="133">
        <v>0.88337113238980713</v>
      </c>
      <c r="M31" s="133">
        <v>0.74145128114585179</v>
      </c>
      <c r="N31" s="133">
        <v>0.3162962105874989</v>
      </c>
      <c r="O31" s="133">
        <v>0.47281542848751251</v>
      </c>
      <c r="P31" s="133">
        <v>0.6404643322340462</v>
      </c>
      <c r="Q31" s="133">
        <v>0.77067804455661282</v>
      </c>
      <c r="R31" s="133">
        <v>1.091841042501408</v>
      </c>
      <c r="S31" s="133">
        <v>1.1564176039240861</v>
      </c>
      <c r="T31" s="133">
        <v>1.1472130897607582</v>
      </c>
      <c r="U31" s="133">
        <v>1.095926826516276</v>
      </c>
      <c r="V31" s="133">
        <v>1.0171257205150157</v>
      </c>
      <c r="W31" s="133">
        <v>0.96440137939065973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2.4175630367161263E-2</v>
      </c>
      <c r="D32" s="133">
        <v>3.3316857206843471E-2</v>
      </c>
      <c r="E32" s="133">
        <v>2.4044853093633124E-2</v>
      </c>
      <c r="F32" s="133">
        <v>4.0606032470197069E-2</v>
      </c>
      <c r="G32" s="133">
        <v>3.6471680893734482E-2</v>
      </c>
      <c r="H32" s="133">
        <v>4.4204142708673122E-2</v>
      </c>
      <c r="I32" s="133">
        <v>3.5674183220973342E-2</v>
      </c>
      <c r="J32" s="133">
        <v>3.121194913462633E-2</v>
      </c>
      <c r="K32" s="133">
        <v>1.0473197083375137E-2</v>
      </c>
      <c r="L32" s="133">
        <v>3.7023045651869008E-2</v>
      </c>
      <c r="M32" s="133">
        <v>2.0986082819275432E-2</v>
      </c>
      <c r="N32" s="133">
        <v>1.3267754697780363E-2</v>
      </c>
      <c r="O32" s="133">
        <v>1.9996608211315978E-2</v>
      </c>
      <c r="P32" s="133">
        <v>3.1422733321080774E-2</v>
      </c>
      <c r="Q32" s="133">
        <v>4.1359630130618254E-2</v>
      </c>
      <c r="R32" s="133">
        <v>5.8232144995077777E-2</v>
      </c>
      <c r="S32" s="133">
        <v>6.3569416780593996E-2</v>
      </c>
      <c r="T32" s="133">
        <v>7.3138457926228681E-2</v>
      </c>
      <c r="U32" s="133">
        <v>7.5962842675919254E-2</v>
      </c>
      <c r="V32" s="133">
        <v>7.6372127857692457E-2</v>
      </c>
      <c r="W32" s="133">
        <v>6.112811105435486E-2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0.80178028436568671</v>
      </c>
      <c r="D33" s="68">
        <v>0.35983136847642688</v>
      </c>
      <c r="E33" s="68">
        <v>0.4359064080613374</v>
      </c>
      <c r="F33" s="68">
        <v>1.4206170208841411</v>
      </c>
      <c r="G33" s="68">
        <v>2.0497572105319661</v>
      </c>
      <c r="H33" s="68">
        <v>2.9986730166810092</v>
      </c>
      <c r="I33" s="68">
        <v>3.3859483409066962</v>
      </c>
      <c r="J33" s="68">
        <v>1.7898820067442054</v>
      </c>
      <c r="K33" s="68">
        <v>0.33851036609163604</v>
      </c>
      <c r="L33" s="68">
        <v>1.4403256588050748</v>
      </c>
      <c r="M33" s="68">
        <v>1.4091423967609169</v>
      </c>
      <c r="N33" s="68">
        <v>1.0922825376728627</v>
      </c>
      <c r="O33" s="68">
        <v>1.0276742946711956</v>
      </c>
      <c r="P33" s="68">
        <v>1.1365368955636064</v>
      </c>
      <c r="Q33" s="68">
        <v>1.2726577760421185</v>
      </c>
      <c r="R33" s="68">
        <v>2.3227744539002835</v>
      </c>
      <c r="S33" s="68">
        <v>2.305151507402921</v>
      </c>
      <c r="T33" s="68">
        <v>2.4121990940029954</v>
      </c>
      <c r="U33" s="68">
        <v>2.1391931745018575</v>
      </c>
      <c r="V33" s="68">
        <v>2.0038812914161284</v>
      </c>
      <c r="W33" s="68">
        <v>2.0221314685680678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0.74210130350566861</v>
      </c>
      <c r="D3" s="127">
        <f>IF(SER_hh_tes_in!D3=0,"",SER_hh_tes_in!D3/SER_hh_fec_in!D3)</f>
        <v>0.78549225511238463</v>
      </c>
      <c r="E3" s="127">
        <f>IF(SER_hh_tes_in!E3=0,"",SER_hh_tes_in!E3/SER_hh_fec_in!E3)</f>
        <v>0.82100539863627453</v>
      </c>
      <c r="F3" s="127">
        <f>IF(SER_hh_tes_in!F3=0,"",SER_hh_tes_in!F3/SER_hh_fec_in!F3)</f>
        <v>0.90687082001051655</v>
      </c>
      <c r="G3" s="127">
        <f>IF(SER_hh_tes_in!G3=0,"",SER_hh_tes_in!G3/SER_hh_fec_in!G3)</f>
        <v>0.91258522270392761</v>
      </c>
      <c r="H3" s="127">
        <f>IF(SER_hh_tes_in!H3=0,"",SER_hh_tes_in!H3/SER_hh_fec_in!H3)</f>
        <v>0.93524665475326152</v>
      </c>
      <c r="I3" s="127">
        <f>IF(SER_hh_tes_in!I3=0,"",SER_hh_tes_in!I3/SER_hh_fec_in!I3)</f>
        <v>1.0009251082344821</v>
      </c>
      <c r="J3" s="127">
        <f>IF(SER_hh_tes_in!J3=0,"",SER_hh_tes_in!J3/SER_hh_fec_in!J3)</f>
        <v>1.0458581437725469</v>
      </c>
      <c r="K3" s="127">
        <f>IF(SER_hh_tes_in!K3=0,"",SER_hh_tes_in!K3/SER_hh_fec_in!K3)</f>
        <v>0.99178781866602983</v>
      </c>
      <c r="L3" s="127">
        <f>IF(SER_hh_tes_in!L3=0,"",SER_hh_tes_in!L3/SER_hh_fec_in!L3)</f>
        <v>0.99185787250656487</v>
      </c>
      <c r="M3" s="127">
        <f>IF(SER_hh_tes_in!M3=0,"",SER_hh_tes_in!M3/SER_hh_fec_in!M3)</f>
        <v>1.0556507295042228</v>
      </c>
      <c r="N3" s="127">
        <f>IF(SER_hh_tes_in!N3=0,"",SER_hh_tes_in!N3/SER_hh_fec_in!N3)</f>
        <v>1.0586337430192203</v>
      </c>
      <c r="O3" s="127">
        <f>IF(SER_hh_tes_in!O3=0,"",SER_hh_tes_in!O3/SER_hh_fec_in!O3)</f>
        <v>1.0444339711750708</v>
      </c>
      <c r="P3" s="127">
        <f>IF(SER_hh_tes_in!P3=0,"",SER_hh_tes_in!P3/SER_hh_fec_in!P3)</f>
        <v>1.1569347238609331</v>
      </c>
      <c r="Q3" s="127">
        <f>IF(SER_hh_tes_in!Q3=0,"",SER_hh_tes_in!Q3/SER_hh_fec_in!Q3)</f>
        <v>1.1000493205862312</v>
      </c>
      <c r="R3" s="127">
        <f>IF(SER_hh_tes_in!R3=0,"",SER_hh_tes_in!R3/SER_hh_fec_in!R3)</f>
        <v>1.089542991230843</v>
      </c>
      <c r="S3" s="127">
        <f>IF(SER_hh_tes_in!S3=0,"",SER_hh_tes_in!S3/SER_hh_fec_in!S3)</f>
        <v>1.0745234814279665</v>
      </c>
      <c r="T3" s="127">
        <f>IF(SER_hh_tes_in!T3=0,"",SER_hh_tes_in!T3/SER_hh_fec_in!T3)</f>
        <v>1.1114135540297361</v>
      </c>
      <c r="U3" s="127">
        <f>IF(SER_hh_tes_in!U3=0,"",SER_hh_tes_in!U3/SER_hh_fec_in!U3)</f>
        <v>1.1090366740050024</v>
      </c>
      <c r="V3" s="127">
        <f>IF(SER_hh_tes_in!V3=0,"",SER_hh_tes_in!V3/SER_hh_fec_in!V3)</f>
        <v>1.1185801267838482</v>
      </c>
      <c r="W3" s="127">
        <f>IF(SER_hh_tes_in!W3=0,"",SER_hh_tes_in!W3/SER_hh_fec_in!W3)</f>
        <v>1.0989664255631617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0.64644192820216129</v>
      </c>
      <c r="D4" s="136">
        <f>IF(SER_hh_tes_in!D4=0,"",SER_hh_tes_in!D4/SER_hh_fec_in!D4)</f>
        <v>0.70643995936388448</v>
      </c>
      <c r="E4" s="136">
        <f>IF(SER_hh_tes_in!E4=0,"",SER_hh_tes_in!E4/SER_hh_fec_in!E4)</f>
        <v>0.73576876369689226</v>
      </c>
      <c r="F4" s="136">
        <f>IF(SER_hh_tes_in!F4=0,"",SER_hh_tes_in!F4/SER_hh_fec_in!F4)</f>
        <v>0.84041525850254672</v>
      </c>
      <c r="G4" s="136">
        <f>IF(SER_hh_tes_in!G4=0,"",SER_hh_tes_in!G4/SER_hh_fec_in!G4)</f>
        <v>0.85793609242346336</v>
      </c>
      <c r="H4" s="136">
        <f>IF(SER_hh_tes_in!H4=0,"",SER_hh_tes_in!H4/SER_hh_fec_in!H4)</f>
        <v>0.87163494731043345</v>
      </c>
      <c r="I4" s="136">
        <f>IF(SER_hh_tes_in!I4=0,"",SER_hh_tes_in!I4/SER_hh_fec_in!I4)</f>
        <v>0.91821951863519502</v>
      </c>
      <c r="J4" s="136">
        <f>IF(SER_hh_tes_in!J4=0,"",SER_hh_tes_in!J4/SER_hh_fec_in!J4)</f>
        <v>0.9878091861330518</v>
      </c>
      <c r="K4" s="136">
        <f>IF(SER_hh_tes_in!K4=0,"",SER_hh_tes_in!K4/SER_hh_fec_in!K4)</f>
        <v>0.93833536114667904</v>
      </c>
      <c r="L4" s="136">
        <f>IF(SER_hh_tes_in!L4=0,"",SER_hh_tes_in!L4/SER_hh_fec_in!L4)</f>
        <v>0.89982029986829137</v>
      </c>
      <c r="M4" s="136">
        <f>IF(SER_hh_tes_in!M4=0,"",SER_hh_tes_in!M4/SER_hh_fec_in!M4)</f>
        <v>0.97427156268962989</v>
      </c>
      <c r="N4" s="136">
        <f>IF(SER_hh_tes_in!N4=0,"",SER_hh_tes_in!N4/SER_hh_fec_in!N4)</f>
        <v>0.96751315692806261</v>
      </c>
      <c r="O4" s="136">
        <f>IF(SER_hh_tes_in!O4=0,"",SER_hh_tes_in!O4/SER_hh_fec_in!O4)</f>
        <v>0.9584719562856866</v>
      </c>
      <c r="P4" s="136">
        <f>IF(SER_hh_tes_in!P4=0,"",SER_hh_tes_in!P4/SER_hh_fec_in!P4)</f>
        <v>1.1211187278278556</v>
      </c>
      <c r="Q4" s="136">
        <f>IF(SER_hh_tes_in!Q4=0,"",SER_hh_tes_in!Q4/SER_hh_fec_in!Q4)</f>
        <v>1.0080072414820347</v>
      </c>
      <c r="R4" s="136">
        <f>IF(SER_hh_tes_in!R4=0,"",SER_hh_tes_in!R4/SER_hh_fec_in!R4)</f>
        <v>1.0095656681209779</v>
      </c>
      <c r="S4" s="136">
        <f>IF(SER_hh_tes_in!S4=0,"",SER_hh_tes_in!S4/SER_hh_fec_in!S4)</f>
        <v>0.96744264413580283</v>
      </c>
      <c r="T4" s="136">
        <f>IF(SER_hh_tes_in!T4=0,"",SER_hh_tes_in!T4/SER_hh_fec_in!T4)</f>
        <v>1.0071006557515414</v>
      </c>
      <c r="U4" s="136">
        <f>IF(SER_hh_tes_in!U4=0,"",SER_hh_tes_in!U4/SER_hh_fec_in!U4)</f>
        <v>1.0007583251190462</v>
      </c>
      <c r="V4" s="136">
        <f>IF(SER_hh_tes_in!V4=0,"",SER_hh_tes_in!V4/SER_hh_fec_in!V4)</f>
        <v>1.0004183037497489</v>
      </c>
      <c r="W4" s="136">
        <f>IF(SER_hh_tes_in!W4=0,"",SER_hh_tes_in!W4/SER_hh_fec_in!W4)</f>
        <v>0.98066176836892549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>
        <f>IF(SER_hh_tes_in!O5=0,"",SER_hh_tes_in!O5/SER_hh_fec_in!O5)</f>
        <v>0.71826914014961907</v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0.55747742506644482</v>
      </c>
      <c r="D7" s="137">
        <f>IF(SER_hh_tes_in!D7=0,"",SER_hh_tes_in!D7/SER_hh_fec_in!D7)</f>
        <v>0.56338595654565404</v>
      </c>
      <c r="E7" s="137">
        <f>IF(SER_hh_tes_in!E7=0,"",SER_hh_tes_in!E7/SER_hh_fec_in!E7)</f>
        <v>0.56950422833406278</v>
      </c>
      <c r="F7" s="137">
        <f>IF(SER_hh_tes_in!F7=0,"",SER_hh_tes_in!F7/SER_hh_fec_in!F7)</f>
        <v>0.57559334079727453</v>
      </c>
      <c r="G7" s="137">
        <f>IF(SER_hh_tes_in!G7=0,"",SER_hh_tes_in!G7/SER_hh_fec_in!G7)</f>
        <v>0.58186123865647255</v>
      </c>
      <c r="H7" s="137">
        <f>IF(SER_hh_tes_in!H7=0,"",SER_hh_tes_in!H7/SER_hh_fec_in!H7)</f>
        <v>0.58827620875806674</v>
      </c>
      <c r="I7" s="137">
        <f>IF(SER_hh_tes_in!I7=0,"",SER_hh_tes_in!I7/SER_hh_fec_in!I7)</f>
        <v>0.59488316441667988</v>
      </c>
      <c r="J7" s="137" t="str">
        <f>IF(SER_hh_tes_in!J7=0,"",SER_hh_tes_in!J7/SER_hh_fec_in!J7)</f>
        <v/>
      </c>
      <c r="K7" s="137" t="str">
        <f>IF(SER_hh_tes_in!K7=0,"",SER_hh_tes_in!K7/SER_hh_fec_in!K7)</f>
        <v/>
      </c>
      <c r="L7" s="137" t="str">
        <f>IF(SER_hh_tes_in!L7=0,"",SER_hh_tes_in!L7/SER_hh_fec_in!L7)</f>
        <v/>
      </c>
      <c r="M7" s="137" t="str">
        <f>IF(SER_hh_tes_in!M7=0,"",SER_hh_tes_in!M7/SER_hh_fec_in!M7)</f>
        <v/>
      </c>
      <c r="N7" s="137" t="str">
        <f>IF(SER_hh_tes_in!N7=0,"",SER_hh_tes_in!N7/SER_hh_fec_in!N7)</f>
        <v/>
      </c>
      <c r="O7" s="137">
        <f>IF(SER_hh_tes_in!O7=0,"",SER_hh_tes_in!O7/SER_hh_fec_in!O7)</f>
        <v>0.67585530731205123</v>
      </c>
      <c r="P7" s="137">
        <f>IF(SER_hh_tes_in!P7=0,"",SER_hh_tes_in!P7/SER_hh_fec_in!P7)</f>
        <v>0.70574073094571332</v>
      </c>
      <c r="Q7" s="137">
        <f>IF(SER_hh_tes_in!Q7=0,"",SER_hh_tes_in!Q7/SER_hh_fec_in!Q7)</f>
        <v>0.73047402019077823</v>
      </c>
      <c r="R7" s="137">
        <f>IF(SER_hh_tes_in!R7=0,"",SER_hh_tes_in!R7/SER_hh_fec_in!R7)</f>
        <v>0.74257178113533795</v>
      </c>
      <c r="S7" s="137">
        <f>IF(SER_hh_tes_in!S7=0,"",SER_hh_tes_in!S7/SER_hh_fec_in!S7)</f>
        <v>0.75122758005365031</v>
      </c>
      <c r="T7" s="137">
        <f>IF(SER_hh_tes_in!T7=0,"",SER_hh_tes_in!T7/SER_hh_fec_in!T7)</f>
        <v>0.75756873024363425</v>
      </c>
      <c r="U7" s="137">
        <f>IF(SER_hh_tes_in!U7=0,"",SER_hh_tes_in!U7/SER_hh_fec_in!U7)</f>
        <v>0.76250820955428111</v>
      </c>
      <c r="V7" s="137">
        <f>IF(SER_hh_tes_in!V7=0,"",SER_hh_tes_in!V7/SER_hh_fec_in!V7)</f>
        <v>0.7667937185796696</v>
      </c>
      <c r="W7" s="137">
        <f>IF(SER_hh_tes_in!W7=0,"",SER_hh_tes_in!W7/SER_hh_fec_in!W7)</f>
        <v>0.76956328118066541</v>
      </c>
      <c r="DA7" s="164" t="s">
        <v>665</v>
      </c>
    </row>
    <row r="8" spans="1:105" ht="12" customHeight="1" x14ac:dyDescent="0.25">
      <c r="A8" s="132" t="s">
        <v>73</v>
      </c>
      <c r="B8" s="137"/>
      <c r="C8" s="137">
        <f>IF(SER_hh_tes_in!C8=0,"",SER_hh_tes_in!C8/SER_hh_fec_in!C8)</f>
        <v>1.120840734139064</v>
      </c>
      <c r="D8" s="137">
        <f>IF(SER_hh_tes_in!D8=0,"",SER_hh_tes_in!D8/SER_hh_fec_in!D8)</f>
        <v>1.1935005917947779</v>
      </c>
      <c r="E8" s="137">
        <f>IF(SER_hh_tes_in!E8=0,"",SER_hh_tes_in!E8/SER_hh_fec_in!E8)</f>
        <v>1.2678855239603892</v>
      </c>
      <c r="F8" s="137">
        <f>IF(SER_hh_tes_in!F8=0,"",SER_hh_tes_in!F8/SER_hh_fec_in!F8)</f>
        <v>1.3436711449332621</v>
      </c>
      <c r="G8" s="137">
        <f>IF(SER_hh_tes_in!G8=0,"",SER_hh_tes_in!G8/SER_hh_fec_in!G8)</f>
        <v>1.421125841625847</v>
      </c>
      <c r="H8" s="137">
        <f>IF(SER_hh_tes_in!H8=0,"",SER_hh_tes_in!H8/SER_hh_fec_in!H8)</f>
        <v>1.5001982955210837</v>
      </c>
      <c r="I8" s="137">
        <f>IF(SER_hh_tes_in!I8=0,"",SER_hh_tes_in!I8/SER_hh_fec_in!I8)</f>
        <v>1.5809359478806664</v>
      </c>
      <c r="J8" s="137">
        <f>IF(SER_hh_tes_in!J8=0,"",SER_hh_tes_in!J8/SER_hh_fec_in!J8)</f>
        <v>1.6635766898394506</v>
      </c>
      <c r="K8" s="137">
        <f>IF(SER_hh_tes_in!K8=0,"",SER_hh_tes_in!K8/SER_hh_fec_in!K8)</f>
        <v>1.7482991235058332</v>
      </c>
      <c r="L8" s="137">
        <f>IF(SER_hh_tes_in!L8=0,"",SER_hh_tes_in!L8/SER_hh_fec_in!L8)</f>
        <v>1.8351080350016824</v>
      </c>
      <c r="M8" s="137">
        <f>IF(SER_hh_tes_in!M8=0,"",SER_hh_tes_in!M8/SER_hh_fec_in!M8)</f>
        <v>1.9307039579056022</v>
      </c>
      <c r="N8" s="137">
        <f>IF(SER_hh_tes_in!N8=0,"",SER_hh_tes_in!N8/SER_hh_fec_in!N8)</f>
        <v>2.036828307878972</v>
      </c>
      <c r="O8" s="137">
        <f>IF(SER_hh_tes_in!O8=0,"",SER_hh_tes_in!O8/SER_hh_fec_in!O8)</f>
        <v>2.152574250277151</v>
      </c>
      <c r="P8" s="137">
        <f>IF(SER_hh_tes_in!P8=0,"",SER_hh_tes_in!P8/SER_hh_fec_in!P8)</f>
        <v>2.2691036258224067</v>
      </c>
      <c r="Q8" s="137">
        <f>IF(SER_hh_tes_in!Q8=0,"",SER_hh_tes_in!Q8/SER_hh_fec_in!Q8)</f>
        <v>2.3646638059428104</v>
      </c>
      <c r="R8" s="137">
        <f>IF(SER_hh_tes_in!R8=0,"",SER_hh_tes_in!R8/SER_hh_fec_in!R8)</f>
        <v>2.4045169234754971</v>
      </c>
      <c r="S8" s="137">
        <f>IF(SER_hh_tes_in!S8=0,"",SER_hh_tes_in!S8/SER_hh_fec_in!S8)</f>
        <v>2.4301496246939882</v>
      </c>
      <c r="T8" s="137">
        <f>IF(SER_hh_tes_in!T8=0,"",SER_hh_tes_in!T8/SER_hh_fec_in!T8)</f>
        <v>2.4469442525313534</v>
      </c>
      <c r="U8" s="137">
        <f>IF(SER_hh_tes_in!U8=0,"",SER_hh_tes_in!U8/SER_hh_fec_in!U8)</f>
        <v>2.4603772462061251</v>
      </c>
      <c r="V8" s="137">
        <f>IF(SER_hh_tes_in!V8=0,"",SER_hh_tes_in!V8/SER_hh_fec_in!V8)</f>
        <v>2.4760797354789426</v>
      </c>
      <c r="W8" s="137">
        <f>IF(SER_hh_tes_in!W8=0,"",SER_hh_tes_in!W8/SER_hh_fec_in!W8)</f>
        <v>2.4934373354165444</v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0.63812569934212882</v>
      </c>
      <c r="D9" s="137">
        <f>IF(SER_hh_tes_in!D9=0,"",SER_hh_tes_in!D9/SER_hh_fec_in!D9)</f>
        <v>0.64675034541037202</v>
      </c>
      <c r="E9" s="137">
        <f>IF(SER_hh_tes_in!E9=0,"",SER_hh_tes_in!E9/SER_hh_fec_in!E9)</f>
        <v>0.65537779459613676</v>
      </c>
      <c r="F9" s="137" t="str">
        <f>IF(SER_hh_tes_in!F9=0,"",SER_hh_tes_in!F9/SER_hh_fec_in!F9)</f>
        <v/>
      </c>
      <c r="G9" s="137" t="str">
        <f>IF(SER_hh_tes_in!G9=0,"",SER_hh_tes_in!G9/SER_hh_fec_in!G9)</f>
        <v/>
      </c>
      <c r="H9" s="137" t="str">
        <f>IF(SER_hh_tes_in!H9=0,"",SER_hh_tes_in!H9/SER_hh_fec_in!H9)</f>
        <v/>
      </c>
      <c r="I9" s="137" t="str">
        <f>IF(SER_hh_tes_in!I9=0,"",SER_hh_tes_in!I9/SER_hh_fec_in!I9)</f>
        <v/>
      </c>
      <c r="J9" s="137" t="str">
        <f>IF(SER_hh_tes_in!J9=0,"",SER_hh_tes_in!J9/SER_hh_fec_in!J9)</f>
        <v/>
      </c>
      <c r="K9" s="137">
        <f>IF(SER_hh_tes_in!K9=0,"",SER_hh_tes_in!K9/SER_hh_fec_in!K9)</f>
        <v>0.70686120103767247</v>
      </c>
      <c r="L9" s="137">
        <f>IF(SER_hh_tes_in!L9=0,"",SER_hh_tes_in!L9/SER_hh_fec_in!L9)</f>
        <v>0.71591120321284896</v>
      </c>
      <c r="M9" s="137">
        <f>IF(SER_hh_tes_in!M9=0,"",SER_hh_tes_in!M9/SER_hh_fec_in!M9)</f>
        <v>0.727479307024397</v>
      </c>
      <c r="N9" s="137">
        <f>IF(SER_hh_tes_in!N9=0,"",SER_hh_tes_in!N9/SER_hh_fec_in!N9)</f>
        <v>0.74232370129022551</v>
      </c>
      <c r="O9" s="137">
        <f>IF(SER_hh_tes_in!O9=0,"",SER_hh_tes_in!O9/SER_hh_fec_in!O9)</f>
        <v>0.76088266885599642</v>
      </c>
      <c r="P9" s="137">
        <f>IF(SER_hh_tes_in!P9=0,"",SER_hh_tes_in!P9/SER_hh_fec_in!P9)</f>
        <v>0.78149450377737162</v>
      </c>
      <c r="Q9" s="137">
        <f>IF(SER_hh_tes_in!Q9=0,"",SER_hh_tes_in!Q9/SER_hh_fec_in!Q9)</f>
        <v>0.79897209468974129</v>
      </c>
      <c r="R9" s="137">
        <f>IF(SER_hh_tes_in!R9=0,"",SER_hh_tes_in!R9/SER_hh_fec_in!R9)</f>
        <v>0.80890585372956103</v>
      </c>
      <c r="S9" s="137">
        <f>IF(SER_hh_tes_in!S9=0,"",SER_hh_tes_in!S9/SER_hh_fec_in!S9)</f>
        <v>0.81657415382529153</v>
      </c>
      <c r="T9" s="137">
        <f>IF(SER_hh_tes_in!T9=0,"",SER_hh_tes_in!T9/SER_hh_fec_in!T9)</f>
        <v>0.82268493468522341</v>
      </c>
      <c r="U9" s="137">
        <f>IF(SER_hh_tes_in!U9=0,"",SER_hh_tes_in!U9/SER_hh_fec_in!U9)</f>
        <v>0.82777300980967294</v>
      </c>
      <c r="V9" s="137" t="str">
        <f>IF(SER_hh_tes_in!V9=0,"",SER_hh_tes_in!V9/SER_hh_fec_in!V9)</f>
        <v/>
      </c>
      <c r="W9" s="137">
        <f>IF(SER_hh_tes_in!W9=0,"",SER_hh_tes_in!W9/SER_hh_fec_in!W9)</f>
        <v>0.83524603691193677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0.58749166553896104</v>
      </c>
      <c r="D10" s="137">
        <f>IF(SER_hh_tes_in!D10=0,"",SER_hh_tes_in!D10/SER_hh_fec_in!D10)</f>
        <v>0.58778625626699488</v>
      </c>
      <c r="E10" s="137">
        <f>IF(SER_hh_tes_in!E10=0,"",SER_hh_tes_in!E10/SER_hh_fec_in!E10)</f>
        <v>0.58808364751478504</v>
      </c>
      <c r="F10" s="137">
        <f>IF(SER_hh_tes_in!F10=0,"",SER_hh_tes_in!F10/SER_hh_fec_in!F10)</f>
        <v>0.58838355340043824</v>
      </c>
      <c r="G10" s="137">
        <f>IF(SER_hh_tes_in!G10=0,"",SER_hh_tes_in!G10/SER_hh_fec_in!G10)</f>
        <v>0.58868568974082158</v>
      </c>
      <c r="H10" s="137">
        <f>IF(SER_hh_tes_in!H10=0,"",SER_hh_tes_in!H10/SER_hh_fec_in!H10)</f>
        <v>0.58898971795382615</v>
      </c>
      <c r="I10" s="137">
        <f>IF(SER_hh_tes_in!I10=0,"",SER_hh_tes_in!I10/SER_hh_fec_in!I10)</f>
        <v>0.58929519282799436</v>
      </c>
      <c r="J10" s="137">
        <f>IF(SER_hh_tes_in!J10=0,"",SER_hh_tes_in!J10/SER_hh_fec_in!J10)</f>
        <v>0.58960115441897543</v>
      </c>
      <c r="K10" s="137">
        <f>IF(SER_hh_tes_in!K10=0,"",SER_hh_tes_in!K10/SER_hh_fec_in!K10)</f>
        <v>0.58990633288281757</v>
      </c>
      <c r="L10" s="137">
        <f>IF(SER_hh_tes_in!L10=0,"",SER_hh_tes_in!L10/SER_hh_fec_in!L10)</f>
        <v>0.5902096011580249</v>
      </c>
      <c r="M10" s="137">
        <f>IF(SER_hh_tes_in!M10=0,"",SER_hh_tes_in!M10/SER_hh_fec_in!M10)</f>
        <v>0.59048889922275005</v>
      </c>
      <c r="N10" s="137" t="str">
        <f>IF(SER_hh_tes_in!N10=0,"",SER_hh_tes_in!N10/SER_hh_fec_in!N10)</f>
        <v/>
      </c>
      <c r="O10" s="137">
        <f>IF(SER_hh_tes_in!O10=0,"",SER_hh_tes_in!O10/SER_hh_fec_in!O10)</f>
        <v>0.59093365125923092</v>
      </c>
      <c r="P10" s="137">
        <f>IF(SER_hh_tes_in!P10=0,"",SER_hh_tes_in!P10/SER_hh_fec_in!P10)</f>
        <v>0.59110994226903002</v>
      </c>
      <c r="Q10" s="137">
        <f>IF(SER_hh_tes_in!Q10=0,"",SER_hh_tes_in!Q10/SER_hh_fec_in!Q10)</f>
        <v>0.59131982058802435</v>
      </c>
      <c r="R10" s="137">
        <f>IF(SER_hh_tes_in!R10=0,"",SER_hh_tes_in!R10/SER_hh_fec_in!R10)</f>
        <v>0.59162927954198286</v>
      </c>
      <c r="S10" s="137">
        <f>IF(SER_hh_tes_in!S10=0,"",SER_hh_tes_in!S10/SER_hh_fec_in!S10)</f>
        <v>0.59197611221870872</v>
      </c>
      <c r="T10" s="137">
        <f>IF(SER_hh_tes_in!T10=0,"",SER_hh_tes_in!T10/SER_hh_fec_in!T10)</f>
        <v>0.59232462722775536</v>
      </c>
      <c r="U10" s="137">
        <f>IF(SER_hh_tes_in!U10=0,"",SER_hh_tes_in!U10/SER_hh_fec_in!U10)</f>
        <v>0.59264565640082945</v>
      </c>
      <c r="V10" s="137">
        <f>IF(SER_hh_tes_in!V10=0,"",SER_hh_tes_in!V10/SER_hh_fec_in!V10)</f>
        <v>0.59291475158338736</v>
      </c>
      <c r="W10" s="137">
        <f>IF(SER_hh_tes_in!W10=0,"",SER_hh_tes_in!W10/SER_hh_fec_in!W10)</f>
        <v>0.59313120139965381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>
        <f>IF(SER_hh_tes_in!C11=0,"",SER_hh_tes_in!C11/SER_hh_fec_in!C11)</f>
        <v>0.85785171302578089</v>
      </c>
      <c r="D11" s="137">
        <f>IF(SER_hh_tes_in!D11=0,"",SER_hh_tes_in!D11/SER_hh_fec_in!D11)</f>
        <v>0.86061375149211672</v>
      </c>
      <c r="E11" s="137">
        <f>IF(SER_hh_tes_in!E11=0,"",SER_hh_tes_in!E11/SER_hh_fec_in!E11)</f>
        <v>0.86337621048457769</v>
      </c>
      <c r="F11" s="137">
        <f>IF(SER_hh_tes_in!F11=0,"",SER_hh_tes_in!F11/SER_hh_fec_in!F11)</f>
        <v>0.86613872682151027</v>
      </c>
      <c r="G11" s="137">
        <f>IF(SER_hh_tes_in!G11=0,"",SER_hh_tes_in!G11/SER_hh_fec_in!G11)</f>
        <v>0.8689016304382694</v>
      </c>
      <c r="H11" s="137">
        <f>IF(SER_hh_tes_in!H11=0,"",SER_hh_tes_in!H11/SER_hh_fec_in!H11)</f>
        <v>0.87166488095496819</v>
      </c>
      <c r="I11" s="137">
        <f>IF(SER_hh_tes_in!I11=0,"",SER_hh_tes_in!I11/SER_hh_fec_in!I11)</f>
        <v>0.87442855966768762</v>
      </c>
      <c r="J11" s="137">
        <f>IF(SER_hh_tes_in!J11=0,"",SER_hh_tes_in!J11/SER_hh_fec_in!J11)</f>
        <v>0.87719299961777775</v>
      </c>
      <c r="K11" s="137">
        <f>IF(SER_hh_tes_in!K11=0,"",SER_hh_tes_in!K11/SER_hh_fec_in!K11)</f>
        <v>0.87995848397798448</v>
      </c>
      <c r="L11" s="137">
        <f>IF(SER_hh_tes_in!L11=0,"",SER_hh_tes_in!L11/SER_hh_fec_in!L11)</f>
        <v>0.88272508850862752</v>
      </c>
      <c r="M11" s="137">
        <f>IF(SER_hh_tes_in!M11=0,"",SER_hh_tes_in!M11/SER_hh_fec_in!M11)</f>
        <v>0.88552125755208111</v>
      </c>
      <c r="N11" s="137">
        <f>IF(SER_hh_tes_in!N11=0,"",SER_hh_tes_in!N11/SER_hh_fec_in!N11)</f>
        <v>0.88835762908189797</v>
      </c>
      <c r="O11" s="137">
        <f>IF(SER_hh_tes_in!O11=0,"",SER_hh_tes_in!O11/SER_hh_fec_in!O11)</f>
        <v>0.89122128796297995</v>
      </c>
      <c r="P11" s="137">
        <f>IF(SER_hh_tes_in!P11=0,"",SER_hh_tes_in!P11/SER_hh_fec_in!P11)</f>
        <v>0.89405237601198184</v>
      </c>
      <c r="Q11" s="137">
        <f>IF(SER_hh_tes_in!Q11=0,"",SER_hh_tes_in!Q11/SER_hh_fec_in!Q11)</f>
        <v>0.89668437135569734</v>
      </c>
      <c r="R11" s="137">
        <f>IF(SER_hh_tes_in!R11=0,"",SER_hh_tes_in!R11/SER_hh_fec_in!R11)</f>
        <v>0.89898061731527124</v>
      </c>
      <c r="S11" s="137">
        <f>IF(SER_hh_tes_in!S11=0,"",SER_hh_tes_in!S11/SER_hh_fec_in!S11)</f>
        <v>0.90109517870316658</v>
      </c>
      <c r="T11" s="137">
        <f>IF(SER_hh_tes_in!T11=0,"",SER_hh_tes_in!T11/SER_hh_fec_in!T11)</f>
        <v>0.90306513784828168</v>
      </c>
      <c r="U11" s="137">
        <f>IF(SER_hh_tes_in!U11=0,"",SER_hh_tes_in!U11/SER_hh_fec_in!U11)</f>
        <v>0.90492757707952198</v>
      </c>
      <c r="V11" s="137">
        <f>IF(SER_hh_tes_in!V11=0,"",SER_hh_tes_in!V11/SER_hh_fec_in!V11)</f>
        <v>0.90671957872578945</v>
      </c>
      <c r="W11" s="137">
        <f>IF(SER_hh_tes_in!W11=0,"",SER_hh_tes_in!W11/SER_hh_fec_in!W11)</f>
        <v>0.90839505674736121</v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0.86351630885897246</v>
      </c>
      <c r="D12" s="137">
        <f>IF(SER_hh_tes_in!D12=0,"",SER_hh_tes_in!D12/SER_hh_fec_in!D12)</f>
        <v>0.8654500983427077</v>
      </c>
      <c r="E12" s="137">
        <f>IF(SER_hh_tes_in!E12=0,"",SER_hh_tes_in!E12/SER_hh_fec_in!E12)</f>
        <v>0.86743609509741282</v>
      </c>
      <c r="F12" s="137">
        <f>IF(SER_hh_tes_in!F12=0,"",SER_hh_tes_in!F12/SER_hh_fec_in!F12)</f>
        <v>0.86942921102543191</v>
      </c>
      <c r="G12" s="137">
        <f>IF(SER_hh_tes_in!G12=0,"",SER_hh_tes_in!G12/SER_hh_fec_in!G12)</f>
        <v>0.8714704067792326</v>
      </c>
      <c r="H12" s="137">
        <f>IF(SER_hh_tes_in!H12=0,"",SER_hh_tes_in!H12/SER_hh_fec_in!H12)</f>
        <v>0.87355466929641135</v>
      </c>
      <c r="I12" s="137">
        <f>IF(SER_hh_tes_in!I12=0,"",SER_hh_tes_in!I12/SER_hh_fec_in!I12)</f>
        <v>0.87569209128293279</v>
      </c>
      <c r="J12" s="137">
        <f>IF(SER_hh_tes_in!J12=0,"",SER_hh_tes_in!J12/SER_hh_fec_in!J12)</f>
        <v>0.87792401899273065</v>
      </c>
      <c r="K12" s="137">
        <f>IF(SER_hh_tes_in!K12=0,"",SER_hh_tes_in!K12/SER_hh_fec_in!K12)</f>
        <v>0.88028560761700603</v>
      </c>
      <c r="L12" s="137">
        <f>IF(SER_hh_tes_in!L12=0,"",SER_hh_tes_in!L12/SER_hh_fec_in!L12)</f>
        <v>0.88278626261069504</v>
      </c>
      <c r="M12" s="137">
        <f>IF(SER_hh_tes_in!M12=0,"",SER_hh_tes_in!M12/SER_hh_fec_in!M12)</f>
        <v>0.88624873163369267</v>
      </c>
      <c r="N12" s="137">
        <f>IF(SER_hh_tes_in!N12=0,"",SER_hh_tes_in!N12/SER_hh_fec_in!N12)</f>
        <v>0.89093314685559921</v>
      </c>
      <c r="O12" s="137">
        <f>IF(SER_hh_tes_in!O12=0,"",SER_hh_tes_in!O12/SER_hh_fec_in!O12)</f>
        <v>0.89706754573286174</v>
      </c>
      <c r="P12" s="137">
        <f>IF(SER_hh_tes_in!P12=0,"",SER_hh_tes_in!P12/SER_hh_fec_in!P12)</f>
        <v>0.90421807028553036</v>
      </c>
      <c r="Q12" s="137">
        <f>IF(SER_hh_tes_in!Q12=0,"",SER_hh_tes_in!Q12/SER_hh_fec_in!Q12)</f>
        <v>0.91096442613857997</v>
      </c>
      <c r="R12" s="137">
        <f>IF(SER_hh_tes_in!R12=0,"",SER_hh_tes_in!R12/SER_hh_fec_in!R12)</f>
        <v>0.91613393346329319</v>
      </c>
      <c r="S12" s="137">
        <f>IF(SER_hh_tes_in!S12=0,"",SER_hh_tes_in!S12/SER_hh_fec_in!S12)</f>
        <v>0.92116299991246375</v>
      </c>
      <c r="T12" s="137">
        <f>IF(SER_hh_tes_in!T12=0,"",SER_hh_tes_in!T12/SER_hh_fec_in!T12)</f>
        <v>0.92601802342041917</v>
      </c>
      <c r="U12" s="137">
        <f>IF(SER_hh_tes_in!U12=0,"",SER_hh_tes_in!U12/SER_hh_fec_in!U12)</f>
        <v>0.93066540192150227</v>
      </c>
      <c r="V12" s="137">
        <f>IF(SER_hh_tes_in!V12=0,"",SER_hh_tes_in!V12/SER_hh_fec_in!V12)</f>
        <v>0.93507153335005</v>
      </c>
      <c r="W12" s="137">
        <f>IF(SER_hh_tes_in!W12=0,"",SER_hh_tes_in!W12/SER_hh_fec_in!W12)</f>
        <v>0.93913042965625659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1.5405635989490536</v>
      </c>
      <c r="D13" s="137">
        <f>IF(SER_hh_tes_in!D13=0,"",SER_hh_tes_in!D13/SER_hh_fec_in!D13)</f>
        <v>1.6492155298062767</v>
      </c>
      <c r="E13" s="137">
        <f>IF(SER_hh_tes_in!E13=0,"",SER_hh_tes_in!E13/SER_hh_fec_in!E13)</f>
        <v>1.7609792700723892</v>
      </c>
      <c r="F13" s="137">
        <f>IF(SER_hh_tes_in!F13=0,"",SER_hh_tes_in!F13/SER_hh_fec_in!F13)</f>
        <v>1.8753902349585769</v>
      </c>
      <c r="G13" s="137">
        <f>IF(SER_hh_tes_in!G13=0,"",SER_hh_tes_in!G13/SER_hh_fec_in!G13)</f>
        <v>1.9928343963646302</v>
      </c>
      <c r="H13" s="137">
        <f>IF(SER_hh_tes_in!H13=0,"",SER_hh_tes_in!H13/SER_hh_fec_in!H13)</f>
        <v>2.1132389252937358</v>
      </c>
      <c r="I13" s="137">
        <f>IF(SER_hh_tes_in!I13=0,"",SER_hh_tes_in!I13/SER_hh_fec_in!I13)</f>
        <v>2.2366722699244792</v>
      </c>
      <c r="J13" s="137">
        <f>IF(SER_hh_tes_in!J13=0,"",SER_hh_tes_in!J13/SER_hh_fec_in!J13)</f>
        <v>2.3634742052920492</v>
      </c>
      <c r="K13" s="137">
        <f>IF(SER_hh_tes_in!K13=0,"",SER_hh_tes_in!K13/SER_hh_fec_in!K13)</f>
        <v>2.4938961909301058</v>
      </c>
      <c r="L13" s="137">
        <f>IF(SER_hh_tes_in!L13=0,"",SER_hh_tes_in!L13/SER_hh_fec_in!L13)</f>
        <v>2.6279376900189302</v>
      </c>
      <c r="M13" s="137">
        <f>IF(SER_hh_tes_in!M13=0,"",SER_hh_tes_in!M13/SER_hh_fec_in!M13)</f>
        <v>2.7753268790955188</v>
      </c>
      <c r="N13" s="137">
        <f>IF(SER_hh_tes_in!N13=0,"",SER_hh_tes_in!N13/SER_hh_fec_in!N13)</f>
        <v>2.9385350224066258</v>
      </c>
      <c r="O13" s="137">
        <f>IF(SER_hh_tes_in!O13=0,"",SER_hh_tes_in!O13/SER_hh_fec_in!O13)</f>
        <v>3.1159129641340115</v>
      </c>
      <c r="P13" s="137">
        <f>IF(SER_hh_tes_in!P13=0,"",SER_hh_tes_in!P13/SER_hh_fec_in!P13)</f>
        <v>3.2939560754283543</v>
      </c>
      <c r="Q13" s="137">
        <f>IF(SER_hh_tes_in!Q13=0,"",SER_hh_tes_in!Q13/SER_hh_fec_in!Q13)</f>
        <v>3.4399046581620705</v>
      </c>
      <c r="R13" s="137">
        <f>IF(SER_hh_tes_in!R13=0,"",SER_hh_tes_in!R13/SER_hh_fec_in!R13)</f>
        <v>3.4995690052475248</v>
      </c>
      <c r="S13" s="137">
        <f>IF(SER_hh_tes_in!S13=0,"",SER_hh_tes_in!S13/SER_hh_fec_in!S13)</f>
        <v>3.5373341952009425</v>
      </c>
      <c r="T13" s="137">
        <f>IF(SER_hh_tes_in!T13=0,"",SER_hh_tes_in!T13/SER_hh_fec_in!T13)</f>
        <v>3.5615555026959065</v>
      </c>
      <c r="U13" s="137">
        <f>IF(SER_hh_tes_in!U13=0,"",SER_hh_tes_in!U13/SER_hh_fec_in!U13)</f>
        <v>3.5808323413647014</v>
      </c>
      <c r="V13" s="137">
        <f>IF(SER_hh_tes_in!V13=0,"",SER_hh_tes_in!V13/SER_hh_fec_in!V13)</f>
        <v>3.6041019123643894</v>
      </c>
      <c r="W13" s="137">
        <f>IF(SER_hh_tes_in!W13=0,"",SER_hh_tes_in!W13/SER_hh_fec_in!W13)</f>
        <v>3.6307037910238136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 t="str">
        <f>IF(SER_hh_tes_in!C14=0,"",SER_hh_tes_in!C14/SER_hh_fec_in!C14)</f>
        <v/>
      </c>
      <c r="D14" s="138" t="str">
        <f>IF(SER_hh_tes_in!D14=0,"",SER_hh_tes_in!D14/SER_hh_fec_in!D14)</f>
        <v/>
      </c>
      <c r="E14" s="138">
        <f>IF(SER_hh_tes_in!E14=0,"",SER_hh_tes_in!E14/SER_hh_fec_in!E14)</f>
        <v>0.7884416176671416</v>
      </c>
      <c r="F14" s="138">
        <f>IF(SER_hh_tes_in!F14=0,"",SER_hh_tes_in!F14/SER_hh_fec_in!F14)</f>
        <v>0.79171267607487583</v>
      </c>
      <c r="G14" s="138">
        <f>IF(SER_hh_tes_in!G14=0,"",SER_hh_tes_in!G14/SER_hh_fec_in!G14)</f>
        <v>0.79505878304301114</v>
      </c>
      <c r="H14" s="138">
        <f>IF(SER_hh_tes_in!H14=0,"",SER_hh_tes_in!H14/SER_hh_fec_in!H14)</f>
        <v>0.79847205609696237</v>
      </c>
      <c r="I14" s="138">
        <f>IF(SER_hh_tes_in!I14=0,"",SER_hh_tes_in!I14/SER_hh_fec_in!I14)</f>
        <v>0.80196820798767809</v>
      </c>
      <c r="J14" s="138">
        <f>IF(SER_hh_tes_in!J14=0,"",SER_hh_tes_in!J14/SER_hh_fec_in!J14)</f>
        <v>0.8056117166539305</v>
      </c>
      <c r="K14" s="138" t="str">
        <f>IF(SER_hh_tes_in!K14=0,"",SER_hh_tes_in!K14/SER_hh_fec_in!K14)</f>
        <v/>
      </c>
      <c r="L14" s="138">
        <f>IF(SER_hh_tes_in!L14=0,"",SER_hh_tes_in!L14/SER_hh_fec_in!L14)</f>
        <v>0.8135189388384042</v>
      </c>
      <c r="M14" s="138">
        <f>IF(SER_hh_tes_in!M14=0,"",SER_hh_tes_in!M14/SER_hh_fec_in!M14)</f>
        <v>0.81891938976792855</v>
      </c>
      <c r="N14" s="138">
        <f>IF(SER_hh_tes_in!N14=0,"",SER_hh_tes_in!N14/SER_hh_fec_in!N14)</f>
        <v>0.82599171547740746</v>
      </c>
      <c r="O14" s="138">
        <f>IF(SER_hh_tes_in!O14=0,"",SER_hh_tes_in!O14/SER_hh_fec_in!O14)</f>
        <v>0.83517319032210302</v>
      </c>
      <c r="P14" s="138" t="str">
        <f>IF(SER_hh_tes_in!P14=0,"",SER_hh_tes_in!P14/SER_hh_fec_in!P14)</f>
        <v/>
      </c>
      <c r="Q14" s="138" t="str">
        <f>IF(SER_hh_tes_in!Q14=0,"",SER_hh_tes_in!Q14/SER_hh_fec_in!Q14)</f>
        <v/>
      </c>
      <c r="R14" s="138" t="str">
        <f>IF(SER_hh_tes_in!R14=0,"",SER_hh_tes_in!R14/SER_hh_fec_in!R14)</f>
        <v/>
      </c>
      <c r="S14" s="138">
        <f>IF(SER_hh_tes_in!S14=0,"",SER_hh_tes_in!S14/SER_hh_fec_in!S14)</f>
        <v>0.88499854877569584</v>
      </c>
      <c r="T14" s="138">
        <f>IF(SER_hh_tes_in!T14=0,"",SER_hh_tes_in!T14/SER_hh_fec_in!T14)</f>
        <v>0.89978519878416918</v>
      </c>
      <c r="U14" s="138">
        <f>IF(SER_hh_tes_in!U14=0,"",SER_hh_tes_in!U14/SER_hh_fec_in!U14)</f>
        <v>0.91285851959617503</v>
      </c>
      <c r="V14" s="138">
        <f>IF(SER_hh_tes_in!V14=0,"",SER_hh_tes_in!V14/SER_hh_fec_in!V14)</f>
        <v>0.92232688218892234</v>
      </c>
      <c r="W14" s="138">
        <f>IF(SER_hh_tes_in!W14=0,"",SER_hh_tes_in!W14/SER_hh_fec_in!W14)</f>
        <v>0.92708337591591372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2.3865454817320173</v>
      </c>
      <c r="D16" s="136">
        <f>IF(SER_hh_tes_in!D16=0,"",SER_hh_tes_in!D16/SER_hh_fec_in!D16)</f>
        <v>2.464969980582441</v>
      </c>
      <c r="E16" s="136">
        <f>IF(SER_hh_tes_in!E16=0,"",SER_hh_tes_in!E16/SER_hh_fec_in!E16)</f>
        <v>2.5482147376277511</v>
      </c>
      <c r="F16" s="136">
        <f>IF(SER_hh_tes_in!F16=0,"",SER_hh_tes_in!F16/SER_hh_fec_in!F16)</f>
        <v>2.6225751492595033</v>
      </c>
      <c r="G16" s="136">
        <f>IF(SER_hh_tes_in!G16=0,"",SER_hh_tes_in!G16/SER_hh_fec_in!G16)</f>
        <v>2.7071672093326384</v>
      </c>
      <c r="H16" s="136">
        <f>IF(SER_hh_tes_in!H16=0,"",SER_hh_tes_in!H16/SER_hh_fec_in!H16)</f>
        <v>2.789997848535736</v>
      </c>
      <c r="I16" s="136">
        <f>IF(SER_hh_tes_in!I16=0,"",SER_hh_tes_in!I16/SER_hh_fec_in!I16)</f>
        <v>2.8679691535025538</v>
      </c>
      <c r="J16" s="136">
        <f>IF(SER_hh_tes_in!J16=0,"",SER_hh_tes_in!J16/SER_hh_fec_in!J16)</f>
        <v>2.9520462167163308</v>
      </c>
      <c r="K16" s="136">
        <f>IF(SER_hh_tes_in!K16=0,"",SER_hh_tes_in!K16/SER_hh_fec_in!K16)</f>
        <v>3.022061456031512</v>
      </c>
      <c r="L16" s="136">
        <f>IF(SER_hh_tes_in!L16=0,"",SER_hh_tes_in!L16/SER_hh_fec_in!L16)</f>
        <v>3.1266547939788047</v>
      </c>
      <c r="M16" s="136">
        <f>IF(SER_hh_tes_in!M16=0,"",SER_hh_tes_in!M16/SER_hh_fec_in!M16)</f>
        <v>3.2289449985473735</v>
      </c>
      <c r="N16" s="136">
        <f>IF(SER_hh_tes_in!N16=0,"",SER_hh_tes_in!N16/SER_hh_fec_in!N16)</f>
        <v>3.3487133199313766</v>
      </c>
      <c r="O16" s="136">
        <f>IF(SER_hh_tes_in!O16=0,"",SER_hh_tes_in!O16/SER_hh_fec_in!O16)</f>
        <v>3.4985005225741364</v>
      </c>
      <c r="P16" s="136">
        <f>IF(SER_hh_tes_in!P16=0,"",SER_hh_tes_in!P16/SER_hh_fec_in!P16)</f>
        <v>3.6552987302891791</v>
      </c>
      <c r="Q16" s="136">
        <f>IF(SER_hh_tes_in!Q16=0,"",SER_hh_tes_in!Q16/SER_hh_fec_in!Q16)</f>
        <v>3.792891560165438</v>
      </c>
      <c r="R16" s="136">
        <f>IF(SER_hh_tes_in!R16=0,"",SER_hh_tes_in!R16/SER_hh_fec_in!R16)</f>
        <v>3.8938557643533027</v>
      </c>
      <c r="S16" s="136">
        <f>IF(SER_hh_tes_in!S16=0,"",SER_hh_tes_in!S16/SER_hh_fec_in!S16)</f>
        <v>3.943065661213601</v>
      </c>
      <c r="T16" s="136">
        <f>IF(SER_hh_tes_in!T16=0,"",SER_hh_tes_in!T16/SER_hh_fec_in!T16)</f>
        <v>4.0119015090503574</v>
      </c>
      <c r="U16" s="136">
        <f>IF(SER_hh_tes_in!U16=0,"",SER_hh_tes_in!U16/SER_hh_fec_in!U16)</f>
        <v>4.0409553412844694</v>
      </c>
      <c r="V16" s="136">
        <f>IF(SER_hh_tes_in!V16=0,"",SER_hh_tes_in!V16/SER_hh_fec_in!V16)</f>
        <v>4.1349709213591161</v>
      </c>
      <c r="W16" s="136">
        <f>IF(SER_hh_tes_in!W16=0,"",SER_hh_tes_in!W16/SER_hh_fec_in!W16)</f>
        <v>4.1757352099882148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1.2982504702794118</v>
      </c>
      <c r="D17" s="137">
        <f>IF(SER_hh_tes_in!D17=0,"",SER_hh_tes_in!D17/SER_hh_fec_in!D17)</f>
        <v>1.3028073070374546</v>
      </c>
      <c r="E17" s="137">
        <f>IF(SER_hh_tes_in!E17=0,"",SER_hh_tes_in!E17/SER_hh_fec_in!E17)</f>
        <v>1.3065648038334803</v>
      </c>
      <c r="F17" s="137">
        <f>IF(SER_hh_tes_in!F17=0,"",SER_hh_tes_in!F17/SER_hh_fec_in!F17)</f>
        <v>1.3096629392472316</v>
      </c>
      <c r="G17" s="137">
        <f>IF(SER_hh_tes_in!G17=0,"",SER_hh_tes_in!G17/SER_hh_fec_in!G17)</f>
        <v>1.3121361300439065</v>
      </c>
      <c r="H17" s="137">
        <f>IF(SER_hh_tes_in!H17=0,"",SER_hh_tes_in!H17/SER_hh_fec_in!H17)</f>
        <v>1.3142300160755136</v>
      </c>
      <c r="I17" s="137">
        <f>IF(SER_hh_tes_in!I17=0,"",SER_hh_tes_in!I17/SER_hh_fec_in!I17)</f>
        <v>1.3160205935660791</v>
      </c>
      <c r="J17" s="137">
        <f>IF(SER_hh_tes_in!J17=0,"",SER_hh_tes_in!J17/SER_hh_fec_in!J17)</f>
        <v>1.3177644842977108</v>
      </c>
      <c r="K17" s="137">
        <f>IF(SER_hh_tes_in!K17=0,"",SER_hh_tes_in!K17/SER_hh_fec_in!K17)</f>
        <v>1.3198320419631056</v>
      </c>
      <c r="L17" s="137">
        <f>IF(SER_hh_tes_in!L17=0,"",SER_hh_tes_in!L17/SER_hh_fec_in!L17)</f>
        <v>1.3224586821703115</v>
      </c>
      <c r="M17" s="137">
        <f>IF(SER_hh_tes_in!M17=0,"",SER_hh_tes_in!M17/SER_hh_fec_in!M17)</f>
        <v>1.3288251057149665</v>
      </c>
      <c r="N17" s="137">
        <f>IF(SER_hh_tes_in!N17=0,"",SER_hh_tes_in!N17/SER_hh_fec_in!N17)</f>
        <v>1.3432378716224005</v>
      </c>
      <c r="O17" s="137">
        <f>IF(SER_hh_tes_in!O17=0,"",SER_hh_tes_in!O17/SER_hh_fec_in!O17)</f>
        <v>1.3672650412077703</v>
      </c>
      <c r="P17" s="137">
        <f>IF(SER_hh_tes_in!P17=0,"",SER_hh_tes_in!P17/SER_hh_fec_in!P17)</f>
        <v>1.400417354541136</v>
      </c>
      <c r="Q17" s="137">
        <f>IF(SER_hh_tes_in!Q17=0,"",SER_hh_tes_in!Q17/SER_hh_fec_in!Q17)</f>
        <v>1.4357481775617169</v>
      </c>
      <c r="R17" s="137">
        <f>IF(SER_hh_tes_in!R17=0,"",SER_hh_tes_in!R17/SER_hh_fec_in!R17)</f>
        <v>1.4648979870794114</v>
      </c>
      <c r="S17" s="137">
        <f>IF(SER_hh_tes_in!S17=0,"",SER_hh_tes_in!S17/SER_hh_fec_in!S17)</f>
        <v>1.4937377912783545</v>
      </c>
      <c r="T17" s="137">
        <f>IF(SER_hh_tes_in!T17=0,"",SER_hh_tes_in!T17/SER_hh_fec_in!T17)</f>
        <v>1.5274300341276892</v>
      </c>
      <c r="U17" s="137">
        <f>IF(SER_hh_tes_in!U17=0,"",SER_hh_tes_in!U17/SER_hh_fec_in!U17)</f>
        <v>1.5631140191261428</v>
      </c>
      <c r="V17" s="137">
        <f>IF(SER_hh_tes_in!V17=0,"",SER_hh_tes_in!V17/SER_hh_fec_in!V17)</f>
        <v>1.5976577628735698</v>
      </c>
      <c r="W17" s="137">
        <f>IF(SER_hh_tes_in!W17=0,"",SER_hh_tes_in!W17/SER_hh_fec_in!W17)</f>
        <v>1.6258867374170785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2.3900365504131744</v>
      </c>
      <c r="D18" s="137">
        <f>IF(SER_hh_tes_in!D18=0,"",SER_hh_tes_in!D18/SER_hh_fec_in!D18)</f>
        <v>2.4704296904948744</v>
      </c>
      <c r="E18" s="137">
        <f>IF(SER_hh_tes_in!E18=0,"",SER_hh_tes_in!E18/SER_hh_fec_in!E18)</f>
        <v>2.5516869624887479</v>
      </c>
      <c r="F18" s="137">
        <f>IF(SER_hh_tes_in!F18=0,"",SER_hh_tes_in!F18/SER_hh_fec_in!F18)</f>
        <v>2.63304337852141</v>
      </c>
      <c r="G18" s="137">
        <f>IF(SER_hh_tes_in!G18=0,"",SER_hh_tes_in!G18/SER_hh_fec_in!G18)</f>
        <v>2.7151846373013035</v>
      </c>
      <c r="H18" s="137">
        <f>IF(SER_hh_tes_in!H18=0,"",SER_hh_tes_in!H18/SER_hh_fec_in!H18)</f>
        <v>2.7980209989145313</v>
      </c>
      <c r="I18" s="137">
        <f>IF(SER_hh_tes_in!I18=0,"",SER_hh_tes_in!I18/SER_hh_fec_in!I18)</f>
        <v>2.8817161449798494</v>
      </c>
      <c r="J18" s="137">
        <f>IF(SER_hh_tes_in!J18=0,"",SER_hh_tes_in!J18/SER_hh_fec_in!J18)</f>
        <v>2.9669542597328844</v>
      </c>
      <c r="K18" s="137">
        <f>IF(SER_hh_tes_in!K18=0,"",SER_hh_tes_in!K18/SER_hh_fec_in!K18)</f>
        <v>3.0543106361050389</v>
      </c>
      <c r="L18" s="137">
        <f>IF(SER_hh_tes_in!L18=0,"",SER_hh_tes_in!L18/SER_hh_fec_in!L18)</f>
        <v>3.1439270801161152</v>
      </c>
      <c r="M18" s="137">
        <f>IF(SER_hh_tes_in!M18=0,"",SER_hh_tes_in!M18/SER_hh_fec_in!M18)</f>
        <v>3.2509921673796707</v>
      </c>
      <c r="N18" s="137">
        <f>IF(SER_hh_tes_in!N18=0,"",SER_hh_tes_in!N18/SER_hh_fec_in!N18)</f>
        <v>3.3804770322644426</v>
      </c>
      <c r="O18" s="137">
        <f>IF(SER_hh_tes_in!O18=0,"",SER_hh_tes_in!O18/SER_hh_fec_in!O18)</f>
        <v>3.5351325709859043</v>
      </c>
      <c r="P18" s="137">
        <f>IF(SER_hh_tes_in!P18=0,"",SER_hh_tes_in!P18/SER_hh_fec_in!P18)</f>
        <v>3.7028734863983668</v>
      </c>
      <c r="Q18" s="137">
        <f>IF(SER_hh_tes_in!Q18=0,"",SER_hh_tes_in!Q18/SER_hh_fec_in!Q18)</f>
        <v>3.8470367002002317</v>
      </c>
      <c r="R18" s="137">
        <f>IF(SER_hh_tes_in!R18=0,"",SER_hh_tes_in!R18/SER_hh_fec_in!R18)</f>
        <v>3.9375681731676</v>
      </c>
      <c r="S18" s="137">
        <f>IF(SER_hh_tes_in!S18=0,"",SER_hh_tes_in!S18/SER_hh_fec_in!S18)</f>
        <v>4.0096267806083583</v>
      </c>
      <c r="T18" s="137">
        <f>IF(SER_hh_tes_in!T18=0,"",SER_hh_tes_in!T18/SER_hh_fec_in!T18)</f>
        <v>4.0698344901908694</v>
      </c>
      <c r="U18" s="137">
        <f>IF(SER_hh_tes_in!U18=0,"",SER_hh_tes_in!U18/SER_hh_fec_in!U18)</f>
        <v>4.1246458856397732</v>
      </c>
      <c r="V18" s="137">
        <f>IF(SER_hh_tes_in!V18=0,"",SER_hh_tes_in!V18/SER_hh_fec_in!V18)</f>
        <v>4.1805320992588051</v>
      </c>
      <c r="W18" s="137">
        <f>IF(SER_hh_tes_in!W18=0,"",SER_hh_tes_in!W18/SER_hh_fec_in!W18)</f>
        <v>4.2352454830419797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0.83076336874480594</v>
      </c>
      <c r="D19" s="136">
        <f>IF(SER_hh_tes_in!D19=0,"",SER_hh_tes_in!D19/SER_hh_fec_in!D19)</f>
        <v>0.76320313022705777</v>
      </c>
      <c r="E19" s="136">
        <f>IF(SER_hh_tes_in!E19=0,"",SER_hh_tes_in!E19/SER_hh_fec_in!E19)</f>
        <v>0.83912648396241563</v>
      </c>
      <c r="F19" s="136">
        <f>IF(SER_hh_tes_in!F19=0,"",SER_hh_tes_in!F19/SER_hh_fec_in!F19)</f>
        <v>0.80085835655162163</v>
      </c>
      <c r="G19" s="136">
        <f>IF(SER_hh_tes_in!G19=0,"",SER_hh_tes_in!G19/SER_hh_fec_in!G19)</f>
        <v>0.74252338392738415</v>
      </c>
      <c r="H19" s="136">
        <f>IF(SER_hh_tes_in!H19=0,"",SER_hh_tes_in!H19/SER_hh_fec_in!H19)</f>
        <v>0.75445300072410171</v>
      </c>
      <c r="I19" s="136">
        <f>IF(SER_hh_tes_in!I19=0,"",SER_hh_tes_in!I19/SER_hh_fec_in!I19)</f>
        <v>0.86826886722677188</v>
      </c>
      <c r="J19" s="136">
        <f>IF(SER_hh_tes_in!J19=0,"",SER_hh_tes_in!J19/SER_hh_fec_in!J19)</f>
        <v>0.90691432819772411</v>
      </c>
      <c r="K19" s="136">
        <f>IF(SER_hh_tes_in!K19=0,"",SER_hh_tes_in!K19/SER_hh_fec_in!K19)</f>
        <v>0.79857674334385187</v>
      </c>
      <c r="L19" s="136">
        <f>IF(SER_hh_tes_in!L19=0,"",SER_hh_tes_in!L19/SER_hh_fec_in!L19)</f>
        <v>0.93265649972564657</v>
      </c>
      <c r="M19" s="136">
        <f>IF(SER_hh_tes_in!M19=0,"",SER_hh_tes_in!M19/SER_hh_fec_in!M19)</f>
        <v>0.93383114969195002</v>
      </c>
      <c r="N19" s="136">
        <f>IF(SER_hh_tes_in!N19=0,"",SER_hh_tes_in!N19/SER_hh_fec_in!N19)</f>
        <v>0.93911359781739434</v>
      </c>
      <c r="O19" s="136">
        <f>IF(SER_hh_tes_in!O19=0,"",SER_hh_tes_in!O19/SER_hh_fec_in!O19)</f>
        <v>0.81665658527552532</v>
      </c>
      <c r="P19" s="136">
        <f>IF(SER_hh_tes_in!P19=0,"",SER_hh_tes_in!P19/SER_hh_fec_in!P19)</f>
        <v>0.96686662585054561</v>
      </c>
      <c r="Q19" s="136">
        <f>IF(SER_hh_tes_in!Q19=0,"",SER_hh_tes_in!Q19/SER_hh_fec_in!Q19)</f>
        <v>0.86241168175049254</v>
      </c>
      <c r="R19" s="136">
        <f>IF(SER_hh_tes_in!R19=0,"",SER_hh_tes_in!R19/SER_hh_fec_in!R19)</f>
        <v>0.8710176718380227</v>
      </c>
      <c r="S19" s="136">
        <f>IF(SER_hh_tes_in!S19=0,"",SER_hh_tes_in!S19/SER_hh_fec_in!S19)</f>
        <v>0.95298468602972775</v>
      </c>
      <c r="T19" s="136">
        <f>IF(SER_hh_tes_in!T19=0,"",SER_hh_tes_in!T19/SER_hh_fec_in!T19)</f>
        <v>0.95727941178623943</v>
      </c>
      <c r="U19" s="136">
        <f>IF(SER_hh_tes_in!U19=0,"",SER_hh_tes_in!U19/SER_hh_fec_in!U19)</f>
        <v>0.93533097796207321</v>
      </c>
      <c r="V19" s="136">
        <f>IF(SER_hh_tes_in!V19=0,"",SER_hh_tes_in!V19/SER_hh_fec_in!V19)</f>
        <v>0.96491956081472796</v>
      </c>
      <c r="W19" s="136">
        <f>IF(SER_hh_tes_in!W19=0,"",SER_hh_tes_in!W19/SER_hh_fec_in!W19)</f>
        <v>0.92182249023501295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>
        <f>IF(SER_hh_tes_in!C21=0,"",SER_hh_tes_in!C21/SER_hh_fec_in!C21)</f>
        <v>0.60756418747099805</v>
      </c>
      <c r="D21" s="137">
        <f>IF(SER_hh_tes_in!D21=0,"",SER_hh_tes_in!D21/SER_hh_fec_in!D21)</f>
        <v>0.60955879795126944</v>
      </c>
      <c r="E21" s="137">
        <f>IF(SER_hh_tes_in!E21=0,"",SER_hh_tes_in!E21/SER_hh_fec_in!E21)</f>
        <v>0.61188360408870257</v>
      </c>
      <c r="F21" s="137">
        <f>IF(SER_hh_tes_in!F21=0,"",SER_hh_tes_in!F21/SER_hh_fec_in!F21)</f>
        <v>0.61425343690665768</v>
      </c>
      <c r="G21" s="137">
        <f>IF(SER_hh_tes_in!G21=0,"",SER_hh_tes_in!G21/SER_hh_fec_in!G21)</f>
        <v>0.61692736050306562</v>
      </c>
      <c r="H21" s="137">
        <f>IF(SER_hh_tes_in!H21=0,"",SER_hh_tes_in!H21/SER_hh_fec_in!H21)</f>
        <v>0.6198736687304105</v>
      </c>
      <c r="I21" s="137">
        <f>IF(SER_hh_tes_in!I21=0,"",SER_hh_tes_in!I21/SER_hh_fec_in!I21)</f>
        <v>0.62315619498999231</v>
      </c>
      <c r="J21" s="137" t="str">
        <f>IF(SER_hh_tes_in!J21=0,"",SER_hh_tes_in!J21/SER_hh_fec_in!J21)</f>
        <v/>
      </c>
      <c r="K21" s="137">
        <f>IF(SER_hh_tes_in!K21=0,"",SER_hh_tes_in!K21/SER_hh_fec_in!K21)</f>
        <v>0.63173675660807105</v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0.57278331379124969</v>
      </c>
      <c r="D22" s="137">
        <f>IF(SER_hh_tes_in!D22=0,"",SER_hh_tes_in!D22/SER_hh_fec_in!D22)</f>
        <v>0.57488463702760473</v>
      </c>
      <c r="E22" s="137">
        <f>IF(SER_hh_tes_in!E22=0,"",SER_hh_tes_in!E22/SER_hh_fec_in!E22)</f>
        <v>0.57733382157011426</v>
      </c>
      <c r="F22" s="137">
        <f>IF(SER_hh_tes_in!F22=0,"",SER_hh_tes_in!F22/SER_hh_fec_in!F22)</f>
        <v>0.5798304417452812</v>
      </c>
      <c r="G22" s="137">
        <f>IF(SER_hh_tes_in!G22=0,"",SER_hh_tes_in!G22/SER_hh_fec_in!G22)</f>
        <v>0.58264742172254724</v>
      </c>
      <c r="H22" s="137">
        <f>IF(SER_hh_tes_in!H22=0,"",SER_hh_tes_in!H22/SER_hh_fec_in!H22)</f>
        <v>0.58575135905809184</v>
      </c>
      <c r="I22" s="137">
        <f>IF(SER_hh_tes_in!I22=0,"",SER_hh_tes_in!I22/SER_hh_fec_in!I22)</f>
        <v>0.58920950227524038</v>
      </c>
      <c r="J22" s="137">
        <f>IF(SER_hh_tes_in!J22=0,"",SER_hh_tes_in!J22/SER_hh_fec_in!J22)</f>
        <v>0.59329734483746344</v>
      </c>
      <c r="K22" s="137">
        <f>IF(SER_hh_tes_in!K22=0,"",SER_hh_tes_in!K22/SER_hh_fec_in!K22)</f>
        <v>0.59824912865211033</v>
      </c>
      <c r="L22" s="137">
        <f>IF(SER_hh_tes_in!L22=0,"",SER_hh_tes_in!L22/SER_hh_fec_in!L22)</f>
        <v>0.60412752303282879</v>
      </c>
      <c r="M22" s="137">
        <f>IF(SER_hh_tes_in!M22=0,"",SER_hh_tes_in!M22/SER_hh_fec_in!M22)</f>
        <v>0.61649116372679469</v>
      </c>
      <c r="N22" s="137">
        <f>IF(SER_hh_tes_in!N22=0,"",SER_hh_tes_in!N22/SER_hh_fec_in!N22)</f>
        <v>0.63710435789931252</v>
      </c>
      <c r="O22" s="137">
        <f>IF(SER_hh_tes_in!O22=0,"",SER_hh_tes_in!O22/SER_hh_fec_in!O22)</f>
        <v>0.66743990214996529</v>
      </c>
      <c r="P22" s="137" t="str">
        <f>IF(SER_hh_tes_in!P22=0,"",SER_hh_tes_in!P22/SER_hh_fec_in!P22)</f>
        <v/>
      </c>
      <c r="Q22" s="137">
        <f>IF(SER_hh_tes_in!Q22=0,"",SER_hh_tes_in!Q22/SER_hh_fec_in!Q22)</f>
        <v>0.7379625563493073</v>
      </c>
      <c r="R22" s="137">
        <f>IF(SER_hh_tes_in!R22=0,"",SER_hh_tes_in!R22/SER_hh_fec_in!R22)</f>
        <v>0.76061156198747037</v>
      </c>
      <c r="S22" s="137">
        <f>IF(SER_hh_tes_in!S22=0,"",SER_hh_tes_in!S22/SER_hh_fec_in!S22)</f>
        <v>0.78243696742063407</v>
      </c>
      <c r="T22" s="137">
        <f>IF(SER_hh_tes_in!T22=0,"",SER_hh_tes_in!T22/SER_hh_fec_in!T22)</f>
        <v>0.80220337234121686</v>
      </c>
      <c r="U22" s="137">
        <f>IF(SER_hh_tes_in!U22=0,"",SER_hh_tes_in!U22/SER_hh_fec_in!U22)</f>
        <v>0.81867537644170651</v>
      </c>
      <c r="V22" s="137">
        <f>IF(SER_hh_tes_in!V22=0,"",SER_hh_tes_in!V22/SER_hh_fec_in!V22)</f>
        <v>0.8306175794145616</v>
      </c>
      <c r="W22" s="137">
        <f>IF(SER_hh_tes_in!W22=0,"",SER_hh_tes_in!W22/SER_hh_fec_in!W22)</f>
        <v>0.83623504987125119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0.62438521810398218</v>
      </c>
      <c r="D23" s="137">
        <f>IF(SER_hh_tes_in!D23=0,"",SER_hh_tes_in!D23/SER_hh_fec_in!D23)</f>
        <v>0.62995116432748266</v>
      </c>
      <c r="E23" s="137">
        <f>IF(SER_hh_tes_in!E23=0,"",SER_hh_tes_in!E23/SER_hh_fec_in!E23)</f>
        <v>0.63575776354094582</v>
      </c>
      <c r="F23" s="137">
        <f>IF(SER_hh_tes_in!F23=0,"",SER_hh_tes_in!F23/SER_hh_fec_in!F23)</f>
        <v>0.64161129719063048</v>
      </c>
      <c r="G23" s="137">
        <f>IF(SER_hh_tes_in!G23=0,"",SER_hh_tes_in!G23/SER_hh_fec_in!G23)</f>
        <v>0.64768449229219216</v>
      </c>
      <c r="H23" s="137">
        <f>IF(SER_hh_tes_in!H23=0,"",SER_hh_tes_in!H23/SER_hh_fec_in!H23)</f>
        <v>0.65395396398812067</v>
      </c>
      <c r="I23" s="137">
        <f>IF(SER_hh_tes_in!I23=0,"",SER_hh_tes_in!I23/SER_hh_fec_in!I23)</f>
        <v>0.6604600060732988</v>
      </c>
      <c r="J23" s="137">
        <f>IF(SER_hh_tes_in!J23=0,"",SER_hh_tes_in!J23/SER_hh_fec_in!J23)</f>
        <v>0.66737288496867275</v>
      </c>
      <c r="K23" s="137">
        <f>IF(SER_hh_tes_in!K23=0,"",SER_hh_tes_in!K23/SER_hh_fec_in!K23)</f>
        <v>0.6748345770425902</v>
      </c>
      <c r="L23" s="137">
        <f>IF(SER_hh_tes_in!L23=0,"",SER_hh_tes_in!L23/SER_hh_fec_in!L23)</f>
        <v>0.68287818619975704</v>
      </c>
      <c r="M23" s="137">
        <f>IF(SER_hh_tes_in!M23=0,"",SER_hh_tes_in!M23/SER_hh_fec_in!M23)</f>
        <v>0.69504218843858312</v>
      </c>
      <c r="N23" s="137">
        <f>IF(SER_hh_tes_in!N23=0,"",SER_hh_tes_in!N23/SER_hh_fec_in!N23)</f>
        <v>0.71241576113544736</v>
      </c>
      <c r="O23" s="137">
        <f>IF(SER_hh_tes_in!O23=0,"",SER_hh_tes_in!O23/SER_hh_fec_in!O23)</f>
        <v>0.73580312911481804</v>
      </c>
      <c r="P23" s="137">
        <f>IF(SER_hh_tes_in!P23=0,"",SER_hh_tes_in!P23/SER_hh_fec_in!P23)</f>
        <v>0.76301806640829084</v>
      </c>
      <c r="Q23" s="137">
        <f>IF(SER_hh_tes_in!Q23=0,"",SER_hh_tes_in!Q23/SER_hh_fec_in!Q23)</f>
        <v>0.78720195303715557</v>
      </c>
      <c r="R23" s="137">
        <f>IF(SER_hh_tes_in!R23=0,"",SER_hh_tes_in!R23/SER_hh_fec_in!R23)</f>
        <v>0.80310347016205696</v>
      </c>
      <c r="S23" s="137">
        <f>IF(SER_hh_tes_in!S23=0,"",SER_hh_tes_in!S23/SER_hh_fec_in!S23)</f>
        <v>0.81761258048304053</v>
      </c>
      <c r="T23" s="137">
        <f>IF(SER_hh_tes_in!T23=0,"",SER_hh_tes_in!T23/SER_hh_fec_in!T23)</f>
        <v>0.83035262905181806</v>
      </c>
      <c r="U23" s="137">
        <f>IF(SER_hh_tes_in!U23=0,"",SER_hh_tes_in!U23/SER_hh_fec_in!U23)</f>
        <v>0.84090395656524386</v>
      </c>
      <c r="V23" s="137">
        <f>IF(SER_hh_tes_in!V23=0,"",SER_hh_tes_in!V23/SER_hh_fec_in!V23)</f>
        <v>0.84880605191882674</v>
      </c>
      <c r="W23" s="137">
        <f>IF(SER_hh_tes_in!W23=0,"",SER_hh_tes_in!W23/SER_hh_fec_in!W23)</f>
        <v>0.8528844403035456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>
        <f>IF(SER_hh_tes_in!C24=0,"",SER_hh_tes_in!C24/SER_hh_fec_in!C24)</f>
        <v>0.62880566814884609</v>
      </c>
      <c r="D24" s="137">
        <f>IF(SER_hh_tes_in!D24=0,"",SER_hh_tes_in!D24/SER_hh_fec_in!D24)</f>
        <v>0.64149501500533823</v>
      </c>
      <c r="E24" s="137">
        <f>IF(SER_hh_tes_in!E24=0,"",SER_hh_tes_in!E24/SER_hh_fec_in!E24)</f>
        <v>0.6543049928362169</v>
      </c>
      <c r="F24" s="137">
        <f>IF(SER_hh_tes_in!F24=0,"",SER_hh_tes_in!F24/SER_hh_fec_in!F24)</f>
        <v>0.66722328742327475</v>
      </c>
      <c r="G24" s="137">
        <f>IF(SER_hh_tes_in!G24=0,"",SER_hh_tes_in!G24/SER_hh_fec_in!G24)</f>
        <v>0.68023765772156697</v>
      </c>
      <c r="H24" s="137">
        <f>IF(SER_hh_tes_in!H24=0,"",SER_hh_tes_in!H24/SER_hh_fec_in!H24)</f>
        <v>0.69333351947772004</v>
      </c>
      <c r="I24" s="137">
        <f>IF(SER_hh_tes_in!I24=0,"",SER_hh_tes_in!I24/SER_hh_fec_in!I24)</f>
        <v>0.70649169543300394</v>
      </c>
      <c r="J24" s="137">
        <f>IF(SER_hh_tes_in!J24=0,"",SER_hh_tes_in!J24/SER_hh_fec_in!J24)</f>
        <v>0.7196708364692348</v>
      </c>
      <c r="K24" s="137">
        <f>IF(SER_hh_tes_in!K24=0,"",SER_hh_tes_in!K24/SER_hh_fec_in!K24)</f>
        <v>0.73281624469939599</v>
      </c>
      <c r="L24" s="137">
        <f>IF(SER_hh_tes_in!L24=0,"",SER_hh_tes_in!L24/SER_hh_fec_in!L24)</f>
        <v>0.74587937251865732</v>
      </c>
      <c r="M24" s="137">
        <f>IF(SER_hh_tes_in!M24=0,"",SER_hh_tes_in!M24/SER_hh_fec_in!M24)</f>
        <v>0.75790999562515982</v>
      </c>
      <c r="N24" s="137">
        <f>IF(SER_hh_tes_in!N24=0,"",SER_hh_tes_in!N24/SER_hh_fec_in!N24)</f>
        <v>0.76839801181022116</v>
      </c>
      <c r="O24" s="137">
        <f>IF(SER_hh_tes_in!O24=0,"",SER_hh_tes_in!O24/SER_hh_fec_in!O24)</f>
        <v>0.77706746501907253</v>
      </c>
      <c r="P24" s="137">
        <f>IF(SER_hh_tes_in!P24=0,"",SER_hh_tes_in!P24/SER_hh_fec_in!P24)</f>
        <v>0.78466111124803628</v>
      </c>
      <c r="Q24" s="137">
        <f>IF(SER_hh_tes_in!Q24=0,"",SER_hh_tes_in!Q24/SER_hh_fec_in!Q24)</f>
        <v>0.79370151386067889</v>
      </c>
      <c r="R24" s="137">
        <f>IF(SER_hh_tes_in!R24=0,"",SER_hh_tes_in!R24/SER_hh_fec_in!R24)</f>
        <v>0.80703130204116946</v>
      </c>
      <c r="S24" s="137">
        <f>IF(SER_hh_tes_in!S24=0,"",SER_hh_tes_in!S24/SER_hh_fec_in!S24)</f>
        <v>0.82197094445800278</v>
      </c>
      <c r="T24" s="137">
        <f>IF(SER_hh_tes_in!T24=0,"",SER_hh_tes_in!T24/SER_hh_fec_in!T24)</f>
        <v>0.83698305249005756</v>
      </c>
      <c r="U24" s="137">
        <f>IF(SER_hh_tes_in!U24=0,"",SER_hh_tes_in!U24/SER_hh_fec_in!U24)</f>
        <v>0.85081122201657655</v>
      </c>
      <c r="V24" s="137">
        <f>IF(SER_hh_tes_in!V24=0,"",SER_hh_tes_in!V24/SER_hh_fec_in!V24)</f>
        <v>0.86240236112566626</v>
      </c>
      <c r="W24" s="137">
        <f>IF(SER_hh_tes_in!W24=0,"",SER_hh_tes_in!W24/SER_hh_fec_in!W24)</f>
        <v>0.87172582766502871</v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0.87422227841190847</v>
      </c>
      <c r="D25" s="137">
        <f>IF(SER_hh_tes_in!D25=0,"",SER_hh_tes_in!D25/SER_hh_fec_in!D25)</f>
        <v>0.87624500470917488</v>
      </c>
      <c r="E25" s="137">
        <f>IF(SER_hh_tes_in!E25=0,"",SER_hh_tes_in!E25/SER_hh_fec_in!E25)</f>
        <v>0.87832233933934767</v>
      </c>
      <c r="F25" s="137">
        <f>IF(SER_hh_tes_in!F25=0,"",SER_hh_tes_in!F25/SER_hh_fec_in!F25)</f>
        <v>0.88040712056037151</v>
      </c>
      <c r="G25" s="137">
        <f>IF(SER_hh_tes_in!G25=0,"",SER_hh_tes_in!G25/SER_hh_fec_in!G25)</f>
        <v>0.8825421928439926</v>
      </c>
      <c r="H25" s="137">
        <f>IF(SER_hh_tes_in!H25=0,"",SER_hh_tes_in!H25/SER_hh_fec_in!H25)</f>
        <v>0.88472231257231004</v>
      </c>
      <c r="I25" s="137">
        <f>IF(SER_hh_tes_in!I25=0,"",SER_hh_tes_in!I25/SER_hh_fec_in!I25)</f>
        <v>0.88695803662441375</v>
      </c>
      <c r="J25" s="137">
        <f>IF(SER_hh_tes_in!J25=0,"",SER_hh_tes_in!J25/SER_hh_fec_in!J25)</f>
        <v>0.88929261280769378</v>
      </c>
      <c r="K25" s="137">
        <f>IF(SER_hh_tes_in!K25=0,"",SER_hh_tes_in!K25/SER_hh_fec_in!K25)</f>
        <v>0.89176281313395689</v>
      </c>
      <c r="L25" s="137">
        <f>IF(SER_hh_tes_in!L25=0,"",SER_hh_tes_in!L25/SER_hh_fec_in!L25)</f>
        <v>0.89437847562393757</v>
      </c>
      <c r="M25" s="137">
        <f>IF(SER_hh_tes_in!M25=0,"",SER_hh_tes_in!M25/SER_hh_fec_in!M25)</f>
        <v>0.89800018688320005</v>
      </c>
      <c r="N25" s="137">
        <f>IF(SER_hh_tes_in!N25=0,"",SER_hh_tes_in!N25/SER_hh_fec_in!N25)</f>
        <v>0.90290004280669112</v>
      </c>
      <c r="O25" s="137">
        <f>IF(SER_hh_tes_in!O25=0,"",SER_hh_tes_in!O25/SER_hh_fec_in!O25)</f>
        <v>0.90931656850988862</v>
      </c>
      <c r="P25" s="137">
        <f>IF(SER_hh_tes_in!P25=0,"",SER_hh_tes_in!P25/SER_hh_fec_in!P25)</f>
        <v>0.91679595247261192</v>
      </c>
      <c r="Q25" s="137">
        <f>IF(SER_hh_tes_in!Q25=0,"",SER_hh_tes_in!Q25/SER_hh_fec_in!Q25)</f>
        <v>0.92385257963366219</v>
      </c>
      <c r="R25" s="137">
        <f>IF(SER_hh_tes_in!R25=0,"",SER_hh_tes_in!R25/SER_hh_fec_in!R25)</f>
        <v>0.92925983750612262</v>
      </c>
      <c r="S25" s="137">
        <f>IF(SER_hh_tes_in!S25=0,"",SER_hh_tes_in!S25/SER_hh_fec_in!S25)</f>
        <v>0.93452019549389509</v>
      </c>
      <c r="T25" s="137">
        <f>IF(SER_hh_tes_in!T25=0,"",SER_hh_tes_in!T25/SER_hh_fec_in!T25)</f>
        <v>0.93959850614041851</v>
      </c>
      <c r="U25" s="137">
        <f>IF(SER_hh_tes_in!U25=0,"",SER_hh_tes_in!U25/SER_hh_fec_in!U25)</f>
        <v>0.94445962198914768</v>
      </c>
      <c r="V25" s="137">
        <f>IF(SER_hh_tes_in!V25=0,"",SER_hh_tes_in!V25/SER_hh_fec_in!V25)</f>
        <v>0.94906839558353118</v>
      </c>
      <c r="W25" s="137">
        <f>IF(SER_hh_tes_in!W25=0,"",SER_hh_tes_in!W25/SER_hh_fec_in!W25)</f>
        <v>0.95331396438276939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0.72331617479909072</v>
      </c>
      <c r="D26" s="138">
        <f>IF(SER_hh_tes_in!D26=0,"",SER_hh_tes_in!D26/SER_hh_fec_in!D26)</f>
        <v>0.72568293979949761</v>
      </c>
      <c r="E26" s="138">
        <f>IF(SER_hh_tes_in!E26=0,"",SER_hh_tes_in!E26/SER_hh_fec_in!E26)</f>
        <v>0.72823174249978906</v>
      </c>
      <c r="F26" s="138">
        <f>IF(SER_hh_tes_in!F26=0,"",SER_hh_tes_in!F26/SER_hh_fec_in!F26)</f>
        <v>0.73080502877815234</v>
      </c>
      <c r="G26" s="138">
        <f>IF(SER_hh_tes_in!G26=0,"",SER_hh_tes_in!G26/SER_hh_fec_in!G26)</f>
        <v>0.73354742023236796</v>
      </c>
      <c r="H26" s="138">
        <f>IF(SER_hh_tes_in!H26=0,"",SER_hh_tes_in!H26/SER_hh_fec_in!H26)</f>
        <v>0.73644270672575918</v>
      </c>
      <c r="I26" s="138">
        <f>IF(SER_hh_tes_in!I26=0,"",SER_hh_tes_in!I26/SER_hh_fec_in!I26)</f>
        <v>0.73952855407925366</v>
      </c>
      <c r="J26" s="138">
        <f>IF(SER_hh_tes_in!J26=0,"",SER_hh_tes_in!J26/SER_hh_fec_in!J26)</f>
        <v>0.74295573256253555</v>
      </c>
      <c r="K26" s="138">
        <f>IF(SER_hh_tes_in!K26=0,"",SER_hh_tes_in!K26/SER_hh_fec_in!K26)</f>
        <v>0.74685785483342593</v>
      </c>
      <c r="L26" s="138">
        <f>IF(SER_hh_tes_in!L26=0,"",SER_hh_tes_in!L26/SER_hh_fec_in!L26)</f>
        <v>0.75128168361887093</v>
      </c>
      <c r="M26" s="138">
        <f>IF(SER_hh_tes_in!M26=0,"",SER_hh_tes_in!M26/SER_hh_fec_in!M26)</f>
        <v>0.75929254206519958</v>
      </c>
      <c r="N26" s="138">
        <f>IF(SER_hh_tes_in!N26=0,"",SER_hh_tes_in!N26/SER_hh_fec_in!N26)</f>
        <v>0.77223728710883788</v>
      </c>
      <c r="O26" s="138">
        <f>IF(SER_hh_tes_in!O26=0,"",SER_hh_tes_in!O26/SER_hh_fec_in!O26)</f>
        <v>0.79184310564765825</v>
      </c>
      <c r="P26" s="138">
        <f>IF(SER_hh_tes_in!P26=0,"",SER_hh_tes_in!P26/SER_hh_fec_in!P26)</f>
        <v>0.8173477587610618</v>
      </c>
      <c r="Q26" s="138">
        <f>IF(SER_hh_tes_in!Q26=0,"",SER_hh_tes_in!Q26/SER_hh_fec_in!Q26)</f>
        <v>0.84237395737808307</v>
      </c>
      <c r="R26" s="138">
        <f>IF(SER_hh_tes_in!R26=0,"",SER_hh_tes_in!R26/SER_hh_fec_in!R26)</f>
        <v>0.86031412991568312</v>
      </c>
      <c r="S26" s="138">
        <f>IF(SER_hh_tes_in!S26=0,"",SER_hh_tes_in!S26/SER_hh_fec_in!S26)</f>
        <v>0.87807743959654316</v>
      </c>
      <c r="T26" s="138">
        <f>IF(SER_hh_tes_in!T26=0,"",SER_hh_tes_in!T26/SER_hh_fec_in!T26)</f>
        <v>0.89529142281327234</v>
      </c>
      <c r="U26" s="138">
        <f>IF(SER_hh_tes_in!U26=0,"",SER_hh_tes_in!U26/SER_hh_fec_in!U26)</f>
        <v>0.91146175128775719</v>
      </c>
      <c r="V26" s="138">
        <f>IF(SER_hh_tes_in!V26=0,"",SER_hh_tes_in!V26/SER_hh_fec_in!V26)</f>
        <v>0.9258300264667586</v>
      </c>
      <c r="W26" s="138">
        <f>IF(SER_hh_tes_in!W26=0,"",SER_hh_tes_in!W26/SER_hh_fec_in!W26)</f>
        <v>0.93714063675600867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>
        <f>IF(SER_hh_tes_in!C27=0,"",SER_hh_tes_in!C27/SER_hh_fec_in!C27)</f>
        <v>1</v>
      </c>
      <c r="D27" s="149">
        <f>IF(SER_hh_tes_in!D27=0,"",SER_hh_tes_in!D27/SER_hh_fec_in!D27)</f>
        <v>1</v>
      </c>
      <c r="E27" s="149">
        <f>IF(SER_hh_tes_in!E27=0,"",SER_hh_tes_in!E27/SER_hh_fec_in!E27)</f>
        <v>1</v>
      </c>
      <c r="F27" s="149">
        <f>IF(SER_hh_tes_in!F27=0,"",SER_hh_tes_in!F27/SER_hh_fec_in!F27)</f>
        <v>1</v>
      </c>
      <c r="G27" s="149">
        <f>IF(SER_hh_tes_in!G27=0,"",SER_hh_tes_in!G27/SER_hh_fec_in!G27)</f>
        <v>1</v>
      </c>
      <c r="H27" s="149" t="str">
        <f>IF(SER_hh_tes_in!H27=0,"",SER_hh_tes_in!H27/SER_hh_fec_in!H27)</f>
        <v/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 t="str">
        <f>IF(SER_hh_tes_in!K27=0,"",SER_hh_tes_in!K27/SER_hh_fec_in!K27)</f>
        <v/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 t="str">
        <f>IF(SER_hh_tes_in!O27=0,"",SER_hh_tes_in!O27/SER_hh_fec_in!O27)</f>
        <v/>
      </c>
      <c r="P27" s="149">
        <f>IF(SER_hh_tes_in!P27=0,"",SER_hh_tes_in!P27/SER_hh_fec_in!P27)</f>
        <v>1</v>
      </c>
      <c r="Q27" s="149" t="str">
        <f>IF(SER_hh_tes_in!Q27=0,"",SER_hh_tes_in!Q27/SER_hh_fec_in!Q27)</f>
        <v/>
      </c>
      <c r="R27" s="149" t="str">
        <f>IF(SER_hh_tes_in!R27=0,"",SER_hh_tes_in!R27/SER_hh_fec_in!R27)</f>
        <v/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 t="str">
        <f>IF(SER_hh_tes_in!W27=0,"",SER_hh_tes_in!W27/SER_hh_fec_in!W27)</f>
        <v/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0.69099130453874003</v>
      </c>
      <c r="D29" s="136">
        <f>IF(SER_hh_tes_in!D29=0,"",SER_hh_tes_in!D29/SER_hh_fec_in!D29)</f>
        <v>0.63005440668831303</v>
      </c>
      <c r="E29" s="136">
        <f>IF(SER_hh_tes_in!E29=0,"",SER_hh_tes_in!E29/SER_hh_fec_in!E29)</f>
        <v>0.64253078267182018</v>
      </c>
      <c r="F29" s="136">
        <f>IF(SER_hh_tes_in!F29=0,"",SER_hh_tes_in!F29/SER_hh_fec_in!F29)</f>
        <v>0.68215965207156604</v>
      </c>
      <c r="G29" s="136">
        <f>IF(SER_hh_tes_in!G29=0,"",SER_hh_tes_in!G29/SER_hh_fec_in!G29)</f>
        <v>0.71124425480391817</v>
      </c>
      <c r="H29" s="136">
        <f>IF(SER_hh_tes_in!H29=0,"",SER_hh_tes_in!H29/SER_hh_fec_in!H29)</f>
        <v>0.73193830723950926</v>
      </c>
      <c r="I29" s="136">
        <f>IF(SER_hh_tes_in!I29=0,"",SER_hh_tes_in!I29/SER_hh_fec_in!I29)</f>
        <v>0.7487759402009595</v>
      </c>
      <c r="J29" s="136">
        <f>IF(SER_hh_tes_in!J29=0,"",SER_hh_tes_in!J29/SER_hh_fec_in!J29)</f>
        <v>0.72544960753136645</v>
      </c>
      <c r="K29" s="136">
        <f>IF(SER_hh_tes_in!K29=0,"",SER_hh_tes_in!K29/SER_hh_fec_in!K29)</f>
        <v>0.69234977137580478</v>
      </c>
      <c r="L29" s="136">
        <f>IF(SER_hh_tes_in!L29=0,"",SER_hh_tes_in!L29/SER_hh_fec_in!L29)</f>
        <v>0.69960556331517831</v>
      </c>
      <c r="M29" s="136">
        <f>IF(SER_hh_tes_in!M29=0,"",SER_hh_tes_in!M29/SER_hh_fec_in!M29)</f>
        <v>0.73009713355624273</v>
      </c>
      <c r="N29" s="136">
        <f>IF(SER_hh_tes_in!N29=0,"",SER_hh_tes_in!N29/SER_hh_fec_in!N29)</f>
        <v>0.75820412295990047</v>
      </c>
      <c r="O29" s="136">
        <f>IF(SER_hh_tes_in!O29=0,"",SER_hh_tes_in!O29/SER_hh_fec_in!O29)</f>
        <v>0.73912295751162604</v>
      </c>
      <c r="P29" s="136">
        <f>IF(SER_hh_tes_in!P29=0,"",SER_hh_tes_in!P29/SER_hh_fec_in!P29)</f>
        <v>0.73075523418298161</v>
      </c>
      <c r="Q29" s="136">
        <f>IF(SER_hh_tes_in!Q29=0,"",SER_hh_tes_in!Q29/SER_hh_fec_in!Q29)</f>
        <v>0.72389894617320749</v>
      </c>
      <c r="R29" s="136">
        <f>IF(SER_hh_tes_in!R29=0,"",SER_hh_tes_in!R29/SER_hh_fec_in!R29)</f>
        <v>0.74464267831658748</v>
      </c>
      <c r="S29" s="136">
        <f>IF(SER_hh_tes_in!S29=0,"",SER_hh_tes_in!S29/SER_hh_fec_in!S29)</f>
        <v>0.73972307280424676</v>
      </c>
      <c r="T29" s="136">
        <f>IF(SER_hh_tes_in!T29=0,"",SER_hh_tes_in!T29/SER_hh_fec_in!T29)</f>
        <v>0.75678117254359645</v>
      </c>
      <c r="U29" s="136">
        <f>IF(SER_hh_tes_in!U29=0,"",SER_hh_tes_in!U29/SER_hh_fec_in!U29)</f>
        <v>0.75889619325417956</v>
      </c>
      <c r="V29" s="136">
        <f>IF(SER_hh_tes_in!V29=0,"",SER_hh_tes_in!V29/SER_hh_fec_in!V29)</f>
        <v>0.7651397569174806</v>
      </c>
      <c r="W29" s="136">
        <f>IF(SER_hh_tes_in!W29=0,"",SER_hh_tes_in!W29/SER_hh_fec_in!W29)</f>
        <v>0.77105874017465892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0.60615574271356387</v>
      </c>
      <c r="D30" s="137">
        <f>IF(SER_hh_tes_in!D30=0,"",SER_hh_tes_in!D30/SER_hh_fec_in!D30)</f>
        <v>0.6065186732473008</v>
      </c>
      <c r="E30" s="137">
        <f>IF(SER_hh_tes_in!E30=0,"",SER_hh_tes_in!E30/SER_hh_fec_in!E30)</f>
        <v>0.60687648535446392</v>
      </c>
      <c r="F30" s="137">
        <f>IF(SER_hh_tes_in!F30=0,"",SER_hh_tes_in!F30/SER_hh_fec_in!F30)</f>
        <v>0.60723359949436706</v>
      </c>
      <c r="G30" s="137">
        <f>IF(SER_hh_tes_in!G30=0,"",SER_hh_tes_in!G30/SER_hh_fec_in!G30)</f>
        <v>0.60758599986445672</v>
      </c>
      <c r="H30" s="137">
        <f>IF(SER_hh_tes_in!H30=0,"",SER_hh_tes_in!H30/SER_hh_fec_in!H30)</f>
        <v>0.60793417794784177</v>
      </c>
      <c r="I30" s="137" t="str">
        <f>IF(SER_hh_tes_in!I30=0,"",SER_hh_tes_in!I30/SER_hh_fec_in!I30)</f>
        <v/>
      </c>
      <c r="J30" s="137">
        <f>IF(SER_hh_tes_in!J30=0,"",SER_hh_tes_in!J30/SER_hh_fec_in!J30)</f>
        <v>0.60861084516578667</v>
      </c>
      <c r="K30" s="137">
        <f>IF(SER_hh_tes_in!K30=0,"",SER_hh_tes_in!K30/SER_hh_fec_in!K30)</f>
        <v>0.60893183406096574</v>
      </c>
      <c r="L30" s="137">
        <f>IF(SER_hh_tes_in!L30=0,"",SER_hh_tes_in!L30/SER_hh_fec_in!L30)</f>
        <v>0.60923918882075545</v>
      </c>
      <c r="M30" s="137" t="str">
        <f>IF(SER_hh_tes_in!M30=0,"",SER_hh_tes_in!M30/SER_hh_fec_in!M30)</f>
        <v/>
      </c>
      <c r="N30" s="137" t="str">
        <f>IF(SER_hh_tes_in!N30=0,"",SER_hh_tes_in!N30/SER_hh_fec_in!N30)</f>
        <v/>
      </c>
      <c r="O30" s="137" t="str">
        <f>IF(SER_hh_tes_in!O30=0,"",SER_hh_tes_in!O30/SER_hh_fec_in!O30)</f>
        <v/>
      </c>
      <c r="P30" s="137" t="str">
        <f>IF(SER_hh_tes_in!P30=0,"",SER_hh_tes_in!P30/SER_hh_fec_in!P30)</f>
        <v/>
      </c>
      <c r="Q30" s="137">
        <f>IF(SER_hh_tes_in!Q30=0,"",SER_hh_tes_in!Q30/SER_hh_fec_in!Q30)</f>
        <v>0.60940458637447681</v>
      </c>
      <c r="R30" s="137">
        <f>IF(SER_hh_tes_in!R30=0,"",SER_hh_tes_in!R30/SER_hh_fec_in!R30)</f>
        <v>0.61044951824788007</v>
      </c>
      <c r="S30" s="137">
        <f>IF(SER_hh_tes_in!S30=0,"",SER_hh_tes_in!S30/SER_hh_fec_in!S30)</f>
        <v>0.61215821861558717</v>
      </c>
      <c r="T30" s="137">
        <f>IF(SER_hh_tes_in!T30=0,"",SER_hh_tes_in!T30/SER_hh_fec_in!T30)</f>
        <v>0.61415170237791061</v>
      </c>
      <c r="U30" s="137">
        <f>IF(SER_hh_tes_in!U30=0,"",SER_hh_tes_in!U30/SER_hh_fec_in!U30)</f>
        <v>0.61621638198888884</v>
      </c>
      <c r="V30" s="137">
        <f>IF(SER_hh_tes_in!V30=0,"",SER_hh_tes_in!V30/SER_hh_fec_in!V30)</f>
        <v>0.61813866990255828</v>
      </c>
      <c r="W30" s="137">
        <f>IF(SER_hh_tes_in!W30=0,"",SER_hh_tes_in!W30/SER_hh_fec_in!W30)</f>
        <v>0.61991856611891794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0.60952254675619921</v>
      </c>
      <c r="D31" s="137">
        <f>IF(SER_hh_tes_in!D31=0,"",SER_hh_tes_in!D31/SER_hh_fec_in!D31)</f>
        <v>0.61005724833180996</v>
      </c>
      <c r="E31" s="137">
        <f>IF(SER_hh_tes_in!E31=0,"",SER_hh_tes_in!E31/SER_hh_fec_in!E31)</f>
        <v>0.61058440898567634</v>
      </c>
      <c r="F31" s="137">
        <f>IF(SER_hh_tes_in!F31=0,"",SER_hh_tes_in!F31/SER_hh_fec_in!F31)</f>
        <v>0.61111054133203202</v>
      </c>
      <c r="G31" s="137">
        <f>IF(SER_hh_tes_in!G31=0,"",SER_hh_tes_in!G31/SER_hh_fec_in!G31)</f>
        <v>0.61162972893301071</v>
      </c>
      <c r="H31" s="137">
        <f>IF(SER_hh_tes_in!H31=0,"",SER_hh_tes_in!H31/SER_hh_fec_in!H31)</f>
        <v>0.61214269588528736</v>
      </c>
      <c r="I31" s="137">
        <f>IF(SER_hh_tes_in!I31=0,"",SER_hh_tes_in!I31/SER_hh_fec_in!I31)</f>
        <v>0.61264798437839829</v>
      </c>
      <c r="J31" s="137">
        <f>IF(SER_hh_tes_in!J31=0,"",SER_hh_tes_in!J31/SER_hh_fec_in!J31)</f>
        <v>0.61313962227743735</v>
      </c>
      <c r="K31" s="137">
        <f>IF(SER_hh_tes_in!K31=0,"",SER_hh_tes_in!K31/SER_hh_fec_in!K31)</f>
        <v>0.61361253169687524</v>
      </c>
      <c r="L31" s="137">
        <f>IF(SER_hh_tes_in!L31=0,"",SER_hh_tes_in!L31/SER_hh_fec_in!L31)</f>
        <v>0.61406535409415031</v>
      </c>
      <c r="M31" s="137">
        <f>IF(SER_hh_tes_in!M31=0,"",SER_hh_tes_in!M31/SER_hh_fec_in!M31)</f>
        <v>0.61430903249636792</v>
      </c>
      <c r="N31" s="137">
        <f>IF(SER_hh_tes_in!N31=0,"",SER_hh_tes_in!N31/SER_hh_fec_in!N31)</f>
        <v>0.61430903249636792</v>
      </c>
      <c r="O31" s="137">
        <f>IF(SER_hh_tes_in!O31=0,"",SER_hh_tes_in!O31/SER_hh_fec_in!O31)</f>
        <v>0.61430903249636792</v>
      </c>
      <c r="P31" s="137">
        <f>IF(SER_hh_tes_in!P31=0,"",SER_hh_tes_in!P31/SER_hh_fec_in!P31)</f>
        <v>0.61430903249636792</v>
      </c>
      <c r="Q31" s="137">
        <f>IF(SER_hh_tes_in!Q31=0,"",SER_hh_tes_in!Q31/SER_hh_fec_in!Q31)</f>
        <v>0.61430903249636792</v>
      </c>
      <c r="R31" s="137">
        <f>IF(SER_hh_tes_in!R31=0,"",SER_hh_tes_in!R31/SER_hh_fec_in!R31)</f>
        <v>0.61584851916716921</v>
      </c>
      <c r="S31" s="137">
        <f>IF(SER_hh_tes_in!S31=0,"",SER_hh_tes_in!S31/SER_hh_fec_in!S31)</f>
        <v>0.61836592868202189</v>
      </c>
      <c r="T31" s="137">
        <f>IF(SER_hh_tes_in!T31=0,"",SER_hh_tes_in!T31/SER_hh_fec_in!T31)</f>
        <v>0.62130290644934782</v>
      </c>
      <c r="U31" s="137">
        <f>IF(SER_hh_tes_in!U31=0,"",SER_hh_tes_in!U31/SER_hh_fec_in!U31)</f>
        <v>0.62434477627979323</v>
      </c>
      <c r="V31" s="137">
        <f>IF(SER_hh_tes_in!V31=0,"",SER_hh_tes_in!V31/SER_hh_fec_in!V31)</f>
        <v>0.6271768619840008</v>
      </c>
      <c r="W31" s="137">
        <f>IF(SER_hh_tes_in!W31=0,"",SER_hh_tes_in!W31/SER_hh_fec_in!W31)</f>
        <v>0.62979916356196963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>
        <f>IF(SER_hh_tes_in!C32=0,"",SER_hh_tes_in!C32/SER_hh_fec_in!C32)</f>
        <v>0.57025565464566275</v>
      </c>
      <c r="D32" s="137">
        <f>IF(SER_hh_tes_in!D32=0,"",SER_hh_tes_in!D32/SER_hh_fec_in!D32)</f>
        <v>0.57075151484117148</v>
      </c>
      <c r="E32" s="137">
        <f>IF(SER_hh_tes_in!E32=0,"",SER_hh_tes_in!E32/SER_hh_fec_in!E32)</f>
        <v>0.57124038189676607</v>
      </c>
      <c r="F32" s="137">
        <f>IF(SER_hh_tes_in!F32=0,"",SER_hh_tes_in!F32/SER_hh_fec_in!F32)</f>
        <v>0.57172829534237224</v>
      </c>
      <c r="G32" s="137">
        <f>IF(SER_hh_tes_in!G32=0,"",SER_hh_tes_in!G32/SER_hh_fec_in!G32)</f>
        <v>0.57220976851744743</v>
      </c>
      <c r="H32" s="137">
        <f>IF(SER_hh_tes_in!H32=0,"",SER_hh_tes_in!H32/SER_hh_fec_in!H32)</f>
        <v>0.5726854729193932</v>
      </c>
      <c r="I32" s="137">
        <f>IF(SER_hh_tes_in!I32=0,"",SER_hh_tes_in!I32/SER_hh_fec_in!I32)</f>
        <v>0.57315405663489105</v>
      </c>
      <c r="J32" s="137">
        <f>IF(SER_hh_tes_in!J32=0,"",SER_hh_tes_in!J32/SER_hh_fec_in!J32)</f>
        <v>0.57360998135225993</v>
      </c>
      <c r="K32" s="137">
        <f>IF(SER_hh_tes_in!K32=0,"",SER_hh_tes_in!K32/SER_hh_fec_in!K32)</f>
        <v>0.57404853804982059</v>
      </c>
      <c r="L32" s="137">
        <f>IF(SER_hh_tes_in!L32=0,"",SER_hh_tes_in!L32/SER_hh_fec_in!L32)</f>
        <v>0.574468466871214</v>
      </c>
      <c r="M32" s="137">
        <f>IF(SER_hh_tes_in!M32=0,"",SER_hh_tes_in!M32/SER_hh_fec_in!M32)</f>
        <v>0.57469444417458526</v>
      </c>
      <c r="N32" s="137">
        <f>IF(SER_hh_tes_in!N32=0,"",SER_hh_tes_in!N32/SER_hh_fec_in!N32)</f>
        <v>0.57469444417458526</v>
      </c>
      <c r="O32" s="137">
        <f>IF(SER_hh_tes_in!O32=0,"",SER_hh_tes_in!O32/SER_hh_fec_in!O32)</f>
        <v>0.57469444417458526</v>
      </c>
      <c r="P32" s="137">
        <f>IF(SER_hh_tes_in!P32=0,"",SER_hh_tes_in!P32/SER_hh_fec_in!P32)</f>
        <v>0.57469444417458526</v>
      </c>
      <c r="Q32" s="137">
        <f>IF(SER_hh_tes_in!Q32=0,"",SER_hh_tes_in!Q32/SER_hh_fec_in!Q32)</f>
        <v>0.57469444417458526</v>
      </c>
      <c r="R32" s="137">
        <f>IF(SER_hh_tes_in!R32=0,"",SER_hh_tes_in!R32/SER_hh_fec_in!R32)</f>
        <v>0.57612210064014668</v>
      </c>
      <c r="S32" s="137">
        <f>IF(SER_hh_tes_in!S32=0,"",SER_hh_tes_in!S32/SER_hh_fec_in!S32)</f>
        <v>0.5784566424315829</v>
      </c>
      <c r="T32" s="137">
        <f>IF(SER_hh_tes_in!T32=0,"",SER_hh_tes_in!T32/SER_hh_fec_in!T32)</f>
        <v>0.58118027452159005</v>
      </c>
      <c r="U32" s="137">
        <f>IF(SER_hh_tes_in!U32=0,"",SER_hh_tes_in!U32/SER_hh_fec_in!U32)</f>
        <v>0.58400117918624073</v>
      </c>
      <c r="V32" s="137">
        <f>IF(SER_hh_tes_in!V32=0,"",SER_hh_tes_in!V32/SER_hh_fec_in!V32)</f>
        <v>0.58662753870160522</v>
      </c>
      <c r="W32" s="137">
        <f>IF(SER_hh_tes_in!W32=0,"",SER_hh_tes_in!W32/SER_hh_fec_in!W32)</f>
        <v>0.58905935306768209</v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0.80125969877288106</v>
      </c>
      <c r="D33" s="150">
        <f>IF(SER_hh_tes_in!D33=0,"",SER_hh_tes_in!D33/SER_hh_fec_in!D33)</f>
        <v>0.80231106389579565</v>
      </c>
      <c r="E33" s="150">
        <f>IF(SER_hh_tes_in!E33=0,"",SER_hh_tes_in!E33/SER_hh_fec_in!E33)</f>
        <v>0.80340130595263903</v>
      </c>
      <c r="F33" s="150">
        <f>IF(SER_hh_tes_in!F33=0,"",SER_hh_tes_in!F33/SER_hh_fec_in!F33)</f>
        <v>0.80449684940956356</v>
      </c>
      <c r="G33" s="150">
        <f>IF(SER_hh_tes_in!G33=0,"",SER_hh_tes_in!G33/SER_hh_fec_in!G33)</f>
        <v>0.80562819623593263</v>
      </c>
      <c r="H33" s="150">
        <f>IF(SER_hh_tes_in!H33=0,"",SER_hh_tes_in!H33/SER_hh_fec_in!H33)</f>
        <v>0.80679161337900784</v>
      </c>
      <c r="I33" s="150">
        <f>IF(SER_hh_tes_in!I33=0,"",SER_hh_tes_in!I33/SER_hh_fec_in!I33)</f>
        <v>0.80799461652493176</v>
      </c>
      <c r="J33" s="150">
        <f>IF(SER_hh_tes_in!J33=0,"",SER_hh_tes_in!J33/SER_hh_fec_in!J33)</f>
        <v>0.80926799478703115</v>
      </c>
      <c r="K33" s="150">
        <f>IF(SER_hh_tes_in!K33=0,"",SER_hh_tes_in!K33/SER_hh_fec_in!K33)</f>
        <v>0.81063792701013349</v>
      </c>
      <c r="L33" s="150">
        <f>IF(SER_hh_tes_in!L33=0,"",SER_hh_tes_in!L33/SER_hh_fec_in!L33)</f>
        <v>0.81211141710850832</v>
      </c>
      <c r="M33" s="150">
        <f>IF(SER_hh_tes_in!M33=0,"",SER_hh_tes_in!M33/SER_hh_fec_in!M33)</f>
        <v>0.81411614793687503</v>
      </c>
      <c r="N33" s="150">
        <f>IF(SER_hh_tes_in!N33=0,"",SER_hh_tes_in!N33/SER_hh_fec_in!N33)</f>
        <v>0.8167733905490947</v>
      </c>
      <c r="O33" s="150">
        <f>IF(SER_hh_tes_in!O33=0,"",SER_hh_tes_in!O33/SER_hh_fec_in!O33)</f>
        <v>0.82037801298704272</v>
      </c>
      <c r="P33" s="150">
        <f>IF(SER_hh_tes_in!P33=0,"",SER_hh_tes_in!P33/SER_hh_fec_in!P33)</f>
        <v>0.825084882607661</v>
      </c>
      <c r="Q33" s="150">
        <f>IF(SER_hh_tes_in!Q33=0,"",SER_hh_tes_in!Q33/SER_hh_fec_in!Q33)</f>
        <v>0.83115141043869289</v>
      </c>
      <c r="R33" s="150">
        <f>IF(SER_hh_tes_in!R33=0,"",SER_hh_tes_in!R33/SER_hh_fec_in!R33)</f>
        <v>0.83940398612571521</v>
      </c>
      <c r="S33" s="150">
        <f>IF(SER_hh_tes_in!S33=0,"",SER_hh_tes_in!S33/SER_hh_fec_in!S33)</f>
        <v>0.84970397246036378</v>
      </c>
      <c r="T33" s="150">
        <f>IF(SER_hh_tes_in!T33=0,"",SER_hh_tes_in!T33/SER_hh_fec_in!T33)</f>
        <v>0.8607781282512259</v>
      </c>
      <c r="U33" s="150">
        <f>IF(SER_hh_tes_in!U33=0,"",SER_hh_tes_in!U33/SER_hh_fec_in!U33)</f>
        <v>0.87135321230692075</v>
      </c>
      <c r="V33" s="150">
        <f>IF(SER_hh_tes_in!V33=0,"",SER_hh_tes_in!V33/SER_hh_fec_in!V33)</f>
        <v>0.88015598343605339</v>
      </c>
      <c r="W33" s="150">
        <f>IF(SER_hh_tes_in!W33=0,"",SER_hh_tes_in!W33/SER_hh_fec_in!W33)</f>
        <v>0.88673919307230431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57.119305488260729</v>
      </c>
      <c r="D3" s="126">
        <f t="shared" si="0"/>
        <v>60.860066152015378</v>
      </c>
      <c r="E3" s="126">
        <f t="shared" si="0"/>
        <v>46.647280996813244</v>
      </c>
      <c r="F3" s="126">
        <f t="shared" si="0"/>
        <v>33.999978315555303</v>
      </c>
      <c r="G3" s="126">
        <f t="shared" si="0"/>
        <v>30.936252734044444</v>
      </c>
      <c r="H3" s="126">
        <f t="shared" si="0"/>
        <v>36.126627178481463</v>
      </c>
      <c r="I3" s="126">
        <f t="shared" si="0"/>
        <v>16.338371091783628</v>
      </c>
      <c r="J3" s="126">
        <f t="shared" si="0"/>
        <v>4.9666960119399608</v>
      </c>
      <c r="K3" s="126">
        <f t="shared" si="0"/>
        <v>3.3545261927555896</v>
      </c>
      <c r="L3" s="126">
        <f t="shared" si="0"/>
        <v>15.813569892009824</v>
      </c>
      <c r="M3" s="126">
        <f t="shared" si="0"/>
        <v>11.384004544445236</v>
      </c>
      <c r="N3" s="126">
        <f t="shared" si="0"/>
        <v>10.256937652935397</v>
      </c>
      <c r="O3" s="126">
        <f t="shared" si="0"/>
        <v>15.81005852286677</v>
      </c>
      <c r="P3" s="126">
        <f t="shared" si="0"/>
        <v>13.441705387157066</v>
      </c>
      <c r="Q3" s="126">
        <f t="shared" si="0"/>
        <v>14.244168386603201</v>
      </c>
      <c r="R3" s="126">
        <f t="shared" ref="R3:W3" si="1">SUM(R4,R16,R19,R29)</f>
        <v>23.302857419462352</v>
      </c>
      <c r="S3" s="126">
        <f t="shared" si="1"/>
        <v>27.753729151454312</v>
      </c>
      <c r="T3" s="126">
        <f t="shared" si="1"/>
        <v>20.775674686349632</v>
      </c>
      <c r="U3" s="126">
        <f t="shared" si="1"/>
        <v>17.776840417481623</v>
      </c>
      <c r="V3" s="126">
        <f t="shared" si="1"/>
        <v>10.333074622425443</v>
      </c>
      <c r="W3" s="126">
        <f t="shared" si="1"/>
        <v>15.467635382763158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52.128294354452109</v>
      </c>
      <c r="D4" s="131">
        <f t="shared" si="2"/>
        <v>48.160038712620839</v>
      </c>
      <c r="E4" s="131">
        <f t="shared" si="2"/>
        <v>38.41722632878465</v>
      </c>
      <c r="F4" s="131">
        <f t="shared" si="2"/>
        <v>22.572787960249592</v>
      </c>
      <c r="G4" s="131">
        <f t="shared" si="2"/>
        <v>21.72872615938341</v>
      </c>
      <c r="H4" s="131">
        <f t="shared" si="2"/>
        <v>26.434058008847224</v>
      </c>
      <c r="I4" s="131">
        <f t="shared" si="2"/>
        <v>9.4496757694474667</v>
      </c>
      <c r="J4" s="131">
        <f t="shared" si="2"/>
        <v>0.15877100565399435</v>
      </c>
      <c r="K4" s="131">
        <f t="shared" si="2"/>
        <v>1.2711051569386589</v>
      </c>
      <c r="L4" s="131">
        <f t="shared" si="2"/>
        <v>9.4757038338202779</v>
      </c>
      <c r="M4" s="131">
        <f t="shared" si="2"/>
        <v>7.5651496908470328</v>
      </c>
      <c r="N4" s="131">
        <f t="shared" si="2"/>
        <v>8.476060105270621</v>
      </c>
      <c r="O4" s="131">
        <f t="shared" si="2"/>
        <v>12.557839885547121</v>
      </c>
      <c r="P4" s="131">
        <f t="shared" si="2"/>
        <v>10.479598241008226</v>
      </c>
      <c r="Q4" s="131">
        <f t="shared" si="2"/>
        <v>9.5685109515539892</v>
      </c>
      <c r="R4" s="131">
        <f t="shared" ref="R4:W4" si="3">SUM(R5:R15)</f>
        <v>16.317476344083847</v>
      </c>
      <c r="S4" s="131">
        <f t="shared" si="3"/>
        <v>20.035197997356477</v>
      </c>
      <c r="T4" s="131">
        <f t="shared" si="3"/>
        <v>14.203580360132911</v>
      </c>
      <c r="U4" s="131">
        <f t="shared" si="3"/>
        <v>10.730566552887186</v>
      </c>
      <c r="V4" s="131">
        <f t="shared" si="3"/>
        <v>4.9350757267460725</v>
      </c>
      <c r="W4" s="131">
        <f t="shared" si="3"/>
        <v>9.171387326868004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5.8458307898395234E-2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24.465044340320954</v>
      </c>
      <c r="D7" s="133">
        <v>25.196127184822181</v>
      </c>
      <c r="E7" s="133">
        <v>24.679099148701056</v>
      </c>
      <c r="F7" s="133">
        <v>20.946286678610203</v>
      </c>
      <c r="G7" s="133">
        <v>20.106365629690526</v>
      </c>
      <c r="H7" s="133">
        <v>24.661497659836691</v>
      </c>
      <c r="I7" s="133">
        <v>8.561694320077283</v>
      </c>
      <c r="J7" s="133">
        <v>0</v>
      </c>
      <c r="K7" s="133">
        <v>0</v>
      </c>
      <c r="L7" s="133">
        <v>0</v>
      </c>
      <c r="M7" s="133">
        <v>0</v>
      </c>
      <c r="N7" s="133">
        <v>0</v>
      </c>
      <c r="O7" s="133">
        <v>4.4253273077640518</v>
      </c>
      <c r="P7" s="133">
        <v>5.2910898271779034</v>
      </c>
      <c r="Q7" s="133">
        <v>7.3885147587327404</v>
      </c>
      <c r="R7" s="133">
        <v>8.9411692554182167</v>
      </c>
      <c r="S7" s="133">
        <v>14.052931817975018</v>
      </c>
      <c r="T7" s="133">
        <v>10.628525366912852</v>
      </c>
      <c r="U7" s="133">
        <v>6.4646310876416901</v>
      </c>
      <c r="V7" s="133">
        <v>4.8874087262236525</v>
      </c>
      <c r="W7" s="133">
        <v>5.2266876598841048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0.14511633601487908</v>
      </c>
      <c r="D8" s="133">
        <v>0.21913626798532979</v>
      </c>
      <c r="E8" s="133">
        <v>0.22401931167622033</v>
      </c>
      <c r="F8" s="133">
        <v>0.32455528317163929</v>
      </c>
      <c r="G8" s="133">
        <v>0.23178878505149014</v>
      </c>
      <c r="H8" s="133">
        <v>0.30127240398561095</v>
      </c>
      <c r="I8" s="133">
        <v>0.17590467766027149</v>
      </c>
      <c r="J8" s="133">
        <v>0.11760333146637059</v>
      </c>
      <c r="K8" s="133">
        <v>1.5694871016259073E-2</v>
      </c>
      <c r="L8" s="133">
        <v>2.7348807709293311E-2</v>
      </c>
      <c r="M8" s="133">
        <v>2.1037202579991449E-2</v>
      </c>
      <c r="N8" s="133">
        <v>1.5689857620267339E-2</v>
      </c>
      <c r="O8" s="133">
        <v>2.4044057804416201E-2</v>
      </c>
      <c r="P8" s="133">
        <v>6.4322901849335978E-2</v>
      </c>
      <c r="Q8" s="133">
        <v>8.0126836855731576E-2</v>
      </c>
      <c r="R8" s="133">
        <v>0.12886319499735777</v>
      </c>
      <c r="S8" s="133">
        <v>0.13890961087890089</v>
      </c>
      <c r="T8" s="133">
        <v>0.11132105418984857</v>
      </c>
      <c r="U8" s="133">
        <v>8.0553295251173981E-2</v>
      </c>
      <c r="V8" s="133">
        <v>4.7667000522420275E-2</v>
      </c>
      <c r="W8" s="133">
        <v>4.4558341389311425E-2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27.160060095225919</v>
      </c>
      <c r="D9" s="133">
        <v>21.620513762293335</v>
      </c>
      <c r="E9" s="133">
        <v>12.518225907948972</v>
      </c>
      <c r="F9" s="133">
        <v>0</v>
      </c>
      <c r="G9" s="133">
        <v>0</v>
      </c>
      <c r="H9" s="133">
        <v>0</v>
      </c>
      <c r="I9" s="133">
        <v>0</v>
      </c>
      <c r="J9" s="133">
        <v>0</v>
      </c>
      <c r="K9" s="133">
        <v>1.2208652013295183</v>
      </c>
      <c r="L9" s="133">
        <v>9.3616411366948196</v>
      </c>
      <c r="M9" s="133">
        <v>7.5346220208412227</v>
      </c>
      <c r="N9" s="133">
        <v>8.4603702476503528</v>
      </c>
      <c r="O9" s="133">
        <v>8.0500102120802577</v>
      </c>
      <c r="P9" s="133">
        <v>5.1241855119809863</v>
      </c>
      <c r="Q9" s="133">
        <v>2.099869355965517</v>
      </c>
      <c r="R9" s="133">
        <v>7.2474438936682732</v>
      </c>
      <c r="S9" s="133">
        <v>5.8433565685025561</v>
      </c>
      <c r="T9" s="133">
        <v>3.4637339390302091</v>
      </c>
      <c r="U9" s="133">
        <v>4.1853821699943214</v>
      </c>
      <c r="V9" s="133">
        <v>0</v>
      </c>
      <c r="W9" s="133">
        <v>3.9001413255945869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0.35807358289035568</v>
      </c>
      <c r="D10" s="133">
        <v>1.1242614975199889</v>
      </c>
      <c r="E10" s="133">
        <v>0.99588196045840305</v>
      </c>
      <c r="F10" s="133">
        <v>1.3019459984677493</v>
      </c>
      <c r="G10" s="133">
        <v>1.3905717446413959</v>
      </c>
      <c r="H10" s="133">
        <v>1.4712879450249228</v>
      </c>
      <c r="I10" s="133">
        <v>0.71207677170991246</v>
      </c>
      <c r="J10" s="133">
        <v>4.1167674187623772E-2</v>
      </c>
      <c r="K10" s="133">
        <v>3.4545084592881595E-2</v>
      </c>
      <c r="L10" s="133">
        <v>8.6713889416165646E-2</v>
      </c>
      <c r="M10" s="133">
        <v>9.4904674258189242E-3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9.2405763425416308E-3</v>
      </c>
      <c r="D16" s="131">
        <f t="shared" si="4"/>
        <v>1.7171929863124571E-2</v>
      </c>
      <c r="E16" s="131">
        <f t="shared" si="4"/>
        <v>8.7755620738026122E-3</v>
      </c>
      <c r="F16" s="131">
        <f t="shared" si="4"/>
        <v>3.6832094855718263E-2</v>
      </c>
      <c r="G16" s="131">
        <f t="shared" si="4"/>
        <v>2.759630353501169E-2</v>
      </c>
      <c r="H16" s="131">
        <f t="shared" si="4"/>
        <v>3.4301365104905709E-2</v>
      </c>
      <c r="I16" s="131">
        <f t="shared" si="4"/>
        <v>5.3543765684031859E-2</v>
      </c>
      <c r="J16" s="131">
        <f t="shared" si="4"/>
        <v>3.1511828328840745E-2</v>
      </c>
      <c r="K16" s="131">
        <f t="shared" si="4"/>
        <v>1.619825101253438E-2</v>
      </c>
      <c r="L16" s="131">
        <f t="shared" si="4"/>
        <v>3.2694273312993495E-2</v>
      </c>
      <c r="M16" s="131">
        <f t="shared" si="4"/>
        <v>2.9859061864254244E-2</v>
      </c>
      <c r="N16" s="131">
        <f t="shared" si="4"/>
        <v>2.342922687879307E-2</v>
      </c>
      <c r="O16" s="131">
        <f t="shared" si="4"/>
        <v>2.8796780274871609E-2</v>
      </c>
      <c r="P16" s="131">
        <f t="shared" si="4"/>
        <v>3.5388222685424874E-2</v>
      </c>
      <c r="Q16" s="131">
        <f t="shared" si="4"/>
        <v>5.1972891113057987E-2</v>
      </c>
      <c r="R16" s="131">
        <f t="shared" ref="R16:W16" si="5">SUM(R17:R18)</f>
        <v>5.6421104222134456E-2</v>
      </c>
      <c r="S16" s="131">
        <f t="shared" si="5"/>
        <v>9.4330316690276222E-2</v>
      </c>
      <c r="T16" s="131">
        <f t="shared" si="5"/>
        <v>7.8217775022325117E-2</v>
      </c>
      <c r="U16" s="131">
        <f t="shared" si="5"/>
        <v>0.10445320516135763</v>
      </c>
      <c r="V16" s="131">
        <f t="shared" si="5"/>
        <v>4.900355118050178E-2</v>
      </c>
      <c r="W16" s="131">
        <f t="shared" si="5"/>
        <v>6.2148853906753232E-2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9.2405763425416308E-3</v>
      </c>
      <c r="D17" s="133">
        <v>1.7171929863124571E-2</v>
      </c>
      <c r="E17" s="133">
        <v>8.7755620738026122E-3</v>
      </c>
      <c r="F17" s="133">
        <v>3.6832094855718263E-2</v>
      </c>
      <c r="G17" s="133">
        <v>2.759630353501169E-2</v>
      </c>
      <c r="H17" s="133">
        <v>3.4301365104905709E-2</v>
      </c>
      <c r="I17" s="133">
        <v>5.3543765684031859E-2</v>
      </c>
      <c r="J17" s="133">
        <v>3.1511828328840745E-2</v>
      </c>
      <c r="K17" s="133">
        <v>1.619825101253438E-2</v>
      </c>
      <c r="L17" s="133">
        <v>3.2694273312993495E-2</v>
      </c>
      <c r="M17" s="133">
        <v>2.9859061864254244E-2</v>
      </c>
      <c r="N17" s="133">
        <v>2.342922687879307E-2</v>
      </c>
      <c r="O17" s="133">
        <v>2.8796780274871609E-2</v>
      </c>
      <c r="P17" s="133">
        <v>3.5388222685424874E-2</v>
      </c>
      <c r="Q17" s="133">
        <v>5.1972891113057987E-2</v>
      </c>
      <c r="R17" s="133">
        <v>5.6421104222134456E-2</v>
      </c>
      <c r="S17" s="133">
        <v>9.4330316690276222E-2</v>
      </c>
      <c r="T17" s="133">
        <v>7.8217775022325117E-2</v>
      </c>
      <c r="U17" s="133">
        <v>0.10445320516135763</v>
      </c>
      <c r="V17" s="133">
        <v>4.900355118050178E-2</v>
      </c>
      <c r="W17" s="133">
        <v>6.2148853906753232E-2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1.8428212505079162</v>
      </c>
      <c r="D19" s="131">
        <f t="shared" si="6"/>
        <v>4.1997829902623893</v>
      </c>
      <c r="E19" s="131">
        <f t="shared" si="6"/>
        <v>1.9544608231341951</v>
      </c>
      <c r="F19" s="131">
        <f t="shared" si="6"/>
        <v>4.2784966510437812</v>
      </c>
      <c r="G19" s="131">
        <f t="shared" si="6"/>
        <v>3.5098570808244678</v>
      </c>
      <c r="H19" s="131">
        <f t="shared" si="6"/>
        <v>4.3398992807982948</v>
      </c>
      <c r="I19" s="131">
        <f t="shared" si="6"/>
        <v>2.7063376181629319</v>
      </c>
      <c r="J19" s="131">
        <f t="shared" si="6"/>
        <v>1.0407807483616787</v>
      </c>
      <c r="K19" s="131">
        <f t="shared" si="6"/>
        <v>0.63681396912902954</v>
      </c>
      <c r="L19" s="131">
        <f t="shared" si="6"/>
        <v>0.92245665374036834</v>
      </c>
      <c r="M19" s="131">
        <f t="shared" si="6"/>
        <v>0.95694593261504768</v>
      </c>
      <c r="N19" s="131">
        <f t="shared" si="6"/>
        <v>0.55366701207950442</v>
      </c>
      <c r="O19" s="131">
        <f t="shared" si="6"/>
        <v>1.4170080506315881</v>
      </c>
      <c r="P19" s="131">
        <f t="shared" si="6"/>
        <v>0.48100724282177643</v>
      </c>
      <c r="Q19" s="131">
        <f t="shared" si="6"/>
        <v>1.3124001941554855</v>
      </c>
      <c r="R19" s="131">
        <f t="shared" ref="R19:W19" si="7">SUM(R20:R27)</f>
        <v>2.4411470190290916</v>
      </c>
      <c r="S19" s="131">
        <f t="shared" si="7"/>
        <v>2.125302896905453</v>
      </c>
      <c r="T19" s="131">
        <f t="shared" si="7"/>
        <v>1.8087651633923278</v>
      </c>
      <c r="U19" s="131">
        <f t="shared" si="7"/>
        <v>2.5018979695545172</v>
      </c>
      <c r="V19" s="131">
        <f t="shared" si="7"/>
        <v>1.2730504660270763</v>
      </c>
      <c r="W19" s="131">
        <f t="shared" si="7"/>
        <v>2.1379296512288919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0.39712203754330161</v>
      </c>
      <c r="D21" s="133">
        <v>1.0831267608715349</v>
      </c>
      <c r="E21" s="133">
        <v>0.69077579910812514</v>
      </c>
      <c r="F21" s="133">
        <v>1.1154075998791344</v>
      </c>
      <c r="G21" s="133">
        <v>0.97457838932656593</v>
      </c>
      <c r="H21" s="133">
        <v>1.0668604437629601</v>
      </c>
      <c r="I21" s="133">
        <v>0.49286742437160069</v>
      </c>
      <c r="J21" s="133">
        <v>0</v>
      </c>
      <c r="K21" s="133">
        <v>6.4765259446359122E-2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1.0541363817777127</v>
      </c>
      <c r="D22" s="133">
        <v>2.1725268010950742</v>
      </c>
      <c r="E22" s="133">
        <v>0.81241942411630252</v>
      </c>
      <c r="F22" s="133">
        <v>1.9644848713328484</v>
      </c>
      <c r="G22" s="133">
        <v>1.1505280482415456</v>
      </c>
      <c r="H22" s="133">
        <v>1.728144341612436</v>
      </c>
      <c r="I22" s="133">
        <v>0.79849385353123259</v>
      </c>
      <c r="J22" s="133">
        <v>0.33828815084439162</v>
      </c>
      <c r="K22" s="133">
        <v>0.31390966528773212</v>
      </c>
      <c r="L22" s="133">
        <v>0.27814052711019172</v>
      </c>
      <c r="M22" s="133">
        <v>0.4314257174899282</v>
      </c>
      <c r="N22" s="133">
        <v>0.25849777814827368</v>
      </c>
      <c r="O22" s="133">
        <v>0.76248399041062254</v>
      </c>
      <c r="P22" s="133">
        <v>0</v>
      </c>
      <c r="Q22" s="133">
        <v>0.42767807539136982</v>
      </c>
      <c r="R22" s="133">
        <v>1.0964610992212369</v>
      </c>
      <c r="S22" s="133">
        <v>1.2066125597611972</v>
      </c>
      <c r="T22" s="133">
        <v>0.945218543974639</v>
      </c>
      <c r="U22" s="133">
        <v>1.2259032949253956</v>
      </c>
      <c r="V22" s="133">
        <v>0.5151392775838366</v>
      </c>
      <c r="W22" s="133">
        <v>1.0060204532147667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0.35174218675364466</v>
      </c>
      <c r="D23" s="133">
        <v>0.85288203720289801</v>
      </c>
      <c r="E23" s="133">
        <v>0.41619211083751023</v>
      </c>
      <c r="F23" s="133">
        <v>1.1193077182930053</v>
      </c>
      <c r="G23" s="133">
        <v>1.182346418422842</v>
      </c>
      <c r="H23" s="133">
        <v>1.3911852521037014</v>
      </c>
      <c r="I23" s="133">
        <v>1.3458370874903429</v>
      </c>
      <c r="J23" s="133">
        <v>0.69483556393510315</v>
      </c>
      <c r="K23" s="133">
        <v>0.25514933270214624</v>
      </c>
      <c r="L23" s="133">
        <v>0.63685962957198372</v>
      </c>
      <c r="M23" s="133">
        <v>0.51896638919955107</v>
      </c>
      <c r="N23" s="133">
        <v>0.29516923393123073</v>
      </c>
      <c r="O23" s="133">
        <v>0.65452406022096554</v>
      </c>
      <c r="P23" s="133">
        <v>0.48100724282177643</v>
      </c>
      <c r="Q23" s="133">
        <v>0.88472211876411566</v>
      </c>
      <c r="R23" s="133">
        <v>1.3446859198078547</v>
      </c>
      <c r="S23" s="133">
        <v>0.91869033714425596</v>
      </c>
      <c r="T23" s="133">
        <v>0.86354661941768873</v>
      </c>
      <c r="U23" s="133">
        <v>1.2759946746291213</v>
      </c>
      <c r="V23" s="133">
        <v>0.75791118844323968</v>
      </c>
      <c r="W23" s="133">
        <v>1.1319091980141252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3.9820644433257397E-2</v>
      </c>
      <c r="D24" s="133">
        <v>9.124739109288274E-2</v>
      </c>
      <c r="E24" s="133">
        <v>3.5073489072257331E-2</v>
      </c>
      <c r="F24" s="133">
        <v>7.9296461538793661E-2</v>
      </c>
      <c r="G24" s="133">
        <v>0.20240422483351414</v>
      </c>
      <c r="H24" s="133">
        <v>0.15370924331919694</v>
      </c>
      <c r="I24" s="133">
        <v>6.913925276975541E-2</v>
      </c>
      <c r="J24" s="133">
        <v>7.6570335821840472E-3</v>
      </c>
      <c r="K24" s="133">
        <v>2.9897116927920463E-3</v>
      </c>
      <c r="L24" s="133">
        <v>7.4564970581928658E-3</v>
      </c>
      <c r="M24" s="133">
        <v>6.5538259255684041E-3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3.1389493069581613</v>
      </c>
      <c r="D29" s="131">
        <f t="shared" si="8"/>
        <v>8.4830725192690188</v>
      </c>
      <c r="E29" s="131">
        <f t="shared" si="8"/>
        <v>6.2668182828205925</v>
      </c>
      <c r="F29" s="131">
        <f t="shared" si="8"/>
        <v>7.1118616094062101</v>
      </c>
      <c r="G29" s="131">
        <f t="shared" si="8"/>
        <v>5.6700731903015535</v>
      </c>
      <c r="H29" s="131">
        <f t="shared" si="8"/>
        <v>5.3183685237310394</v>
      </c>
      <c r="I29" s="131">
        <f t="shared" si="8"/>
        <v>4.1288139384891975</v>
      </c>
      <c r="J29" s="131">
        <f t="shared" si="8"/>
        <v>3.7356324295954471</v>
      </c>
      <c r="K29" s="131">
        <f t="shared" si="8"/>
        <v>1.4304088156753667</v>
      </c>
      <c r="L29" s="131">
        <f t="shared" si="8"/>
        <v>5.3827151311361829</v>
      </c>
      <c r="M29" s="131">
        <f t="shared" si="8"/>
        <v>2.8320498591189027</v>
      </c>
      <c r="N29" s="131">
        <f t="shared" si="8"/>
        <v>1.2037813087064777</v>
      </c>
      <c r="O29" s="131">
        <f t="shared" si="8"/>
        <v>1.8064138064131874</v>
      </c>
      <c r="P29" s="131">
        <f t="shared" si="8"/>
        <v>2.4457116806416379</v>
      </c>
      <c r="Q29" s="131">
        <f t="shared" si="8"/>
        <v>3.311284349780669</v>
      </c>
      <c r="R29" s="131">
        <f t="shared" ref="R29:W29" si="9">SUM(R30:R33)</f>
        <v>4.4878129521272792</v>
      </c>
      <c r="S29" s="131">
        <f t="shared" si="9"/>
        <v>5.4988979405021077</v>
      </c>
      <c r="T29" s="131">
        <f t="shared" si="9"/>
        <v>4.6851113878020652</v>
      </c>
      <c r="U29" s="131">
        <f t="shared" si="9"/>
        <v>4.4399226898785606</v>
      </c>
      <c r="V29" s="131">
        <f t="shared" si="9"/>
        <v>4.0759448784717911</v>
      </c>
      <c r="W29" s="131">
        <f t="shared" si="9"/>
        <v>4.0961695507595071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0.80040595772435885</v>
      </c>
      <c r="D30" s="133">
        <v>5.3288840771511481</v>
      </c>
      <c r="E30" s="133">
        <v>3.7085291099980382</v>
      </c>
      <c r="F30" s="133">
        <v>2.8379251584858229</v>
      </c>
      <c r="G30" s="133">
        <v>1.3207046106582139</v>
      </c>
      <c r="H30" s="133">
        <v>0.18115033436838954</v>
      </c>
      <c r="I30" s="133">
        <v>0</v>
      </c>
      <c r="J30" s="133">
        <v>0.34148355691167293</v>
      </c>
      <c r="K30" s="133">
        <v>0.34276740808790351</v>
      </c>
      <c r="L30" s="133">
        <v>2.0001445579201294</v>
      </c>
      <c r="M30" s="133">
        <v>0</v>
      </c>
      <c r="N30" s="133">
        <v>0</v>
      </c>
      <c r="O30" s="133">
        <v>0</v>
      </c>
      <c r="P30" s="133">
        <v>0</v>
      </c>
      <c r="Q30" s="133">
        <v>0.36922083498766217</v>
      </c>
      <c r="R30" s="133">
        <v>0.331678469166581</v>
      </c>
      <c r="S30" s="133">
        <v>1.1119466019685897</v>
      </c>
      <c r="T30" s="133">
        <v>0.35529084838921521</v>
      </c>
      <c r="U30" s="133">
        <v>0.31763124938330323</v>
      </c>
      <c r="V30" s="133">
        <v>0.26741051549237632</v>
      </c>
      <c r="W30" s="133">
        <v>0.49998927558069461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2.2925805459045612</v>
      </c>
      <c r="D31" s="133">
        <v>3.0915295388571735</v>
      </c>
      <c r="E31" s="133">
        <v>2.5169860332836236</v>
      </c>
      <c r="F31" s="133">
        <v>4.2215701413636832</v>
      </c>
      <c r="G31" s="133">
        <v>4.2314314906096229</v>
      </c>
      <c r="H31" s="133">
        <v>5.0471268990002791</v>
      </c>
      <c r="I31" s="133">
        <v>4.0932115101148199</v>
      </c>
      <c r="J31" s="133">
        <v>3.3879505923681394</v>
      </c>
      <c r="K31" s="133">
        <v>1.0855144690013894</v>
      </c>
      <c r="L31" s="133">
        <v>3.3757145110476365</v>
      </c>
      <c r="M31" s="133">
        <v>2.8279930251687158</v>
      </c>
      <c r="N31" s="133">
        <v>1.2037813087064777</v>
      </c>
      <c r="O31" s="133">
        <v>1.8064138064131874</v>
      </c>
      <c r="P31" s="133">
        <v>2.4457116806416379</v>
      </c>
      <c r="Q31" s="133">
        <v>2.942063514793007</v>
      </c>
      <c r="R31" s="133">
        <v>4.1561344829606979</v>
      </c>
      <c r="S31" s="133">
        <v>4.3869513385335175</v>
      </c>
      <c r="T31" s="133">
        <v>4.3298205394128502</v>
      </c>
      <c r="U31" s="133">
        <v>4.1222914404952578</v>
      </c>
      <c r="V31" s="133">
        <v>3.8085343629794144</v>
      </c>
      <c r="W31" s="133">
        <v>3.5961802751788121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4.5962803329241075E-2</v>
      </c>
      <c r="D32" s="133">
        <v>6.2658903260697313E-2</v>
      </c>
      <c r="E32" s="133">
        <v>4.1303139538930729E-2</v>
      </c>
      <c r="F32" s="133">
        <v>5.2366309556704092E-2</v>
      </c>
      <c r="G32" s="133">
        <v>0.11793708903371662</v>
      </c>
      <c r="H32" s="133">
        <v>9.0091290362370902E-2</v>
      </c>
      <c r="I32" s="133">
        <v>3.5602428374377278E-2</v>
      </c>
      <c r="J32" s="133">
        <v>6.198280315634839E-3</v>
      </c>
      <c r="K32" s="133">
        <v>2.126938586073792E-3</v>
      </c>
      <c r="L32" s="133">
        <v>6.8560621684172866E-3</v>
      </c>
      <c r="M32" s="133">
        <v>4.0568339501868677E-3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191651.33326642122</v>
      </c>
      <c r="D3" s="126">
        <f>IF(SER_hh_fec_in!D3=0,0,11630*1000*SER_hh_fec_in!D3/SER_hh_num_in!D3)</f>
        <v>173737.85036908719</v>
      </c>
      <c r="E3" s="126">
        <f>IF(SER_hh_fec_in!E3=0,0,11630*1000*SER_hh_fec_in!E3/SER_hh_num_in!E3)</f>
        <v>183074.99116270148</v>
      </c>
      <c r="F3" s="126">
        <f>IF(SER_hh_fec_in!F3=0,0,11630*1000*SER_hh_fec_in!F3/SER_hh_num_in!F3)</f>
        <v>147268.57909115418</v>
      </c>
      <c r="G3" s="126">
        <f>IF(SER_hh_fec_in!G3=0,0,11630*1000*SER_hh_fec_in!G3/SER_hh_num_in!G3)</f>
        <v>158257.1503495689</v>
      </c>
      <c r="H3" s="126">
        <f>IF(SER_hh_fec_in!H3=0,0,11630*1000*SER_hh_fec_in!H3/SER_hh_num_in!H3)</f>
        <v>150760.02716538135</v>
      </c>
      <c r="I3" s="126">
        <f>IF(SER_hh_fec_in!I3=0,0,11630*1000*SER_hh_fec_in!I3/SER_hh_num_in!I3)</f>
        <v>122865.04049207273</v>
      </c>
      <c r="J3" s="126">
        <f>IF(SER_hh_fec_in!J3=0,0,11630*1000*SER_hh_fec_in!J3/SER_hh_num_in!J3)</f>
        <v>122822.23056841077</v>
      </c>
      <c r="K3" s="126">
        <f>IF(SER_hh_fec_in!K3=0,0,11630*1000*SER_hh_fec_in!K3/SER_hh_num_in!K3)</f>
        <v>120437.7340961415</v>
      </c>
      <c r="L3" s="126">
        <f>IF(SER_hh_fec_in!L3=0,0,11630*1000*SER_hh_fec_in!L3/SER_hh_num_in!L3)</f>
        <v>123028.9221416997</v>
      </c>
      <c r="M3" s="126">
        <f>IF(SER_hh_fec_in!M3=0,0,11630*1000*SER_hh_fec_in!M3/SER_hh_num_in!M3)</f>
        <v>109242.23074573347</v>
      </c>
      <c r="N3" s="126">
        <f>IF(SER_hh_fec_in!N3=0,0,11630*1000*SER_hh_fec_in!N3/SER_hh_num_in!N3)</f>
        <v>110996.39100373379</v>
      </c>
      <c r="O3" s="126">
        <f>IF(SER_hh_fec_in!O3=0,0,11630*1000*SER_hh_fec_in!O3/SER_hh_num_in!O3)</f>
        <v>107825.46759241015</v>
      </c>
      <c r="P3" s="126">
        <f>IF(SER_hh_fec_in!P3=0,0,11630*1000*SER_hh_fec_in!P3/SER_hh_num_in!P3)</f>
        <v>92464.882224112531</v>
      </c>
      <c r="Q3" s="126">
        <f>IF(SER_hh_fec_in!Q3=0,0,11630*1000*SER_hh_fec_in!Q3/SER_hh_num_in!Q3)</f>
        <v>94463.050223038779</v>
      </c>
      <c r="R3" s="126">
        <f>IF(SER_hh_fec_in!R3=0,0,11630*1000*SER_hh_fec_in!R3/SER_hh_num_in!R3)</f>
        <v>90676.114794841676</v>
      </c>
      <c r="S3" s="126">
        <f>IF(SER_hh_fec_in!S3=0,0,11630*1000*SER_hh_fec_in!S3/SER_hh_num_in!S3)</f>
        <v>102689.79520960939</v>
      </c>
      <c r="T3" s="126">
        <f>IF(SER_hh_fec_in!T3=0,0,11630*1000*SER_hh_fec_in!T3/SER_hh_num_in!T3)</f>
        <v>93956.934156981486</v>
      </c>
      <c r="U3" s="126">
        <f>IF(SER_hh_fec_in!U3=0,0,11630*1000*SER_hh_fec_in!U3/SER_hh_num_in!U3)</f>
        <v>93727.128047067323</v>
      </c>
      <c r="V3" s="126">
        <f>IF(SER_hh_fec_in!V3=0,0,11630*1000*SER_hh_fec_in!V3/SER_hh_num_in!V3)</f>
        <v>82706.547197673208</v>
      </c>
      <c r="W3" s="126">
        <f>IF(SER_hh_fec_in!W3=0,0,11630*1000*SER_hh_fec_in!W3/SER_hh_num_in!W3)</f>
        <v>86551.950172351339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150821.56244800059</v>
      </c>
      <c r="D4" s="131">
        <f>IF(SER_hh_fec_in!D4=0,0,11630*1000*SER_hh_fec_in!D4/SER_hh_num_in!D4)</f>
        <v>127721.68342373481</v>
      </c>
      <c r="E4" s="131">
        <f>IF(SER_hh_fec_in!E4=0,0,11630*1000*SER_hh_fec_in!E4/SER_hh_num_in!E4)</f>
        <v>137987.36430087063</v>
      </c>
      <c r="F4" s="131">
        <f>IF(SER_hh_fec_in!F4=0,0,11630*1000*SER_hh_fec_in!F4/SER_hh_num_in!F4)</f>
        <v>105014.52778939255</v>
      </c>
      <c r="G4" s="131">
        <f>IF(SER_hh_fec_in!G4=0,0,11630*1000*SER_hh_fec_in!G4/SER_hh_num_in!G4)</f>
        <v>114749.55173800656</v>
      </c>
      <c r="H4" s="131">
        <f>IF(SER_hh_fec_in!H4=0,0,11630*1000*SER_hh_fec_in!H4/SER_hh_num_in!H4)</f>
        <v>108554.18390696654</v>
      </c>
      <c r="I4" s="131">
        <f>IF(SER_hh_fec_in!I4=0,0,11630*1000*SER_hh_fec_in!I4/SER_hh_num_in!I4)</f>
        <v>82708.706019754783</v>
      </c>
      <c r="J4" s="131">
        <f>IF(SER_hh_fec_in!J4=0,0,11630*1000*SER_hh_fec_in!J4/SER_hh_num_in!J4)</f>
        <v>82362.676996622482</v>
      </c>
      <c r="K4" s="131">
        <f>IF(SER_hh_fec_in!K4=0,0,11630*1000*SER_hh_fec_in!K4/SER_hh_num_in!K4)</f>
        <v>77536.402800650743</v>
      </c>
      <c r="L4" s="131">
        <f>IF(SER_hh_fec_in!L4=0,0,11630*1000*SER_hh_fec_in!L4/SER_hh_num_in!L4)</f>
        <v>81033.436856231405</v>
      </c>
      <c r="M4" s="131">
        <f>IF(SER_hh_fec_in!M4=0,0,11630*1000*SER_hh_fec_in!M4/SER_hh_num_in!M4)</f>
        <v>67907.514718099192</v>
      </c>
      <c r="N4" s="131">
        <f>IF(SER_hh_fec_in!N4=0,0,11630*1000*SER_hh_fec_in!N4/SER_hh_num_in!N4)</f>
        <v>69598.589215016254</v>
      </c>
      <c r="O4" s="131">
        <f>IF(SER_hh_fec_in!O4=0,0,11630*1000*SER_hh_fec_in!O4/SER_hh_num_in!O4)</f>
        <v>67780.984457995888</v>
      </c>
      <c r="P4" s="131">
        <f>IF(SER_hh_fec_in!P4=0,0,11630*1000*SER_hh_fec_in!P4/SER_hh_num_in!P4)</f>
        <v>51483.935466795127</v>
      </c>
      <c r="Q4" s="131">
        <f>IF(SER_hh_fec_in!Q4=0,0,11630*1000*SER_hh_fec_in!Q4/SER_hh_num_in!Q4)</f>
        <v>55517.60132525675</v>
      </c>
      <c r="R4" s="131">
        <f>IF(SER_hh_fec_in!R4=0,0,11630*1000*SER_hh_fec_in!R4/SER_hh_num_in!R4)</f>
        <v>53177.279526006409</v>
      </c>
      <c r="S4" s="131">
        <f>IF(SER_hh_fec_in!S4=0,0,11630*1000*SER_hh_fec_in!S4/SER_hh_num_in!S4)</f>
        <v>62200.391044058852</v>
      </c>
      <c r="T4" s="131">
        <f>IF(SER_hh_fec_in!T4=0,0,11630*1000*SER_hh_fec_in!T4/SER_hh_num_in!T4)</f>
        <v>55077.416753020407</v>
      </c>
      <c r="U4" s="131">
        <f>IF(SER_hh_fec_in!U4=0,0,11630*1000*SER_hh_fec_in!U4/SER_hh_num_in!U4)</f>
        <v>55190.096874780262</v>
      </c>
      <c r="V4" s="131">
        <f>IF(SER_hh_fec_in!V4=0,0,11630*1000*SER_hh_fec_in!V4/SER_hh_num_in!V4)</f>
        <v>47130.723007350731</v>
      </c>
      <c r="W4" s="131">
        <f>IF(SER_hh_fec_in!W4=0,0,11630*1000*SER_hh_fec_in!W4/SER_hh_num_in!W4)</f>
        <v>52397.987598503794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44925.634859166305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170358.81731931921</v>
      </c>
      <c r="D7" s="133">
        <f>IF(SER_hh_fec_in!D7=0,0,11630*1000*SER_hh_fec_in!D7/SER_hh_num_in!D7)</f>
        <v>161371.85131958962</v>
      </c>
      <c r="E7" s="133">
        <f>IF(SER_hh_fec_in!E7=0,0,11630*1000*SER_hh_fec_in!E7/SER_hh_num_in!E7)</f>
        <v>192552.40048599319</v>
      </c>
      <c r="F7" s="133">
        <f>IF(SER_hh_fec_in!F7=0,0,11630*1000*SER_hh_fec_in!F7/SER_hh_num_in!F7)</f>
        <v>134195.07419341477</v>
      </c>
      <c r="G7" s="133">
        <f>IF(SER_hh_fec_in!G7=0,0,11630*1000*SER_hh_fec_in!G7/SER_hh_num_in!G7)</f>
        <v>168835.00094880222</v>
      </c>
      <c r="H7" s="133">
        <f>IF(SER_hh_fec_in!H7=0,0,11630*1000*SER_hh_fec_in!H7/SER_hh_num_in!H7)</f>
        <v>168570.4003076244</v>
      </c>
      <c r="I7" s="133">
        <f>IF(SER_hh_fec_in!I7=0,0,11630*1000*SER_hh_fec_in!I7/SER_hh_num_in!I7)</f>
        <v>118010.12170450391</v>
      </c>
      <c r="J7" s="133">
        <f>IF(SER_hh_fec_in!J7=0,0,11630*1000*SER_hh_fec_in!J7/SER_hh_num_in!J7)</f>
        <v>0</v>
      </c>
      <c r="K7" s="133">
        <f>IF(SER_hh_fec_in!K7=0,0,11630*1000*SER_hh_fec_in!K7/SER_hh_num_in!K7)</f>
        <v>0</v>
      </c>
      <c r="L7" s="133">
        <f>IF(SER_hh_fec_in!L7=0,0,11630*1000*SER_hh_fec_in!L7/SER_hh_num_in!L7)</f>
        <v>0</v>
      </c>
      <c r="M7" s="133">
        <f>IF(SER_hh_fec_in!M7=0,0,11630*1000*SER_hh_fec_in!M7/SER_hh_num_in!M7)</f>
        <v>0</v>
      </c>
      <c r="N7" s="133">
        <f>IF(SER_hh_fec_in!N7=0,0,11630*1000*SER_hh_fec_in!N7/SER_hh_num_in!N7)</f>
        <v>0</v>
      </c>
      <c r="O7" s="133">
        <f>IF(SER_hh_fec_in!O7=0,0,11630*1000*SER_hh_fec_in!O7/SER_hh_num_in!O7)</f>
        <v>85810.954786815593</v>
      </c>
      <c r="P7" s="133">
        <f>IF(SER_hh_fec_in!P7=0,0,11630*1000*SER_hh_fec_in!P7/SER_hh_num_in!P7)</f>
        <v>82598.340149694646</v>
      </c>
      <c r="Q7" s="133">
        <f>IF(SER_hh_fec_in!Q7=0,0,11630*1000*SER_hh_fec_in!Q7/SER_hh_num_in!Q7)</f>
        <v>77324.043395198343</v>
      </c>
      <c r="R7" s="133">
        <f>IF(SER_hh_fec_in!R7=0,0,11630*1000*SER_hh_fec_in!R7/SER_hh_num_in!R7)</f>
        <v>65674.281226344508</v>
      </c>
      <c r="S7" s="133">
        <f>IF(SER_hh_fec_in!S7=0,0,11630*1000*SER_hh_fec_in!S7/SER_hh_num_in!S7)</f>
        <v>87481.258655547877</v>
      </c>
      <c r="T7" s="133">
        <f>IF(SER_hh_fec_in!T7=0,0,11630*1000*SER_hh_fec_in!T7/SER_hh_num_in!T7)</f>
        <v>73288.803235193685</v>
      </c>
      <c r="U7" s="133">
        <f>IF(SER_hh_fec_in!U7=0,0,11630*1000*SER_hh_fec_in!U7/SER_hh_num_in!U7)</f>
        <v>66588.160055813685</v>
      </c>
      <c r="V7" s="133">
        <f>IF(SER_hh_fec_in!V7=0,0,11630*1000*SER_hh_fec_in!V7/SER_hh_num_in!V7)</f>
        <v>63159.827170310382</v>
      </c>
      <c r="W7" s="133">
        <f>IF(SER_hh_fec_in!W7=0,0,11630*1000*SER_hh_fec_in!W7/SER_hh_num_in!W7)</f>
        <v>77753.707121279847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84575.803581729808</v>
      </c>
      <c r="D8" s="133">
        <f>IF(SER_hh_fec_in!D8=0,0,11630*1000*SER_hh_fec_in!D8/SER_hh_num_in!D8)</f>
        <v>73905.844926437596</v>
      </c>
      <c r="E8" s="133">
        <f>IF(SER_hh_fec_in!E8=0,0,11630*1000*SER_hh_fec_in!E8/SER_hh_num_in!E8)</f>
        <v>79869.854098924727</v>
      </c>
      <c r="F8" s="133">
        <f>IF(SER_hh_fec_in!F8=0,0,11630*1000*SER_hh_fec_in!F8/SER_hh_num_in!F8)</f>
        <v>74559.560972036328</v>
      </c>
      <c r="G8" s="133">
        <f>IF(SER_hh_fec_in!G8=0,0,11630*1000*SER_hh_fec_in!G8/SER_hh_num_in!G8)</f>
        <v>64668.295148005884</v>
      </c>
      <c r="H8" s="133">
        <f>IF(SER_hh_fec_in!H8=0,0,11630*1000*SER_hh_fec_in!H8/SER_hh_num_in!H8)</f>
        <v>64149.317151671101</v>
      </c>
      <c r="I8" s="133">
        <f>IF(SER_hh_fec_in!I8=0,0,11630*1000*SER_hh_fec_in!I8/SER_hh_num_in!I8)</f>
        <v>48219.167418527133</v>
      </c>
      <c r="J8" s="133">
        <f>IF(SER_hh_fec_in!J8=0,0,11630*1000*SER_hh_fec_in!J8/SER_hh_num_in!J8)</f>
        <v>51894.765277356673</v>
      </c>
      <c r="K8" s="133">
        <f>IF(SER_hh_fec_in!K8=0,0,11630*1000*SER_hh_fec_in!K8/SER_hh_num_in!K8)</f>
        <v>41016.195302490072</v>
      </c>
      <c r="L8" s="133">
        <f>IF(SER_hh_fec_in!L8=0,0,11630*1000*SER_hh_fec_in!L8/SER_hh_num_in!L8)</f>
        <v>38392.825124531453</v>
      </c>
      <c r="M8" s="133">
        <f>IF(SER_hh_fec_in!M8=0,0,11630*1000*SER_hh_fec_in!M8/SER_hh_num_in!M8)</f>
        <v>34617.759530170661</v>
      </c>
      <c r="N8" s="133">
        <f>IF(SER_hh_fec_in!N8=0,0,11630*1000*SER_hh_fec_in!N8/SER_hh_num_in!N8)</f>
        <v>31990.552302112701</v>
      </c>
      <c r="O8" s="133">
        <f>IF(SER_hh_fec_in!O8=0,0,11630*1000*SER_hh_fec_in!O8/SER_hh_num_in!O8)</f>
        <v>28043.275927164479</v>
      </c>
      <c r="P8" s="133">
        <f>IF(SER_hh_fec_in!P8=0,0,11630*1000*SER_hh_fec_in!P8/SER_hh_num_in!P8)</f>
        <v>24585.930768827082</v>
      </c>
      <c r="Q8" s="133">
        <f>IF(SER_hh_fec_in!Q8=0,0,11630*1000*SER_hh_fec_in!Q8/SER_hh_num_in!Q8)</f>
        <v>23160.233487294652</v>
      </c>
      <c r="R8" s="133">
        <f>IF(SER_hh_fec_in!R8=0,0,11630*1000*SER_hh_fec_in!R8/SER_hh_num_in!R8)</f>
        <v>22671.154106769154</v>
      </c>
      <c r="S8" s="133">
        <f>IF(SER_hh_fec_in!S8=0,0,11630*1000*SER_hh_fec_in!S8/SER_hh_num_in!S8)</f>
        <v>24527.763403259021</v>
      </c>
      <c r="T8" s="133">
        <f>IF(SER_hh_fec_in!T8=0,0,11630*1000*SER_hh_fec_in!T8/SER_hh_num_in!T8)</f>
        <v>22661.542626985316</v>
      </c>
      <c r="U8" s="133">
        <f>IF(SER_hh_fec_in!U8=0,0,11630*1000*SER_hh_fec_in!U8/SER_hh_num_in!U8)</f>
        <v>23110.903309091322</v>
      </c>
      <c r="V8" s="133">
        <f>IF(SER_hh_fec_in!V8=0,0,11630*1000*SER_hh_fec_in!V8/SER_hh_num_in!V8)</f>
        <v>19348.945598773102</v>
      </c>
      <c r="W8" s="133">
        <f>IF(SER_hh_fec_in!W8=0,0,11630*1000*SER_hh_fec_in!W8/SER_hh_num_in!W8)</f>
        <v>20681.883032616945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155721.86642282768</v>
      </c>
      <c r="D9" s="133">
        <f>IF(SER_hh_fec_in!D9=0,0,11630*1000*SER_hh_fec_in!D9/SER_hh_num_in!D9)</f>
        <v>133394.27322638943</v>
      </c>
      <c r="E9" s="133">
        <f>IF(SER_hh_fec_in!E9=0,0,11630*1000*SER_hh_fec_in!E9/SER_hh_num_in!E9)</f>
        <v>152464.26334516428</v>
      </c>
      <c r="F9" s="133">
        <f>IF(SER_hh_fec_in!F9=0,0,11630*1000*SER_hh_fec_in!F9/SER_hh_num_in!F9)</f>
        <v>0</v>
      </c>
      <c r="G9" s="133">
        <f>IF(SER_hh_fec_in!G9=0,0,11630*1000*SER_hh_fec_in!G9/SER_hh_num_in!G9)</f>
        <v>0</v>
      </c>
      <c r="H9" s="133">
        <f>IF(SER_hh_fec_in!H9=0,0,11630*1000*SER_hh_fec_in!H9/SER_hh_num_in!H9)</f>
        <v>0</v>
      </c>
      <c r="I9" s="133">
        <f>IF(SER_hh_fec_in!I9=0,0,11630*1000*SER_hh_fec_in!I9/SER_hh_num_in!I9)</f>
        <v>0</v>
      </c>
      <c r="J9" s="133">
        <f>IF(SER_hh_fec_in!J9=0,0,11630*1000*SER_hh_fec_in!J9/SER_hh_num_in!J9)</f>
        <v>0</v>
      </c>
      <c r="K9" s="133">
        <f>IF(SER_hh_fec_in!K9=0,0,11630*1000*SER_hh_fec_in!K9/SER_hh_num_in!K9)</f>
        <v>91140.633693883487</v>
      </c>
      <c r="L9" s="133">
        <f>IF(SER_hh_fec_in!L9=0,0,11630*1000*SER_hh_fec_in!L9/SER_hh_num_in!L9)</f>
        <v>98905.39282820301</v>
      </c>
      <c r="M9" s="133">
        <f>IF(SER_hh_fec_in!M9=0,0,11630*1000*SER_hh_fec_in!M9/SER_hh_num_in!M9)</f>
        <v>80460.448292109213</v>
      </c>
      <c r="N9" s="133">
        <f>IF(SER_hh_fec_in!N9=0,0,11630*1000*SER_hh_fec_in!N9/SER_hh_num_in!N9)</f>
        <v>91751.068945515013</v>
      </c>
      <c r="O9" s="133">
        <f>IF(SER_hh_fec_in!O9=0,0,11630*1000*SER_hh_fec_in!O9/SER_hh_num_in!O9)</f>
        <v>89637.550156334939</v>
      </c>
      <c r="P9" s="133">
        <f>IF(SER_hh_fec_in!P9=0,0,11630*1000*SER_hh_fec_in!P9/SER_hh_num_in!P9)</f>
        <v>64158.478034991669</v>
      </c>
      <c r="Q9" s="133">
        <f>IF(SER_hh_fec_in!Q9=0,0,11630*1000*SER_hh_fec_in!Q9/SER_hh_num_in!Q9)</f>
        <v>71269.127249723009</v>
      </c>
      <c r="R9" s="133">
        <f>IF(SER_hh_fec_in!R9=0,0,11630*1000*SER_hh_fec_in!R9/SER_hh_num_in!R9)</f>
        <v>62757.188350395925</v>
      </c>
      <c r="S9" s="133">
        <f>IF(SER_hh_fec_in!S9=0,0,11630*1000*SER_hh_fec_in!S9/SER_hh_num_in!S9)</f>
        <v>68897.580808992483</v>
      </c>
      <c r="T9" s="133">
        <f>IF(SER_hh_fec_in!T9=0,0,11630*1000*SER_hh_fec_in!T9/SER_hh_num_in!T9)</f>
        <v>62706.293149970639</v>
      </c>
      <c r="U9" s="133">
        <f>IF(SER_hh_fec_in!U9=0,0,11630*1000*SER_hh_fec_in!U9/SER_hh_num_in!U9)</f>
        <v>65819.694971395234</v>
      </c>
      <c r="V9" s="133">
        <f>IF(SER_hh_fec_in!V9=0,0,11630*1000*SER_hh_fec_in!V9/SER_hh_num_in!V9)</f>
        <v>0</v>
      </c>
      <c r="W9" s="133">
        <f>IF(SER_hh_fec_in!W9=0,0,11630*1000*SER_hh_fec_in!W9/SER_hh_num_in!W9)</f>
        <v>70413.546250917803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153226.11593270686</v>
      </c>
      <c r="D10" s="133">
        <f>IF(SER_hh_fec_in!D10=0,0,11630*1000*SER_hh_fec_in!D10/SER_hh_num_in!D10)</f>
        <v>148435.83556673722</v>
      </c>
      <c r="E10" s="133">
        <f>IF(SER_hh_fec_in!E10=0,0,11630*1000*SER_hh_fec_in!E10/SER_hh_num_in!E10)</f>
        <v>171931.57008144035</v>
      </c>
      <c r="F10" s="133">
        <f>IF(SER_hh_fec_in!F10=0,0,11630*1000*SER_hh_fec_in!F10/SER_hh_num_in!F10)</f>
        <v>181017.83401960158</v>
      </c>
      <c r="G10" s="133">
        <f>IF(SER_hh_fec_in!G10=0,0,11630*1000*SER_hh_fec_in!G10/SER_hh_num_in!G10)</f>
        <v>145409.86664722965</v>
      </c>
      <c r="H10" s="133">
        <f>IF(SER_hh_fec_in!H10=0,0,11630*1000*SER_hh_fec_in!H10/SER_hh_num_in!H10)</f>
        <v>156862.24307654891</v>
      </c>
      <c r="I10" s="133">
        <f>IF(SER_hh_fec_in!I10=0,0,11630*1000*SER_hh_fec_in!I10/SER_hh_num_in!I10)</f>
        <v>144271.62090433098</v>
      </c>
      <c r="J10" s="133">
        <f>IF(SER_hh_fec_in!J10=0,0,11630*1000*SER_hh_fec_in!J10/SER_hh_num_in!J10)</f>
        <v>119927.72404146944</v>
      </c>
      <c r="K10" s="133">
        <f>IF(SER_hh_fec_in!K10=0,0,11630*1000*SER_hh_fec_in!K10/SER_hh_num_in!K10)</f>
        <v>114445.25362799846</v>
      </c>
      <c r="L10" s="133">
        <f>IF(SER_hh_fec_in!L10=0,0,11630*1000*SER_hh_fec_in!L10/SER_hh_num_in!L10)</f>
        <v>141673.12524897739</v>
      </c>
      <c r="M10" s="133">
        <f>IF(SER_hh_fec_in!M10=0,0,11630*1000*SER_hh_fec_in!M10/SER_hh_num_in!M10)</f>
        <v>117538.07826471023</v>
      </c>
      <c r="N10" s="133">
        <f>IF(SER_hh_fec_in!N10=0,0,11630*1000*SER_hh_fec_in!N10/SER_hh_num_in!N10)</f>
        <v>0</v>
      </c>
      <c r="O10" s="133">
        <f>IF(SER_hh_fec_in!O10=0,0,11630*1000*SER_hh_fec_in!O10/SER_hh_num_in!O10)</f>
        <v>111764.70855745605</v>
      </c>
      <c r="P10" s="133">
        <f>IF(SER_hh_fec_in!P10=0,0,11630*1000*SER_hh_fec_in!P10/SER_hh_num_in!P10)</f>
        <v>87145.732308895778</v>
      </c>
      <c r="Q10" s="133">
        <f>IF(SER_hh_fec_in!Q10=0,0,11630*1000*SER_hh_fec_in!Q10/SER_hh_num_in!Q10)</f>
        <v>105796.02222735371</v>
      </c>
      <c r="R10" s="133">
        <f>IF(SER_hh_fec_in!R10=0,0,11630*1000*SER_hh_fec_in!R10/SER_hh_num_in!R10)</f>
        <v>69903.130155421619</v>
      </c>
      <c r="S10" s="133">
        <f>IF(SER_hh_fec_in!S10=0,0,11630*1000*SER_hh_fec_in!S10/SER_hh_num_in!S10)</f>
        <v>106068.4990393285</v>
      </c>
      <c r="T10" s="133">
        <f>IF(SER_hh_fec_in!T10=0,0,11630*1000*SER_hh_fec_in!T10/SER_hh_num_in!T10)</f>
        <v>95588.847212520064</v>
      </c>
      <c r="U10" s="133">
        <f>IF(SER_hh_fec_in!U10=0,0,11630*1000*SER_hh_fec_in!U10/SER_hh_num_in!U10)</f>
        <v>94011.35123155883</v>
      </c>
      <c r="V10" s="133">
        <f>IF(SER_hh_fec_in!V10=0,0,11630*1000*SER_hh_fec_in!V10/SER_hh_num_in!V10)</f>
        <v>82057.632586638807</v>
      </c>
      <c r="W10" s="133">
        <f>IF(SER_hh_fec_in!W10=0,0,11630*1000*SER_hh_fec_in!W10/SER_hh_num_in!W10)</f>
        <v>88161.163670037044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87832.375912358169</v>
      </c>
      <c r="D11" s="133">
        <f>IF(SER_hh_fec_in!D11=0,0,11630*1000*SER_hh_fec_in!D11/SER_hh_num_in!D11)</f>
        <v>130869.47253374501</v>
      </c>
      <c r="E11" s="133">
        <f>IF(SER_hh_fec_in!E11=0,0,11630*1000*SER_hh_fec_in!E11/SER_hh_num_in!E11)</f>
        <v>106335.91082362719</v>
      </c>
      <c r="F11" s="133">
        <f>IF(SER_hh_fec_in!F11=0,0,11630*1000*SER_hh_fec_in!F11/SER_hh_num_in!F11)</f>
        <v>104382.26371996333</v>
      </c>
      <c r="G11" s="133">
        <f>IF(SER_hh_fec_in!G11=0,0,11630*1000*SER_hh_fec_in!G11/SER_hh_num_in!G11)</f>
        <v>112359.86073699067</v>
      </c>
      <c r="H11" s="133">
        <f>IF(SER_hh_fec_in!H11=0,0,11630*1000*SER_hh_fec_in!H11/SER_hh_num_in!H11)</f>
        <v>104771.13549559908</v>
      </c>
      <c r="I11" s="133">
        <f>IF(SER_hh_fec_in!I11=0,0,11630*1000*SER_hh_fec_in!I11/SER_hh_num_in!I11)</f>
        <v>87200.728842940312</v>
      </c>
      <c r="J11" s="133">
        <f>IF(SER_hh_fec_in!J11=0,0,11630*1000*SER_hh_fec_in!J11/SER_hh_num_in!J11)</f>
        <v>86543.876635563502</v>
      </c>
      <c r="K11" s="133">
        <f>IF(SER_hh_fec_in!K11=0,0,11630*1000*SER_hh_fec_in!K11/SER_hh_num_in!K11)</f>
        <v>83522.1006706591</v>
      </c>
      <c r="L11" s="133">
        <f>IF(SER_hh_fec_in!L11=0,0,11630*1000*SER_hh_fec_in!L11/SER_hh_num_in!L11)</f>
        <v>85257.593141693054</v>
      </c>
      <c r="M11" s="133">
        <f>IF(SER_hh_fec_in!M11=0,0,11630*1000*SER_hh_fec_in!M11/SER_hh_num_in!M11)</f>
        <v>69304.14629353839</v>
      </c>
      <c r="N11" s="133">
        <f>IF(SER_hh_fec_in!N11=0,0,11630*1000*SER_hh_fec_in!N11/SER_hh_num_in!N11)</f>
        <v>79781.806944130207</v>
      </c>
      <c r="O11" s="133">
        <f>IF(SER_hh_fec_in!O11=0,0,11630*1000*SER_hh_fec_in!O11/SER_hh_num_in!O11)</f>
        <v>74095.32126426461</v>
      </c>
      <c r="P11" s="133">
        <f>IF(SER_hh_fec_in!P11=0,0,11630*1000*SER_hh_fec_in!P11/SER_hh_num_in!P11)</f>
        <v>58772.5206918806</v>
      </c>
      <c r="Q11" s="133">
        <f>IF(SER_hh_fec_in!Q11=0,0,11630*1000*SER_hh_fec_in!Q11/SER_hh_num_in!Q11)</f>
        <v>60035.854365724699</v>
      </c>
      <c r="R11" s="133">
        <f>IF(SER_hh_fec_in!R11=0,0,11630*1000*SER_hh_fec_in!R11/SER_hh_num_in!R11)</f>
        <v>52326.951785417361</v>
      </c>
      <c r="S11" s="133">
        <f>IF(SER_hh_fec_in!S11=0,0,11630*1000*SER_hh_fec_in!S11/SER_hh_num_in!S11)</f>
        <v>74419.411452710352</v>
      </c>
      <c r="T11" s="133">
        <f>IF(SER_hh_fec_in!T11=0,0,11630*1000*SER_hh_fec_in!T11/SER_hh_num_in!T11)</f>
        <v>61995.756672856223</v>
      </c>
      <c r="U11" s="133">
        <f>IF(SER_hh_fec_in!U11=0,0,11630*1000*SER_hh_fec_in!U11/SER_hh_num_in!U11)</f>
        <v>59229.611262772043</v>
      </c>
      <c r="V11" s="133">
        <f>IF(SER_hh_fec_in!V11=0,0,11630*1000*SER_hh_fec_in!V11/SER_hh_num_in!V11)</f>
        <v>58129.457031523372</v>
      </c>
      <c r="W11" s="133">
        <f>IF(SER_hh_fec_in!W11=0,0,11630*1000*SER_hh_fec_in!W11/SER_hh_num_in!W11)</f>
        <v>48492.074049502866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103179.59583190361</v>
      </c>
      <c r="D12" s="133">
        <f>IF(SER_hh_fec_in!D12=0,0,11630*1000*SER_hh_fec_in!D12/SER_hh_num_in!D12)</f>
        <v>105728.83822427914</v>
      </c>
      <c r="E12" s="133">
        <f>IF(SER_hh_fec_in!E12=0,0,11630*1000*SER_hh_fec_in!E12/SER_hh_num_in!E12)</f>
        <v>110173.61613027459</v>
      </c>
      <c r="F12" s="133">
        <f>IF(SER_hh_fec_in!F12=0,0,11630*1000*SER_hh_fec_in!F12/SER_hh_num_in!F12)</f>
        <v>105841.07478239179</v>
      </c>
      <c r="G12" s="133">
        <f>IF(SER_hh_fec_in!G12=0,0,11630*1000*SER_hh_fec_in!G12/SER_hh_num_in!G12)</f>
        <v>111934.22500386312</v>
      </c>
      <c r="H12" s="133">
        <f>IF(SER_hh_fec_in!H12=0,0,11630*1000*SER_hh_fec_in!H12/SER_hh_num_in!H12)</f>
        <v>107581.7984798801</v>
      </c>
      <c r="I12" s="133">
        <f>IF(SER_hh_fec_in!I12=0,0,11630*1000*SER_hh_fec_in!I12/SER_hh_num_in!I12)</f>
        <v>84833.179577230403</v>
      </c>
      <c r="J12" s="133">
        <f>IF(SER_hh_fec_in!J12=0,0,11630*1000*SER_hh_fec_in!J12/SER_hh_num_in!J12)</f>
        <v>88653.066021048464</v>
      </c>
      <c r="K12" s="133">
        <f>IF(SER_hh_fec_in!K12=0,0,11630*1000*SER_hh_fec_in!K12/SER_hh_num_in!K12)</f>
        <v>84731.698690513687</v>
      </c>
      <c r="L12" s="133">
        <f>IF(SER_hh_fec_in!L12=0,0,11630*1000*SER_hh_fec_in!L12/SER_hh_num_in!L12)</f>
        <v>82788.151606694199</v>
      </c>
      <c r="M12" s="133">
        <f>IF(SER_hh_fec_in!M12=0,0,11630*1000*SER_hh_fec_in!M12/SER_hh_num_in!M12)</f>
        <v>76604.82877620135</v>
      </c>
      <c r="N12" s="133">
        <f>IF(SER_hh_fec_in!N12=0,0,11630*1000*SER_hh_fec_in!N12/SER_hh_num_in!N12)</f>
        <v>75298.792818962378</v>
      </c>
      <c r="O12" s="133">
        <f>IF(SER_hh_fec_in!O12=0,0,11630*1000*SER_hh_fec_in!O12/SER_hh_num_in!O12)</f>
        <v>71256.199824122872</v>
      </c>
      <c r="P12" s="133">
        <f>IF(SER_hh_fec_in!P12=0,0,11630*1000*SER_hh_fec_in!P12/SER_hh_num_in!P12)</f>
        <v>60559.397559499579</v>
      </c>
      <c r="Q12" s="133">
        <f>IF(SER_hh_fec_in!Q12=0,0,11630*1000*SER_hh_fec_in!Q12/SER_hh_num_in!Q12)</f>
        <v>60666.733498809415</v>
      </c>
      <c r="R12" s="133">
        <f>IF(SER_hh_fec_in!R12=0,0,11630*1000*SER_hh_fec_in!R12/SER_hh_num_in!R12)</f>
        <v>62234.664268717344</v>
      </c>
      <c r="S12" s="133">
        <f>IF(SER_hh_fec_in!S12=0,0,11630*1000*SER_hh_fec_in!S12/SER_hh_num_in!S12)</f>
        <v>63466.438788203108</v>
      </c>
      <c r="T12" s="133">
        <f>IF(SER_hh_fec_in!T12=0,0,11630*1000*SER_hh_fec_in!T12/SER_hh_num_in!T12)</f>
        <v>57005.891423445304</v>
      </c>
      <c r="U12" s="133">
        <f>IF(SER_hh_fec_in!U12=0,0,11630*1000*SER_hh_fec_in!U12/SER_hh_num_in!U12)</f>
        <v>57775.470140373494</v>
      </c>
      <c r="V12" s="133">
        <f>IF(SER_hh_fec_in!V12=0,0,11630*1000*SER_hh_fec_in!V12/SER_hh_num_in!V12)</f>
        <v>50964.074135076349</v>
      </c>
      <c r="W12" s="133">
        <f>IF(SER_hh_fec_in!W12=0,0,11630*1000*SER_hh_fec_in!W12/SER_hh_num_in!W12)</f>
        <v>56843.509337701915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54336.458281458545</v>
      </c>
      <c r="D13" s="133">
        <f>IF(SER_hh_fec_in!D13=0,0,11630*1000*SER_hh_fec_in!D13/SER_hh_num_in!D13)</f>
        <v>52770.32579394256</v>
      </c>
      <c r="E13" s="133">
        <f>IF(SER_hh_fec_in!E13=0,0,11630*1000*SER_hh_fec_in!E13/SER_hh_num_in!E13)</f>
        <v>53111.581448550831</v>
      </c>
      <c r="F13" s="133">
        <f>IF(SER_hh_fec_in!F13=0,0,11630*1000*SER_hh_fec_in!F13/SER_hh_num_in!F13)</f>
        <v>50503.345708560933</v>
      </c>
      <c r="G13" s="133">
        <f>IF(SER_hh_fec_in!G13=0,0,11630*1000*SER_hh_fec_in!G13/SER_hh_num_in!G13)</f>
        <v>47355.417087352063</v>
      </c>
      <c r="H13" s="133">
        <f>IF(SER_hh_fec_in!H13=0,0,11630*1000*SER_hh_fec_in!H13/SER_hh_num_in!H13)</f>
        <v>43538.082196663774</v>
      </c>
      <c r="I13" s="133">
        <f>IF(SER_hh_fec_in!I13=0,0,11630*1000*SER_hh_fec_in!I13/SER_hh_num_in!I13)</f>
        <v>34869.659579698433</v>
      </c>
      <c r="J13" s="133">
        <f>IF(SER_hh_fec_in!J13=0,0,11630*1000*SER_hh_fec_in!J13/SER_hh_num_in!J13)</f>
        <v>37695.562219731604</v>
      </c>
      <c r="K13" s="133">
        <f>IF(SER_hh_fec_in!K13=0,0,11630*1000*SER_hh_fec_in!K13/SER_hh_num_in!K13)</f>
        <v>27859.481031457992</v>
      </c>
      <c r="L13" s="133">
        <f>IF(SER_hh_fec_in!L13=0,0,11630*1000*SER_hh_fec_in!L13/SER_hh_num_in!L13)</f>
        <v>25814.32535829681</v>
      </c>
      <c r="M13" s="133">
        <f>IF(SER_hh_fec_in!M13=0,0,11630*1000*SER_hh_fec_in!M13/SER_hh_num_in!M13)</f>
        <v>24504.858082316423</v>
      </c>
      <c r="N13" s="133">
        <f>IF(SER_hh_fec_in!N13=0,0,11630*1000*SER_hh_fec_in!N13/SER_hh_num_in!N13)</f>
        <v>22089.252570155197</v>
      </c>
      <c r="O13" s="133">
        <f>IF(SER_hh_fec_in!O13=0,0,11630*1000*SER_hh_fec_in!O13/SER_hh_num_in!O13)</f>
        <v>20395.72920537864</v>
      </c>
      <c r="P13" s="133">
        <f>IF(SER_hh_fec_in!P13=0,0,11630*1000*SER_hh_fec_in!P13/SER_hh_num_in!P13)</f>
        <v>19542.50363616753</v>
      </c>
      <c r="Q13" s="133">
        <f>IF(SER_hh_fec_in!Q13=0,0,11630*1000*SER_hh_fec_in!Q13/SER_hh_num_in!Q13)</f>
        <v>15562.674084121725</v>
      </c>
      <c r="R13" s="133">
        <f>IF(SER_hh_fec_in!R13=0,0,11630*1000*SER_hh_fec_in!R13/SER_hh_num_in!R13)</f>
        <v>15409.71703753228</v>
      </c>
      <c r="S13" s="133">
        <f>IF(SER_hh_fec_in!S13=0,0,11630*1000*SER_hh_fec_in!S13/SER_hh_num_in!S13)</f>
        <v>16339.32714088258</v>
      </c>
      <c r="T13" s="133">
        <f>IF(SER_hh_fec_in!T13=0,0,11630*1000*SER_hh_fec_in!T13/SER_hh_num_in!T13)</f>
        <v>15553.964383550732</v>
      </c>
      <c r="U13" s="133">
        <f>IF(SER_hh_fec_in!U13=0,0,11630*1000*SER_hh_fec_in!U13/SER_hh_num_in!U13)</f>
        <v>17337.267002708497</v>
      </c>
      <c r="V13" s="133">
        <f>IF(SER_hh_fec_in!V13=0,0,11630*1000*SER_hh_fec_in!V13/SER_hh_num_in!V13)</f>
        <v>11275.651018179373</v>
      </c>
      <c r="W13" s="133">
        <f>IF(SER_hh_fec_in!W13=0,0,11630*1000*SER_hh_fec_in!W13/SER_hh_num_in!W13)</f>
        <v>10253.865023716984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0</v>
      </c>
      <c r="D14" s="65">
        <f>IF(SER_hh_fec_in!D14=0,0,11630*1000*SER_hh_fec_in!D14/SER_hh_num_in!D14)</f>
        <v>0</v>
      </c>
      <c r="E14" s="65">
        <f>IF(SER_hh_fec_in!E14=0,0,11630*1000*SER_hh_fec_in!E14/SER_hh_num_in!E14)</f>
        <v>132740.05224922523</v>
      </c>
      <c r="F14" s="65">
        <f>IF(SER_hh_fec_in!F14=0,0,11630*1000*SER_hh_fec_in!F14/SER_hh_num_in!F14)</f>
        <v>96889.093444983941</v>
      </c>
      <c r="G14" s="65">
        <f>IF(SER_hh_fec_in!G14=0,0,11630*1000*SER_hh_fec_in!G14/SER_hh_num_in!G14)</f>
        <v>129141.00585942635</v>
      </c>
      <c r="H14" s="65">
        <f>IF(SER_hh_fec_in!H14=0,0,11630*1000*SER_hh_fec_in!H14/SER_hh_num_in!H14)</f>
        <v>116684.91073974679</v>
      </c>
      <c r="I14" s="65">
        <f>IF(SER_hh_fec_in!I14=0,0,11630*1000*SER_hh_fec_in!I14/SER_hh_num_in!I14)</f>
        <v>99036.716212132436</v>
      </c>
      <c r="J14" s="65">
        <f>IF(SER_hh_fec_in!J14=0,0,11630*1000*SER_hh_fec_in!J14/SER_hh_num_in!J14)</f>
        <v>118161.34699164148</v>
      </c>
      <c r="K14" s="65">
        <f>IF(SER_hh_fec_in!K14=0,0,11630*1000*SER_hh_fec_in!K14/SER_hh_num_in!K14)</f>
        <v>0</v>
      </c>
      <c r="L14" s="65">
        <f>IF(SER_hh_fec_in!L14=0,0,11630*1000*SER_hh_fec_in!L14/SER_hh_num_in!L14)</f>
        <v>93138.395821230442</v>
      </c>
      <c r="M14" s="65">
        <f>IF(SER_hh_fec_in!M14=0,0,11630*1000*SER_hh_fec_in!M14/SER_hh_num_in!M14)</f>
        <v>82093.659908816087</v>
      </c>
      <c r="N14" s="65">
        <f>IF(SER_hh_fec_in!N14=0,0,11630*1000*SER_hh_fec_in!N14/SER_hh_num_in!N14)</f>
        <v>79986.961847775208</v>
      </c>
      <c r="O14" s="65">
        <f>IF(SER_hh_fec_in!O14=0,0,11630*1000*SER_hh_fec_in!O14/SER_hh_num_in!O14)</f>
        <v>78002.876977087624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0</v>
      </c>
      <c r="S14" s="65">
        <f>IF(SER_hh_fec_in!S14=0,0,11630*1000*SER_hh_fec_in!S14/SER_hh_num_in!S14)</f>
        <v>60045.020455941405</v>
      </c>
      <c r="T14" s="65">
        <f>IF(SER_hh_fec_in!T14=0,0,11630*1000*SER_hh_fec_in!T14/SER_hh_num_in!T14)</f>
        <v>69179.808097458386</v>
      </c>
      <c r="U14" s="65">
        <f>IF(SER_hh_fec_in!U14=0,0,11630*1000*SER_hh_fec_in!U14/SER_hh_num_in!U14)</f>
        <v>58089.112232045714</v>
      </c>
      <c r="V14" s="65">
        <f>IF(SER_hh_fec_in!V14=0,0,11630*1000*SER_hh_fec_in!V14/SER_hh_num_in!V14)</f>
        <v>54896.114781427459</v>
      </c>
      <c r="W14" s="65">
        <f>IF(SER_hh_fec_in!W14=0,0,11630*1000*SER_hh_fec_in!W14/SER_hh_num_in!W14)</f>
        <v>54426.301386223633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1692.6136785750264</v>
      </c>
      <c r="D15" s="135">
        <f>IF(SER_hh_fec_in!D15=0,0,11630*1000*SER_hh_fec_in!D15/SER_hh_num_in!D15)</f>
        <v>1302.1390819559131</v>
      </c>
      <c r="E15" s="135">
        <f>IF(SER_hh_fec_in!E15=0,0,11630*1000*SER_hh_fec_in!E15/SER_hh_num_in!E15)</f>
        <v>1338.7252797464612</v>
      </c>
      <c r="F15" s="135">
        <f>IF(SER_hh_fec_in!F15=0,0,11630*1000*SER_hh_fec_in!F15/SER_hh_num_in!F15)</f>
        <v>723.92579078011568</v>
      </c>
      <c r="G15" s="135">
        <f>IF(SER_hh_fec_in!G15=0,0,11630*1000*SER_hh_fec_in!G15/SER_hh_num_in!G15)</f>
        <v>725.70749869837562</v>
      </c>
      <c r="H15" s="135">
        <f>IF(SER_hh_fec_in!H15=0,0,11630*1000*SER_hh_fec_in!H15/SER_hh_num_in!H15)</f>
        <v>691.0959992968443</v>
      </c>
      <c r="I15" s="135">
        <f>IF(SER_hh_fec_in!I15=0,0,11630*1000*SER_hh_fec_in!I15/SER_hh_num_in!I15)</f>
        <v>425.01421042119875</v>
      </c>
      <c r="J15" s="135">
        <f>IF(SER_hh_fec_in!J15=0,0,11630*1000*SER_hh_fec_in!J15/SER_hh_num_in!J15)</f>
        <v>343.21055948192748</v>
      </c>
      <c r="K15" s="135">
        <f>IF(SER_hh_fec_in!K15=0,0,11630*1000*SER_hh_fec_in!K15/SER_hh_num_in!K15)</f>
        <v>426.85813798215804</v>
      </c>
      <c r="L15" s="135">
        <f>IF(SER_hh_fec_in!L15=0,0,11630*1000*SER_hh_fec_in!L15/SER_hh_num_in!L15)</f>
        <v>519.04207923231866</v>
      </c>
      <c r="M15" s="135">
        <f>IF(SER_hh_fec_in!M15=0,0,11630*1000*SER_hh_fec_in!M15/SER_hh_num_in!M15)</f>
        <v>493.10075676349425</v>
      </c>
      <c r="N15" s="135">
        <f>IF(SER_hh_fec_in!N15=0,0,11630*1000*SER_hh_fec_in!N15/SER_hh_num_in!N15)</f>
        <v>770.82451813230284</v>
      </c>
      <c r="O15" s="135">
        <f>IF(SER_hh_fec_in!O15=0,0,11630*1000*SER_hh_fec_in!O15/SER_hh_num_in!O15)</f>
        <v>823.70895914897483</v>
      </c>
      <c r="P15" s="135">
        <f>IF(SER_hh_fec_in!P15=0,0,11630*1000*SER_hh_fec_in!P15/SER_hh_num_in!P15)</f>
        <v>600.13636941277139</v>
      </c>
      <c r="Q15" s="135">
        <f>IF(SER_hh_fec_in!Q15=0,0,11630*1000*SER_hh_fec_in!Q15/SER_hh_num_in!Q15)</f>
        <v>486.70876986633436</v>
      </c>
      <c r="R15" s="135">
        <f>IF(SER_hh_fec_in!R15=0,0,11630*1000*SER_hh_fec_in!R15/SER_hh_num_in!R15)</f>
        <v>472.1998744633193</v>
      </c>
      <c r="S15" s="135">
        <f>IF(SER_hh_fec_in!S15=0,0,11630*1000*SER_hh_fec_in!S15/SER_hh_num_in!S15)</f>
        <v>553.1994911918913</v>
      </c>
      <c r="T15" s="135">
        <f>IF(SER_hh_fec_in!T15=0,0,11630*1000*SER_hh_fec_in!T15/SER_hh_num_in!T15)</f>
        <v>470.06288218999356</v>
      </c>
      <c r="U15" s="135">
        <f>IF(SER_hh_fec_in!U15=0,0,11630*1000*SER_hh_fec_in!U15/SER_hh_num_in!U15)</f>
        <v>421.82656150590884</v>
      </c>
      <c r="V15" s="135">
        <f>IF(SER_hh_fec_in!V15=0,0,11630*1000*SER_hh_fec_in!V15/SER_hh_num_in!V15)</f>
        <v>282.03621295216163</v>
      </c>
      <c r="W15" s="135">
        <f>IF(SER_hh_fec_in!W15=0,0,11630*1000*SER_hh_fec_in!W15/SER_hh_num_in!W15)</f>
        <v>400.03098604335435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8364.9704006417105</v>
      </c>
      <c r="D16" s="131">
        <f>IF(SER_hh_fec_in!D16=0,0,11630*1000*SER_hh_fec_in!D16/SER_hh_num_in!D16)</f>
        <v>8090.5029106594238</v>
      </c>
      <c r="E16" s="131">
        <f>IF(SER_hh_fec_in!E16=0,0,11630*1000*SER_hh_fec_in!E16/SER_hh_num_in!E16)</f>
        <v>8685.6711402139772</v>
      </c>
      <c r="F16" s="131">
        <f>IF(SER_hh_fec_in!F16=0,0,11630*1000*SER_hh_fec_in!F16/SER_hh_num_in!F16)</f>
        <v>7441.4134330850629</v>
      </c>
      <c r="G16" s="131">
        <f>IF(SER_hh_fec_in!G16=0,0,11630*1000*SER_hh_fec_in!G16/SER_hh_num_in!G16)</f>
        <v>7232.9417320449957</v>
      </c>
      <c r="H16" s="131">
        <f>IF(SER_hh_fec_in!H16=0,0,11630*1000*SER_hh_fec_in!H16/SER_hh_num_in!H16)</f>
        <v>7321.2589721314589</v>
      </c>
      <c r="I16" s="131">
        <f>IF(SER_hh_fec_in!I16=0,0,11630*1000*SER_hh_fec_in!I16/SER_hh_num_in!I16)</f>
        <v>7058.643177626971</v>
      </c>
      <c r="J16" s="131">
        <f>IF(SER_hh_fec_in!J16=0,0,11630*1000*SER_hh_fec_in!J16/SER_hh_num_in!J16)</f>
        <v>6600.9907243891903</v>
      </c>
      <c r="K16" s="131">
        <f>IF(SER_hh_fec_in!K16=0,0,11630*1000*SER_hh_fec_in!K16/SER_hh_num_in!K16)</f>
        <v>6444.7069300606672</v>
      </c>
      <c r="L16" s="131">
        <f>IF(SER_hh_fec_in!L16=0,0,11630*1000*SER_hh_fec_in!L16/SER_hh_num_in!L16)</f>
        <v>6398.3513847453396</v>
      </c>
      <c r="M16" s="131">
        <f>IF(SER_hh_fec_in!M16=0,0,11630*1000*SER_hh_fec_in!M16/SER_hh_num_in!M16)</f>
        <v>6036.2575678321809</v>
      </c>
      <c r="N16" s="131">
        <f>IF(SER_hh_fec_in!N16=0,0,11630*1000*SER_hh_fec_in!N16/SER_hh_num_in!N16)</f>
        <v>5999.5525740631801</v>
      </c>
      <c r="O16" s="131">
        <f>IF(SER_hh_fec_in!O16=0,0,11630*1000*SER_hh_fec_in!O16/SER_hh_num_in!O16)</f>
        <v>6070.9614620153679</v>
      </c>
      <c r="P16" s="131">
        <f>IF(SER_hh_fec_in!P16=0,0,11630*1000*SER_hh_fec_in!P16/SER_hh_num_in!P16)</f>
        <v>5102.0108420410152</v>
      </c>
      <c r="Q16" s="131">
        <f>IF(SER_hh_fec_in!Q16=0,0,11630*1000*SER_hh_fec_in!Q16/SER_hh_num_in!Q16)</f>
        <v>5723.4900882846987</v>
      </c>
      <c r="R16" s="131">
        <f>IF(SER_hh_fec_in!R16=0,0,11630*1000*SER_hh_fec_in!R16/SER_hh_num_in!R16)</f>
        <v>4823.8862918999421</v>
      </c>
      <c r="S16" s="131">
        <f>IF(SER_hh_fec_in!S16=0,0,11630*1000*SER_hh_fec_in!S16/SER_hh_num_in!S16)</f>
        <v>5096.2103093160031</v>
      </c>
      <c r="T16" s="131">
        <f>IF(SER_hh_fec_in!T16=0,0,11630*1000*SER_hh_fec_in!T16/SER_hh_num_in!T16)</f>
        <v>4927.2879948902537</v>
      </c>
      <c r="U16" s="131">
        <f>IF(SER_hh_fec_in!U16=0,0,11630*1000*SER_hh_fec_in!U16/SER_hh_num_in!U16)</f>
        <v>5012.8499143337867</v>
      </c>
      <c r="V16" s="131">
        <f>IF(SER_hh_fec_in!V16=0,0,11630*1000*SER_hh_fec_in!V16/SER_hh_num_in!V16)</f>
        <v>4463.2186725427246</v>
      </c>
      <c r="W16" s="131">
        <f>IF(SER_hh_fec_in!W16=0,0,11630*1000*SER_hh_fec_in!W16/SER_hh_num_in!W16)</f>
        <v>4502.3698723825864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15379.222848129179</v>
      </c>
      <c r="D17" s="133">
        <f>IF(SER_hh_fec_in!D17=0,0,11630*1000*SER_hh_fec_in!D17/SER_hh_num_in!D17)</f>
        <v>15321.240044827411</v>
      </c>
      <c r="E17" s="133">
        <f>IF(SER_hh_fec_in!E17=0,0,11630*1000*SER_hh_fec_in!E17/SER_hh_num_in!E17)</f>
        <v>16950.612250900238</v>
      </c>
      <c r="F17" s="133">
        <f>IF(SER_hh_fec_in!F17=0,0,11630*1000*SER_hh_fec_in!F17/SER_hh_num_in!F17)</f>
        <v>14960.680067235577</v>
      </c>
      <c r="G17" s="133">
        <f>IF(SER_hh_fec_in!G17=0,0,11630*1000*SER_hh_fec_in!G17/SER_hh_num_in!G17)</f>
        <v>14986.520751146913</v>
      </c>
      <c r="H17" s="133">
        <f>IF(SER_hh_fec_in!H17=0,0,11630*1000*SER_hh_fec_in!H17/SER_hh_num_in!H17)</f>
        <v>15602.886421445954</v>
      </c>
      <c r="I17" s="133">
        <f>IF(SER_hh_fec_in!I17=0,0,11630*1000*SER_hh_fec_in!I17/SER_hh_num_in!I17)</f>
        <v>15460.196009854752</v>
      </c>
      <c r="J17" s="133">
        <f>IF(SER_hh_fec_in!J17=0,0,11630*1000*SER_hh_fec_in!J17/SER_hh_num_in!J17)</f>
        <v>14838.749103542363</v>
      </c>
      <c r="K17" s="133">
        <f>IF(SER_hh_fec_in!K17=0,0,11630*1000*SER_hh_fec_in!K17/SER_hh_num_in!K17)</f>
        <v>14788.967710837609</v>
      </c>
      <c r="L17" s="133">
        <f>IF(SER_hh_fec_in!L17=0,0,11630*1000*SER_hh_fec_in!L17/SER_hh_num_in!L17)</f>
        <v>15154.024744316299</v>
      </c>
      <c r="M17" s="133">
        <f>IF(SER_hh_fec_in!M17=0,0,11630*1000*SER_hh_fec_in!M17/SER_hh_num_in!M17)</f>
        <v>15759.423762668084</v>
      </c>
      <c r="N17" s="133">
        <f>IF(SER_hh_fec_in!N17=0,0,11630*1000*SER_hh_fec_in!N17/SER_hh_num_in!N17)</f>
        <v>14960.666212837899</v>
      </c>
      <c r="O17" s="133">
        <f>IF(SER_hh_fec_in!O17=0,0,11630*1000*SER_hh_fec_in!O17/SER_hh_num_in!O17)</f>
        <v>15541.128173486894</v>
      </c>
      <c r="P17" s="133">
        <f>IF(SER_hh_fec_in!P17=0,0,11630*1000*SER_hh_fec_in!P17/SER_hh_num_in!P17)</f>
        <v>13347.926354990201</v>
      </c>
      <c r="Q17" s="133">
        <f>IF(SER_hh_fec_in!Q17=0,0,11630*1000*SER_hh_fec_in!Q17/SER_hh_num_in!Q17)</f>
        <v>15867.764072353515</v>
      </c>
      <c r="R17" s="133">
        <f>IF(SER_hh_fec_in!R17=0,0,11630*1000*SER_hh_fec_in!R17/SER_hh_num_in!R17)</f>
        <v>12866.570840205088</v>
      </c>
      <c r="S17" s="133">
        <f>IF(SER_hh_fec_in!S17=0,0,11630*1000*SER_hh_fec_in!S17/SER_hh_num_in!S17)</f>
        <v>13557.718579092496</v>
      </c>
      <c r="T17" s="133">
        <f>IF(SER_hh_fec_in!T17=0,0,11630*1000*SER_hh_fec_in!T17/SER_hh_num_in!T17)</f>
        <v>13049.218780002089</v>
      </c>
      <c r="U17" s="133">
        <f>IF(SER_hh_fec_in!U17=0,0,11630*1000*SER_hh_fec_in!U17/SER_hh_num_in!U17)</f>
        <v>13126.376211579545</v>
      </c>
      <c r="V17" s="133">
        <f>IF(SER_hh_fec_in!V17=0,0,11630*1000*SER_hh_fec_in!V17/SER_hh_num_in!V17)</f>
        <v>11645.346359374786</v>
      </c>
      <c r="W17" s="133">
        <f>IF(SER_hh_fec_in!W17=0,0,11630*1000*SER_hh_fec_in!W17/SER_hh_num_in!W17)</f>
        <v>11628.65932470874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8352.7499214512845</v>
      </c>
      <c r="D18" s="133">
        <f>IF(SER_hh_fec_in!D18=0,0,11630*1000*SER_hh_fec_in!D18/SER_hh_num_in!D18)</f>
        <v>8072.6048902555531</v>
      </c>
      <c r="E18" s="133">
        <f>IF(SER_hh_fec_in!E18=0,0,11630*1000*SER_hh_fec_in!E18/SER_hh_num_in!E18)</f>
        <v>8673.8441384756807</v>
      </c>
      <c r="F18" s="133">
        <f>IF(SER_hh_fec_in!F18=0,0,11630*1000*SER_hh_fec_in!F18/SER_hh_num_in!F18)</f>
        <v>7411.7118079950542</v>
      </c>
      <c r="G18" s="133">
        <f>IF(SER_hh_fec_in!G18=0,0,11630*1000*SER_hh_fec_in!G18/SER_hh_num_in!G18)</f>
        <v>7211.4990979338681</v>
      </c>
      <c r="H18" s="133">
        <f>IF(SER_hh_fec_in!H18=0,0,11630*1000*SER_hh_fec_in!H18/SER_hh_num_in!H18)</f>
        <v>7300.1934608362772</v>
      </c>
      <c r="I18" s="133">
        <f>IF(SER_hh_fec_in!I18=0,0,11630*1000*SER_hh_fec_in!I18/SER_hh_num_in!I18)</f>
        <v>7024.8280828928764</v>
      </c>
      <c r="J18" s="133">
        <f>IF(SER_hh_fec_in!J18=0,0,11630*1000*SER_hh_fec_in!J18/SER_hh_num_in!J18)</f>
        <v>6567.7308339364936</v>
      </c>
      <c r="K18" s="133">
        <f>IF(SER_hh_fec_in!K18=0,0,11630*1000*SER_hh_fec_in!K18/SER_hh_num_in!K18)</f>
        <v>6376.5459093805957</v>
      </c>
      <c r="L18" s="133">
        <f>IF(SER_hh_fec_in!L18=0,0,11630*1000*SER_hh_fec_in!L18/SER_hh_num_in!L18)</f>
        <v>6363.154831825128</v>
      </c>
      <c r="M18" s="133">
        <f>IF(SER_hh_fec_in!M18=0,0,11630*1000*SER_hh_fec_in!M18/SER_hh_num_in!M18)</f>
        <v>5993.3524580970479</v>
      </c>
      <c r="N18" s="133">
        <f>IF(SER_hh_fec_in!N18=0,0,11630*1000*SER_hh_fec_in!N18/SER_hh_num_in!N18)</f>
        <v>5943.1702302105232</v>
      </c>
      <c r="O18" s="133">
        <f>IF(SER_hh_fec_in!O18=0,0,11630*1000*SER_hh_fec_in!O18/SER_hh_num_in!O18)</f>
        <v>6008.0344281309972</v>
      </c>
      <c r="P18" s="133">
        <f>IF(SER_hh_fec_in!P18=0,0,11630*1000*SER_hh_fec_in!P18/SER_hh_num_in!P18)</f>
        <v>5036.3668018896597</v>
      </c>
      <c r="Q18" s="133">
        <f>IF(SER_hh_fec_in!Q18=0,0,11630*1000*SER_hh_fec_in!Q18/SER_hh_num_in!Q18)</f>
        <v>5640.6561439335037</v>
      </c>
      <c r="R18" s="133">
        <f>IF(SER_hh_fec_in!R18=0,0,11630*1000*SER_hh_fec_in!R18/SER_hh_num_in!R18)</f>
        <v>4770.224910381814</v>
      </c>
      <c r="S18" s="133">
        <f>IF(SER_hh_fec_in!S18=0,0,11630*1000*SER_hh_fec_in!S18/SER_hh_num_in!S18)</f>
        <v>5011.218283328767</v>
      </c>
      <c r="T18" s="133">
        <f>IF(SER_hh_fec_in!T18=0,0,11630*1000*SER_hh_fec_in!T18/SER_hh_num_in!T18)</f>
        <v>4856.7997284871562</v>
      </c>
      <c r="U18" s="133">
        <f>IF(SER_hh_fec_in!U18=0,0,11630*1000*SER_hh_fec_in!U18/SER_hh_num_in!U18)</f>
        <v>4910.3369026313503</v>
      </c>
      <c r="V18" s="133">
        <f>IF(SER_hh_fec_in!V18=0,0,11630*1000*SER_hh_fec_in!V18/SER_hh_num_in!V18)</f>
        <v>4414.332434343909</v>
      </c>
      <c r="W18" s="133">
        <f>IF(SER_hh_fec_in!W18=0,0,11630*1000*SER_hh_fec_in!W18/SER_hh_num_in!W18)</f>
        <v>4438.8828347616482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16677.477711721127</v>
      </c>
      <c r="D19" s="131">
        <f>IF(SER_hh_fec_in!D19=0,0,11630*1000*SER_hh_fec_in!D19/SER_hh_num_in!D19)</f>
        <v>18054.671640269986</v>
      </c>
      <c r="E19" s="131">
        <f>IF(SER_hh_fec_in!E19=0,0,11630*1000*SER_hh_fec_in!E19/SER_hh_num_in!E19)</f>
        <v>16564.102545313181</v>
      </c>
      <c r="F19" s="131">
        <f>IF(SER_hh_fec_in!F19=0,0,11630*1000*SER_hh_fec_in!F19/SER_hh_num_in!F19)</f>
        <v>17138.541581223712</v>
      </c>
      <c r="G19" s="131">
        <f>IF(SER_hh_fec_in!G19=0,0,11630*1000*SER_hh_fec_in!G19/SER_hh_num_in!G19)</f>
        <v>19004.070858512932</v>
      </c>
      <c r="H19" s="131">
        <f>IF(SER_hh_fec_in!H19=0,0,11630*1000*SER_hh_fec_in!H19/SER_hh_num_in!H19)</f>
        <v>18589.209534134679</v>
      </c>
      <c r="I19" s="131">
        <f>IF(SER_hh_fec_in!I19=0,0,11630*1000*SER_hh_fec_in!I19/SER_hh_num_in!I19)</f>
        <v>16797.897228264399</v>
      </c>
      <c r="J19" s="131">
        <f>IF(SER_hh_fec_in!J19=0,0,11630*1000*SER_hh_fec_in!J19/SER_hh_num_in!J19)</f>
        <v>16790.648394827</v>
      </c>
      <c r="K19" s="131">
        <f>IF(SER_hh_fec_in!K19=0,0,11630*1000*SER_hh_fec_in!K19/SER_hh_num_in!K19)</f>
        <v>18606.320696295348</v>
      </c>
      <c r="L19" s="131">
        <f>IF(SER_hh_fec_in!L19=0,0,11630*1000*SER_hh_fec_in!L19/SER_hh_num_in!L19)</f>
        <v>18031.614203910369</v>
      </c>
      <c r="M19" s="131">
        <f>IF(SER_hh_fec_in!M19=0,0,11630*1000*SER_hh_fec_in!M19/SER_hh_num_in!M19)</f>
        <v>19138.841645286677</v>
      </c>
      <c r="N19" s="131">
        <f>IF(SER_hh_fec_in!N19=0,0,11630*1000*SER_hh_fec_in!N19/SER_hh_num_in!N19)</f>
        <v>17893.446348184905</v>
      </c>
      <c r="O19" s="131">
        <f>IF(SER_hh_fec_in!O19=0,0,11630*1000*SER_hh_fec_in!O19/SER_hh_num_in!O19)</f>
        <v>16773.842698397839</v>
      </c>
      <c r="P19" s="131">
        <f>IF(SER_hh_fec_in!P19=0,0,11630*1000*SER_hh_fec_in!P19/SER_hh_num_in!P19)</f>
        <v>18585.019332835749</v>
      </c>
      <c r="Q19" s="131">
        <f>IF(SER_hh_fec_in!Q19=0,0,11630*1000*SER_hh_fec_in!Q19/SER_hh_num_in!Q19)</f>
        <v>15839.350952756889</v>
      </c>
      <c r="R19" s="131">
        <f>IF(SER_hh_fec_in!R19=0,0,11630*1000*SER_hh_fec_in!R19/SER_hh_num_in!R19)</f>
        <v>15785.485666937886</v>
      </c>
      <c r="S19" s="131">
        <f>IF(SER_hh_fec_in!S19=0,0,11630*1000*SER_hh_fec_in!S19/SER_hh_num_in!S19)</f>
        <v>18247.219601672536</v>
      </c>
      <c r="T19" s="131">
        <f>IF(SER_hh_fec_in!T19=0,0,11630*1000*SER_hh_fec_in!T19/SER_hh_num_in!T19)</f>
        <v>17428.110473131877</v>
      </c>
      <c r="U19" s="131">
        <f>IF(SER_hh_fec_in!U19=0,0,11630*1000*SER_hh_fec_in!U19/SER_hh_num_in!U19)</f>
        <v>17098.653600443788</v>
      </c>
      <c r="V19" s="131">
        <f>IF(SER_hh_fec_in!V19=0,0,11630*1000*SER_hh_fec_in!V19/SER_hh_num_in!V19)</f>
        <v>15530.555014137926</v>
      </c>
      <c r="W19" s="131">
        <f>IF(SER_hh_fec_in!W19=0,0,11630*1000*SER_hh_fec_in!W19/SER_hh_num_in!W19)</f>
        <v>13724.519396857242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9951.1671280825958</v>
      </c>
      <c r="D21" s="133">
        <f>IF(SER_hh_fec_in!D21=0,0,11630*1000*SER_hh_fec_in!D21/SER_hh_num_in!D21)</f>
        <v>20552.912944535019</v>
      </c>
      <c r="E21" s="133">
        <f>IF(SER_hh_fec_in!E21=0,0,11630*1000*SER_hh_fec_in!E21/SER_hh_num_in!E21)</f>
        <v>16513.636974913454</v>
      </c>
      <c r="F21" s="133">
        <f>IF(SER_hh_fec_in!F21=0,0,11630*1000*SER_hh_fec_in!F21/SER_hh_num_in!F21)</f>
        <v>21197.208738353886</v>
      </c>
      <c r="G21" s="133">
        <f>IF(SER_hh_fec_in!G21=0,0,11630*1000*SER_hh_fec_in!G21/SER_hh_num_in!G21)</f>
        <v>23829.391396421051</v>
      </c>
      <c r="H21" s="133">
        <f>IF(SER_hh_fec_in!H21=0,0,11630*1000*SER_hh_fec_in!H21/SER_hh_num_in!H21)</f>
        <v>23680.159993653771</v>
      </c>
      <c r="I21" s="133">
        <f>IF(SER_hh_fec_in!I21=0,0,11630*1000*SER_hh_fec_in!I21/SER_hh_num_in!I21)</f>
        <v>18923.420881780392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24742.228056118256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13586.017673286591</v>
      </c>
      <c r="D22" s="133">
        <f>IF(SER_hh_fec_in!D22=0,0,11630*1000*SER_hh_fec_in!D22/SER_hh_num_in!D22)</f>
        <v>21528.717298456319</v>
      </c>
      <c r="E22" s="133">
        <f>IF(SER_hh_fec_in!E22=0,0,11630*1000*SER_hh_fec_in!E22/SER_hh_num_in!E22)</f>
        <v>10939.094606641813</v>
      </c>
      <c r="F22" s="133">
        <f>IF(SER_hh_fec_in!F22=0,0,11630*1000*SER_hh_fec_in!F22/SER_hh_num_in!F22)</f>
        <v>21932.042448944652</v>
      </c>
      <c r="G22" s="133">
        <f>IF(SER_hh_fec_in!G22=0,0,11630*1000*SER_hh_fec_in!G22/SER_hh_num_in!G22)</f>
        <v>24771.890662387745</v>
      </c>
      <c r="H22" s="133">
        <f>IF(SER_hh_fec_in!H22=0,0,11630*1000*SER_hh_fec_in!H22/SER_hh_num_in!H22)</f>
        <v>24299.673533866418</v>
      </c>
      <c r="I22" s="133">
        <f>IF(SER_hh_fec_in!I22=0,0,11630*1000*SER_hh_fec_in!I22/SER_hh_num_in!I22)</f>
        <v>19305.912334583187</v>
      </c>
      <c r="J22" s="133">
        <f>IF(SER_hh_fec_in!J22=0,0,11630*1000*SER_hh_fec_in!J22/SER_hh_num_in!J22)</f>
        <v>11573.329567526796</v>
      </c>
      <c r="K22" s="133">
        <f>IF(SER_hh_fec_in!K22=0,0,11630*1000*SER_hh_fec_in!K22/SER_hh_num_in!K22)</f>
        <v>24791.858456593243</v>
      </c>
      <c r="L22" s="133">
        <f>IF(SER_hh_fec_in!L22=0,0,11630*1000*SER_hh_fec_in!L22/SER_hh_num_in!L22)</f>
        <v>6923.9569452461128</v>
      </c>
      <c r="M22" s="133">
        <f>IF(SER_hh_fec_in!M22=0,0,11630*1000*SER_hh_fec_in!M22/SER_hh_num_in!M22)</f>
        <v>9729.6537146613264</v>
      </c>
      <c r="N22" s="133">
        <f>IF(SER_hh_fec_in!N22=0,0,11630*1000*SER_hh_fec_in!N22/SER_hh_num_in!N22)</f>
        <v>11502.959896911152</v>
      </c>
      <c r="O22" s="133">
        <f>IF(SER_hh_fec_in!O22=0,0,11630*1000*SER_hh_fec_in!O22/SER_hh_num_in!O22)</f>
        <v>23301.925065585918</v>
      </c>
      <c r="P22" s="133">
        <f>IF(SER_hh_fec_in!P22=0,0,11630*1000*SER_hh_fec_in!P22/SER_hh_num_in!P22)</f>
        <v>0</v>
      </c>
      <c r="Q22" s="133">
        <f>IF(SER_hh_fec_in!Q22=0,0,11630*1000*SER_hh_fec_in!Q22/SER_hh_num_in!Q22)</f>
        <v>20848.169518541472</v>
      </c>
      <c r="R22" s="133">
        <f>IF(SER_hh_fec_in!R22=0,0,11630*1000*SER_hh_fec_in!R22/SER_hh_num_in!R22)</f>
        <v>20030.324509400252</v>
      </c>
      <c r="S22" s="133">
        <f>IF(SER_hh_fec_in!S22=0,0,11630*1000*SER_hh_fec_in!S22/SER_hh_num_in!S22)</f>
        <v>12420.955977720969</v>
      </c>
      <c r="T22" s="133">
        <f>IF(SER_hh_fec_in!T22=0,0,11630*1000*SER_hh_fec_in!T22/SER_hh_num_in!T22)</f>
        <v>11043.671107004489</v>
      </c>
      <c r="U22" s="133">
        <f>IF(SER_hh_fec_in!U22=0,0,11630*1000*SER_hh_fec_in!U22/SER_hh_num_in!U22)</f>
        <v>18590.998756466826</v>
      </c>
      <c r="V22" s="133">
        <f>IF(SER_hh_fec_in!V22=0,0,11630*1000*SER_hh_fec_in!V22/SER_hh_num_in!V22)</f>
        <v>11869.701727889515</v>
      </c>
      <c r="W22" s="133">
        <f>IF(SER_hh_fec_in!W22=0,0,11630*1000*SER_hh_fec_in!W22/SER_hh_num_in!W22)</f>
        <v>17532.455741223126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12043.725641195342</v>
      </c>
      <c r="D23" s="133">
        <f>IF(SER_hh_fec_in!D23=0,0,11630*1000*SER_hh_fec_in!D23/SER_hh_num_in!D23)</f>
        <v>19729.165019382122</v>
      </c>
      <c r="E23" s="133">
        <f>IF(SER_hh_fec_in!E23=0,0,11630*1000*SER_hh_fec_in!E23/SER_hh_num_in!E23)</f>
        <v>11769.872019182658</v>
      </c>
      <c r="F23" s="133">
        <f>IF(SER_hh_fec_in!F23=0,0,11630*1000*SER_hh_fec_in!F23/SER_hh_num_in!F23)</f>
        <v>19723.398957898771</v>
      </c>
      <c r="G23" s="133">
        <f>IF(SER_hh_fec_in!G23=0,0,11630*1000*SER_hh_fec_in!G23/SER_hh_num_in!G23)</f>
        <v>22313.724645127899</v>
      </c>
      <c r="H23" s="133">
        <f>IF(SER_hh_fec_in!H23=0,0,11630*1000*SER_hh_fec_in!H23/SER_hh_num_in!H23)</f>
        <v>22048.186949148087</v>
      </c>
      <c r="I23" s="133">
        <f>IF(SER_hh_fec_in!I23=0,0,11630*1000*SER_hh_fec_in!I23/SER_hh_num_in!I23)</f>
        <v>17360.427117699277</v>
      </c>
      <c r="J23" s="133">
        <f>IF(SER_hh_fec_in!J23=0,0,11630*1000*SER_hh_fec_in!J23/SER_hh_num_in!J23)</f>
        <v>12137.95956778777</v>
      </c>
      <c r="K23" s="133">
        <f>IF(SER_hh_fec_in!K23=0,0,11630*1000*SER_hh_fec_in!K23/SER_hh_num_in!K23)</f>
        <v>21680.879679642145</v>
      </c>
      <c r="L23" s="133">
        <f>IF(SER_hh_fec_in!L23=0,0,11630*1000*SER_hh_fec_in!L23/SER_hh_num_in!L23)</f>
        <v>9247.0028231482156</v>
      </c>
      <c r="M23" s="133">
        <f>IF(SER_hh_fec_in!M23=0,0,11630*1000*SER_hh_fec_in!M23/SER_hh_num_in!M23)</f>
        <v>11024.251975808025</v>
      </c>
      <c r="N23" s="133">
        <f>IF(SER_hh_fec_in!N23=0,0,11630*1000*SER_hh_fec_in!N23/SER_hh_num_in!N23)</f>
        <v>12597.572531510303</v>
      </c>
      <c r="O23" s="133">
        <f>IF(SER_hh_fec_in!O23=0,0,11630*1000*SER_hh_fec_in!O23/SER_hh_num_in!O23)</f>
        <v>21806.015275889513</v>
      </c>
      <c r="P23" s="133">
        <f>IF(SER_hh_fec_in!P23=0,0,11630*1000*SER_hh_fec_in!P23/SER_hh_num_in!P23)</f>
        <v>13830.742501094302</v>
      </c>
      <c r="Q23" s="133">
        <f>IF(SER_hh_fec_in!Q23=0,0,11630*1000*SER_hh_fec_in!Q23/SER_hh_num_in!Q23)</f>
        <v>20432.210098364361</v>
      </c>
      <c r="R23" s="133">
        <f>IF(SER_hh_fec_in!R23=0,0,11630*1000*SER_hh_fec_in!R23/SER_hh_num_in!R23)</f>
        <v>19581.896808805985</v>
      </c>
      <c r="S23" s="133">
        <f>IF(SER_hh_fec_in!S23=0,0,11630*1000*SER_hh_fec_in!S23/SER_hh_num_in!S23)</f>
        <v>11861.022678305704</v>
      </c>
      <c r="T23" s="133">
        <f>IF(SER_hh_fec_in!T23=0,0,11630*1000*SER_hh_fec_in!T23/SER_hh_num_in!T23)</f>
        <v>10575.7743932212</v>
      </c>
      <c r="U23" s="133">
        <f>IF(SER_hh_fec_in!U23=0,0,11630*1000*SER_hh_fec_in!U23/SER_hh_num_in!U23)</f>
        <v>17935.776429056779</v>
      </c>
      <c r="V23" s="133">
        <f>IF(SER_hh_fec_in!V23=0,0,11630*1000*SER_hh_fec_in!V23/SER_hh_num_in!V23)</f>
        <v>11974.21602025965</v>
      </c>
      <c r="W23" s="133">
        <f>IF(SER_hh_fec_in!W23=0,0,11630*1000*SER_hh_fec_in!W23/SER_hh_num_in!W23)</f>
        <v>17002.950932929059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12098.816392625587</v>
      </c>
      <c r="D24" s="133">
        <f>IF(SER_hh_fec_in!D24=0,0,11630*1000*SER_hh_fec_in!D24/SER_hh_num_in!D24)</f>
        <v>19360.874973170165</v>
      </c>
      <c r="E24" s="133">
        <f>IF(SER_hh_fec_in!E24=0,0,11630*1000*SER_hh_fec_in!E24/SER_hh_num_in!E24)</f>
        <v>10061.646596577813</v>
      </c>
      <c r="F24" s="133">
        <f>IF(SER_hh_fec_in!F24=0,0,11630*1000*SER_hh_fec_in!F24/SER_hh_num_in!F24)</f>
        <v>18929.620612458886</v>
      </c>
      <c r="G24" s="133">
        <f>IF(SER_hh_fec_in!G24=0,0,11630*1000*SER_hh_fec_in!G24/SER_hh_num_in!G24)</f>
        <v>21202.086542612113</v>
      </c>
      <c r="H24" s="133">
        <f>IF(SER_hh_fec_in!H24=0,0,11630*1000*SER_hh_fec_in!H24/SER_hh_num_in!H24)</f>
        <v>20846.019846871764</v>
      </c>
      <c r="I24" s="133">
        <f>IF(SER_hh_fec_in!I24=0,0,11630*1000*SER_hh_fec_in!I24/SER_hh_num_in!I24)</f>
        <v>16099.652259922763</v>
      </c>
      <c r="J24" s="133">
        <f>IF(SER_hh_fec_in!J24=0,0,11630*1000*SER_hh_fec_in!J24/SER_hh_num_in!J24)</f>
        <v>11164.873429684858</v>
      </c>
      <c r="K24" s="133">
        <f>IF(SER_hh_fec_in!K24=0,0,11630*1000*SER_hh_fec_in!K24/SER_hh_num_in!K24)</f>
        <v>19902.69804928769</v>
      </c>
      <c r="L24" s="133">
        <f>IF(SER_hh_fec_in!L24=0,0,11630*1000*SER_hh_fec_in!L24/SER_hh_num_in!L24)</f>
        <v>8689.9186321656198</v>
      </c>
      <c r="M24" s="133">
        <f>IF(SER_hh_fec_in!M24=0,0,11630*1000*SER_hh_fec_in!M24/SER_hh_num_in!M24)</f>
        <v>10504.874812044707</v>
      </c>
      <c r="N24" s="133">
        <f>IF(SER_hh_fec_in!N24=0,0,11630*1000*SER_hh_fec_in!N24/SER_hh_num_in!N24)</f>
        <v>12049.115916997231</v>
      </c>
      <c r="O24" s="133">
        <f>IF(SER_hh_fec_in!O24=0,0,11630*1000*SER_hh_fec_in!O24/SER_hh_num_in!O24)</f>
        <v>20627.534641567458</v>
      </c>
      <c r="P24" s="133">
        <f>IF(SER_hh_fec_in!P24=0,0,11630*1000*SER_hh_fec_in!P24/SER_hh_num_in!P24)</f>
        <v>13808.523709253686</v>
      </c>
      <c r="Q24" s="133">
        <f>IF(SER_hh_fec_in!Q24=0,0,11630*1000*SER_hh_fec_in!Q24/SER_hh_num_in!Q24)</f>
        <v>20410.587486990069</v>
      </c>
      <c r="R24" s="133">
        <f>IF(SER_hh_fec_in!R24=0,0,11630*1000*SER_hh_fec_in!R24/SER_hh_num_in!R24)</f>
        <v>19439.602669531818</v>
      </c>
      <c r="S24" s="133">
        <f>IF(SER_hh_fec_in!S24=0,0,11630*1000*SER_hh_fec_in!S24/SER_hh_num_in!S24)</f>
        <v>11973.572300860404</v>
      </c>
      <c r="T24" s="133">
        <f>IF(SER_hh_fec_in!T24=0,0,11630*1000*SER_hh_fec_in!T24/SER_hh_num_in!T24)</f>
        <v>10611.936773925161</v>
      </c>
      <c r="U24" s="133">
        <f>IF(SER_hh_fec_in!U24=0,0,11630*1000*SER_hh_fec_in!U24/SER_hh_num_in!U24)</f>
        <v>18050.270603218923</v>
      </c>
      <c r="V24" s="133">
        <f>IF(SER_hh_fec_in!V24=0,0,11630*1000*SER_hh_fec_in!V24/SER_hh_num_in!V24)</f>
        <v>11665.846087970216</v>
      </c>
      <c r="W24" s="133">
        <f>IF(SER_hh_fec_in!W24=0,0,11630*1000*SER_hh_fec_in!W24/SER_hh_num_in!W24)</f>
        <v>16769.432283180857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8800.4310434024264</v>
      </c>
      <c r="D25" s="133">
        <f>IF(SER_hh_fec_in!D25=0,0,11630*1000*SER_hh_fec_in!D25/SER_hh_num_in!D25)</f>
        <v>14324.198069333181</v>
      </c>
      <c r="E25" s="133">
        <f>IF(SER_hh_fec_in!E25=0,0,11630*1000*SER_hh_fec_in!E25/SER_hh_num_in!E25)</f>
        <v>7205.3348434422169</v>
      </c>
      <c r="F25" s="133">
        <f>IF(SER_hh_fec_in!F25=0,0,11630*1000*SER_hh_fec_in!F25/SER_hh_num_in!F25)</f>
        <v>13933.687177913816</v>
      </c>
      <c r="G25" s="133">
        <f>IF(SER_hh_fec_in!G25=0,0,11630*1000*SER_hh_fec_in!G25/SER_hh_num_in!G25)</f>
        <v>15310.471760321781</v>
      </c>
      <c r="H25" s="133">
        <f>IF(SER_hh_fec_in!H25=0,0,11630*1000*SER_hh_fec_in!H25/SER_hh_num_in!H25)</f>
        <v>15851.310457305022</v>
      </c>
      <c r="I25" s="133">
        <f>IF(SER_hh_fec_in!I25=0,0,11630*1000*SER_hh_fec_in!I25/SER_hh_num_in!I25)</f>
        <v>13103.102530229935</v>
      </c>
      <c r="J25" s="133">
        <f>IF(SER_hh_fec_in!J25=0,0,11630*1000*SER_hh_fec_in!J25/SER_hh_num_in!J25)</f>
        <v>9926.0457506816329</v>
      </c>
      <c r="K25" s="133">
        <f>IF(SER_hh_fec_in!K25=0,0,11630*1000*SER_hh_fec_in!K25/SER_hh_num_in!K25)</f>
        <v>16716.694704226815</v>
      </c>
      <c r="L25" s="133">
        <f>IF(SER_hh_fec_in!L25=0,0,11630*1000*SER_hh_fec_in!L25/SER_hh_num_in!L25)</f>
        <v>7995.376498633138</v>
      </c>
      <c r="M25" s="133">
        <f>IF(SER_hh_fec_in!M25=0,0,11630*1000*SER_hh_fec_in!M25/SER_hh_num_in!M25)</f>
        <v>9088.2875886636139</v>
      </c>
      <c r="N25" s="133">
        <f>IF(SER_hh_fec_in!N25=0,0,11630*1000*SER_hh_fec_in!N25/SER_hh_num_in!N25)</f>
        <v>10198.650747226586</v>
      </c>
      <c r="O25" s="133">
        <f>IF(SER_hh_fec_in!O25=0,0,11630*1000*SER_hh_fec_in!O25/SER_hh_num_in!O25)</f>
        <v>17551.256090633309</v>
      </c>
      <c r="P25" s="133">
        <f>IF(SER_hh_fec_in!P25=0,0,11630*1000*SER_hh_fec_in!P25/SER_hh_num_in!P25)</f>
        <v>11785.814677393997</v>
      </c>
      <c r="Q25" s="133">
        <f>IF(SER_hh_fec_in!Q25=0,0,11630*1000*SER_hh_fec_in!Q25/SER_hh_num_in!Q25)</f>
        <v>17540.340334404998</v>
      </c>
      <c r="R25" s="133">
        <f>IF(SER_hh_fec_in!R25=0,0,11630*1000*SER_hh_fec_in!R25/SER_hh_num_in!R25)</f>
        <v>16962.468538591616</v>
      </c>
      <c r="S25" s="133">
        <f>IF(SER_hh_fec_in!S25=0,0,11630*1000*SER_hh_fec_in!S25/SER_hh_num_in!S25)</f>
        <v>10351.032860371164</v>
      </c>
      <c r="T25" s="133">
        <f>IF(SER_hh_fec_in!T25=0,0,11630*1000*SER_hh_fec_in!T25/SER_hh_num_in!T25)</f>
        <v>9298.7494681919652</v>
      </c>
      <c r="U25" s="133">
        <f>IF(SER_hh_fec_in!U25=0,0,11630*1000*SER_hh_fec_in!U25/SER_hh_num_in!U25)</f>
        <v>16079.205678135255</v>
      </c>
      <c r="V25" s="133">
        <f>IF(SER_hh_fec_in!V25=0,0,11630*1000*SER_hh_fec_in!V25/SER_hh_num_in!V25)</f>
        <v>11037.712042376395</v>
      </c>
      <c r="W25" s="133">
        <f>IF(SER_hh_fec_in!W25=0,0,11630*1000*SER_hh_fec_in!W25/SER_hh_num_in!W25)</f>
        <v>15695.611388517773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6802.3914848302757</v>
      </c>
      <c r="D26" s="65">
        <f>IF(SER_hh_fec_in!D26=0,0,11630*1000*SER_hh_fec_in!D26/SER_hh_num_in!D26)</f>
        <v>6385.0006754637252</v>
      </c>
      <c r="E26" s="65">
        <f>IF(SER_hh_fec_in!E26=0,0,11630*1000*SER_hh_fec_in!E26/SER_hh_num_in!E26)</f>
        <v>5552.0717811574723</v>
      </c>
      <c r="F26" s="65">
        <f>IF(SER_hh_fec_in!F26=0,0,11630*1000*SER_hh_fec_in!F26/SER_hh_num_in!F26)</f>
        <v>5053.7466931865938</v>
      </c>
      <c r="G26" s="65">
        <f>IF(SER_hh_fec_in!G26=0,0,11630*1000*SER_hh_fec_in!G26/SER_hh_num_in!G26)</f>
        <v>19511.449364792188</v>
      </c>
      <c r="H26" s="65">
        <f>IF(SER_hh_fec_in!H26=0,0,11630*1000*SER_hh_fec_in!H26/SER_hh_num_in!H26)</f>
        <v>18803.907142822503</v>
      </c>
      <c r="I26" s="65">
        <f>IF(SER_hh_fec_in!I26=0,0,11630*1000*SER_hh_fec_in!I26/SER_hh_num_in!I26)</f>
        <v>2954.345558228099</v>
      </c>
      <c r="J26" s="65">
        <f>IF(SER_hh_fec_in!J26=0,0,11630*1000*SER_hh_fec_in!J26/SER_hh_num_in!J26)</f>
        <v>163.95900161073618</v>
      </c>
      <c r="K26" s="65">
        <f>IF(SER_hh_fec_in!K26=0,0,11630*1000*SER_hh_fec_in!K26/SER_hh_num_in!K26)</f>
        <v>19809.513285735709</v>
      </c>
      <c r="L26" s="65">
        <f>IF(SER_hh_fec_in!L26=0,0,11630*1000*SER_hh_fec_in!L26/SER_hh_num_in!L26)</f>
        <v>109.72300823995894</v>
      </c>
      <c r="M26" s="65">
        <f>IF(SER_hh_fec_in!M26=0,0,11630*1000*SER_hh_fec_in!M26/SER_hh_num_in!M26)</f>
        <v>108.66178366127363</v>
      </c>
      <c r="N26" s="65">
        <f>IF(SER_hh_fec_in!N26=0,0,11630*1000*SER_hh_fec_in!N26/SER_hh_num_in!N26)</f>
        <v>117.62464175377924</v>
      </c>
      <c r="O26" s="65">
        <f>IF(SER_hh_fec_in!O26=0,0,11630*1000*SER_hh_fec_in!O26/SER_hh_num_in!O26)</f>
        <v>12788.354924488025</v>
      </c>
      <c r="P26" s="65">
        <f>IF(SER_hh_fec_in!P26=0,0,11630*1000*SER_hh_fec_in!P26/SER_hh_num_in!P26)</f>
        <v>125.75268559200219</v>
      </c>
      <c r="Q26" s="65">
        <f>IF(SER_hh_fec_in!Q26=0,0,11630*1000*SER_hh_fec_in!Q26/SER_hh_num_in!Q26)</f>
        <v>12520.526117069103</v>
      </c>
      <c r="R26" s="65">
        <f>IF(SER_hh_fec_in!R26=0,0,11630*1000*SER_hh_fec_in!R26/SER_hh_num_in!R26)</f>
        <v>13037.210563808738</v>
      </c>
      <c r="S26" s="65">
        <f>IF(SER_hh_fec_in!S26=0,0,11630*1000*SER_hh_fec_in!S26/SER_hh_num_in!S26)</f>
        <v>122.86107496962649</v>
      </c>
      <c r="T26" s="65">
        <f>IF(SER_hh_fec_in!T26=0,0,11630*1000*SER_hh_fec_in!T26/SER_hh_num_in!T26)</f>
        <v>103.51000329246708</v>
      </c>
      <c r="U26" s="65">
        <f>IF(SER_hh_fec_in!U26=0,0,11630*1000*SER_hh_fec_in!U26/SER_hh_num_in!U26)</f>
        <v>105.14875011556686</v>
      </c>
      <c r="V26" s="65">
        <f>IF(SER_hh_fec_in!V26=0,0,11630*1000*SER_hh_fec_in!V26/SER_hh_num_in!V26)</f>
        <v>95.822408682481921</v>
      </c>
      <c r="W26" s="65">
        <f>IF(SER_hh_fec_in!W26=0,0,11630*1000*SER_hh_fec_in!W26/SER_hh_num_in!W26)</f>
        <v>9623.6135792680252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7350.9573256831636</v>
      </c>
      <c r="D27" s="146">
        <f>IF(SER_hh_fec_in!D27=0,0,11630*1000*SER_hh_fec_in!D27/SER_hh_num_in!D19)</f>
        <v>4220.8956491595773</v>
      </c>
      <c r="E27" s="146">
        <f>IF(SER_hh_fec_in!E27=0,0,11630*1000*SER_hh_fec_in!E27/SER_hh_num_in!E19)</f>
        <v>7982.7736955697628</v>
      </c>
      <c r="F27" s="146">
        <f>IF(SER_hh_fec_in!F27=0,0,11630*1000*SER_hh_fec_in!F27/SER_hh_num_in!F19)</f>
        <v>5247.6333758264764</v>
      </c>
      <c r="G27" s="146">
        <f>IF(SER_hh_fec_in!G27=0,0,11630*1000*SER_hh_fec_in!G27/SER_hh_num_in!G19)</f>
        <v>3.9738674509581902E-11</v>
      </c>
      <c r="H27" s="146">
        <f>IF(SER_hh_fec_in!H27=0,0,11630*1000*SER_hh_fec_in!H27/SER_hh_num_in!H19)</f>
        <v>0</v>
      </c>
      <c r="I27" s="146">
        <f>IF(SER_hh_fec_in!I27=0,0,11630*1000*SER_hh_fec_in!I27/SER_hh_num_in!I19)</f>
        <v>4514.6850673021863</v>
      </c>
      <c r="J27" s="146">
        <f>IF(SER_hh_fec_in!J27=0,0,11630*1000*SER_hh_fec_in!J27/SER_hh_num_in!J19)</f>
        <v>7075.167174287024</v>
      </c>
      <c r="K27" s="146">
        <f>IF(SER_hh_fec_in!K27=0,0,11630*1000*SER_hh_fec_in!K27/SER_hh_num_in!K19)</f>
        <v>0</v>
      </c>
      <c r="L27" s="146">
        <f>IF(SER_hh_fec_in!L27=0,0,11630*1000*SER_hh_fec_in!L27/SER_hh_num_in!L19)</f>
        <v>10423.460375227996</v>
      </c>
      <c r="M27" s="146">
        <f>IF(SER_hh_fec_in!M27=0,0,11630*1000*SER_hh_fec_in!M27/SER_hh_num_in!M19)</f>
        <v>11689.501992975986</v>
      </c>
      <c r="N27" s="146">
        <f>IF(SER_hh_fec_in!N27=0,0,11630*1000*SER_hh_fec_in!N27/SER_hh_num_in!N19)</f>
        <v>11616.522218986462</v>
      </c>
      <c r="O27" s="146">
        <f>IF(SER_hh_fec_in!O27=0,0,11630*1000*SER_hh_fec_in!O27/SER_hh_num_in!O19)</f>
        <v>0</v>
      </c>
      <c r="P27" s="146">
        <f>IF(SER_hh_fec_in!P27=0,0,11630*1000*SER_hh_fec_in!P27/SER_hh_num_in!P19)</f>
        <v>14562.897399249998</v>
      </c>
      <c r="Q27" s="146">
        <f>IF(SER_hh_fec_in!Q27=0,0,11630*1000*SER_hh_fec_in!Q27/SER_hh_num_in!Q19)</f>
        <v>0</v>
      </c>
      <c r="R27" s="146">
        <f>IF(SER_hh_fec_in!R27=0,0,11630*1000*SER_hh_fec_in!R27/SER_hh_num_in!R19)</f>
        <v>0</v>
      </c>
      <c r="S27" s="146">
        <f>IF(SER_hh_fec_in!S27=0,0,11630*1000*SER_hh_fec_in!S27/SER_hh_num_in!S19)</f>
        <v>11160.060101531835</v>
      </c>
      <c r="T27" s="146">
        <f>IF(SER_hh_fec_in!T27=0,0,11630*1000*SER_hh_fec_in!T27/SER_hh_num_in!T19)</f>
        <v>10249.456949633131</v>
      </c>
      <c r="U27" s="146">
        <f>IF(SER_hh_fec_in!U27=0,0,11630*1000*SER_hh_fec_in!U27/SER_hh_num_in!U19)</f>
        <v>5171.3048249169105</v>
      </c>
      <c r="V27" s="146">
        <f>IF(SER_hh_fec_in!V27=0,0,11630*1000*SER_hh_fec_in!V27/SER_hh_num_in!V19)</f>
        <v>9222.7276054747945</v>
      </c>
      <c r="W27" s="146">
        <f>IF(SER_hh_fec_in!W27=0,0,11630*1000*SER_hh_fec_in!W27/SER_hh_num_in!W19)</f>
        <v>0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8500.4319349298312</v>
      </c>
      <c r="D28" s="147">
        <f>IF(SER_hh_fec_in!D27=0,0,11630*1000*SER_hh_fec_in!D27/SER_hh_num_in!D27)</f>
        <v>8670.3831199145679</v>
      </c>
      <c r="E28" s="147">
        <f>IF(SER_hh_fec_in!E27=0,0,11630*1000*SER_hh_fec_in!E27/SER_hh_num_in!E27)</f>
        <v>8410.5397620004114</v>
      </c>
      <c r="F28" s="147">
        <f>IF(SER_hh_fec_in!F27=0,0,11630*1000*SER_hh_fec_in!F27/SER_hh_num_in!F27)</f>
        <v>8958.5500171579442</v>
      </c>
      <c r="G28" s="147">
        <f>IF(SER_hh_fec_in!G27=0,0,11630*1000*SER_hh_fec_in!G27/SER_hh_num_in!G27)</f>
        <v>9952.1386095537982</v>
      </c>
      <c r="H28" s="147">
        <f>IF(SER_hh_fec_in!H27=0,0,11630*1000*SER_hh_fec_in!H27/SER_hh_num_in!H27)</f>
        <v>0</v>
      </c>
      <c r="I28" s="147">
        <f>IF(SER_hh_fec_in!I27=0,0,11630*1000*SER_hh_fec_in!I27/SER_hh_num_in!I27)</f>
        <v>8790.7940155360684</v>
      </c>
      <c r="J28" s="147">
        <f>IF(SER_hh_fec_in!J27=0,0,11630*1000*SER_hh_fec_in!J27/SER_hh_num_in!J27)</f>
        <v>7075.167174287024</v>
      </c>
      <c r="K28" s="147">
        <f>IF(SER_hh_fec_in!K27=0,0,11630*1000*SER_hh_fec_in!K27/SER_hh_num_in!K27)</f>
        <v>0</v>
      </c>
      <c r="L28" s="147">
        <f>IF(SER_hh_fec_in!L27=0,0,11630*1000*SER_hh_fec_in!L27/SER_hh_num_in!L27)</f>
        <v>10423.460375227998</v>
      </c>
      <c r="M28" s="147">
        <f>IF(SER_hh_fec_in!M27=0,0,11630*1000*SER_hh_fec_in!M27/SER_hh_num_in!M27)</f>
        <v>11689.501992975986</v>
      </c>
      <c r="N28" s="147">
        <f>IF(SER_hh_fec_in!N27=0,0,11630*1000*SER_hh_fec_in!N27/SER_hh_num_in!N27)</f>
        <v>11616.522218986462</v>
      </c>
      <c r="O28" s="147">
        <f>IF(SER_hh_fec_in!O27=0,0,11630*1000*SER_hh_fec_in!O27/SER_hh_num_in!O27)</f>
        <v>0</v>
      </c>
      <c r="P28" s="147">
        <f>IF(SER_hh_fec_in!P27=0,0,11630*1000*SER_hh_fec_in!P27/SER_hh_num_in!P27)</f>
        <v>15506.518901272091</v>
      </c>
      <c r="Q28" s="147">
        <f>IF(SER_hh_fec_in!Q27=0,0,11630*1000*SER_hh_fec_in!Q27/SER_hh_num_in!Q27)</f>
        <v>0</v>
      </c>
      <c r="R28" s="147">
        <f>IF(SER_hh_fec_in!R27=0,0,11630*1000*SER_hh_fec_in!R27/SER_hh_num_in!R27)</f>
        <v>0</v>
      </c>
      <c r="S28" s="147">
        <f>IF(SER_hh_fec_in!S27=0,0,11630*1000*SER_hh_fec_in!S27/SER_hh_num_in!S27)</f>
        <v>12135.572930553044</v>
      </c>
      <c r="T28" s="147">
        <f>IF(SER_hh_fec_in!T27=0,0,11630*1000*SER_hh_fec_in!T27/SER_hh_num_in!T27)</f>
        <v>10249.45694963313</v>
      </c>
      <c r="U28" s="147">
        <f>IF(SER_hh_fec_in!U27=0,0,11630*1000*SER_hh_fec_in!U27/SER_hh_num_in!U27)</f>
        <v>16369.125850097156</v>
      </c>
      <c r="V28" s="147">
        <f>IF(SER_hh_fec_in!V27=0,0,11630*1000*SER_hh_fec_in!V27/SER_hh_num_in!V27)</f>
        <v>11210.629513413538</v>
      </c>
      <c r="W28" s="147">
        <f>IF(SER_hh_fec_in!W27=0,0,11630*1000*SER_hh_fec_in!W27/SER_hh_num_in!W27)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15787.322706057777</v>
      </c>
      <c r="D29" s="131">
        <f>IF(SER_hh_fec_in!D29=0,0,11630*1000*SER_hh_fec_in!D29/SER_hh_num_in!D29)</f>
        <v>19870.992394422938</v>
      </c>
      <c r="E29" s="131">
        <f>IF(SER_hh_fec_in!E29=0,0,11630*1000*SER_hh_fec_in!E29/SER_hh_num_in!E29)</f>
        <v>19837.853176303666</v>
      </c>
      <c r="F29" s="131">
        <f>IF(SER_hh_fec_in!F29=0,0,11630*1000*SER_hh_fec_in!F29/SER_hh_num_in!F29)</f>
        <v>17674.096287452856</v>
      </c>
      <c r="G29" s="131">
        <f>IF(SER_hh_fec_in!G29=0,0,11630*1000*SER_hh_fec_in!G29/SER_hh_num_in!G29)</f>
        <v>17270.586021004408</v>
      </c>
      <c r="H29" s="131">
        <f>IF(SER_hh_fec_in!H29=0,0,11630*1000*SER_hh_fec_in!H29/SER_hh_num_in!H29)</f>
        <v>16295.374752148675</v>
      </c>
      <c r="I29" s="131">
        <f>IF(SER_hh_fec_in!I29=0,0,11630*1000*SER_hh_fec_in!I29/SER_hh_num_in!I29)</f>
        <v>16299.79406642657</v>
      </c>
      <c r="J29" s="131">
        <f>IF(SER_hh_fec_in!J29=0,0,11630*1000*SER_hh_fec_in!J29/SER_hh_num_in!J29)</f>
        <v>17067.914452572128</v>
      </c>
      <c r="K29" s="131">
        <f>IF(SER_hh_fec_in!K29=0,0,11630*1000*SER_hh_fec_in!K29/SER_hh_num_in!K29)</f>
        <v>17850.303669134744</v>
      </c>
      <c r="L29" s="131">
        <f>IF(SER_hh_fec_in!L29=0,0,11630*1000*SER_hh_fec_in!L29/SER_hh_num_in!L29)</f>
        <v>17565.519696812589</v>
      </c>
      <c r="M29" s="131">
        <f>IF(SER_hh_fec_in!M29=0,0,11630*1000*SER_hh_fec_in!M29/SER_hh_num_in!M29)</f>
        <v>16159.616814515399</v>
      </c>
      <c r="N29" s="131">
        <f>IF(SER_hh_fec_in!N29=0,0,11630*1000*SER_hh_fec_in!N29/SER_hh_num_in!N29)</f>
        <v>17504.802866469465</v>
      </c>
      <c r="O29" s="131">
        <f>IF(SER_hh_fec_in!O29=0,0,11630*1000*SER_hh_fec_in!O29/SER_hh_num_in!O29)</f>
        <v>17199.678974001061</v>
      </c>
      <c r="P29" s="131">
        <f>IF(SER_hh_fec_in!P29=0,0,11630*1000*SER_hh_fec_in!P29/SER_hh_num_in!P29)</f>
        <v>17293.916582440648</v>
      </c>
      <c r="Q29" s="131">
        <f>IF(SER_hh_fec_in!Q29=0,0,11630*1000*SER_hh_fec_in!Q29/SER_hh_num_in!Q29)</f>
        <v>17382.607856740447</v>
      </c>
      <c r="R29" s="131">
        <f>IF(SER_hh_fec_in!R29=0,0,11630*1000*SER_hh_fec_in!R29/SER_hh_num_in!R29)</f>
        <v>16889.463309997456</v>
      </c>
      <c r="S29" s="131">
        <f>IF(SER_hh_fec_in!S29=0,0,11630*1000*SER_hh_fec_in!S29/SER_hh_num_in!S29)</f>
        <v>17145.974254561988</v>
      </c>
      <c r="T29" s="131">
        <f>IF(SER_hh_fec_in!T29=0,0,11630*1000*SER_hh_fec_in!T29/SER_hh_num_in!T29)</f>
        <v>16524.118935938939</v>
      </c>
      <c r="U29" s="131">
        <f>IF(SER_hh_fec_in!U29=0,0,11630*1000*SER_hh_fec_in!U29/SER_hh_num_in!U29)</f>
        <v>16425.527657509476</v>
      </c>
      <c r="V29" s="131">
        <f>IF(SER_hh_fec_in!V29=0,0,11630*1000*SER_hh_fec_in!V29/SER_hh_num_in!V29)</f>
        <v>15582.050503641822</v>
      </c>
      <c r="W29" s="131">
        <f>IF(SER_hh_fec_in!W29=0,0,11630*1000*SER_hh_fec_in!W29/SER_hh_num_in!W29)</f>
        <v>15927.073304607717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10674.949079225211</v>
      </c>
      <c r="D30" s="133">
        <f>IF(SER_hh_fec_in!D30=0,0,11630*1000*SER_hh_fec_in!D30/SER_hh_num_in!D30)</f>
        <v>22070.478608556587</v>
      </c>
      <c r="E30" s="133">
        <f>IF(SER_hh_fec_in!E30=0,0,11630*1000*SER_hh_fec_in!E30/SER_hh_num_in!E30)</f>
        <v>23098.364401047977</v>
      </c>
      <c r="F30" s="133">
        <f>IF(SER_hh_fec_in!F30=0,0,11630*1000*SER_hh_fec_in!F30/SER_hh_num_in!F30)</f>
        <v>27599.491821807864</v>
      </c>
      <c r="G30" s="133">
        <f>IF(SER_hh_fec_in!G30=0,0,11630*1000*SER_hh_fec_in!G30/SER_hh_num_in!G30)</f>
        <v>20496.074727771684</v>
      </c>
      <c r="H30" s="133">
        <f>IF(SER_hh_fec_in!H30=0,0,11630*1000*SER_hh_fec_in!H30/SER_hh_num_in!H30)</f>
        <v>21807.713409423824</v>
      </c>
      <c r="I30" s="133">
        <f>IF(SER_hh_fec_in!I30=0,0,11630*1000*SER_hh_fec_in!I30/SER_hh_num_in!I30)</f>
        <v>0</v>
      </c>
      <c r="J30" s="133">
        <f>IF(SER_hh_fec_in!J30=0,0,11630*1000*SER_hh_fec_in!J30/SER_hh_num_in!J30)</f>
        <v>13611.661155398027</v>
      </c>
      <c r="K30" s="133">
        <f>IF(SER_hh_fec_in!K30=0,0,11630*1000*SER_hh_fec_in!K30/SER_hh_num_in!K30)</f>
        <v>17011.009213844343</v>
      </c>
      <c r="L30" s="133">
        <f>IF(SER_hh_fec_in!L30=0,0,11630*1000*SER_hh_fec_in!L30/SER_hh_num_in!L30)</f>
        <v>28339.515417662024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0</v>
      </c>
      <c r="O30" s="133">
        <f>IF(SER_hh_fec_in!O30=0,0,11630*1000*SER_hh_fec_in!O30/SER_hh_num_in!O30)</f>
        <v>0</v>
      </c>
      <c r="P30" s="133">
        <f>IF(SER_hh_fec_in!P30=0,0,11630*1000*SER_hh_fec_in!P30/SER_hh_num_in!P30)</f>
        <v>0</v>
      </c>
      <c r="Q30" s="133">
        <f>IF(SER_hh_fec_in!Q30=0,0,11630*1000*SER_hh_fec_in!Q30/SER_hh_num_in!Q30)</f>
        <v>18882.395169431882</v>
      </c>
      <c r="R30" s="133">
        <f>IF(SER_hh_fec_in!R30=0,0,11630*1000*SER_hh_fec_in!R30/SER_hh_num_in!R30)</f>
        <v>13880.462470382983</v>
      </c>
      <c r="S30" s="133">
        <f>IF(SER_hh_fec_in!S30=0,0,11630*1000*SER_hh_fec_in!S30/SER_hh_num_in!S30)</f>
        <v>25473.30149048752</v>
      </c>
      <c r="T30" s="133">
        <f>IF(SER_hh_fec_in!T30=0,0,11630*1000*SER_hh_fec_in!T30/SER_hh_num_in!T30)</f>
        <v>20456.010161275677</v>
      </c>
      <c r="U30" s="133">
        <f>IF(SER_hh_fec_in!U30=0,0,11630*1000*SER_hh_fec_in!U30/SER_hh_num_in!U30)</f>
        <v>20275.430413804763</v>
      </c>
      <c r="V30" s="133">
        <f>IF(SER_hh_fec_in!V30=0,0,11630*1000*SER_hh_fec_in!V30/SER_hh_num_in!V30)</f>
        <v>18808.949528451711</v>
      </c>
      <c r="W30" s="133">
        <f>IF(SER_hh_fec_in!W30=0,0,11630*1000*SER_hh_fec_in!W30/SER_hh_num_in!W30)</f>
        <v>20538.857097271753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18823.527143838477</v>
      </c>
      <c r="D31" s="133">
        <f>IF(SER_hh_fec_in!D31=0,0,11630*1000*SER_hh_fec_in!D31/SER_hh_num_in!D31)</f>
        <v>19569.647245243475</v>
      </c>
      <c r="E31" s="133">
        <f>IF(SER_hh_fec_in!E31=0,0,11630*1000*SER_hh_fec_in!E31/SER_hh_num_in!E31)</f>
        <v>19830.318553013323</v>
      </c>
      <c r="F31" s="133">
        <f>IF(SER_hh_fec_in!F31=0,0,11630*1000*SER_hh_fec_in!F31/SER_hh_num_in!F31)</f>
        <v>20318.323542764694</v>
      </c>
      <c r="G31" s="133">
        <f>IF(SER_hh_fec_in!G31=0,0,11630*1000*SER_hh_fec_in!G31/SER_hh_num_in!G31)</f>
        <v>20206.152593013063</v>
      </c>
      <c r="H31" s="133">
        <f>IF(SER_hh_fec_in!H31=0,0,11630*1000*SER_hh_fec_in!H31/SER_hh_num_in!H31)</f>
        <v>19929.052205969972</v>
      </c>
      <c r="I31" s="133">
        <f>IF(SER_hh_fec_in!I31=0,0,11630*1000*SER_hh_fec_in!I31/SER_hh_num_in!I31)</f>
        <v>19668.194063143404</v>
      </c>
      <c r="J31" s="133">
        <f>IF(SER_hh_fec_in!J31=0,0,11630*1000*SER_hh_fec_in!J31/SER_hh_num_in!J31)</f>
        <v>19664.922651090335</v>
      </c>
      <c r="K31" s="133">
        <f>IF(SER_hh_fec_in!K31=0,0,11630*1000*SER_hh_fec_in!K31/SER_hh_num_in!K31)</f>
        <v>20153.433055091216</v>
      </c>
      <c r="L31" s="133">
        <f>IF(SER_hh_fec_in!L31=0,0,11630*1000*SER_hh_fec_in!L31/SER_hh_num_in!L31)</f>
        <v>20317.842115295643</v>
      </c>
      <c r="M31" s="133">
        <f>IF(SER_hh_fec_in!M31=0,0,11630*1000*SER_hh_fec_in!M31/SER_hh_num_in!M31)</f>
        <v>20330.792776370716</v>
      </c>
      <c r="N31" s="133">
        <f>IF(SER_hh_fec_in!N31=0,0,11630*1000*SER_hh_fec_in!N31/SER_hh_num_in!N31)</f>
        <v>20347.577607357267</v>
      </c>
      <c r="O31" s="133">
        <f>IF(SER_hh_fec_in!O31=0,0,11630*1000*SER_hh_fec_in!O31/SER_hh_num_in!O31)</f>
        <v>20381.168163037833</v>
      </c>
      <c r="P31" s="133">
        <f>IF(SER_hh_fec_in!P31=0,0,11630*1000*SER_hh_fec_in!P31/SER_hh_num_in!P31)</f>
        <v>20572.160892866301</v>
      </c>
      <c r="Q31" s="133">
        <f>IF(SER_hh_fec_in!Q31=0,0,11630*1000*SER_hh_fec_in!Q31/SER_hh_num_in!Q31)</f>
        <v>20587.561140724167</v>
      </c>
      <c r="R31" s="133">
        <f>IF(SER_hh_fec_in!R31=0,0,11630*1000*SER_hh_fec_in!R31/SER_hh_num_in!R31)</f>
        <v>20455.910496048367</v>
      </c>
      <c r="S31" s="133">
        <f>IF(SER_hh_fec_in!S31=0,0,11630*1000*SER_hh_fec_in!S31/SER_hh_num_in!S31)</f>
        <v>20231.207383588408</v>
      </c>
      <c r="T31" s="133">
        <f>IF(SER_hh_fec_in!T31=0,0,11630*1000*SER_hh_fec_in!T31/SER_hh_num_in!T31)</f>
        <v>20074.569464422861</v>
      </c>
      <c r="U31" s="133">
        <f>IF(SER_hh_fec_in!U31=0,0,11630*1000*SER_hh_fec_in!U31/SER_hh_num_in!U31)</f>
        <v>20419.341572899106</v>
      </c>
      <c r="V31" s="133">
        <f>IF(SER_hh_fec_in!V31=0,0,11630*1000*SER_hh_fec_in!V31/SER_hh_num_in!V31)</f>
        <v>18778.769728944826</v>
      </c>
      <c r="W31" s="133">
        <f>IF(SER_hh_fec_in!W31=0,0,11630*1000*SER_hh_fec_in!W31/SER_hh_num_in!W31)</f>
        <v>18906.163849395478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19660.351665006878</v>
      </c>
      <c r="D32" s="133">
        <f>IF(SER_hh_fec_in!D32=0,0,11630*1000*SER_hh_fec_in!D32/SER_hh_num_in!D32)</f>
        <v>21108.025200650627</v>
      </c>
      <c r="E32" s="133">
        <f>IF(SER_hh_fec_in!E32=0,0,11630*1000*SER_hh_fec_in!E32/SER_hh_num_in!E32)</f>
        <v>21288.535293366051</v>
      </c>
      <c r="F32" s="133">
        <f>IF(SER_hh_fec_in!F32=0,0,11630*1000*SER_hh_fec_in!F32/SER_hh_num_in!F32)</f>
        <v>21819.851301933006</v>
      </c>
      <c r="G32" s="133">
        <f>IF(SER_hh_fec_in!G32=0,0,11630*1000*SER_hh_fec_in!G32/SER_hh_num_in!G32)</f>
        <v>21534.604868860315</v>
      </c>
      <c r="H32" s="133">
        <f>IF(SER_hh_fec_in!H32=0,0,11630*1000*SER_hh_fec_in!H32/SER_hh_num_in!H32)</f>
        <v>21257.333378765023</v>
      </c>
      <c r="I32" s="133">
        <f>IF(SER_hh_fec_in!I32=0,0,11630*1000*SER_hh_fec_in!I32/SER_hh_num_in!I32)</f>
        <v>21108.804950079928</v>
      </c>
      <c r="J32" s="133">
        <f>IF(SER_hh_fec_in!J32=0,0,11630*1000*SER_hh_fec_in!J32/SER_hh_num_in!J32)</f>
        <v>20897.337738967813</v>
      </c>
      <c r="K32" s="133">
        <f>IF(SER_hh_fec_in!K32=0,0,11630*1000*SER_hh_fec_in!K32/SER_hh_num_in!K32)</f>
        <v>20859.628374702912</v>
      </c>
      <c r="L32" s="133">
        <f>IF(SER_hh_fec_in!L32=0,0,11630*1000*SER_hh_fec_in!L32/SER_hh_num_in!L32)</f>
        <v>21901.515323779917</v>
      </c>
      <c r="M32" s="133">
        <f>IF(SER_hh_fec_in!M32=0,0,11630*1000*SER_hh_fec_in!M32/SER_hh_num_in!M32)</f>
        <v>21227.380088063066</v>
      </c>
      <c r="N32" s="133">
        <f>IF(SER_hh_fec_in!N32=0,0,11630*1000*SER_hh_fec_in!N32/SER_hh_num_in!N32)</f>
        <v>21822.931998592412</v>
      </c>
      <c r="O32" s="133">
        <f>IF(SER_hh_fec_in!O32=0,0,11630*1000*SER_hh_fec_in!O32/SER_hh_num_in!O32)</f>
        <v>21322.210539976797</v>
      </c>
      <c r="P32" s="133">
        <f>IF(SER_hh_fec_in!P32=0,0,11630*1000*SER_hh_fec_in!P32/SER_hh_num_in!P32)</f>
        <v>21649.807151311492</v>
      </c>
      <c r="Q32" s="133">
        <f>IF(SER_hh_fec_in!Q32=0,0,11630*1000*SER_hh_fec_in!Q32/SER_hh_num_in!Q32)</f>
        <v>22264.487239216993</v>
      </c>
      <c r="R32" s="133">
        <f>IF(SER_hh_fec_in!R32=0,0,11630*1000*SER_hh_fec_in!R32/SER_hh_num_in!R32)</f>
        <v>21783.93905593011</v>
      </c>
      <c r="S32" s="133">
        <f>IF(SER_hh_fec_in!S32=0,0,11630*1000*SER_hh_fec_in!S32/SER_hh_num_in!S32)</f>
        <v>21312.952581299236</v>
      </c>
      <c r="T32" s="133">
        <f>IF(SER_hh_fec_in!T32=0,0,11630*1000*SER_hh_fec_in!T32/SER_hh_num_in!T32)</f>
        <v>21176.391016471549</v>
      </c>
      <c r="U32" s="133">
        <f>IF(SER_hh_fec_in!U32=0,0,11630*1000*SER_hh_fec_in!U32/SER_hh_num_in!U32)</f>
        <v>21439.838364403258</v>
      </c>
      <c r="V32" s="133">
        <f>IF(SER_hh_fec_in!V32=0,0,11630*1000*SER_hh_fec_in!V32/SER_hh_num_in!V32)</f>
        <v>21194.330440233822</v>
      </c>
      <c r="W32" s="133">
        <f>IF(SER_hh_fec_in!W32=0,0,11630*1000*SER_hh_fec_in!W32/SER_hh_num_in!W32)</f>
        <v>20808.187834446613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15467.454362741915</v>
      </c>
      <c r="D33" s="68">
        <f>IF(SER_hh_fec_in!D33=0,0,11630*1000*SER_hh_fec_in!D33/SER_hh_num_in!D33)</f>
        <v>14086.479888515232</v>
      </c>
      <c r="E33" s="68">
        <f>IF(SER_hh_fec_in!E33=0,0,11630*1000*SER_hh_fec_in!E33/SER_hh_num_in!E33)</f>
        <v>14482.947221731605</v>
      </c>
      <c r="F33" s="68">
        <f>IF(SER_hh_fec_in!F33=0,0,11630*1000*SER_hh_fec_in!F33/SER_hh_num_in!F33)</f>
        <v>13006.461730105038</v>
      </c>
      <c r="G33" s="68">
        <f>IF(SER_hh_fec_in!G33=0,0,11630*1000*SER_hh_fec_in!G33/SER_hh_num_in!G33)</f>
        <v>15166.269193768776</v>
      </c>
      <c r="H33" s="68">
        <f>IF(SER_hh_fec_in!H33=0,0,11630*1000*SER_hh_fec_in!H33/SER_hh_num_in!H33)</f>
        <v>14615.69464787942</v>
      </c>
      <c r="I33" s="68">
        <f>IF(SER_hh_fec_in!I33=0,0,11630*1000*SER_hh_fec_in!I33/SER_hh_num_in!I33)</f>
        <v>15168.179376802911</v>
      </c>
      <c r="J33" s="68">
        <f>IF(SER_hh_fec_in!J33=0,0,11630*1000*SER_hh_fec_in!J33/SER_hh_num_in!J33)</f>
        <v>15865.216477935415</v>
      </c>
      <c r="K33" s="68">
        <f>IF(SER_hh_fec_in!K33=0,0,11630*1000*SER_hh_fec_in!K33/SER_hh_num_in!K33)</f>
        <v>15972.877921146921</v>
      </c>
      <c r="L33" s="68">
        <f>IF(SER_hh_fec_in!L33=0,0,11630*1000*SER_hh_fec_in!L33/SER_hh_num_in!L33)</f>
        <v>13729.930408220309</v>
      </c>
      <c r="M33" s="68">
        <f>IF(SER_hh_fec_in!M33=0,0,11630*1000*SER_hh_fec_in!M33/SER_hh_num_in!M33)</f>
        <v>14075.082473079521</v>
      </c>
      <c r="N33" s="68">
        <f>IF(SER_hh_fec_in!N33=0,0,11630*1000*SER_hh_fec_in!N33/SER_hh_num_in!N33)</f>
        <v>16557.605725373014</v>
      </c>
      <c r="O33" s="68">
        <f>IF(SER_hh_fec_in!O33=0,0,11630*1000*SER_hh_fec_in!O33/SER_hh_num_in!O33)</f>
        <v>15617.889708309589</v>
      </c>
      <c r="P33" s="68">
        <f>IF(SER_hh_fec_in!P33=0,0,11630*1000*SER_hh_fec_in!P33/SER_hh_num_in!P33)</f>
        <v>15323.381397566034</v>
      </c>
      <c r="Q33" s="68">
        <f>IF(SER_hh_fec_in!Q33=0,0,11630*1000*SER_hh_fec_in!Q33/SER_hh_num_in!Q33)</f>
        <v>15179.954226242067</v>
      </c>
      <c r="R33" s="68">
        <f>IF(SER_hh_fec_in!R33=0,0,11630*1000*SER_hh_fec_in!R33/SER_hh_num_in!R33)</f>
        <v>15214.703771397333</v>
      </c>
      <c r="S33" s="68">
        <f>IF(SER_hh_fec_in!S33=0,0,11630*1000*SER_hh_fec_in!S33/SER_hh_num_in!S33)</f>
        <v>14733.228143784199</v>
      </c>
      <c r="T33" s="68">
        <f>IF(SER_hh_fec_in!T33=0,0,11630*1000*SER_hh_fec_in!T33/SER_hh_num_in!T33)</f>
        <v>14550.68503146693</v>
      </c>
      <c r="U33" s="68">
        <f>IF(SER_hh_fec_in!U33=0,0,11630*1000*SER_hh_fec_in!U33/SER_hh_num_in!U33)</f>
        <v>14141.218041902877</v>
      </c>
      <c r="V33" s="68">
        <f>IF(SER_hh_fec_in!V33=0,0,11630*1000*SER_hh_fec_in!V33/SER_hh_num_in!V33)</f>
        <v>13620.351586046103</v>
      </c>
      <c r="W33" s="68">
        <f>IF(SER_hh_fec_in!W33=0,0,11630*1000*SER_hh_fec_in!W33/SER_hh_num_in!W33)</f>
        <v>14031.197838943739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142224.70423561049</v>
      </c>
      <c r="D3" s="126">
        <f>IF(SER_hh_tes_in!D3=0,0,11630*1000*SER_hh_tes_in!D3/SER_hh_num_in!D3)</f>
        <v>136469.73588479235</v>
      </c>
      <c r="E3" s="126">
        <f>IF(SER_hh_tes_in!E3=0,0,11630*1000*SER_hh_tes_in!E3/SER_hh_num_in!E3)</f>
        <v>150305.55609986614</v>
      </c>
      <c r="F3" s="126">
        <f>IF(SER_hh_tes_in!F3=0,0,11630*1000*SER_hh_tes_in!F3/SER_hh_num_in!F3)</f>
        <v>133553.57708217861</v>
      </c>
      <c r="G3" s="126">
        <f>IF(SER_hh_tes_in!G3=0,0,11630*1000*SER_hh_tes_in!G3/SER_hh_num_in!G3)</f>
        <v>144423.1367962503</v>
      </c>
      <c r="H3" s="126">
        <f>IF(SER_hh_tes_in!H3=0,0,11630*1000*SER_hh_tes_in!H3/SER_hh_num_in!H3)</f>
        <v>140997.81107693372</v>
      </c>
      <c r="I3" s="126">
        <f>IF(SER_hh_tes_in!I3=0,0,11630*1000*SER_hh_tes_in!I3/SER_hh_num_in!I3)</f>
        <v>122978.70395276193</v>
      </c>
      <c r="J3" s="126">
        <f>IF(SER_hh_tes_in!J3=0,0,11630*1000*SER_hh_tes_in!J3/SER_hh_num_in!J3)</f>
        <v>128454.63007628186</v>
      </c>
      <c r="K3" s="126">
        <f>IF(SER_hh_tes_in!K3=0,0,11630*1000*SER_hh_tes_in!K3/SER_hh_num_in!K3)</f>
        <v>119448.67758429152</v>
      </c>
      <c r="L3" s="126">
        <f>IF(SER_hh_tes_in!L3=0,0,11630*1000*SER_hh_tes_in!L3/SER_hh_num_in!L3)</f>
        <v>122027.20497224209</v>
      </c>
      <c r="M3" s="126">
        <f>IF(SER_hh_tes_in!M3=0,0,11630*1000*SER_hh_tes_in!M3/SER_hh_num_in!M3)</f>
        <v>115321.64057940217</v>
      </c>
      <c r="N3" s="126">
        <f>IF(SER_hh_tes_in!N3=0,0,11630*1000*SER_hh_tes_in!N3/SER_hh_num_in!N3)</f>
        <v>117504.52486990762</v>
      </c>
      <c r="O3" s="126">
        <f>IF(SER_hh_tes_in!O3=0,0,11630*1000*SER_hh_tes_in!O3/SER_hh_num_in!O3)</f>
        <v>112616.58131134982</v>
      </c>
      <c r="P3" s="126">
        <f>IF(SER_hh_tes_in!P3=0,0,11630*1000*SER_hh_tes_in!P3/SER_hh_num_in!P3)</f>
        <v>106975.83298278734</v>
      </c>
      <c r="Q3" s="126">
        <f>IF(SER_hh_tes_in!Q3=0,0,11630*1000*SER_hh_tes_in!Q3/SER_hh_num_in!Q3)</f>
        <v>103914.01421835684</v>
      </c>
      <c r="R3" s="126">
        <f>IF(SER_hh_tes_in!R3=0,0,11630*1000*SER_hh_tes_in!R3/SER_hh_num_in!R3)</f>
        <v>98795.525346763097</v>
      </c>
      <c r="S3" s="126">
        <f>IF(SER_hh_tes_in!S3=0,0,11630*1000*SER_hh_tes_in!S3/SER_hh_num_in!S3)</f>
        <v>110342.59625575441</v>
      </c>
      <c r="T3" s="126">
        <f>IF(SER_hh_tes_in!T3=0,0,11630*1000*SER_hh_tes_in!T3/SER_hh_num_in!T3)</f>
        <v>104425.01011714869</v>
      </c>
      <c r="U3" s="126">
        <f>IF(SER_hh_tes_in!U3=0,0,11630*1000*SER_hh_tes_in!U3/SER_hh_num_in!U3)</f>
        <v>103946.82235336051</v>
      </c>
      <c r="V3" s="126">
        <f>IF(SER_hh_tes_in!V3=0,0,11630*1000*SER_hh_tes_in!V3/SER_hh_num_in!V3)</f>
        <v>92513.900050227618</v>
      </c>
      <c r="W3" s="126">
        <f>IF(SER_hh_tes_in!W3=0,0,11630*1000*SER_hh_tes_in!W3/SER_hh_num_in!W3)</f>
        <v>95117.687306429842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97497.38164334817</v>
      </c>
      <c r="D4" s="131">
        <f>IF(SER_hh_tes_in!D4=0,0,11630*1000*SER_hh_tes_in!D4/SER_hh_num_in!D4)</f>
        <v>90227.700847750151</v>
      </c>
      <c r="E4" s="131">
        <f>IF(SER_hh_tes_in!E4=0,0,11630*1000*SER_hh_tes_in!E4/SER_hh_num_in!E4)</f>
        <v>101526.79243744427</v>
      </c>
      <c r="F4" s="131">
        <f>IF(SER_hh_tes_in!F4=0,0,11630*1000*SER_hh_tes_in!F4/SER_hh_num_in!F4)</f>
        <v>88255.81151864522</v>
      </c>
      <c r="G4" s="131">
        <f>IF(SER_hh_tes_in!G4=0,0,11630*1000*SER_hh_tes_in!G4/SER_hh_num_in!G4)</f>
        <v>98447.782025449385</v>
      </c>
      <c r="H4" s="131">
        <f>IF(SER_hh_tes_in!H4=0,0,11630*1000*SER_hh_tes_in!H4/SER_hh_num_in!H4)</f>
        <v>94619.620370075892</v>
      </c>
      <c r="I4" s="131">
        <f>IF(SER_hh_tes_in!I4=0,0,11630*1000*SER_hh_tes_in!I4/SER_hh_num_in!I4)</f>
        <v>75944.748228399083</v>
      </c>
      <c r="J4" s="131">
        <f>IF(SER_hh_tes_in!J4=0,0,11630*1000*SER_hh_tes_in!J4/SER_hh_num_in!J4)</f>
        <v>81358.608931773066</v>
      </c>
      <c r="K4" s="131">
        <f>IF(SER_hh_tes_in!K4=0,0,11630*1000*SER_hh_tes_in!K4/SER_hh_num_in!K4)</f>
        <v>72755.148523962998</v>
      </c>
      <c r="L4" s="131">
        <f>IF(SER_hh_tes_in!L4=0,0,11630*1000*SER_hh_tes_in!L4/SER_hh_num_in!L4)</f>
        <v>72915.531451332397</v>
      </c>
      <c r="M4" s="131">
        <f>IF(SER_hh_tes_in!M4=0,0,11630*1000*SER_hh_tes_in!M4/SER_hh_num_in!M4)</f>
        <v>66160.360482771546</v>
      </c>
      <c r="N4" s="131">
        <f>IF(SER_hh_tes_in!N4=0,0,11630*1000*SER_hh_tes_in!N4/SER_hh_num_in!N4)</f>
        <v>67337.550769159774</v>
      </c>
      <c r="O4" s="131">
        <f>IF(SER_hh_tes_in!O4=0,0,11630*1000*SER_hh_tes_in!O4/SER_hh_num_in!O4)</f>
        <v>64966.172772425038</v>
      </c>
      <c r="P4" s="131">
        <f>IF(SER_hh_tes_in!P4=0,0,11630*1000*SER_hh_tes_in!P4/SER_hh_num_in!P4)</f>
        <v>57719.604234104765</v>
      </c>
      <c r="Q4" s="131">
        <f>IF(SER_hh_tes_in!Q4=0,0,11630*1000*SER_hh_tes_in!Q4/SER_hh_num_in!Q4)</f>
        <v>55962.144165571408</v>
      </c>
      <c r="R4" s="131">
        <f>IF(SER_hh_tes_in!R4=0,0,11630*1000*SER_hh_tes_in!R4/SER_hh_num_in!R4)</f>
        <v>53685.955733528659</v>
      </c>
      <c r="S4" s="131">
        <f>IF(SER_hh_tes_in!S4=0,0,11630*1000*SER_hh_tes_in!S4/SER_hh_num_in!S4)</f>
        <v>60175.310777945211</v>
      </c>
      <c r="T4" s="131">
        <f>IF(SER_hh_tes_in!T4=0,0,11630*1000*SER_hh_tes_in!T4/SER_hh_num_in!T4)</f>
        <v>55468.50252906778</v>
      </c>
      <c r="U4" s="131">
        <f>IF(SER_hh_tes_in!U4=0,0,11630*1000*SER_hh_tes_in!U4/SER_hh_num_in!U4)</f>
        <v>55231.948911562991</v>
      </c>
      <c r="V4" s="131">
        <f>IF(SER_hh_tes_in!V4=0,0,11630*1000*SER_hh_tes_in!V4/SER_hh_num_in!V4)</f>
        <v>47150.437965513083</v>
      </c>
      <c r="W4" s="131">
        <f>IF(SER_hh_tes_in!W4=0,0,11630*1000*SER_hh_tes_in!W4/SER_hh_num_in!W4)</f>
        <v>51384.703177321768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32268.697120969129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94971.194816538933</v>
      </c>
      <c r="D7" s="133">
        <f>IF(SER_hh_tes_in!D7=0,0,11630*1000*SER_hh_tes_in!D7/SER_hh_num_in!D7)</f>
        <v>90914.634815230063</v>
      </c>
      <c r="E7" s="133">
        <f>IF(SER_hh_tes_in!E7=0,0,11630*1000*SER_hh_tes_in!E7/SER_hh_num_in!E7)</f>
        <v>109659.40625264696</v>
      </c>
      <c r="F7" s="133">
        <f>IF(SER_hh_tes_in!F7=0,0,11630*1000*SER_hh_tes_in!F7/SER_hh_num_in!F7)</f>
        <v>77241.791073525717</v>
      </c>
      <c r="G7" s="133">
        <f>IF(SER_hh_tes_in!G7=0,0,11630*1000*SER_hh_tes_in!G7/SER_hh_num_in!G7)</f>
        <v>98238.542780636766</v>
      </c>
      <c r="H7" s="133">
        <f>IF(SER_hh_tes_in!H7=0,0,11630*1000*SER_hh_tes_in!H7/SER_hh_num_in!H7)</f>
        <v>99165.956001798942</v>
      </c>
      <c r="I7" s="133">
        <f>IF(SER_hh_tes_in!I7=0,0,11630*1000*SER_hh_tes_in!I7/SER_hh_num_in!I7)</f>
        <v>70202.234632772801</v>
      </c>
      <c r="J7" s="133">
        <f>IF(SER_hh_tes_in!J7=0,0,11630*1000*SER_hh_tes_in!J7/SER_hh_num_in!J7)</f>
        <v>0</v>
      </c>
      <c r="K7" s="133">
        <f>IF(SER_hh_tes_in!K7=0,0,11630*1000*SER_hh_tes_in!K7/SER_hh_num_in!K7)</f>
        <v>0</v>
      </c>
      <c r="L7" s="133">
        <f>IF(SER_hh_tes_in!L7=0,0,11630*1000*SER_hh_tes_in!L7/SER_hh_num_in!L7)</f>
        <v>0</v>
      </c>
      <c r="M7" s="133">
        <f>IF(SER_hh_tes_in!M7=0,0,11630*1000*SER_hh_tes_in!M7/SER_hh_num_in!M7)</f>
        <v>0</v>
      </c>
      <c r="N7" s="133">
        <f>IF(SER_hh_tes_in!N7=0,0,11630*1000*SER_hh_tes_in!N7/SER_hh_num_in!N7)</f>
        <v>0</v>
      </c>
      <c r="O7" s="133">
        <f>IF(SER_hh_tes_in!O7=0,0,11630*1000*SER_hh_tes_in!O7/SER_hh_num_in!O7)</f>
        <v>57995.789218183781</v>
      </c>
      <c r="P7" s="133">
        <f>IF(SER_hh_tes_in!P7=0,0,11630*1000*SER_hh_tes_in!P7/SER_hh_num_in!P7)</f>
        <v>58293.012952148165</v>
      </c>
      <c r="Q7" s="133">
        <f>IF(SER_hh_tes_in!Q7=0,0,11630*1000*SER_hh_tes_in!Q7/SER_hh_num_in!Q7)</f>
        <v>56483.204836296725</v>
      </c>
      <c r="R7" s="133">
        <f>IF(SER_hh_tes_in!R7=0,0,11630*1000*SER_hh_tes_in!R7/SER_hh_num_in!R7)</f>
        <v>48767.867985029734</v>
      </c>
      <c r="S7" s="133">
        <f>IF(SER_hh_tes_in!S7=0,0,11630*1000*SER_hh_tes_in!S7/SER_hh_num_in!S7)</f>
        <v>65718.334239854681</v>
      </c>
      <c r="T7" s="133">
        <f>IF(SER_hh_tes_in!T7=0,0,11630*1000*SER_hh_tes_in!T7/SER_hh_num_in!T7)</f>
        <v>55521.305607961243</v>
      </c>
      <c r="U7" s="133">
        <f>IF(SER_hh_tes_in!U7=0,0,11630*1000*SER_hh_tes_in!U7/SER_hh_num_in!U7)</f>
        <v>50774.018701672394</v>
      </c>
      <c r="V7" s="133">
        <f>IF(SER_hh_tes_in!V7=0,0,11630*1000*SER_hh_tes_in!V7/SER_hh_num_in!V7)</f>
        <v>48430.55874077155</v>
      </c>
      <c r="W7" s="133">
        <f>IF(SER_hh_tes_in!W7=0,0,11630*1000*SER_hh_tes_in!W7/SER_hh_num_in!W7)</f>
        <v>59836.397976212589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94796.005776947335</v>
      </c>
      <c r="D8" s="133">
        <f>IF(SER_hh_tes_in!D8=0,0,11630*1000*SER_hh_tes_in!D8/SER_hh_num_in!D8)</f>
        <v>88206.669656796352</v>
      </c>
      <c r="E8" s="133">
        <f>IF(SER_hh_tes_in!E8=0,0,11630*1000*SER_hh_tes_in!E8/SER_hh_num_in!E8)</f>
        <v>101265.83181285502</v>
      </c>
      <c r="F8" s="133">
        <f>IF(SER_hh_tes_in!F8=0,0,11630*1000*SER_hh_tes_in!F8/SER_hh_num_in!F8)</f>
        <v>100183.53065701743</v>
      </c>
      <c r="G8" s="133">
        <f>IF(SER_hh_tes_in!G8=0,0,11630*1000*SER_hh_tes_in!G8/SER_hh_num_in!G8)</f>
        <v>91901.785368718556</v>
      </c>
      <c r="H8" s="133">
        <f>IF(SER_hh_tes_in!H8=0,0,11630*1000*SER_hh_tes_in!H8/SER_hh_num_in!H8)</f>
        <v>96236.696249778412</v>
      </c>
      <c r="I8" s="133">
        <f>IF(SER_hh_tes_in!I8=0,0,11630*1000*SER_hh_tes_in!I8/SER_hh_num_in!I8)</f>
        <v>76231.415148825748</v>
      </c>
      <c r="J8" s="133">
        <f>IF(SER_hh_tes_in!J8=0,0,11630*1000*SER_hh_tes_in!J8/SER_hh_num_in!J8)</f>
        <v>86330.921840100273</v>
      </c>
      <c r="K8" s="133">
        <f>IF(SER_hh_tes_in!K8=0,0,11630*1000*SER_hh_tes_in!K8/SER_hh_num_in!K8)</f>
        <v>71708.57829688747</v>
      </c>
      <c r="L8" s="133">
        <f>IF(SER_hh_tes_in!L8=0,0,11630*1000*SER_hh_tes_in!L8/SER_hh_num_in!L8)</f>
        <v>70454.981872442135</v>
      </c>
      <c r="M8" s="133">
        <f>IF(SER_hh_tes_in!M8=0,0,11630*1000*SER_hh_tes_in!M8/SER_hh_num_in!M8)</f>
        <v>66836.645338724862</v>
      </c>
      <c r="N8" s="133">
        <f>IF(SER_hh_tes_in!N8=0,0,11630*1000*SER_hh_tes_in!N8/SER_hh_num_in!N8)</f>
        <v>65159.262513625974</v>
      </c>
      <c r="O8" s="133">
        <f>IF(SER_hh_tes_in!O8=0,0,11630*1000*SER_hh_tes_in!O8/SER_hh_num_in!O8)</f>
        <v>60365.233654231357</v>
      </c>
      <c r="P8" s="133">
        <f>IF(SER_hh_tes_in!P8=0,0,11630*1000*SER_hh_tes_in!P8/SER_hh_num_in!P8)</f>
        <v>55788.024651764201</v>
      </c>
      <c r="Q8" s="133">
        <f>IF(SER_hh_tes_in!Q8=0,0,11630*1000*SER_hh_tes_in!Q8/SER_hh_num_in!Q8)</f>
        <v>54766.165864590293</v>
      </c>
      <c r="R8" s="133">
        <f>IF(SER_hh_tes_in!R8=0,0,11630*1000*SER_hh_tes_in!R8/SER_hh_num_in!R8)</f>
        <v>54513.173724447443</v>
      </c>
      <c r="S8" s="133">
        <f>IF(SER_hh_tes_in!S8=0,0,11630*1000*SER_hh_tes_in!S8/SER_hh_num_in!S8)</f>
        <v>59606.135029012839</v>
      </c>
      <c r="T8" s="133">
        <f>IF(SER_hh_tes_in!T8=0,0,11630*1000*SER_hh_tes_in!T8/SER_hh_num_in!T8)</f>
        <v>55451.531484595987</v>
      </c>
      <c r="U8" s="133">
        <f>IF(SER_hh_tes_in!U8=0,0,11630*1000*SER_hh_tes_in!U8/SER_hh_num_in!U8)</f>
        <v>56861.540640958134</v>
      </c>
      <c r="V8" s="133">
        <f>IF(SER_hh_tes_in!V8=0,0,11630*1000*SER_hh_tes_in!V8/SER_hh_num_in!V8)</f>
        <v>47909.53210000656</v>
      </c>
      <c r="W8" s="133">
        <f>IF(SER_hh_tes_in!W8=0,0,11630*1000*SER_hh_tes_in!W8/SER_hh_num_in!W8)</f>
        <v>51568.979320245031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99370.124913928477</v>
      </c>
      <c r="D9" s="133">
        <f>IF(SER_hh_tes_in!D9=0,0,11630*1000*SER_hh_tes_in!D9/SER_hh_num_in!D9)</f>
        <v>86272.792284932919</v>
      </c>
      <c r="E9" s="133">
        <f>IF(SER_hh_tes_in!E9=0,0,11630*1000*SER_hh_tes_in!E9/SER_hh_num_in!E9)</f>
        <v>99921.692665878392</v>
      </c>
      <c r="F9" s="133">
        <f>IF(SER_hh_tes_in!F9=0,0,11630*1000*SER_hh_tes_in!F9/SER_hh_num_in!F9)</f>
        <v>0</v>
      </c>
      <c r="G9" s="133">
        <f>IF(SER_hh_tes_in!G9=0,0,11630*1000*SER_hh_tes_in!G9/SER_hh_num_in!G9)</f>
        <v>0</v>
      </c>
      <c r="H9" s="133">
        <f>IF(SER_hh_tes_in!H9=0,0,11630*1000*SER_hh_tes_in!H9/SER_hh_num_in!H9)</f>
        <v>0</v>
      </c>
      <c r="I9" s="133">
        <f>IF(SER_hh_tes_in!I9=0,0,11630*1000*SER_hh_tes_in!I9/SER_hh_num_in!I9)</f>
        <v>0</v>
      </c>
      <c r="J9" s="133">
        <f>IF(SER_hh_tes_in!J9=0,0,11630*1000*SER_hh_tes_in!J9/SER_hh_num_in!J9)</f>
        <v>0</v>
      </c>
      <c r="K9" s="133">
        <f>IF(SER_hh_tes_in!K9=0,0,11630*1000*SER_hh_tes_in!K9/SER_hh_num_in!K9)</f>
        <v>64423.777796193041</v>
      </c>
      <c r="L9" s="133">
        <f>IF(SER_hh_tes_in!L9=0,0,11630*1000*SER_hh_tes_in!L9/SER_hh_num_in!L9)</f>
        <v>70807.478783878294</v>
      </c>
      <c r="M9" s="133">
        <f>IF(SER_hh_tes_in!M9=0,0,11630*1000*SER_hh_tes_in!M9/SER_hh_num_in!M9)</f>
        <v>58533.31116641593</v>
      </c>
      <c r="N9" s="133">
        <f>IF(SER_hh_tes_in!N9=0,0,11630*1000*SER_hh_tes_in!N9/SER_hh_num_in!N9)</f>
        <v>68108.993096969367</v>
      </c>
      <c r="O9" s="133">
        <f>IF(SER_hh_tes_in!O9=0,0,11630*1000*SER_hh_tes_in!O9/SER_hh_num_in!O9)</f>
        <v>68203.658392665369</v>
      </c>
      <c r="P9" s="133">
        <f>IF(SER_hh_tes_in!P9=0,0,11630*1000*SER_hh_tes_in!P9/SER_hh_num_in!P9)</f>
        <v>50139.497955067214</v>
      </c>
      <c r="Q9" s="133">
        <f>IF(SER_hh_tes_in!Q9=0,0,11630*1000*SER_hh_tes_in!Q9/SER_hh_num_in!Q9)</f>
        <v>56942.043885420906</v>
      </c>
      <c r="R9" s="133">
        <f>IF(SER_hh_tes_in!R9=0,0,11630*1000*SER_hh_tes_in!R9/SER_hh_num_in!R9)</f>
        <v>50764.657020243882</v>
      </c>
      <c r="S9" s="133">
        <f>IF(SER_hh_tes_in!S9=0,0,11630*1000*SER_hh_tes_in!S9/SER_hh_num_in!S9)</f>
        <v>56259.983749712679</v>
      </c>
      <c r="T9" s="133">
        <f>IF(SER_hh_tes_in!T9=0,0,11630*1000*SER_hh_tes_in!T9/SER_hh_num_in!T9)</f>
        <v>51587.522684436066</v>
      </c>
      <c r="U9" s="133">
        <f>IF(SER_hh_tes_in!U9=0,0,11630*1000*SER_hh_tes_in!U9/SER_hh_num_in!U9)</f>
        <v>54483.767011226424</v>
      </c>
      <c r="V9" s="133">
        <f>IF(SER_hh_tes_in!V9=0,0,11630*1000*SER_hh_tes_in!V9/SER_hh_num_in!V9)</f>
        <v>0</v>
      </c>
      <c r="W9" s="133">
        <f>IF(SER_hh_tes_in!W9=0,0,11630*1000*SER_hh_tes_in!W9/SER_hh_num_in!W9)</f>
        <v>58812.63545099445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90019.066053371891</v>
      </c>
      <c r="D10" s="133">
        <f>IF(SER_hh_tes_in!D10=0,0,11630*1000*SER_hh_tes_in!D10/SER_hh_num_in!D10)</f>
        <v>87248.544083635701</v>
      </c>
      <c r="E10" s="133">
        <f>IF(SER_hh_tes_in!E10=0,0,11630*1000*SER_hh_tes_in!E10/SER_hh_num_in!E10)</f>
        <v>101110.14485643733</v>
      </c>
      <c r="F10" s="133">
        <f>IF(SER_hh_tes_in!F10=0,0,11630*1000*SER_hh_tes_in!F10/SER_hh_num_in!F10)</f>
        <v>106507.91640930391</v>
      </c>
      <c r="G10" s="133">
        <f>IF(SER_hh_tes_in!G10=0,0,11630*1000*SER_hh_tes_in!G10/SER_hh_num_in!G10)</f>
        <v>85600.707642345267</v>
      </c>
      <c r="H10" s="133">
        <f>IF(SER_hh_tes_in!H10=0,0,11630*1000*SER_hh_tes_in!H10/SER_hh_num_in!H10)</f>
        <v>92390.248307261048</v>
      </c>
      <c r="I10" s="133">
        <f>IF(SER_hh_tes_in!I10=0,0,11630*1000*SER_hh_tes_in!I10/SER_hh_num_in!I10)</f>
        <v>85018.572660425023</v>
      </c>
      <c r="J10" s="133">
        <f>IF(SER_hh_tes_in!J10=0,0,11630*1000*SER_hh_tes_in!J10/SER_hh_num_in!J10)</f>
        <v>70709.524541690698</v>
      </c>
      <c r="K10" s="133">
        <f>IF(SER_hh_tes_in!K10=0,0,11630*1000*SER_hh_tes_in!K10/SER_hh_num_in!K10)</f>
        <v>67511.979883536536</v>
      </c>
      <c r="L10" s="133">
        <f>IF(SER_hh_tes_in!L10=0,0,11630*1000*SER_hh_tes_in!L10/SER_hh_num_in!L10)</f>
        <v>83616.838748009861</v>
      </c>
      <c r="M10" s="133">
        <f>IF(SER_hh_tes_in!M10=0,0,11630*1000*SER_hh_tes_in!M10/SER_hh_num_in!M10)</f>
        <v>69404.9304512862</v>
      </c>
      <c r="N10" s="133">
        <f>IF(SER_hh_tes_in!N10=0,0,11630*1000*SER_hh_tes_in!N10/SER_hh_num_in!N10)</f>
        <v>0</v>
      </c>
      <c r="O10" s="133">
        <f>IF(SER_hh_tes_in!O10=0,0,11630*1000*SER_hh_tes_in!O10/SER_hh_num_in!O10)</f>
        <v>66045.527309781304</v>
      </c>
      <c r="P10" s="133">
        <f>IF(SER_hh_tes_in!P10=0,0,11630*1000*SER_hh_tes_in!P10/SER_hh_num_in!P10)</f>
        <v>51512.708794103724</v>
      </c>
      <c r="Q10" s="133">
        <f>IF(SER_hh_tes_in!Q10=0,0,11630*1000*SER_hh_tes_in!Q10/SER_hh_num_in!Q10)</f>
        <v>62559.284882405431</v>
      </c>
      <c r="R10" s="133">
        <f>IF(SER_hh_tes_in!R10=0,0,11630*1000*SER_hh_tes_in!R10/SER_hh_num_in!R10)</f>
        <v>41356.738531581541</v>
      </c>
      <c r="S10" s="133">
        <f>IF(SER_hh_tes_in!S10=0,0,11630*1000*SER_hh_tes_in!S10/SER_hh_num_in!S10)</f>
        <v>62790.017690175533</v>
      </c>
      <c r="T10" s="133">
        <f>IF(SER_hh_tes_in!T10=0,0,11630*1000*SER_hh_tes_in!T10/SER_hh_num_in!T10)</f>
        <v>56619.628292286798</v>
      </c>
      <c r="U10" s="133">
        <f>IF(SER_hh_tes_in!U10=0,0,11630*1000*SER_hh_tes_in!U10/SER_hh_num_in!U10)</f>
        <v>55715.418959756113</v>
      </c>
      <c r="V10" s="133">
        <f>IF(SER_hh_tes_in!V10=0,0,11630*1000*SER_hh_tes_in!V10/SER_hh_num_in!V10)</f>
        <v>48653.180840627821</v>
      </c>
      <c r="W10" s="133">
        <f>IF(SER_hh_tes_in!W10=0,0,11630*1000*SER_hh_tes_in!W10/SER_hh_num_in!W10)</f>
        <v>52291.136924400584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75347.154135540783</v>
      </c>
      <c r="D11" s="133">
        <f>IF(SER_hh_tes_in!D11=0,0,11630*1000*SER_hh_tes_in!D11/SER_hh_num_in!D11)</f>
        <v>112628.06771306081</v>
      </c>
      <c r="E11" s="133">
        <f>IF(SER_hh_tes_in!E11=0,0,11630*1000*SER_hh_tes_in!E11/SER_hh_num_in!E11)</f>
        <v>91807.895725329217</v>
      </c>
      <c r="F11" s="133">
        <f>IF(SER_hh_tes_in!F11=0,0,11630*1000*SER_hh_tes_in!F11/SER_hh_num_in!F11)</f>
        <v>90409.521001156158</v>
      </c>
      <c r="G11" s="133">
        <f>IF(SER_hh_tes_in!G11=0,0,11630*1000*SER_hh_tes_in!G11/SER_hh_num_in!G11)</f>
        <v>97629.666190188087</v>
      </c>
      <c r="H11" s="133">
        <f>IF(SER_hh_tes_in!H11=0,0,11630*1000*SER_hh_tes_in!H11/SER_hh_num_in!H11)</f>
        <v>91325.319349288213</v>
      </c>
      <c r="I11" s="133">
        <f>IF(SER_hh_tes_in!I11=0,0,11630*1000*SER_hh_tes_in!I11/SER_hh_num_in!I11)</f>
        <v>76250.807724104889</v>
      </c>
      <c r="J11" s="133">
        <f>IF(SER_hh_tes_in!J11=0,0,11630*1000*SER_hh_tes_in!J11/SER_hh_num_in!J11)</f>
        <v>75915.682744500853</v>
      </c>
      <c r="K11" s="133">
        <f>IF(SER_hh_tes_in!K11=0,0,11630*1000*SER_hh_tes_in!K11/SER_hh_num_in!K11)</f>
        <v>73495.981084809784</v>
      </c>
      <c r="L11" s="133">
        <f>IF(SER_hh_tes_in!L11=0,0,11630*1000*SER_hh_tes_in!L11/SER_hh_num_in!L11)</f>
        <v>75259.016452033553</v>
      </c>
      <c r="M11" s="133">
        <f>IF(SER_hh_tes_in!M11=0,0,11630*1000*SER_hh_tes_in!M11/SER_hh_num_in!M11)</f>
        <v>61370.294779427517</v>
      </c>
      <c r="N11" s="133">
        <f>IF(SER_hh_tes_in!N11=0,0,11630*1000*SER_hh_tes_in!N11/SER_hh_num_in!N11)</f>
        <v>70874.776860757222</v>
      </c>
      <c r="O11" s="133">
        <f>IF(SER_hh_tes_in!O11=0,0,11630*1000*SER_hh_tes_in!O11/SER_hh_num_in!O11)</f>
        <v>66035.32764916867</v>
      </c>
      <c r="P11" s="133">
        <f>IF(SER_hh_tes_in!P11=0,0,11630*1000*SER_hh_tes_in!P11/SER_hh_num_in!P11)</f>
        <v>52545.711768789217</v>
      </c>
      <c r="Q11" s="133">
        <f>IF(SER_hh_tes_in!Q11=0,0,11630*1000*SER_hh_tes_in!Q11/SER_hh_num_in!Q11)</f>
        <v>53833.212330732051</v>
      </c>
      <c r="R11" s="133">
        <f>IF(SER_hh_tes_in!R11=0,0,11630*1000*SER_hh_tes_in!R11/SER_hh_num_in!R11)</f>
        <v>47040.915418280936</v>
      </c>
      <c r="S11" s="133">
        <f>IF(SER_hh_tes_in!S11=0,0,11630*1000*SER_hh_tes_in!S11/SER_hh_num_in!S11)</f>
        <v>67058.972861964518</v>
      </c>
      <c r="T11" s="133">
        <f>IF(SER_hh_tes_in!T11=0,0,11630*1000*SER_hh_tes_in!T11/SER_hh_num_in!T11)</f>
        <v>55986.206545781431</v>
      </c>
      <c r="U11" s="133">
        <f>IF(SER_hh_tes_in!U11=0,0,11630*1000*SER_hh_tes_in!U11/SER_hh_num_in!U11)</f>
        <v>53598.508611382262</v>
      </c>
      <c r="V11" s="133">
        <f>IF(SER_hh_tes_in!V11=0,0,11630*1000*SER_hh_tes_in!V11/SER_hh_num_in!V11)</f>
        <v>52707.116791181747</v>
      </c>
      <c r="W11" s="133">
        <f>IF(SER_hh_tes_in!W11=0,0,11630*1000*SER_hh_tes_in!W11/SER_hh_num_in!W11)</f>
        <v>44049.960357995398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89097.263742326031</v>
      </c>
      <c r="D12" s="133">
        <f>IF(SER_hh_tes_in!D12=0,0,11630*1000*SER_hh_tes_in!D12/SER_hh_num_in!D12)</f>
        <v>91503.033438862607</v>
      </c>
      <c r="E12" s="133">
        <f>IF(SER_hh_tes_in!E12=0,0,11630*1000*SER_hh_tes_in!E12/SER_hh_num_in!E12)</f>
        <v>95568.571358806745</v>
      </c>
      <c r="F12" s="133">
        <f>IF(SER_hh_tes_in!F12=0,0,11630*1000*SER_hh_tes_in!F12/SER_hh_num_in!F12)</f>
        <v>92021.322142138641</v>
      </c>
      <c r="G12" s="133">
        <f>IF(SER_hh_tes_in!G12=0,0,11630*1000*SER_hh_tes_in!G12/SER_hh_num_in!G12)</f>
        <v>97547.364596634739</v>
      </c>
      <c r="H12" s="133">
        <f>IF(SER_hh_tes_in!H12=0,0,11630*1000*SER_hh_tes_in!H12/SER_hh_num_in!H12)</f>
        <v>93978.582393404839</v>
      </c>
      <c r="I12" s="133">
        <f>IF(SER_hh_tes_in!I12=0,0,11630*1000*SER_hh_tes_in!I12/SER_hh_num_in!I12)</f>
        <v>74287.744434165477</v>
      </c>
      <c r="J12" s="133">
        <f>IF(SER_hh_tes_in!J12=0,0,11630*1000*SER_hh_tes_in!J12/SER_hh_num_in!J12)</f>
        <v>77830.656017226749</v>
      </c>
      <c r="K12" s="133">
        <f>IF(SER_hh_tes_in!K12=0,0,11630*1000*SER_hh_tes_in!K12/SER_hh_num_in!K12)</f>
        <v>74588.094866199914</v>
      </c>
      <c r="L12" s="133">
        <f>IF(SER_hh_tes_in!L12=0,0,11630*1000*SER_hh_tes_in!L12/SER_hh_num_in!L12)</f>
        <v>73084.242945321181</v>
      </c>
      <c r="M12" s="133">
        <f>IF(SER_hh_tes_in!M12=0,0,11630*1000*SER_hh_tes_in!M12/SER_hh_num_in!M12)</f>
        <v>67890.93233992465</v>
      </c>
      <c r="N12" s="133">
        <f>IF(SER_hh_tes_in!N12=0,0,11630*1000*SER_hh_tes_in!N12/SER_hh_num_in!N12)</f>
        <v>67086.190440625942</v>
      </c>
      <c r="O12" s="133">
        <f>IF(SER_hh_tes_in!O12=0,0,11630*1000*SER_hh_tes_in!O12/SER_hh_num_in!O12)</f>
        <v>63921.624294476278</v>
      </c>
      <c r="P12" s="133">
        <f>IF(SER_hh_tes_in!P12=0,0,11630*1000*SER_hh_tes_in!P12/SER_hh_num_in!P12)</f>
        <v>54758.901598904966</v>
      </c>
      <c r="Q12" s="133">
        <f>IF(SER_hh_tes_in!Q12=0,0,11630*1000*SER_hh_tes_in!Q12/SER_hh_num_in!Q12)</f>
        <v>55265.23606744509</v>
      </c>
      <c r="R12" s="133">
        <f>IF(SER_hh_tes_in!R12=0,0,11630*1000*SER_hh_tes_in!R12/SER_hh_num_in!R12)</f>
        <v>57015.287774267483</v>
      </c>
      <c r="S12" s="133">
        <f>IF(SER_hh_tes_in!S12=0,0,11630*1000*SER_hh_tes_in!S12/SER_hh_num_in!S12)</f>
        <v>58462.935147901917</v>
      </c>
      <c r="T12" s="133">
        <f>IF(SER_hh_tes_in!T12=0,0,11630*1000*SER_hh_tes_in!T12/SER_hh_num_in!T12)</f>
        <v>52788.482899257848</v>
      </c>
      <c r="U12" s="133">
        <f>IF(SER_hh_tes_in!U12=0,0,11630*1000*SER_hh_tes_in!U12/SER_hh_num_in!U12)</f>
        <v>53769.631139394449</v>
      </c>
      <c r="V12" s="133">
        <f>IF(SER_hh_tes_in!V12=0,0,11630*1000*SER_hh_tes_in!V12/SER_hh_num_in!V12)</f>
        <v>47655.054947251461</v>
      </c>
      <c r="W12" s="133">
        <f>IF(SER_hh_tes_in!W12=0,0,11630*1000*SER_hh_tes_in!W12/SER_hh_num_in!W12)</f>
        <v>53383.469347485436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83708.769724228885</v>
      </c>
      <c r="D13" s="133">
        <f>IF(SER_hh_tes_in!D13=0,0,11630*1000*SER_hh_tes_in!D13/SER_hh_num_in!D13)</f>
        <v>87029.64081230681</v>
      </c>
      <c r="E13" s="133">
        <f>IF(SER_hh_tes_in!E13=0,0,11630*1000*SER_hh_tes_in!E13/SER_hh_num_in!E13)</f>
        <v>93528.393931659302</v>
      </c>
      <c r="F13" s="133">
        <f>IF(SER_hh_tes_in!F13=0,0,11630*1000*SER_hh_tes_in!F13/SER_hh_num_in!F13)</f>
        <v>94713.481374572322</v>
      </c>
      <c r="G13" s="133">
        <f>IF(SER_hh_tes_in!G13=0,0,11630*1000*SER_hh_tes_in!G13/SER_hh_num_in!G13)</f>
        <v>94371.504025868533</v>
      </c>
      <c r="H13" s="133">
        <f>IF(SER_hh_tes_in!H13=0,0,11630*1000*SER_hh_tes_in!H13/SER_hh_num_in!H13)</f>
        <v>92006.370030628095</v>
      </c>
      <c r="I13" s="133">
        <f>IF(SER_hh_tes_in!I13=0,0,11630*1000*SER_hh_tes_in!I13/SER_hh_num_in!I13)</f>
        <v>77992.000643617968</v>
      </c>
      <c r="J13" s="133">
        <f>IF(SER_hh_tes_in!J13=0,0,11630*1000*SER_hh_tes_in!J13/SER_hh_num_in!J13)</f>
        <v>89092.488960317147</v>
      </c>
      <c r="K13" s="133">
        <f>IF(SER_hh_tes_in!K13=0,0,11630*1000*SER_hh_tes_in!K13/SER_hh_num_in!K13)</f>
        <v>69478.653625642619</v>
      </c>
      <c r="L13" s="133">
        <f>IF(SER_hh_tes_in!L13=0,0,11630*1000*SER_hh_tes_in!L13/SER_hh_num_in!L13)</f>
        <v>67838.438551479616</v>
      </c>
      <c r="M13" s="133">
        <f>IF(SER_hh_tes_in!M13=0,0,11630*1000*SER_hh_tes_in!M13/SER_hh_num_in!M13)</f>
        <v>68008.991304273834</v>
      </c>
      <c r="N13" s="133">
        <f>IF(SER_hh_tes_in!N13=0,0,11630*1000*SER_hh_tes_in!N13/SER_hh_num_in!N13)</f>
        <v>64910.042296186613</v>
      </c>
      <c r="O13" s="133">
        <f>IF(SER_hh_tes_in!O13=0,0,11630*1000*SER_hh_tes_in!O13/SER_hh_num_in!O13)</f>
        <v>63551.317044005991</v>
      </c>
      <c r="P13" s="133">
        <f>IF(SER_hh_tes_in!P13=0,0,11630*1000*SER_hh_tes_in!P13/SER_hh_num_in!P13)</f>
        <v>64372.148581434732</v>
      </c>
      <c r="Q13" s="133">
        <f>IF(SER_hh_tes_in!Q13=0,0,11630*1000*SER_hh_tes_in!Q13/SER_hh_num_in!Q13)</f>
        <v>53534.115075428454</v>
      </c>
      <c r="R13" s="133">
        <f>IF(SER_hh_tes_in!R13=0,0,11630*1000*SER_hh_tes_in!R13/SER_hh_num_in!R13)</f>
        <v>53927.368124182678</v>
      </c>
      <c r="S13" s="133">
        <f>IF(SER_hh_tes_in!S13=0,0,11630*1000*SER_hh_tes_in!S13/SER_hh_num_in!S13)</f>
        <v>57797.660622018797</v>
      </c>
      <c r="T13" s="133">
        <f>IF(SER_hh_tes_in!T13=0,0,11630*1000*SER_hh_tes_in!T13/SER_hh_num_in!T13)</f>
        <v>55396.307438971249</v>
      </c>
      <c r="U13" s="133">
        <f>IF(SER_hh_tes_in!U13=0,0,11630*1000*SER_hh_tes_in!U13/SER_hh_num_in!U13)</f>
        <v>62081.846394173641</v>
      </c>
      <c r="V13" s="133">
        <f>IF(SER_hh_tes_in!V13=0,0,11630*1000*SER_hh_tes_in!V13/SER_hh_num_in!V13)</f>
        <v>40638.595397773744</v>
      </c>
      <c r="W13" s="133">
        <f>IF(SER_hh_tes_in!W13=0,0,11630*1000*SER_hh_tes_in!W13/SER_hh_num_in!W13)</f>
        <v>37228.746614255739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0</v>
      </c>
      <c r="D14" s="65">
        <f>IF(SER_hh_tes_in!D14=0,0,11630*1000*SER_hh_tes_in!D14/SER_hh_num_in!D14)</f>
        <v>0</v>
      </c>
      <c r="E14" s="65">
        <f>IF(SER_hh_tes_in!E14=0,0,11630*1000*SER_hh_tes_in!E14/SER_hh_num_in!E14)</f>
        <v>104657.78152460004</v>
      </c>
      <c r="F14" s="65">
        <f>IF(SER_hh_tes_in!F14=0,0,11630*1000*SER_hh_tes_in!F14/SER_hh_num_in!F14)</f>
        <v>76708.32345379694</v>
      </c>
      <c r="G14" s="65">
        <f>IF(SER_hh_tes_in!G14=0,0,11630*1000*SER_hh_tes_in!G14/SER_hh_num_in!G14)</f>
        <v>102674.69095954589</v>
      </c>
      <c r="H14" s="65">
        <f>IF(SER_hh_tes_in!H14=0,0,11630*1000*SER_hh_tes_in!H14/SER_hh_num_in!H14)</f>
        <v>93169.640593856137</v>
      </c>
      <c r="I14" s="65">
        <f>IF(SER_hh_tes_in!I14=0,0,11630*1000*SER_hh_tes_in!I14/SER_hh_num_in!I14)</f>
        <v>79424.297825628091</v>
      </c>
      <c r="J14" s="65">
        <f>IF(SER_hh_tes_in!J14=0,0,11630*1000*SER_hh_tes_in!J14/SER_hh_num_in!J14)</f>
        <v>95192.165592077043</v>
      </c>
      <c r="K14" s="65">
        <f>IF(SER_hh_tes_in!K14=0,0,11630*1000*SER_hh_tes_in!K14/SER_hh_num_in!K14)</f>
        <v>0</v>
      </c>
      <c r="L14" s="65">
        <f>IF(SER_hh_tes_in!L14=0,0,11630*1000*SER_hh_tes_in!L14/SER_hh_num_in!L14)</f>
        <v>75769.848933598652</v>
      </c>
      <c r="M14" s="65">
        <f>IF(SER_hh_tes_in!M14=0,0,11630*1000*SER_hh_tes_in!M14/SER_hh_num_in!M14)</f>
        <v>67228.08987634354</v>
      </c>
      <c r="N14" s="65">
        <f>IF(SER_hh_tes_in!N14=0,0,11630*1000*SER_hh_tes_in!N14/SER_hh_num_in!N14)</f>
        <v>66068.567832469795</v>
      </c>
      <c r="O14" s="65">
        <f>IF(SER_hh_tes_in!O14=0,0,11630*1000*SER_hh_tes_in!O14/SER_hh_num_in!O14)</f>
        <v>65145.911619256789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0</v>
      </c>
      <c r="S14" s="65">
        <f>IF(SER_hh_tes_in!S14=0,0,11630*1000*SER_hh_tes_in!S14/SER_hh_num_in!S14)</f>
        <v>53139.755964715114</v>
      </c>
      <c r="T14" s="65">
        <f>IF(SER_hh_tes_in!T14=0,0,11630*1000*SER_hh_tes_in!T14/SER_hh_num_in!T14)</f>
        <v>62246.967380822272</v>
      </c>
      <c r="U14" s="65">
        <f>IF(SER_hh_tes_in!U14=0,0,11630*1000*SER_hh_tes_in!U14/SER_hh_num_in!U14)</f>
        <v>53027.14099680131</v>
      </c>
      <c r="V14" s="65">
        <f>IF(SER_hh_tes_in!V14=0,0,11630*1000*SER_hh_tes_in!V14/SER_hh_num_in!V14)</f>
        <v>50632.162390639205</v>
      </c>
      <c r="W14" s="65">
        <f>IF(SER_hh_tes_in!W14=0,0,11630*1000*SER_hh_tes_in!W14/SER_hh_num_in!W14)</f>
        <v>50457.719227757181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1692.6136785750264</v>
      </c>
      <c r="D15" s="135">
        <f>IF(SER_hh_tes_in!D15=0,0,11630*1000*SER_hh_tes_in!D15/SER_hh_num_in!D15)</f>
        <v>1302.1390819559131</v>
      </c>
      <c r="E15" s="135">
        <f>IF(SER_hh_tes_in!E15=0,0,11630*1000*SER_hh_tes_in!E15/SER_hh_num_in!E15)</f>
        <v>1338.7252797464612</v>
      </c>
      <c r="F15" s="135">
        <f>IF(SER_hh_tes_in!F15=0,0,11630*1000*SER_hh_tes_in!F15/SER_hh_num_in!F15)</f>
        <v>723.92579078011568</v>
      </c>
      <c r="G15" s="135">
        <f>IF(SER_hh_tes_in!G15=0,0,11630*1000*SER_hh_tes_in!G15/SER_hh_num_in!G15)</f>
        <v>725.70749869837562</v>
      </c>
      <c r="H15" s="135">
        <f>IF(SER_hh_tes_in!H15=0,0,11630*1000*SER_hh_tes_in!H15/SER_hh_num_in!H15)</f>
        <v>691.0959992968443</v>
      </c>
      <c r="I15" s="135">
        <f>IF(SER_hh_tes_in!I15=0,0,11630*1000*SER_hh_tes_in!I15/SER_hh_num_in!I15)</f>
        <v>425.01421042119875</v>
      </c>
      <c r="J15" s="135">
        <f>IF(SER_hh_tes_in!J15=0,0,11630*1000*SER_hh_tes_in!J15/SER_hh_num_in!J15)</f>
        <v>343.21055948192748</v>
      </c>
      <c r="K15" s="135">
        <f>IF(SER_hh_tes_in!K15=0,0,11630*1000*SER_hh_tes_in!K15/SER_hh_num_in!K15)</f>
        <v>426.85813798215804</v>
      </c>
      <c r="L15" s="135">
        <f>IF(SER_hh_tes_in!L15=0,0,11630*1000*SER_hh_tes_in!L15/SER_hh_num_in!L15)</f>
        <v>519.04207923231866</v>
      </c>
      <c r="M15" s="135">
        <f>IF(SER_hh_tes_in!M15=0,0,11630*1000*SER_hh_tes_in!M15/SER_hh_num_in!M15)</f>
        <v>493.10075676349425</v>
      </c>
      <c r="N15" s="135">
        <f>IF(SER_hh_tes_in!N15=0,0,11630*1000*SER_hh_tes_in!N15/SER_hh_num_in!N15)</f>
        <v>770.82451813230284</v>
      </c>
      <c r="O15" s="135">
        <f>IF(SER_hh_tes_in!O15=0,0,11630*1000*SER_hh_tes_in!O15/SER_hh_num_in!O15)</f>
        <v>823.70895914897483</v>
      </c>
      <c r="P15" s="135">
        <f>IF(SER_hh_tes_in!P15=0,0,11630*1000*SER_hh_tes_in!P15/SER_hh_num_in!P15)</f>
        <v>600.13636941277139</v>
      </c>
      <c r="Q15" s="135">
        <f>IF(SER_hh_tes_in!Q15=0,0,11630*1000*SER_hh_tes_in!Q15/SER_hh_num_in!Q15)</f>
        <v>486.70876986633436</v>
      </c>
      <c r="R15" s="135">
        <f>IF(SER_hh_tes_in!R15=0,0,11630*1000*SER_hh_tes_in!R15/SER_hh_num_in!R15)</f>
        <v>472.1998744633193</v>
      </c>
      <c r="S15" s="135">
        <f>IF(SER_hh_tes_in!S15=0,0,11630*1000*SER_hh_tes_in!S15/SER_hh_num_in!S15)</f>
        <v>553.1994911918913</v>
      </c>
      <c r="T15" s="135">
        <f>IF(SER_hh_tes_in!T15=0,0,11630*1000*SER_hh_tes_in!T15/SER_hh_num_in!T15)</f>
        <v>470.06288218999356</v>
      </c>
      <c r="U15" s="135">
        <f>IF(SER_hh_tes_in!U15=0,0,11630*1000*SER_hh_tes_in!U15/SER_hh_num_in!U15)</f>
        <v>421.82656150590884</v>
      </c>
      <c r="V15" s="135">
        <f>IF(SER_hh_tes_in!V15=0,0,11630*1000*SER_hh_tes_in!V15/SER_hh_num_in!V15)</f>
        <v>282.03621295216163</v>
      </c>
      <c r="W15" s="135">
        <f>IF(SER_hh_tes_in!W15=0,0,11630*1000*SER_hh_tes_in!W15/SER_hh_num_in!W15)</f>
        <v>400.03098604335435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19963.382314473536</v>
      </c>
      <c r="D16" s="131">
        <f>IF(SER_hh_tes_in!D16=0,0,11630*1000*SER_hh_tes_in!D16/SER_hh_num_in!D16)</f>
        <v>19942.846802590338</v>
      </c>
      <c r="E16" s="131">
        <f>IF(SER_hh_tes_in!E16=0,0,11630*1000*SER_hh_tes_in!E16/SER_hh_num_in!E16)</f>
        <v>22132.95520568129</v>
      </c>
      <c r="F16" s="131">
        <f>IF(SER_hh_tes_in!F16=0,0,11630*1000*SER_hh_tes_in!F16/SER_hh_num_in!F16)</f>
        <v>19515.665944974731</v>
      </c>
      <c r="G16" s="131">
        <f>IF(SER_hh_tes_in!G16=0,0,11630*1000*SER_hh_tes_in!G16/SER_hh_num_in!G16)</f>
        <v>19580.78268400583</v>
      </c>
      <c r="H16" s="131">
        <f>IF(SER_hh_tes_in!H16=0,0,11630*1000*SER_hh_tes_in!H16/SER_hh_num_in!H16)</f>
        <v>20426.296780819725</v>
      </c>
      <c r="I16" s="131">
        <f>IF(SER_hh_tes_in!I16=0,0,11630*1000*SER_hh_tes_in!I16/SER_hh_num_in!I16)</f>
        <v>20243.970899015399</v>
      </c>
      <c r="J16" s="131">
        <f>IF(SER_hh_tes_in!J16=0,0,11630*1000*SER_hh_tes_in!J16/SER_hh_num_in!J16)</f>
        <v>19486.429694512703</v>
      </c>
      <c r="K16" s="131">
        <f>IF(SER_hh_tes_in!K16=0,0,11630*1000*SER_hh_tes_in!K16/SER_hh_num_in!K16)</f>
        <v>19476.300408755516</v>
      </c>
      <c r="L16" s="131">
        <f>IF(SER_hh_tes_in!L16=0,0,11630*1000*SER_hh_tes_in!L16/SER_hh_num_in!L16)</f>
        <v>20005.436030674944</v>
      </c>
      <c r="M16" s="131">
        <f>IF(SER_hh_tes_in!M16=0,0,11630*1000*SER_hh_tes_in!M16/SER_hh_num_in!M16)</f>
        <v>19490.74368359545</v>
      </c>
      <c r="N16" s="131">
        <f>IF(SER_hh_tes_in!N16=0,0,11630*1000*SER_hh_tes_in!N16/SER_hh_num_in!N16)</f>
        <v>20090.781618393947</v>
      </c>
      <c r="O16" s="131">
        <f>IF(SER_hh_tes_in!O16=0,0,11630*1000*SER_hh_tes_in!O16/SER_hh_num_in!O16)</f>
        <v>21239.26184738821</v>
      </c>
      <c r="P16" s="131">
        <f>IF(SER_hh_tes_in!P16=0,0,11630*1000*SER_hh_tes_in!P16/SER_hh_num_in!P16)</f>
        <v>18649.373752834148</v>
      </c>
      <c r="Q16" s="131">
        <f>IF(SER_hh_tes_in!Q16=0,0,11630*1000*SER_hh_tes_in!Q16/SER_hh_num_in!Q16)</f>
        <v>21708.577250545568</v>
      </c>
      <c r="R16" s="131">
        <f>IF(SER_hh_tes_in!R16=0,0,11630*1000*SER_hh_tes_in!R16/SER_hh_num_in!R16)</f>
        <v>18783.517444299468</v>
      </c>
      <c r="S16" s="131">
        <f>IF(SER_hh_tes_in!S16=0,0,11630*1000*SER_hh_tes_in!S16/SER_hh_num_in!S16)</f>
        <v>20094.691872986674</v>
      </c>
      <c r="T16" s="131">
        <f>IF(SER_hh_tes_in!T16=0,0,11630*1000*SER_hh_tes_in!T16/SER_hh_num_in!T16)</f>
        <v>19767.794142225921</v>
      </c>
      <c r="U16" s="131">
        <f>IF(SER_hh_tes_in!U16=0,0,11630*1000*SER_hh_tes_in!U16/SER_hh_num_in!U16)</f>
        <v>20256.702636384511</v>
      </c>
      <c r="V16" s="131">
        <f>IF(SER_hh_tes_in!V16=0,0,11630*1000*SER_hh_tes_in!V16/SER_hh_num_in!V16)</f>
        <v>18455.279426631198</v>
      </c>
      <c r="W16" s="131">
        <f>IF(SER_hh_tes_in!W16=0,0,11630*1000*SER_hh_tes_in!W16/SER_hh_num_in!W16)</f>
        <v>18800.704404498112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19966.083295115579</v>
      </c>
      <c r="D17" s="133">
        <f>IF(SER_hh_tes_in!D17=0,0,11630*1000*SER_hh_tes_in!D17/SER_hh_num_in!D17)</f>
        <v>19960.623483276009</v>
      </c>
      <c r="E17" s="133">
        <f>IF(SER_hh_tes_in!E17=0,0,11630*1000*SER_hh_tes_in!E17/SER_hh_num_in!E17)</f>
        <v>22147.073370454858</v>
      </c>
      <c r="F17" s="133">
        <f>IF(SER_hh_tes_in!F17=0,0,11630*1000*SER_hh_tes_in!F17/SER_hh_num_in!F17)</f>
        <v>19593.448229993217</v>
      </c>
      <c r="G17" s="133">
        <f>IF(SER_hh_tes_in!G17=0,0,11630*1000*SER_hh_tes_in!G17/SER_hh_num_in!G17)</f>
        <v>19664.355341232607</v>
      </c>
      <c r="H17" s="133">
        <f>IF(SER_hh_tes_in!H17=0,0,11630*1000*SER_hh_tes_in!H17/SER_hh_num_in!H17)</f>
        <v>20505.781672481327</v>
      </c>
      <c r="I17" s="133">
        <f>IF(SER_hh_tes_in!I17=0,0,11630*1000*SER_hh_tes_in!I17/SER_hh_num_in!I17)</f>
        <v>20345.93632953698</v>
      </c>
      <c r="J17" s="133">
        <f>IF(SER_hh_tes_in!J17=0,0,11630*1000*SER_hh_tes_in!J17/SER_hh_num_in!J17)</f>
        <v>19553.976560052619</v>
      </c>
      <c r="K17" s="133">
        <f>IF(SER_hh_tes_in!K17=0,0,11630*1000*SER_hh_tes_in!K17/SER_hh_num_in!K17)</f>
        <v>19518.953452321235</v>
      </c>
      <c r="L17" s="133">
        <f>IF(SER_hh_tes_in!L17=0,0,11630*1000*SER_hh_tes_in!L17/SER_hh_num_in!L17)</f>
        <v>20040.571592944823</v>
      </c>
      <c r="M17" s="133">
        <f>IF(SER_hh_tes_in!M17=0,0,11630*1000*SER_hh_tes_in!M17/SER_hh_num_in!M17)</f>
        <v>20941.517947434371</v>
      </c>
      <c r="N17" s="133">
        <f>IF(SER_hh_tes_in!N17=0,0,11630*1000*SER_hh_tes_in!N17/SER_hh_num_in!N17)</f>
        <v>20095.733441785538</v>
      </c>
      <c r="O17" s="133">
        <f>IF(SER_hh_tes_in!O17=0,0,11630*1000*SER_hh_tes_in!O17/SER_hh_num_in!O17)</f>
        <v>21248.841252537797</v>
      </c>
      <c r="P17" s="133">
        <f>IF(SER_hh_tes_in!P17=0,0,11630*1000*SER_hh_tes_in!P17/SER_hh_num_in!P17)</f>
        <v>18692.667714665287</v>
      </c>
      <c r="Q17" s="133">
        <f>IF(SER_hh_tes_in!Q17=0,0,11630*1000*SER_hh_tes_in!Q17/SER_hh_num_in!Q17)</f>
        <v>22782.113348860843</v>
      </c>
      <c r="R17" s="133">
        <f>IF(SER_hh_tes_in!R17=0,0,11630*1000*SER_hh_tes_in!R17/SER_hh_num_in!R17)</f>
        <v>18848.21372443108</v>
      </c>
      <c r="S17" s="133">
        <f>IF(SER_hh_tes_in!S17=0,0,11630*1000*SER_hh_tes_in!S17/SER_hh_num_in!S17)</f>
        <v>20251.676605107135</v>
      </c>
      <c r="T17" s="133">
        <f>IF(SER_hh_tes_in!T17=0,0,11630*1000*SER_hh_tes_in!T17/SER_hh_num_in!T17)</f>
        <v>19931.768686478274</v>
      </c>
      <c r="U17" s="133">
        <f>IF(SER_hh_tes_in!U17=0,0,11630*1000*SER_hh_tes_in!U17/SER_hh_num_in!U17)</f>
        <v>20518.022676643897</v>
      </c>
      <c r="V17" s="133">
        <f>IF(SER_hh_tes_in!V17=0,0,11630*1000*SER_hh_tes_in!V17/SER_hh_num_in!V17)</f>
        <v>18605.27801240659</v>
      </c>
      <c r="W17" s="133">
        <f>IF(SER_hh_tes_in!W17=0,0,11630*1000*SER_hh_tes_in!W17/SER_hh_num_in!W17)</f>
        <v>18906.882969985381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19963.377608729345</v>
      </c>
      <c r="D18" s="133">
        <f>IF(SER_hh_tes_in!D18=0,0,11630*1000*SER_hh_tes_in!D18/SER_hh_num_in!D18)</f>
        <v>19942.802800521436</v>
      </c>
      <c r="E18" s="133">
        <f>IF(SER_hh_tes_in!E18=0,0,11630*1000*SER_hh_tes_in!E18/SER_hh_num_in!E18)</f>
        <v>22132.935002807844</v>
      </c>
      <c r="F18" s="133">
        <f>IF(SER_hh_tes_in!F18=0,0,11630*1000*SER_hh_tes_in!F18/SER_hh_num_in!F18)</f>
        <v>19515.358699550325</v>
      </c>
      <c r="G18" s="133">
        <f>IF(SER_hh_tes_in!G18=0,0,11630*1000*SER_hh_tes_in!G18/SER_hh_num_in!G18)</f>
        <v>19580.551562622248</v>
      </c>
      <c r="H18" s="133">
        <f>IF(SER_hh_tes_in!H18=0,0,11630*1000*SER_hh_tes_in!H18/SER_hh_num_in!H18)</f>
        <v>20426.094599558448</v>
      </c>
      <c r="I18" s="133">
        <f>IF(SER_hh_tes_in!I18=0,0,11630*1000*SER_hh_tes_in!I18/SER_hh_num_in!I18)</f>
        <v>20243.560502180248</v>
      </c>
      <c r="J18" s="133">
        <f>IF(SER_hh_tes_in!J18=0,0,11630*1000*SER_hh_tes_in!J18/SER_hh_num_in!J18)</f>
        <v>19486.156974526886</v>
      </c>
      <c r="K18" s="133">
        <f>IF(SER_hh_tes_in!K18=0,0,11630*1000*SER_hh_tes_in!K18/SER_hh_num_in!K18)</f>
        <v>19475.951992633236</v>
      </c>
      <c r="L18" s="133">
        <f>IF(SER_hh_tes_in!L18=0,0,11630*1000*SER_hh_tes_in!L18/SER_hh_num_in!L18)</f>
        <v>20005.294790746724</v>
      </c>
      <c r="M18" s="133">
        <f>IF(SER_hh_tes_in!M18=0,0,11630*1000*SER_hh_tes_in!M18/SER_hh_num_in!M18)</f>
        <v>19484.341897619197</v>
      </c>
      <c r="N18" s="133">
        <f>IF(SER_hh_tes_in!N18=0,0,11630*1000*SER_hh_tes_in!N18/SER_hh_num_in!N18)</f>
        <v>20090.750462064454</v>
      </c>
      <c r="O18" s="133">
        <f>IF(SER_hh_tes_in!O18=0,0,11630*1000*SER_hh_tes_in!O18/SER_hh_num_in!O18)</f>
        <v>21239.19819449056</v>
      </c>
      <c r="P18" s="133">
        <f>IF(SER_hh_tes_in!P18=0,0,11630*1000*SER_hh_tes_in!P18/SER_hh_num_in!P18)</f>
        <v>18649.029098494153</v>
      </c>
      <c r="Q18" s="133">
        <f>IF(SER_hh_tes_in!Q18=0,0,11630*1000*SER_hh_tes_in!Q18/SER_hh_num_in!Q18)</f>
        <v>21699.811198922111</v>
      </c>
      <c r="R18" s="133">
        <f>IF(SER_hh_tes_in!R18=0,0,11630*1000*SER_hh_tes_in!R18/SER_hh_num_in!R18)</f>
        <v>18783.085785970699</v>
      </c>
      <c r="S18" s="133">
        <f>IF(SER_hh_tes_in!S18=0,0,11630*1000*SER_hh_tes_in!S18/SER_hh_num_in!S18)</f>
        <v>20093.11503230927</v>
      </c>
      <c r="T18" s="133">
        <f>IF(SER_hh_tes_in!T18=0,0,11630*1000*SER_hh_tes_in!T18/SER_hh_num_in!T18)</f>
        <v>19766.371046946679</v>
      </c>
      <c r="U18" s="133">
        <f>IF(SER_hh_tes_in!U18=0,0,11630*1000*SER_hh_tes_in!U18/SER_hh_num_in!U18)</f>
        <v>20253.400902543544</v>
      </c>
      <c r="V18" s="133">
        <f>IF(SER_hh_tes_in!V18=0,0,11630*1000*SER_hh_tes_in!V18/SER_hh_num_in!V18)</f>
        <v>18454.258438573976</v>
      </c>
      <c r="W18" s="133">
        <f>IF(SER_hh_tes_in!W18=0,0,11630*1000*SER_hh_tes_in!W18/SER_hh_num_in!W18)</f>
        <v>18799.758475676848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13855.037565955861</v>
      </c>
      <c r="D19" s="131">
        <f>IF(SER_hh_tes_in!D19=0,0,11630*1000*SER_hh_tes_in!D19/SER_hh_num_in!D19)</f>
        <v>13779.381911075741</v>
      </c>
      <c r="E19" s="131">
        <f>IF(SER_hh_tes_in!E19=0,0,11630*1000*SER_hh_tes_in!E19/SER_hh_num_in!E19)</f>
        <v>13899.377128841548</v>
      </c>
      <c r="F19" s="131">
        <f>IF(SER_hh_tes_in!F19=0,0,11630*1000*SER_hh_tes_in!F19/SER_hh_num_in!F19)</f>
        <v>13725.544244430452</v>
      </c>
      <c r="G19" s="131">
        <f>IF(SER_hh_tes_in!G19=0,0,11630*1000*SER_hh_tes_in!G19/SER_hh_num_in!G19)</f>
        <v>14110.967002258812</v>
      </c>
      <c r="H19" s="131">
        <f>IF(SER_hh_tes_in!H19=0,0,11630*1000*SER_hh_tes_in!H19/SER_hh_num_in!H19)</f>
        <v>14024.684914116991</v>
      </c>
      <c r="I19" s="131">
        <f>IF(SER_hh_tes_in!I19=0,0,11630*1000*SER_hh_tes_in!I19/SER_hh_num_in!I19)</f>
        <v>14585.091198176864</v>
      </c>
      <c r="J19" s="131">
        <f>IF(SER_hh_tes_in!J19=0,0,11630*1000*SER_hh_tes_in!J19/SER_hh_num_in!J19)</f>
        <v>15227.679608998724</v>
      </c>
      <c r="K19" s="131">
        <f>IF(SER_hh_tes_in!K19=0,0,11630*1000*SER_hh_tes_in!K19/SER_hh_num_in!K19)</f>
        <v>14858.574987258848</v>
      </c>
      <c r="L19" s="131">
        <f>IF(SER_hh_tes_in!L19=0,0,11630*1000*SER_hh_tes_in!L19/SER_hh_num_in!L19)</f>
        <v>16817.302187822297</v>
      </c>
      <c r="M19" s="131">
        <f>IF(SER_hh_tes_in!M19=0,0,11630*1000*SER_hh_tes_in!M19/SER_hh_num_in!M19)</f>
        <v>17872.446497390232</v>
      </c>
      <c r="N19" s="131">
        <f>IF(SER_hh_tes_in!N19=0,0,11630*1000*SER_hh_tes_in!N19/SER_hh_num_in!N19)</f>
        <v>16803.978777396442</v>
      </c>
      <c r="O19" s="131">
        <f>IF(SER_hh_tes_in!O19=0,0,11630*1000*SER_hh_tes_in!O19/SER_hh_num_in!O19)</f>
        <v>13698.469100022383</v>
      </c>
      <c r="P19" s="131">
        <f>IF(SER_hh_tes_in!P19=0,0,11630*1000*SER_hh_tes_in!P19/SER_hh_num_in!P19)</f>
        <v>17969.234933706062</v>
      </c>
      <c r="Q19" s="131">
        <f>IF(SER_hh_tes_in!Q19=0,0,11630*1000*SER_hh_tes_in!Q19/SER_hh_num_in!Q19)</f>
        <v>13660.041293003336</v>
      </c>
      <c r="R19" s="131">
        <f>IF(SER_hh_tes_in!R19=0,0,11630*1000*SER_hh_tes_in!R19/SER_hh_num_in!R19)</f>
        <v>13749.436974448714</v>
      </c>
      <c r="S19" s="131">
        <f>IF(SER_hh_tes_in!S19=0,0,11630*1000*SER_hh_tes_in!S19/SER_hh_num_in!S19)</f>
        <v>17389.320843015394</v>
      </c>
      <c r="T19" s="131">
        <f>IF(SER_hh_tes_in!T19=0,0,11630*1000*SER_hh_tes_in!T19/SER_hh_num_in!T19)</f>
        <v>16683.571342265284</v>
      </c>
      <c r="U19" s="131">
        <f>IF(SER_hh_tes_in!U19=0,0,11630*1000*SER_hh_tes_in!U19/SER_hh_num_in!U19)</f>
        <v>15992.900393937809</v>
      </c>
      <c r="V19" s="131">
        <f>IF(SER_hh_tes_in!V19=0,0,11630*1000*SER_hh_tes_in!V19/SER_hh_num_in!V19)</f>
        <v>14985.736323450939</v>
      </c>
      <c r="W19" s="131">
        <f>IF(SER_hh_tes_in!W19=0,0,11630*1000*SER_hh_tes_in!W19/SER_hh_num_in!W19)</f>
        <v>12651.570647689681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6045.972770561606</v>
      </c>
      <c r="D21" s="133">
        <f>IF(SER_hh_tes_in!D21=0,0,11630*1000*SER_hh_tes_in!D21/SER_hh_num_in!D21)</f>
        <v>12528.208908867853</v>
      </c>
      <c r="E21" s="133">
        <f>IF(SER_hh_tes_in!E21=0,0,11630*1000*SER_hh_tes_in!E21/SER_hh_num_in!E21)</f>
        <v>10104.423708822504</v>
      </c>
      <c r="F21" s="133">
        <f>IF(SER_hh_tes_in!F21=0,0,11630*1000*SER_hh_tes_in!F21/SER_hh_num_in!F21)</f>
        <v>13020.458320361711</v>
      </c>
      <c r="G21" s="133">
        <f>IF(SER_hh_tes_in!G21=0,0,11630*1000*SER_hh_tes_in!G21/SER_hh_num_in!G21)</f>
        <v>14701.0035365885</v>
      </c>
      <c r="H21" s="133">
        <f>IF(SER_hh_tes_in!H21=0,0,11630*1000*SER_hh_tes_in!H21/SER_hh_num_in!H21)</f>
        <v>14678.707651389253</v>
      </c>
      <c r="I21" s="133">
        <f>IF(SER_hh_tes_in!I21=0,0,11630*1000*SER_hh_tes_in!I21/SER_hh_num_in!I21)</f>
        <v>11792.246952884434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15630.574903429364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7781.8442241315788</v>
      </c>
      <c r="D22" s="133">
        <f>IF(SER_hh_tes_in!D22=0,0,11630*1000*SER_hh_tes_in!D22/SER_hh_num_in!D22)</f>
        <v>12376.528829792978</v>
      </c>
      <c r="E22" s="133">
        <f>IF(SER_hh_tes_in!E22=0,0,11630*1000*SER_hh_tes_in!E22/SER_hh_num_in!E22)</f>
        <v>6315.5092937695435</v>
      </c>
      <c r="F22" s="133">
        <f>IF(SER_hh_tes_in!F22=0,0,11630*1000*SER_hh_tes_in!F22/SER_hh_num_in!F22)</f>
        <v>12716.86586154784</v>
      </c>
      <c r="G22" s="133">
        <f>IF(SER_hh_tes_in!G22=0,0,11630*1000*SER_hh_tes_in!G22/SER_hh_num_in!G22)</f>
        <v>14433.278225633065</v>
      </c>
      <c r="H22" s="133">
        <f>IF(SER_hh_tes_in!H22=0,0,11630*1000*SER_hh_tes_in!H22/SER_hh_num_in!H22)</f>
        <v>14233.566797130203</v>
      </c>
      <c r="I22" s="133">
        <f>IF(SER_hh_tes_in!I22=0,0,11630*1000*SER_hh_tes_in!I22/SER_hh_num_in!I22)</f>
        <v>11375.226997629183</v>
      </c>
      <c r="J22" s="133">
        <f>IF(SER_hh_tes_in!J22=0,0,11630*1000*SER_hh_tes_in!J22/SER_hh_num_in!J22)</f>
        <v>6866.4257033425574</v>
      </c>
      <c r="K22" s="133">
        <f>IF(SER_hh_tes_in!K22=0,0,11630*1000*SER_hh_tes_in!K22/SER_hh_num_in!K22)</f>
        <v>14831.707719323362</v>
      </c>
      <c r="L22" s="133">
        <f>IF(SER_hh_tes_in!L22=0,0,11630*1000*SER_hh_tes_in!L22/SER_hh_num_in!L22)</f>
        <v>4182.9529589174854</v>
      </c>
      <c r="M22" s="133">
        <f>IF(SER_hh_tes_in!M22=0,0,11630*1000*SER_hh_tes_in!M22/SER_hh_num_in!M22)</f>
        <v>5998.2455412102927</v>
      </c>
      <c r="N22" s="133">
        <f>IF(SER_hh_tes_in!N22=0,0,11630*1000*SER_hh_tes_in!N22/SER_hh_num_in!N22)</f>
        <v>7328.5858790631219</v>
      </c>
      <c r="O22" s="133">
        <f>IF(SER_hh_tes_in!O22=0,0,11630*1000*SER_hh_tes_in!O22/SER_hh_num_in!O22)</f>
        <v>15552.634585680489</v>
      </c>
      <c r="P22" s="133">
        <f>IF(SER_hh_tes_in!P22=0,0,11630*1000*SER_hh_tes_in!P22/SER_hh_num_in!P22)</f>
        <v>0</v>
      </c>
      <c r="Q22" s="133">
        <f>IF(SER_hh_tes_in!Q22=0,0,11630*1000*SER_hh_tes_in!Q22/SER_hh_num_in!Q22)</f>
        <v>15385.168473106571</v>
      </c>
      <c r="R22" s="133">
        <f>IF(SER_hh_tes_in!R22=0,0,11630*1000*SER_hh_tes_in!R22/SER_hh_num_in!R22)</f>
        <v>15235.296412210839</v>
      </c>
      <c r="S22" s="133">
        <f>IF(SER_hh_tes_in!S22=0,0,11630*1000*SER_hh_tes_in!S22/SER_hh_num_in!S22)</f>
        <v>9718.6151276731907</v>
      </c>
      <c r="T22" s="133">
        <f>IF(SER_hh_tes_in!T22=0,0,11630*1000*SER_hh_tes_in!T22/SER_hh_num_in!T22)</f>
        <v>8859.2702050662592</v>
      </c>
      <c r="U22" s="133">
        <f>IF(SER_hh_tes_in!U22=0,0,11630*1000*SER_hh_tes_in!U22/SER_hh_num_in!U22)</f>
        <v>15219.992905377776</v>
      </c>
      <c r="V22" s="133">
        <f>IF(SER_hh_tes_in!V22=0,0,11630*1000*SER_hh_tes_in!V22/SER_hh_num_in!V22)</f>
        <v>9859.1829175924286</v>
      </c>
      <c r="W22" s="133">
        <f>IF(SER_hh_tes_in!W22=0,0,11630*1000*SER_hh_tes_in!W22/SER_hh_num_in!W22)</f>
        <v>14661.254001127223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7519.9242612622766</v>
      </c>
      <c r="D23" s="133">
        <f>IF(SER_hh_tes_in!D23=0,0,11630*1000*SER_hh_tes_in!D23/SER_hh_num_in!D23)</f>
        <v>12428.41047516881</v>
      </c>
      <c r="E23" s="133">
        <f>IF(SER_hh_tes_in!E23=0,0,11630*1000*SER_hh_tes_in!E23/SER_hh_num_in!E23)</f>
        <v>7482.787512078723</v>
      </c>
      <c r="F23" s="133">
        <f>IF(SER_hh_tes_in!F23=0,0,11630*1000*SER_hh_tes_in!F23/SER_hh_num_in!F23)</f>
        <v>12654.755590385761</v>
      </c>
      <c r="G23" s="133">
        <f>IF(SER_hh_tes_in!G23=0,0,11630*1000*SER_hh_tes_in!G23/SER_hh_num_in!G23)</f>
        <v>14452.253417927437</v>
      </c>
      <c r="H23" s="133">
        <f>IF(SER_hh_tes_in!H23=0,0,11630*1000*SER_hh_tes_in!H23/SER_hh_num_in!H23)</f>
        <v>14418.49925414654</v>
      </c>
      <c r="I23" s="133">
        <f>IF(SER_hh_tes_in!I23=0,0,11630*1000*SER_hh_tes_in!I23/SER_hh_num_in!I23)</f>
        <v>11465.867799590726</v>
      </c>
      <c r="J23" s="133">
        <f>IF(SER_hh_tes_in!J23=0,0,11630*1000*SER_hh_tes_in!J23/SER_hh_num_in!J23)</f>
        <v>8100.5450943876285</v>
      </c>
      <c r="K23" s="133">
        <f>IF(SER_hh_tes_in!K23=0,0,11630*1000*SER_hh_tes_in!K23/SER_hh_num_in!K23)</f>
        <v>14631.007268522599</v>
      </c>
      <c r="L23" s="133">
        <f>IF(SER_hh_tes_in!L23=0,0,11630*1000*SER_hh_tes_in!L23/SER_hh_num_in!L23)</f>
        <v>6314.5765156554862</v>
      </c>
      <c r="M23" s="133">
        <f>IF(SER_hh_tes_in!M23=0,0,11630*1000*SER_hh_tes_in!M23/SER_hh_num_in!M23)</f>
        <v>7662.3202191639839</v>
      </c>
      <c r="N23" s="133">
        <f>IF(SER_hh_tes_in!N23=0,0,11630*1000*SER_hh_tes_in!N23/SER_hh_num_in!N23)</f>
        <v>8974.7092234949178</v>
      </c>
      <c r="O23" s="133">
        <f>IF(SER_hh_tes_in!O23=0,0,11630*1000*SER_hh_tes_in!O23/SER_hh_num_in!O23)</f>
        <v>16044.934273525027</v>
      </c>
      <c r="P23" s="133">
        <f>IF(SER_hh_tes_in!P23=0,0,11630*1000*SER_hh_tes_in!P23/SER_hh_num_in!P23)</f>
        <v>10553.106400175942</v>
      </c>
      <c r="Q23" s="133">
        <f>IF(SER_hh_tes_in!Q23=0,0,11630*1000*SER_hh_tes_in!Q23/SER_hh_num_in!Q23)</f>
        <v>16084.275694297916</v>
      </c>
      <c r="R23" s="133">
        <f>IF(SER_hh_tes_in!R23=0,0,11630*1000*SER_hh_tes_in!R23/SER_hh_num_in!R23)</f>
        <v>15726.289279507393</v>
      </c>
      <c r="S23" s="133">
        <f>IF(SER_hh_tes_in!S23=0,0,11630*1000*SER_hh_tes_in!S23/SER_hh_num_in!S23)</f>
        <v>9697.7213591773925</v>
      </c>
      <c r="T23" s="133">
        <f>IF(SER_hh_tes_in!T23=0,0,11630*1000*SER_hh_tes_in!T23/SER_hh_num_in!T23)</f>
        <v>8781.6220716701191</v>
      </c>
      <c r="U23" s="133">
        <f>IF(SER_hh_tes_in!U23=0,0,11630*1000*SER_hh_tes_in!U23/SER_hh_num_in!U23)</f>
        <v>15082.265363263488</v>
      </c>
      <c r="V23" s="133">
        <f>IF(SER_hh_tes_in!V23=0,0,11630*1000*SER_hh_tes_in!V23/SER_hh_num_in!V23)</f>
        <v>10163.787024979758</v>
      </c>
      <c r="W23" s="133">
        <f>IF(SER_hh_tes_in!W23=0,0,11630*1000*SER_hh_tes_in!W23/SER_hh_num_in!W23)</f>
        <v>14501.552289939849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7607.8043255751463</v>
      </c>
      <c r="D24" s="133">
        <f>IF(SER_hh_tes_in!D24=0,0,11630*1000*SER_hh_tes_in!D24/SER_hh_num_in!D24)</f>
        <v>12419.904781430272</v>
      </c>
      <c r="E24" s="133">
        <f>IF(SER_hh_tes_in!E24=0,0,11630*1000*SER_hh_tes_in!E24/SER_hh_num_in!E24)</f>
        <v>6583.3856042943926</v>
      </c>
      <c r="F24" s="133">
        <f>IF(SER_hh_tes_in!F24=0,0,11630*1000*SER_hh_tes_in!F24/SER_hh_num_in!F24)</f>
        <v>12630.283694720203</v>
      </c>
      <c r="G24" s="133">
        <f>IF(SER_hh_tes_in!G24=0,0,11630*1000*SER_hh_tes_in!G24/SER_hh_num_in!G24)</f>
        <v>14422.45768855642</v>
      </c>
      <c r="H24" s="133">
        <f>IF(SER_hh_tes_in!H24=0,0,11630*1000*SER_hh_tes_in!H24/SER_hh_num_in!H24)</f>
        <v>14453.244307534003</v>
      </c>
      <c r="I24" s="133">
        <f>IF(SER_hh_tes_in!I24=0,0,11630*1000*SER_hh_tes_in!I24/SER_hh_num_in!I24)</f>
        <v>11374.270620994626</v>
      </c>
      <c r="J24" s="133">
        <f>IF(SER_hh_tes_in!J24=0,0,11630*1000*SER_hh_tes_in!J24/SER_hh_num_in!J24)</f>
        <v>8035.0338002144372</v>
      </c>
      <c r="K24" s="133">
        <f>IF(SER_hh_tes_in!K24=0,0,11630*1000*SER_hh_tes_in!K24/SER_hh_num_in!K24)</f>
        <v>14585.020443865</v>
      </c>
      <c r="L24" s="133">
        <f>IF(SER_hh_tes_in!L24=0,0,11630*1000*SER_hh_tes_in!L24/SER_hh_num_in!L24)</f>
        <v>6481.631056597882</v>
      </c>
      <c r="M24" s="133">
        <f>IF(SER_hh_tes_in!M24=0,0,11630*1000*SER_hh_tes_in!M24/SER_hh_num_in!M24)</f>
        <v>7961.7496228396558</v>
      </c>
      <c r="N24" s="133">
        <f>IF(SER_hh_tes_in!N24=0,0,11630*1000*SER_hh_tes_in!N24/SER_hh_num_in!N24)</f>
        <v>9258.5167146915628</v>
      </c>
      <c r="O24" s="133">
        <f>IF(SER_hh_tes_in!O24=0,0,11630*1000*SER_hh_tes_in!O24/SER_hh_num_in!O24)</f>
        <v>16028.986053515926</v>
      </c>
      <c r="P24" s="133">
        <f>IF(SER_hh_tes_in!P24=0,0,11630*1000*SER_hh_tes_in!P24/SER_hh_num_in!P24)</f>
        <v>10835.011558397853</v>
      </c>
      <c r="Q24" s="133">
        <f>IF(SER_hh_tes_in!Q24=0,0,11630*1000*SER_hh_tes_in!Q24/SER_hh_num_in!Q24)</f>
        <v>16199.914187209846</v>
      </c>
      <c r="R24" s="133">
        <f>IF(SER_hh_tes_in!R24=0,0,11630*1000*SER_hh_tes_in!R24/SER_hh_num_in!R24)</f>
        <v>15688.367853555257</v>
      </c>
      <c r="S24" s="133">
        <f>IF(SER_hh_tes_in!S24=0,0,11630*1000*SER_hh_tes_in!S24/SER_hh_num_in!S24)</f>
        <v>9841.9285326744084</v>
      </c>
      <c r="T24" s="133">
        <f>IF(SER_hh_tes_in!T24=0,0,11630*1000*SER_hh_tes_in!T24/SER_hh_num_in!T24)</f>
        <v>8882.0112338713752</v>
      </c>
      <c r="U24" s="133">
        <f>IF(SER_hh_tes_in!U24=0,0,11630*1000*SER_hh_tes_in!U24/SER_hh_num_in!U24)</f>
        <v>15357.372789654581</v>
      </c>
      <c r="V24" s="133">
        <f>IF(SER_hh_tes_in!V24=0,0,11630*1000*SER_hh_tes_in!V24/SER_hh_num_in!V24)</f>
        <v>10060.653210794131</v>
      </c>
      <c r="W24" s="133">
        <f>IF(SER_hh_tes_in!W24=0,0,11630*1000*SER_hh_tes_in!W24/SER_hh_num_in!W24)</f>
        <v>14618.347236528483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7693.5328777701579</v>
      </c>
      <c r="D25" s="133">
        <f>IF(SER_hh_tes_in!D25=0,0,11630*1000*SER_hh_tes_in!D25/SER_hh_num_in!D25)</f>
        <v>12551.507004718005</v>
      </c>
      <c r="E25" s="133">
        <f>IF(SER_hh_tes_in!E25=0,0,11630*1000*SER_hh_tes_in!E25/SER_hh_num_in!E25)</f>
        <v>6328.6065554154793</v>
      </c>
      <c r="F25" s="133">
        <f>IF(SER_hh_tes_in!F25=0,0,11630*1000*SER_hh_tes_in!F25/SER_hh_num_in!F25)</f>
        <v>12267.317407096072</v>
      </c>
      <c r="G25" s="133">
        <f>IF(SER_hh_tes_in!G25=0,0,11630*1000*SER_hh_tes_in!G25/SER_hh_num_in!G25)</f>
        <v>13512.137320830408</v>
      </c>
      <c r="H25" s="133">
        <f>IF(SER_hh_tes_in!H25=0,0,11630*1000*SER_hh_tes_in!H25/SER_hh_num_in!H25)</f>
        <v>14024.00804508854</v>
      </c>
      <c r="I25" s="133">
        <f>IF(SER_hh_tes_in!I25=0,0,11630*1000*SER_hh_tes_in!I25/SER_hh_num_in!I25)</f>
        <v>11621.902093901132</v>
      </c>
      <c r="J25" s="133">
        <f>IF(SER_hh_tes_in!J25=0,0,11630*1000*SER_hh_tes_in!J25/SER_hh_num_in!J25)</f>
        <v>8827.1591604723762</v>
      </c>
      <c r="K25" s="133">
        <f>IF(SER_hh_tes_in!K25=0,0,11630*1000*SER_hh_tes_in!K25/SER_hh_num_in!K25)</f>
        <v>14907.326695742824</v>
      </c>
      <c r="L25" s="133">
        <f>IF(SER_hh_tes_in!L25=0,0,11630*1000*SER_hh_tes_in!L25/SER_hh_num_in!L25)</f>
        <v>7150.8926448869615</v>
      </c>
      <c r="M25" s="133">
        <f>IF(SER_hh_tes_in!M25=0,0,11630*1000*SER_hh_tes_in!M25/SER_hh_num_in!M25)</f>
        <v>8161.2839530681913</v>
      </c>
      <c r="N25" s="133">
        <f>IF(SER_hh_tes_in!N25=0,0,11630*1000*SER_hh_tes_in!N25/SER_hh_num_in!N25)</f>
        <v>9208.3621962413781</v>
      </c>
      <c r="O25" s="133">
        <f>IF(SER_hh_tes_in!O25=0,0,11630*1000*SER_hh_tes_in!O25/SER_hh_num_in!O25)</f>
        <v>15959.647961372963</v>
      </c>
      <c r="P25" s="133">
        <f>IF(SER_hh_tes_in!P25=0,0,11630*1000*SER_hh_tes_in!P25/SER_hh_num_in!P25)</f>
        <v>10805.187192827118</v>
      </c>
      <c r="Q25" s="133">
        <f>IF(SER_hh_tes_in!Q25=0,0,11630*1000*SER_hh_tes_in!Q25/SER_hh_num_in!Q25)</f>
        <v>16204.688665592434</v>
      </c>
      <c r="R25" s="133">
        <f>IF(SER_hh_tes_in!R25=0,0,11630*1000*SER_hh_tes_in!R25/SER_hh_num_in!R25)</f>
        <v>15762.540757874362</v>
      </c>
      <c r="S25" s="133">
        <f>IF(SER_hh_tes_in!S25=0,0,11630*1000*SER_hh_tes_in!S25/SER_hh_num_in!S25)</f>
        <v>9673.2492522377925</v>
      </c>
      <c r="T25" s="133">
        <f>IF(SER_hh_tes_in!T25=0,0,11630*1000*SER_hh_tes_in!T25/SER_hh_num_in!T25)</f>
        <v>8737.0911092871829</v>
      </c>
      <c r="U25" s="133">
        <f>IF(SER_hh_tes_in!U25=0,0,11630*1000*SER_hh_tes_in!U25/SER_hh_num_in!U25)</f>
        <v>15186.160516657381</v>
      </c>
      <c r="V25" s="133">
        <f>IF(SER_hh_tes_in!V25=0,0,11630*1000*SER_hh_tes_in!V25/SER_hh_num_in!V25)</f>
        <v>10475.543658971186</v>
      </c>
      <c r="W25" s="133">
        <f>IF(SER_hh_tes_in!W25=0,0,11630*1000*SER_hh_tes_in!W25/SER_hh_num_in!W25)</f>
        <v>14962.845516199224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4920.2797882933419</v>
      </c>
      <c r="D26" s="65">
        <f>IF(SER_hh_tes_in!D26=0,0,11630*1000*SER_hh_tes_in!D26/SER_hh_num_in!D26)</f>
        <v>4633.4860607922938</v>
      </c>
      <c r="E26" s="65">
        <f>IF(SER_hh_tes_in!E26=0,0,11630*1000*SER_hh_tes_in!E26/SER_hh_num_in!E26)</f>
        <v>4043.1949076762135</v>
      </c>
      <c r="F26" s="65">
        <f>IF(SER_hh_tes_in!F26=0,0,11630*1000*SER_hh_tes_in!F26/SER_hh_num_in!F26)</f>
        <v>3693.3034975517198</v>
      </c>
      <c r="G26" s="65">
        <f>IF(SER_hh_tes_in!G26=0,0,11630*1000*SER_hh_tes_in!G26/SER_hh_num_in!G26)</f>
        <v>14312.573346537783</v>
      </c>
      <c r="H26" s="65">
        <f>IF(SER_hh_tes_in!H26=0,0,11630*1000*SER_hh_tes_in!H26/SER_hh_num_in!H26)</f>
        <v>13848.00027328004</v>
      </c>
      <c r="I26" s="65">
        <f>IF(SER_hh_tes_in!I26=0,0,11630*1000*SER_hh_tes_in!I26/SER_hh_num_in!I26)</f>
        <v>2184.8228989268914</v>
      </c>
      <c r="J26" s="65">
        <f>IF(SER_hh_tes_in!J26=0,0,11630*1000*SER_hh_tes_in!J26/SER_hh_num_in!J26)</f>
        <v>121.81428015192644</v>
      </c>
      <c r="K26" s="65">
        <f>IF(SER_hh_tes_in!K26=0,0,11630*1000*SER_hh_tes_in!K26/SER_hh_num_in!K26)</f>
        <v>14794.890597878823</v>
      </c>
      <c r="L26" s="65">
        <f>IF(SER_hh_tes_in!L26=0,0,11630*1000*SER_hh_tes_in!L26/SER_hh_num_in!L26)</f>
        <v>82.432886362243622</v>
      </c>
      <c r="M26" s="65">
        <f>IF(SER_hh_tes_in!M26=0,0,11630*1000*SER_hh_tes_in!M26/SER_hh_num_in!M26)</f>
        <v>82.506081941507247</v>
      </c>
      <c r="N26" s="65">
        <f>IF(SER_hh_tes_in!N26=0,0,11630*1000*SER_hh_tes_in!N26/SER_hh_num_in!N26)</f>
        <v>90.834134245087427</v>
      </c>
      <c r="O26" s="65">
        <f>IF(SER_hh_tes_in!O26=0,0,11630*1000*SER_hh_tes_in!O26/SER_hh_num_in!O26)</f>
        <v>10126.370679531123</v>
      </c>
      <c r="P26" s="65">
        <f>IF(SER_hh_tes_in!P26=0,0,11630*1000*SER_hh_tes_in!P26/SER_hh_num_in!P26)</f>
        <v>102.78367572680747</v>
      </c>
      <c r="Q26" s="65">
        <f>IF(SER_hh_tes_in!Q26=0,0,11630*1000*SER_hh_tes_in!Q26/SER_hh_num_in!Q26)</f>
        <v>10546.965133691147</v>
      </c>
      <c r="R26" s="65">
        <f>IF(SER_hh_tes_in!R26=0,0,11630*1000*SER_hh_tes_in!R26/SER_hh_num_in!R26)</f>
        <v>11216.096462730668</v>
      </c>
      <c r="S26" s="65">
        <f>IF(SER_hh_tes_in!S26=0,0,11630*1000*SER_hh_tes_in!S26/SER_hh_num_in!S26)</f>
        <v>107.88153813540855</v>
      </c>
      <c r="T26" s="65">
        <f>IF(SER_hh_tes_in!T26=0,0,11630*1000*SER_hh_tes_in!T26/SER_hh_num_in!T26)</f>
        <v>92.671618123119345</v>
      </c>
      <c r="U26" s="65">
        <f>IF(SER_hh_tes_in!U26=0,0,11630*1000*SER_hh_tes_in!U26/SER_hh_num_in!U26)</f>
        <v>95.839063926053328</v>
      </c>
      <c r="V26" s="65">
        <f>IF(SER_hh_tes_in!V26=0,0,11630*1000*SER_hh_tes_in!V26/SER_hh_num_in!V26)</f>
        <v>88.715263166610796</v>
      </c>
      <c r="W26" s="65">
        <f>IF(SER_hh_tes_in!W26=0,0,11630*1000*SER_hh_tes_in!W26/SER_hh_num_in!W26)</f>
        <v>9018.6793575690081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7350.9573256831636</v>
      </c>
      <c r="D27" s="146">
        <f>IF(SER_hh_tes_in!D27=0,0,11630*1000*SER_hh_tes_in!D27/SER_hh_num_in!D19)</f>
        <v>4220.8956491595773</v>
      </c>
      <c r="E27" s="146">
        <f>IF(SER_hh_tes_in!E27=0,0,11630*1000*SER_hh_tes_in!E27/SER_hh_num_in!E19)</f>
        <v>7982.7736955697628</v>
      </c>
      <c r="F27" s="146">
        <f>IF(SER_hh_tes_in!F27=0,0,11630*1000*SER_hh_tes_in!F27/SER_hh_num_in!F19)</f>
        <v>5247.6333758264764</v>
      </c>
      <c r="G27" s="146">
        <f>IF(SER_hh_tes_in!G27=0,0,11630*1000*SER_hh_tes_in!G27/SER_hh_num_in!G19)</f>
        <v>3.9738674509581902E-11</v>
      </c>
      <c r="H27" s="146">
        <f>IF(SER_hh_tes_in!H27=0,0,11630*1000*SER_hh_tes_in!H27/SER_hh_num_in!H19)</f>
        <v>0</v>
      </c>
      <c r="I27" s="146">
        <f>IF(SER_hh_tes_in!I27=0,0,11630*1000*SER_hh_tes_in!I27/SER_hh_num_in!I19)</f>
        <v>4514.6850673021863</v>
      </c>
      <c r="J27" s="146">
        <f>IF(SER_hh_tes_in!J27=0,0,11630*1000*SER_hh_tes_in!J27/SER_hh_num_in!J19)</f>
        <v>7075.167174287024</v>
      </c>
      <c r="K27" s="146">
        <f>IF(SER_hh_tes_in!K27=0,0,11630*1000*SER_hh_tes_in!K27/SER_hh_num_in!K19)</f>
        <v>0</v>
      </c>
      <c r="L27" s="146">
        <f>IF(SER_hh_tes_in!L27=0,0,11630*1000*SER_hh_tes_in!L27/SER_hh_num_in!L19)</f>
        <v>10423.460375227996</v>
      </c>
      <c r="M27" s="146">
        <f>IF(SER_hh_tes_in!M27=0,0,11630*1000*SER_hh_tes_in!M27/SER_hh_num_in!M19)</f>
        <v>11689.501992975986</v>
      </c>
      <c r="N27" s="146">
        <f>IF(SER_hh_tes_in!N27=0,0,11630*1000*SER_hh_tes_in!N27/SER_hh_num_in!N19)</f>
        <v>11616.522218986462</v>
      </c>
      <c r="O27" s="146">
        <f>IF(SER_hh_tes_in!O27=0,0,11630*1000*SER_hh_tes_in!O27/SER_hh_num_in!O19)</f>
        <v>0</v>
      </c>
      <c r="P27" s="146">
        <f>IF(SER_hh_tes_in!P27=0,0,11630*1000*SER_hh_tes_in!P27/SER_hh_num_in!P19)</f>
        <v>14562.897399249998</v>
      </c>
      <c r="Q27" s="146">
        <f>IF(SER_hh_tes_in!Q27=0,0,11630*1000*SER_hh_tes_in!Q27/SER_hh_num_in!Q19)</f>
        <v>0</v>
      </c>
      <c r="R27" s="146">
        <f>IF(SER_hh_tes_in!R27=0,0,11630*1000*SER_hh_tes_in!R27/SER_hh_num_in!R19)</f>
        <v>0</v>
      </c>
      <c r="S27" s="146">
        <f>IF(SER_hh_tes_in!S27=0,0,11630*1000*SER_hh_tes_in!S27/SER_hh_num_in!S19)</f>
        <v>11160.060101531835</v>
      </c>
      <c r="T27" s="146">
        <f>IF(SER_hh_tes_in!T27=0,0,11630*1000*SER_hh_tes_in!T27/SER_hh_num_in!T19)</f>
        <v>10249.456949633131</v>
      </c>
      <c r="U27" s="146">
        <f>IF(SER_hh_tes_in!U27=0,0,11630*1000*SER_hh_tes_in!U27/SER_hh_num_in!U19)</f>
        <v>5171.3048249169105</v>
      </c>
      <c r="V27" s="146">
        <f>IF(SER_hh_tes_in!V27=0,0,11630*1000*SER_hh_tes_in!V27/SER_hh_num_in!V19)</f>
        <v>9222.7276054747945</v>
      </c>
      <c r="W27" s="146">
        <f>IF(SER_hh_tes_in!W27=0,0,11630*1000*SER_hh_tes_in!W27/SER_hh_num_in!W19)</f>
        <v>0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8500.4319349298312</v>
      </c>
      <c r="D28" s="147">
        <f>IF(SER_hh_tes_in!D27=0,0,11630*1000*SER_hh_tes_in!D27/SER_hh_num_in!D27)</f>
        <v>8670.3831199145679</v>
      </c>
      <c r="E28" s="147">
        <f>IF(SER_hh_tes_in!E27=0,0,11630*1000*SER_hh_tes_in!E27/SER_hh_num_in!E27)</f>
        <v>8410.5397620004114</v>
      </c>
      <c r="F28" s="147">
        <f>IF(SER_hh_tes_in!F27=0,0,11630*1000*SER_hh_tes_in!F27/SER_hh_num_in!F27)</f>
        <v>8958.5500171579442</v>
      </c>
      <c r="G28" s="147">
        <f>IF(SER_hh_tes_in!G27=0,0,11630*1000*SER_hh_tes_in!G27/SER_hh_num_in!G27)</f>
        <v>9952.1386095537982</v>
      </c>
      <c r="H28" s="147">
        <f>IF(SER_hh_tes_in!H27=0,0,11630*1000*SER_hh_tes_in!H27/SER_hh_num_in!H27)</f>
        <v>0</v>
      </c>
      <c r="I28" s="147">
        <f>IF(SER_hh_tes_in!I27=0,0,11630*1000*SER_hh_tes_in!I27/SER_hh_num_in!I27)</f>
        <v>8790.7940155360684</v>
      </c>
      <c r="J28" s="147">
        <f>IF(SER_hh_tes_in!J27=0,0,11630*1000*SER_hh_tes_in!J27/SER_hh_num_in!J27)</f>
        <v>7075.167174287024</v>
      </c>
      <c r="K28" s="147">
        <f>IF(SER_hh_tes_in!K27=0,0,11630*1000*SER_hh_tes_in!K27/SER_hh_num_in!K27)</f>
        <v>0</v>
      </c>
      <c r="L28" s="147">
        <f>IF(SER_hh_tes_in!L27=0,0,11630*1000*SER_hh_tes_in!L27/SER_hh_num_in!L27)</f>
        <v>10423.460375227998</v>
      </c>
      <c r="M28" s="147">
        <f>IF(SER_hh_tes_in!M27=0,0,11630*1000*SER_hh_tes_in!M27/SER_hh_num_in!M27)</f>
        <v>11689.501992975986</v>
      </c>
      <c r="N28" s="147">
        <f>IF(SER_hh_tes_in!N27=0,0,11630*1000*SER_hh_tes_in!N27/SER_hh_num_in!N27)</f>
        <v>11616.522218986462</v>
      </c>
      <c r="O28" s="147">
        <f>IF(SER_hh_tes_in!O27=0,0,11630*1000*SER_hh_tes_in!O27/SER_hh_num_in!O27)</f>
        <v>0</v>
      </c>
      <c r="P28" s="147">
        <f>IF(SER_hh_tes_in!P27=0,0,11630*1000*SER_hh_tes_in!P27/SER_hh_num_in!P27)</f>
        <v>15506.518901272091</v>
      </c>
      <c r="Q28" s="147">
        <f>IF(SER_hh_tes_in!Q27=0,0,11630*1000*SER_hh_tes_in!Q27/SER_hh_num_in!Q27)</f>
        <v>0</v>
      </c>
      <c r="R28" s="147">
        <f>IF(SER_hh_tes_in!R27=0,0,11630*1000*SER_hh_tes_in!R27/SER_hh_num_in!R27)</f>
        <v>0</v>
      </c>
      <c r="S28" s="147">
        <f>IF(SER_hh_tes_in!S27=0,0,11630*1000*SER_hh_tes_in!S27/SER_hh_num_in!S27)</f>
        <v>12135.572930553044</v>
      </c>
      <c r="T28" s="147">
        <f>IF(SER_hh_tes_in!T27=0,0,11630*1000*SER_hh_tes_in!T27/SER_hh_num_in!T27)</f>
        <v>10249.45694963313</v>
      </c>
      <c r="U28" s="147">
        <f>IF(SER_hh_tes_in!U27=0,0,11630*1000*SER_hh_tes_in!U27/SER_hh_num_in!U27)</f>
        <v>16369.125850097156</v>
      </c>
      <c r="V28" s="147">
        <f>IF(SER_hh_tes_in!V27=0,0,11630*1000*SER_hh_tes_in!V27/SER_hh_num_in!V27)</f>
        <v>11210.629513413538</v>
      </c>
      <c r="W28" s="147">
        <f>IF(SER_hh_tes_in!W27=0,0,11630*1000*SER_hh_tes_in!W27/SER_hh_num_in!W27)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10908.902711832936</v>
      </c>
      <c r="D29" s="131">
        <f>IF(SER_hh_tes_in!D29=0,0,11630*1000*SER_hh_tes_in!D29/SER_hh_num_in!D29)</f>
        <v>12519.806323376126</v>
      </c>
      <c r="E29" s="131">
        <f>IF(SER_hh_tes_in!E29=0,0,11630*1000*SER_hh_tes_in!E29/SER_hh_num_in!E29)</f>
        <v>12746.43132789905</v>
      </c>
      <c r="F29" s="131">
        <f>IF(SER_hh_tes_in!F29=0,0,11630*1000*SER_hh_tes_in!F29/SER_hh_num_in!F29)</f>
        <v>12056.555374128195</v>
      </c>
      <c r="G29" s="131">
        <f>IF(SER_hh_tes_in!G29=0,0,11630*1000*SER_hh_tes_in!G29/SER_hh_num_in!G29)</f>
        <v>12283.605084536248</v>
      </c>
      <c r="H29" s="131">
        <f>IF(SER_hh_tes_in!H29=0,0,11630*1000*SER_hh_tes_in!H29/SER_hh_num_in!H29)</f>
        <v>11927.209011921139</v>
      </c>
      <c r="I29" s="131">
        <f>IF(SER_hh_tes_in!I29=0,0,11630*1000*SER_hh_tes_in!I29/SER_hh_num_in!I29)</f>
        <v>12204.893627170575</v>
      </c>
      <c r="J29" s="131">
        <f>IF(SER_hh_tes_in!J29=0,0,11630*1000*SER_hh_tes_in!J29/SER_hh_num_in!J29)</f>
        <v>12381.911840997387</v>
      </c>
      <c r="K29" s="131">
        <f>IF(SER_hh_tes_in!K29=0,0,11630*1000*SER_hh_tes_in!K29/SER_hh_num_in!K29)</f>
        <v>12358.653664314128</v>
      </c>
      <c r="L29" s="131">
        <f>IF(SER_hh_tes_in!L29=0,0,11630*1000*SER_hh_tes_in!L29/SER_hh_num_in!L29)</f>
        <v>12288.93530241243</v>
      </c>
      <c r="M29" s="131">
        <f>IF(SER_hh_tes_in!M29=0,0,11630*1000*SER_hh_tes_in!M29/SER_hh_num_in!M29)</f>
        <v>11798.089915644952</v>
      </c>
      <c r="N29" s="131">
        <f>IF(SER_hh_tes_in!N29=0,0,11630*1000*SER_hh_tes_in!N29/SER_hh_num_in!N29)</f>
        <v>13272.213704957432</v>
      </c>
      <c r="O29" s="131">
        <f>IF(SER_hh_tes_in!O29=0,0,11630*1000*SER_hh_tes_in!O29/SER_hh_num_in!O29)</f>
        <v>12712.677591514193</v>
      </c>
      <c r="P29" s="131">
        <f>IF(SER_hh_tes_in!P29=0,0,11630*1000*SER_hh_tes_in!P29/SER_hh_num_in!P29)</f>
        <v>12637.620062142367</v>
      </c>
      <c r="Q29" s="131">
        <f>IF(SER_hh_tes_in!Q29=0,0,11630*1000*SER_hh_tes_in!Q29/SER_hh_num_in!Q29)</f>
        <v>12583.251509236527</v>
      </c>
      <c r="R29" s="131">
        <f>IF(SER_hh_tes_in!R29=0,0,11630*1000*SER_hh_tes_in!R29/SER_hh_num_in!R29)</f>
        <v>12576.615194486243</v>
      </c>
      <c r="S29" s="131">
        <f>IF(SER_hh_tes_in!S29=0,0,11630*1000*SER_hh_tes_in!S29/SER_hh_num_in!S29)</f>
        <v>12683.2727618071</v>
      </c>
      <c r="T29" s="131">
        <f>IF(SER_hh_tes_in!T29=0,0,11630*1000*SER_hh_tes_in!T29/SER_hh_num_in!T29)</f>
        <v>12505.142103589713</v>
      </c>
      <c r="U29" s="131">
        <f>IF(SER_hh_tes_in!U29=0,0,11630*1000*SER_hh_tes_in!U29/SER_hh_num_in!U29)</f>
        <v>12465.270411475183</v>
      </c>
      <c r="V29" s="131">
        <f>IF(SER_hh_tes_in!V29=0,0,11630*1000*SER_hh_tes_in!V29/SER_hh_num_in!V29)</f>
        <v>11922.446334632406</v>
      </c>
      <c r="W29" s="131">
        <f>IF(SER_hh_tes_in!W29=0,0,11630*1000*SER_hh_tes_in!W29/SER_hh_num_in!W29)</f>
        <v>12280.709076920268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6470.6816875472323</v>
      </c>
      <c r="D30" s="133">
        <f>IF(SER_hh_tes_in!D30=0,0,11630*1000*SER_hh_tes_in!D30/SER_hh_num_in!D30)</f>
        <v>13386.157403594672</v>
      </c>
      <c r="E30" s="133">
        <f>IF(SER_hh_tes_in!E30=0,0,11630*1000*SER_hh_tes_in!E30/SER_hh_num_in!E30)</f>
        <v>14017.854205144666</v>
      </c>
      <c r="F30" s="133">
        <f>IF(SER_hh_tes_in!F30=0,0,11630*1000*SER_hh_tes_in!F30/SER_hh_num_in!F30)</f>
        <v>16759.338763171734</v>
      </c>
      <c r="G30" s="133">
        <f>IF(SER_hh_tes_in!G30=0,0,11630*1000*SER_hh_tes_in!G30/SER_hh_num_in!G30)</f>
        <v>12453.128056769781</v>
      </c>
      <c r="H30" s="133">
        <f>IF(SER_hh_tes_in!H30=0,0,11630*1000*SER_hh_tes_in!H30/SER_hh_num_in!H30)</f>
        <v>13257.6543244802</v>
      </c>
      <c r="I30" s="133">
        <f>IF(SER_hh_tes_in!I30=0,0,11630*1000*SER_hh_tes_in!I30/SER_hh_num_in!I30)</f>
        <v>0</v>
      </c>
      <c r="J30" s="133">
        <f>IF(SER_hh_tes_in!J30=0,0,11630*1000*SER_hh_tes_in!J30/SER_hh_num_in!J30)</f>
        <v>8284.2045998971025</v>
      </c>
      <c r="K30" s="133">
        <f>IF(SER_hh_tes_in!K30=0,0,11630*1000*SER_hh_tes_in!K30/SER_hh_num_in!K30)</f>
        <v>10358.545039814224</v>
      </c>
      <c r="L30" s="133">
        <f>IF(SER_hh_tes_in!L30=0,0,11630*1000*SER_hh_tes_in!L30/SER_hh_num_in!L30)</f>
        <v>17265.543384629706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0</v>
      </c>
      <c r="O30" s="133">
        <f>IF(SER_hh_tes_in!O30=0,0,11630*1000*SER_hh_tes_in!O30/SER_hh_num_in!O30)</f>
        <v>0</v>
      </c>
      <c r="P30" s="133">
        <f>IF(SER_hh_tes_in!P30=0,0,11630*1000*SER_hh_tes_in!P30/SER_hh_num_in!P30)</f>
        <v>0</v>
      </c>
      <c r="Q30" s="133">
        <f>IF(SER_hh_tes_in!Q30=0,0,11630*1000*SER_hh_tes_in!Q30/SER_hh_num_in!Q30)</f>
        <v>11507.018217987054</v>
      </c>
      <c r="R30" s="133">
        <f>IF(SER_hh_tes_in!R30=0,0,11630*1000*SER_hh_tes_in!R30/SER_hh_num_in!R30)</f>
        <v>8473.3216281030727</v>
      </c>
      <c r="S30" s="133">
        <f>IF(SER_hh_tes_in!S30=0,0,11630*1000*SER_hh_tes_in!S30/SER_hh_num_in!S30)</f>
        <v>15593.690862674624</v>
      </c>
      <c r="T30" s="133">
        <f>IF(SER_hh_tes_in!T30=0,0,11630*1000*SER_hh_tes_in!T30/SER_hh_num_in!T30)</f>
        <v>12563.093464407293</v>
      </c>
      <c r="U30" s="133">
        <f>IF(SER_hh_tes_in!U30=0,0,11630*1000*SER_hh_tes_in!U30/SER_hh_num_in!U30)</f>
        <v>12494.052372862252</v>
      </c>
      <c r="V30" s="133">
        <f>IF(SER_hh_tes_in!V30=0,0,11630*1000*SER_hh_tes_in!V30/SER_hh_num_in!V30)</f>
        <v>11626.539043781491</v>
      </c>
      <c r="W30" s="133">
        <f>IF(SER_hh_tes_in!W30=0,0,11630*1000*SER_hh_tes_in!W30/SER_hh_num_in!W30)</f>
        <v>12732.418841462068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11473.364203646872</v>
      </c>
      <c r="D31" s="133">
        <f>IF(SER_hh_tes_in!D31=0,0,11630*1000*SER_hh_tes_in!D31/SER_hh_num_in!D31)</f>
        <v>11938.605149257421</v>
      </c>
      <c r="E31" s="133">
        <f>IF(SER_hh_tes_in!E31=0,0,11630*1000*SER_hh_tes_in!E31/SER_hh_num_in!E31)</f>
        <v>12108.08333368933</v>
      </c>
      <c r="F31" s="133">
        <f>IF(SER_hh_tes_in!F31=0,0,11630*1000*SER_hh_tes_in!F31/SER_hh_num_in!F31)</f>
        <v>12416.741699178303</v>
      </c>
      <c r="G31" s="133">
        <f>IF(SER_hh_tes_in!G31=0,0,11630*1000*SER_hh_tes_in!G31/SER_hh_num_in!G31)</f>
        <v>12358.683633243632</v>
      </c>
      <c r="H31" s="133">
        <f>IF(SER_hh_tes_in!H31=0,0,11630*1000*SER_hh_tes_in!H31/SER_hh_num_in!H31)</f>
        <v>12199.423743801091</v>
      </c>
      <c r="I31" s="133">
        <f>IF(SER_hh_tes_in!I31=0,0,11630*1000*SER_hh_tes_in!I31/SER_hh_num_in!I31)</f>
        <v>12049.679449147985</v>
      </c>
      <c r="J31" s="133">
        <f>IF(SER_hh_tes_in!J31=0,0,11630*1000*SER_hh_tes_in!J31/SER_hh_num_in!J31)</f>
        <v>12057.343246404551</v>
      </c>
      <c r="K31" s="133">
        <f>IF(SER_hh_tes_in!K31=0,0,11630*1000*SER_hh_tes_in!K31/SER_hh_num_in!K31)</f>
        <v>12366.399079318013</v>
      </c>
      <c r="L31" s="133">
        <f>IF(SER_hh_tes_in!L31=0,0,11630*1000*SER_hh_tes_in!L31/SER_hh_num_in!L31)</f>
        <v>12476.482912958058</v>
      </c>
      <c r="M31" s="133">
        <f>IF(SER_hh_tes_in!M31=0,0,11630*1000*SER_hh_tes_in!M31/SER_hh_num_in!M31)</f>
        <v>12489.38964033644</v>
      </c>
      <c r="N31" s="133">
        <f>IF(SER_hh_tes_in!N31=0,0,11630*1000*SER_hh_tes_in!N31/SER_hh_num_in!N31)</f>
        <v>12499.700713620403</v>
      </c>
      <c r="O31" s="133">
        <f>IF(SER_hh_tes_in!O31=0,0,11630*1000*SER_hh_tes_in!O31/SER_hh_num_in!O31)</f>
        <v>12520.335695381547</v>
      </c>
      <c r="P31" s="133">
        <f>IF(SER_hh_tes_in!P31=0,0,11630*1000*SER_hh_tes_in!P31/SER_hh_num_in!P31)</f>
        <v>12637.664254456315</v>
      </c>
      <c r="Q31" s="133">
        <f>IF(SER_hh_tes_in!Q31=0,0,11630*1000*SER_hh_tes_in!Q31/SER_hh_num_in!Q31)</f>
        <v>12647.124765818084</v>
      </c>
      <c r="R31" s="133">
        <f>IF(SER_hh_tes_in!R31=0,0,11630*1000*SER_hh_tes_in!R31/SER_hh_num_in!R31)</f>
        <v>12597.742187207541</v>
      </c>
      <c r="S31" s="133">
        <f>IF(SER_hh_tes_in!S31=0,0,11630*1000*SER_hh_tes_in!S31/SER_hh_num_in!S31)</f>
        <v>12510.289342111224</v>
      </c>
      <c r="T31" s="133">
        <f>IF(SER_hh_tes_in!T31=0,0,11630*1000*SER_hh_tes_in!T31/SER_hh_num_in!T31)</f>
        <v>12472.388353965252</v>
      </c>
      <c r="U31" s="133">
        <f>IF(SER_hh_tes_in!U31=0,0,11630*1000*SER_hh_tes_in!U31/SER_hh_num_in!U31)</f>
        <v>12748.709246112374</v>
      </c>
      <c r="V31" s="133">
        <f>IF(SER_hh_tes_in!V31=0,0,11630*1000*SER_hh_tes_in!V31/SER_hh_num_in!V31)</f>
        <v>11777.609870519762</v>
      </c>
      <c r="W31" s="133">
        <f>IF(SER_hh_tes_in!W31=0,0,11630*1000*SER_hh_tes_in!W31/SER_hh_num_in!W31)</f>
        <v>11907.086178514819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11211.426709292442</v>
      </c>
      <c r="D32" s="133">
        <f>IF(SER_hh_tes_in!D32=0,0,11630*1000*SER_hh_tes_in!D32/SER_hh_num_in!D32)</f>
        <v>12047.43735857697</v>
      </c>
      <c r="E32" s="133">
        <f>IF(SER_hh_tes_in!E32=0,0,11630*1000*SER_hh_tes_in!E32/SER_hh_num_in!E32)</f>
        <v>12160.871031005207</v>
      </c>
      <c r="F32" s="133">
        <f>IF(SER_hh_tes_in!F32=0,0,11630*1000*SER_hh_tes_in!F32/SER_hh_num_in!F32)</f>
        <v>12475.0263894782</v>
      </c>
      <c r="G32" s="133">
        <f>IF(SER_hh_tes_in!G32=0,0,11630*1000*SER_hh_tes_in!G32/SER_hh_num_in!G32)</f>
        <v>12322.311267125257</v>
      </c>
      <c r="H32" s="133">
        <f>IF(SER_hh_tes_in!H32=0,0,11630*1000*SER_hh_tes_in!H32/SER_hh_num_in!H32)</f>
        <v>12173.766019023247</v>
      </c>
      <c r="I32" s="133">
        <f>IF(SER_hh_tes_in!I32=0,0,11630*1000*SER_hh_tes_in!I32/SER_hh_num_in!I32)</f>
        <v>12098.59718785298</v>
      </c>
      <c r="J32" s="133">
        <f>IF(SER_hh_tes_in!J32=0,0,11630*1000*SER_hh_tes_in!J32/SER_hh_num_in!J32)</f>
        <v>11986.921510761207</v>
      </c>
      <c r="K32" s="133">
        <f>IF(SER_hh_tes_in!K32=0,0,11630*1000*SER_hh_tes_in!K32/SER_hh_num_in!K32)</f>
        <v>11974.43917276076</v>
      </c>
      <c r="L32" s="133">
        <f>IF(SER_hh_tes_in!L32=0,0,11630*1000*SER_hh_tes_in!L32/SER_hh_num_in!L32)</f>
        <v>12581.729930208252</v>
      </c>
      <c r="M32" s="133">
        <f>IF(SER_hh_tes_in!M32=0,0,11630*1000*SER_hh_tes_in!M32/SER_hh_num_in!M32)</f>
        <v>12199.257400992065</v>
      </c>
      <c r="N32" s="133">
        <f>IF(SER_hh_tes_in!N32=0,0,11630*1000*SER_hh_tes_in!N32/SER_hh_num_in!N32)</f>
        <v>12541.51777519084</v>
      </c>
      <c r="O32" s="133">
        <f>IF(SER_hh_tes_in!O32=0,0,11630*1000*SER_hh_tes_in!O32/SER_hh_num_in!O32)</f>
        <v>12253.755934845449</v>
      </c>
      <c r="P32" s="133">
        <f>IF(SER_hh_tes_in!P32=0,0,11630*1000*SER_hh_tes_in!P32/SER_hh_num_in!P32)</f>
        <v>12442.023887309919</v>
      </c>
      <c r="Q32" s="133">
        <f>IF(SER_hh_tes_in!Q32=0,0,11630*1000*SER_hh_tes_in!Q32/SER_hh_num_in!Q32)</f>
        <v>12795.277118773956</v>
      </c>
      <c r="R32" s="133">
        <f>IF(SER_hh_tes_in!R32=0,0,11630*1000*SER_hh_tes_in!R32/SER_hh_num_in!R32)</f>
        <v>12550.208729119387</v>
      </c>
      <c r="S32" s="133">
        <f>IF(SER_hh_tes_in!S32=0,0,11630*1000*SER_hh_tes_in!S32/SER_hh_num_in!S32)</f>
        <v>12328.618990481897</v>
      </c>
      <c r="T32" s="133">
        <f>IF(SER_hh_tes_in!T32=0,0,11630*1000*SER_hh_tes_in!T32/SER_hh_num_in!T32)</f>
        <v>12307.300744329466</v>
      </c>
      <c r="U32" s="133">
        <f>IF(SER_hh_tes_in!U32=0,0,11630*1000*SER_hh_tes_in!U32/SER_hh_num_in!U32)</f>
        <v>12520.890886373905</v>
      </c>
      <c r="V32" s="133">
        <f>IF(SER_hh_tes_in!V32=0,0,11630*1000*SER_hh_tes_in!V32/SER_hh_num_in!V32)</f>
        <v>12433.177900582876</v>
      </c>
      <c r="W32" s="133">
        <f>IF(SER_hh_tes_in!W32=0,0,11630*1000*SER_hh_tes_in!W32/SER_hh_num_in!W32)</f>
        <v>12257.257664269935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12393.447823473871</v>
      </c>
      <c r="D33" s="68">
        <f>IF(SER_hh_tes_in!D33=0,0,11630*1000*SER_hh_tes_in!D33/SER_hh_num_in!D33)</f>
        <v>11301.738665901385</v>
      </c>
      <c r="E33" s="68">
        <f>IF(SER_hh_tes_in!E33=0,0,11630*1000*SER_hh_tes_in!E33/SER_hh_num_in!E33)</f>
        <v>11635.618711982315</v>
      </c>
      <c r="F33" s="68">
        <f>IF(SER_hh_tes_in!F33=0,0,11630*1000*SER_hh_tes_in!F33/SER_hh_num_in!F33)</f>
        <v>10463.657483835565</v>
      </c>
      <c r="G33" s="68">
        <f>IF(SER_hh_tes_in!G33=0,0,11630*1000*SER_hh_tes_in!G33/SER_hh_num_in!G33)</f>
        <v>12218.374094204532</v>
      </c>
      <c r="H33" s="68">
        <f>IF(SER_hh_tes_in!H33=0,0,11630*1000*SER_hh_tes_in!H33/SER_hh_num_in!H33)</f>
        <v>11791.819865617566</v>
      </c>
      <c r="I33" s="68">
        <f>IF(SER_hh_tes_in!I33=0,0,11630*1000*SER_hh_tes_in!I33/SER_hh_num_in!I33)</f>
        <v>12255.807278941247</v>
      </c>
      <c r="J33" s="68">
        <f>IF(SER_hh_tes_in!J33=0,0,11630*1000*SER_hh_tes_in!J33/SER_hh_num_in!J33)</f>
        <v>12839.211925960957</v>
      </c>
      <c r="K33" s="68">
        <f>IF(SER_hh_tes_in!K33=0,0,11630*1000*SER_hh_tes_in!K33/SER_hh_num_in!K33)</f>
        <v>12948.220646384472</v>
      </c>
      <c r="L33" s="68">
        <f>IF(SER_hh_tes_in!L33=0,0,11630*1000*SER_hh_tes_in!L33/SER_hh_num_in!L33)</f>
        <v>11150.233240620995</v>
      </c>
      <c r="M33" s="68">
        <f>IF(SER_hh_tes_in!M33=0,0,11630*1000*SER_hh_tes_in!M33/SER_hh_num_in!M33)</f>
        <v>11458.751924877324</v>
      </c>
      <c r="N33" s="68">
        <f>IF(SER_hh_tes_in!N33=0,0,11630*1000*SER_hh_tes_in!N33/SER_hh_num_in!N33)</f>
        <v>13523.811767688019</v>
      </c>
      <c r="O33" s="68">
        <f>IF(SER_hh_tes_in!O33=0,0,11630*1000*SER_hh_tes_in!O33/SER_hh_num_in!O33)</f>
        <v>12812.573325953805</v>
      </c>
      <c r="P33" s="68">
        <f>IF(SER_hh_tes_in!P33=0,0,11630*1000*SER_hh_tes_in!P33/SER_hh_num_in!P33)</f>
        <v>12643.090341563187</v>
      </c>
      <c r="Q33" s="68">
        <f>IF(SER_hh_tes_in!Q33=0,0,11630*1000*SER_hh_tes_in!Q33/SER_hh_num_in!Q33)</f>
        <v>12616.840365535891</v>
      </c>
      <c r="R33" s="68">
        <f>IF(SER_hh_tes_in!R33=0,0,11630*1000*SER_hh_tes_in!R33/SER_hh_num_in!R33)</f>
        <v>12771.282993432875</v>
      </c>
      <c r="S33" s="68">
        <f>IF(SER_hh_tes_in!S33=0,0,11630*1000*SER_hh_tes_in!S33/SER_hh_num_in!S33)</f>
        <v>12518.882480938266</v>
      </c>
      <c r="T33" s="68">
        <f>IF(SER_hh_tes_in!T33=0,0,11630*1000*SER_hh_tes_in!T33/SER_hh_num_in!T33)</f>
        <v>12524.911426159235</v>
      </c>
      <c r="U33" s="68">
        <f>IF(SER_hh_tes_in!U33=0,0,11630*1000*SER_hh_tes_in!U33/SER_hh_num_in!U33)</f>
        <v>12321.995766744656</v>
      </c>
      <c r="V33" s="68">
        <f>IF(SER_hh_tes_in!V33=0,0,11630*1000*SER_hh_tes_in!V33/SER_hh_num_in!V33)</f>
        <v>11988.033944961217</v>
      </c>
      <c r="W33" s="68">
        <f>IF(SER_hh_tes_in!W33=0,0,11630*1000*SER_hh_tes_in!W33/SER_hh_num_in!W33)</f>
        <v>12442.013049542831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33391.387803811274</v>
      </c>
      <c r="D3" s="126">
        <f>IF(SER_hh_emi_in!D3=0,0,1000000*SER_hh_emi_in!D3/SER_hh_num_in!D3)</f>
        <v>27078.297222067202</v>
      </c>
      <c r="E3" s="126">
        <f>IF(SER_hh_emi_in!E3=0,0,1000000*SER_hh_emi_in!E3/SER_hh_num_in!E3)</f>
        <v>26002.554545389357</v>
      </c>
      <c r="F3" s="126">
        <f>IF(SER_hh_emi_in!F3=0,0,1000000*SER_hh_emi_in!F3/SER_hh_num_in!F3)</f>
        <v>10973.913431882982</v>
      </c>
      <c r="G3" s="126">
        <f>IF(SER_hh_emi_in!G3=0,0,1000000*SER_hh_emi_in!G3/SER_hh_num_in!G3)</f>
        <v>9357.4928320501804</v>
      </c>
      <c r="H3" s="126">
        <f>IF(SER_hh_emi_in!H3=0,0,1000000*SER_hh_emi_in!H3/SER_hh_num_in!H3)</f>
        <v>8420.5284819503613</v>
      </c>
      <c r="I3" s="126">
        <f>IF(SER_hh_emi_in!I3=0,0,1000000*SER_hh_emi_in!I3/SER_hh_num_in!I3)</f>
        <v>3819.3264514603161</v>
      </c>
      <c r="J3" s="126">
        <f>IF(SER_hh_emi_in!J3=0,0,1000000*SER_hh_emi_in!J3/SER_hh_num_in!J3)</f>
        <v>1899.1639177599493</v>
      </c>
      <c r="K3" s="126">
        <f>IF(SER_hh_emi_in!K3=0,0,1000000*SER_hh_emi_in!K3/SER_hh_num_in!K3)</f>
        <v>5008.2170146588887</v>
      </c>
      <c r="L3" s="126">
        <f>IF(SER_hh_emi_in!L3=0,0,1000000*SER_hh_emi_in!L3/SER_hh_num_in!L3)</f>
        <v>5921.229467209766</v>
      </c>
      <c r="M3" s="126">
        <f>IF(SER_hh_emi_in!M3=0,0,1000000*SER_hh_emi_in!M3/SER_hh_num_in!M3)</f>
        <v>5318.0358669578827</v>
      </c>
      <c r="N3" s="126">
        <f>IF(SER_hh_emi_in!N3=0,0,1000000*SER_hh_emi_in!N3/SER_hh_num_in!N3)</f>
        <v>8232.4414888425072</v>
      </c>
      <c r="O3" s="126">
        <f>IF(SER_hh_emi_in!O3=0,0,1000000*SER_hh_emi_in!O3/SER_hh_num_in!O3)</f>
        <v>11366.016321859821</v>
      </c>
      <c r="P3" s="126">
        <f>IF(SER_hh_emi_in!P3=0,0,1000000*SER_hh_emi_in!P3/SER_hh_num_in!P3)</f>
        <v>8076.8068933325703</v>
      </c>
      <c r="Q3" s="126">
        <f>IF(SER_hh_emi_in!Q3=0,0,1000000*SER_hh_emi_in!Q3/SER_hh_num_in!Q3)</f>
        <v>7102.6056747736075</v>
      </c>
      <c r="R3" s="126">
        <f>IF(SER_hh_emi_in!R3=0,0,1000000*SER_hh_emi_in!R3/SER_hh_num_in!R3)</f>
        <v>7099.4968136698562</v>
      </c>
      <c r="S3" s="126">
        <f>IF(SER_hh_emi_in!S3=0,0,1000000*SER_hh_emi_in!S3/SER_hh_num_in!S3)</f>
        <v>8001.2989750363695</v>
      </c>
      <c r="T3" s="126">
        <f>IF(SER_hh_emi_in!T3=0,0,1000000*SER_hh_emi_in!T3/SER_hh_num_in!T3)</f>
        <v>6012.9602765238242</v>
      </c>
      <c r="U3" s="126">
        <f>IF(SER_hh_emi_in!U3=0,0,1000000*SER_hh_emi_in!U3/SER_hh_num_in!U3)</f>
        <v>5628.5436294190285</v>
      </c>
      <c r="V3" s="126">
        <f>IF(SER_hh_emi_in!V3=0,0,1000000*SER_hh_emi_in!V3/SER_hh_num_in!V3)</f>
        <v>3352.2422756685278</v>
      </c>
      <c r="W3" s="126">
        <f>IF(SER_hh_emi_in!W3=0,0,1000000*SER_hh_emi_in!W3/SER_hh_num_in!W3)</f>
        <v>5160.5515310869641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30473.691468438374</v>
      </c>
      <c r="D4" s="131">
        <f>IF(SER_hh_emi_in!D4=0,0,1000000*SER_hh_emi_in!D4/SER_hh_num_in!D4)</f>
        <v>21427.70990799235</v>
      </c>
      <c r="E4" s="131">
        <f>IF(SER_hh_emi_in!E4=0,0,1000000*SER_hh_emi_in!E4/SER_hh_num_in!E4)</f>
        <v>21414.882105669461</v>
      </c>
      <c r="F4" s="131">
        <f>IF(SER_hh_emi_in!F4=0,0,1000000*SER_hh_emi_in!F4/SER_hh_num_in!F4)</f>
        <v>7285.6464405066699</v>
      </c>
      <c r="G4" s="131">
        <f>IF(SER_hh_emi_in!G4=0,0,1000000*SER_hh_emi_in!G4/SER_hh_num_in!G4)</f>
        <v>6572.4314135259419</v>
      </c>
      <c r="H4" s="131">
        <f>IF(SER_hh_emi_in!H4=0,0,1000000*SER_hh_emi_in!H4/SER_hh_num_in!H4)</f>
        <v>6161.3484496446235</v>
      </c>
      <c r="I4" s="131">
        <f>IF(SER_hh_emi_in!I4=0,0,1000000*SER_hh_emi_in!I4/SER_hh_num_in!I4)</f>
        <v>2208.9960144266925</v>
      </c>
      <c r="J4" s="131">
        <f>IF(SER_hh_emi_in!J4=0,0,1000000*SER_hh_emi_in!J4/SER_hh_num_in!J4)</f>
        <v>60.710815479675475</v>
      </c>
      <c r="K4" s="131">
        <f>IF(SER_hh_emi_in!K4=0,0,1000000*SER_hh_emi_in!K4/SER_hh_num_in!K4)</f>
        <v>1897.7256723017251</v>
      </c>
      <c r="L4" s="131">
        <f>IF(SER_hh_emi_in!L4=0,0,1000000*SER_hh_emi_in!L4/SER_hh_num_in!L4)</f>
        <v>3548.0803605085384</v>
      </c>
      <c r="M4" s="131">
        <f>IF(SER_hh_emi_in!M4=0,0,1000000*SER_hh_emi_in!M4/SER_hh_num_in!M4)</f>
        <v>3534.0584447026345</v>
      </c>
      <c r="N4" s="131">
        <f>IF(SER_hh_emi_in!N4=0,0,1000000*SER_hh_emi_in!N4/SER_hh_num_in!N4)</f>
        <v>6803.0703932945262</v>
      </c>
      <c r="O4" s="131">
        <f>IF(SER_hh_emi_in!O4=0,0,1000000*SER_hh_emi_in!O4/SER_hh_num_in!O4)</f>
        <v>9027.9623506763437</v>
      </c>
      <c r="P4" s="131">
        <f>IF(SER_hh_emi_in!P4=0,0,1000000*SER_hh_emi_in!P4/SER_hh_num_in!P4)</f>
        <v>6296.945876614911</v>
      </c>
      <c r="Q4" s="131">
        <f>IF(SER_hh_emi_in!Q4=0,0,1000000*SER_hh_emi_in!Q4/SER_hh_num_in!Q4)</f>
        <v>4771.1707934848055</v>
      </c>
      <c r="R4" s="131">
        <f>IF(SER_hh_emi_in!R4=0,0,1000000*SER_hh_emi_in!R4/SER_hh_num_in!R4)</f>
        <v>4971.3161449120407</v>
      </c>
      <c r="S4" s="131">
        <f>IF(SER_hh_emi_in!S4=0,0,1000000*SER_hh_emi_in!S4/SER_hh_num_in!S4)</f>
        <v>5776.0745709554103</v>
      </c>
      <c r="T4" s="131">
        <f>IF(SER_hh_emi_in!T4=0,0,1000000*SER_hh_emi_in!T4/SER_hh_num_in!T4)</f>
        <v>4110.8443301727139</v>
      </c>
      <c r="U4" s="131">
        <f>IF(SER_hh_emi_in!U4=0,0,1000000*SER_hh_emi_in!U4/SER_hh_num_in!U4)</f>
        <v>3397.5363783946459</v>
      </c>
      <c r="V4" s="131">
        <f>IF(SER_hh_emi_in!V4=0,0,1000000*SER_hh_emi_in!V4/SER_hh_num_in!V4)</f>
        <v>1601.0306795733331</v>
      </c>
      <c r="W4" s="131">
        <f>IF(SER_hh_emi_in!W4=0,0,1000000*SER_hh_emi_in!W4/SER_hh_num_in!W4)</f>
        <v>3059.8999614771928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14957.861651952044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46253.398832284685</v>
      </c>
      <c r="D7" s="133">
        <f>IF(SER_hh_emi_in!D7=0,0,1000000*SER_hh_emi_in!D7/SER_hh_num_in!D7)</f>
        <v>43780.872946548167</v>
      </c>
      <c r="E7" s="133">
        <f>IF(SER_hh_emi_in!E7=0,0,1000000*SER_hh_emi_in!E7/SER_hh_num_in!E7)</f>
        <v>52039.992542933993</v>
      </c>
      <c r="F7" s="133">
        <f>IF(SER_hh_emi_in!F7=0,0,1000000*SER_hh_emi_in!F7/SER_hh_num_in!F7)</f>
        <v>36085.980387897165</v>
      </c>
      <c r="G7" s="133">
        <f>IF(SER_hh_emi_in!G7=0,0,1000000*SER_hh_emi_in!G7/SER_hh_num_in!G7)</f>
        <v>45317.451958441488</v>
      </c>
      <c r="H7" s="133">
        <f>IF(SER_hh_emi_in!H7=0,0,1000000*SER_hh_emi_in!H7/SER_hh_num_in!H7)</f>
        <v>45322.693604417276</v>
      </c>
      <c r="I7" s="133">
        <f>IF(SER_hh_emi_in!I7=0,0,1000000*SER_hh_emi_in!I7/SER_hh_num_in!I7)</f>
        <v>31558.95540667561</v>
      </c>
      <c r="J7" s="133">
        <f>IF(SER_hh_emi_in!J7=0,0,1000000*SER_hh_emi_in!J7/SER_hh_num_in!J7)</f>
        <v>0</v>
      </c>
      <c r="K7" s="133">
        <f>IF(SER_hh_emi_in!K7=0,0,1000000*SER_hh_emi_in!K7/SER_hh_num_in!K7)</f>
        <v>0</v>
      </c>
      <c r="L7" s="133">
        <f>IF(SER_hh_emi_in!L7=0,0,1000000*SER_hh_emi_in!L7/SER_hh_num_in!L7)</f>
        <v>0</v>
      </c>
      <c r="M7" s="133">
        <f>IF(SER_hh_emi_in!M7=0,0,1000000*SER_hh_emi_in!M7/SER_hh_num_in!M7)</f>
        <v>0</v>
      </c>
      <c r="N7" s="133">
        <f>IF(SER_hh_emi_in!N7=0,0,1000000*SER_hh_emi_in!N7/SER_hh_num_in!N7)</f>
        <v>0</v>
      </c>
      <c r="O7" s="133">
        <f>IF(SER_hh_emi_in!O7=0,0,1000000*SER_hh_emi_in!O7/SER_hh_num_in!O7)</f>
        <v>22892.583471616883</v>
      </c>
      <c r="P7" s="133">
        <f>IF(SER_hh_emi_in!P7=0,0,1000000*SER_hh_emi_in!P7/SER_hh_num_in!P7)</f>
        <v>21992.024639904444</v>
      </c>
      <c r="Q7" s="133">
        <f>IF(SER_hh_emi_in!Q7=0,0,1000000*SER_hh_emi_in!Q7/SER_hh_num_in!Q7)</f>
        <v>20528.65326965494</v>
      </c>
      <c r="R7" s="133">
        <f>IF(SER_hh_emi_in!R7=0,0,1000000*SER_hh_emi_in!R7/SER_hh_num_in!R7)</f>
        <v>17543.177331673738</v>
      </c>
      <c r="S7" s="133">
        <f>IF(SER_hh_emi_in!S7=0,0,1000000*SER_hh_emi_in!S7/SER_hh_num_in!S7)</f>
        <v>23273.422799614036</v>
      </c>
      <c r="T7" s="133">
        <f>IF(SER_hh_emi_in!T7=0,0,1000000*SER_hh_emi_in!T7/SER_hh_num_in!T7)</f>
        <v>19466.552588872204</v>
      </c>
      <c r="U7" s="133">
        <f>IF(SER_hh_emi_in!U7=0,0,1000000*SER_hh_emi_in!U7/SER_hh_num_in!U7)</f>
        <v>17647.801214780393</v>
      </c>
      <c r="V7" s="133">
        <f>IF(SER_hh_emi_in!V7=0,0,1000000*SER_hh_emi_in!V7/SER_hh_num_in!V7)</f>
        <v>16734.045551324703</v>
      </c>
      <c r="W7" s="133">
        <f>IF(SER_hh_emi_in!W7=0,0,1000000*SER_hh_emi_in!W7/SER_hh_num_in!W7)</f>
        <v>20631.890702407443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17080.929291366156</v>
      </c>
      <c r="D8" s="133">
        <f>IF(SER_hh_emi_in!D8=0,0,1000000*SER_hh_emi_in!D8/SER_hh_num_in!D8)</f>
        <v>14926.024441343339</v>
      </c>
      <c r="E8" s="133">
        <f>IF(SER_hh_emi_in!E8=0,0,1000000*SER_hh_emi_in!E8/SER_hh_num_in!E8)</f>
        <v>16130.51573381884</v>
      </c>
      <c r="F8" s="133">
        <f>IF(SER_hh_emi_in!F8=0,0,1000000*SER_hh_emi_in!F8/SER_hh_num_in!F8)</f>
        <v>15058.048933912462</v>
      </c>
      <c r="G8" s="133">
        <f>IF(SER_hh_emi_in!G8=0,0,1000000*SER_hh_emi_in!G8/SER_hh_num_in!G8)</f>
        <v>13060.408888091271</v>
      </c>
      <c r="H8" s="133">
        <f>IF(SER_hh_emi_in!H8=0,0,1000000*SER_hh_emi_in!H8/SER_hh_num_in!H8)</f>
        <v>12955.596091951498</v>
      </c>
      <c r="I8" s="133">
        <f>IF(SER_hh_emi_in!I8=0,0,1000000*SER_hh_emi_in!I8/SER_hh_num_in!I8)</f>
        <v>9738.3430518457408</v>
      </c>
      <c r="J8" s="133">
        <f>IF(SER_hh_emi_in!J8=0,0,1000000*SER_hh_emi_in!J8/SER_hh_num_in!J8)</f>
        <v>10479.315082925417</v>
      </c>
      <c r="K8" s="133">
        <f>IF(SER_hh_emi_in!K8=0,0,1000000*SER_hh_emi_in!K8/SER_hh_num_in!K8)</f>
        <v>8277.9451301134723</v>
      </c>
      <c r="L8" s="133">
        <f>IF(SER_hh_emi_in!L8=0,0,1000000*SER_hh_emi_in!L8/SER_hh_num_in!L8)</f>
        <v>7746.5344869122218</v>
      </c>
      <c r="M8" s="133">
        <f>IF(SER_hh_emi_in!M8=0,0,1000000*SER_hh_emi_in!M8/SER_hh_num_in!M8)</f>
        <v>6974.3197929183088</v>
      </c>
      <c r="N8" s="133">
        <f>IF(SER_hh_emi_in!N8=0,0,1000000*SER_hh_emi_in!N8/SER_hh_num_in!N8)</f>
        <v>6431.0595516489702</v>
      </c>
      <c r="O8" s="133">
        <f>IF(SER_hh_emi_in!O8=0,0,1000000*SER_hh_emi_in!O8/SER_hh_num_in!O8)</f>
        <v>5659.2846132464356</v>
      </c>
      <c r="P8" s="133">
        <f>IF(SER_hh_emi_in!P8=0,0,1000000*SER_hh_emi_in!P8/SER_hh_num_in!P8)</f>
        <v>4959.1146593628091</v>
      </c>
      <c r="Q8" s="133">
        <f>IF(SER_hh_emi_in!Q8=0,0,1000000*SER_hh_emi_in!Q8/SER_hh_num_in!Q8)</f>
        <v>4670.1322279409405</v>
      </c>
      <c r="R8" s="133">
        <f>IF(SER_hh_emi_in!R8=0,0,1000000*SER_hh_emi_in!R8/SER_hh_num_in!R8)</f>
        <v>4569.8084060956999</v>
      </c>
      <c r="S8" s="133">
        <f>IF(SER_hh_emi_in!S8=0,0,1000000*SER_hh_emi_in!S8/SER_hh_num_in!S8)</f>
        <v>4947.3417209477002</v>
      </c>
      <c r="T8" s="133">
        <f>IF(SER_hh_emi_in!T8=0,0,1000000*SER_hh_emi_in!T8/SER_hh_num_in!T8)</f>
        <v>4569.1871120034702</v>
      </c>
      <c r="U8" s="133">
        <f>IF(SER_hh_emi_in!U8=0,0,1000000*SER_hh_emi_in!U8/SER_hh_num_in!U8)</f>
        <v>4666.796064698483</v>
      </c>
      <c r="V8" s="133">
        <f>IF(SER_hh_emi_in!V8=0,0,1000000*SER_hh_emi_in!V8/SER_hh_num_in!V8)</f>
        <v>3907.0669972278115</v>
      </c>
      <c r="W8" s="133">
        <f>IF(SER_hh_emi_in!W8=0,0,1000000*SER_hh_emi_in!W8/SER_hh_num_in!W8)</f>
        <v>4176.3421769286861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31449.588142754281</v>
      </c>
      <c r="D9" s="133">
        <f>IF(SER_hh_emi_in!D9=0,0,1000000*SER_hh_emi_in!D9/SER_hh_num_in!D9)</f>
        <v>26940.307420801615</v>
      </c>
      <c r="E9" s="133">
        <f>IF(SER_hh_emi_in!E9=0,0,1000000*SER_hh_emi_in!E9/SER_hh_num_in!E9)</f>
        <v>30791.682625189384</v>
      </c>
      <c r="F9" s="133">
        <f>IF(SER_hh_emi_in!F9=0,0,1000000*SER_hh_emi_in!F9/SER_hh_num_in!F9)</f>
        <v>0</v>
      </c>
      <c r="G9" s="133">
        <f>IF(SER_hh_emi_in!G9=0,0,1000000*SER_hh_emi_in!G9/SER_hh_num_in!G9)</f>
        <v>0</v>
      </c>
      <c r="H9" s="133">
        <f>IF(SER_hh_emi_in!H9=0,0,1000000*SER_hh_emi_in!H9/SER_hh_num_in!H9)</f>
        <v>0</v>
      </c>
      <c r="I9" s="133">
        <f>IF(SER_hh_emi_in!I9=0,0,1000000*SER_hh_emi_in!I9/SER_hh_num_in!I9)</f>
        <v>0</v>
      </c>
      <c r="J9" s="133">
        <f>IF(SER_hh_emi_in!J9=0,0,1000000*SER_hh_emi_in!J9/SER_hh_num_in!J9)</f>
        <v>0</v>
      </c>
      <c r="K9" s="133">
        <f>IF(SER_hh_emi_in!K9=0,0,1000000*SER_hh_emi_in!K9/SER_hh_num_in!K9)</f>
        <v>18394.128447987376</v>
      </c>
      <c r="L9" s="133">
        <f>IF(SER_hh_emi_in!L9=0,0,1000000*SER_hh_emi_in!L9/SER_hh_num_in!L9)</f>
        <v>19956.177593081615</v>
      </c>
      <c r="M9" s="133">
        <f>IF(SER_hh_emi_in!M9=0,0,1000000*SER_hh_emi_in!M9/SER_hh_num_in!M9)</f>
        <v>16210.087096528256</v>
      </c>
      <c r="N9" s="133">
        <f>IF(SER_hh_emi_in!N9=0,0,1000000*SER_hh_emi_in!N9/SER_hh_num_in!N9)</f>
        <v>18444.714012552053</v>
      </c>
      <c r="O9" s="133">
        <f>IF(SER_hh_emi_in!O9=0,0,1000000*SER_hh_emi_in!O9/SER_hh_num_in!O9)</f>
        <v>18089.341975823318</v>
      </c>
      <c r="P9" s="133">
        <f>IF(SER_hh_emi_in!P9=0,0,1000000*SER_hh_emi_in!P9/SER_hh_num_in!P9)</f>
        <v>12941.110586268556</v>
      </c>
      <c r="Q9" s="133">
        <f>IF(SER_hh_emi_in!Q9=0,0,1000000*SER_hh_emi_in!Q9/SER_hh_num_in!Q9)</f>
        <v>14371.022995460909</v>
      </c>
      <c r="R9" s="133">
        <f>IF(SER_hh_emi_in!R9=0,0,1000000*SER_hh_emi_in!R9/SER_hh_num_in!R9)</f>
        <v>12649.921813241133</v>
      </c>
      <c r="S9" s="133">
        <f>IF(SER_hh_emi_in!S9=0,0,1000000*SER_hh_emi_in!S9/SER_hh_num_in!S9)</f>
        <v>13896.900031390709</v>
      </c>
      <c r="T9" s="133">
        <f>IF(SER_hh_emi_in!T9=0,0,1000000*SER_hh_emi_in!T9/SER_hh_num_in!T9)</f>
        <v>12643.304616040294</v>
      </c>
      <c r="U9" s="133">
        <f>IF(SER_hh_emi_in!U9=0,0,1000000*SER_hh_emi_in!U9/SER_hh_num_in!U9)</f>
        <v>13291.003357334328</v>
      </c>
      <c r="V9" s="133">
        <f>IF(SER_hh_emi_in!V9=0,0,1000000*SER_hh_emi_in!V9/SER_hh_num_in!V9)</f>
        <v>0</v>
      </c>
      <c r="W9" s="133">
        <f>IF(SER_hh_emi_in!W9=0,0,1000000*SER_hh_emi_in!W9/SER_hh_num_in!W9)</f>
        <v>14218.776045249544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14284.050625418318</v>
      </c>
      <c r="D10" s="133">
        <f>IF(SER_hh_emi_in!D10=0,0,1000000*SER_hh_emi_in!D10/SER_hh_num_in!D10)</f>
        <v>13700.136087548961</v>
      </c>
      <c r="E10" s="133">
        <f>IF(SER_hh_emi_in!E10=0,0,1000000*SER_hh_emi_in!E10/SER_hh_num_in!E10)</f>
        <v>14506.269841080039</v>
      </c>
      <c r="F10" s="133">
        <f>IF(SER_hh_emi_in!F10=0,0,1000000*SER_hh_emi_in!F10/SER_hh_num_in!F10)</f>
        <v>11476.058323895963</v>
      </c>
      <c r="G10" s="133">
        <f>IF(SER_hh_emi_in!G10=0,0,1000000*SER_hh_emi_in!G10/SER_hh_num_in!G10)</f>
        <v>23134.709678144634</v>
      </c>
      <c r="H10" s="133">
        <f>IF(SER_hh_emi_in!H10=0,0,1000000*SER_hh_emi_in!H10/SER_hh_num_in!H10)</f>
        <v>15742.5364635066</v>
      </c>
      <c r="I10" s="133">
        <f>IF(SER_hh_emi_in!I10=0,0,1000000*SER_hh_emi_in!I10/SER_hh_num_in!I10)</f>
        <v>7095.7474515051854</v>
      </c>
      <c r="J10" s="133">
        <f>IF(SER_hh_emi_in!J10=0,0,1000000*SER_hh_emi_in!J10/SER_hh_num_in!J10)</f>
        <v>1174.6457174737766</v>
      </c>
      <c r="K10" s="133">
        <f>IF(SER_hh_emi_in!K10=0,0,1000000*SER_hh_emi_in!K10/SER_hh_num_in!K10)</f>
        <v>1147.2085114359429</v>
      </c>
      <c r="L10" s="133">
        <f>IF(SER_hh_emi_in!L10=0,0,1000000*SER_hh_emi_in!L10/SER_hh_num_in!L10)</f>
        <v>1295.9151256448067</v>
      </c>
      <c r="M10" s="133">
        <f>IF(SER_hh_emi_in!M10=0,0,1000000*SER_hh_emi_in!M10/SER_hh_num_in!M10)</f>
        <v>1122.7723767238424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5.4019506285479348</v>
      </c>
      <c r="D16" s="131">
        <f>IF(SER_hh_emi_in!D16=0,0,1000000*SER_hh_emi_in!D16/SER_hh_num_in!D16)</f>
        <v>7.6402582203696934</v>
      </c>
      <c r="E16" s="131">
        <f>IF(SER_hh_emi_in!E16=0,0,1000000*SER_hh_emi_in!E16/SER_hh_num_in!E16)</f>
        <v>4.8917541733266594</v>
      </c>
      <c r="F16" s="131">
        <f>IF(SER_hh_emi_in!F16=0,0,1000000*SER_hh_emi_in!F16/SER_hh_num_in!F16)</f>
        <v>11.888014066074657</v>
      </c>
      <c r="G16" s="131">
        <f>IF(SER_hh_emi_in!G16=0,0,1000000*SER_hh_emi_in!G16/SER_hh_num_in!G16)</f>
        <v>8.3472363230268023</v>
      </c>
      <c r="H16" s="131">
        <f>IF(SER_hh_emi_in!H16=0,0,1000000*SER_hh_emi_in!H16/SER_hh_num_in!H16)</f>
        <v>7.9950896165496292</v>
      </c>
      <c r="I16" s="131">
        <f>IF(SER_hh_emi_in!I16=0,0,1000000*SER_hh_emi_in!I16/SER_hh_num_in!I16)</f>
        <v>12.516616218287341</v>
      </c>
      <c r="J16" s="131">
        <f>IF(SER_hh_emi_in!J16=0,0,1000000*SER_hh_emi_in!J16/SER_hh_num_in!J16)</f>
        <v>12.049484647522172</v>
      </c>
      <c r="K16" s="131">
        <f>IF(SER_hh_emi_in!K16=0,0,1000000*SER_hh_emi_in!K16/SER_hh_num_in!K16)</f>
        <v>24.183551317585714</v>
      </c>
      <c r="L16" s="131">
        <f>IF(SER_hh_emi_in!L16=0,0,1000000*SER_hh_emi_in!L16/SER_hh_num_in!L16)</f>
        <v>12.242036167160647</v>
      </c>
      <c r="M16" s="131">
        <f>IF(SER_hh_emi_in!M16=0,0,1000000*SER_hh_emi_in!M16/SER_hh_num_in!M16)</f>
        <v>13.948655881844301</v>
      </c>
      <c r="N16" s="131">
        <f>IF(SER_hh_emi_in!N16=0,0,1000000*SER_hh_emi_in!N16/SER_hh_num_in!N16)</f>
        <v>18.80480762728245</v>
      </c>
      <c r="O16" s="131">
        <f>IF(SER_hh_emi_in!O16=0,0,1000000*SER_hh_emi_in!O16/SER_hh_num_in!O16)</f>
        <v>20.702306329088334</v>
      </c>
      <c r="P16" s="131">
        <f>IF(SER_hh_emi_in!P16=0,0,1000000*SER_hh_emi_in!P16/SER_hh_num_in!P16)</f>
        <v>21.263956670373037</v>
      </c>
      <c r="Q16" s="131">
        <f>IF(SER_hh_emi_in!Q16=0,0,1000000*SER_hh_emi_in!Q16/SER_hh_num_in!Q16)</f>
        <v>25.915374020794331</v>
      </c>
      <c r="R16" s="131">
        <f>IF(SER_hh_emi_in!R16=0,0,1000000*SER_hh_emi_in!R16/SER_hh_num_in!R16)</f>
        <v>17.189370489570639</v>
      </c>
      <c r="S16" s="131">
        <f>IF(SER_hh_emi_in!S16=0,0,1000000*SER_hh_emi_in!S16/SER_hh_num_in!S16)</f>
        <v>27.195086546025944</v>
      </c>
      <c r="T16" s="131">
        <f>IF(SER_hh_emi_in!T16=0,0,1000000*SER_hh_emi_in!T16/SER_hh_num_in!T16)</f>
        <v>22.638031314397502</v>
      </c>
      <c r="U16" s="131">
        <f>IF(SER_hh_emi_in!U16=0,0,1000000*SER_hh_emi_in!U16/SER_hh_num_in!U16)</f>
        <v>33.072211297188801</v>
      </c>
      <c r="V16" s="131">
        <f>IF(SER_hh_emi_in!V16=0,0,1000000*SER_hh_emi_in!V16/SER_hh_num_in!V16)</f>
        <v>15.897666660478022</v>
      </c>
      <c r="W16" s="131">
        <f>IF(SER_hh_emi_in!W16=0,0,1000000*SER_hh_emi_in!W16/SER_hh_num_in!W16)</f>
        <v>20.735060999770031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3105.9878464081694</v>
      </c>
      <c r="D17" s="133">
        <f>IF(SER_hh_emi_in!D17=0,0,1000000*SER_hh_emi_in!D17/SER_hh_num_in!D17)</f>
        <v>3094.2776394533444</v>
      </c>
      <c r="E17" s="133">
        <f>IF(SER_hh_emi_in!E17=0,0,1000000*SER_hh_emi_in!E17/SER_hh_num_in!E17)</f>
        <v>3423.3456501918126</v>
      </c>
      <c r="F17" s="133">
        <f>IF(SER_hh_emi_in!F17=0,0,1000000*SER_hh_emi_in!F17/SER_hh_num_in!F17)</f>
        <v>3021.4589463788975</v>
      </c>
      <c r="G17" s="133">
        <f>IF(SER_hh_emi_in!G17=0,0,1000000*SER_hh_emi_in!G17/SER_hh_num_in!G17)</f>
        <v>3026.6777309016311</v>
      </c>
      <c r="H17" s="133">
        <f>IF(SER_hh_emi_in!H17=0,0,1000000*SER_hh_emi_in!H17/SER_hh_num_in!H17)</f>
        <v>3151.1589416752254</v>
      </c>
      <c r="I17" s="133">
        <f>IF(SER_hh_emi_in!I17=0,0,1000000*SER_hh_emi_in!I17/SER_hh_num_in!I17)</f>
        <v>3122.3411861502664</v>
      </c>
      <c r="J17" s="133">
        <f>IF(SER_hh_emi_in!J17=0,0,1000000*SER_hh_emi_in!J17/SER_hh_num_in!J17)</f>
        <v>2996.447261326125</v>
      </c>
      <c r="K17" s="133">
        <f>IF(SER_hh_emi_in!K17=0,0,1000000*SER_hh_emi_in!K17/SER_hh_num_in!K17)</f>
        <v>2984.7298692256177</v>
      </c>
      <c r="L17" s="133">
        <f>IF(SER_hh_emi_in!L17=0,0,1000000*SER_hh_emi_in!L17/SER_hh_num_in!L17)</f>
        <v>3057.6331623577039</v>
      </c>
      <c r="M17" s="133">
        <f>IF(SER_hh_emi_in!M17=0,0,1000000*SER_hh_emi_in!M17/SER_hh_num_in!M17)</f>
        <v>3174.9963765613261</v>
      </c>
      <c r="N17" s="133">
        <f>IF(SER_hh_emi_in!N17=0,0,1000000*SER_hh_emi_in!N17/SER_hh_num_in!N17)</f>
        <v>3007.5421780307661</v>
      </c>
      <c r="O17" s="133">
        <f>IF(SER_hh_emi_in!O17=0,0,1000000*SER_hh_emi_in!O17/SER_hh_num_in!O17)</f>
        <v>3136.283641509569</v>
      </c>
      <c r="P17" s="133">
        <f>IF(SER_hh_emi_in!P17=0,0,1000000*SER_hh_emi_in!P17/SER_hh_num_in!P17)</f>
        <v>2692.3486396152816</v>
      </c>
      <c r="Q17" s="133">
        <f>IF(SER_hh_emi_in!Q17=0,0,1000000*SER_hh_emi_in!Q17/SER_hh_num_in!Q17)</f>
        <v>3199.6463429573864</v>
      </c>
      <c r="R17" s="133">
        <f>IF(SER_hh_emi_in!R17=0,0,1000000*SER_hh_emi_in!R17/SER_hh_num_in!R17)</f>
        <v>2593.5055315794079</v>
      </c>
      <c r="S17" s="133">
        <f>IF(SER_hh_emi_in!S17=0,0,1000000*SER_hh_emi_in!S17/SER_hh_num_in!S17)</f>
        <v>2734.6426033406624</v>
      </c>
      <c r="T17" s="133">
        <f>IF(SER_hh_emi_in!T17=0,0,1000000*SER_hh_emi_in!T17/SER_hh_num_in!T17)</f>
        <v>2631.0795894494267</v>
      </c>
      <c r="U17" s="133">
        <f>IF(SER_hh_emi_in!U17=0,0,1000000*SER_hh_emi_in!U17/SER_hh_num_in!U17)</f>
        <v>2650.6156002934599</v>
      </c>
      <c r="V17" s="133">
        <f>IF(SER_hh_emi_in!V17=0,0,1000000*SER_hh_emi_in!V17/SER_hh_num_in!V17)</f>
        <v>2351.505315870304</v>
      </c>
      <c r="W17" s="133">
        <f>IF(SER_hh_emi_in!W17=0,0,1000000*SER_hh_emi_in!W17/SER_hh_num_in!W17)</f>
        <v>2348.2030297881952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1077.2952945210602</v>
      </c>
      <c r="D19" s="131">
        <f>IF(SER_hh_emi_in!D19=0,0,1000000*SER_hh_emi_in!D19/SER_hh_num_in!D19)</f>
        <v>1868.5975758628256</v>
      </c>
      <c r="E19" s="131">
        <f>IF(SER_hh_emi_in!E19=0,0,1000000*SER_hh_emi_in!E19/SER_hh_num_in!E19)</f>
        <v>1089.473449992624</v>
      </c>
      <c r="F19" s="131">
        <f>IF(SER_hh_emi_in!F19=0,0,1000000*SER_hh_emi_in!F19/SER_hh_num_in!F19)</f>
        <v>1380.9377003536149</v>
      </c>
      <c r="G19" s="131">
        <f>IF(SER_hh_emi_in!G19=0,0,1000000*SER_hh_emi_in!G19/SER_hh_num_in!G19)</f>
        <v>1061.6496690044253</v>
      </c>
      <c r="H19" s="131">
        <f>IF(SER_hh_emi_in!H19=0,0,1000000*SER_hh_emi_in!H19/SER_hh_num_in!H19)</f>
        <v>1011.5598481478287</v>
      </c>
      <c r="I19" s="131">
        <f>IF(SER_hh_emi_in!I19=0,0,1000000*SER_hh_emi_in!I19/SER_hh_num_in!I19)</f>
        <v>632.64488201212646</v>
      </c>
      <c r="J19" s="131">
        <f>IF(SER_hh_emi_in!J19=0,0,1000000*SER_hh_emi_in!J19/SER_hh_num_in!J19)</f>
        <v>397.97346945251144</v>
      </c>
      <c r="K19" s="131">
        <f>IF(SER_hh_emi_in!K19=0,0,1000000*SER_hh_emi_in!K19/SER_hh_num_in!K19)</f>
        <v>950.74605834113311</v>
      </c>
      <c r="L19" s="131">
        <f>IF(SER_hh_emi_in!L19=0,0,1000000*SER_hh_emi_in!L19/SER_hh_num_in!L19)</f>
        <v>345.40445690957023</v>
      </c>
      <c r="M19" s="131">
        <f>IF(SER_hh_emi_in!M19=0,0,1000000*SER_hh_emi_in!M19/SER_hh_num_in!M19)</f>
        <v>447.03713640640359</v>
      </c>
      <c r="N19" s="131">
        <f>IF(SER_hh_emi_in!N19=0,0,1000000*SER_hh_emi_in!N19/SER_hh_num_in!N19)</f>
        <v>444.38519911860163</v>
      </c>
      <c r="O19" s="131">
        <f>IF(SER_hh_emi_in!O19=0,0,1000000*SER_hh_emi_in!O19/SER_hh_num_in!O19)</f>
        <v>1018.7018984395899</v>
      </c>
      <c r="P19" s="131">
        <f>IF(SER_hh_emi_in!P19=0,0,1000000*SER_hh_emi_in!P19/SER_hh_num_in!P19)</f>
        <v>289.02602033502092</v>
      </c>
      <c r="Q19" s="131">
        <f>IF(SER_hh_emi_in!Q19=0,0,1000000*SER_hh_emi_in!Q19/SER_hh_num_in!Q19)</f>
        <v>654.40542498428158</v>
      </c>
      <c r="R19" s="131">
        <f>IF(SER_hh_emi_in!R19=0,0,1000000*SER_hh_emi_in!R19/SER_hh_num_in!R19)</f>
        <v>743.7249076940268</v>
      </c>
      <c r="S19" s="131">
        <f>IF(SER_hh_emi_in!S19=0,0,1000000*SER_hh_emi_in!S19/SER_hh_num_in!S19)</f>
        <v>612.71708021119559</v>
      </c>
      <c r="T19" s="131">
        <f>IF(SER_hh_emi_in!T19=0,0,1000000*SER_hh_emi_in!T19/SER_hh_num_in!T19)</f>
        <v>523.49842983362362</v>
      </c>
      <c r="U19" s="131">
        <f>IF(SER_hh_emi_in!U19=0,0,1000000*SER_hh_emi_in!U19/SER_hh_num_in!U19)</f>
        <v>792.15662329647148</v>
      </c>
      <c r="V19" s="131">
        <f>IF(SER_hh_emi_in!V19=0,0,1000000*SER_hh_emi_in!V19/SER_hh_num_in!V19)</f>
        <v>413.00133282825118</v>
      </c>
      <c r="W19" s="131">
        <f>IF(SER_hh_emi_in!W19=0,0,1000000*SER_hh_emi_in!W19/SER_hh_num_in!W19)</f>
        <v>713.28912674656965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2260.5071248152426</v>
      </c>
      <c r="D21" s="133">
        <f>IF(SER_hh_emi_in!D21=0,0,1000000*SER_hh_emi_in!D21/SER_hh_num_in!D21)</f>
        <v>4668.7997044805761</v>
      </c>
      <c r="E21" s="133">
        <f>IF(SER_hh_emi_in!E21=0,0,1000000*SER_hh_emi_in!E21/SER_hh_num_in!E21)</f>
        <v>3751.2377752213401</v>
      </c>
      <c r="F21" s="133">
        <f>IF(SER_hh_emi_in!F21=0,0,1000000*SER_hh_emi_in!F21/SER_hh_num_in!F21)</f>
        <v>4815.1579370044701</v>
      </c>
      <c r="G21" s="133">
        <f>IF(SER_hh_emi_in!G21=0,0,1000000*SER_hh_emi_in!G21/SER_hh_num_in!G21)</f>
        <v>5413.0845496110069</v>
      </c>
      <c r="H21" s="133">
        <f>IF(SER_hh_emi_in!H21=0,0,1000000*SER_hh_emi_in!H21/SER_hh_num_in!H21)</f>
        <v>5379.1851441583904</v>
      </c>
      <c r="I21" s="133">
        <f>IF(SER_hh_emi_in!I21=0,0,1000000*SER_hh_emi_in!I21/SER_hh_num_in!I21)</f>
        <v>4298.6442875052344</v>
      </c>
      <c r="J21" s="133">
        <f>IF(SER_hh_emi_in!J21=0,0,1000000*SER_hh_emi_in!J21/SER_hh_num_in!J21)</f>
        <v>0</v>
      </c>
      <c r="K21" s="133">
        <f>IF(SER_hh_emi_in!K21=0,0,1000000*SER_hh_emi_in!K21/SER_hh_num_in!K21)</f>
        <v>5620.4445252278247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3688.6819471581925</v>
      </c>
      <c r="D22" s="133">
        <f>IF(SER_hh_emi_in!D22=0,0,1000000*SER_hh_emi_in!D22/SER_hh_num_in!D22)</f>
        <v>5840.8330141742017</v>
      </c>
      <c r="E22" s="133">
        <f>IF(SER_hh_emi_in!E22=0,0,1000000*SER_hh_emi_in!E22/SER_hh_num_in!E22)</f>
        <v>2956.4440657155023</v>
      </c>
      <c r="F22" s="133">
        <f>IF(SER_hh_emi_in!F22=0,0,1000000*SER_hh_emi_in!F22/SER_hh_num_in!F22)</f>
        <v>5897.6773807542822</v>
      </c>
      <c r="G22" s="133">
        <f>IF(SER_hh_emi_in!G22=0,0,1000000*SER_hh_emi_in!G22/SER_hh_num_in!G22)</f>
        <v>6649.0891029931663</v>
      </c>
      <c r="H22" s="133">
        <f>IF(SER_hh_emi_in!H22=0,0,1000000*SER_hh_emi_in!H22/SER_hh_num_in!H22)</f>
        <v>6533.333587942976</v>
      </c>
      <c r="I22" s="133">
        <f>IF(SER_hh_emi_in!I22=0,0,1000000*SER_hh_emi_in!I22/SER_hh_num_in!I22)</f>
        <v>5162.899738192933</v>
      </c>
      <c r="J22" s="133">
        <f>IF(SER_hh_emi_in!J22=0,0,1000000*SER_hh_emi_in!J22/SER_hh_num_in!J22)</f>
        <v>3091.3368397934978</v>
      </c>
      <c r="K22" s="133">
        <f>IF(SER_hh_emi_in!K22=0,0,1000000*SER_hh_emi_in!K22/SER_hh_num_in!K22)</f>
        <v>6612.8960468680189</v>
      </c>
      <c r="L22" s="133">
        <f>IF(SER_hh_emi_in!L22=0,0,1000000*SER_hh_emi_in!L22/SER_hh_num_in!L22)</f>
        <v>1829.2610386054002</v>
      </c>
      <c r="M22" s="133">
        <f>IF(SER_hh_emi_in!M22=0,0,1000000*SER_hh_emi_in!M22/SER_hh_num_in!M22)</f>
        <v>2577.4470064171114</v>
      </c>
      <c r="N22" s="133">
        <f>IF(SER_hh_emi_in!N22=0,0,1000000*SER_hh_emi_in!N22/SER_hh_num_in!N22)</f>
        <v>3068.9135699517497</v>
      </c>
      <c r="O22" s="133">
        <f>IF(SER_hh_emi_in!O22=0,0,1000000*SER_hh_emi_in!O22/SER_hh_num_in!O22)</f>
        <v>6216.4704487736099</v>
      </c>
      <c r="P22" s="133">
        <f>IF(SER_hh_emi_in!P22=0,0,1000000*SER_hh_emi_in!P22/SER_hh_num_in!P22)</f>
        <v>0</v>
      </c>
      <c r="Q22" s="133">
        <f>IF(SER_hh_emi_in!Q22=0,0,1000000*SER_hh_emi_in!Q22/SER_hh_num_in!Q22)</f>
        <v>5534.9516729967554</v>
      </c>
      <c r="R22" s="133">
        <f>IF(SER_hh_emi_in!R22=0,0,1000000*SER_hh_emi_in!R22/SER_hh_num_in!R22)</f>
        <v>5350.5805974229825</v>
      </c>
      <c r="S22" s="133">
        <f>IF(SER_hh_emi_in!S22=0,0,1000000*SER_hh_emi_in!S22/SER_hh_num_in!S22)</f>
        <v>3304.458171813932</v>
      </c>
      <c r="T22" s="133">
        <f>IF(SER_hh_emi_in!T22=0,0,1000000*SER_hh_emi_in!T22/SER_hh_num_in!T22)</f>
        <v>2933.3567323893176</v>
      </c>
      <c r="U22" s="133">
        <f>IF(SER_hh_emi_in!U22=0,0,1000000*SER_hh_emi_in!U22/SER_hh_num_in!U22)</f>
        <v>4927.1559713221277</v>
      </c>
      <c r="V22" s="133">
        <f>IF(SER_hh_emi_in!V22=0,0,1000000*SER_hh_emi_in!V22/SER_hh_num_in!V22)</f>
        <v>3144.849159570058</v>
      </c>
      <c r="W22" s="133">
        <f>IF(SER_hh_emi_in!W22=0,0,1000000*SER_hh_emi_in!W22/SER_hh_num_in!W22)</f>
        <v>4652.2246204092926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2432.3508304958114</v>
      </c>
      <c r="D23" s="133">
        <f>IF(SER_hh_emi_in!D23=0,0,1000000*SER_hh_emi_in!D23/SER_hh_num_in!D23)</f>
        <v>3984.5021673144147</v>
      </c>
      <c r="E23" s="133">
        <f>IF(SER_hh_emi_in!E23=0,0,1000000*SER_hh_emi_in!E23/SER_hh_num_in!E23)</f>
        <v>2377.0433529941297</v>
      </c>
      <c r="F23" s="133">
        <f>IF(SER_hh_emi_in!F23=0,0,1000000*SER_hh_emi_in!F23/SER_hh_num_in!F23)</f>
        <v>3983.3376535372363</v>
      </c>
      <c r="G23" s="133">
        <f>IF(SER_hh_emi_in!G23=0,0,1000000*SER_hh_emi_in!G23/SER_hh_num_in!G23)</f>
        <v>4506.479829330031</v>
      </c>
      <c r="H23" s="133">
        <f>IF(SER_hh_emi_in!H23=0,0,1000000*SER_hh_emi_in!H23/SER_hh_num_in!H23)</f>
        <v>4452.8518362499481</v>
      </c>
      <c r="I23" s="133">
        <f>IF(SER_hh_emi_in!I23=0,0,1000000*SER_hh_emi_in!I23/SER_hh_num_in!I23)</f>
        <v>3506.1118606905466</v>
      </c>
      <c r="J23" s="133">
        <f>IF(SER_hh_emi_in!J23=0,0,1000000*SER_hh_emi_in!J23/SER_hh_num_in!J23)</f>
        <v>2451.0661546465758</v>
      </c>
      <c r="K23" s="133">
        <f>IF(SER_hh_emi_in!K23=0,0,1000000*SER_hh_emi_in!K23/SER_hh_num_in!K23)</f>
        <v>4375.6650522330174</v>
      </c>
      <c r="L23" s="133">
        <f>IF(SER_hh_emi_in!L23=0,0,1000000*SER_hh_emi_in!L23/SER_hh_num_in!L23)</f>
        <v>1865.7711704659696</v>
      </c>
      <c r="M23" s="133">
        <f>IF(SER_hh_emi_in!M23=0,0,1000000*SER_hh_emi_in!M23/SER_hh_num_in!M23)</f>
        <v>2221.0177608399854</v>
      </c>
      <c r="N23" s="133">
        <f>IF(SER_hh_emi_in!N23=0,0,1000000*SER_hh_emi_in!N23/SER_hh_num_in!N23)</f>
        <v>2532.4895422643149</v>
      </c>
      <c r="O23" s="133">
        <f>IF(SER_hh_emi_in!O23=0,0,1000000*SER_hh_emi_in!O23/SER_hh_num_in!O23)</f>
        <v>4400.5717109362031</v>
      </c>
      <c r="P23" s="133">
        <f>IF(SER_hh_emi_in!P23=0,0,1000000*SER_hh_emi_in!P23/SER_hh_num_in!P23)</f>
        <v>2789.7352568003316</v>
      </c>
      <c r="Q23" s="133">
        <f>IF(SER_hh_emi_in!Q23=0,0,1000000*SER_hh_emi_in!Q23/SER_hh_num_in!Q23)</f>
        <v>4120.0414892526142</v>
      </c>
      <c r="R23" s="133">
        <f>IF(SER_hh_emi_in!R23=0,0,1000000*SER_hh_emi_in!R23/SER_hh_num_in!R23)</f>
        <v>3947.1090100993815</v>
      </c>
      <c r="S23" s="133">
        <f>IF(SER_hh_emi_in!S23=0,0,1000000*SER_hh_emi_in!S23/SER_hh_num_in!S23)</f>
        <v>2392.4126869917432</v>
      </c>
      <c r="T23" s="133">
        <f>IF(SER_hh_emi_in!T23=0,0,1000000*SER_hh_emi_in!T23/SER_hh_num_in!T23)</f>
        <v>2132.3655168743926</v>
      </c>
      <c r="U23" s="133">
        <f>IF(SER_hh_emi_in!U23=0,0,1000000*SER_hh_emi_in!U23/SER_hh_num_in!U23)</f>
        <v>3621.7801501297104</v>
      </c>
      <c r="V23" s="133">
        <f>IF(SER_hh_emi_in!V23=0,0,1000000*SER_hh_emi_in!V23/SER_hh_num_in!V23)</f>
        <v>2417.9128517162994</v>
      </c>
      <c r="W23" s="133">
        <f>IF(SER_hh_emi_in!W23=0,0,1000000*SER_hh_emi_in!W23/SER_hh_num_in!W23)</f>
        <v>3433.4466064551307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1127.876307559759</v>
      </c>
      <c r="D24" s="133">
        <f>IF(SER_hh_emi_in!D24=0,0,1000000*SER_hh_emi_in!D24/SER_hh_num_in!D24)</f>
        <v>1786.9446477915797</v>
      </c>
      <c r="E24" s="133">
        <f>IF(SER_hh_emi_in!E24=0,0,1000000*SER_hh_emi_in!E24/SER_hh_num_in!E24)</f>
        <v>848.92472340248867</v>
      </c>
      <c r="F24" s="133">
        <f>IF(SER_hh_emi_in!F24=0,0,1000000*SER_hh_emi_in!F24/SER_hh_num_in!F24)</f>
        <v>1200.0885513538838</v>
      </c>
      <c r="G24" s="133">
        <f>IF(SER_hh_emi_in!G24=0,0,1000000*SER_hh_emi_in!G24/SER_hh_num_in!G24)</f>
        <v>3373.2519535569882</v>
      </c>
      <c r="H24" s="133">
        <f>IF(SER_hh_emi_in!H24=0,0,1000000*SER_hh_emi_in!H24/SER_hh_num_in!H24)</f>
        <v>2092.0855211678586</v>
      </c>
      <c r="I24" s="133">
        <f>IF(SER_hh_emi_in!I24=0,0,1000000*SER_hh_emi_in!I24/SER_hh_num_in!I24)</f>
        <v>791.83325020809559</v>
      </c>
      <c r="J24" s="133">
        <f>IF(SER_hh_emi_in!J24=0,0,1000000*SER_hh_emi_in!J24/SER_hh_num_in!J24)</f>
        <v>109.35562118881836</v>
      </c>
      <c r="K24" s="133">
        <f>IF(SER_hh_emi_in!K24=0,0,1000000*SER_hh_emi_in!K24/SER_hh_num_in!K24)</f>
        <v>199.50626066939404</v>
      </c>
      <c r="L24" s="133">
        <f>IF(SER_hh_emi_in!L24=0,0,1000000*SER_hh_emi_in!L24/SER_hh_num_in!L24)</f>
        <v>79.488590205483177</v>
      </c>
      <c r="M24" s="133">
        <f>IF(SER_hh_emi_in!M24=0,0,1000000*SER_hh_emi_in!M24/SER_hh_num_in!M24)</f>
        <v>100.34691254133838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1834.9990902232896</v>
      </c>
      <c r="D29" s="131">
        <f>IF(SER_hh_emi_in!D29=0,0,1000000*SER_hh_emi_in!D29/SER_hh_num_in!D29)</f>
        <v>3774.3494799916539</v>
      </c>
      <c r="E29" s="131">
        <f>IF(SER_hh_emi_in!E29=0,0,1000000*SER_hh_emi_in!E29/SER_hh_num_in!E29)</f>
        <v>3493.3072355539452</v>
      </c>
      <c r="F29" s="131">
        <f>IF(SER_hh_emi_in!F29=0,0,1000000*SER_hh_emi_in!F29/SER_hh_num_in!F29)</f>
        <v>2295.4412769566229</v>
      </c>
      <c r="G29" s="131">
        <f>IF(SER_hh_emi_in!G29=0,0,1000000*SER_hh_emi_in!G29/SER_hh_num_in!G29)</f>
        <v>1715.0645131967865</v>
      </c>
      <c r="H29" s="131">
        <f>IF(SER_hh_emi_in!H29=0,0,1000000*SER_hh_emi_in!H29/SER_hh_num_in!H29)</f>
        <v>1239.6250945413587</v>
      </c>
      <c r="I29" s="131">
        <f>IF(SER_hh_emi_in!I29=0,0,1000000*SER_hh_emi_in!I29/SER_hh_num_in!I29)</f>
        <v>965.16893880320924</v>
      </c>
      <c r="J29" s="131">
        <f>IF(SER_hh_emi_in!J29=0,0,1000000*SER_hh_emi_in!J29/SER_hh_num_in!J29)</f>
        <v>1428.4301481802408</v>
      </c>
      <c r="K29" s="131">
        <f>IF(SER_hh_emi_in!K29=0,0,1000000*SER_hh_emi_in!K29/SER_hh_num_in!K29)</f>
        <v>2135.5617326984434</v>
      </c>
      <c r="L29" s="131">
        <f>IF(SER_hh_emi_in!L29=0,0,1000000*SER_hh_emi_in!L29/SER_hh_num_in!L29)</f>
        <v>2015.5026136244965</v>
      </c>
      <c r="M29" s="131">
        <f>IF(SER_hh_emi_in!M29=0,0,1000000*SER_hh_emi_in!M29/SER_hh_num_in!M29)</f>
        <v>1322.9916299670001</v>
      </c>
      <c r="N29" s="131">
        <f>IF(SER_hh_emi_in!N29=0,0,1000000*SER_hh_emi_in!N29/SER_hh_num_in!N29)</f>
        <v>966.18108880209593</v>
      </c>
      <c r="O29" s="131">
        <f>IF(SER_hh_emi_in!O29=0,0,1000000*SER_hh_emi_in!O29/SER_hh_num_in!O29)</f>
        <v>1298.649766414798</v>
      </c>
      <c r="P29" s="131">
        <f>IF(SER_hh_emi_in!P29=0,0,1000000*SER_hh_emi_in!P29/SER_hh_num_in!P29)</f>
        <v>1469.5710397122655</v>
      </c>
      <c r="Q29" s="131">
        <f>IF(SER_hh_emi_in!Q29=0,0,1000000*SER_hh_emi_in!Q29/SER_hh_num_in!Q29)</f>
        <v>1651.1140822837267</v>
      </c>
      <c r="R29" s="131">
        <f>IF(SER_hh_emi_in!R29=0,0,1000000*SER_hh_emi_in!R29/SER_hh_num_in!R29)</f>
        <v>1367.2663905742179</v>
      </c>
      <c r="S29" s="131">
        <f>IF(SER_hh_emi_in!S29=0,0,1000000*SER_hh_emi_in!S29/SER_hh_num_in!S29)</f>
        <v>1585.3122373237393</v>
      </c>
      <c r="T29" s="131">
        <f>IF(SER_hh_emi_in!T29=0,0,1000000*SER_hh_emi_in!T29/SER_hh_num_in!T29)</f>
        <v>1355.9794852030896</v>
      </c>
      <c r="U29" s="131">
        <f>IF(SER_hh_emi_in!U29=0,0,1000000*SER_hh_emi_in!U29/SER_hh_num_in!U29)</f>
        <v>1405.7784164307218</v>
      </c>
      <c r="V29" s="131">
        <f>IF(SER_hh_emi_in!V29=0,0,1000000*SER_hh_emi_in!V29/SER_hh_num_in!V29)</f>
        <v>1322.3125966064654</v>
      </c>
      <c r="W29" s="131">
        <f>IF(SER_hh_emi_in!W29=0,0,1000000*SER_hh_emi_in!W29/SER_hh_num_in!W29)</f>
        <v>1366.6273818634302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2424.9214328367993</v>
      </c>
      <c r="D30" s="133">
        <f>IF(SER_hh_emi_in!D30=0,0,1000000*SER_hh_emi_in!D30/SER_hh_num_in!D30)</f>
        <v>5013.529920719714</v>
      </c>
      <c r="E30" s="133">
        <f>IF(SER_hh_emi_in!E30=0,0,1000000*SER_hh_emi_in!E30/SER_hh_num_in!E30)</f>
        <v>5247.0244573420587</v>
      </c>
      <c r="F30" s="133">
        <f>IF(SER_hh_emi_in!F30=0,0,1000000*SER_hh_emi_in!F30/SER_hh_num_in!F30)</f>
        <v>6269.5005622418739</v>
      </c>
      <c r="G30" s="133">
        <f>IF(SER_hh_emi_in!G30=0,0,1000000*SER_hh_emi_in!G30/SER_hh_num_in!G30)</f>
        <v>4655.8883351606164</v>
      </c>
      <c r="H30" s="133">
        <f>IF(SER_hh_emi_in!H30=0,0,1000000*SER_hh_emi_in!H30/SER_hh_num_in!H30)</f>
        <v>4953.8401780847171</v>
      </c>
      <c r="I30" s="133">
        <f>IF(SER_hh_emi_in!I30=0,0,1000000*SER_hh_emi_in!I30/SER_hh_num_in!I30)</f>
        <v>0</v>
      </c>
      <c r="J30" s="133">
        <f>IF(SER_hh_emi_in!J30=0,0,1000000*SER_hh_emi_in!J30/SER_hh_num_in!J30)</f>
        <v>3092.0249480602165</v>
      </c>
      <c r="K30" s="133">
        <f>IF(SER_hh_emi_in!K30=0,0,1000000*SER_hh_emi_in!K30/SER_hh_num_in!K30)</f>
        <v>3864.2208530168828</v>
      </c>
      <c r="L30" s="133">
        <f>IF(SER_hh_emi_in!L30=0,0,1000000*SER_hh_emi_in!L30/SER_hh_num_in!L30)</f>
        <v>6437.6043222761054</v>
      </c>
      <c r="M30" s="133">
        <f>IF(SER_hh_emi_in!M30=0,0,1000000*SER_hh_emi_in!M30/SER_hh_num_in!M30)</f>
        <v>0</v>
      </c>
      <c r="N30" s="133">
        <f>IF(SER_hh_emi_in!N30=0,0,1000000*SER_hh_emi_in!N30/SER_hh_num_in!N30)</f>
        <v>0</v>
      </c>
      <c r="O30" s="133">
        <f>IF(SER_hh_emi_in!O30=0,0,1000000*SER_hh_emi_in!O30/SER_hh_num_in!O30)</f>
        <v>0</v>
      </c>
      <c r="P30" s="133">
        <f>IF(SER_hh_emi_in!P30=0,0,1000000*SER_hh_emi_in!P30/SER_hh_num_in!P30)</f>
        <v>0</v>
      </c>
      <c r="Q30" s="133">
        <f>IF(SER_hh_emi_in!Q30=0,0,1000000*SER_hh_emi_in!Q30/SER_hh_num_in!Q30)</f>
        <v>4289.3248866881459</v>
      </c>
      <c r="R30" s="133">
        <f>IF(SER_hh_emi_in!R30=0,0,1000000*SER_hh_emi_in!R30/SER_hh_num_in!R30)</f>
        <v>3153.0858547721987</v>
      </c>
      <c r="S30" s="133">
        <f>IF(SER_hh_emi_in!S30=0,0,1000000*SER_hh_emi_in!S30/SER_hh_num_in!S30)</f>
        <v>5786.5151665791464</v>
      </c>
      <c r="T30" s="133">
        <f>IF(SER_hh_emi_in!T30=0,0,1000000*SER_hh_emi_in!T30/SER_hh_num_in!T30)</f>
        <v>4646.7872682353836</v>
      </c>
      <c r="U30" s="133">
        <f>IF(SER_hh_emi_in!U30=0,0,1000000*SER_hh_emi_in!U30/SER_hh_num_in!U30)</f>
        <v>4605.7667727998914</v>
      </c>
      <c r="V30" s="133">
        <f>IF(SER_hh_emi_in!V30=0,0,1000000*SER_hh_emi_in!V30/SER_hh_num_in!V30)</f>
        <v>4272.640974883092</v>
      </c>
      <c r="W30" s="133">
        <f>IF(SER_hh_emi_in!W30=0,0,1000000*SER_hh_emi_in!W30/SER_hh_num_in!W30)</f>
        <v>4665.6067782162527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3801.5995419696192</v>
      </c>
      <c r="D31" s="133">
        <f>IF(SER_hh_emi_in!D31=0,0,1000000*SER_hh_emi_in!D31/SER_hh_num_in!D31)</f>
        <v>3952.2859576493734</v>
      </c>
      <c r="E31" s="133">
        <f>IF(SER_hh_emi_in!E31=0,0,1000000*SER_hh_emi_in!E31/SER_hh_num_in!E31)</f>
        <v>4004.9311349665704</v>
      </c>
      <c r="F31" s="133">
        <f>IF(SER_hh_emi_in!F31=0,0,1000000*SER_hh_emi_in!F31/SER_hh_num_in!F31)</f>
        <v>4103.4886226967583</v>
      </c>
      <c r="G31" s="133">
        <f>IF(SER_hh_emi_in!G31=0,0,1000000*SER_hh_emi_in!G31/SER_hh_num_in!G31)</f>
        <v>4080.8345776849183</v>
      </c>
      <c r="H31" s="133">
        <f>IF(SER_hh_emi_in!H31=0,0,1000000*SER_hh_emi_in!H31/SER_hh_num_in!H31)</f>
        <v>4024.8713835176964</v>
      </c>
      <c r="I31" s="133">
        <f>IF(SER_hh_emi_in!I31=0,0,1000000*SER_hh_emi_in!I31/SER_hh_num_in!I31)</f>
        <v>3972.1884729924427</v>
      </c>
      <c r="J31" s="133">
        <f>IF(SER_hh_emi_in!J31=0,0,1000000*SER_hh_emi_in!J31/SER_hh_num_in!J31)</f>
        <v>3971.0155627594609</v>
      </c>
      <c r="K31" s="133">
        <f>IF(SER_hh_emi_in!K31=0,0,1000000*SER_hh_emi_in!K31/SER_hh_num_in!K31)</f>
        <v>4067.3936668946012</v>
      </c>
      <c r="L31" s="133">
        <f>IF(SER_hh_emi_in!L31=0,0,1000000*SER_hh_emi_in!L31/SER_hh_num_in!L31)</f>
        <v>4099.5384980202371</v>
      </c>
      <c r="M31" s="133">
        <f>IF(SER_hh_emi_in!M31=0,0,1000000*SER_hh_emi_in!M31/SER_hh_num_in!M31)</f>
        <v>4095.9742164245099</v>
      </c>
      <c r="N31" s="133">
        <f>IF(SER_hh_emi_in!N31=0,0,1000000*SER_hh_emi_in!N31/SER_hh_num_in!N31)</f>
        <v>4090.4727773665754</v>
      </c>
      <c r="O31" s="133">
        <f>IF(SER_hh_emi_in!O31=0,0,1000000*SER_hh_emi_in!O31/SER_hh_num_in!O31)</f>
        <v>4113.0298644367658</v>
      </c>
      <c r="P31" s="133">
        <f>IF(SER_hh_emi_in!P31=0,0,1000000*SER_hh_emi_in!P31/SER_hh_num_in!P31)</f>
        <v>4149.5156566509204</v>
      </c>
      <c r="Q31" s="133">
        <f>IF(SER_hh_emi_in!Q31=0,0,1000000*SER_hh_emi_in!Q31/SER_hh_num_in!Q31)</f>
        <v>4151.3671626300775</v>
      </c>
      <c r="R31" s="133">
        <f>IF(SER_hh_emi_in!R31=0,0,1000000*SER_hh_emi_in!R31/SER_hh_num_in!R31)</f>
        <v>4123.2833273040978</v>
      </c>
      <c r="S31" s="133">
        <f>IF(SER_hh_emi_in!S31=0,0,1000000*SER_hh_emi_in!S31/SER_hh_num_in!S31)</f>
        <v>4080.7102836238619</v>
      </c>
      <c r="T31" s="133">
        <f>IF(SER_hh_emi_in!T31=0,0,1000000*SER_hh_emi_in!T31/SER_hh_num_in!T31)</f>
        <v>4047.5825315896222</v>
      </c>
      <c r="U31" s="133">
        <f>IF(SER_hh_emi_in!U31=0,0,1000000*SER_hh_emi_in!U31/SER_hh_num_in!U31)</f>
        <v>4123.2876803501458</v>
      </c>
      <c r="V31" s="133">
        <f>IF(SER_hh_emi_in!V31=0,0,1000000*SER_hh_emi_in!V31/SER_hh_num_in!V31)</f>
        <v>3791.9333165706612</v>
      </c>
      <c r="W31" s="133">
        <f>IF(SER_hh_emi_in!W31=0,0,1000000*SER_hh_emi_in!W31/SER_hh_num_in!W31)</f>
        <v>3817.7669491521078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1832.7780273424082</v>
      </c>
      <c r="D32" s="133">
        <f>IF(SER_hh_emi_in!D32=0,0,1000000*SER_hh_emi_in!D32/SER_hh_num_in!D32)</f>
        <v>1948.2008282178531</v>
      </c>
      <c r="E32" s="133">
        <f>IF(SER_hh_emi_in!E32=0,0,1000000*SER_hh_emi_in!E32/SER_hh_num_in!E32)</f>
        <v>1796.1636559280169</v>
      </c>
      <c r="F32" s="133">
        <f>IF(SER_hh_emi_in!F32=0,0,1000000*SER_hh_emi_in!F32/SER_hh_num_in!F32)</f>
        <v>1383.3216352185784</v>
      </c>
      <c r="G32" s="133">
        <f>IF(SER_hh_emi_in!G32=0,0,1000000*SER_hh_emi_in!G32/SER_hh_num_in!G32)</f>
        <v>3426.1556190219844</v>
      </c>
      <c r="H32" s="133">
        <f>IF(SER_hh_emi_in!H32=0,0,1000000*SER_hh_emi_in!H32/SER_hh_num_in!H32)</f>
        <v>2133.3645322719094</v>
      </c>
      <c r="I32" s="133">
        <f>IF(SER_hh_emi_in!I32=0,0,1000000*SER_hh_emi_in!I32/SER_hh_num_in!I32)</f>
        <v>1038.1996680287748</v>
      </c>
      <c r="J32" s="133">
        <f>IF(SER_hh_emi_in!J32=0,0,1000000*SER_hh_emi_in!J32/SER_hh_num_in!J32)</f>
        <v>204.68134851949375</v>
      </c>
      <c r="K32" s="133">
        <f>IF(SER_hh_emi_in!K32=0,0,1000000*SER_hh_emi_in!K32/SER_hh_num_in!K32)</f>
        <v>209.09860792160839</v>
      </c>
      <c r="L32" s="133">
        <f>IF(SER_hh_emi_in!L32=0,0,1000000*SER_hh_emi_in!L32/SER_hh_num_in!L32)</f>
        <v>200.3379605888434</v>
      </c>
      <c r="M32" s="133">
        <f>IF(SER_hh_emi_in!M32=0,0,1000000*SER_hh_emi_in!M32/SER_hh_num_in!M32)</f>
        <v>202.77272135944676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212.94592585157915</v>
      </c>
      <c r="D3" s="126">
        <f>IF(SER_hh_fech_in!D3=0,0,SER_hh_fech_in!D3/SER_summary!D$27)</f>
        <v>193.04205596565242</v>
      </c>
      <c r="E3" s="126">
        <f>IF(SER_hh_fech_in!E3=0,0,SER_hh_fech_in!E3/SER_summary!E$27)</f>
        <v>203.41665684744612</v>
      </c>
      <c r="F3" s="126">
        <f>IF(SER_hh_fech_in!F3=0,0,SER_hh_fech_in!F3/SER_summary!F$27)</f>
        <v>163.63175454572689</v>
      </c>
      <c r="G3" s="126">
        <f>IF(SER_hh_fech_in!G3=0,0,SER_hh_fech_in!G3/SER_summary!G$27)</f>
        <v>175.84127816618766</v>
      </c>
      <c r="H3" s="126">
        <f>IF(SER_hh_fech_in!H3=0,0,SER_hh_fech_in!H3/SER_summary!H$27)</f>
        <v>167.51114129486817</v>
      </c>
      <c r="I3" s="126">
        <f>IF(SER_hh_fech_in!I3=0,0,SER_hh_fech_in!I3/SER_summary!I$27)</f>
        <v>136.51671165785856</v>
      </c>
      <c r="J3" s="126">
        <f>IF(SER_hh_fech_in!J3=0,0,SER_hh_fech_in!J3/SER_summary!J$27)</f>
        <v>136.46914507601198</v>
      </c>
      <c r="K3" s="126">
        <f>IF(SER_hh_fech_in!K3=0,0,SER_hh_fech_in!K3/SER_summary!K$27)</f>
        <v>133.81970455126833</v>
      </c>
      <c r="L3" s="126">
        <f>IF(SER_hh_fech_in!L3=0,0,SER_hh_fech_in!L3/SER_summary!L$27)</f>
        <v>136.69880237966635</v>
      </c>
      <c r="M3" s="126">
        <f>IF(SER_hh_fech_in!M3=0,0,SER_hh_fech_in!M3/SER_summary!M$27)</f>
        <v>121.3802563841483</v>
      </c>
      <c r="N3" s="126">
        <f>IF(SER_hh_fech_in!N3=0,0,SER_hh_fech_in!N3/SER_summary!N$27)</f>
        <v>123.32932333748199</v>
      </c>
      <c r="O3" s="126">
        <f>IF(SER_hh_fech_in!O3=0,0,SER_hh_fech_in!O3/SER_summary!O$27)</f>
        <v>119.80607510267794</v>
      </c>
      <c r="P3" s="126">
        <f>IF(SER_hh_fech_in!P3=0,0,SER_hh_fech_in!P3/SER_summary!P$27)</f>
        <v>102.7387580267917</v>
      </c>
      <c r="Q3" s="126">
        <f>IF(SER_hh_fech_in!Q3=0,0,SER_hh_fech_in!Q3/SER_summary!Q$27)</f>
        <v>104.95894469226529</v>
      </c>
      <c r="R3" s="126">
        <f>IF(SER_hh_fech_in!R3=0,0,SER_hh_fech_in!R3/SER_summary!R$27)</f>
        <v>100.75123866093519</v>
      </c>
      <c r="S3" s="126">
        <f>IF(SER_hh_fech_in!S3=0,0,SER_hh_fech_in!S3/SER_summary!S$27)</f>
        <v>114.09977245512154</v>
      </c>
      <c r="T3" s="126">
        <f>IF(SER_hh_fech_in!T3=0,0,SER_hh_fech_in!T3/SER_summary!T$27)</f>
        <v>104.39659350775719</v>
      </c>
      <c r="U3" s="126">
        <f>IF(SER_hh_fech_in!U3=0,0,SER_hh_fech_in!U3/SER_summary!U$27)</f>
        <v>104.14125338563036</v>
      </c>
      <c r="V3" s="126">
        <f>IF(SER_hh_fech_in!V3=0,0,SER_hh_fech_in!V3/SER_summary!V$27)</f>
        <v>91.896163552970222</v>
      </c>
      <c r="W3" s="126">
        <f>IF(SER_hh_fech_in!W3=0,0,SER_hh_fech_in!W3/SER_summary!W$27)</f>
        <v>96.168833524834824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167.57951383111177</v>
      </c>
      <c r="D4" s="131">
        <f>IF(SER_hh_fech_in!D4=0,0,SER_hh_fech_in!D4/SER_summary!D$27)</f>
        <v>141.91298158192757</v>
      </c>
      <c r="E4" s="131">
        <f>IF(SER_hh_fech_in!E4=0,0,SER_hh_fech_in!E4/SER_summary!E$27)</f>
        <v>153.31929366763404</v>
      </c>
      <c r="F4" s="131">
        <f>IF(SER_hh_fech_in!F4=0,0,SER_hh_fech_in!F4/SER_summary!F$27)</f>
        <v>116.68280865488063</v>
      </c>
      <c r="G4" s="131">
        <f>IF(SER_hh_fech_in!G4=0,0,SER_hh_fech_in!G4/SER_summary!G$27)</f>
        <v>127.4995019311184</v>
      </c>
      <c r="H4" s="131">
        <f>IF(SER_hh_fech_in!H4=0,0,SER_hh_fech_in!H4/SER_summary!H$27)</f>
        <v>120.6157598966295</v>
      </c>
      <c r="I4" s="131">
        <f>IF(SER_hh_fech_in!I4=0,0,SER_hh_fech_in!I4/SER_summary!I$27)</f>
        <v>91.89856224417197</v>
      </c>
      <c r="J4" s="131">
        <f>IF(SER_hh_fech_in!J4=0,0,SER_hh_fech_in!J4/SER_summary!J$27)</f>
        <v>91.514085551802765</v>
      </c>
      <c r="K4" s="131">
        <f>IF(SER_hh_fech_in!K4=0,0,SER_hh_fech_in!K4/SER_summary!K$27)</f>
        <v>86.151558667389722</v>
      </c>
      <c r="L4" s="131">
        <f>IF(SER_hh_fech_in!L4=0,0,SER_hh_fech_in!L4/SER_summary!L$27)</f>
        <v>90.03715206247935</v>
      </c>
      <c r="M4" s="131">
        <f>IF(SER_hh_fech_in!M4=0,0,SER_hh_fech_in!M4/SER_summary!M$27)</f>
        <v>75.452794131221324</v>
      </c>
      <c r="N4" s="131">
        <f>IF(SER_hh_fech_in!N4=0,0,SER_hh_fech_in!N4/SER_summary!N$27)</f>
        <v>77.331765794462498</v>
      </c>
      <c r="O4" s="131">
        <f>IF(SER_hh_fech_in!O4=0,0,SER_hh_fech_in!O4/SER_summary!O$27)</f>
        <v>75.312204953328759</v>
      </c>
      <c r="P4" s="131">
        <f>IF(SER_hh_fech_in!P4=0,0,SER_hh_fech_in!P4/SER_summary!P$27)</f>
        <v>57.204372740883471</v>
      </c>
      <c r="Q4" s="131">
        <f>IF(SER_hh_fech_in!Q4=0,0,SER_hh_fech_in!Q4/SER_summary!Q$27)</f>
        <v>61.686223694729712</v>
      </c>
      <c r="R4" s="131">
        <f>IF(SER_hh_fech_in!R4=0,0,SER_hh_fech_in!R4/SER_summary!R$27)</f>
        <v>59.085866140007113</v>
      </c>
      <c r="S4" s="131">
        <f>IF(SER_hh_fech_in!S4=0,0,SER_hh_fech_in!S4/SER_summary!S$27)</f>
        <v>69.111545604509828</v>
      </c>
      <c r="T4" s="131">
        <f>IF(SER_hh_fech_in!T4=0,0,SER_hh_fech_in!T4/SER_summary!T$27)</f>
        <v>61.197129725578222</v>
      </c>
      <c r="U4" s="131">
        <f>IF(SER_hh_fech_in!U4=0,0,SER_hh_fech_in!U4/SER_summary!U$27)</f>
        <v>61.322329860866958</v>
      </c>
      <c r="V4" s="131">
        <f>IF(SER_hh_fech_in!V4=0,0,SER_hh_fech_in!V4/SER_summary!V$27)</f>
        <v>52.367470008167473</v>
      </c>
      <c r="W4" s="131">
        <f>IF(SER_hh_fech_in!W4=0,0,SER_hh_fech_in!W4/SER_summary!W$27)</f>
        <v>58.219986220559768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49.917372065740338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189.28757479924357</v>
      </c>
      <c r="D7" s="133">
        <f>IF(SER_hh_fech_in!D7=0,0,SER_hh_fech_in!D7/SER_summary!D$27)</f>
        <v>179.30205702176625</v>
      </c>
      <c r="E7" s="133">
        <f>IF(SER_hh_fech_in!E7=0,0,SER_hh_fech_in!E7/SER_summary!E$27)</f>
        <v>213.94711165110357</v>
      </c>
      <c r="F7" s="133">
        <f>IF(SER_hh_fech_in!F7=0,0,SER_hh_fech_in!F7/SER_summary!F$27)</f>
        <v>149.10563799268309</v>
      </c>
      <c r="G7" s="133">
        <f>IF(SER_hh_fech_in!G7=0,0,SER_hh_fech_in!G7/SER_summary!G$27)</f>
        <v>187.59444549866913</v>
      </c>
      <c r="H7" s="133">
        <f>IF(SER_hh_fech_in!H7=0,0,SER_hh_fech_in!H7/SER_summary!H$27)</f>
        <v>187.30044478624933</v>
      </c>
      <c r="I7" s="133">
        <f>IF(SER_hh_fech_in!I7=0,0,SER_hh_fech_in!I7/SER_summary!I$27)</f>
        <v>131.12235744944877</v>
      </c>
      <c r="J7" s="133">
        <f>IF(SER_hh_fech_in!J7=0,0,SER_hh_fech_in!J7/SER_summary!J$27)</f>
        <v>0</v>
      </c>
      <c r="K7" s="133">
        <f>IF(SER_hh_fech_in!K7=0,0,SER_hh_fech_in!K7/SER_summary!K$27)</f>
        <v>0</v>
      </c>
      <c r="L7" s="133">
        <f>IF(SER_hh_fech_in!L7=0,0,SER_hh_fech_in!L7/SER_summary!L$27)</f>
        <v>0</v>
      </c>
      <c r="M7" s="133">
        <f>IF(SER_hh_fech_in!M7=0,0,SER_hh_fech_in!M7/SER_summary!M$27)</f>
        <v>0</v>
      </c>
      <c r="N7" s="133">
        <f>IF(SER_hh_fech_in!N7=0,0,SER_hh_fech_in!N7/SER_summary!N$27)</f>
        <v>0</v>
      </c>
      <c r="O7" s="133">
        <f>IF(SER_hh_fech_in!O7=0,0,SER_hh_fech_in!O7/SER_summary!O$27)</f>
        <v>95.34550531868399</v>
      </c>
      <c r="P7" s="133">
        <f>IF(SER_hh_fech_in!P7=0,0,SER_hh_fech_in!P7/SER_summary!P$27)</f>
        <v>91.775933499660724</v>
      </c>
      <c r="Q7" s="133">
        <f>IF(SER_hh_fech_in!Q7=0,0,SER_hh_fech_in!Q7/SER_summary!Q$27)</f>
        <v>85.915603772442594</v>
      </c>
      <c r="R7" s="133">
        <f>IF(SER_hh_fech_in!R7=0,0,SER_hh_fech_in!R7/SER_summary!R$27)</f>
        <v>72.971423584827221</v>
      </c>
      <c r="S7" s="133">
        <f>IF(SER_hh_fech_in!S7=0,0,SER_hh_fech_in!S7/SER_summary!S$27)</f>
        <v>97.201398506164296</v>
      </c>
      <c r="T7" s="133">
        <f>IF(SER_hh_fech_in!T7=0,0,SER_hh_fech_in!T7/SER_summary!T$27)</f>
        <v>81.432003594659633</v>
      </c>
      <c r="U7" s="133">
        <f>IF(SER_hh_fech_in!U7=0,0,SER_hh_fech_in!U7/SER_summary!U$27)</f>
        <v>73.986844506459647</v>
      </c>
      <c r="V7" s="133">
        <f>IF(SER_hh_fech_in!V7=0,0,SER_hh_fech_in!V7/SER_summary!V$27)</f>
        <v>70.177585744789297</v>
      </c>
      <c r="W7" s="133">
        <f>IF(SER_hh_fech_in!W7=0,0,SER_hh_fech_in!W7/SER_summary!W$27)</f>
        <v>86.393007912533164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93.973115090810893</v>
      </c>
      <c r="D8" s="133">
        <f>IF(SER_hh_fech_in!D8=0,0,SER_hh_fech_in!D8/SER_summary!D$27)</f>
        <v>82.117605473819552</v>
      </c>
      <c r="E8" s="133">
        <f>IF(SER_hh_fech_in!E8=0,0,SER_hh_fech_in!E8/SER_summary!E$27)</f>
        <v>88.744282332138596</v>
      </c>
      <c r="F8" s="133">
        <f>IF(SER_hh_fech_in!F8=0,0,SER_hh_fech_in!F8/SER_summary!F$27)</f>
        <v>82.84395663559593</v>
      </c>
      <c r="G8" s="133">
        <f>IF(SER_hh_fech_in!G8=0,0,SER_hh_fech_in!G8/SER_summary!G$27)</f>
        <v>71.853661275562089</v>
      </c>
      <c r="H8" s="133">
        <f>IF(SER_hh_fech_in!H8=0,0,SER_hh_fech_in!H8/SER_summary!H$27)</f>
        <v>71.277019057412332</v>
      </c>
      <c r="I8" s="133">
        <f>IF(SER_hh_fech_in!I8=0,0,SER_hh_fech_in!I8/SER_summary!I$27)</f>
        <v>53.576852687252362</v>
      </c>
      <c r="J8" s="133">
        <f>IF(SER_hh_fech_in!J8=0,0,SER_hh_fech_in!J8/SER_summary!J$27)</f>
        <v>57.660850308174091</v>
      </c>
      <c r="K8" s="133">
        <f>IF(SER_hh_fech_in!K8=0,0,SER_hh_fech_in!K8/SER_summary!K$27)</f>
        <v>45.573550336100084</v>
      </c>
      <c r="L8" s="133">
        <f>IF(SER_hh_fech_in!L8=0,0,SER_hh_fech_in!L8/SER_summary!L$27)</f>
        <v>42.658694582812728</v>
      </c>
      <c r="M8" s="133">
        <f>IF(SER_hh_fech_in!M8=0,0,SER_hh_fech_in!M8/SER_summary!M$27)</f>
        <v>38.464177255745177</v>
      </c>
      <c r="N8" s="133">
        <f>IF(SER_hh_fech_in!N8=0,0,SER_hh_fech_in!N8/SER_summary!N$27)</f>
        <v>35.545058113458559</v>
      </c>
      <c r="O8" s="133">
        <f>IF(SER_hh_fech_in!O8=0,0,SER_hh_fech_in!O8/SER_summary!O$27)</f>
        <v>31.1591954746272</v>
      </c>
      <c r="P8" s="133">
        <f>IF(SER_hh_fech_in!P8=0,0,SER_hh_fech_in!P8/SER_summary!P$27)</f>
        <v>27.317700854252312</v>
      </c>
      <c r="Q8" s="133">
        <f>IF(SER_hh_fech_in!Q8=0,0,SER_hh_fech_in!Q8/SER_summary!Q$27)</f>
        <v>25.73359276366072</v>
      </c>
      <c r="R8" s="133">
        <f>IF(SER_hh_fech_in!R8=0,0,SER_hh_fech_in!R8/SER_summary!R$27)</f>
        <v>25.190171229743502</v>
      </c>
      <c r="S8" s="133">
        <f>IF(SER_hh_fech_in!S8=0,0,SER_hh_fech_in!S8/SER_summary!S$27)</f>
        <v>27.253070448065575</v>
      </c>
      <c r="T8" s="133">
        <f>IF(SER_hh_fech_in!T8=0,0,SER_hh_fech_in!T8/SER_summary!T$27)</f>
        <v>25.179491807761458</v>
      </c>
      <c r="U8" s="133">
        <f>IF(SER_hh_fech_in!U8=0,0,SER_hh_fech_in!U8/SER_summary!U$27)</f>
        <v>25.678781454545913</v>
      </c>
      <c r="V8" s="133">
        <f>IF(SER_hh_fech_in!V8=0,0,SER_hh_fech_in!V8/SER_summary!V$27)</f>
        <v>21.498828443081223</v>
      </c>
      <c r="W8" s="133">
        <f>IF(SER_hh_fech_in!W8=0,0,SER_hh_fech_in!W8/SER_summary!W$27)</f>
        <v>22.979870036241049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173.02429602536409</v>
      </c>
      <c r="D9" s="133">
        <f>IF(SER_hh_fech_in!D9=0,0,SER_hh_fech_in!D9/SER_summary!D$27)</f>
        <v>148.21585914043271</v>
      </c>
      <c r="E9" s="133">
        <f>IF(SER_hh_fech_in!E9=0,0,SER_hh_fech_in!E9/SER_summary!E$27)</f>
        <v>169.40473705018255</v>
      </c>
      <c r="F9" s="133">
        <f>IF(SER_hh_fech_in!F9=0,0,SER_hh_fech_in!F9/SER_summary!F$27)</f>
        <v>0</v>
      </c>
      <c r="G9" s="133">
        <f>IF(SER_hh_fech_in!G9=0,0,SER_hh_fech_in!G9/SER_summary!G$27)</f>
        <v>0</v>
      </c>
      <c r="H9" s="133">
        <f>IF(SER_hh_fech_in!H9=0,0,SER_hh_fech_in!H9/SER_summary!H$27)</f>
        <v>0</v>
      </c>
      <c r="I9" s="133">
        <f>IF(SER_hh_fech_in!I9=0,0,SER_hh_fech_in!I9/SER_summary!I$27)</f>
        <v>0</v>
      </c>
      <c r="J9" s="133">
        <f>IF(SER_hh_fech_in!J9=0,0,SER_hh_fech_in!J9/SER_summary!J$27)</f>
        <v>0</v>
      </c>
      <c r="K9" s="133">
        <f>IF(SER_hh_fech_in!K9=0,0,SER_hh_fech_in!K9/SER_summary!K$27)</f>
        <v>101.26737077098166</v>
      </c>
      <c r="L9" s="133">
        <f>IF(SER_hh_fech_in!L9=0,0,SER_hh_fech_in!L9/SER_summary!L$27)</f>
        <v>109.89488092022557</v>
      </c>
      <c r="M9" s="133">
        <f>IF(SER_hh_fech_in!M9=0,0,SER_hh_fech_in!M9/SER_summary!M$27)</f>
        <v>89.400498102343576</v>
      </c>
      <c r="N9" s="133">
        <f>IF(SER_hh_fech_in!N9=0,0,SER_hh_fech_in!N9/SER_summary!N$27)</f>
        <v>101.94563216168335</v>
      </c>
      <c r="O9" s="133">
        <f>IF(SER_hh_fech_in!O9=0,0,SER_hh_fech_in!O9/SER_summary!O$27)</f>
        <v>99.597277951483264</v>
      </c>
      <c r="P9" s="133">
        <f>IF(SER_hh_fech_in!P9=0,0,SER_hh_fech_in!P9/SER_summary!P$27)</f>
        <v>71.287197816657411</v>
      </c>
      <c r="Q9" s="133">
        <f>IF(SER_hh_fech_in!Q9=0,0,SER_hh_fech_in!Q9/SER_summary!Q$27)</f>
        <v>79.187919166358895</v>
      </c>
      <c r="R9" s="133">
        <f>IF(SER_hh_fech_in!R9=0,0,SER_hh_fech_in!R9/SER_summary!R$27)</f>
        <v>69.730209278217686</v>
      </c>
      <c r="S9" s="133">
        <f>IF(SER_hh_fech_in!S9=0,0,SER_hh_fech_in!S9/SER_summary!S$27)</f>
        <v>76.552867565547189</v>
      </c>
      <c r="T9" s="133">
        <f>IF(SER_hh_fech_in!T9=0,0,SER_hh_fech_in!T9/SER_summary!T$27)</f>
        <v>69.673659055522918</v>
      </c>
      <c r="U9" s="133">
        <f>IF(SER_hh_fech_in!U9=0,0,SER_hh_fech_in!U9/SER_summary!U$27)</f>
        <v>73.132994412661375</v>
      </c>
      <c r="V9" s="133">
        <f>IF(SER_hh_fech_in!V9=0,0,SER_hh_fech_in!V9/SER_summary!V$27)</f>
        <v>0</v>
      </c>
      <c r="W9" s="133">
        <f>IF(SER_hh_fech_in!W9=0,0,SER_hh_fech_in!W9/SER_summary!W$27)</f>
        <v>78.237273612130892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170.25123992522984</v>
      </c>
      <c r="D10" s="133">
        <f>IF(SER_hh_fech_in!D10=0,0,SER_hh_fech_in!D10/SER_summary!D$27)</f>
        <v>164.92870618526359</v>
      </c>
      <c r="E10" s="133">
        <f>IF(SER_hh_fech_in!E10=0,0,SER_hh_fech_in!E10/SER_summary!E$27)</f>
        <v>191.03507786826708</v>
      </c>
      <c r="F10" s="133">
        <f>IF(SER_hh_fech_in!F10=0,0,SER_hh_fech_in!F10/SER_summary!F$27)</f>
        <v>201.13092668844621</v>
      </c>
      <c r="G10" s="133">
        <f>IF(SER_hh_fech_in!G10=0,0,SER_hh_fech_in!G10/SER_summary!G$27)</f>
        <v>161.56651849692182</v>
      </c>
      <c r="H10" s="133">
        <f>IF(SER_hh_fech_in!H10=0,0,SER_hh_fech_in!H10/SER_summary!H$27)</f>
        <v>174.29138119616545</v>
      </c>
      <c r="I10" s="133">
        <f>IF(SER_hh_fech_in!I10=0,0,SER_hh_fech_in!I10/SER_summary!I$27)</f>
        <v>160.30180100481218</v>
      </c>
      <c r="J10" s="133">
        <f>IF(SER_hh_fech_in!J10=0,0,SER_hh_fech_in!J10/SER_summary!J$27)</f>
        <v>133.25302671274383</v>
      </c>
      <c r="K10" s="133">
        <f>IF(SER_hh_fech_in!K10=0,0,SER_hh_fech_in!K10/SER_summary!K$27)</f>
        <v>127.16139291999829</v>
      </c>
      <c r="L10" s="133">
        <f>IF(SER_hh_fech_in!L10=0,0,SER_hh_fech_in!L10/SER_summary!L$27)</f>
        <v>157.4145836099749</v>
      </c>
      <c r="M10" s="133">
        <f>IF(SER_hh_fech_in!M10=0,0,SER_hh_fech_in!M10/SER_summary!M$27)</f>
        <v>130.59786473856693</v>
      </c>
      <c r="N10" s="133">
        <f>IF(SER_hh_fech_in!N10=0,0,SER_hh_fech_in!N10/SER_summary!N$27)</f>
        <v>0</v>
      </c>
      <c r="O10" s="133">
        <f>IF(SER_hh_fech_in!O10=0,0,SER_hh_fech_in!O10/SER_summary!O$27)</f>
        <v>124.1830095082845</v>
      </c>
      <c r="P10" s="133">
        <f>IF(SER_hh_fech_in!P10=0,0,SER_hh_fech_in!P10/SER_summary!P$27)</f>
        <v>96.828591454328645</v>
      </c>
      <c r="Q10" s="133">
        <f>IF(SER_hh_fech_in!Q10=0,0,SER_hh_fech_in!Q10/SER_summary!Q$27)</f>
        <v>117.55113580817077</v>
      </c>
      <c r="R10" s="133">
        <f>IF(SER_hh_fech_in!R10=0,0,SER_hh_fech_in!R10/SER_summary!R$27)</f>
        <v>77.670144617135122</v>
      </c>
      <c r="S10" s="133">
        <f>IF(SER_hh_fech_in!S10=0,0,SER_hh_fech_in!S10/SER_summary!S$27)</f>
        <v>117.85388782147609</v>
      </c>
      <c r="T10" s="133">
        <f>IF(SER_hh_fech_in!T10=0,0,SER_hh_fech_in!T10/SER_summary!T$27)</f>
        <v>106.20983023613339</v>
      </c>
      <c r="U10" s="133">
        <f>IF(SER_hh_fech_in!U10=0,0,SER_hh_fech_in!U10/SER_summary!U$27)</f>
        <v>104.45705692395426</v>
      </c>
      <c r="V10" s="133">
        <f>IF(SER_hh_fech_in!V10=0,0,SER_hh_fech_in!V10/SER_summary!V$27)</f>
        <v>91.175147318487546</v>
      </c>
      <c r="W10" s="133">
        <f>IF(SER_hh_fech_in!W10=0,0,SER_hh_fech_in!W10/SER_summary!W$27)</f>
        <v>97.956848522263385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97.591528791509077</v>
      </c>
      <c r="D11" s="133">
        <f>IF(SER_hh_fech_in!D11=0,0,SER_hh_fech_in!D11/SER_summary!D$27)</f>
        <v>145.41052503749447</v>
      </c>
      <c r="E11" s="133">
        <f>IF(SER_hh_fech_in!E11=0,0,SER_hh_fech_in!E11/SER_summary!E$27)</f>
        <v>118.15101202625245</v>
      </c>
      <c r="F11" s="133">
        <f>IF(SER_hh_fech_in!F11=0,0,SER_hh_fech_in!F11/SER_summary!F$27)</f>
        <v>115.9802930221815</v>
      </c>
      <c r="G11" s="133">
        <f>IF(SER_hh_fech_in!G11=0,0,SER_hh_fech_in!G11/SER_summary!G$27)</f>
        <v>124.8442897077674</v>
      </c>
      <c r="H11" s="133">
        <f>IF(SER_hh_fech_in!H11=0,0,SER_hh_fech_in!H11/SER_summary!H$27)</f>
        <v>116.41237277288786</v>
      </c>
      <c r="I11" s="133">
        <f>IF(SER_hh_fech_in!I11=0,0,SER_hh_fech_in!I11/SER_summary!I$27)</f>
        <v>96.889698714378113</v>
      </c>
      <c r="J11" s="133">
        <f>IF(SER_hh_fech_in!J11=0,0,SER_hh_fech_in!J11/SER_summary!J$27)</f>
        <v>96.159862928403896</v>
      </c>
      <c r="K11" s="133">
        <f>IF(SER_hh_fech_in!K11=0,0,SER_hh_fech_in!K11/SER_summary!K$27)</f>
        <v>92.802334078510114</v>
      </c>
      <c r="L11" s="133">
        <f>IF(SER_hh_fech_in!L11=0,0,SER_hh_fech_in!L11/SER_summary!L$27)</f>
        <v>94.730659046325627</v>
      </c>
      <c r="M11" s="133">
        <f>IF(SER_hh_fech_in!M11=0,0,SER_hh_fech_in!M11/SER_summary!M$27)</f>
        <v>77.004606992820428</v>
      </c>
      <c r="N11" s="133">
        <f>IF(SER_hh_fech_in!N11=0,0,SER_hh_fech_in!N11/SER_summary!N$27)</f>
        <v>88.646452160144676</v>
      </c>
      <c r="O11" s="133">
        <f>IF(SER_hh_fech_in!O11=0,0,SER_hh_fech_in!O11/SER_summary!O$27)</f>
        <v>82.328134738071796</v>
      </c>
      <c r="P11" s="133">
        <f>IF(SER_hh_fech_in!P11=0,0,SER_hh_fech_in!P11/SER_summary!P$27)</f>
        <v>65.302800768756228</v>
      </c>
      <c r="Q11" s="133">
        <f>IF(SER_hh_fech_in!Q11=0,0,SER_hh_fech_in!Q11/SER_summary!Q$27)</f>
        <v>66.706504850805217</v>
      </c>
      <c r="R11" s="133">
        <f>IF(SER_hh_fech_in!R11=0,0,SER_hh_fech_in!R11/SER_summary!R$27)</f>
        <v>58.141057539352616</v>
      </c>
      <c r="S11" s="133">
        <f>IF(SER_hh_fech_in!S11=0,0,SER_hh_fech_in!S11/SER_summary!S$27)</f>
        <v>82.688234947455939</v>
      </c>
      <c r="T11" s="133">
        <f>IF(SER_hh_fech_in!T11=0,0,SER_hh_fech_in!T11/SER_summary!T$27)</f>
        <v>68.884174080951354</v>
      </c>
      <c r="U11" s="133">
        <f>IF(SER_hh_fech_in!U11=0,0,SER_hh_fech_in!U11/SER_summary!U$27)</f>
        <v>65.810679180857832</v>
      </c>
      <c r="V11" s="133">
        <f>IF(SER_hh_fech_in!V11=0,0,SER_hh_fech_in!V11/SER_summary!V$27)</f>
        <v>64.588285590581521</v>
      </c>
      <c r="W11" s="133">
        <f>IF(SER_hh_fech_in!W11=0,0,SER_hh_fech_in!W11/SER_summary!W$27)</f>
        <v>53.880082277225405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114.64399536878179</v>
      </c>
      <c r="D12" s="133">
        <f>IF(SER_hh_fech_in!D12=0,0,SER_hh_fech_in!D12/SER_summary!D$27)</f>
        <v>117.47648691586571</v>
      </c>
      <c r="E12" s="133">
        <f>IF(SER_hh_fech_in!E12=0,0,SER_hh_fech_in!E12/SER_summary!E$27)</f>
        <v>122.41512903363845</v>
      </c>
      <c r="F12" s="133">
        <f>IF(SER_hh_fech_in!F12=0,0,SER_hh_fech_in!F12/SER_summary!F$27)</f>
        <v>117.60119420265757</v>
      </c>
      <c r="G12" s="133">
        <f>IF(SER_hh_fech_in!G12=0,0,SER_hh_fech_in!G12/SER_summary!G$27)</f>
        <v>124.37136111540346</v>
      </c>
      <c r="H12" s="133">
        <f>IF(SER_hh_fech_in!H12=0,0,SER_hh_fech_in!H12/SER_summary!H$27)</f>
        <v>119.53533164431123</v>
      </c>
      <c r="I12" s="133">
        <f>IF(SER_hh_fech_in!I12=0,0,SER_hh_fech_in!I12/SER_summary!I$27)</f>
        <v>94.259088419144874</v>
      </c>
      <c r="J12" s="133">
        <f>IF(SER_hh_fech_in!J12=0,0,SER_hh_fech_in!J12/SER_summary!J$27)</f>
        <v>98.503406690053865</v>
      </c>
      <c r="K12" s="133">
        <f>IF(SER_hh_fech_in!K12=0,0,SER_hh_fech_in!K12/SER_summary!K$27)</f>
        <v>94.146331878348548</v>
      </c>
      <c r="L12" s="133">
        <f>IF(SER_hh_fech_in!L12=0,0,SER_hh_fech_in!L12/SER_summary!L$27)</f>
        <v>91.986835118549124</v>
      </c>
      <c r="M12" s="133">
        <f>IF(SER_hh_fech_in!M12=0,0,SER_hh_fech_in!M12/SER_summary!M$27)</f>
        <v>85.116476418001497</v>
      </c>
      <c r="N12" s="133">
        <f>IF(SER_hh_fech_in!N12=0,0,SER_hh_fech_in!N12/SER_summary!N$27)</f>
        <v>83.66532535440264</v>
      </c>
      <c r="O12" s="133">
        <f>IF(SER_hh_fech_in!O12=0,0,SER_hh_fech_in!O12/SER_summary!O$27)</f>
        <v>79.173555360136518</v>
      </c>
      <c r="P12" s="133">
        <f>IF(SER_hh_fech_in!P12=0,0,SER_hh_fech_in!P12/SER_summary!P$27)</f>
        <v>67.288219510555095</v>
      </c>
      <c r="Q12" s="133">
        <f>IF(SER_hh_fech_in!Q12=0,0,SER_hh_fech_in!Q12/SER_summary!Q$27)</f>
        <v>67.407481665343781</v>
      </c>
      <c r="R12" s="133">
        <f>IF(SER_hh_fech_in!R12=0,0,SER_hh_fech_in!R12/SER_summary!R$27)</f>
        <v>69.149626965241481</v>
      </c>
      <c r="S12" s="133">
        <f>IF(SER_hh_fech_in!S12=0,0,SER_hh_fech_in!S12/SER_summary!S$27)</f>
        <v>70.518265320225666</v>
      </c>
      <c r="T12" s="133">
        <f>IF(SER_hh_fech_in!T12=0,0,SER_hh_fech_in!T12/SER_summary!T$27)</f>
        <v>63.339879359383666</v>
      </c>
      <c r="U12" s="133">
        <f>IF(SER_hh_fech_in!U12=0,0,SER_hh_fech_in!U12/SER_summary!U$27)</f>
        <v>64.194966822637213</v>
      </c>
      <c r="V12" s="133">
        <f>IF(SER_hh_fech_in!V12=0,0,SER_hh_fech_in!V12/SER_summary!V$27)</f>
        <v>56.626749038973713</v>
      </c>
      <c r="W12" s="133">
        <f>IF(SER_hh_fech_in!W12=0,0,SER_hh_fech_in!W12/SER_summary!W$27)</f>
        <v>63.159454819668795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60.373842534953937</v>
      </c>
      <c r="D13" s="133">
        <f>IF(SER_hh_fech_in!D13=0,0,SER_hh_fech_in!D13/SER_summary!D$27)</f>
        <v>58.633695326602847</v>
      </c>
      <c r="E13" s="133">
        <f>IF(SER_hh_fech_in!E13=0,0,SER_hh_fech_in!E13/SER_summary!E$27)</f>
        <v>59.012868276167595</v>
      </c>
      <c r="F13" s="133">
        <f>IF(SER_hh_fech_in!F13=0,0,SER_hh_fech_in!F13/SER_summary!F$27)</f>
        <v>56.114828565067711</v>
      </c>
      <c r="G13" s="133">
        <f>IF(SER_hh_fech_in!G13=0,0,SER_hh_fech_in!G13/SER_summary!G$27)</f>
        <v>52.617130097057846</v>
      </c>
      <c r="H13" s="133">
        <f>IF(SER_hh_fech_in!H13=0,0,SER_hh_fech_in!H13/SER_summary!H$27)</f>
        <v>48.375646885181972</v>
      </c>
      <c r="I13" s="133">
        <f>IF(SER_hh_fech_in!I13=0,0,SER_hh_fech_in!I13/SER_summary!I$27)</f>
        <v>38.744066199664921</v>
      </c>
      <c r="J13" s="133">
        <f>IF(SER_hh_fech_in!J13=0,0,SER_hh_fech_in!J13/SER_summary!J$27)</f>
        <v>41.883958021924009</v>
      </c>
      <c r="K13" s="133">
        <f>IF(SER_hh_fech_in!K13=0,0,SER_hh_fech_in!K13/SER_summary!K$27)</f>
        <v>30.954978923842212</v>
      </c>
      <c r="L13" s="133">
        <f>IF(SER_hh_fech_in!L13=0,0,SER_hh_fech_in!L13/SER_summary!L$27)</f>
        <v>28.682583731440904</v>
      </c>
      <c r="M13" s="133">
        <f>IF(SER_hh_fech_in!M13=0,0,SER_hh_fech_in!M13/SER_summary!M$27)</f>
        <v>27.227620091462693</v>
      </c>
      <c r="N13" s="133">
        <f>IF(SER_hh_fech_in!N13=0,0,SER_hh_fech_in!N13/SER_summary!N$27)</f>
        <v>24.543613966839107</v>
      </c>
      <c r="O13" s="133">
        <f>IF(SER_hh_fech_in!O13=0,0,SER_hh_fech_in!O13/SER_summary!O$27)</f>
        <v>22.6619213393096</v>
      </c>
      <c r="P13" s="133">
        <f>IF(SER_hh_fech_in!P13=0,0,SER_hh_fech_in!P13/SER_summary!P$27)</f>
        <v>21.713892929075033</v>
      </c>
      <c r="Q13" s="133">
        <f>IF(SER_hh_fech_in!Q13=0,0,SER_hh_fech_in!Q13/SER_summary!Q$27)</f>
        <v>17.291860093468582</v>
      </c>
      <c r="R13" s="133">
        <f>IF(SER_hh_fech_in!R13=0,0,SER_hh_fech_in!R13/SER_summary!R$27)</f>
        <v>17.12190781948031</v>
      </c>
      <c r="S13" s="133">
        <f>IF(SER_hh_fech_in!S13=0,0,SER_hh_fech_in!S13/SER_summary!S$27)</f>
        <v>18.154807934313975</v>
      </c>
      <c r="T13" s="133">
        <f>IF(SER_hh_fech_in!T13=0,0,SER_hh_fech_in!T13/SER_summary!T$27)</f>
        <v>17.2821826483897</v>
      </c>
      <c r="U13" s="133">
        <f>IF(SER_hh_fech_in!U13=0,0,SER_hh_fech_in!U13/SER_summary!U$27)</f>
        <v>19.263630003009443</v>
      </c>
      <c r="V13" s="133">
        <f>IF(SER_hh_fech_in!V13=0,0,SER_hh_fech_in!V13/SER_summary!V$27)</f>
        <v>12.528501131310414</v>
      </c>
      <c r="W13" s="133">
        <f>IF(SER_hh_fech_in!W13=0,0,SER_hh_fech_in!W13/SER_summary!W$27)</f>
        <v>11.393183359685537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0</v>
      </c>
      <c r="D14" s="65">
        <f>IF(SER_hh_fech_in!D14=0,0,SER_hh_fech_in!D14/SER_summary!D$27)</f>
        <v>0</v>
      </c>
      <c r="E14" s="65">
        <f>IF(SER_hh_fech_in!E14=0,0,SER_hh_fech_in!E14/SER_summary!E$27)</f>
        <v>147.48894694358361</v>
      </c>
      <c r="F14" s="65">
        <f>IF(SER_hh_fech_in!F14=0,0,SER_hh_fech_in!F14/SER_summary!F$27)</f>
        <v>107.65454827220439</v>
      </c>
      <c r="G14" s="65">
        <f>IF(SER_hh_fech_in!G14=0,0,SER_hh_fech_in!G14/SER_summary!G$27)</f>
        <v>143.49000651047373</v>
      </c>
      <c r="H14" s="65">
        <f>IF(SER_hh_fech_in!H14=0,0,SER_hh_fech_in!H14/SER_summary!H$27)</f>
        <v>129.64990082194089</v>
      </c>
      <c r="I14" s="65">
        <f>IF(SER_hh_fech_in!I14=0,0,SER_hh_fech_in!I14/SER_summary!I$27)</f>
        <v>110.04079579125825</v>
      </c>
      <c r="J14" s="65">
        <f>IF(SER_hh_fech_in!J14=0,0,SER_hh_fech_in!J14/SER_summary!J$27)</f>
        <v>131.29038554626831</v>
      </c>
      <c r="K14" s="65">
        <f>IF(SER_hh_fech_in!K14=0,0,SER_hh_fech_in!K14/SER_summary!K$27)</f>
        <v>0</v>
      </c>
      <c r="L14" s="65">
        <f>IF(SER_hh_fech_in!L14=0,0,SER_hh_fech_in!L14/SER_summary!L$27)</f>
        <v>103.48710646803384</v>
      </c>
      <c r="M14" s="65">
        <f>IF(SER_hh_fech_in!M14=0,0,SER_hh_fech_in!M14/SER_summary!M$27)</f>
        <v>91.215177676462318</v>
      </c>
      <c r="N14" s="65">
        <f>IF(SER_hh_fech_in!N14=0,0,SER_hh_fech_in!N14/SER_summary!N$27)</f>
        <v>88.874402053083571</v>
      </c>
      <c r="O14" s="65">
        <f>IF(SER_hh_fech_in!O14=0,0,SER_hh_fech_in!O14/SER_summary!O$27)</f>
        <v>86.669863307875133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0</v>
      </c>
      <c r="S14" s="65">
        <f>IF(SER_hh_fech_in!S14=0,0,SER_hh_fech_in!S14/SER_summary!S$27)</f>
        <v>66.716689395490448</v>
      </c>
      <c r="T14" s="65">
        <f>IF(SER_hh_fech_in!T14=0,0,SER_hh_fech_in!T14/SER_summary!T$27)</f>
        <v>76.866453441620422</v>
      </c>
      <c r="U14" s="65">
        <f>IF(SER_hh_fech_in!U14=0,0,SER_hh_fech_in!U14/SER_summary!U$27)</f>
        <v>64.543458035606349</v>
      </c>
      <c r="V14" s="65">
        <f>IF(SER_hh_fech_in!V14=0,0,SER_hh_fech_in!V14/SER_summary!V$27)</f>
        <v>60.995683090474948</v>
      </c>
      <c r="W14" s="65">
        <f>IF(SER_hh_fech_in!W14=0,0,SER_hh_fech_in!W14/SER_summary!W$27)</f>
        <v>60.47366820691515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1.8806818650833625</v>
      </c>
      <c r="D15" s="135">
        <f>IF(SER_hh_fech_in!D15=0,0,SER_hh_fech_in!D15/SER_summary!D$27)</f>
        <v>1.4468212021732367</v>
      </c>
      <c r="E15" s="135">
        <f>IF(SER_hh_fech_in!E15=0,0,SER_hh_fech_in!E15/SER_summary!E$27)</f>
        <v>1.4874725330516236</v>
      </c>
      <c r="F15" s="135">
        <f>IF(SER_hh_fech_in!F15=0,0,SER_hh_fech_in!F15/SER_summary!F$27)</f>
        <v>0.80436198975568418</v>
      </c>
      <c r="G15" s="135">
        <f>IF(SER_hh_fech_in!G15=0,0,SER_hh_fech_in!G15/SER_summary!G$27)</f>
        <v>0.80634166522041739</v>
      </c>
      <c r="H15" s="135">
        <f>IF(SER_hh_fech_in!H15=0,0,SER_hh_fech_in!H15/SER_summary!H$27)</f>
        <v>0.76788444366316033</v>
      </c>
      <c r="I15" s="135">
        <f>IF(SER_hh_fech_in!I15=0,0,SER_hh_fech_in!I15/SER_summary!I$27)</f>
        <v>0.47223801157910966</v>
      </c>
      <c r="J15" s="135">
        <f>IF(SER_hh_fech_in!J15=0,0,SER_hh_fech_in!J15/SER_summary!J$27)</f>
        <v>0.38134506609103058</v>
      </c>
      <c r="K15" s="135">
        <f>IF(SER_hh_fech_in!K15=0,0,SER_hh_fech_in!K15/SER_summary!K$27)</f>
        <v>0.47428681998017558</v>
      </c>
      <c r="L15" s="135">
        <f>IF(SER_hh_fech_in!L15=0,0,SER_hh_fech_in!L15/SER_summary!L$27)</f>
        <v>0.57671342136924297</v>
      </c>
      <c r="M15" s="135">
        <f>IF(SER_hh_fech_in!M15=0,0,SER_hh_fech_in!M15/SER_summary!M$27)</f>
        <v>0.54788972973721584</v>
      </c>
      <c r="N15" s="135">
        <f>IF(SER_hh_fech_in!N15=0,0,SER_hh_fech_in!N15/SER_summary!N$27)</f>
        <v>0.85647168681366981</v>
      </c>
      <c r="O15" s="135">
        <f>IF(SER_hh_fech_in!O15=0,0,SER_hh_fech_in!O15/SER_summary!O$27)</f>
        <v>0.91523217683219427</v>
      </c>
      <c r="P15" s="135">
        <f>IF(SER_hh_fech_in!P15=0,0,SER_hh_fech_in!P15/SER_summary!P$27)</f>
        <v>0.6668181882364127</v>
      </c>
      <c r="Q15" s="135">
        <f>IF(SER_hh_fech_in!Q15=0,0,SER_hh_fech_in!Q15/SER_summary!Q$27)</f>
        <v>0.54078752207370473</v>
      </c>
      <c r="R15" s="135">
        <f>IF(SER_hh_fech_in!R15=0,0,SER_hh_fech_in!R15/SER_summary!R$27)</f>
        <v>0.52466652718146578</v>
      </c>
      <c r="S15" s="135">
        <f>IF(SER_hh_fech_in!S15=0,0,SER_hh_fech_in!S15/SER_summary!S$27)</f>
        <v>0.61466610132432353</v>
      </c>
      <c r="T15" s="135">
        <f>IF(SER_hh_fech_in!T15=0,0,SER_hh_fech_in!T15/SER_summary!T$27)</f>
        <v>0.52229209132221499</v>
      </c>
      <c r="U15" s="135">
        <f>IF(SER_hh_fech_in!U15=0,0,SER_hh_fech_in!U15/SER_summary!U$27)</f>
        <v>0.46869617945100983</v>
      </c>
      <c r="V15" s="135">
        <f>IF(SER_hh_fech_in!V15=0,0,SER_hh_fech_in!V15/SER_summary!V$27)</f>
        <v>0.31337356994684623</v>
      </c>
      <c r="W15" s="135">
        <f>IF(SER_hh_fech_in!W15=0,0,SER_hh_fech_in!W15/SER_summary!W$27)</f>
        <v>0.44447887338150482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9.2944115562685674</v>
      </c>
      <c r="D16" s="131">
        <f>IF(SER_hh_fech_in!D16=0,0,SER_hh_fech_in!D16/SER_summary!D$27)</f>
        <v>8.9894476785104711</v>
      </c>
      <c r="E16" s="131">
        <f>IF(SER_hh_fech_in!E16=0,0,SER_hh_fech_in!E16/SER_summary!E$27)</f>
        <v>9.6507457113488648</v>
      </c>
      <c r="F16" s="131">
        <f>IF(SER_hh_fech_in!F16=0,0,SER_hh_fech_in!F16/SER_summary!F$27)</f>
        <v>8.2682371478722931</v>
      </c>
      <c r="G16" s="131">
        <f>IF(SER_hh_fech_in!G16=0,0,SER_hh_fech_in!G16/SER_summary!G$27)</f>
        <v>8.0366019244944393</v>
      </c>
      <c r="H16" s="131">
        <f>IF(SER_hh_fech_in!H16=0,0,SER_hh_fech_in!H16/SER_summary!H$27)</f>
        <v>8.1347321912571768</v>
      </c>
      <c r="I16" s="131">
        <f>IF(SER_hh_fech_in!I16=0,0,SER_hh_fech_in!I16/SER_summary!I$27)</f>
        <v>7.8429368640299666</v>
      </c>
      <c r="J16" s="131">
        <f>IF(SER_hh_fech_in!J16=0,0,SER_hh_fech_in!J16/SER_summary!J$27)</f>
        <v>7.3344341382102121</v>
      </c>
      <c r="K16" s="131">
        <f>IF(SER_hh_fech_in!K16=0,0,SER_hh_fech_in!K16/SER_summary!K$27)</f>
        <v>7.1607854778451854</v>
      </c>
      <c r="L16" s="131">
        <f>IF(SER_hh_fech_in!L16=0,0,SER_hh_fech_in!L16/SER_summary!L$27)</f>
        <v>7.1092793163837111</v>
      </c>
      <c r="M16" s="131">
        <f>IF(SER_hh_fech_in!M16=0,0,SER_hh_fech_in!M16/SER_summary!M$27)</f>
        <v>6.7069528531468681</v>
      </c>
      <c r="N16" s="131">
        <f>IF(SER_hh_fech_in!N16=0,0,SER_hh_fech_in!N16/SER_summary!N$27)</f>
        <v>6.6661695267368666</v>
      </c>
      <c r="O16" s="131">
        <f>IF(SER_hh_fech_in!O16=0,0,SER_hh_fech_in!O16/SER_summary!O$27)</f>
        <v>6.745512735572631</v>
      </c>
      <c r="P16" s="131">
        <f>IF(SER_hh_fech_in!P16=0,0,SER_hh_fech_in!P16/SER_summary!P$27)</f>
        <v>5.668900935601128</v>
      </c>
      <c r="Q16" s="131">
        <f>IF(SER_hh_fech_in!Q16=0,0,SER_hh_fech_in!Q16/SER_summary!Q$27)</f>
        <v>6.3594334314274423</v>
      </c>
      <c r="R16" s="131">
        <f>IF(SER_hh_fech_in!R16=0,0,SER_hh_fech_in!R16/SER_summary!R$27)</f>
        <v>5.3598736576666015</v>
      </c>
      <c r="S16" s="131">
        <f>IF(SER_hh_fech_in!S16=0,0,SER_hh_fech_in!S16/SER_summary!S$27)</f>
        <v>5.6624558992400029</v>
      </c>
      <c r="T16" s="131">
        <f>IF(SER_hh_fech_in!T16=0,0,SER_hh_fech_in!T16/SER_summary!T$27)</f>
        <v>5.4747644387669476</v>
      </c>
      <c r="U16" s="131">
        <f>IF(SER_hh_fech_in!U16=0,0,SER_hh_fech_in!U16/SER_summary!U$27)</f>
        <v>5.5698332381486519</v>
      </c>
      <c r="V16" s="131">
        <f>IF(SER_hh_fech_in!V16=0,0,SER_hh_fech_in!V16/SER_summary!V$27)</f>
        <v>4.9591318583808048</v>
      </c>
      <c r="W16" s="131">
        <f>IF(SER_hh_fech_in!W16=0,0,SER_hh_fech_in!W16/SER_summary!W$27)</f>
        <v>5.0026331915362068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17.088025386810198</v>
      </c>
      <c r="D17" s="133">
        <f>IF(SER_hh_fech_in!D17=0,0,SER_hh_fech_in!D17/SER_summary!D$27)</f>
        <v>17.023600049808234</v>
      </c>
      <c r="E17" s="133">
        <f>IF(SER_hh_fech_in!E17=0,0,SER_hh_fech_in!E17/SER_summary!E$27)</f>
        <v>18.834013612111377</v>
      </c>
      <c r="F17" s="133">
        <f>IF(SER_hh_fech_in!F17=0,0,SER_hh_fech_in!F17/SER_summary!F$27)</f>
        <v>16.622977852483977</v>
      </c>
      <c r="G17" s="133">
        <f>IF(SER_hh_fech_in!G17=0,0,SER_hh_fech_in!G17/SER_summary!G$27)</f>
        <v>16.65168972349657</v>
      </c>
      <c r="H17" s="133">
        <f>IF(SER_hh_fech_in!H17=0,0,SER_hh_fech_in!H17/SER_summary!H$27)</f>
        <v>17.336540468273281</v>
      </c>
      <c r="I17" s="133">
        <f>IF(SER_hh_fech_in!I17=0,0,SER_hh_fech_in!I17/SER_summary!I$27)</f>
        <v>17.177995566505277</v>
      </c>
      <c r="J17" s="133">
        <f>IF(SER_hh_fech_in!J17=0,0,SER_hh_fech_in!J17/SER_summary!J$27)</f>
        <v>16.487499003935962</v>
      </c>
      <c r="K17" s="133">
        <f>IF(SER_hh_fech_in!K17=0,0,SER_hh_fech_in!K17/SER_summary!K$27)</f>
        <v>16.432186345375122</v>
      </c>
      <c r="L17" s="133">
        <f>IF(SER_hh_fech_in!L17=0,0,SER_hh_fech_in!L17/SER_summary!L$27)</f>
        <v>16.837805271462557</v>
      </c>
      <c r="M17" s="133">
        <f>IF(SER_hh_fech_in!M17=0,0,SER_hh_fech_in!M17/SER_summary!M$27)</f>
        <v>17.510470847408982</v>
      </c>
      <c r="N17" s="133">
        <f>IF(SER_hh_fech_in!N17=0,0,SER_hh_fech_in!N17/SER_summary!N$27)</f>
        <v>16.622962458708777</v>
      </c>
      <c r="O17" s="133">
        <f>IF(SER_hh_fech_in!O17=0,0,SER_hh_fech_in!O17/SER_summary!O$27)</f>
        <v>17.267920192763214</v>
      </c>
      <c r="P17" s="133">
        <f>IF(SER_hh_fech_in!P17=0,0,SER_hh_fech_in!P17/SER_summary!P$27)</f>
        <v>14.831029283322446</v>
      </c>
      <c r="Q17" s="133">
        <f>IF(SER_hh_fech_in!Q17=0,0,SER_hh_fech_in!Q17/SER_summary!Q$27)</f>
        <v>17.630848969281683</v>
      </c>
      <c r="R17" s="133">
        <f>IF(SER_hh_fech_in!R17=0,0,SER_hh_fech_in!R17/SER_summary!R$27)</f>
        <v>14.296189822450096</v>
      </c>
      <c r="S17" s="133">
        <f>IF(SER_hh_fech_in!S17=0,0,SER_hh_fech_in!S17/SER_summary!S$27)</f>
        <v>15.064131754547216</v>
      </c>
      <c r="T17" s="133">
        <f>IF(SER_hh_fech_in!T17=0,0,SER_hh_fech_in!T17/SER_summary!T$27)</f>
        <v>14.499131977780097</v>
      </c>
      <c r="U17" s="133">
        <f>IF(SER_hh_fech_in!U17=0,0,SER_hh_fech_in!U17/SER_summary!U$27)</f>
        <v>14.584862457310606</v>
      </c>
      <c r="V17" s="133">
        <f>IF(SER_hh_fech_in!V17=0,0,SER_hh_fech_in!V17/SER_summary!V$27)</f>
        <v>12.939273732638648</v>
      </c>
      <c r="W17" s="133">
        <f>IF(SER_hh_fech_in!W17=0,0,SER_hh_fech_in!W17/SER_summary!W$27)</f>
        <v>12.920732583009711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9.2808332460569822</v>
      </c>
      <c r="D18" s="133">
        <f>IF(SER_hh_fech_in!D18=0,0,SER_hh_fech_in!D18/SER_summary!D$27)</f>
        <v>8.9695609891728374</v>
      </c>
      <c r="E18" s="133">
        <f>IF(SER_hh_fech_in!E18=0,0,SER_hh_fech_in!E18/SER_summary!E$27)</f>
        <v>9.6376045983063126</v>
      </c>
      <c r="F18" s="133">
        <f>IF(SER_hh_fech_in!F18=0,0,SER_hh_fech_in!F18/SER_summary!F$27)</f>
        <v>8.2352353422167273</v>
      </c>
      <c r="G18" s="133">
        <f>IF(SER_hh_fech_in!G18=0,0,SER_hh_fech_in!G18/SER_summary!G$27)</f>
        <v>8.0127767754820756</v>
      </c>
      <c r="H18" s="133">
        <f>IF(SER_hh_fech_in!H18=0,0,SER_hh_fech_in!H18/SER_summary!H$27)</f>
        <v>8.1113260675958632</v>
      </c>
      <c r="I18" s="133">
        <f>IF(SER_hh_fech_in!I18=0,0,SER_hh_fech_in!I18/SER_summary!I$27)</f>
        <v>7.8053645365476392</v>
      </c>
      <c r="J18" s="133">
        <f>IF(SER_hh_fech_in!J18=0,0,SER_hh_fech_in!J18/SER_summary!J$27)</f>
        <v>7.2974787043738827</v>
      </c>
      <c r="K18" s="133">
        <f>IF(SER_hh_fech_in!K18=0,0,SER_hh_fech_in!K18/SER_summary!K$27)</f>
        <v>7.0850510104228839</v>
      </c>
      <c r="L18" s="133">
        <f>IF(SER_hh_fech_in!L18=0,0,SER_hh_fech_in!L18/SER_summary!L$27)</f>
        <v>7.0701720353612538</v>
      </c>
      <c r="M18" s="133">
        <f>IF(SER_hh_fech_in!M18=0,0,SER_hh_fech_in!M18/SER_summary!M$27)</f>
        <v>6.6592805089967202</v>
      </c>
      <c r="N18" s="133">
        <f>IF(SER_hh_fech_in!N18=0,0,SER_hh_fech_in!N18/SER_summary!N$27)</f>
        <v>6.6035224780116923</v>
      </c>
      <c r="O18" s="133">
        <f>IF(SER_hh_fech_in!O18=0,0,SER_hh_fech_in!O18/SER_summary!O$27)</f>
        <v>6.6755938090344413</v>
      </c>
      <c r="P18" s="133">
        <f>IF(SER_hh_fech_in!P18=0,0,SER_hh_fech_in!P18/SER_summary!P$27)</f>
        <v>5.5959631132107326</v>
      </c>
      <c r="Q18" s="133">
        <f>IF(SER_hh_fech_in!Q18=0,0,SER_hh_fech_in!Q18/SER_summary!Q$27)</f>
        <v>6.26739571548167</v>
      </c>
      <c r="R18" s="133">
        <f>IF(SER_hh_fech_in!R18=0,0,SER_hh_fech_in!R18/SER_summary!R$27)</f>
        <v>5.3002499004242374</v>
      </c>
      <c r="S18" s="133">
        <f>IF(SER_hh_fech_in!S18=0,0,SER_hh_fech_in!S18/SER_summary!S$27)</f>
        <v>5.5680203148097407</v>
      </c>
      <c r="T18" s="133">
        <f>IF(SER_hh_fech_in!T18=0,0,SER_hh_fech_in!T18/SER_summary!T$27)</f>
        <v>5.3964441427635066</v>
      </c>
      <c r="U18" s="133">
        <f>IF(SER_hh_fech_in!U18=0,0,SER_hh_fech_in!U18/SER_summary!U$27)</f>
        <v>5.4559298918126116</v>
      </c>
      <c r="V18" s="133">
        <f>IF(SER_hh_fech_in!V18=0,0,SER_hh_fech_in!V18/SER_summary!V$27)</f>
        <v>4.9048138159376764</v>
      </c>
      <c r="W18" s="133">
        <f>IF(SER_hh_fech_in!W18=0,0,SER_hh_fech_in!W18/SER_summary!W$27)</f>
        <v>4.9320920386240532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18.530530790801251</v>
      </c>
      <c r="D19" s="131">
        <f>IF(SER_hh_fech_in!D19=0,0,SER_hh_fech_in!D19/SER_summary!D$27)</f>
        <v>20.06074626696665</v>
      </c>
      <c r="E19" s="131">
        <f>IF(SER_hh_fech_in!E19=0,0,SER_hh_fech_in!E19/SER_summary!E$27)</f>
        <v>18.404558383681316</v>
      </c>
      <c r="F19" s="131">
        <f>IF(SER_hh_fech_in!F19=0,0,SER_hh_fech_in!F19/SER_summary!F$27)</f>
        <v>19.042823979137459</v>
      </c>
      <c r="G19" s="131">
        <f>IF(SER_hh_fech_in!G19=0,0,SER_hh_fech_in!G19/SER_summary!G$27)</f>
        <v>21.115634287236592</v>
      </c>
      <c r="H19" s="131">
        <f>IF(SER_hh_fech_in!H19=0,0,SER_hh_fech_in!H19/SER_summary!H$27)</f>
        <v>20.654677260149644</v>
      </c>
      <c r="I19" s="131">
        <f>IF(SER_hh_fech_in!I19=0,0,SER_hh_fech_in!I19/SER_summary!I$27)</f>
        <v>18.664330253627107</v>
      </c>
      <c r="J19" s="131">
        <f>IF(SER_hh_fech_in!J19=0,0,SER_hh_fech_in!J19/SER_summary!J$27)</f>
        <v>18.656275994252223</v>
      </c>
      <c r="K19" s="131">
        <f>IF(SER_hh_fech_in!K19=0,0,SER_hh_fech_in!K19/SER_summary!K$27)</f>
        <v>20.673689662550387</v>
      </c>
      <c r="L19" s="131">
        <f>IF(SER_hh_fech_in!L19=0,0,SER_hh_fech_in!L19/SER_summary!L$27)</f>
        <v>20.035126893233745</v>
      </c>
      <c r="M19" s="131">
        <f>IF(SER_hh_fech_in!M19=0,0,SER_hh_fech_in!M19/SER_summary!M$27)</f>
        <v>21.265379605874084</v>
      </c>
      <c r="N19" s="131">
        <f>IF(SER_hh_fech_in!N19=0,0,SER_hh_fech_in!N19/SER_summary!N$27)</f>
        <v>19.881607053538783</v>
      </c>
      <c r="O19" s="131">
        <f>IF(SER_hh_fech_in!O19=0,0,SER_hh_fech_in!O19/SER_summary!O$27)</f>
        <v>18.637602998219823</v>
      </c>
      <c r="P19" s="131">
        <f>IF(SER_hh_fech_in!P19=0,0,SER_hh_fech_in!P19/SER_summary!P$27)</f>
        <v>20.650021480928611</v>
      </c>
      <c r="Q19" s="131">
        <f>IF(SER_hh_fech_in!Q19=0,0,SER_hh_fech_in!Q19/SER_summary!Q$27)</f>
        <v>17.599278836396543</v>
      </c>
      <c r="R19" s="131">
        <f>IF(SER_hh_fech_in!R19=0,0,SER_hh_fech_in!R19/SER_summary!R$27)</f>
        <v>17.539428518819872</v>
      </c>
      <c r="S19" s="131">
        <f>IF(SER_hh_fech_in!S19=0,0,SER_hh_fech_in!S19/SER_summary!S$27)</f>
        <v>20.274688446302815</v>
      </c>
      <c r="T19" s="131">
        <f>IF(SER_hh_fech_in!T19=0,0,SER_hh_fech_in!T19/SER_summary!T$27)</f>
        <v>19.364567192368749</v>
      </c>
      <c r="U19" s="131">
        <f>IF(SER_hh_fech_in!U19=0,0,SER_hh_fech_in!U19/SER_summary!U$27)</f>
        <v>18.998504000493096</v>
      </c>
      <c r="V19" s="131">
        <f>IF(SER_hh_fech_in!V19=0,0,SER_hh_fech_in!V19/SER_summary!V$27)</f>
        <v>17.256172237931025</v>
      </c>
      <c r="W19" s="131">
        <f>IF(SER_hh_fech_in!W19=0,0,SER_hh_fech_in!W19/SER_summary!W$27)</f>
        <v>15.249465996508047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11.056852364536217</v>
      </c>
      <c r="D21" s="133">
        <f>IF(SER_hh_fech_in!D21=0,0,SER_hh_fech_in!D21/SER_summary!D$27)</f>
        <v>22.836569938372243</v>
      </c>
      <c r="E21" s="133">
        <f>IF(SER_hh_fech_in!E21=0,0,SER_hh_fech_in!E21/SER_summary!E$27)</f>
        <v>18.348485527681618</v>
      </c>
      <c r="F21" s="133">
        <f>IF(SER_hh_fech_in!F21=0,0,SER_hh_fech_in!F21/SER_summary!F$27)</f>
        <v>23.552454153726543</v>
      </c>
      <c r="G21" s="133">
        <f>IF(SER_hh_fech_in!G21=0,0,SER_hh_fech_in!G21/SER_summary!G$27)</f>
        <v>26.477101551578947</v>
      </c>
      <c r="H21" s="133">
        <f>IF(SER_hh_fech_in!H21=0,0,SER_hh_fech_in!H21/SER_summary!H$27)</f>
        <v>26.311288881837523</v>
      </c>
      <c r="I21" s="133">
        <f>IF(SER_hh_fech_in!I21=0,0,SER_hh_fech_in!I21/SER_summary!I$27)</f>
        <v>21.026023201978212</v>
      </c>
      <c r="J21" s="133">
        <f>IF(SER_hh_fech_in!J21=0,0,SER_hh_fech_in!J21/SER_summary!J$27)</f>
        <v>0</v>
      </c>
      <c r="K21" s="133">
        <f>IF(SER_hh_fech_in!K21=0,0,SER_hh_fech_in!K21/SER_summary!K$27)</f>
        <v>27.491364506798064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15.095575192540657</v>
      </c>
      <c r="D22" s="133">
        <f>IF(SER_hh_fech_in!D22=0,0,SER_hh_fech_in!D22/SER_summary!D$27)</f>
        <v>23.9207969982848</v>
      </c>
      <c r="E22" s="133">
        <f>IF(SER_hh_fech_in!E22=0,0,SER_hh_fech_in!E22/SER_summary!E$27)</f>
        <v>12.154549562935349</v>
      </c>
      <c r="F22" s="133">
        <f>IF(SER_hh_fech_in!F22=0,0,SER_hh_fech_in!F22/SER_summary!F$27)</f>
        <v>24.368936054382949</v>
      </c>
      <c r="G22" s="133">
        <f>IF(SER_hh_fech_in!G22=0,0,SER_hh_fech_in!G22/SER_summary!G$27)</f>
        <v>27.524322958208604</v>
      </c>
      <c r="H22" s="133">
        <f>IF(SER_hh_fech_in!H22=0,0,SER_hh_fech_in!H22/SER_summary!H$27)</f>
        <v>26.999637259851575</v>
      </c>
      <c r="I22" s="133">
        <f>IF(SER_hh_fech_in!I22=0,0,SER_hh_fech_in!I22/SER_summary!I$27)</f>
        <v>21.451013705092429</v>
      </c>
      <c r="J22" s="133">
        <f>IF(SER_hh_fech_in!J22=0,0,SER_hh_fech_in!J22/SER_summary!J$27)</f>
        <v>12.859255075029775</v>
      </c>
      <c r="K22" s="133">
        <f>IF(SER_hh_fech_in!K22=0,0,SER_hh_fech_in!K22/SER_summary!K$27)</f>
        <v>27.546509396214717</v>
      </c>
      <c r="L22" s="133">
        <f>IF(SER_hh_fech_in!L22=0,0,SER_hh_fech_in!L22/SER_summary!L$27)</f>
        <v>7.6932854947179043</v>
      </c>
      <c r="M22" s="133">
        <f>IF(SER_hh_fech_in!M22=0,0,SER_hh_fech_in!M22/SER_summary!M$27)</f>
        <v>10.810726349623696</v>
      </c>
      <c r="N22" s="133">
        <f>IF(SER_hh_fech_in!N22=0,0,SER_hh_fech_in!N22/SER_summary!N$27)</f>
        <v>12.781066552123502</v>
      </c>
      <c r="O22" s="133">
        <f>IF(SER_hh_fech_in!O22=0,0,SER_hh_fech_in!O22/SER_summary!O$27)</f>
        <v>25.891027850651021</v>
      </c>
      <c r="P22" s="133">
        <f>IF(SER_hh_fech_in!P22=0,0,SER_hh_fech_in!P22/SER_summary!P$27)</f>
        <v>0</v>
      </c>
      <c r="Q22" s="133">
        <f>IF(SER_hh_fech_in!Q22=0,0,SER_hh_fech_in!Q22/SER_summary!Q$27)</f>
        <v>23.164632798379412</v>
      </c>
      <c r="R22" s="133">
        <f>IF(SER_hh_fech_in!R22=0,0,SER_hh_fech_in!R22/SER_summary!R$27)</f>
        <v>22.255916121555835</v>
      </c>
      <c r="S22" s="133">
        <f>IF(SER_hh_fech_in!S22=0,0,SER_hh_fech_in!S22/SER_summary!S$27)</f>
        <v>13.801062197467742</v>
      </c>
      <c r="T22" s="133">
        <f>IF(SER_hh_fech_in!T22=0,0,SER_hh_fech_in!T22/SER_summary!T$27)</f>
        <v>12.270745674449431</v>
      </c>
      <c r="U22" s="133">
        <f>IF(SER_hh_fech_in!U22=0,0,SER_hh_fech_in!U22/SER_summary!U$27)</f>
        <v>20.65666528496314</v>
      </c>
      <c r="V22" s="133">
        <f>IF(SER_hh_fech_in!V22=0,0,SER_hh_fech_in!V22/SER_summary!V$27)</f>
        <v>13.188557475432793</v>
      </c>
      <c r="W22" s="133">
        <f>IF(SER_hh_fech_in!W22=0,0,SER_hh_fech_in!W22/SER_summary!W$27)</f>
        <v>19.480506379136806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13.381917379105936</v>
      </c>
      <c r="D23" s="133">
        <f>IF(SER_hh_fech_in!D23=0,0,SER_hh_fech_in!D23/SER_summary!D$27)</f>
        <v>21.921294465980136</v>
      </c>
      <c r="E23" s="133">
        <f>IF(SER_hh_fech_in!E23=0,0,SER_hh_fech_in!E23/SER_summary!E$27)</f>
        <v>13.077635576869621</v>
      </c>
      <c r="F23" s="133">
        <f>IF(SER_hh_fech_in!F23=0,0,SER_hh_fech_in!F23/SER_summary!F$27)</f>
        <v>21.914887730998636</v>
      </c>
      <c r="G23" s="133">
        <f>IF(SER_hh_fech_in!G23=0,0,SER_hh_fech_in!G23/SER_summary!G$27)</f>
        <v>24.793027383475444</v>
      </c>
      <c r="H23" s="133">
        <f>IF(SER_hh_fech_in!H23=0,0,SER_hh_fech_in!H23/SER_summary!H$27)</f>
        <v>24.497985499053428</v>
      </c>
      <c r="I23" s="133">
        <f>IF(SER_hh_fech_in!I23=0,0,SER_hh_fech_in!I23/SER_summary!I$27)</f>
        <v>19.289363464110306</v>
      </c>
      <c r="J23" s="133">
        <f>IF(SER_hh_fech_in!J23=0,0,SER_hh_fech_in!J23/SER_summary!J$27)</f>
        <v>13.486621741986413</v>
      </c>
      <c r="K23" s="133">
        <f>IF(SER_hh_fech_in!K23=0,0,SER_hh_fech_in!K23/SER_summary!K$27)</f>
        <v>24.089866310713493</v>
      </c>
      <c r="L23" s="133">
        <f>IF(SER_hh_fech_in!L23=0,0,SER_hh_fech_in!L23/SER_summary!L$27)</f>
        <v>10.274447581275796</v>
      </c>
      <c r="M23" s="133">
        <f>IF(SER_hh_fech_in!M23=0,0,SER_hh_fech_in!M23/SER_summary!M$27)</f>
        <v>12.249168862008917</v>
      </c>
      <c r="N23" s="133">
        <f>IF(SER_hh_fech_in!N23=0,0,SER_hh_fech_in!N23/SER_summary!N$27)</f>
        <v>13.997302812789226</v>
      </c>
      <c r="O23" s="133">
        <f>IF(SER_hh_fech_in!O23=0,0,SER_hh_fech_in!O23/SER_summary!O$27)</f>
        <v>24.22890586209946</v>
      </c>
      <c r="P23" s="133">
        <f>IF(SER_hh_fech_in!P23=0,0,SER_hh_fech_in!P23/SER_summary!P$27)</f>
        <v>15.367491667882557</v>
      </c>
      <c r="Q23" s="133">
        <f>IF(SER_hh_fech_in!Q23=0,0,SER_hh_fech_in!Q23/SER_summary!Q$27)</f>
        <v>22.702455664849289</v>
      </c>
      <c r="R23" s="133">
        <f>IF(SER_hh_fech_in!R23=0,0,SER_hh_fech_in!R23/SER_summary!R$27)</f>
        <v>21.757663120895536</v>
      </c>
      <c r="S23" s="133">
        <f>IF(SER_hh_fech_in!S23=0,0,SER_hh_fech_in!S23/SER_summary!S$27)</f>
        <v>13.178914087006337</v>
      </c>
      <c r="T23" s="133">
        <f>IF(SER_hh_fech_in!T23=0,0,SER_hh_fech_in!T23/SER_summary!T$27)</f>
        <v>11.750860436912443</v>
      </c>
      <c r="U23" s="133">
        <f>IF(SER_hh_fech_in!U23=0,0,SER_hh_fech_in!U23/SER_summary!U$27)</f>
        <v>19.928640476729754</v>
      </c>
      <c r="V23" s="133">
        <f>IF(SER_hh_fech_in!V23=0,0,SER_hh_fech_in!V23/SER_summary!V$27)</f>
        <v>13.304684466955164</v>
      </c>
      <c r="W23" s="133">
        <f>IF(SER_hh_fech_in!W23=0,0,SER_hh_fech_in!W23/SER_summary!W$27)</f>
        <v>18.892167703254511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13.443129325139541</v>
      </c>
      <c r="D24" s="133">
        <f>IF(SER_hh_fech_in!D24=0,0,SER_hh_fech_in!D24/SER_summary!D$27)</f>
        <v>21.512083303522406</v>
      </c>
      <c r="E24" s="133">
        <f>IF(SER_hh_fech_in!E24=0,0,SER_hh_fech_in!E24/SER_summary!E$27)</f>
        <v>11.179607329530905</v>
      </c>
      <c r="F24" s="133">
        <f>IF(SER_hh_fech_in!F24=0,0,SER_hh_fech_in!F24/SER_summary!F$27)</f>
        <v>21.032911791620986</v>
      </c>
      <c r="G24" s="133">
        <f>IF(SER_hh_fech_in!G24=0,0,SER_hh_fech_in!G24/SER_summary!G$27)</f>
        <v>23.55787393623568</v>
      </c>
      <c r="H24" s="133">
        <f>IF(SER_hh_fech_in!H24=0,0,SER_hh_fech_in!H24/SER_summary!H$27)</f>
        <v>23.162244274301962</v>
      </c>
      <c r="I24" s="133">
        <f>IF(SER_hh_fech_in!I24=0,0,SER_hh_fech_in!I24/SER_summary!I$27)</f>
        <v>17.88850251102529</v>
      </c>
      <c r="J24" s="133">
        <f>IF(SER_hh_fech_in!J24=0,0,SER_hh_fech_in!J24/SER_summary!J$27)</f>
        <v>12.405414921872065</v>
      </c>
      <c r="K24" s="133">
        <f>IF(SER_hh_fech_in!K24=0,0,SER_hh_fech_in!K24/SER_summary!K$27)</f>
        <v>22.11410894365299</v>
      </c>
      <c r="L24" s="133">
        <f>IF(SER_hh_fech_in!L24=0,0,SER_hh_fech_in!L24/SER_summary!L$27)</f>
        <v>9.6554651468506894</v>
      </c>
      <c r="M24" s="133">
        <f>IF(SER_hh_fech_in!M24=0,0,SER_hh_fech_in!M24/SER_summary!M$27)</f>
        <v>11.672083124494119</v>
      </c>
      <c r="N24" s="133">
        <f>IF(SER_hh_fech_in!N24=0,0,SER_hh_fech_in!N24/SER_summary!N$27)</f>
        <v>13.387906574441367</v>
      </c>
      <c r="O24" s="133">
        <f>IF(SER_hh_fech_in!O24=0,0,SER_hh_fech_in!O24/SER_summary!O$27)</f>
        <v>22.919482935074953</v>
      </c>
      <c r="P24" s="133">
        <f>IF(SER_hh_fech_in!P24=0,0,SER_hh_fech_in!P24/SER_summary!P$27)</f>
        <v>15.342804121392986</v>
      </c>
      <c r="Q24" s="133">
        <f>IF(SER_hh_fech_in!Q24=0,0,SER_hh_fech_in!Q24/SER_summary!Q$27)</f>
        <v>22.678430541100074</v>
      </c>
      <c r="R24" s="133">
        <f>IF(SER_hh_fech_in!R24=0,0,SER_hh_fech_in!R24/SER_summary!R$27)</f>
        <v>21.599558521702019</v>
      </c>
      <c r="S24" s="133">
        <f>IF(SER_hh_fech_in!S24=0,0,SER_hh_fech_in!S24/SER_summary!S$27)</f>
        <v>13.303969223178225</v>
      </c>
      <c r="T24" s="133">
        <f>IF(SER_hh_fech_in!T24=0,0,SER_hh_fech_in!T24/SER_summary!T$27)</f>
        <v>11.791040859916844</v>
      </c>
      <c r="U24" s="133">
        <f>IF(SER_hh_fech_in!U24=0,0,SER_hh_fech_in!U24/SER_summary!U$27)</f>
        <v>20.055856225798802</v>
      </c>
      <c r="V24" s="133">
        <f>IF(SER_hh_fech_in!V24=0,0,SER_hh_fech_in!V24/SER_summary!V$27)</f>
        <v>12.962051208855794</v>
      </c>
      <c r="W24" s="133">
        <f>IF(SER_hh_fech_in!W24=0,0,SER_hh_fech_in!W24/SER_summary!W$27)</f>
        <v>18.632702536867619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9.7782567148915849</v>
      </c>
      <c r="D25" s="133">
        <f>IF(SER_hh_fech_in!D25=0,0,SER_hh_fech_in!D25/SER_summary!D$27)</f>
        <v>15.915775632592423</v>
      </c>
      <c r="E25" s="133">
        <f>IF(SER_hh_fech_in!E25=0,0,SER_hh_fech_in!E25/SER_summary!E$27)</f>
        <v>8.005927603824686</v>
      </c>
      <c r="F25" s="133">
        <f>IF(SER_hh_fech_in!F25=0,0,SER_hh_fech_in!F25/SER_summary!F$27)</f>
        <v>15.481874642126465</v>
      </c>
      <c r="G25" s="133">
        <f>IF(SER_hh_fech_in!G25=0,0,SER_hh_fech_in!G25/SER_summary!G$27)</f>
        <v>17.011635289246424</v>
      </c>
      <c r="H25" s="133">
        <f>IF(SER_hh_fech_in!H25=0,0,SER_hh_fech_in!H25/SER_summary!H$27)</f>
        <v>17.612567174783358</v>
      </c>
      <c r="I25" s="133">
        <f>IF(SER_hh_fech_in!I25=0,0,SER_hh_fech_in!I25/SER_summary!I$27)</f>
        <v>14.559002811366593</v>
      </c>
      <c r="J25" s="133">
        <f>IF(SER_hh_fech_in!J25=0,0,SER_hh_fech_in!J25/SER_summary!J$27)</f>
        <v>11.028939722979594</v>
      </c>
      <c r="K25" s="133">
        <f>IF(SER_hh_fech_in!K25=0,0,SER_hh_fech_in!K25/SER_summary!K$27)</f>
        <v>18.574105226918682</v>
      </c>
      <c r="L25" s="133">
        <f>IF(SER_hh_fech_in!L25=0,0,SER_hh_fech_in!L25/SER_summary!L$27)</f>
        <v>8.8837516651479316</v>
      </c>
      <c r="M25" s="133">
        <f>IF(SER_hh_fech_in!M25=0,0,SER_hh_fech_in!M25/SER_summary!M$27)</f>
        <v>10.098097320737349</v>
      </c>
      <c r="N25" s="133">
        <f>IF(SER_hh_fech_in!N25=0,0,SER_hh_fech_in!N25/SER_summary!N$27)</f>
        <v>11.331834163585095</v>
      </c>
      <c r="O25" s="133">
        <f>IF(SER_hh_fech_in!O25=0,0,SER_hh_fech_in!O25/SER_summary!O$27)</f>
        <v>19.501395656259234</v>
      </c>
      <c r="P25" s="133">
        <f>IF(SER_hh_fech_in!P25=0,0,SER_hh_fech_in!P25/SER_summary!P$27)</f>
        <v>13.095349641548886</v>
      </c>
      <c r="Q25" s="133">
        <f>IF(SER_hh_fech_in!Q25=0,0,SER_hh_fech_in!Q25/SER_summary!Q$27)</f>
        <v>19.489267038227773</v>
      </c>
      <c r="R25" s="133">
        <f>IF(SER_hh_fech_in!R25=0,0,SER_hh_fech_in!R25/SER_summary!R$27)</f>
        <v>18.847187265101795</v>
      </c>
      <c r="S25" s="133">
        <f>IF(SER_hh_fech_in!S25=0,0,SER_hh_fech_in!S25/SER_summary!S$27)</f>
        <v>11.501147622634626</v>
      </c>
      <c r="T25" s="133">
        <f>IF(SER_hh_fech_in!T25=0,0,SER_hh_fech_in!T25/SER_summary!T$27)</f>
        <v>10.331943853546626</v>
      </c>
      <c r="U25" s="133">
        <f>IF(SER_hh_fech_in!U25=0,0,SER_hh_fech_in!U25/SER_summary!U$27)</f>
        <v>17.865784086816952</v>
      </c>
      <c r="V25" s="133">
        <f>IF(SER_hh_fech_in!V25=0,0,SER_hh_fech_in!V25/SER_summary!V$27)</f>
        <v>12.264124491529326</v>
      </c>
      <c r="W25" s="133">
        <f>IF(SER_hh_fech_in!W25=0,0,SER_hh_fech_in!W25/SER_summary!W$27)</f>
        <v>17.439568209464191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7.5582127609225287</v>
      </c>
      <c r="D26" s="65">
        <f>IF(SER_hh_fech_in!D26=0,0,SER_hh_fech_in!D26/SER_summary!D$27)</f>
        <v>7.0944451949596949</v>
      </c>
      <c r="E26" s="65">
        <f>IF(SER_hh_fech_in!E26=0,0,SER_hh_fech_in!E26/SER_summary!E$27)</f>
        <v>6.1689686457305255</v>
      </c>
      <c r="F26" s="65">
        <f>IF(SER_hh_fech_in!F26=0,0,SER_hh_fech_in!F26/SER_summary!F$27)</f>
        <v>5.6152741035406608</v>
      </c>
      <c r="G26" s="65">
        <f>IF(SER_hh_fech_in!G26=0,0,SER_hh_fech_in!G26/SER_summary!G$27)</f>
        <v>21.679388183102432</v>
      </c>
      <c r="H26" s="65">
        <f>IF(SER_hh_fech_in!H26=0,0,SER_hh_fech_in!H26/SER_summary!H$27)</f>
        <v>20.893230158691669</v>
      </c>
      <c r="I26" s="65">
        <f>IF(SER_hh_fech_in!I26=0,0,SER_hh_fech_in!I26/SER_summary!I$27)</f>
        <v>3.2826061758089984</v>
      </c>
      <c r="J26" s="65">
        <f>IF(SER_hh_fech_in!J26=0,0,SER_hh_fech_in!J26/SER_summary!J$27)</f>
        <v>0.18217666845637356</v>
      </c>
      <c r="K26" s="65">
        <f>IF(SER_hh_fech_in!K26=0,0,SER_hh_fech_in!K26/SER_summary!K$27)</f>
        <v>22.01057031748412</v>
      </c>
      <c r="L26" s="65">
        <f>IF(SER_hh_fech_in!L26=0,0,SER_hh_fech_in!L26/SER_summary!L$27)</f>
        <v>0.1219144535999544</v>
      </c>
      <c r="M26" s="65">
        <f>IF(SER_hh_fech_in!M26=0,0,SER_hh_fech_in!M26/SER_summary!M$27)</f>
        <v>0.12073531517919292</v>
      </c>
      <c r="N26" s="65">
        <f>IF(SER_hh_fech_in!N26=0,0,SER_hh_fech_in!N26/SER_summary!N$27)</f>
        <v>0.13069404639308804</v>
      </c>
      <c r="O26" s="65">
        <f>IF(SER_hh_fech_in!O26=0,0,SER_hh_fech_in!O26/SER_summary!O$27)</f>
        <v>14.209283249431138</v>
      </c>
      <c r="P26" s="65">
        <f>IF(SER_hh_fech_in!P26=0,0,SER_hh_fech_in!P26/SER_summary!P$27)</f>
        <v>0.13972520621333578</v>
      </c>
      <c r="Q26" s="65">
        <f>IF(SER_hh_fech_in!Q26=0,0,SER_hh_fech_in!Q26/SER_summary!Q$27)</f>
        <v>13.911695685632335</v>
      </c>
      <c r="R26" s="65">
        <f>IF(SER_hh_fech_in!R26=0,0,SER_hh_fech_in!R26/SER_summary!R$27)</f>
        <v>14.48578951534304</v>
      </c>
      <c r="S26" s="65">
        <f>IF(SER_hh_fech_in!S26=0,0,SER_hh_fech_in!S26/SER_summary!S$27)</f>
        <v>0.13651230552180718</v>
      </c>
      <c r="T26" s="65">
        <f>IF(SER_hh_fech_in!T26=0,0,SER_hh_fech_in!T26/SER_summary!T$27)</f>
        <v>0.11501111476940784</v>
      </c>
      <c r="U26" s="65">
        <f>IF(SER_hh_fech_in!U26=0,0,SER_hh_fech_in!U26/SER_summary!U$27)</f>
        <v>0.11683194457285206</v>
      </c>
      <c r="V26" s="65">
        <f>IF(SER_hh_fech_in!V26=0,0,SER_hh_fech_in!V26/SER_summary!V$27)</f>
        <v>0.10646934298053545</v>
      </c>
      <c r="W26" s="65">
        <f>IF(SER_hh_fech_in!W26=0,0,SER_hh_fech_in!W26/SER_summary!W$27)</f>
        <v>10.692903976964473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8.1677303618701824</v>
      </c>
      <c r="D27" s="146">
        <f>IF(SER_hh_fech_in!D27=0,0,SER_hh_fech_in!D27/SER_summary!D$27)</f>
        <v>4.6898840546217526</v>
      </c>
      <c r="E27" s="146">
        <f>IF(SER_hh_fech_in!E27=0,0,SER_hh_fech_in!E27/SER_summary!E$27)</f>
        <v>8.8697485506330711</v>
      </c>
      <c r="F27" s="146">
        <f>IF(SER_hh_fech_in!F27=0,0,SER_hh_fech_in!F27/SER_summary!F$27)</f>
        <v>5.8307037509183077</v>
      </c>
      <c r="G27" s="146">
        <f>IF(SER_hh_fech_in!G27=0,0,SER_hh_fech_in!G27/SER_summary!G$27)</f>
        <v>4.4154082788424334E-14</v>
      </c>
      <c r="H27" s="146">
        <f>IF(SER_hh_fech_in!H27=0,0,SER_hh_fech_in!H27/SER_summary!H$27)</f>
        <v>0</v>
      </c>
      <c r="I27" s="146">
        <f>IF(SER_hh_fech_in!I27=0,0,SER_hh_fech_in!I27/SER_summary!I$27)</f>
        <v>5.0163167414468735</v>
      </c>
      <c r="J27" s="146">
        <f>IF(SER_hh_fech_in!J27=0,0,SER_hh_fech_in!J27/SER_summary!J$27)</f>
        <v>7.8612968603189168</v>
      </c>
      <c r="K27" s="146">
        <f>IF(SER_hh_fech_in!K27=0,0,SER_hh_fech_in!K27/SER_summary!K$27)</f>
        <v>0</v>
      </c>
      <c r="L27" s="146">
        <f>IF(SER_hh_fech_in!L27=0,0,SER_hh_fech_in!L27/SER_summary!L$27)</f>
        <v>11.581622639142219</v>
      </c>
      <c r="M27" s="146">
        <f>IF(SER_hh_fech_in!M27=0,0,SER_hh_fech_in!M27/SER_summary!M$27)</f>
        <v>12.988335547751095</v>
      </c>
      <c r="N27" s="146">
        <f>IF(SER_hh_fech_in!N27=0,0,SER_hh_fech_in!N27/SER_summary!N$27)</f>
        <v>12.907246909984957</v>
      </c>
      <c r="O27" s="146">
        <f>IF(SER_hh_fech_in!O27=0,0,SER_hh_fech_in!O27/SER_summary!O$27)</f>
        <v>0</v>
      </c>
      <c r="P27" s="146">
        <f>IF(SER_hh_fech_in!P27=0,0,SER_hh_fech_in!P27/SER_summary!P$27)</f>
        <v>16.180997110277776</v>
      </c>
      <c r="Q27" s="146">
        <f>IF(SER_hh_fech_in!Q27=0,0,SER_hh_fech_in!Q27/SER_summary!Q$27)</f>
        <v>0</v>
      </c>
      <c r="R27" s="146">
        <f>IF(SER_hh_fech_in!R27=0,0,SER_hh_fech_in!R27/SER_summary!R$27)</f>
        <v>0</v>
      </c>
      <c r="S27" s="146">
        <f>IF(SER_hh_fech_in!S27=0,0,SER_hh_fech_in!S27/SER_summary!S$27)</f>
        <v>12.400066779479815</v>
      </c>
      <c r="T27" s="146">
        <f>IF(SER_hh_fech_in!T27=0,0,SER_hh_fech_in!T27/SER_summary!T$27)</f>
        <v>11.388285499592367</v>
      </c>
      <c r="U27" s="146">
        <f>IF(SER_hh_fech_in!U27=0,0,SER_hh_fech_in!U27/SER_summary!U$27)</f>
        <v>5.7458942499076784</v>
      </c>
      <c r="V27" s="146">
        <f>IF(SER_hh_fech_in!V27=0,0,SER_hh_fech_in!V27/SER_summary!V$27)</f>
        <v>10.247475117194215</v>
      </c>
      <c r="W27" s="146">
        <f>IF(SER_hh_fech_in!W27=0,0,SER_hh_fech_in!W27/SER_summary!W$27)</f>
        <v>0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9.4449243721442571</v>
      </c>
      <c r="D28" s="147">
        <f>IF(SER_hh_fech_in!D28=0,0,SER_hh_fech_in!D28/SER_summary!D$27)</f>
        <v>9.6337590221272968</v>
      </c>
      <c r="E28" s="147">
        <f>IF(SER_hh_fech_in!E28=0,0,SER_hh_fech_in!E28/SER_summary!E$27)</f>
        <v>9.3450441800004587</v>
      </c>
      <c r="F28" s="147">
        <f>IF(SER_hh_fech_in!F28=0,0,SER_hh_fech_in!F28/SER_summary!F$27)</f>
        <v>9.9539444635088277</v>
      </c>
      <c r="G28" s="147">
        <f>IF(SER_hh_fech_in!G28=0,0,SER_hh_fech_in!G28/SER_summary!G$27)</f>
        <v>11.057931788393109</v>
      </c>
      <c r="H28" s="147">
        <f>IF(SER_hh_fech_in!H28=0,0,SER_hh_fech_in!H28/SER_summary!H$27)</f>
        <v>0</v>
      </c>
      <c r="I28" s="147">
        <f>IF(SER_hh_fech_in!I28=0,0,SER_hh_fech_in!I28/SER_summary!I$27)</f>
        <v>9.7675489061511858</v>
      </c>
      <c r="J28" s="147">
        <f>IF(SER_hh_fech_in!J28=0,0,SER_hh_fech_in!J28/SER_summary!J$27)</f>
        <v>7.8612968603189168</v>
      </c>
      <c r="K28" s="147">
        <f>IF(SER_hh_fech_in!K28=0,0,SER_hh_fech_in!K28/SER_summary!K$27)</f>
        <v>0</v>
      </c>
      <c r="L28" s="147">
        <f>IF(SER_hh_fech_in!L28=0,0,SER_hh_fech_in!L28/SER_summary!L$27)</f>
        <v>11.581622639142221</v>
      </c>
      <c r="M28" s="147">
        <f>IF(SER_hh_fech_in!M28=0,0,SER_hh_fech_in!M28/SER_summary!M$27)</f>
        <v>12.988335547751095</v>
      </c>
      <c r="N28" s="147">
        <f>IF(SER_hh_fech_in!N28=0,0,SER_hh_fech_in!N28/SER_summary!N$27)</f>
        <v>12.907246909984957</v>
      </c>
      <c r="O28" s="147">
        <f>IF(SER_hh_fech_in!O28=0,0,SER_hh_fech_in!O28/SER_summary!O$27)</f>
        <v>0</v>
      </c>
      <c r="P28" s="147">
        <f>IF(SER_hh_fech_in!P28=0,0,SER_hh_fech_in!P28/SER_summary!P$27)</f>
        <v>17.22946544585788</v>
      </c>
      <c r="Q28" s="147">
        <f>IF(SER_hh_fech_in!Q28=0,0,SER_hh_fech_in!Q28/SER_summary!Q$27)</f>
        <v>0</v>
      </c>
      <c r="R28" s="147">
        <f>IF(SER_hh_fech_in!R28=0,0,SER_hh_fech_in!R28/SER_summary!R$27)</f>
        <v>0</v>
      </c>
      <c r="S28" s="147">
        <f>IF(SER_hh_fech_in!S28=0,0,SER_hh_fech_in!S28/SER_summary!S$27)</f>
        <v>13.483969922836714</v>
      </c>
      <c r="T28" s="147">
        <f>IF(SER_hh_fech_in!T28=0,0,SER_hh_fech_in!T28/SER_summary!T$27)</f>
        <v>11.388285499592365</v>
      </c>
      <c r="U28" s="147">
        <f>IF(SER_hh_fech_in!U28=0,0,SER_hh_fech_in!U28/SER_summary!U$27)</f>
        <v>18.187917611219063</v>
      </c>
      <c r="V28" s="147">
        <f>IF(SER_hh_fech_in!V28=0,0,SER_hh_fech_in!V28/SER_summary!V$27)</f>
        <v>12.456255014903929</v>
      </c>
      <c r="W28" s="147">
        <f>IF(SER_hh_fech_in!W28=0,0,SER_hh_fech_in!W28/SER_summary!W$27)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17.541469673397529</v>
      </c>
      <c r="D29" s="131">
        <f>IF(SER_hh_fech_in!D29=0,0,SER_hh_fech_in!D29/SER_summary!D$27)</f>
        <v>22.078880438247708</v>
      </c>
      <c r="E29" s="131">
        <f>IF(SER_hh_fech_in!E29=0,0,SER_hh_fech_in!E29/SER_summary!E$27)</f>
        <v>22.042059084781854</v>
      </c>
      <c r="F29" s="131">
        <f>IF(SER_hh_fech_in!F29=0,0,SER_hh_fech_in!F29/SER_summary!F$27)</f>
        <v>19.63788476383651</v>
      </c>
      <c r="G29" s="131">
        <f>IF(SER_hh_fech_in!G29=0,0,SER_hh_fech_in!G29/SER_summary!G$27)</f>
        <v>19.189540023338232</v>
      </c>
      <c r="H29" s="131">
        <f>IF(SER_hh_fech_in!H29=0,0,SER_hh_fech_in!H29/SER_summary!H$27)</f>
        <v>18.105971946831861</v>
      </c>
      <c r="I29" s="131">
        <f>IF(SER_hh_fech_in!I29=0,0,SER_hh_fech_in!I29/SER_summary!I$27)</f>
        <v>18.110882296029519</v>
      </c>
      <c r="J29" s="131">
        <f>IF(SER_hh_fech_in!J29=0,0,SER_hh_fech_in!J29/SER_summary!J$27)</f>
        <v>18.964349391746811</v>
      </c>
      <c r="K29" s="131">
        <f>IF(SER_hh_fech_in!K29=0,0,SER_hh_fech_in!K29/SER_summary!K$27)</f>
        <v>19.833670743483051</v>
      </c>
      <c r="L29" s="131">
        <f>IF(SER_hh_fech_in!L29=0,0,SER_hh_fech_in!L29/SER_summary!L$27)</f>
        <v>19.517244107569546</v>
      </c>
      <c r="M29" s="131">
        <f>IF(SER_hh_fech_in!M29=0,0,SER_hh_fech_in!M29/SER_summary!M$27)</f>
        <v>17.955129793906</v>
      </c>
      <c r="N29" s="131">
        <f>IF(SER_hh_fech_in!N29=0,0,SER_hh_fech_in!N29/SER_summary!N$27)</f>
        <v>19.449780962743851</v>
      </c>
      <c r="O29" s="131">
        <f>IF(SER_hh_fech_in!O29=0,0,SER_hh_fech_in!O29/SER_summary!O$27)</f>
        <v>19.110754415556734</v>
      </c>
      <c r="P29" s="131">
        <f>IF(SER_hh_fech_in!P29=0,0,SER_hh_fech_in!P29/SER_summary!P$27)</f>
        <v>19.215462869378499</v>
      </c>
      <c r="Q29" s="131">
        <f>IF(SER_hh_fech_in!Q29=0,0,SER_hh_fech_in!Q29/SER_summary!Q$27)</f>
        <v>19.314008729711606</v>
      </c>
      <c r="R29" s="131">
        <f>IF(SER_hh_fech_in!R29=0,0,SER_hh_fech_in!R29/SER_summary!R$27)</f>
        <v>18.766070344441616</v>
      </c>
      <c r="S29" s="131">
        <f>IF(SER_hh_fech_in!S29=0,0,SER_hh_fech_in!S29/SER_summary!S$27)</f>
        <v>19.051082505068873</v>
      </c>
      <c r="T29" s="131">
        <f>IF(SER_hh_fech_in!T29=0,0,SER_hh_fech_in!T29/SER_summary!T$27)</f>
        <v>18.360132151043263</v>
      </c>
      <c r="U29" s="131">
        <f>IF(SER_hh_fech_in!U29=0,0,SER_hh_fech_in!U29/SER_summary!U$27)</f>
        <v>18.250586286121639</v>
      </c>
      <c r="V29" s="131">
        <f>IF(SER_hh_fech_in!V29=0,0,SER_hh_fech_in!V29/SER_summary!V$27)</f>
        <v>17.313389448490909</v>
      </c>
      <c r="W29" s="131">
        <f>IF(SER_hh_fech_in!W29=0,0,SER_hh_fech_in!W29/SER_summary!W$27)</f>
        <v>17.696748116230797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11.861054532472457</v>
      </c>
      <c r="D30" s="133">
        <f>IF(SER_hh_fech_in!D30=0,0,SER_hh_fech_in!D30/SER_summary!D$27)</f>
        <v>24.522754009507317</v>
      </c>
      <c r="E30" s="133">
        <f>IF(SER_hh_fech_in!E30=0,0,SER_hh_fech_in!E30/SER_summary!E$27)</f>
        <v>25.664849334497756</v>
      </c>
      <c r="F30" s="133">
        <f>IF(SER_hh_fech_in!F30=0,0,SER_hh_fech_in!F30/SER_summary!F$27)</f>
        <v>30.666102024230963</v>
      </c>
      <c r="G30" s="133">
        <f>IF(SER_hh_fech_in!G30=0,0,SER_hh_fech_in!G30/SER_summary!G$27)</f>
        <v>22.773416364190759</v>
      </c>
      <c r="H30" s="133">
        <f>IF(SER_hh_fech_in!H30=0,0,SER_hh_fech_in!H30/SER_summary!H$27)</f>
        <v>24.230792677137583</v>
      </c>
      <c r="I30" s="133">
        <f>IF(SER_hh_fech_in!I30=0,0,SER_hh_fech_in!I30/SER_summary!I$27)</f>
        <v>0</v>
      </c>
      <c r="J30" s="133">
        <f>IF(SER_hh_fech_in!J30=0,0,SER_hh_fech_in!J30/SER_summary!J$27)</f>
        <v>15.124067950442255</v>
      </c>
      <c r="K30" s="133">
        <f>IF(SER_hh_fech_in!K30=0,0,SER_hh_fech_in!K30/SER_summary!K$27)</f>
        <v>18.901121348715936</v>
      </c>
      <c r="L30" s="133">
        <f>IF(SER_hh_fech_in!L30=0,0,SER_hh_fech_in!L30/SER_summary!L$27)</f>
        <v>31.488350464068919</v>
      </c>
      <c r="M30" s="133">
        <f>IF(SER_hh_fech_in!M30=0,0,SER_hh_fech_in!M30/SER_summary!M$27)</f>
        <v>0</v>
      </c>
      <c r="N30" s="133">
        <f>IF(SER_hh_fech_in!N30=0,0,SER_hh_fech_in!N30/SER_summary!N$27)</f>
        <v>0</v>
      </c>
      <c r="O30" s="133">
        <f>IF(SER_hh_fech_in!O30=0,0,SER_hh_fech_in!O30/SER_summary!O$27)</f>
        <v>0</v>
      </c>
      <c r="P30" s="133">
        <f>IF(SER_hh_fech_in!P30=0,0,SER_hh_fech_in!P30/SER_summary!P$27)</f>
        <v>0</v>
      </c>
      <c r="Q30" s="133">
        <f>IF(SER_hh_fech_in!Q30=0,0,SER_hh_fech_in!Q30/SER_summary!Q$27)</f>
        <v>20.980439077146531</v>
      </c>
      <c r="R30" s="133">
        <f>IF(SER_hh_fech_in!R30=0,0,SER_hh_fech_in!R30/SER_summary!R$27)</f>
        <v>15.422736078203313</v>
      </c>
      <c r="S30" s="133">
        <f>IF(SER_hh_fech_in!S30=0,0,SER_hh_fech_in!S30/SER_summary!S$27)</f>
        <v>28.303668322763908</v>
      </c>
      <c r="T30" s="133">
        <f>IF(SER_hh_fech_in!T30=0,0,SER_hh_fech_in!T30/SER_summary!T$27)</f>
        <v>22.728900179195193</v>
      </c>
      <c r="U30" s="133">
        <f>IF(SER_hh_fech_in!U30=0,0,SER_hh_fech_in!U30/SER_summary!U$27)</f>
        <v>22.528256015338627</v>
      </c>
      <c r="V30" s="133">
        <f>IF(SER_hh_fech_in!V30=0,0,SER_hh_fech_in!V30/SER_summary!V$27)</f>
        <v>20.898832809390786</v>
      </c>
      <c r="W30" s="133">
        <f>IF(SER_hh_fech_in!W30=0,0,SER_hh_fech_in!W30/SER_summary!W$27)</f>
        <v>22.820952330301949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20.915030159820532</v>
      </c>
      <c r="D31" s="133">
        <f>IF(SER_hh_fech_in!D31=0,0,SER_hh_fech_in!D31/SER_summary!D$27)</f>
        <v>21.744052494714971</v>
      </c>
      <c r="E31" s="133">
        <f>IF(SER_hh_fech_in!E31=0,0,SER_hh_fech_in!E31/SER_summary!E$27)</f>
        <v>22.033687281125918</v>
      </c>
      <c r="F31" s="133">
        <f>IF(SER_hh_fech_in!F31=0,0,SER_hh_fech_in!F31/SER_summary!F$27)</f>
        <v>22.575915047516329</v>
      </c>
      <c r="G31" s="133">
        <f>IF(SER_hh_fech_in!G31=0,0,SER_hh_fech_in!G31/SER_summary!G$27)</f>
        <v>22.451280658903404</v>
      </c>
      <c r="H31" s="133">
        <f>IF(SER_hh_fech_in!H31=0,0,SER_hh_fech_in!H31/SER_summary!H$27)</f>
        <v>22.143391339966637</v>
      </c>
      <c r="I31" s="133">
        <f>IF(SER_hh_fech_in!I31=0,0,SER_hh_fech_in!I31/SER_summary!I$27)</f>
        <v>21.853548959048226</v>
      </c>
      <c r="J31" s="133">
        <f>IF(SER_hh_fech_in!J31=0,0,SER_hh_fech_in!J31/SER_summary!J$27)</f>
        <v>21.849914056767041</v>
      </c>
      <c r="K31" s="133">
        <f>IF(SER_hh_fech_in!K31=0,0,SER_hh_fech_in!K31/SER_summary!K$27)</f>
        <v>22.392703394545794</v>
      </c>
      <c r="L31" s="133">
        <f>IF(SER_hh_fech_in!L31=0,0,SER_hh_fech_in!L31/SER_summary!L$27)</f>
        <v>22.575380128106275</v>
      </c>
      <c r="M31" s="133">
        <f>IF(SER_hh_fech_in!M31=0,0,SER_hh_fech_in!M31/SER_summary!M$27)</f>
        <v>22.589769751523018</v>
      </c>
      <c r="N31" s="133">
        <f>IF(SER_hh_fech_in!N31=0,0,SER_hh_fech_in!N31/SER_summary!N$27)</f>
        <v>22.608419563730298</v>
      </c>
      <c r="O31" s="133">
        <f>IF(SER_hh_fech_in!O31=0,0,SER_hh_fech_in!O31/SER_summary!O$27)</f>
        <v>22.645742403375369</v>
      </c>
      <c r="P31" s="133">
        <f>IF(SER_hh_fech_in!P31=0,0,SER_hh_fech_in!P31/SER_summary!P$27)</f>
        <v>22.857956547629222</v>
      </c>
      <c r="Q31" s="133">
        <f>IF(SER_hh_fech_in!Q31=0,0,SER_hh_fech_in!Q31/SER_summary!Q$27)</f>
        <v>22.875067934137959</v>
      </c>
      <c r="R31" s="133">
        <f>IF(SER_hh_fech_in!R31=0,0,SER_hh_fech_in!R31/SER_summary!R$27)</f>
        <v>22.728789440053738</v>
      </c>
      <c r="S31" s="133">
        <f>IF(SER_hh_fech_in!S31=0,0,SER_hh_fech_in!S31/SER_summary!S$27)</f>
        <v>22.479119315098227</v>
      </c>
      <c r="T31" s="133">
        <f>IF(SER_hh_fech_in!T31=0,0,SER_hh_fech_in!T31/SER_summary!T$27)</f>
        <v>22.305077182692063</v>
      </c>
      <c r="U31" s="133">
        <f>IF(SER_hh_fech_in!U31=0,0,SER_hh_fech_in!U31/SER_summary!U$27)</f>
        <v>22.688157303221228</v>
      </c>
      <c r="V31" s="133">
        <f>IF(SER_hh_fech_in!V31=0,0,SER_hh_fech_in!V31/SER_summary!V$27)</f>
        <v>20.865299698827581</v>
      </c>
      <c r="W31" s="133">
        <f>IF(SER_hh_fech_in!W31=0,0,SER_hh_fech_in!W31/SER_summary!W$27)</f>
        <v>21.006848721550529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21.844835183340976</v>
      </c>
      <c r="D32" s="133">
        <f>IF(SER_hh_fech_in!D32=0,0,SER_hh_fech_in!D32/SER_summary!D$27)</f>
        <v>23.453361334056254</v>
      </c>
      <c r="E32" s="133">
        <f>IF(SER_hh_fech_in!E32=0,0,SER_hh_fech_in!E32/SER_summary!E$27)</f>
        <v>23.653928103740061</v>
      </c>
      <c r="F32" s="133">
        <f>IF(SER_hh_fech_in!F32=0,0,SER_hh_fech_in!F32/SER_summary!F$27)</f>
        <v>24.244279224370011</v>
      </c>
      <c r="G32" s="133">
        <f>IF(SER_hh_fech_in!G32=0,0,SER_hh_fech_in!G32/SER_summary!G$27)</f>
        <v>23.927338743178129</v>
      </c>
      <c r="H32" s="133">
        <f>IF(SER_hh_fech_in!H32=0,0,SER_hh_fech_in!H32/SER_summary!H$27)</f>
        <v>23.619259309738915</v>
      </c>
      <c r="I32" s="133">
        <f>IF(SER_hh_fech_in!I32=0,0,SER_hh_fech_in!I32/SER_summary!I$27)</f>
        <v>23.454227722311028</v>
      </c>
      <c r="J32" s="133">
        <f>IF(SER_hh_fech_in!J32=0,0,SER_hh_fech_in!J32/SER_summary!J$27)</f>
        <v>23.219264154408684</v>
      </c>
      <c r="K32" s="133">
        <f>IF(SER_hh_fech_in!K32=0,0,SER_hh_fech_in!K32/SER_summary!K$27)</f>
        <v>23.177364860781012</v>
      </c>
      <c r="L32" s="133">
        <f>IF(SER_hh_fech_in!L32=0,0,SER_hh_fech_in!L32/SER_summary!L$27)</f>
        <v>24.335017026422133</v>
      </c>
      <c r="M32" s="133">
        <f>IF(SER_hh_fech_in!M32=0,0,SER_hh_fech_in!M32/SER_summary!M$27)</f>
        <v>23.58597787562563</v>
      </c>
      <c r="N32" s="133">
        <f>IF(SER_hh_fech_in!N32=0,0,SER_hh_fech_in!N32/SER_summary!N$27)</f>
        <v>24.247702220658237</v>
      </c>
      <c r="O32" s="133">
        <f>IF(SER_hh_fech_in!O32=0,0,SER_hh_fech_in!O32/SER_summary!O$27)</f>
        <v>23.691345044418664</v>
      </c>
      <c r="P32" s="133">
        <f>IF(SER_hh_fech_in!P32=0,0,SER_hh_fech_in!P32/SER_summary!P$27)</f>
        <v>24.055341279234991</v>
      </c>
      <c r="Q32" s="133">
        <f>IF(SER_hh_fech_in!Q32=0,0,SER_hh_fech_in!Q32/SER_summary!Q$27)</f>
        <v>24.738319154685545</v>
      </c>
      <c r="R32" s="133">
        <f>IF(SER_hh_fech_in!R32=0,0,SER_hh_fech_in!R32/SER_summary!R$27)</f>
        <v>24.20437672881123</v>
      </c>
      <c r="S32" s="133">
        <f>IF(SER_hh_fech_in!S32=0,0,SER_hh_fech_in!S32/SER_summary!S$27)</f>
        <v>23.681058423665814</v>
      </c>
      <c r="T32" s="133">
        <f>IF(SER_hh_fech_in!T32=0,0,SER_hh_fech_in!T32/SER_summary!T$27)</f>
        <v>23.52932335163505</v>
      </c>
      <c r="U32" s="133">
        <f>IF(SER_hh_fech_in!U32=0,0,SER_hh_fech_in!U32/SER_summary!U$27)</f>
        <v>23.822042627114733</v>
      </c>
      <c r="V32" s="133">
        <f>IF(SER_hh_fech_in!V32=0,0,SER_hh_fech_in!V32/SER_summary!V$27)</f>
        <v>23.549256044704244</v>
      </c>
      <c r="W32" s="133">
        <f>IF(SER_hh_fech_in!W32=0,0,SER_hh_fech_in!W32/SER_summary!W$27)</f>
        <v>23.12020870494068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17.186060403046572</v>
      </c>
      <c r="D33" s="68">
        <f>IF(SER_hh_fech_in!D33=0,0,SER_hh_fech_in!D33/SER_summary!D$27)</f>
        <v>15.65164432057248</v>
      </c>
      <c r="E33" s="68">
        <f>IF(SER_hh_fech_in!E33=0,0,SER_hh_fech_in!E33/SER_summary!E$27)</f>
        <v>16.092163579701786</v>
      </c>
      <c r="F33" s="68">
        <f>IF(SER_hh_fech_in!F33=0,0,SER_hh_fech_in!F33/SER_summary!F$27)</f>
        <v>14.451624144561155</v>
      </c>
      <c r="G33" s="68">
        <f>IF(SER_hh_fech_in!G33=0,0,SER_hh_fech_in!G33/SER_summary!G$27)</f>
        <v>16.851410215298639</v>
      </c>
      <c r="H33" s="68">
        <f>IF(SER_hh_fech_in!H33=0,0,SER_hh_fech_in!H33/SER_summary!H$27)</f>
        <v>16.239660719866023</v>
      </c>
      <c r="I33" s="68">
        <f>IF(SER_hh_fech_in!I33=0,0,SER_hh_fech_in!I33/SER_summary!I$27)</f>
        <v>16.853532640892123</v>
      </c>
      <c r="J33" s="68">
        <f>IF(SER_hh_fech_in!J33=0,0,SER_hh_fech_in!J33/SER_summary!J$27)</f>
        <v>17.628018308817129</v>
      </c>
      <c r="K33" s="68">
        <f>IF(SER_hh_fech_in!K33=0,0,SER_hh_fech_in!K33/SER_summary!K$27)</f>
        <v>17.747642134607691</v>
      </c>
      <c r="L33" s="68">
        <f>IF(SER_hh_fech_in!L33=0,0,SER_hh_fech_in!L33/SER_summary!L$27)</f>
        <v>15.2554782313559</v>
      </c>
      <c r="M33" s="68">
        <f>IF(SER_hh_fech_in!M33=0,0,SER_hh_fech_in!M33/SER_summary!M$27)</f>
        <v>15.638980525643913</v>
      </c>
      <c r="N33" s="68">
        <f>IF(SER_hh_fech_in!N33=0,0,SER_hh_fech_in!N33/SER_summary!N$27)</f>
        <v>18.397339694858903</v>
      </c>
      <c r="O33" s="68">
        <f>IF(SER_hh_fech_in!O33=0,0,SER_hh_fech_in!O33/SER_summary!O$27)</f>
        <v>17.353210787010653</v>
      </c>
      <c r="P33" s="68">
        <f>IF(SER_hh_fech_in!P33=0,0,SER_hh_fech_in!P33/SER_summary!P$27)</f>
        <v>17.025979330628928</v>
      </c>
      <c r="Q33" s="68">
        <f>IF(SER_hh_fech_in!Q33=0,0,SER_hh_fech_in!Q33/SER_summary!Q$27)</f>
        <v>16.866615806935627</v>
      </c>
      <c r="R33" s="68">
        <f>IF(SER_hh_fech_in!R33=0,0,SER_hh_fech_in!R33/SER_summary!R$27)</f>
        <v>16.905226412663701</v>
      </c>
      <c r="S33" s="68">
        <f>IF(SER_hh_fech_in!S33=0,0,SER_hh_fech_in!S33/SER_summary!S$27)</f>
        <v>16.370253493093553</v>
      </c>
      <c r="T33" s="68">
        <f>IF(SER_hh_fech_in!T33=0,0,SER_hh_fech_in!T33/SER_summary!T$27)</f>
        <v>16.167427812741032</v>
      </c>
      <c r="U33" s="68">
        <f>IF(SER_hh_fech_in!U33=0,0,SER_hh_fech_in!U33/SER_summary!U$27)</f>
        <v>15.712464491003198</v>
      </c>
      <c r="V33" s="68">
        <f>IF(SER_hh_fech_in!V33=0,0,SER_hh_fech_in!V33/SER_summary!V$27)</f>
        <v>15.133723984495669</v>
      </c>
      <c r="W33" s="68">
        <f>IF(SER_hh_fech_in!W33=0,0,SER_hh_fech_in!W33/SER_summary!W$27)</f>
        <v>15.590219821048599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158.02744915067834</v>
      </c>
      <c r="D3" s="126">
        <f>IF(SER_hh_tesh_in!D3=0,0,SER_hh_tesh_in!D3/SER_summary!D$27)</f>
        <v>151.63303987199149</v>
      </c>
      <c r="E3" s="126">
        <f>IF(SER_hh_tesh_in!E3=0,0,SER_hh_tesh_in!E3/SER_summary!E$27)</f>
        <v>167.00617344429574</v>
      </c>
      <c r="F3" s="126">
        <f>IF(SER_hh_tesh_in!F3=0,0,SER_hh_tesh_in!F3/SER_summary!F$27)</f>
        <v>148.39286342464291</v>
      </c>
      <c r="G3" s="126">
        <f>IF(SER_hh_tesh_in!G3=0,0,SER_hh_tesh_in!G3/SER_summary!G$27)</f>
        <v>160.47015199583367</v>
      </c>
      <c r="H3" s="126">
        <f>IF(SER_hh_tesh_in!H3=0,0,SER_hh_tesh_in!H3/SER_summary!H$27)</f>
        <v>156.66423452992635</v>
      </c>
      <c r="I3" s="126">
        <f>IF(SER_hh_tesh_in!I3=0,0,SER_hh_tesh_in!I3/SER_summary!I$27)</f>
        <v>136.64300439195767</v>
      </c>
      <c r="J3" s="126">
        <f>IF(SER_hh_tesh_in!J3=0,0,SER_hh_tesh_in!J3/SER_summary!J$27)</f>
        <v>142.72736675142431</v>
      </c>
      <c r="K3" s="126">
        <f>IF(SER_hh_tesh_in!K3=0,0,SER_hh_tesh_in!K3/SER_summary!K$27)</f>
        <v>132.72075287143502</v>
      </c>
      <c r="L3" s="126">
        <f>IF(SER_hh_tesh_in!L3=0,0,SER_hh_tesh_in!L3/SER_summary!L$27)</f>
        <v>135.58578330249122</v>
      </c>
      <c r="M3" s="126">
        <f>IF(SER_hh_tesh_in!M3=0,0,SER_hh_tesh_in!M3/SER_summary!M$27)</f>
        <v>128.13515619933574</v>
      </c>
      <c r="N3" s="126">
        <f>IF(SER_hh_tesh_in!N3=0,0,SER_hh_tesh_in!N3/SER_summary!N$27)</f>
        <v>130.56058318878624</v>
      </c>
      <c r="O3" s="126">
        <f>IF(SER_hh_tesh_in!O3=0,0,SER_hh_tesh_in!O3/SER_summary!O$27)</f>
        <v>125.12953479038869</v>
      </c>
      <c r="P3" s="126">
        <f>IF(SER_hh_tesh_in!P3=0,0,SER_hh_tesh_in!P3/SER_summary!P$27)</f>
        <v>118.86203664754149</v>
      </c>
      <c r="Q3" s="126">
        <f>IF(SER_hh_tesh_in!Q3=0,0,SER_hh_tesh_in!Q3/SER_summary!Q$27)</f>
        <v>115.46001579817425</v>
      </c>
      <c r="R3" s="126">
        <f>IF(SER_hh_tesh_in!R3=0,0,SER_hh_tesh_in!R3/SER_summary!R$27)</f>
        <v>109.77280594084787</v>
      </c>
      <c r="S3" s="126">
        <f>IF(SER_hh_tesh_in!S3=0,0,SER_hh_tesh_in!S3/SER_summary!S$27)</f>
        <v>122.602884728616</v>
      </c>
      <c r="T3" s="126">
        <f>IF(SER_hh_tesh_in!T3=0,0,SER_hh_tesh_in!T3/SER_summary!T$27)</f>
        <v>116.02778901905408</v>
      </c>
      <c r="U3" s="126">
        <f>IF(SER_hh_tesh_in!U3=0,0,SER_hh_tesh_in!U3/SER_summary!U$27)</f>
        <v>115.49646928151168</v>
      </c>
      <c r="V3" s="126">
        <f>IF(SER_hh_tesh_in!V3=0,0,SER_hh_tesh_in!V3/SER_summary!V$27)</f>
        <v>102.79322227803067</v>
      </c>
      <c r="W3" s="126">
        <f>IF(SER_hh_tesh_in!W3=0,0,SER_hh_tesh_in!W3/SER_summary!W$27)</f>
        <v>105.68631922936649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108.33042404816463</v>
      </c>
      <c r="D4" s="131">
        <f>IF(SER_hh_tesh_in!D4=0,0,SER_hh_tesh_in!D4/SER_summary!D$27)</f>
        <v>100.25300094194461</v>
      </c>
      <c r="E4" s="131">
        <f>IF(SER_hh_tesh_in!E4=0,0,SER_hh_tesh_in!E4/SER_summary!E$27)</f>
        <v>112.80754715271587</v>
      </c>
      <c r="F4" s="131">
        <f>IF(SER_hh_tesh_in!F4=0,0,SER_hh_tesh_in!F4/SER_summary!F$27)</f>
        <v>98.062012798494706</v>
      </c>
      <c r="G4" s="131">
        <f>IF(SER_hh_tesh_in!G4=0,0,SER_hh_tesh_in!G4/SER_summary!G$27)</f>
        <v>109.38642447272154</v>
      </c>
      <c r="H4" s="131">
        <f>IF(SER_hh_tesh_in!H4=0,0,SER_hh_tesh_in!H4/SER_summary!H$27)</f>
        <v>105.13291152230654</v>
      </c>
      <c r="I4" s="131">
        <f>IF(SER_hh_tesh_in!I4=0,0,SER_hh_tesh_in!I4/SER_summary!I$27)</f>
        <v>84.383053587110084</v>
      </c>
      <c r="J4" s="131">
        <f>IF(SER_hh_tesh_in!J4=0,0,SER_hh_tesh_in!J4/SER_summary!J$27)</f>
        <v>90.398454368636749</v>
      </c>
      <c r="K4" s="131">
        <f>IF(SER_hh_tesh_in!K4=0,0,SER_hh_tesh_in!K4/SER_summary!K$27)</f>
        <v>80.839053915514441</v>
      </c>
      <c r="L4" s="131">
        <f>IF(SER_hh_tesh_in!L4=0,0,SER_hh_tesh_in!L4/SER_summary!L$27)</f>
        <v>81.017257168147125</v>
      </c>
      <c r="M4" s="131">
        <f>IF(SER_hh_tesh_in!M4=0,0,SER_hh_tesh_in!M4/SER_summary!M$27)</f>
        <v>73.511511647523946</v>
      </c>
      <c r="N4" s="131">
        <f>IF(SER_hh_tesh_in!N4=0,0,SER_hh_tesh_in!N4/SER_summary!N$27)</f>
        <v>74.819500854621978</v>
      </c>
      <c r="O4" s="131">
        <f>IF(SER_hh_tesh_in!O4=0,0,SER_hh_tesh_in!O4/SER_summary!O$27)</f>
        <v>72.184636413805592</v>
      </c>
      <c r="P4" s="131">
        <f>IF(SER_hh_tesh_in!P4=0,0,SER_hh_tesh_in!P4/SER_summary!P$27)</f>
        <v>64.132893593449737</v>
      </c>
      <c r="Q4" s="131">
        <f>IF(SER_hh_tesh_in!Q4=0,0,SER_hh_tesh_in!Q4/SER_summary!Q$27)</f>
        <v>62.180160183968226</v>
      </c>
      <c r="R4" s="131">
        <f>IF(SER_hh_tesh_in!R4=0,0,SER_hh_tesh_in!R4/SER_summary!R$27)</f>
        <v>59.651061926142944</v>
      </c>
      <c r="S4" s="131">
        <f>IF(SER_hh_tesh_in!S4=0,0,SER_hh_tesh_in!S4/SER_summary!S$27)</f>
        <v>66.861456419939117</v>
      </c>
      <c r="T4" s="131">
        <f>IF(SER_hh_tesh_in!T4=0,0,SER_hh_tesh_in!T4/SER_summary!T$27)</f>
        <v>61.631669476741969</v>
      </c>
      <c r="U4" s="131">
        <f>IF(SER_hh_tesh_in!U4=0,0,SER_hh_tesh_in!U4/SER_summary!U$27)</f>
        <v>61.368832123958882</v>
      </c>
      <c r="V4" s="131">
        <f>IF(SER_hh_tesh_in!V4=0,0,SER_hh_tesh_in!V4/SER_summary!V$27)</f>
        <v>52.389375517236751</v>
      </c>
      <c r="W4" s="131">
        <f>IF(SER_hh_tesh_in!W4=0,0,SER_hh_tesh_in!W4/SER_summary!W$27)</f>
        <v>57.094114641468629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35.854107912187921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105.52354979615437</v>
      </c>
      <c r="D7" s="133">
        <f>IF(SER_hh_tesh_in!D7=0,0,SER_hh_tesh_in!D7/SER_summary!D$27)</f>
        <v>101.01626090581118</v>
      </c>
      <c r="E7" s="133">
        <f>IF(SER_hh_tesh_in!E7=0,0,SER_hh_tesh_in!E7/SER_summary!E$27)</f>
        <v>121.8437847251633</v>
      </c>
      <c r="F7" s="133">
        <f>IF(SER_hh_tesh_in!F7=0,0,SER_hh_tesh_in!F7/SER_summary!F$27)</f>
        <v>85.824212303917477</v>
      </c>
      <c r="G7" s="133">
        <f>IF(SER_hh_tesh_in!G7=0,0,SER_hh_tesh_in!G7/SER_summary!G$27)</f>
        <v>109.15393642292975</v>
      </c>
      <c r="H7" s="133">
        <f>IF(SER_hh_tesh_in!H7=0,0,SER_hh_tesh_in!H7/SER_summary!H$27)</f>
        <v>110.18439555755438</v>
      </c>
      <c r="I7" s="133">
        <f>IF(SER_hh_tesh_in!I7=0,0,SER_hh_tesh_in!I7/SER_summary!I$27)</f>
        <v>78.002482925303099</v>
      </c>
      <c r="J7" s="133">
        <f>IF(SER_hh_tesh_in!J7=0,0,SER_hh_tesh_in!J7/SER_summary!J$27)</f>
        <v>0</v>
      </c>
      <c r="K7" s="133">
        <f>IF(SER_hh_tesh_in!K7=0,0,SER_hh_tesh_in!K7/SER_summary!K$27)</f>
        <v>0</v>
      </c>
      <c r="L7" s="133">
        <f>IF(SER_hh_tesh_in!L7=0,0,SER_hh_tesh_in!L7/SER_summary!L$27)</f>
        <v>0</v>
      </c>
      <c r="M7" s="133">
        <f>IF(SER_hh_tesh_in!M7=0,0,SER_hh_tesh_in!M7/SER_summary!M$27)</f>
        <v>0</v>
      </c>
      <c r="N7" s="133">
        <f>IF(SER_hh_tesh_in!N7=0,0,SER_hh_tesh_in!N7/SER_summary!N$27)</f>
        <v>0</v>
      </c>
      <c r="O7" s="133">
        <f>IF(SER_hh_tesh_in!O7=0,0,SER_hh_tesh_in!O7/SER_summary!O$27)</f>
        <v>64.439765797981977</v>
      </c>
      <c r="P7" s="133">
        <f>IF(SER_hh_tesh_in!P7=0,0,SER_hh_tesh_in!P7/SER_summary!P$27)</f>
        <v>64.770014391275737</v>
      </c>
      <c r="Q7" s="133">
        <f>IF(SER_hh_tesh_in!Q7=0,0,SER_hh_tesh_in!Q7/SER_summary!Q$27)</f>
        <v>62.759116484774133</v>
      </c>
      <c r="R7" s="133">
        <f>IF(SER_hh_tesh_in!R7=0,0,SER_hh_tesh_in!R7/SER_summary!R$27)</f>
        <v>54.186519983366367</v>
      </c>
      <c r="S7" s="133">
        <f>IF(SER_hh_tesh_in!S7=0,0,SER_hh_tesh_in!S7/SER_summary!S$27)</f>
        <v>73.0203713776163</v>
      </c>
      <c r="T7" s="133">
        <f>IF(SER_hh_tesh_in!T7=0,0,SER_hh_tesh_in!T7/SER_summary!T$27)</f>
        <v>61.690339564401377</v>
      </c>
      <c r="U7" s="133">
        <f>IF(SER_hh_tesh_in!U7=0,0,SER_hh_tesh_in!U7/SER_summary!U$27)</f>
        <v>56.415576335191545</v>
      </c>
      <c r="V7" s="133">
        <f>IF(SER_hh_tesh_in!V7=0,0,SER_hh_tesh_in!V7/SER_summary!V$27)</f>
        <v>53.811731934190604</v>
      </c>
      <c r="W7" s="133">
        <f>IF(SER_hh_tesh_in!W7=0,0,SER_hh_tesh_in!W7/SER_summary!W$27)</f>
        <v>66.484886640236212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105.32889530771926</v>
      </c>
      <c r="D8" s="133">
        <f>IF(SER_hh_tesh_in!D8=0,0,SER_hh_tesh_in!D8/SER_summary!D$27)</f>
        <v>98.007410729773724</v>
      </c>
      <c r="E8" s="133">
        <f>IF(SER_hh_tesh_in!E8=0,0,SER_hh_tesh_in!E8/SER_summary!E$27)</f>
        <v>112.51759090317225</v>
      </c>
      <c r="F8" s="133">
        <f>IF(SER_hh_tesh_in!F8=0,0,SER_hh_tesh_in!F8/SER_summary!F$27)</f>
        <v>111.31503406335271</v>
      </c>
      <c r="G8" s="133">
        <f>IF(SER_hh_tesh_in!G8=0,0,SER_hh_tesh_in!G8/SER_summary!G$27)</f>
        <v>102.11309485413173</v>
      </c>
      <c r="H8" s="133">
        <f>IF(SER_hh_tesh_in!H8=0,0,SER_hh_tesh_in!H8/SER_summary!H$27)</f>
        <v>106.92966249975379</v>
      </c>
      <c r="I8" s="133">
        <f>IF(SER_hh_tesh_in!I8=0,0,SER_hh_tesh_in!I8/SER_summary!I$27)</f>
        <v>84.70157238758415</v>
      </c>
      <c r="J8" s="133">
        <f>IF(SER_hh_tesh_in!J8=0,0,SER_hh_tesh_in!J8/SER_summary!J$27)</f>
        <v>95.92324648900032</v>
      </c>
      <c r="K8" s="133">
        <f>IF(SER_hh_tesh_in!K8=0,0,SER_hh_tesh_in!K8/SER_summary!K$27)</f>
        <v>79.676198107652738</v>
      </c>
      <c r="L8" s="133">
        <f>IF(SER_hh_tesh_in!L8=0,0,SER_hh_tesh_in!L8/SER_summary!L$27)</f>
        <v>78.283313191602389</v>
      </c>
      <c r="M8" s="133">
        <f>IF(SER_hh_tesh_in!M8=0,0,SER_hh_tesh_in!M8/SER_summary!M$27)</f>
        <v>74.262939265249841</v>
      </c>
      <c r="N8" s="133">
        <f>IF(SER_hh_tesh_in!N8=0,0,SER_hh_tesh_in!N8/SER_summary!N$27)</f>
        <v>72.39918057069552</v>
      </c>
      <c r="O8" s="133">
        <f>IF(SER_hh_tesh_in!O8=0,0,SER_hh_tesh_in!O8/SER_summary!O$27)</f>
        <v>67.072481838034847</v>
      </c>
      <c r="P8" s="133">
        <f>IF(SER_hh_tesh_in!P8=0,0,SER_hh_tesh_in!P8/SER_summary!P$27)</f>
        <v>61.986694057515777</v>
      </c>
      <c r="Q8" s="133">
        <f>IF(SER_hh_tesh_in!Q8=0,0,SER_hh_tesh_in!Q8/SER_summary!Q$27)</f>
        <v>60.851295405100316</v>
      </c>
      <c r="R8" s="133">
        <f>IF(SER_hh_tesh_in!R8=0,0,SER_hh_tesh_in!R8/SER_summary!R$27)</f>
        <v>60.570193027163818</v>
      </c>
      <c r="S8" s="133">
        <f>IF(SER_hh_tesh_in!S8=0,0,SER_hh_tesh_in!S8/SER_summary!S$27)</f>
        <v>66.229038921125365</v>
      </c>
      <c r="T8" s="133">
        <f>IF(SER_hh_tesh_in!T8=0,0,SER_hh_tesh_in!T8/SER_summary!T$27)</f>
        <v>61.612812760662202</v>
      </c>
      <c r="U8" s="133">
        <f>IF(SER_hh_tesh_in!U8=0,0,SER_hh_tesh_in!U8/SER_summary!U$27)</f>
        <v>63.179489601064596</v>
      </c>
      <c r="V8" s="133">
        <f>IF(SER_hh_tesh_in!V8=0,0,SER_hh_tesh_in!V8/SER_summary!V$27)</f>
        <v>53.232813444451729</v>
      </c>
      <c r="W8" s="133">
        <f>IF(SER_hh_tesh_in!W8=0,0,SER_hh_tesh_in!W8/SER_summary!W$27)</f>
        <v>57.298865911383366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110.41124990436498</v>
      </c>
      <c r="D9" s="133">
        <f>IF(SER_hh_tesh_in!D9=0,0,SER_hh_tesh_in!D9/SER_summary!D$27)</f>
        <v>95.858658094369915</v>
      </c>
      <c r="E9" s="133">
        <f>IF(SER_hh_tesh_in!E9=0,0,SER_hh_tesh_in!E9/SER_summary!E$27)</f>
        <v>111.02410296208711</v>
      </c>
      <c r="F9" s="133">
        <f>IF(SER_hh_tesh_in!F9=0,0,SER_hh_tesh_in!F9/SER_summary!F$27)</f>
        <v>0</v>
      </c>
      <c r="G9" s="133">
        <f>IF(SER_hh_tesh_in!G9=0,0,SER_hh_tesh_in!G9/SER_summary!G$27)</f>
        <v>0</v>
      </c>
      <c r="H9" s="133">
        <f>IF(SER_hh_tesh_in!H9=0,0,SER_hh_tesh_in!H9/SER_summary!H$27)</f>
        <v>0</v>
      </c>
      <c r="I9" s="133">
        <f>IF(SER_hh_tesh_in!I9=0,0,SER_hh_tesh_in!I9/SER_summary!I$27)</f>
        <v>0</v>
      </c>
      <c r="J9" s="133">
        <f>IF(SER_hh_tesh_in!J9=0,0,SER_hh_tesh_in!J9/SER_summary!J$27)</f>
        <v>0</v>
      </c>
      <c r="K9" s="133">
        <f>IF(SER_hh_tesh_in!K9=0,0,SER_hh_tesh_in!K9/SER_summary!K$27)</f>
        <v>71.581975329103372</v>
      </c>
      <c r="L9" s="133">
        <f>IF(SER_hh_tesh_in!L9=0,0,SER_hh_tesh_in!L9/SER_summary!L$27)</f>
        <v>78.674976426531444</v>
      </c>
      <c r="M9" s="133">
        <f>IF(SER_hh_tesh_in!M9=0,0,SER_hh_tesh_in!M9/SER_summary!M$27)</f>
        <v>65.037012407128813</v>
      </c>
      <c r="N9" s="133">
        <f>IF(SER_hh_tesh_in!N9=0,0,SER_hh_tesh_in!N9/SER_summary!N$27)</f>
        <v>75.676658996632625</v>
      </c>
      <c r="O9" s="133">
        <f>IF(SER_hh_tesh_in!O9=0,0,SER_hh_tesh_in!O9/SER_summary!O$27)</f>
        <v>75.781842658517078</v>
      </c>
      <c r="P9" s="133">
        <f>IF(SER_hh_tesh_in!P9=0,0,SER_hh_tesh_in!P9/SER_summary!P$27)</f>
        <v>55.710553283408018</v>
      </c>
      <c r="Q9" s="133">
        <f>IF(SER_hh_tesh_in!Q9=0,0,SER_hh_tesh_in!Q9/SER_summary!Q$27)</f>
        <v>63.268937650467663</v>
      </c>
      <c r="R9" s="133">
        <f>IF(SER_hh_tesh_in!R9=0,0,SER_hh_tesh_in!R9/SER_summary!R$27)</f>
        <v>56.405174466937638</v>
      </c>
      <c r="S9" s="133">
        <f>IF(SER_hh_tesh_in!S9=0,0,SER_hh_tesh_in!S9/SER_summary!S$27)</f>
        <v>62.511093055236302</v>
      </c>
      <c r="T9" s="133">
        <f>IF(SER_hh_tesh_in!T9=0,0,SER_hh_tesh_in!T9/SER_summary!T$27)</f>
        <v>57.319469649373403</v>
      </c>
      <c r="U9" s="133">
        <f>IF(SER_hh_tesh_in!U9=0,0,SER_hh_tesh_in!U9/SER_summary!U$27)</f>
        <v>60.537518901362695</v>
      </c>
      <c r="V9" s="133">
        <f>IF(SER_hh_tesh_in!V9=0,0,SER_hh_tesh_in!V9/SER_summary!V$27)</f>
        <v>0</v>
      </c>
      <c r="W9" s="133">
        <f>IF(SER_hh_tesh_in!W9=0,0,SER_hh_tesh_in!W9/SER_summary!W$27)</f>
        <v>65.347372723327169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100.02118450374654</v>
      </c>
      <c r="D10" s="133">
        <f>IF(SER_hh_tesh_in!D10=0,0,SER_hh_tesh_in!D10/SER_summary!D$27)</f>
        <v>96.942826759595221</v>
      </c>
      <c r="E10" s="133">
        <f>IF(SER_hh_tesh_in!E10=0,0,SER_hh_tesh_in!E10/SER_summary!E$27)</f>
        <v>112.34460539604149</v>
      </c>
      <c r="F10" s="133">
        <f>IF(SER_hh_tesh_in!F10=0,0,SER_hh_tesh_in!F10/SER_summary!F$27)</f>
        <v>118.34212934367103</v>
      </c>
      <c r="G10" s="133">
        <f>IF(SER_hh_tesh_in!G10=0,0,SER_hh_tesh_in!G10/SER_summary!G$27)</f>
        <v>95.111897380383624</v>
      </c>
      <c r="H10" s="133">
        <f>IF(SER_hh_tesh_in!H10=0,0,SER_hh_tesh_in!H10/SER_summary!H$27)</f>
        <v>102.65583145251227</v>
      </c>
      <c r="I10" s="133">
        <f>IF(SER_hh_tesh_in!I10=0,0,SER_hh_tesh_in!I10/SER_summary!I$27)</f>
        <v>94.465080733805564</v>
      </c>
      <c r="J10" s="133">
        <f>IF(SER_hh_tesh_in!J10=0,0,SER_hh_tesh_in!J10/SER_summary!J$27)</f>
        <v>78.566138379656337</v>
      </c>
      <c r="K10" s="133">
        <f>IF(SER_hh_tesh_in!K10=0,0,SER_hh_tesh_in!K10/SER_summary!K$27)</f>
        <v>75.013310981707264</v>
      </c>
      <c r="L10" s="133">
        <f>IF(SER_hh_tesh_in!L10=0,0,SER_hh_tesh_in!L10/SER_summary!L$27)</f>
        <v>92.90759860889986</v>
      </c>
      <c r="M10" s="133">
        <f>IF(SER_hh_tesh_in!M10=0,0,SER_hh_tesh_in!M10/SER_summary!M$27)</f>
        <v>77.116589390317998</v>
      </c>
      <c r="N10" s="133">
        <f>IF(SER_hh_tesh_in!N10=0,0,SER_hh_tesh_in!N10/SER_summary!N$27)</f>
        <v>0</v>
      </c>
      <c r="O10" s="133">
        <f>IF(SER_hh_tesh_in!O10=0,0,SER_hh_tesh_in!O10/SER_summary!O$27)</f>
        <v>73.383919233090339</v>
      </c>
      <c r="P10" s="133">
        <f>IF(SER_hh_tesh_in!P10=0,0,SER_hh_tesh_in!P10/SER_summary!P$27)</f>
        <v>57.236343104559694</v>
      </c>
      <c r="Q10" s="133">
        <f>IF(SER_hh_tesh_in!Q10=0,0,SER_hh_tesh_in!Q10/SER_summary!Q$27)</f>
        <v>69.51031653600603</v>
      </c>
      <c r="R10" s="133">
        <f>IF(SER_hh_tesh_in!R10=0,0,SER_hh_tesh_in!R10/SER_summary!R$27)</f>
        <v>45.95193170175726</v>
      </c>
      <c r="S10" s="133">
        <f>IF(SER_hh_tesh_in!S10=0,0,SER_hh_tesh_in!S10/SER_summary!S$27)</f>
        <v>69.766686322417243</v>
      </c>
      <c r="T10" s="133">
        <f>IF(SER_hh_tesh_in!T10=0,0,SER_hh_tesh_in!T10/SER_summary!T$27)</f>
        <v>62.910698102540877</v>
      </c>
      <c r="U10" s="133">
        <f>IF(SER_hh_tesh_in!U10=0,0,SER_hh_tesh_in!U10/SER_summary!U$27)</f>
        <v>61.906021066395681</v>
      </c>
      <c r="V10" s="133">
        <f>IF(SER_hh_tesh_in!V10=0,0,SER_hh_tesh_in!V10/SER_summary!V$27)</f>
        <v>54.059089822919795</v>
      </c>
      <c r="W10" s="133">
        <f>IF(SER_hh_tesh_in!W10=0,0,SER_hh_tesh_in!W10/SER_summary!W$27)</f>
        <v>58.101263249333982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83.719060150600868</v>
      </c>
      <c r="D11" s="133">
        <f>IF(SER_hh_tesh_in!D11=0,0,SER_hh_tesh_in!D11/SER_summary!D$27)</f>
        <v>125.14229745895645</v>
      </c>
      <c r="E11" s="133">
        <f>IF(SER_hh_tesh_in!E11=0,0,SER_hh_tesh_in!E11/SER_summary!E$27)</f>
        <v>102.00877302814359</v>
      </c>
      <c r="F11" s="133">
        <f>IF(SER_hh_tesh_in!F11=0,0,SER_hh_tesh_in!F11/SER_summary!F$27)</f>
        <v>100.45502333461796</v>
      </c>
      <c r="G11" s="133">
        <f>IF(SER_hh_tesh_in!G11=0,0,SER_hh_tesh_in!G11/SER_summary!G$27)</f>
        <v>108.47740687798677</v>
      </c>
      <c r="H11" s="133">
        <f>IF(SER_hh_tesh_in!H11=0,0,SER_hh_tesh_in!H11/SER_summary!H$27)</f>
        <v>101.47257705476468</v>
      </c>
      <c r="I11" s="133">
        <f>IF(SER_hh_tesh_in!I11=0,0,SER_hh_tesh_in!I11/SER_summary!I$27)</f>
        <v>84.72311969344986</v>
      </c>
      <c r="J11" s="133">
        <f>IF(SER_hh_tesh_in!J11=0,0,SER_hh_tesh_in!J11/SER_summary!J$27)</f>
        <v>84.350758605000962</v>
      </c>
      <c r="K11" s="133">
        <f>IF(SER_hh_tesh_in!K11=0,0,SER_hh_tesh_in!K11/SER_summary!K$27)</f>
        <v>81.662201205344203</v>
      </c>
      <c r="L11" s="133">
        <f>IF(SER_hh_tesh_in!L11=0,0,SER_hh_tesh_in!L11/SER_summary!L$27)</f>
        <v>83.621129391148401</v>
      </c>
      <c r="M11" s="133">
        <f>IF(SER_hh_tesh_in!M11=0,0,SER_hh_tesh_in!M11/SER_summary!M$27)</f>
        <v>68.189216421586124</v>
      </c>
      <c r="N11" s="133">
        <f>IF(SER_hh_tesh_in!N11=0,0,SER_hh_tesh_in!N11/SER_summary!N$27)</f>
        <v>78.749752067508027</v>
      </c>
      <c r="O11" s="133">
        <f>IF(SER_hh_tesh_in!O11=0,0,SER_hh_tesh_in!O11/SER_summary!O$27)</f>
        <v>73.372586276854079</v>
      </c>
      <c r="P11" s="133">
        <f>IF(SER_hh_tesh_in!P11=0,0,SER_hh_tesh_in!P11/SER_summary!P$27)</f>
        <v>58.384124187543577</v>
      </c>
      <c r="Q11" s="133">
        <f>IF(SER_hh_tesh_in!Q11=0,0,SER_hh_tesh_in!Q11/SER_summary!Q$27)</f>
        <v>59.814680367480051</v>
      </c>
      <c r="R11" s="133">
        <f>IF(SER_hh_tesh_in!R11=0,0,SER_hh_tesh_in!R11/SER_summary!R$27)</f>
        <v>52.267683798089919</v>
      </c>
      <c r="S11" s="133">
        <f>IF(SER_hh_tesh_in!S11=0,0,SER_hh_tesh_in!S11/SER_summary!S$27)</f>
        <v>74.509969846627229</v>
      </c>
      <c r="T11" s="133">
        <f>IF(SER_hh_tesh_in!T11=0,0,SER_hh_tesh_in!T11/SER_summary!T$27)</f>
        <v>62.206896161979358</v>
      </c>
      <c r="U11" s="133">
        <f>IF(SER_hh_tesh_in!U11=0,0,SER_hh_tesh_in!U11/SER_summary!U$27)</f>
        <v>59.5538984570914</v>
      </c>
      <c r="V11" s="133">
        <f>IF(SER_hh_tesh_in!V11=0,0,SER_hh_tesh_in!V11/SER_summary!V$27)</f>
        <v>58.563463101313047</v>
      </c>
      <c r="W11" s="133">
        <f>IF(SER_hh_tesh_in!W11=0,0,SER_hh_tesh_in!W11/SER_summary!W$27)</f>
        <v>48.944400397772668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98.996959713695588</v>
      </c>
      <c r="D12" s="133">
        <f>IF(SER_hh_tesh_in!D12=0,0,SER_hh_tesh_in!D12/SER_summary!D$27)</f>
        <v>101.67003715429179</v>
      </c>
      <c r="E12" s="133">
        <f>IF(SER_hh_tesh_in!E12=0,0,SER_hh_tesh_in!E12/SER_summary!E$27)</f>
        <v>106.18730150978529</v>
      </c>
      <c r="F12" s="133">
        <f>IF(SER_hh_tesh_in!F12=0,0,SER_hh_tesh_in!F12/SER_summary!F$27)</f>
        <v>102.24591349126517</v>
      </c>
      <c r="G12" s="133">
        <f>IF(SER_hh_tesh_in!G12=0,0,SER_hh_tesh_in!G12/SER_summary!G$27)</f>
        <v>108.38596066292749</v>
      </c>
      <c r="H12" s="133">
        <f>IF(SER_hh_tesh_in!H12=0,0,SER_hh_tesh_in!H12/SER_summary!H$27)</f>
        <v>104.42064710378315</v>
      </c>
      <c r="I12" s="133">
        <f>IF(SER_hh_tesh_in!I12=0,0,SER_hh_tesh_in!I12/SER_summary!I$27)</f>
        <v>82.541938260183855</v>
      </c>
      <c r="J12" s="133">
        <f>IF(SER_hh_tesh_in!J12=0,0,SER_hh_tesh_in!J12/SER_summary!J$27)</f>
        <v>86.478506685807517</v>
      </c>
      <c r="K12" s="133">
        <f>IF(SER_hh_tesh_in!K12=0,0,SER_hh_tesh_in!K12/SER_summary!K$27)</f>
        <v>82.875660962444343</v>
      </c>
      <c r="L12" s="133">
        <f>IF(SER_hh_tesh_in!L12=0,0,SER_hh_tesh_in!L12/SER_summary!L$27)</f>
        <v>81.204714383690217</v>
      </c>
      <c r="M12" s="133">
        <f>IF(SER_hh_tesh_in!M12=0,0,SER_hh_tesh_in!M12/SER_summary!M$27)</f>
        <v>75.434369266582948</v>
      </c>
      <c r="N12" s="133">
        <f>IF(SER_hh_tesh_in!N12=0,0,SER_hh_tesh_in!N12/SER_summary!N$27)</f>
        <v>74.540211600695486</v>
      </c>
      <c r="O12" s="133">
        <f>IF(SER_hh_tesh_in!O12=0,0,SER_hh_tesh_in!O12/SER_summary!O$27)</f>
        <v>71.024026993862535</v>
      </c>
      <c r="P12" s="133">
        <f>IF(SER_hh_tesh_in!P12=0,0,SER_hh_tesh_in!P12/SER_summary!P$27)</f>
        <v>60.843223998783294</v>
      </c>
      <c r="Q12" s="133">
        <f>IF(SER_hh_tesh_in!Q12=0,0,SER_hh_tesh_in!Q12/SER_summary!Q$27)</f>
        <v>61.405817852716758</v>
      </c>
      <c r="R12" s="133">
        <f>IF(SER_hh_tesh_in!R12=0,0,SER_hh_tesh_in!R12/SER_summary!R$27)</f>
        <v>63.350319749186085</v>
      </c>
      <c r="S12" s="133">
        <f>IF(SER_hh_tesh_in!S12=0,0,SER_hh_tesh_in!S12/SER_summary!S$27)</f>
        <v>64.958816831002125</v>
      </c>
      <c r="T12" s="133">
        <f>IF(SER_hh_tesh_in!T12=0,0,SER_hh_tesh_in!T12/SER_summary!T$27)</f>
        <v>58.653869888064271</v>
      </c>
      <c r="U12" s="133">
        <f>IF(SER_hh_tesh_in!U12=0,0,SER_hh_tesh_in!U12/SER_summary!U$27)</f>
        <v>59.744034599327165</v>
      </c>
      <c r="V12" s="133">
        <f>IF(SER_hh_tesh_in!V12=0,0,SER_hh_tesh_in!V12/SER_summary!V$27)</f>
        <v>52.950061052501617</v>
      </c>
      <c r="W12" s="133">
        <f>IF(SER_hh_tesh_in!W12=0,0,SER_hh_tesh_in!W12/SER_summary!W$27)</f>
        <v>59.314965941650485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93.00974413803209</v>
      </c>
      <c r="D13" s="133">
        <f>IF(SER_hh_tesh_in!D13=0,0,SER_hh_tesh_in!D13/SER_summary!D$27)</f>
        <v>96.69960090256312</v>
      </c>
      <c r="E13" s="133">
        <f>IF(SER_hh_tesh_in!E13=0,0,SER_hh_tesh_in!E13/SER_summary!E$27)</f>
        <v>103.92043770184368</v>
      </c>
      <c r="F13" s="133">
        <f>IF(SER_hh_tesh_in!F13=0,0,SER_hh_tesh_in!F13/SER_summary!F$27)</f>
        <v>105.23720152730259</v>
      </c>
      <c r="G13" s="133">
        <f>IF(SER_hh_tesh_in!G13=0,0,SER_hh_tesh_in!G13/SER_summary!G$27)</f>
        <v>104.85722669540948</v>
      </c>
      <c r="H13" s="133">
        <f>IF(SER_hh_tesh_in!H13=0,0,SER_hh_tesh_in!H13/SER_summary!H$27)</f>
        <v>102.22930003403121</v>
      </c>
      <c r="I13" s="133">
        <f>IF(SER_hh_tesh_in!I13=0,0,SER_hh_tesh_in!I13/SER_summary!I$27)</f>
        <v>86.657778492908847</v>
      </c>
      <c r="J13" s="133">
        <f>IF(SER_hh_tesh_in!J13=0,0,SER_hh_tesh_in!J13/SER_summary!J$27)</f>
        <v>98.991654400352402</v>
      </c>
      <c r="K13" s="133">
        <f>IF(SER_hh_tesh_in!K13=0,0,SER_hh_tesh_in!K13/SER_summary!K$27)</f>
        <v>77.198504028491797</v>
      </c>
      <c r="L13" s="133">
        <f>IF(SER_hh_tesh_in!L13=0,0,SER_hh_tesh_in!L13/SER_summary!L$27)</f>
        <v>75.376042834977355</v>
      </c>
      <c r="M13" s="133">
        <f>IF(SER_hh_tesh_in!M13=0,0,SER_hh_tesh_in!M13/SER_summary!M$27)</f>
        <v>75.565545893637591</v>
      </c>
      <c r="N13" s="133">
        <f>IF(SER_hh_tesh_in!N13=0,0,SER_hh_tesh_in!N13/SER_summary!N$27)</f>
        <v>72.122269217985121</v>
      </c>
      <c r="O13" s="133">
        <f>IF(SER_hh_tesh_in!O13=0,0,SER_hh_tesh_in!O13/SER_summary!O$27)</f>
        <v>70.612574493339991</v>
      </c>
      <c r="P13" s="133">
        <f>IF(SER_hh_tesh_in!P13=0,0,SER_hh_tesh_in!P13/SER_summary!P$27)</f>
        <v>71.524609534927478</v>
      </c>
      <c r="Q13" s="133">
        <f>IF(SER_hh_tesh_in!Q13=0,0,SER_hh_tesh_in!Q13/SER_summary!Q$27)</f>
        <v>59.482350083809386</v>
      </c>
      <c r="R13" s="133">
        <f>IF(SER_hh_tesh_in!R13=0,0,SER_hh_tesh_in!R13/SER_summary!R$27)</f>
        <v>59.919297915758527</v>
      </c>
      <c r="S13" s="133">
        <f>IF(SER_hh_tesh_in!S13=0,0,SER_hh_tesh_in!S13/SER_summary!S$27)</f>
        <v>64.219622913354215</v>
      </c>
      <c r="T13" s="133">
        <f>IF(SER_hh_tesh_in!T13=0,0,SER_hh_tesh_in!T13/SER_summary!T$27)</f>
        <v>61.551452709968046</v>
      </c>
      <c r="U13" s="133">
        <f>IF(SER_hh_tesh_in!U13=0,0,SER_hh_tesh_in!U13/SER_summary!U$27)</f>
        <v>68.979829326859601</v>
      </c>
      <c r="V13" s="133">
        <f>IF(SER_hh_tesh_in!V13=0,0,SER_hh_tesh_in!V13/SER_summary!V$27)</f>
        <v>45.153994886415269</v>
      </c>
      <c r="W13" s="133">
        <f>IF(SER_hh_tesh_in!W13=0,0,SER_hh_tesh_in!W13/SER_summary!W$27)</f>
        <v>41.365274015839709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0</v>
      </c>
      <c r="D14" s="65">
        <f>IF(SER_hh_tesh_in!D14=0,0,SER_hh_tesh_in!D14/SER_summary!D$27)</f>
        <v>0</v>
      </c>
      <c r="E14" s="65">
        <f>IF(SER_hh_tesh_in!E14=0,0,SER_hh_tesh_in!E14/SER_summary!E$27)</f>
        <v>116.28642391622228</v>
      </c>
      <c r="F14" s="65">
        <f>IF(SER_hh_tesh_in!F14=0,0,SER_hh_tesh_in!F14/SER_summary!F$27)</f>
        <v>85.231470504218834</v>
      </c>
      <c r="G14" s="65">
        <f>IF(SER_hh_tesh_in!G14=0,0,SER_hh_tesh_in!G14/SER_summary!G$27)</f>
        <v>114.08298995505099</v>
      </c>
      <c r="H14" s="65">
        <f>IF(SER_hh_tesh_in!H14=0,0,SER_hh_tesh_in!H14/SER_summary!H$27)</f>
        <v>103.52182288206238</v>
      </c>
      <c r="I14" s="65">
        <f>IF(SER_hh_tesh_in!I14=0,0,SER_hh_tesh_in!I14/SER_summary!I$27)</f>
        <v>88.249219806253421</v>
      </c>
      <c r="J14" s="65">
        <f>IF(SER_hh_tesh_in!J14=0,0,SER_hh_tesh_in!J14/SER_summary!J$27)</f>
        <v>105.76907288008562</v>
      </c>
      <c r="K14" s="65">
        <f>IF(SER_hh_tesh_in!K14=0,0,SER_hh_tesh_in!K14/SER_summary!K$27)</f>
        <v>0</v>
      </c>
      <c r="L14" s="65">
        <f>IF(SER_hh_tesh_in!L14=0,0,SER_hh_tesh_in!L14/SER_summary!L$27)</f>
        <v>84.188721037331845</v>
      </c>
      <c r="M14" s="65">
        <f>IF(SER_hh_tesh_in!M14=0,0,SER_hh_tesh_in!M14/SER_summary!M$27)</f>
        <v>74.697877640381705</v>
      </c>
      <c r="N14" s="65">
        <f>IF(SER_hh_tesh_in!N14=0,0,SER_hh_tesh_in!N14/SER_summary!N$27)</f>
        <v>73.409519813855326</v>
      </c>
      <c r="O14" s="65">
        <f>IF(SER_hh_tesh_in!O14=0,0,SER_hh_tesh_in!O14/SER_summary!O$27)</f>
        <v>72.384346243618651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0</v>
      </c>
      <c r="S14" s="65">
        <f>IF(SER_hh_tesh_in!S14=0,0,SER_hh_tesh_in!S14/SER_summary!S$27)</f>
        <v>59.044173294127894</v>
      </c>
      <c r="T14" s="65">
        <f>IF(SER_hh_tesh_in!T14=0,0,SER_hh_tesh_in!T14/SER_summary!T$27)</f>
        <v>69.163297089802512</v>
      </c>
      <c r="U14" s="65">
        <f>IF(SER_hh_tesh_in!U14=0,0,SER_hh_tesh_in!U14/SER_summary!U$27)</f>
        <v>58.919045552001457</v>
      </c>
      <c r="V14" s="65">
        <f>IF(SER_hh_tesh_in!V14=0,0,SER_hh_tesh_in!V14/SER_summary!V$27)</f>
        <v>56.257958211821332</v>
      </c>
      <c r="W14" s="65">
        <f>IF(SER_hh_tesh_in!W14=0,0,SER_hh_tesh_in!W14/SER_summary!W$27)</f>
        <v>56.06413247528576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1.8806818650833625</v>
      </c>
      <c r="D15" s="135">
        <f>IF(SER_hh_tesh_in!D15=0,0,SER_hh_tesh_in!D15/SER_summary!D$27)</f>
        <v>1.4468212021732367</v>
      </c>
      <c r="E15" s="135">
        <f>IF(SER_hh_tesh_in!E15=0,0,SER_hh_tesh_in!E15/SER_summary!E$27)</f>
        <v>1.4874725330516236</v>
      </c>
      <c r="F15" s="135">
        <f>IF(SER_hh_tesh_in!F15=0,0,SER_hh_tesh_in!F15/SER_summary!F$27)</f>
        <v>0.80436198975568418</v>
      </c>
      <c r="G15" s="135">
        <f>IF(SER_hh_tesh_in!G15=0,0,SER_hh_tesh_in!G15/SER_summary!G$27)</f>
        <v>0.80634166522041739</v>
      </c>
      <c r="H15" s="135">
        <f>IF(SER_hh_tesh_in!H15=0,0,SER_hh_tesh_in!H15/SER_summary!H$27)</f>
        <v>0.76788444366316033</v>
      </c>
      <c r="I15" s="135">
        <f>IF(SER_hh_tesh_in!I15=0,0,SER_hh_tesh_in!I15/SER_summary!I$27)</f>
        <v>0.47223801157910966</v>
      </c>
      <c r="J15" s="135">
        <f>IF(SER_hh_tesh_in!J15=0,0,SER_hh_tesh_in!J15/SER_summary!J$27)</f>
        <v>0.38134506609103058</v>
      </c>
      <c r="K15" s="135">
        <f>IF(SER_hh_tesh_in!K15=0,0,SER_hh_tesh_in!K15/SER_summary!K$27)</f>
        <v>0.47428681998017558</v>
      </c>
      <c r="L15" s="135">
        <f>IF(SER_hh_tesh_in!L15=0,0,SER_hh_tesh_in!L15/SER_summary!L$27)</f>
        <v>0.57671342136924297</v>
      </c>
      <c r="M15" s="135">
        <f>IF(SER_hh_tesh_in!M15=0,0,SER_hh_tesh_in!M15/SER_summary!M$27)</f>
        <v>0.54788972973721584</v>
      </c>
      <c r="N15" s="135">
        <f>IF(SER_hh_tesh_in!N15=0,0,SER_hh_tesh_in!N15/SER_summary!N$27)</f>
        <v>0.85647168681366981</v>
      </c>
      <c r="O15" s="135">
        <f>IF(SER_hh_tesh_in!O15=0,0,SER_hh_tesh_in!O15/SER_summary!O$27)</f>
        <v>0.91523217683219427</v>
      </c>
      <c r="P15" s="135">
        <f>IF(SER_hh_tesh_in!P15=0,0,SER_hh_tesh_in!P15/SER_summary!P$27)</f>
        <v>0.6668181882364127</v>
      </c>
      <c r="Q15" s="135">
        <f>IF(SER_hh_tesh_in!Q15=0,0,SER_hh_tesh_in!Q15/SER_summary!Q$27)</f>
        <v>0.54078752207370473</v>
      </c>
      <c r="R15" s="135">
        <f>IF(SER_hh_tesh_in!R15=0,0,SER_hh_tesh_in!R15/SER_summary!R$27)</f>
        <v>0.52466652718146578</v>
      </c>
      <c r="S15" s="135">
        <f>IF(SER_hh_tesh_in!S15=0,0,SER_hh_tesh_in!S15/SER_summary!S$27)</f>
        <v>0.61466610132432353</v>
      </c>
      <c r="T15" s="135">
        <f>IF(SER_hh_tesh_in!T15=0,0,SER_hh_tesh_in!T15/SER_summary!T$27)</f>
        <v>0.52229209132221499</v>
      </c>
      <c r="U15" s="135">
        <f>IF(SER_hh_tesh_in!U15=0,0,SER_hh_tesh_in!U15/SER_summary!U$27)</f>
        <v>0.46869617945100983</v>
      </c>
      <c r="V15" s="135">
        <f>IF(SER_hh_tesh_in!V15=0,0,SER_hh_tesh_in!V15/SER_summary!V$27)</f>
        <v>0.31337356994684623</v>
      </c>
      <c r="W15" s="135">
        <f>IF(SER_hh_tesh_in!W15=0,0,SER_hh_tesh_in!W15/SER_summary!W$27)</f>
        <v>0.44447887338150482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22.181535904970595</v>
      </c>
      <c r="D16" s="131">
        <f>IF(SER_hh_tesh_in!D16=0,0,SER_hh_tesh_in!D16/SER_summary!D$27)</f>
        <v>22.158718669544822</v>
      </c>
      <c r="E16" s="131">
        <f>IF(SER_hh_tesh_in!E16=0,0,SER_hh_tesh_in!E16/SER_summary!E$27)</f>
        <v>24.592172450756991</v>
      </c>
      <c r="F16" s="131">
        <f>IF(SER_hh_tesh_in!F16=0,0,SER_hh_tesh_in!F16/SER_summary!F$27)</f>
        <v>21.684073272194148</v>
      </c>
      <c r="G16" s="131">
        <f>IF(SER_hh_tesh_in!G16=0,0,SER_hh_tesh_in!G16/SER_summary!G$27)</f>
        <v>21.75642520445092</v>
      </c>
      <c r="H16" s="131">
        <f>IF(SER_hh_tesh_in!H16=0,0,SER_hh_tesh_in!H16/SER_summary!H$27)</f>
        <v>22.695885312021915</v>
      </c>
      <c r="I16" s="131">
        <f>IF(SER_hh_tesh_in!I16=0,0,SER_hh_tesh_in!I16/SER_summary!I$27)</f>
        <v>22.493300998905998</v>
      </c>
      <c r="J16" s="131">
        <f>IF(SER_hh_tesh_in!J16=0,0,SER_hh_tesh_in!J16/SER_summary!J$27)</f>
        <v>21.651588549458562</v>
      </c>
      <c r="K16" s="131">
        <f>IF(SER_hh_tesh_in!K16=0,0,SER_hh_tesh_in!K16/SER_summary!K$27)</f>
        <v>21.64033378750613</v>
      </c>
      <c r="L16" s="131">
        <f>IF(SER_hh_tesh_in!L16=0,0,SER_hh_tesh_in!L16/SER_summary!L$27)</f>
        <v>22.228262256305495</v>
      </c>
      <c r="M16" s="131">
        <f>IF(SER_hh_tesh_in!M16=0,0,SER_hh_tesh_in!M16/SER_summary!M$27)</f>
        <v>21.656381870661612</v>
      </c>
      <c r="N16" s="131">
        <f>IF(SER_hh_tesh_in!N16=0,0,SER_hh_tesh_in!N16/SER_summary!N$27)</f>
        <v>22.323090687104386</v>
      </c>
      <c r="O16" s="131">
        <f>IF(SER_hh_tesh_in!O16=0,0,SER_hh_tesh_in!O16/SER_summary!O$27)</f>
        <v>23.599179830431346</v>
      </c>
      <c r="P16" s="131">
        <f>IF(SER_hh_tesh_in!P16=0,0,SER_hh_tesh_in!P16/SER_summary!P$27)</f>
        <v>20.721526392037941</v>
      </c>
      <c r="Q16" s="131">
        <f>IF(SER_hh_tesh_in!Q16=0,0,SER_hh_tesh_in!Q16/SER_summary!Q$27)</f>
        <v>24.120641389495074</v>
      </c>
      <c r="R16" s="131">
        <f>IF(SER_hh_tesh_in!R16=0,0,SER_hh_tesh_in!R16/SER_summary!R$27)</f>
        <v>20.870574938110519</v>
      </c>
      <c r="S16" s="131">
        <f>IF(SER_hh_tesh_in!S16=0,0,SER_hh_tesh_in!S16/SER_summary!S$27)</f>
        <v>22.327435414429633</v>
      </c>
      <c r="T16" s="131">
        <f>IF(SER_hh_tesh_in!T16=0,0,SER_hh_tesh_in!T16/SER_summary!T$27)</f>
        <v>21.964215713584355</v>
      </c>
      <c r="U16" s="131">
        <f>IF(SER_hh_tesh_in!U16=0,0,SER_hh_tesh_in!U16/SER_summary!U$27)</f>
        <v>22.507447373760566</v>
      </c>
      <c r="V16" s="131">
        <f>IF(SER_hh_tesh_in!V16=0,0,SER_hh_tesh_in!V16/SER_summary!V$27)</f>
        <v>20.505866029590216</v>
      </c>
      <c r="W16" s="131">
        <f>IF(SER_hh_tesh_in!W16=0,0,SER_hh_tesh_in!W16/SER_summary!W$27)</f>
        <v>20.88967156055346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22.184536994572866</v>
      </c>
      <c r="D17" s="133">
        <f>IF(SER_hh_tesh_in!D17=0,0,SER_hh_tesh_in!D17/SER_summary!D$27)</f>
        <v>22.178470536973343</v>
      </c>
      <c r="E17" s="133">
        <f>IF(SER_hh_tesh_in!E17=0,0,SER_hh_tesh_in!E17/SER_summary!E$27)</f>
        <v>24.6078593005054</v>
      </c>
      <c r="F17" s="133">
        <f>IF(SER_hh_tesh_in!F17=0,0,SER_hh_tesh_in!F17/SER_summary!F$27)</f>
        <v>21.770498033325801</v>
      </c>
      <c r="G17" s="133">
        <f>IF(SER_hh_tesh_in!G17=0,0,SER_hh_tesh_in!G17/SER_summary!G$27)</f>
        <v>21.849283712480673</v>
      </c>
      <c r="H17" s="133">
        <f>IF(SER_hh_tesh_in!H17=0,0,SER_hh_tesh_in!H17/SER_summary!H$27)</f>
        <v>22.784201858312585</v>
      </c>
      <c r="I17" s="133">
        <f>IF(SER_hh_tesh_in!I17=0,0,SER_hh_tesh_in!I17/SER_summary!I$27)</f>
        <v>22.606595921707754</v>
      </c>
      <c r="J17" s="133">
        <f>IF(SER_hh_tesh_in!J17=0,0,SER_hh_tesh_in!J17/SER_summary!J$27)</f>
        <v>21.726640622280691</v>
      </c>
      <c r="K17" s="133">
        <f>IF(SER_hh_tesh_in!K17=0,0,SER_hh_tesh_in!K17/SER_summary!K$27)</f>
        <v>21.687726058134707</v>
      </c>
      <c r="L17" s="133">
        <f>IF(SER_hh_tesh_in!L17=0,0,SER_hh_tesh_in!L17/SER_summary!L$27)</f>
        <v>22.267301769938694</v>
      </c>
      <c r="M17" s="133">
        <f>IF(SER_hh_tesh_in!M17=0,0,SER_hh_tesh_in!M17/SER_summary!M$27)</f>
        <v>23.26835327492708</v>
      </c>
      <c r="N17" s="133">
        <f>IF(SER_hh_tesh_in!N17=0,0,SER_hh_tesh_in!N17/SER_summary!N$27)</f>
        <v>22.328592713095041</v>
      </c>
      <c r="O17" s="133">
        <f>IF(SER_hh_tesh_in!O17=0,0,SER_hh_tesh_in!O17/SER_summary!O$27)</f>
        <v>23.609823613930885</v>
      </c>
      <c r="P17" s="133">
        <f>IF(SER_hh_tesh_in!P17=0,0,SER_hh_tesh_in!P17/SER_summary!P$27)</f>
        <v>20.76963079407254</v>
      </c>
      <c r="Q17" s="133">
        <f>IF(SER_hh_tesh_in!Q17=0,0,SER_hh_tesh_in!Q17/SER_summary!Q$27)</f>
        <v>25.313459276512045</v>
      </c>
      <c r="R17" s="133">
        <f>IF(SER_hh_tesh_in!R17=0,0,SER_hh_tesh_in!R17/SER_summary!R$27)</f>
        <v>20.942459693812307</v>
      </c>
      <c r="S17" s="133">
        <f>IF(SER_hh_tesh_in!S17=0,0,SER_hh_tesh_in!S17/SER_summary!S$27)</f>
        <v>22.50186289456348</v>
      </c>
      <c r="T17" s="133">
        <f>IF(SER_hh_tesh_in!T17=0,0,SER_hh_tesh_in!T17/SER_summary!T$27)</f>
        <v>22.146409651642525</v>
      </c>
      <c r="U17" s="133">
        <f>IF(SER_hh_tesh_in!U17=0,0,SER_hh_tesh_in!U17/SER_summary!U$27)</f>
        <v>22.797802974048775</v>
      </c>
      <c r="V17" s="133">
        <f>IF(SER_hh_tesh_in!V17=0,0,SER_hh_tesh_in!V17/SER_summary!V$27)</f>
        <v>20.67253112489621</v>
      </c>
      <c r="W17" s="133">
        <f>IF(SER_hh_tesh_in!W17=0,0,SER_hh_tesh_in!W17/SER_summary!W$27)</f>
        <v>21.007647744428201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22.181530676365938</v>
      </c>
      <c r="D18" s="133">
        <f>IF(SER_hh_tesh_in!D18=0,0,SER_hh_tesh_in!D18/SER_summary!D$27)</f>
        <v>22.158669778357151</v>
      </c>
      <c r="E18" s="133">
        <f>IF(SER_hh_tesh_in!E18=0,0,SER_hh_tesh_in!E18/SER_summary!E$27)</f>
        <v>24.59215000311983</v>
      </c>
      <c r="F18" s="133">
        <f>IF(SER_hh_tesh_in!F18=0,0,SER_hh_tesh_in!F18/SER_summary!F$27)</f>
        <v>21.683731888389254</v>
      </c>
      <c r="G18" s="133">
        <f>IF(SER_hh_tesh_in!G18=0,0,SER_hh_tesh_in!G18/SER_summary!G$27)</f>
        <v>21.756168402913609</v>
      </c>
      <c r="H18" s="133">
        <f>IF(SER_hh_tesh_in!H18=0,0,SER_hh_tesh_in!H18/SER_summary!H$27)</f>
        <v>22.695660666176053</v>
      </c>
      <c r="I18" s="133">
        <f>IF(SER_hh_tesh_in!I18=0,0,SER_hh_tesh_in!I18/SER_summary!I$27)</f>
        <v>22.492845002422495</v>
      </c>
      <c r="J18" s="133">
        <f>IF(SER_hh_tesh_in!J18=0,0,SER_hh_tesh_in!J18/SER_summary!J$27)</f>
        <v>21.651285527252099</v>
      </c>
      <c r="K18" s="133">
        <f>IF(SER_hh_tesh_in!K18=0,0,SER_hh_tesh_in!K18/SER_summary!K$27)</f>
        <v>21.639946658481374</v>
      </c>
      <c r="L18" s="133">
        <f>IF(SER_hh_tesh_in!L18=0,0,SER_hh_tesh_in!L18/SER_summary!L$27)</f>
        <v>22.228105323051917</v>
      </c>
      <c r="M18" s="133">
        <f>IF(SER_hh_tesh_in!M18=0,0,SER_hh_tesh_in!M18/SER_summary!M$27)</f>
        <v>21.649268775132441</v>
      </c>
      <c r="N18" s="133">
        <f>IF(SER_hh_tesh_in!N18=0,0,SER_hh_tesh_in!N18/SER_summary!N$27)</f>
        <v>22.323056068960504</v>
      </c>
      <c r="O18" s="133">
        <f>IF(SER_hh_tesh_in!O18=0,0,SER_hh_tesh_in!O18/SER_summary!O$27)</f>
        <v>23.599109104989513</v>
      </c>
      <c r="P18" s="133">
        <f>IF(SER_hh_tesh_in!P18=0,0,SER_hh_tesh_in!P18/SER_summary!P$27)</f>
        <v>20.721143442771282</v>
      </c>
      <c r="Q18" s="133">
        <f>IF(SER_hh_tesh_in!Q18=0,0,SER_hh_tesh_in!Q18/SER_summary!Q$27)</f>
        <v>24.110901332135676</v>
      </c>
      <c r="R18" s="133">
        <f>IF(SER_hh_tesh_in!R18=0,0,SER_hh_tesh_in!R18/SER_summary!R$27)</f>
        <v>20.870095317745218</v>
      </c>
      <c r="S18" s="133">
        <f>IF(SER_hh_tesh_in!S18=0,0,SER_hh_tesh_in!S18/SER_summary!S$27)</f>
        <v>22.325683369232518</v>
      </c>
      <c r="T18" s="133">
        <f>IF(SER_hh_tesh_in!T18=0,0,SER_hh_tesh_in!T18/SER_summary!T$27)</f>
        <v>21.962634496607418</v>
      </c>
      <c r="U18" s="133">
        <f>IF(SER_hh_tesh_in!U18=0,0,SER_hh_tesh_in!U18/SER_summary!U$27)</f>
        <v>22.503778780603938</v>
      </c>
      <c r="V18" s="133">
        <f>IF(SER_hh_tesh_in!V18=0,0,SER_hh_tesh_in!V18/SER_summary!V$27)</f>
        <v>20.504731598415525</v>
      </c>
      <c r="W18" s="133">
        <f>IF(SER_hh_tesh_in!W18=0,0,SER_hh_tesh_in!W18/SER_summary!W$27)</f>
        <v>20.888620528529831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15.394486184395401</v>
      </c>
      <c r="D19" s="131">
        <f>IF(SER_hh_tesh_in!D19=0,0,SER_hh_tesh_in!D19/SER_summary!D$27)</f>
        <v>15.310424345639712</v>
      </c>
      <c r="E19" s="131">
        <f>IF(SER_hh_tesh_in!E19=0,0,SER_hh_tesh_in!E19/SER_summary!E$27)</f>
        <v>15.443752365379501</v>
      </c>
      <c r="F19" s="131">
        <f>IF(SER_hh_tesh_in!F19=0,0,SER_hh_tesh_in!F19/SER_summary!F$27)</f>
        <v>15.250604716033838</v>
      </c>
      <c r="G19" s="131">
        <f>IF(SER_hh_tesh_in!G19=0,0,SER_hh_tesh_in!G19/SER_summary!G$27)</f>
        <v>15.678852224732013</v>
      </c>
      <c r="H19" s="131">
        <f>IF(SER_hh_tesh_in!H19=0,0,SER_hh_tesh_in!H19/SER_summary!H$27)</f>
        <v>15.582983237907769</v>
      </c>
      <c r="I19" s="131">
        <f>IF(SER_hh_tesh_in!I19=0,0,SER_hh_tesh_in!I19/SER_summary!I$27)</f>
        <v>16.205656886863181</v>
      </c>
      <c r="J19" s="131">
        <f>IF(SER_hh_tesh_in!J19=0,0,SER_hh_tesh_in!J19/SER_summary!J$27)</f>
        <v>16.919644009998585</v>
      </c>
      <c r="K19" s="131">
        <f>IF(SER_hh_tesh_in!K19=0,0,SER_hh_tesh_in!K19/SER_summary!K$27)</f>
        <v>16.509527763620941</v>
      </c>
      <c r="L19" s="131">
        <f>IF(SER_hh_tesh_in!L19=0,0,SER_hh_tesh_in!L19/SER_summary!L$27)</f>
        <v>18.685891319802554</v>
      </c>
      <c r="M19" s="131">
        <f>IF(SER_hh_tesh_in!M19=0,0,SER_hh_tesh_in!M19/SER_summary!M$27)</f>
        <v>19.858273885989146</v>
      </c>
      <c r="N19" s="131">
        <f>IF(SER_hh_tesh_in!N19=0,0,SER_hh_tesh_in!N19/SER_summary!N$27)</f>
        <v>18.671087530440492</v>
      </c>
      <c r="O19" s="131">
        <f>IF(SER_hh_tesh_in!O19=0,0,SER_hh_tesh_in!O19/SER_summary!O$27)</f>
        <v>15.220521222247092</v>
      </c>
      <c r="P19" s="131">
        <f>IF(SER_hh_tesh_in!P19=0,0,SER_hh_tesh_in!P19/SER_summary!P$27)</f>
        <v>19.965816593006736</v>
      </c>
      <c r="Q19" s="131">
        <f>IF(SER_hh_tesh_in!Q19=0,0,SER_hh_tesh_in!Q19/SER_summary!Q$27)</f>
        <v>15.177823658892594</v>
      </c>
      <c r="R19" s="131">
        <f>IF(SER_hh_tesh_in!R19=0,0,SER_hh_tesh_in!R19/SER_summary!R$27)</f>
        <v>15.277152193831903</v>
      </c>
      <c r="S19" s="131">
        <f>IF(SER_hh_tesh_in!S19=0,0,SER_hh_tesh_in!S19/SER_summary!S$27)</f>
        <v>19.321467603350435</v>
      </c>
      <c r="T19" s="131">
        <f>IF(SER_hh_tesh_in!T19=0,0,SER_hh_tesh_in!T19/SER_summary!T$27)</f>
        <v>18.53730149140587</v>
      </c>
      <c r="U19" s="131">
        <f>IF(SER_hh_tesh_in!U19=0,0,SER_hh_tesh_in!U19/SER_summary!U$27)</f>
        <v>17.769889326597564</v>
      </c>
      <c r="V19" s="131">
        <f>IF(SER_hh_tesh_in!V19=0,0,SER_hh_tesh_in!V19/SER_summary!V$27)</f>
        <v>16.650818137167708</v>
      </c>
      <c r="W19" s="131">
        <f>IF(SER_hh_tesh_in!W19=0,0,SER_hh_tesh_in!W19/SER_summary!W$27)</f>
        <v>14.057300719655201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6.7177475228462287</v>
      </c>
      <c r="D21" s="133">
        <f>IF(SER_hh_tesh_in!D21=0,0,SER_hh_tesh_in!D21/SER_summary!D$27)</f>
        <v>13.920232120964281</v>
      </c>
      <c r="E21" s="133">
        <f>IF(SER_hh_tesh_in!E21=0,0,SER_hh_tesh_in!E21/SER_summary!E$27)</f>
        <v>11.227137454247227</v>
      </c>
      <c r="F21" s="133">
        <f>IF(SER_hh_tesh_in!F21=0,0,SER_hh_tesh_in!F21/SER_summary!F$27)</f>
        <v>14.467175911513014</v>
      </c>
      <c r="G21" s="133">
        <f>IF(SER_hh_tesh_in!G21=0,0,SER_hh_tesh_in!G21/SER_summary!G$27)</f>
        <v>16.334448373987222</v>
      </c>
      <c r="H21" s="133">
        <f>IF(SER_hh_tesh_in!H21=0,0,SER_hh_tesh_in!H21/SER_summary!H$27)</f>
        <v>16.30967516821028</v>
      </c>
      <c r="I21" s="133">
        <f>IF(SER_hh_tesh_in!I21=0,0,SER_hh_tesh_in!I21/SER_summary!I$27)</f>
        <v>13.102496614316037</v>
      </c>
      <c r="J21" s="133">
        <f>IF(SER_hh_tesh_in!J21=0,0,SER_hh_tesh_in!J21/SER_summary!J$27)</f>
        <v>0</v>
      </c>
      <c r="K21" s="133">
        <f>IF(SER_hh_tesh_in!K21=0,0,SER_hh_tesh_in!K21/SER_summary!K$27)</f>
        <v>17.36730544825485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8.6464935823684215</v>
      </c>
      <c r="D22" s="133">
        <f>IF(SER_hh_tesh_in!D22=0,0,SER_hh_tesh_in!D22/SER_summary!D$27)</f>
        <v>13.751698699769976</v>
      </c>
      <c r="E22" s="133">
        <f>IF(SER_hh_tesh_in!E22=0,0,SER_hh_tesh_in!E22/SER_summary!E$27)</f>
        <v>7.0172325486328271</v>
      </c>
      <c r="F22" s="133">
        <f>IF(SER_hh_tesh_in!F22=0,0,SER_hh_tesh_in!F22/SER_summary!F$27)</f>
        <v>14.12985095727538</v>
      </c>
      <c r="G22" s="133">
        <f>IF(SER_hh_tesh_in!G22=0,0,SER_hh_tesh_in!G22/SER_summary!G$27)</f>
        <v>16.036975806258962</v>
      </c>
      <c r="H22" s="133">
        <f>IF(SER_hh_tesh_in!H22=0,0,SER_hh_tesh_in!H22/SER_summary!H$27)</f>
        <v>15.815074219033558</v>
      </c>
      <c r="I22" s="133">
        <f>IF(SER_hh_tesh_in!I22=0,0,SER_hh_tesh_in!I22/SER_summary!I$27)</f>
        <v>12.639141108476869</v>
      </c>
      <c r="J22" s="133">
        <f>IF(SER_hh_tesh_in!J22=0,0,SER_hh_tesh_in!J22/SER_summary!J$27)</f>
        <v>7.6293618926028426</v>
      </c>
      <c r="K22" s="133">
        <f>IF(SER_hh_tesh_in!K22=0,0,SER_hh_tesh_in!K22/SER_summary!K$27)</f>
        <v>16.479675243692625</v>
      </c>
      <c r="L22" s="133">
        <f>IF(SER_hh_tesh_in!L22=0,0,SER_hh_tesh_in!L22/SER_summary!L$27)</f>
        <v>4.6477255099083177</v>
      </c>
      <c r="M22" s="133">
        <f>IF(SER_hh_tesh_in!M22=0,0,SER_hh_tesh_in!M22/SER_summary!M$27)</f>
        <v>6.6647172680114366</v>
      </c>
      <c r="N22" s="133">
        <f>IF(SER_hh_tesh_in!N22=0,0,SER_hh_tesh_in!N22/SER_summary!N$27)</f>
        <v>8.1428731989590251</v>
      </c>
      <c r="O22" s="133">
        <f>IF(SER_hh_tesh_in!O22=0,0,SER_hh_tesh_in!O22/SER_summary!O$27)</f>
        <v>17.280705095200542</v>
      </c>
      <c r="P22" s="133">
        <f>IF(SER_hh_tesh_in!P22=0,0,SER_hh_tesh_in!P22/SER_summary!P$27)</f>
        <v>0</v>
      </c>
      <c r="Q22" s="133">
        <f>IF(SER_hh_tesh_in!Q22=0,0,SER_hh_tesh_in!Q22/SER_summary!Q$27)</f>
        <v>17.094631636785078</v>
      </c>
      <c r="R22" s="133">
        <f>IF(SER_hh_tesh_in!R22=0,0,SER_hh_tesh_in!R22/SER_summary!R$27)</f>
        <v>16.928107124678707</v>
      </c>
      <c r="S22" s="133">
        <f>IF(SER_hh_tesh_in!S22=0,0,SER_hh_tesh_in!S22/SER_summary!S$27)</f>
        <v>10.79846125297021</v>
      </c>
      <c r="T22" s="133">
        <f>IF(SER_hh_tesh_in!T22=0,0,SER_hh_tesh_in!T22/SER_summary!T$27)</f>
        <v>9.8436335611847312</v>
      </c>
      <c r="U22" s="133">
        <f>IF(SER_hh_tesh_in!U22=0,0,SER_hh_tesh_in!U22/SER_summary!U$27)</f>
        <v>16.911103228197529</v>
      </c>
      <c r="V22" s="133">
        <f>IF(SER_hh_tesh_in!V22=0,0,SER_hh_tesh_in!V22/SER_summary!V$27)</f>
        <v>10.954647686213809</v>
      </c>
      <c r="W22" s="133">
        <f>IF(SER_hh_tesh_in!W22=0,0,SER_hh_tesh_in!W22/SER_summary!W$27)</f>
        <v>16.290282223474691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8.3554714014025286</v>
      </c>
      <c r="D23" s="133">
        <f>IF(SER_hh_tesh_in!D23=0,0,SER_hh_tesh_in!D23/SER_summary!D$27)</f>
        <v>13.809344972409789</v>
      </c>
      <c r="E23" s="133">
        <f>IF(SER_hh_tesh_in!E23=0,0,SER_hh_tesh_in!E23/SER_summary!E$27)</f>
        <v>8.3142083467541372</v>
      </c>
      <c r="F23" s="133">
        <f>IF(SER_hh_tesh_in!F23=0,0,SER_hh_tesh_in!F23/SER_summary!F$27)</f>
        <v>14.060839544873069</v>
      </c>
      <c r="G23" s="133">
        <f>IF(SER_hh_tesh_in!G23=0,0,SER_hh_tesh_in!G23/SER_summary!G$27)</f>
        <v>16.058059353252709</v>
      </c>
      <c r="H23" s="133">
        <f>IF(SER_hh_tesh_in!H23=0,0,SER_hh_tesh_in!H23/SER_summary!H$27)</f>
        <v>16.020554726829488</v>
      </c>
      <c r="I23" s="133">
        <f>IF(SER_hh_tesh_in!I23=0,0,SER_hh_tesh_in!I23/SER_summary!I$27)</f>
        <v>12.739853110656361</v>
      </c>
      <c r="J23" s="133">
        <f>IF(SER_hh_tesh_in!J23=0,0,SER_hh_tesh_in!J23/SER_summary!J$27)</f>
        <v>9.0006056604306988</v>
      </c>
      <c r="K23" s="133">
        <f>IF(SER_hh_tesh_in!K23=0,0,SER_hh_tesh_in!K23/SER_summary!K$27)</f>
        <v>16.256674742802886</v>
      </c>
      <c r="L23" s="133">
        <f>IF(SER_hh_tesh_in!L23=0,0,SER_hh_tesh_in!L23/SER_summary!L$27)</f>
        <v>7.0161961285060963</v>
      </c>
      <c r="M23" s="133">
        <f>IF(SER_hh_tesh_in!M23=0,0,SER_hh_tesh_in!M23/SER_summary!M$27)</f>
        <v>8.5136891324044264</v>
      </c>
      <c r="N23" s="133">
        <f>IF(SER_hh_tesh_in!N23=0,0,SER_hh_tesh_in!N23/SER_summary!N$27)</f>
        <v>9.9718991372165746</v>
      </c>
      <c r="O23" s="133">
        <f>IF(SER_hh_tesh_in!O23=0,0,SER_hh_tesh_in!O23/SER_summary!O$27)</f>
        <v>17.827704748361139</v>
      </c>
      <c r="P23" s="133">
        <f>IF(SER_hh_tesh_in!P23=0,0,SER_hh_tesh_in!P23/SER_summary!P$27)</f>
        <v>11.725673777973268</v>
      </c>
      <c r="Q23" s="133">
        <f>IF(SER_hh_tesh_in!Q23=0,0,SER_hh_tesh_in!Q23/SER_summary!Q$27)</f>
        <v>17.871417438108793</v>
      </c>
      <c r="R23" s="133">
        <f>IF(SER_hh_tesh_in!R23=0,0,SER_hh_tesh_in!R23/SER_summary!R$27)</f>
        <v>17.473654755008212</v>
      </c>
      <c r="S23" s="133">
        <f>IF(SER_hh_tesh_in!S23=0,0,SER_hh_tesh_in!S23/SER_summary!S$27)</f>
        <v>10.775245954641546</v>
      </c>
      <c r="T23" s="133">
        <f>IF(SER_hh_tesh_in!T23=0,0,SER_hh_tesh_in!T23/SER_summary!T$27)</f>
        <v>9.7573578574112414</v>
      </c>
      <c r="U23" s="133">
        <f>IF(SER_hh_tesh_in!U23=0,0,SER_hh_tesh_in!U23/SER_summary!U$27)</f>
        <v>16.758072625848321</v>
      </c>
      <c r="V23" s="133">
        <f>IF(SER_hh_tesh_in!V23=0,0,SER_hh_tesh_in!V23/SER_summary!V$27)</f>
        <v>11.293096694421951</v>
      </c>
      <c r="W23" s="133">
        <f>IF(SER_hh_tesh_in!W23=0,0,SER_hh_tesh_in!W23/SER_summary!W$27)</f>
        <v>16.112835877710943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8.453115917305718</v>
      </c>
      <c r="D24" s="133">
        <f>IF(SER_hh_tesh_in!D24=0,0,SER_hh_tesh_in!D24/SER_summary!D$27)</f>
        <v>13.799894201589192</v>
      </c>
      <c r="E24" s="133">
        <f>IF(SER_hh_tesh_in!E24=0,0,SER_hh_tesh_in!E24/SER_summary!E$27)</f>
        <v>7.3148728936604375</v>
      </c>
      <c r="F24" s="133">
        <f>IF(SER_hh_tesh_in!F24=0,0,SER_hh_tesh_in!F24/SER_summary!F$27)</f>
        <v>14.033648549689117</v>
      </c>
      <c r="G24" s="133">
        <f>IF(SER_hh_tesh_in!G24=0,0,SER_hh_tesh_in!G24/SER_summary!G$27)</f>
        <v>16.024952987284912</v>
      </c>
      <c r="H24" s="133">
        <f>IF(SER_hh_tesh_in!H24=0,0,SER_hh_tesh_in!H24/SER_summary!H$27)</f>
        <v>16.059160341704448</v>
      </c>
      <c r="I24" s="133">
        <f>IF(SER_hh_tesh_in!I24=0,0,SER_hh_tesh_in!I24/SER_summary!I$27)</f>
        <v>12.638078467771805</v>
      </c>
      <c r="J24" s="133">
        <f>IF(SER_hh_tesh_in!J24=0,0,SER_hh_tesh_in!J24/SER_summary!J$27)</f>
        <v>8.9278153335715977</v>
      </c>
      <c r="K24" s="133">
        <f>IF(SER_hh_tesh_in!K24=0,0,SER_hh_tesh_in!K24/SER_summary!K$27)</f>
        <v>16.205578270961112</v>
      </c>
      <c r="L24" s="133">
        <f>IF(SER_hh_tesh_in!L24=0,0,SER_hh_tesh_in!L24/SER_summary!L$27)</f>
        <v>7.2018122851087583</v>
      </c>
      <c r="M24" s="133">
        <f>IF(SER_hh_tesh_in!M24=0,0,SER_hh_tesh_in!M24/SER_summary!M$27)</f>
        <v>8.8463884698218394</v>
      </c>
      <c r="N24" s="133">
        <f>IF(SER_hh_tesh_in!N24=0,0,SER_hh_tesh_in!N24/SER_summary!N$27)</f>
        <v>10.287240794101736</v>
      </c>
      <c r="O24" s="133">
        <f>IF(SER_hh_tesh_in!O24=0,0,SER_hh_tesh_in!O24/SER_summary!O$27)</f>
        <v>17.809984503906584</v>
      </c>
      <c r="P24" s="133">
        <f>IF(SER_hh_tesh_in!P24=0,0,SER_hh_tesh_in!P24/SER_summary!P$27)</f>
        <v>12.038901731553171</v>
      </c>
      <c r="Q24" s="133">
        <f>IF(SER_hh_tesh_in!Q24=0,0,SER_hh_tesh_in!Q24/SER_summary!Q$27)</f>
        <v>17.999904652455381</v>
      </c>
      <c r="R24" s="133">
        <f>IF(SER_hh_tesh_in!R24=0,0,SER_hh_tesh_in!R24/SER_summary!R$27)</f>
        <v>17.431519837283616</v>
      </c>
      <c r="S24" s="133">
        <f>IF(SER_hh_tesh_in!S24=0,0,SER_hh_tesh_in!S24/SER_summary!S$27)</f>
        <v>10.935476147416008</v>
      </c>
      <c r="T24" s="133">
        <f>IF(SER_hh_tesh_in!T24=0,0,SER_hh_tesh_in!T24/SER_summary!T$27)</f>
        <v>9.8689013709681941</v>
      </c>
      <c r="U24" s="133">
        <f>IF(SER_hh_tesh_in!U24=0,0,SER_hh_tesh_in!U24/SER_summary!U$27)</f>
        <v>17.063747544060647</v>
      </c>
      <c r="V24" s="133">
        <f>IF(SER_hh_tesh_in!V24=0,0,SER_hh_tesh_in!V24/SER_summary!V$27)</f>
        <v>11.178503567549033</v>
      </c>
      <c r="W24" s="133">
        <f>IF(SER_hh_tesh_in!W24=0,0,SER_hh_tesh_in!W24/SER_summary!W$27)</f>
        <v>16.242608040587204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8.5483698641890644</v>
      </c>
      <c r="D25" s="133">
        <f>IF(SER_hh_tesh_in!D25=0,0,SER_hh_tesh_in!D25/SER_summary!D$27)</f>
        <v>13.946118894131116</v>
      </c>
      <c r="E25" s="133">
        <f>IF(SER_hh_tesh_in!E25=0,0,SER_hh_tesh_in!E25/SER_summary!E$27)</f>
        <v>7.031785061572756</v>
      </c>
      <c r="F25" s="133">
        <f>IF(SER_hh_tesh_in!F25=0,0,SER_hh_tesh_in!F25/SER_summary!F$27)</f>
        <v>13.630352674551194</v>
      </c>
      <c r="G25" s="133">
        <f>IF(SER_hh_tesh_in!G25=0,0,SER_hh_tesh_in!G25/SER_summary!G$27)</f>
        <v>15.013485912033786</v>
      </c>
      <c r="H25" s="133">
        <f>IF(SER_hh_tesh_in!H25=0,0,SER_hh_tesh_in!H25/SER_summary!H$27)</f>
        <v>15.582231161209489</v>
      </c>
      <c r="I25" s="133">
        <f>IF(SER_hh_tesh_in!I25=0,0,SER_hh_tesh_in!I25/SER_summary!I$27)</f>
        <v>12.913224548779034</v>
      </c>
      <c r="J25" s="133">
        <f>IF(SER_hh_tesh_in!J25=0,0,SER_hh_tesh_in!J25/SER_summary!J$27)</f>
        <v>9.8079546227470864</v>
      </c>
      <c r="K25" s="133">
        <f>IF(SER_hh_tesh_in!K25=0,0,SER_hh_tesh_in!K25/SER_summary!K$27)</f>
        <v>16.56369632860314</v>
      </c>
      <c r="L25" s="133">
        <f>IF(SER_hh_tesh_in!L25=0,0,SER_hh_tesh_in!L25/SER_summary!L$27)</f>
        <v>7.9454362720966252</v>
      </c>
      <c r="M25" s="133">
        <f>IF(SER_hh_tesh_in!M25=0,0,SER_hh_tesh_in!M25/SER_summary!M$27)</f>
        <v>9.0680932811868793</v>
      </c>
      <c r="N25" s="133">
        <f>IF(SER_hh_tesh_in!N25=0,0,SER_hh_tesh_in!N25/SER_summary!N$27)</f>
        <v>10.23151355137931</v>
      </c>
      <c r="O25" s="133">
        <f>IF(SER_hh_tesh_in!O25=0,0,SER_hh_tesh_in!O25/SER_summary!O$27)</f>
        <v>17.73294217930329</v>
      </c>
      <c r="P25" s="133">
        <f>IF(SER_hh_tesh_in!P25=0,0,SER_hh_tesh_in!P25/SER_summary!P$27)</f>
        <v>12.005763547585687</v>
      </c>
      <c r="Q25" s="133">
        <f>IF(SER_hh_tesh_in!Q25=0,0,SER_hh_tesh_in!Q25/SER_summary!Q$27)</f>
        <v>18.005209628436035</v>
      </c>
      <c r="R25" s="133">
        <f>IF(SER_hh_tesh_in!R25=0,0,SER_hh_tesh_in!R25/SER_summary!R$27)</f>
        <v>17.513934175415955</v>
      </c>
      <c r="S25" s="133">
        <f>IF(SER_hh_tesh_in!S25=0,0,SER_hh_tesh_in!S25/SER_summary!S$27)</f>
        <v>10.748054724708657</v>
      </c>
      <c r="T25" s="133">
        <f>IF(SER_hh_tesh_in!T25=0,0,SER_hh_tesh_in!T25/SER_summary!T$27)</f>
        <v>9.7078790103190915</v>
      </c>
      <c r="U25" s="133">
        <f>IF(SER_hh_tesh_in!U25=0,0,SER_hh_tesh_in!U25/SER_summary!U$27)</f>
        <v>16.873511685174869</v>
      </c>
      <c r="V25" s="133">
        <f>IF(SER_hh_tesh_in!V25=0,0,SER_hh_tesh_in!V25/SER_summary!V$27)</f>
        <v>11.639492954412427</v>
      </c>
      <c r="W25" s="133">
        <f>IF(SER_hh_tesh_in!W25=0,0,SER_hh_tesh_in!W25/SER_summary!W$27)</f>
        <v>16.625383906888025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5.4669775425481575</v>
      </c>
      <c r="D26" s="65">
        <f>IF(SER_hh_tesh_in!D26=0,0,SER_hh_tesh_in!D26/SER_summary!D$27)</f>
        <v>5.1483178453247707</v>
      </c>
      <c r="E26" s="65">
        <f>IF(SER_hh_tesh_in!E26=0,0,SER_hh_tesh_in!E26/SER_summary!E$27)</f>
        <v>4.4924387863069049</v>
      </c>
      <c r="F26" s="65">
        <f>IF(SER_hh_tesh_in!F26=0,0,SER_hh_tesh_in!F26/SER_summary!F$27)</f>
        <v>4.1036705528352444</v>
      </c>
      <c r="G26" s="65">
        <f>IF(SER_hh_tesh_in!G26=0,0,SER_hh_tesh_in!G26/SER_summary!G$27)</f>
        <v>15.90285927393087</v>
      </c>
      <c r="H26" s="65">
        <f>IF(SER_hh_tesh_in!H26=0,0,SER_hh_tesh_in!H26/SER_summary!H$27)</f>
        <v>15.386666970311156</v>
      </c>
      <c r="I26" s="65">
        <f>IF(SER_hh_tesh_in!I26=0,0,SER_hh_tesh_in!I26/SER_summary!I$27)</f>
        <v>2.4275809988076569</v>
      </c>
      <c r="J26" s="65">
        <f>IF(SER_hh_tesh_in!J26=0,0,SER_hh_tesh_in!J26/SER_summary!J$27)</f>
        <v>0.13534920016880717</v>
      </c>
      <c r="K26" s="65">
        <f>IF(SER_hh_tesh_in!K26=0,0,SER_hh_tesh_in!K26/SER_summary!K$27)</f>
        <v>16.438767330976468</v>
      </c>
      <c r="L26" s="65">
        <f>IF(SER_hh_tesh_in!L26=0,0,SER_hh_tesh_in!L26/SER_summary!L$27)</f>
        <v>9.1592095958048486E-2</v>
      </c>
      <c r="M26" s="65">
        <f>IF(SER_hh_tesh_in!M26=0,0,SER_hh_tesh_in!M26/SER_summary!M$27)</f>
        <v>9.1673424379452501E-2</v>
      </c>
      <c r="N26" s="65">
        <f>IF(SER_hh_tesh_in!N26=0,0,SER_hh_tesh_in!N26/SER_summary!N$27)</f>
        <v>0.10092681582787492</v>
      </c>
      <c r="O26" s="65">
        <f>IF(SER_hh_tesh_in!O26=0,0,SER_hh_tesh_in!O26/SER_summary!O$27)</f>
        <v>11.251522977256803</v>
      </c>
      <c r="P26" s="65">
        <f>IF(SER_hh_tesh_in!P26=0,0,SER_hh_tesh_in!P26/SER_summary!P$27)</f>
        <v>0.11420408414089719</v>
      </c>
      <c r="Q26" s="65">
        <f>IF(SER_hh_tesh_in!Q26=0,0,SER_hh_tesh_in!Q26/SER_summary!Q$27)</f>
        <v>11.718850148545718</v>
      </c>
      <c r="R26" s="65">
        <f>IF(SER_hh_tesh_in!R26=0,0,SER_hh_tesh_in!R26/SER_summary!R$27)</f>
        <v>12.462329403034074</v>
      </c>
      <c r="S26" s="65">
        <f>IF(SER_hh_tesh_in!S26=0,0,SER_hh_tesh_in!S26/SER_summary!S$27)</f>
        <v>0.11986837570600949</v>
      </c>
      <c r="T26" s="65">
        <f>IF(SER_hh_tesh_in!T26=0,0,SER_hh_tesh_in!T26/SER_summary!T$27)</f>
        <v>0.1029684645812437</v>
      </c>
      <c r="U26" s="65">
        <f>IF(SER_hh_tesh_in!U26=0,0,SER_hh_tesh_in!U26/SER_summary!U$27)</f>
        <v>0.10648784880672592</v>
      </c>
      <c r="V26" s="65">
        <f>IF(SER_hh_tesh_in!V26=0,0,SER_hh_tesh_in!V26/SER_summary!V$27)</f>
        <v>9.8572514629567537E-2</v>
      </c>
      <c r="W26" s="65">
        <f>IF(SER_hh_tesh_in!W26=0,0,SER_hh_tesh_in!W26/SER_summary!W$27)</f>
        <v>10.020754841743342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8.1677303618701824</v>
      </c>
      <c r="D27" s="146">
        <f>IF(SER_hh_tesh_in!D27=0,0,SER_hh_tesh_in!D27/SER_summary!D$27)</f>
        <v>4.6898840546217526</v>
      </c>
      <c r="E27" s="146">
        <f>IF(SER_hh_tesh_in!E27=0,0,SER_hh_tesh_in!E27/SER_summary!E$27)</f>
        <v>8.8697485506330711</v>
      </c>
      <c r="F27" s="146">
        <f>IF(SER_hh_tesh_in!F27=0,0,SER_hh_tesh_in!F27/SER_summary!F$27)</f>
        <v>5.8307037509183077</v>
      </c>
      <c r="G27" s="146">
        <f>IF(SER_hh_tesh_in!G27=0,0,SER_hh_tesh_in!G27/SER_summary!G$27)</f>
        <v>4.4154082788424334E-14</v>
      </c>
      <c r="H27" s="146">
        <f>IF(SER_hh_tesh_in!H27=0,0,SER_hh_tesh_in!H27/SER_summary!H$27)</f>
        <v>0</v>
      </c>
      <c r="I27" s="146">
        <f>IF(SER_hh_tesh_in!I27=0,0,SER_hh_tesh_in!I27/SER_summary!I$27)</f>
        <v>5.0163167414468735</v>
      </c>
      <c r="J27" s="146">
        <f>IF(SER_hh_tesh_in!J27=0,0,SER_hh_tesh_in!J27/SER_summary!J$27)</f>
        <v>7.8612968603189168</v>
      </c>
      <c r="K27" s="146">
        <f>IF(SER_hh_tesh_in!K27=0,0,SER_hh_tesh_in!K27/SER_summary!K$27)</f>
        <v>0</v>
      </c>
      <c r="L27" s="146">
        <f>IF(SER_hh_tesh_in!L27=0,0,SER_hh_tesh_in!L27/SER_summary!L$27)</f>
        <v>11.581622639142219</v>
      </c>
      <c r="M27" s="146">
        <f>IF(SER_hh_tesh_in!M27=0,0,SER_hh_tesh_in!M27/SER_summary!M$27)</f>
        <v>12.988335547751095</v>
      </c>
      <c r="N27" s="146">
        <f>IF(SER_hh_tesh_in!N27=0,0,SER_hh_tesh_in!N27/SER_summary!N$27)</f>
        <v>12.907246909984957</v>
      </c>
      <c r="O27" s="146">
        <f>IF(SER_hh_tesh_in!O27=0,0,SER_hh_tesh_in!O27/SER_summary!O$27)</f>
        <v>0</v>
      </c>
      <c r="P27" s="146">
        <f>IF(SER_hh_tesh_in!P27=0,0,SER_hh_tesh_in!P27/SER_summary!P$27)</f>
        <v>16.180997110277776</v>
      </c>
      <c r="Q27" s="146">
        <f>IF(SER_hh_tesh_in!Q27=0,0,SER_hh_tesh_in!Q27/SER_summary!Q$27)</f>
        <v>0</v>
      </c>
      <c r="R27" s="146">
        <f>IF(SER_hh_tesh_in!R27=0,0,SER_hh_tesh_in!R27/SER_summary!R$27)</f>
        <v>0</v>
      </c>
      <c r="S27" s="146">
        <f>IF(SER_hh_tesh_in!S27=0,0,SER_hh_tesh_in!S27/SER_summary!S$27)</f>
        <v>12.400066779479815</v>
      </c>
      <c r="T27" s="146">
        <f>IF(SER_hh_tesh_in!T27=0,0,SER_hh_tesh_in!T27/SER_summary!T$27)</f>
        <v>11.388285499592367</v>
      </c>
      <c r="U27" s="146">
        <f>IF(SER_hh_tesh_in!U27=0,0,SER_hh_tesh_in!U27/SER_summary!U$27)</f>
        <v>5.7458942499076784</v>
      </c>
      <c r="V27" s="146">
        <f>IF(SER_hh_tesh_in!V27=0,0,SER_hh_tesh_in!V27/SER_summary!V$27)</f>
        <v>10.247475117194215</v>
      </c>
      <c r="W27" s="146">
        <f>IF(SER_hh_tesh_in!W27=0,0,SER_hh_tesh_in!W27/SER_summary!W$27)</f>
        <v>0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9.4449243721442571</v>
      </c>
      <c r="D28" s="147">
        <f>IF(SER_hh_tesh_in!D28=0,0,SER_hh_tesh_in!D28/SER_summary!D$27)</f>
        <v>9.6337590221272968</v>
      </c>
      <c r="E28" s="147">
        <f>IF(SER_hh_tesh_in!E28=0,0,SER_hh_tesh_in!E28/SER_summary!E$27)</f>
        <v>9.3450441800004587</v>
      </c>
      <c r="F28" s="147">
        <f>IF(SER_hh_tesh_in!F28=0,0,SER_hh_tesh_in!F28/SER_summary!F$27)</f>
        <v>9.9539444635088277</v>
      </c>
      <c r="G28" s="147">
        <f>IF(SER_hh_tesh_in!G28=0,0,SER_hh_tesh_in!G28/SER_summary!G$27)</f>
        <v>11.057931788393109</v>
      </c>
      <c r="H28" s="147">
        <f>IF(SER_hh_tesh_in!H28=0,0,SER_hh_tesh_in!H28/SER_summary!H$27)</f>
        <v>0</v>
      </c>
      <c r="I28" s="147">
        <f>IF(SER_hh_tesh_in!I28=0,0,SER_hh_tesh_in!I28/SER_summary!I$27)</f>
        <v>9.7675489061511858</v>
      </c>
      <c r="J28" s="147">
        <f>IF(SER_hh_tesh_in!J28=0,0,SER_hh_tesh_in!J28/SER_summary!J$27)</f>
        <v>7.8612968603189168</v>
      </c>
      <c r="K28" s="147">
        <f>IF(SER_hh_tesh_in!K28=0,0,SER_hh_tesh_in!K28/SER_summary!K$27)</f>
        <v>0</v>
      </c>
      <c r="L28" s="147">
        <f>IF(SER_hh_tesh_in!L28=0,0,SER_hh_tesh_in!L28/SER_summary!L$27)</f>
        <v>11.581622639142221</v>
      </c>
      <c r="M28" s="147">
        <f>IF(SER_hh_tesh_in!M28=0,0,SER_hh_tesh_in!M28/SER_summary!M$27)</f>
        <v>12.988335547751095</v>
      </c>
      <c r="N28" s="147">
        <f>IF(SER_hh_tesh_in!N28=0,0,SER_hh_tesh_in!N28/SER_summary!N$27)</f>
        <v>12.907246909984957</v>
      </c>
      <c r="O28" s="147">
        <f>IF(SER_hh_tesh_in!O28=0,0,SER_hh_tesh_in!O28/SER_summary!O$27)</f>
        <v>0</v>
      </c>
      <c r="P28" s="147">
        <f>IF(SER_hh_tesh_in!P28=0,0,SER_hh_tesh_in!P28/SER_summary!P$27)</f>
        <v>17.22946544585788</v>
      </c>
      <c r="Q28" s="147">
        <f>IF(SER_hh_tesh_in!Q28=0,0,SER_hh_tesh_in!Q28/SER_summary!Q$27)</f>
        <v>0</v>
      </c>
      <c r="R28" s="147">
        <f>IF(SER_hh_tesh_in!R28=0,0,SER_hh_tesh_in!R28/SER_summary!R$27)</f>
        <v>0</v>
      </c>
      <c r="S28" s="147">
        <f>IF(SER_hh_tesh_in!S28=0,0,SER_hh_tesh_in!S28/SER_summary!S$27)</f>
        <v>13.483969922836714</v>
      </c>
      <c r="T28" s="147">
        <f>IF(SER_hh_tesh_in!T28=0,0,SER_hh_tesh_in!T28/SER_summary!T$27)</f>
        <v>11.388285499592365</v>
      </c>
      <c r="U28" s="147">
        <f>IF(SER_hh_tesh_in!U28=0,0,SER_hh_tesh_in!U28/SER_summary!U$27)</f>
        <v>18.187917611219063</v>
      </c>
      <c r="V28" s="147">
        <f>IF(SER_hh_tesh_in!V28=0,0,SER_hh_tesh_in!V28/SER_summary!V$27)</f>
        <v>12.456255014903929</v>
      </c>
      <c r="W28" s="147">
        <f>IF(SER_hh_tesh_in!W28=0,0,SER_hh_tesh_in!W28/SER_summary!W$27)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12.121003013147707</v>
      </c>
      <c r="D29" s="131">
        <f>IF(SER_hh_tesh_in!D29=0,0,SER_hh_tesh_in!D29/SER_summary!D$27)</f>
        <v>13.910895914862362</v>
      </c>
      <c r="E29" s="131">
        <f>IF(SER_hh_tesh_in!E29=0,0,SER_hh_tesh_in!E29/SER_summary!E$27)</f>
        <v>14.162701475443392</v>
      </c>
      <c r="F29" s="131">
        <f>IF(SER_hh_tesh_in!F29=0,0,SER_hh_tesh_in!F29/SER_summary!F$27)</f>
        <v>13.396172637920218</v>
      </c>
      <c r="G29" s="131">
        <f>IF(SER_hh_tesh_in!G29=0,0,SER_hh_tesh_in!G29/SER_summary!G$27)</f>
        <v>13.648450093929164</v>
      </c>
      <c r="H29" s="131">
        <f>IF(SER_hh_tesh_in!H29=0,0,SER_hh_tesh_in!H29/SER_summary!H$27)</f>
        <v>13.252454457690154</v>
      </c>
      <c r="I29" s="131">
        <f>IF(SER_hh_tesh_in!I29=0,0,SER_hh_tesh_in!I29/SER_summary!I$27)</f>
        <v>13.560992919078416</v>
      </c>
      <c r="J29" s="131">
        <f>IF(SER_hh_tesh_in!J29=0,0,SER_hh_tesh_in!J29/SER_summary!J$27)</f>
        <v>13.757679823330433</v>
      </c>
      <c r="K29" s="131">
        <f>IF(SER_hh_tesh_in!K29=0,0,SER_hh_tesh_in!K29/SER_summary!K$27)</f>
        <v>13.731837404793476</v>
      </c>
      <c r="L29" s="131">
        <f>IF(SER_hh_tesh_in!L29=0,0,SER_hh_tesh_in!L29/SER_summary!L$27)</f>
        <v>13.654372558236036</v>
      </c>
      <c r="M29" s="131">
        <f>IF(SER_hh_tesh_in!M29=0,0,SER_hh_tesh_in!M29/SER_summary!M$27)</f>
        <v>13.108988795161059</v>
      </c>
      <c r="N29" s="131">
        <f>IF(SER_hh_tesh_in!N29=0,0,SER_hh_tesh_in!N29/SER_summary!N$27)</f>
        <v>14.746904116619369</v>
      </c>
      <c r="O29" s="131">
        <f>IF(SER_hh_tesh_in!O29=0,0,SER_hh_tesh_in!O29/SER_summary!O$27)</f>
        <v>14.12519732390466</v>
      </c>
      <c r="P29" s="131">
        <f>IF(SER_hh_tesh_in!P29=0,0,SER_hh_tesh_in!P29/SER_summary!P$27)</f>
        <v>14.041800069047074</v>
      </c>
      <c r="Q29" s="131">
        <f>IF(SER_hh_tesh_in!Q29=0,0,SER_hh_tesh_in!Q29/SER_summary!Q$27)</f>
        <v>13.98139056581836</v>
      </c>
      <c r="R29" s="131">
        <f>IF(SER_hh_tesh_in!R29=0,0,SER_hh_tesh_in!R29/SER_summary!R$27)</f>
        <v>13.974016882762491</v>
      </c>
      <c r="S29" s="131">
        <f>IF(SER_hh_tesh_in!S29=0,0,SER_hh_tesh_in!S29/SER_summary!S$27)</f>
        <v>14.092525290896777</v>
      </c>
      <c r="T29" s="131">
        <f>IF(SER_hh_tesh_in!T29=0,0,SER_hh_tesh_in!T29/SER_summary!T$27)</f>
        <v>13.894602337321901</v>
      </c>
      <c r="U29" s="131">
        <f>IF(SER_hh_tesh_in!U29=0,0,SER_hh_tesh_in!U29/SER_summary!U$27)</f>
        <v>13.850300457194647</v>
      </c>
      <c r="V29" s="131">
        <f>IF(SER_hh_tesh_in!V29=0,0,SER_hh_tesh_in!V29/SER_summary!V$27)</f>
        <v>13.247162594036006</v>
      </c>
      <c r="W29" s="131">
        <f>IF(SER_hh_tesh_in!W29=0,0,SER_hh_tesh_in!W29/SER_summary!W$27)</f>
        <v>13.645232307689186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7.1896463194969247</v>
      </c>
      <c r="D30" s="133">
        <f>IF(SER_hh_tesh_in!D30=0,0,SER_hh_tesh_in!D30/SER_summary!D$27)</f>
        <v>14.873508226216302</v>
      </c>
      <c r="E30" s="133">
        <f>IF(SER_hh_tesh_in!E30=0,0,SER_hh_tesh_in!E30/SER_summary!E$27)</f>
        <v>15.575393561271852</v>
      </c>
      <c r="F30" s="133">
        <f>IF(SER_hh_tesh_in!F30=0,0,SER_hh_tesh_in!F30/SER_summary!F$27)</f>
        <v>18.621487514635263</v>
      </c>
      <c r="G30" s="133">
        <f>IF(SER_hh_tesh_in!G30=0,0,SER_hh_tesh_in!G30/SER_summary!G$27)</f>
        <v>13.836808951966423</v>
      </c>
      <c r="H30" s="133">
        <f>IF(SER_hh_tesh_in!H30=0,0,SER_hh_tesh_in!H30/SER_summary!H$27)</f>
        <v>14.730727027200222</v>
      </c>
      <c r="I30" s="133">
        <f>IF(SER_hh_tesh_in!I30=0,0,SER_hh_tesh_in!I30/SER_summary!I$27)</f>
        <v>0</v>
      </c>
      <c r="J30" s="133">
        <f>IF(SER_hh_tesh_in!J30=0,0,SER_hh_tesh_in!J30/SER_summary!J$27)</f>
        <v>9.2046717776634477</v>
      </c>
      <c r="K30" s="133">
        <f>IF(SER_hh_tesh_in!K30=0,0,SER_hh_tesh_in!K30/SER_summary!K$27)</f>
        <v>11.509494488682471</v>
      </c>
      <c r="L30" s="133">
        <f>IF(SER_hh_tesh_in!L30=0,0,SER_hh_tesh_in!L30/SER_summary!L$27)</f>
        <v>19.183937094033009</v>
      </c>
      <c r="M30" s="133">
        <f>IF(SER_hh_tesh_in!M30=0,0,SER_hh_tesh_in!M30/SER_summary!M$27)</f>
        <v>0</v>
      </c>
      <c r="N30" s="133">
        <f>IF(SER_hh_tesh_in!N30=0,0,SER_hh_tesh_in!N30/SER_summary!N$27)</f>
        <v>0</v>
      </c>
      <c r="O30" s="133">
        <f>IF(SER_hh_tesh_in!O30=0,0,SER_hh_tesh_in!O30/SER_summary!O$27)</f>
        <v>0</v>
      </c>
      <c r="P30" s="133">
        <f>IF(SER_hh_tesh_in!P30=0,0,SER_hh_tesh_in!P30/SER_summary!P$27)</f>
        <v>0</v>
      </c>
      <c r="Q30" s="133">
        <f>IF(SER_hh_tesh_in!Q30=0,0,SER_hh_tesh_in!Q30/SER_summary!Q$27)</f>
        <v>12.785575797763391</v>
      </c>
      <c r="R30" s="133">
        <f>IF(SER_hh_tesh_in!R30=0,0,SER_hh_tesh_in!R30/SER_summary!R$27)</f>
        <v>9.4148018090034125</v>
      </c>
      <c r="S30" s="133">
        <f>IF(SER_hh_tesh_in!S30=0,0,SER_hh_tesh_in!S30/SER_summary!S$27)</f>
        <v>17.326323180749579</v>
      </c>
      <c r="T30" s="133">
        <f>IF(SER_hh_tesh_in!T30=0,0,SER_hh_tesh_in!T30/SER_summary!T$27)</f>
        <v>13.958992738230323</v>
      </c>
      <c r="U30" s="133">
        <f>IF(SER_hh_tesh_in!U30=0,0,SER_hh_tesh_in!U30/SER_summary!U$27)</f>
        <v>13.88228041429139</v>
      </c>
      <c r="V30" s="133">
        <f>IF(SER_hh_tesh_in!V30=0,0,SER_hh_tesh_in!V30/SER_summary!V$27)</f>
        <v>12.918376715312766</v>
      </c>
      <c r="W30" s="133">
        <f>IF(SER_hh_tesh_in!W30=0,0,SER_hh_tesh_in!W30/SER_summary!W$27)</f>
        <v>14.147132046068965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12.748182448496523</v>
      </c>
      <c r="D31" s="133">
        <f>IF(SER_hh_tesh_in!D31=0,0,SER_hh_tesh_in!D31/SER_summary!D$27)</f>
        <v>13.265116832508244</v>
      </c>
      <c r="E31" s="133">
        <f>IF(SER_hh_tesh_in!E31=0,0,SER_hh_tesh_in!E31/SER_summary!E$27)</f>
        <v>13.453425926321479</v>
      </c>
      <c r="F31" s="133">
        <f>IF(SER_hh_tesh_in!F31=0,0,SER_hh_tesh_in!F31/SER_summary!F$27)</f>
        <v>13.796379665753671</v>
      </c>
      <c r="G31" s="133">
        <f>IF(SER_hh_tesh_in!G31=0,0,SER_hh_tesh_in!G31/SER_summary!G$27)</f>
        <v>13.731870703604036</v>
      </c>
      <c r="H31" s="133">
        <f>IF(SER_hh_tesh_in!H31=0,0,SER_hh_tesh_in!H31/SER_summary!H$27)</f>
        <v>13.554915270890101</v>
      </c>
      <c r="I31" s="133">
        <f>IF(SER_hh_tesh_in!I31=0,0,SER_hh_tesh_in!I31/SER_summary!I$27)</f>
        <v>13.388532721275537</v>
      </c>
      <c r="J31" s="133">
        <f>IF(SER_hh_tesh_in!J31=0,0,SER_hh_tesh_in!J31/SER_summary!J$27)</f>
        <v>13.397048051560613</v>
      </c>
      <c r="K31" s="133">
        <f>IF(SER_hh_tesh_in!K31=0,0,SER_hh_tesh_in!K31/SER_summary!K$27)</f>
        <v>13.740443421464459</v>
      </c>
      <c r="L31" s="133">
        <f>IF(SER_hh_tesh_in!L31=0,0,SER_hh_tesh_in!L31/SER_summary!L$27)</f>
        <v>13.862758792175621</v>
      </c>
      <c r="M31" s="133">
        <f>IF(SER_hh_tesh_in!M31=0,0,SER_hh_tesh_in!M31/SER_summary!M$27)</f>
        <v>13.877099600373821</v>
      </c>
      <c r="N31" s="133">
        <f>IF(SER_hh_tesh_in!N31=0,0,SER_hh_tesh_in!N31/SER_summary!N$27)</f>
        <v>13.888556348467114</v>
      </c>
      <c r="O31" s="133">
        <f>IF(SER_hh_tesh_in!O31=0,0,SER_hh_tesh_in!O31/SER_summary!O$27)</f>
        <v>13.911484105979497</v>
      </c>
      <c r="P31" s="133">
        <f>IF(SER_hh_tesh_in!P31=0,0,SER_hh_tesh_in!P31/SER_summary!P$27)</f>
        <v>14.041849171618127</v>
      </c>
      <c r="Q31" s="133">
        <f>IF(SER_hh_tesh_in!Q31=0,0,SER_hh_tesh_in!Q31/SER_summary!Q$27)</f>
        <v>14.052360850908981</v>
      </c>
      <c r="R31" s="133">
        <f>IF(SER_hh_tesh_in!R31=0,0,SER_hh_tesh_in!R31/SER_summary!R$27)</f>
        <v>13.997491319119488</v>
      </c>
      <c r="S31" s="133">
        <f>IF(SER_hh_tesh_in!S31=0,0,SER_hh_tesh_in!S31/SER_summary!S$27)</f>
        <v>13.900321491234692</v>
      </c>
      <c r="T31" s="133">
        <f>IF(SER_hh_tesh_in!T31=0,0,SER_hh_tesh_in!T31/SER_summary!T$27)</f>
        <v>13.858209282183612</v>
      </c>
      <c r="U31" s="133">
        <f>IF(SER_hh_tesh_in!U31=0,0,SER_hh_tesh_in!U31/SER_summary!U$27)</f>
        <v>14.165232495680415</v>
      </c>
      <c r="V31" s="133">
        <f>IF(SER_hh_tesh_in!V31=0,0,SER_hh_tesh_in!V31/SER_summary!V$27)</f>
        <v>13.0862331894664</v>
      </c>
      <c r="W31" s="133">
        <f>IF(SER_hh_tesh_in!W31=0,0,SER_hh_tesh_in!W31/SER_summary!W$27)</f>
        <v>13.230095753905355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12.457140788102713</v>
      </c>
      <c r="D32" s="133">
        <f>IF(SER_hh_tesh_in!D32=0,0,SER_hh_tesh_in!D32/SER_summary!D$27)</f>
        <v>13.386041509529967</v>
      </c>
      <c r="E32" s="133">
        <f>IF(SER_hh_tesh_in!E32=0,0,SER_hh_tesh_in!E32/SER_summary!E$27)</f>
        <v>13.51207892333912</v>
      </c>
      <c r="F32" s="133">
        <f>IF(SER_hh_tesh_in!F32=0,0,SER_hh_tesh_in!F32/SER_summary!F$27)</f>
        <v>13.861140432753558</v>
      </c>
      <c r="G32" s="133">
        <f>IF(SER_hh_tesh_in!G32=0,0,SER_hh_tesh_in!G32/SER_summary!G$27)</f>
        <v>13.691456963472508</v>
      </c>
      <c r="H32" s="133">
        <f>IF(SER_hh_tesh_in!H32=0,0,SER_hh_tesh_in!H32/SER_summary!H$27)</f>
        <v>13.526406687803608</v>
      </c>
      <c r="I32" s="133">
        <f>IF(SER_hh_tesh_in!I32=0,0,SER_hh_tesh_in!I32/SER_summary!I$27)</f>
        <v>13.442885764281087</v>
      </c>
      <c r="J32" s="133">
        <f>IF(SER_hh_tesh_in!J32=0,0,SER_hh_tesh_in!J32/SER_summary!J$27)</f>
        <v>13.318801678623565</v>
      </c>
      <c r="K32" s="133">
        <f>IF(SER_hh_tesh_in!K32=0,0,SER_hh_tesh_in!K32/SER_summary!K$27)</f>
        <v>13.304932414178623</v>
      </c>
      <c r="L32" s="133">
        <f>IF(SER_hh_tesh_in!L32=0,0,SER_hh_tesh_in!L32/SER_summary!L$27)</f>
        <v>13.979699922453616</v>
      </c>
      <c r="M32" s="133">
        <f>IF(SER_hh_tesh_in!M32=0,0,SER_hh_tesh_in!M32/SER_summary!M$27)</f>
        <v>13.554730445546738</v>
      </c>
      <c r="N32" s="133">
        <f>IF(SER_hh_tesh_in!N32=0,0,SER_hh_tesh_in!N32/SER_summary!N$27)</f>
        <v>13.935019750212044</v>
      </c>
      <c r="O32" s="133">
        <f>IF(SER_hh_tesh_in!O32=0,0,SER_hh_tesh_in!O32/SER_summary!O$27)</f>
        <v>13.615284372050498</v>
      </c>
      <c r="P32" s="133">
        <f>IF(SER_hh_tesh_in!P32=0,0,SER_hh_tesh_in!P32/SER_summary!P$27)</f>
        <v>13.824470985899909</v>
      </c>
      <c r="Q32" s="133">
        <f>IF(SER_hh_tesh_in!Q32=0,0,SER_hh_tesh_in!Q32/SER_summary!Q$27)</f>
        <v>14.216974576415506</v>
      </c>
      <c r="R32" s="133">
        <f>IF(SER_hh_tesh_in!R32=0,0,SER_hh_tesh_in!R32/SER_summary!R$27)</f>
        <v>13.944676365688206</v>
      </c>
      <c r="S32" s="133">
        <f>IF(SER_hh_tesh_in!S32=0,0,SER_hh_tesh_in!S32/SER_summary!S$27)</f>
        <v>13.698465544979884</v>
      </c>
      <c r="T32" s="133">
        <f>IF(SER_hh_tesh_in!T32=0,0,SER_hh_tesh_in!T32/SER_summary!T$27)</f>
        <v>13.674778604810516</v>
      </c>
      <c r="U32" s="133">
        <f>IF(SER_hh_tesh_in!U32=0,0,SER_hh_tesh_in!U32/SER_summary!U$27)</f>
        <v>13.912100984859896</v>
      </c>
      <c r="V32" s="133">
        <f>IF(SER_hh_tesh_in!V32=0,0,SER_hh_tesh_in!V32/SER_summary!V$27)</f>
        <v>13.814642111758749</v>
      </c>
      <c r="W32" s="133">
        <f>IF(SER_hh_tesh_in!W32=0,0,SER_hh_tesh_in!W32/SER_summary!W$27)</f>
        <v>13.619175182522151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13.770497581637635</v>
      </c>
      <c r="D33" s="68">
        <f>IF(SER_hh_tesh_in!D33=0,0,SER_hh_tesh_in!D33/SER_summary!D$27)</f>
        <v>12.557487406557094</v>
      </c>
      <c r="E33" s="68">
        <f>IF(SER_hh_tesh_in!E33=0,0,SER_hh_tesh_in!E33/SER_summary!E$27)</f>
        <v>12.928465235535908</v>
      </c>
      <c r="F33" s="68">
        <f>IF(SER_hh_tesh_in!F33=0,0,SER_hh_tesh_in!F33/SER_summary!F$27)</f>
        <v>11.626286093150629</v>
      </c>
      <c r="G33" s="68">
        <f>IF(SER_hh_tesh_in!G33=0,0,SER_hh_tesh_in!G33/SER_summary!G$27)</f>
        <v>13.575971215782813</v>
      </c>
      <c r="H33" s="68">
        <f>IF(SER_hh_tesh_in!H33=0,0,SER_hh_tesh_in!H33/SER_summary!H$27)</f>
        <v>13.102022072908406</v>
      </c>
      <c r="I33" s="68">
        <f>IF(SER_hh_tesh_in!I33=0,0,SER_hh_tesh_in!I33/SER_summary!I$27)</f>
        <v>13.617563643268051</v>
      </c>
      <c r="J33" s="68">
        <f>IF(SER_hh_tesh_in!J33=0,0,SER_hh_tesh_in!J33/SER_summary!J$27)</f>
        <v>14.265791028845509</v>
      </c>
      <c r="K33" s="68">
        <f>IF(SER_hh_tesh_in!K33=0,0,SER_hh_tesh_in!K33/SER_summary!K$27)</f>
        <v>14.38691182931608</v>
      </c>
      <c r="L33" s="68">
        <f>IF(SER_hh_tesh_in!L33=0,0,SER_hh_tesh_in!L33/SER_summary!L$27)</f>
        <v>12.389148045134441</v>
      </c>
      <c r="M33" s="68">
        <f>IF(SER_hh_tesh_in!M33=0,0,SER_hh_tesh_in!M33/SER_summary!M$27)</f>
        <v>12.731946583197027</v>
      </c>
      <c r="N33" s="68">
        <f>IF(SER_hh_tesh_in!N33=0,0,SER_hh_tesh_in!N33/SER_summary!N$27)</f>
        <v>15.026457519653354</v>
      </c>
      <c r="O33" s="68">
        <f>IF(SER_hh_tesh_in!O33=0,0,SER_hh_tesh_in!O33/SER_summary!O$27)</f>
        <v>14.236192584393116</v>
      </c>
      <c r="P33" s="68">
        <f>IF(SER_hh_tesh_in!P33=0,0,SER_hh_tesh_in!P33/SER_summary!P$27)</f>
        <v>14.047878157292431</v>
      </c>
      <c r="Q33" s="68">
        <f>IF(SER_hh_tesh_in!Q33=0,0,SER_hh_tesh_in!Q33/SER_summary!Q$27)</f>
        <v>14.0187115172621</v>
      </c>
      <c r="R33" s="68">
        <f>IF(SER_hh_tesh_in!R33=0,0,SER_hh_tesh_in!R33/SER_summary!R$27)</f>
        <v>14.190314437147636</v>
      </c>
      <c r="S33" s="68">
        <f>IF(SER_hh_tesh_in!S33=0,0,SER_hh_tesh_in!S33/SER_summary!S$27)</f>
        <v>13.909869423264738</v>
      </c>
      <c r="T33" s="68">
        <f>IF(SER_hh_tesh_in!T33=0,0,SER_hh_tesh_in!T33/SER_summary!T$27)</f>
        <v>13.916568251288037</v>
      </c>
      <c r="U33" s="68">
        <f>IF(SER_hh_tesh_in!U33=0,0,SER_hh_tesh_in!U33/SER_summary!U$27)</f>
        <v>13.691106407494063</v>
      </c>
      <c r="V33" s="68">
        <f>IF(SER_hh_tesh_in!V33=0,0,SER_hh_tesh_in!V33/SER_summary!V$27)</f>
        <v>13.320037716623572</v>
      </c>
      <c r="W33" s="68">
        <f>IF(SER_hh_tesh_in!W33=0,0,SER_hh_tesh_in!W33/SER_summary!W$27)</f>
        <v>13.824458943936479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37.101542004234751</v>
      </c>
      <c r="D3" s="126">
        <f>IF(SER_hh_emih_in!D3=0,0,SER_hh_emih_in!D3/SER_summary!D$27)</f>
        <v>30.086996913408001</v>
      </c>
      <c r="E3" s="126">
        <f>IF(SER_hh_emih_in!E3=0,0,SER_hh_emih_in!E3/SER_summary!E$27)</f>
        <v>28.891727272654844</v>
      </c>
      <c r="F3" s="126">
        <f>IF(SER_hh_emih_in!F3=0,0,SER_hh_emih_in!F3/SER_summary!F$27)</f>
        <v>12.193237146536648</v>
      </c>
      <c r="G3" s="126">
        <f>IF(SER_hh_emih_in!G3=0,0,SER_hh_emih_in!G3/SER_summary!G$27)</f>
        <v>10.397214257833534</v>
      </c>
      <c r="H3" s="126">
        <f>IF(SER_hh_emih_in!H3=0,0,SER_hh_emih_in!H3/SER_summary!H$27)</f>
        <v>9.3561427577226244</v>
      </c>
      <c r="I3" s="126">
        <f>IF(SER_hh_emih_in!I3=0,0,SER_hh_emih_in!I3/SER_summary!I$27)</f>
        <v>4.2436960571781288</v>
      </c>
      <c r="J3" s="126">
        <f>IF(SER_hh_emih_in!J3=0,0,SER_hh_emih_in!J3/SER_summary!J$27)</f>
        <v>2.1101821308443882</v>
      </c>
      <c r="K3" s="126">
        <f>IF(SER_hh_emih_in!K3=0,0,SER_hh_emih_in!K3/SER_summary!K$27)</f>
        <v>5.56468557184321</v>
      </c>
      <c r="L3" s="126">
        <f>IF(SER_hh_emih_in!L3=0,0,SER_hh_emih_in!L3/SER_summary!L$27)</f>
        <v>6.5791438524552968</v>
      </c>
      <c r="M3" s="126">
        <f>IF(SER_hh_emih_in!M3=0,0,SER_hh_emih_in!M3/SER_summary!M$27)</f>
        <v>5.9089287410643143</v>
      </c>
      <c r="N3" s="126">
        <f>IF(SER_hh_emih_in!N3=0,0,SER_hh_emih_in!N3/SER_summary!N$27)</f>
        <v>9.1471572098250071</v>
      </c>
      <c r="O3" s="126">
        <f>IF(SER_hh_emih_in!O3=0,0,SER_hh_emih_in!O3/SER_summary!O$27)</f>
        <v>12.62890702428869</v>
      </c>
      <c r="P3" s="126">
        <f>IF(SER_hh_emih_in!P3=0,0,SER_hh_emih_in!P3/SER_summary!P$27)</f>
        <v>8.9742298814806336</v>
      </c>
      <c r="Q3" s="126">
        <f>IF(SER_hh_emih_in!Q3=0,0,SER_hh_emih_in!Q3/SER_summary!Q$27)</f>
        <v>7.8917840830817854</v>
      </c>
      <c r="R3" s="126">
        <f>IF(SER_hh_emih_in!R3=0,0,SER_hh_emih_in!R3/SER_summary!R$27)</f>
        <v>7.8883297929665055</v>
      </c>
      <c r="S3" s="126">
        <f>IF(SER_hh_emih_in!S3=0,0,SER_hh_emih_in!S3/SER_summary!S$27)</f>
        <v>8.8903321944848539</v>
      </c>
      <c r="T3" s="126">
        <f>IF(SER_hh_emih_in!T3=0,0,SER_hh_emih_in!T3/SER_summary!T$27)</f>
        <v>6.6810669739153594</v>
      </c>
      <c r="U3" s="126">
        <f>IF(SER_hh_emih_in!U3=0,0,SER_hh_emih_in!U3/SER_summary!U$27)</f>
        <v>6.2539373660211428</v>
      </c>
      <c r="V3" s="126">
        <f>IF(SER_hh_emih_in!V3=0,0,SER_hh_emih_in!V3/SER_summary!V$27)</f>
        <v>3.7247136396316969</v>
      </c>
      <c r="W3" s="126">
        <f>IF(SER_hh_emih_in!W3=0,0,SER_hh_emih_in!W3/SER_summary!W$27)</f>
        <v>5.7339461456521823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33.859657187153751</v>
      </c>
      <c r="D4" s="131">
        <f>IF(SER_hh_emih_in!D4=0,0,SER_hh_emih_in!D4/SER_summary!D$27)</f>
        <v>23.808566564435946</v>
      </c>
      <c r="E4" s="131">
        <f>IF(SER_hh_emih_in!E4=0,0,SER_hh_emih_in!E4/SER_summary!E$27)</f>
        <v>23.79431345074385</v>
      </c>
      <c r="F4" s="131">
        <f>IF(SER_hh_emih_in!F4=0,0,SER_hh_emih_in!F4/SER_summary!F$27)</f>
        <v>8.0951627116740781</v>
      </c>
      <c r="G4" s="131">
        <f>IF(SER_hh_emih_in!G4=0,0,SER_hh_emih_in!G4/SER_summary!G$27)</f>
        <v>7.3027015705843796</v>
      </c>
      <c r="H4" s="131">
        <f>IF(SER_hh_emih_in!H4=0,0,SER_hh_emih_in!H4/SER_summary!H$27)</f>
        <v>6.8459427218273596</v>
      </c>
      <c r="I4" s="131">
        <f>IF(SER_hh_emih_in!I4=0,0,SER_hh_emih_in!I4/SER_summary!I$27)</f>
        <v>2.454440016029658</v>
      </c>
      <c r="J4" s="131">
        <f>IF(SER_hh_emih_in!J4=0,0,SER_hh_emih_in!J4/SER_summary!J$27)</f>
        <v>6.7456461644083865E-2</v>
      </c>
      <c r="K4" s="131">
        <f>IF(SER_hh_emih_in!K4=0,0,SER_hh_emih_in!K4/SER_summary!K$27)</f>
        <v>2.10858408033525</v>
      </c>
      <c r="L4" s="131">
        <f>IF(SER_hh_emih_in!L4=0,0,SER_hh_emih_in!L4/SER_summary!L$27)</f>
        <v>3.9423115116761545</v>
      </c>
      <c r="M4" s="131">
        <f>IF(SER_hh_emih_in!M4=0,0,SER_hh_emih_in!M4/SER_summary!M$27)</f>
        <v>3.9267316052251493</v>
      </c>
      <c r="N4" s="131">
        <f>IF(SER_hh_emih_in!N4=0,0,SER_hh_emih_in!N4/SER_summary!N$27)</f>
        <v>7.558967103660585</v>
      </c>
      <c r="O4" s="131">
        <f>IF(SER_hh_emih_in!O4=0,0,SER_hh_emih_in!O4/SER_summary!O$27)</f>
        <v>10.031069278529271</v>
      </c>
      <c r="P4" s="131">
        <f>IF(SER_hh_emih_in!P4=0,0,SER_hh_emih_in!P4/SER_summary!P$27)</f>
        <v>6.9966065295721229</v>
      </c>
      <c r="Q4" s="131">
        <f>IF(SER_hh_emih_in!Q4=0,0,SER_hh_emih_in!Q4/SER_summary!Q$27)</f>
        <v>5.3013008816497829</v>
      </c>
      <c r="R4" s="131">
        <f>IF(SER_hh_emih_in!R4=0,0,SER_hh_emih_in!R4/SER_summary!R$27)</f>
        <v>5.5236846054578219</v>
      </c>
      <c r="S4" s="131">
        <f>IF(SER_hh_emih_in!S4=0,0,SER_hh_emih_in!S4/SER_summary!S$27)</f>
        <v>6.4178606343948994</v>
      </c>
      <c r="T4" s="131">
        <f>IF(SER_hh_emih_in!T4=0,0,SER_hh_emih_in!T4/SER_summary!T$27)</f>
        <v>4.5676048113030152</v>
      </c>
      <c r="U4" s="131">
        <f>IF(SER_hh_emih_in!U4=0,0,SER_hh_emih_in!U4/SER_summary!U$27)</f>
        <v>3.7750404204384953</v>
      </c>
      <c r="V4" s="131">
        <f>IF(SER_hh_emih_in!V4=0,0,SER_hh_emih_in!V4/SER_summary!V$27)</f>
        <v>1.7789229773037032</v>
      </c>
      <c r="W4" s="131">
        <f>IF(SER_hh_emih_in!W4=0,0,SER_hh_emih_in!W4/SER_summary!W$27)</f>
        <v>3.3998888460857697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16.619846279946714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51.392665369205204</v>
      </c>
      <c r="D7" s="133">
        <f>IF(SER_hh_emih_in!D7=0,0,SER_hh_emih_in!D7/SER_summary!D$27)</f>
        <v>48.64541438505352</v>
      </c>
      <c r="E7" s="133">
        <f>IF(SER_hh_emih_in!E7=0,0,SER_hh_emih_in!E7/SER_summary!E$27)</f>
        <v>57.822213936593336</v>
      </c>
      <c r="F7" s="133">
        <f>IF(SER_hh_emih_in!F7=0,0,SER_hh_emih_in!F7/SER_summary!F$27)</f>
        <v>40.095533764330192</v>
      </c>
      <c r="G7" s="133">
        <f>IF(SER_hh_emih_in!G7=0,0,SER_hh_emih_in!G7/SER_summary!G$27)</f>
        <v>50.352724398268322</v>
      </c>
      <c r="H7" s="133">
        <f>IF(SER_hh_emih_in!H7=0,0,SER_hh_emih_in!H7/SER_summary!H$27)</f>
        <v>50.358548449352526</v>
      </c>
      <c r="I7" s="133">
        <f>IF(SER_hh_emih_in!I7=0,0,SER_hh_emih_in!I7/SER_summary!I$27)</f>
        <v>35.065506007417341</v>
      </c>
      <c r="J7" s="133">
        <f>IF(SER_hh_emih_in!J7=0,0,SER_hh_emih_in!J7/SER_summary!J$27)</f>
        <v>0</v>
      </c>
      <c r="K7" s="133">
        <f>IF(SER_hh_emih_in!K7=0,0,SER_hh_emih_in!K7/SER_summary!K$27)</f>
        <v>0</v>
      </c>
      <c r="L7" s="133">
        <f>IF(SER_hh_emih_in!L7=0,0,SER_hh_emih_in!L7/SER_summary!L$27)</f>
        <v>0</v>
      </c>
      <c r="M7" s="133">
        <f>IF(SER_hh_emih_in!M7=0,0,SER_hh_emih_in!M7/SER_summary!M$27)</f>
        <v>0</v>
      </c>
      <c r="N7" s="133">
        <f>IF(SER_hh_emih_in!N7=0,0,SER_hh_emih_in!N7/SER_summary!N$27)</f>
        <v>0</v>
      </c>
      <c r="O7" s="133">
        <f>IF(SER_hh_emih_in!O7=0,0,SER_hh_emih_in!O7/SER_summary!O$27)</f>
        <v>25.436203857352091</v>
      </c>
      <c r="P7" s="133">
        <f>IF(SER_hh_emih_in!P7=0,0,SER_hh_emih_in!P7/SER_summary!P$27)</f>
        <v>24.43558293322716</v>
      </c>
      <c r="Q7" s="133">
        <f>IF(SER_hh_emih_in!Q7=0,0,SER_hh_emih_in!Q7/SER_summary!Q$27)</f>
        <v>22.80961474406104</v>
      </c>
      <c r="R7" s="133">
        <f>IF(SER_hh_emih_in!R7=0,0,SER_hh_emih_in!R7/SER_summary!R$27)</f>
        <v>19.492419257415261</v>
      </c>
      <c r="S7" s="133">
        <f>IF(SER_hh_emih_in!S7=0,0,SER_hh_emih_in!S7/SER_summary!S$27)</f>
        <v>25.859358666237814</v>
      </c>
      <c r="T7" s="133">
        <f>IF(SER_hh_emih_in!T7=0,0,SER_hh_emih_in!T7/SER_summary!T$27)</f>
        <v>21.629502876524668</v>
      </c>
      <c r="U7" s="133">
        <f>IF(SER_hh_emih_in!U7=0,0,SER_hh_emih_in!U7/SER_summary!U$27)</f>
        <v>19.608668016422659</v>
      </c>
      <c r="V7" s="133">
        <f>IF(SER_hh_emih_in!V7=0,0,SER_hh_emih_in!V7/SER_summary!V$27)</f>
        <v>18.593383945916333</v>
      </c>
      <c r="W7" s="133">
        <f>IF(SER_hh_emih_in!W7=0,0,SER_hh_emih_in!W7/SER_summary!W$27)</f>
        <v>22.924323002674939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18.978810323740174</v>
      </c>
      <c r="D8" s="133">
        <f>IF(SER_hh_emih_in!D8=0,0,SER_hh_emih_in!D8/SER_summary!D$27)</f>
        <v>16.584471601492599</v>
      </c>
      <c r="E8" s="133">
        <f>IF(SER_hh_emih_in!E8=0,0,SER_hh_emih_in!E8/SER_summary!E$27)</f>
        <v>17.922795259798715</v>
      </c>
      <c r="F8" s="133">
        <f>IF(SER_hh_emih_in!F8=0,0,SER_hh_emih_in!F8/SER_summary!F$27)</f>
        <v>16.731165482124958</v>
      </c>
      <c r="G8" s="133">
        <f>IF(SER_hh_emih_in!G8=0,0,SER_hh_emih_in!G8/SER_summary!G$27)</f>
        <v>14.511565431212524</v>
      </c>
      <c r="H8" s="133">
        <f>IF(SER_hh_emih_in!H8=0,0,SER_hh_emih_in!H8/SER_summary!H$27)</f>
        <v>14.395106768834998</v>
      </c>
      <c r="I8" s="133">
        <f>IF(SER_hh_emih_in!I8=0,0,SER_hh_emih_in!I8/SER_summary!I$27)</f>
        <v>10.820381168717489</v>
      </c>
      <c r="J8" s="133">
        <f>IF(SER_hh_emih_in!J8=0,0,SER_hh_emih_in!J8/SER_summary!J$27)</f>
        <v>11.643683425472688</v>
      </c>
      <c r="K8" s="133">
        <f>IF(SER_hh_emih_in!K8=0,0,SER_hh_emih_in!K8/SER_summary!K$27)</f>
        <v>9.197716811237191</v>
      </c>
      <c r="L8" s="133">
        <f>IF(SER_hh_emih_in!L8=0,0,SER_hh_emih_in!L8/SER_summary!L$27)</f>
        <v>8.6072605410135807</v>
      </c>
      <c r="M8" s="133">
        <f>IF(SER_hh_emih_in!M8=0,0,SER_hh_emih_in!M8/SER_summary!M$27)</f>
        <v>7.7492442143536762</v>
      </c>
      <c r="N8" s="133">
        <f>IF(SER_hh_emih_in!N8=0,0,SER_hh_emih_in!N8/SER_summary!N$27)</f>
        <v>7.1456217240544113</v>
      </c>
      <c r="O8" s="133">
        <f>IF(SER_hh_emih_in!O8=0,0,SER_hh_emih_in!O8/SER_summary!O$27)</f>
        <v>6.2880940147182613</v>
      </c>
      <c r="P8" s="133">
        <f>IF(SER_hh_emih_in!P8=0,0,SER_hh_emih_in!P8/SER_summary!P$27)</f>
        <v>5.5101273992920099</v>
      </c>
      <c r="Q8" s="133">
        <f>IF(SER_hh_emih_in!Q8=0,0,SER_hh_emih_in!Q8/SER_summary!Q$27)</f>
        <v>5.1890358088232666</v>
      </c>
      <c r="R8" s="133">
        <f>IF(SER_hh_emih_in!R8=0,0,SER_hh_emih_in!R8/SER_summary!R$27)</f>
        <v>5.0775648956618884</v>
      </c>
      <c r="S8" s="133">
        <f>IF(SER_hh_emih_in!S8=0,0,SER_hh_emih_in!S8/SER_summary!S$27)</f>
        <v>5.4970463566085552</v>
      </c>
      <c r="T8" s="133">
        <f>IF(SER_hh_emih_in!T8=0,0,SER_hh_emih_in!T8/SER_summary!T$27)</f>
        <v>5.0768745688927437</v>
      </c>
      <c r="U8" s="133">
        <f>IF(SER_hh_emih_in!U8=0,0,SER_hh_emih_in!U8/SER_summary!U$27)</f>
        <v>5.1853289607760917</v>
      </c>
      <c r="V8" s="133">
        <f>IF(SER_hh_emih_in!V8=0,0,SER_hh_emih_in!V8/SER_summary!V$27)</f>
        <v>4.3411855524753458</v>
      </c>
      <c r="W8" s="133">
        <f>IF(SER_hh_emih_in!W8=0,0,SER_hh_emih_in!W8/SER_summary!W$27)</f>
        <v>4.6403801965874294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34.943986825282536</v>
      </c>
      <c r="D9" s="133">
        <f>IF(SER_hh_emih_in!D9=0,0,SER_hh_emih_in!D9/SER_summary!D$27)</f>
        <v>29.933674912001795</v>
      </c>
      <c r="E9" s="133">
        <f>IF(SER_hh_emih_in!E9=0,0,SER_hh_emih_in!E9/SER_summary!E$27)</f>
        <v>34.212980694654874</v>
      </c>
      <c r="F9" s="133">
        <f>IF(SER_hh_emih_in!F9=0,0,SER_hh_emih_in!F9/SER_summary!F$27)</f>
        <v>0</v>
      </c>
      <c r="G9" s="133">
        <f>IF(SER_hh_emih_in!G9=0,0,SER_hh_emih_in!G9/SER_summary!G$27)</f>
        <v>0</v>
      </c>
      <c r="H9" s="133">
        <f>IF(SER_hh_emih_in!H9=0,0,SER_hh_emih_in!H9/SER_summary!H$27)</f>
        <v>0</v>
      </c>
      <c r="I9" s="133">
        <f>IF(SER_hh_emih_in!I9=0,0,SER_hh_emih_in!I9/SER_summary!I$27)</f>
        <v>0</v>
      </c>
      <c r="J9" s="133">
        <f>IF(SER_hh_emih_in!J9=0,0,SER_hh_emih_in!J9/SER_summary!J$27)</f>
        <v>0</v>
      </c>
      <c r="K9" s="133">
        <f>IF(SER_hh_emih_in!K9=0,0,SER_hh_emih_in!K9/SER_summary!K$27)</f>
        <v>20.437920497763752</v>
      </c>
      <c r="L9" s="133">
        <f>IF(SER_hh_emih_in!L9=0,0,SER_hh_emih_in!L9/SER_summary!L$27)</f>
        <v>22.173530658979576</v>
      </c>
      <c r="M9" s="133">
        <f>IF(SER_hh_emih_in!M9=0,0,SER_hh_emih_in!M9/SER_summary!M$27)</f>
        <v>18.011207885031396</v>
      </c>
      <c r="N9" s="133">
        <f>IF(SER_hh_emih_in!N9=0,0,SER_hh_emih_in!N9/SER_summary!N$27)</f>
        <v>20.494126680613391</v>
      </c>
      <c r="O9" s="133">
        <f>IF(SER_hh_emih_in!O9=0,0,SER_hh_emih_in!O9/SER_summary!O$27)</f>
        <v>20.099268862025909</v>
      </c>
      <c r="P9" s="133">
        <f>IF(SER_hh_emih_in!P9=0,0,SER_hh_emih_in!P9/SER_summary!P$27)</f>
        <v>14.379011762520618</v>
      </c>
      <c r="Q9" s="133">
        <f>IF(SER_hh_emih_in!Q9=0,0,SER_hh_emih_in!Q9/SER_summary!Q$27)</f>
        <v>15.967803328289897</v>
      </c>
      <c r="R9" s="133">
        <f>IF(SER_hh_emih_in!R9=0,0,SER_hh_emih_in!R9/SER_summary!R$27)</f>
        <v>14.055468681379036</v>
      </c>
      <c r="S9" s="133">
        <f>IF(SER_hh_emih_in!S9=0,0,SER_hh_emih_in!S9/SER_summary!S$27)</f>
        <v>15.441000034878563</v>
      </c>
      <c r="T9" s="133">
        <f>IF(SER_hh_emih_in!T9=0,0,SER_hh_emih_in!T9/SER_summary!T$27)</f>
        <v>14.048116240044768</v>
      </c>
      <c r="U9" s="133">
        <f>IF(SER_hh_emih_in!U9=0,0,SER_hh_emih_in!U9/SER_summary!U$27)</f>
        <v>14.767781508149254</v>
      </c>
      <c r="V9" s="133">
        <f>IF(SER_hh_emih_in!V9=0,0,SER_hh_emih_in!V9/SER_summary!V$27)</f>
        <v>0</v>
      </c>
      <c r="W9" s="133">
        <f>IF(SER_hh_emih_in!W9=0,0,SER_hh_emih_in!W9/SER_summary!W$27)</f>
        <v>15.798640050277271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15.871167361575909</v>
      </c>
      <c r="D10" s="133">
        <f>IF(SER_hh_emih_in!D10=0,0,SER_hh_emih_in!D10/SER_summary!D$27)</f>
        <v>15.222373430609956</v>
      </c>
      <c r="E10" s="133">
        <f>IF(SER_hh_emih_in!E10=0,0,SER_hh_emih_in!E10/SER_summary!E$27)</f>
        <v>16.118077601200046</v>
      </c>
      <c r="F10" s="133">
        <f>IF(SER_hh_emih_in!F10=0,0,SER_hh_emih_in!F10/SER_summary!F$27)</f>
        <v>12.75117591543996</v>
      </c>
      <c r="G10" s="133">
        <f>IF(SER_hh_emih_in!G10=0,0,SER_hh_emih_in!G10/SER_summary!G$27)</f>
        <v>25.70523297571626</v>
      </c>
      <c r="H10" s="133">
        <f>IF(SER_hh_emih_in!H10=0,0,SER_hh_emih_in!H10/SER_summary!H$27)</f>
        <v>17.491707181673998</v>
      </c>
      <c r="I10" s="133">
        <f>IF(SER_hh_emih_in!I10=0,0,SER_hh_emih_in!I10/SER_summary!I$27)</f>
        <v>7.8841638350057606</v>
      </c>
      <c r="J10" s="133">
        <f>IF(SER_hh_emih_in!J10=0,0,SER_hh_emih_in!J10/SER_summary!J$27)</f>
        <v>1.3051619083041963</v>
      </c>
      <c r="K10" s="133">
        <f>IF(SER_hh_emih_in!K10=0,0,SER_hh_emih_in!K10/SER_summary!K$27)</f>
        <v>1.2746761238177144</v>
      </c>
      <c r="L10" s="133">
        <f>IF(SER_hh_emih_in!L10=0,0,SER_hh_emih_in!L10/SER_summary!L$27)</f>
        <v>1.4399056951608966</v>
      </c>
      <c r="M10" s="133">
        <f>IF(SER_hh_emih_in!M10=0,0,SER_hh_emih_in!M10/SER_summary!M$27)</f>
        <v>1.2475248630264915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6.0021673650532611E-3</v>
      </c>
      <c r="D16" s="131">
        <f>IF(SER_hh_emih_in!D16=0,0,SER_hh_emih_in!D16/SER_summary!D$27)</f>
        <v>8.4891758004107705E-3</v>
      </c>
      <c r="E16" s="131">
        <f>IF(SER_hh_emih_in!E16=0,0,SER_hh_emih_in!E16/SER_summary!E$27)</f>
        <v>5.4352824148073998E-3</v>
      </c>
      <c r="F16" s="131">
        <f>IF(SER_hh_emih_in!F16=0,0,SER_hh_emih_in!F16/SER_summary!F$27)</f>
        <v>1.3208904517860732E-2</v>
      </c>
      <c r="G16" s="131">
        <f>IF(SER_hh_emih_in!G16=0,0,SER_hh_emih_in!G16/SER_summary!G$27)</f>
        <v>9.274707025585336E-3</v>
      </c>
      <c r="H16" s="131">
        <f>IF(SER_hh_emih_in!H16=0,0,SER_hh_emih_in!H16/SER_summary!H$27)</f>
        <v>8.8834329072773662E-3</v>
      </c>
      <c r="I16" s="131">
        <f>IF(SER_hh_emih_in!I16=0,0,SER_hh_emih_in!I16/SER_summary!I$27)</f>
        <v>1.3907351353652599E-2</v>
      </c>
      <c r="J16" s="131">
        <f>IF(SER_hh_emih_in!J16=0,0,SER_hh_emih_in!J16/SER_summary!J$27)</f>
        <v>1.3388316275024638E-2</v>
      </c>
      <c r="K16" s="131">
        <f>IF(SER_hh_emih_in!K16=0,0,SER_hh_emih_in!K16/SER_summary!K$27)</f>
        <v>2.6870612575095237E-2</v>
      </c>
      <c r="L16" s="131">
        <f>IF(SER_hh_emih_in!L16=0,0,SER_hh_emih_in!L16/SER_summary!L$27)</f>
        <v>1.3602262407956277E-2</v>
      </c>
      <c r="M16" s="131">
        <f>IF(SER_hh_emih_in!M16=0,0,SER_hh_emih_in!M16/SER_summary!M$27)</f>
        <v>1.5498506535382556E-2</v>
      </c>
      <c r="N16" s="131">
        <f>IF(SER_hh_emih_in!N16=0,0,SER_hh_emih_in!N16/SER_summary!N$27)</f>
        <v>2.0894230696980501E-2</v>
      </c>
      <c r="O16" s="131">
        <f>IF(SER_hh_emih_in!O16=0,0,SER_hh_emih_in!O16/SER_summary!O$27)</f>
        <v>2.3002562587875926E-2</v>
      </c>
      <c r="P16" s="131">
        <f>IF(SER_hh_emih_in!P16=0,0,SER_hh_emih_in!P16/SER_summary!P$27)</f>
        <v>2.3626618522636707E-2</v>
      </c>
      <c r="Q16" s="131">
        <f>IF(SER_hh_emih_in!Q16=0,0,SER_hh_emih_in!Q16/SER_summary!Q$27)</f>
        <v>2.8794860023104808E-2</v>
      </c>
      <c r="R16" s="131">
        <f>IF(SER_hh_emih_in!R16=0,0,SER_hh_emih_in!R16/SER_summary!R$27)</f>
        <v>1.9099300543967374E-2</v>
      </c>
      <c r="S16" s="131">
        <f>IF(SER_hh_emih_in!S16=0,0,SER_hh_emih_in!S16/SER_summary!S$27)</f>
        <v>3.0216762828917713E-2</v>
      </c>
      <c r="T16" s="131">
        <f>IF(SER_hh_emih_in!T16=0,0,SER_hh_emih_in!T16/SER_summary!T$27)</f>
        <v>2.5153368127108333E-2</v>
      </c>
      <c r="U16" s="131">
        <f>IF(SER_hh_emih_in!U16=0,0,SER_hh_emih_in!U16/SER_summary!U$27)</f>
        <v>3.6746901441320888E-2</v>
      </c>
      <c r="V16" s="131">
        <f>IF(SER_hh_emih_in!V16=0,0,SER_hh_emih_in!V16/SER_summary!V$27)</f>
        <v>1.7664074067197801E-2</v>
      </c>
      <c r="W16" s="131">
        <f>IF(SER_hh_emih_in!W16=0,0,SER_hh_emih_in!W16/SER_summary!W$27)</f>
        <v>2.3038956666411144E-2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3.4510976071201882</v>
      </c>
      <c r="D17" s="133">
        <f>IF(SER_hh_emih_in!D17=0,0,SER_hh_emih_in!D17/SER_summary!D$27)</f>
        <v>3.4380862660592717</v>
      </c>
      <c r="E17" s="133">
        <f>IF(SER_hh_emih_in!E17=0,0,SER_hh_emih_in!E17/SER_summary!E$27)</f>
        <v>3.8037173891020144</v>
      </c>
      <c r="F17" s="133">
        <f>IF(SER_hh_emih_in!F17=0,0,SER_hh_emih_in!F17/SER_summary!F$27)</f>
        <v>3.3571766070876645</v>
      </c>
      <c r="G17" s="133">
        <f>IF(SER_hh_emih_in!G17=0,0,SER_hh_emih_in!G17/SER_summary!G$27)</f>
        <v>3.3629752565573678</v>
      </c>
      <c r="H17" s="133">
        <f>IF(SER_hh_emih_in!H17=0,0,SER_hh_emih_in!H17/SER_summary!H$27)</f>
        <v>3.5012877129724727</v>
      </c>
      <c r="I17" s="133">
        <f>IF(SER_hh_emih_in!I17=0,0,SER_hh_emih_in!I17/SER_summary!I$27)</f>
        <v>3.4692679846114065</v>
      </c>
      <c r="J17" s="133">
        <f>IF(SER_hh_emih_in!J17=0,0,SER_hh_emih_in!J17/SER_summary!J$27)</f>
        <v>3.3293858459179173</v>
      </c>
      <c r="K17" s="133">
        <f>IF(SER_hh_emih_in!K17=0,0,SER_hh_emih_in!K17/SER_summary!K$27)</f>
        <v>3.3163665213617972</v>
      </c>
      <c r="L17" s="133">
        <f>IF(SER_hh_emih_in!L17=0,0,SER_hh_emih_in!L17/SER_summary!L$27)</f>
        <v>3.397370180397449</v>
      </c>
      <c r="M17" s="133">
        <f>IF(SER_hh_emih_in!M17=0,0,SER_hh_emih_in!M17/SER_summary!M$27)</f>
        <v>3.5277737517348067</v>
      </c>
      <c r="N17" s="133">
        <f>IF(SER_hh_emih_in!N17=0,0,SER_hh_emih_in!N17/SER_summary!N$27)</f>
        <v>3.3417135311452957</v>
      </c>
      <c r="O17" s="133">
        <f>IF(SER_hh_emih_in!O17=0,0,SER_hh_emih_in!O17/SER_summary!O$27)</f>
        <v>3.484759601677299</v>
      </c>
      <c r="P17" s="133">
        <f>IF(SER_hh_emih_in!P17=0,0,SER_hh_emih_in!P17/SER_summary!P$27)</f>
        <v>2.9914984884614242</v>
      </c>
      <c r="Q17" s="133">
        <f>IF(SER_hh_emih_in!Q17=0,0,SER_hh_emih_in!Q17/SER_summary!Q$27)</f>
        <v>3.5551626032859844</v>
      </c>
      <c r="R17" s="133">
        <f>IF(SER_hh_emih_in!R17=0,0,SER_hh_emih_in!R17/SER_summary!R$27)</f>
        <v>2.8816728128660083</v>
      </c>
      <c r="S17" s="133">
        <f>IF(SER_hh_emih_in!S17=0,0,SER_hh_emih_in!S17/SER_summary!S$27)</f>
        <v>3.0384917814896246</v>
      </c>
      <c r="T17" s="133">
        <f>IF(SER_hh_emih_in!T17=0,0,SER_hh_emih_in!T17/SER_summary!T$27)</f>
        <v>2.9234217660549184</v>
      </c>
      <c r="U17" s="133">
        <f>IF(SER_hh_emih_in!U17=0,0,SER_hh_emih_in!U17/SER_summary!U$27)</f>
        <v>2.9451284447705111</v>
      </c>
      <c r="V17" s="133">
        <f>IF(SER_hh_emih_in!V17=0,0,SER_hh_emih_in!V17/SER_summary!V$27)</f>
        <v>2.6127836843003376</v>
      </c>
      <c r="W17" s="133">
        <f>IF(SER_hh_emih_in!W17=0,0,SER_hh_emih_in!W17/SER_summary!W$27)</f>
        <v>2.6091144775424393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1.1969947716900668</v>
      </c>
      <c r="D19" s="131">
        <f>IF(SER_hh_emih_in!D19=0,0,SER_hh_emih_in!D19/SER_summary!D$27)</f>
        <v>2.0762195287364729</v>
      </c>
      <c r="E19" s="131">
        <f>IF(SER_hh_emih_in!E19=0,0,SER_hh_emih_in!E19/SER_summary!E$27)</f>
        <v>1.21052605554736</v>
      </c>
      <c r="F19" s="131">
        <f>IF(SER_hh_emih_in!F19=0,0,SER_hh_emih_in!F19/SER_summary!F$27)</f>
        <v>1.5343752226151279</v>
      </c>
      <c r="G19" s="131">
        <f>IF(SER_hh_emih_in!G19=0,0,SER_hh_emih_in!G19/SER_summary!G$27)</f>
        <v>1.1796107433382503</v>
      </c>
      <c r="H19" s="131">
        <f>IF(SER_hh_emih_in!H19=0,0,SER_hh_emih_in!H19/SER_summary!H$27)</f>
        <v>1.1239553868309207</v>
      </c>
      <c r="I19" s="131">
        <f>IF(SER_hh_emih_in!I19=0,0,SER_hh_emih_in!I19/SER_summary!I$27)</f>
        <v>0.70293875779125148</v>
      </c>
      <c r="J19" s="131">
        <f>IF(SER_hh_emih_in!J19=0,0,SER_hh_emih_in!J19/SER_summary!J$27)</f>
        <v>0.44219274383612389</v>
      </c>
      <c r="K19" s="131">
        <f>IF(SER_hh_emih_in!K19=0,0,SER_hh_emih_in!K19/SER_summary!K$27)</f>
        <v>1.0563845092679256</v>
      </c>
      <c r="L19" s="131">
        <f>IF(SER_hh_emih_in!L19=0,0,SER_hh_emih_in!L19/SER_summary!L$27)</f>
        <v>0.3837827298995225</v>
      </c>
      <c r="M19" s="131">
        <f>IF(SER_hh_emih_in!M19=0,0,SER_hh_emih_in!M19/SER_summary!M$27)</f>
        <v>0.49670792934044844</v>
      </c>
      <c r="N19" s="131">
        <f>IF(SER_hh_emih_in!N19=0,0,SER_hh_emih_in!N19/SER_summary!N$27)</f>
        <v>0.49376133235400183</v>
      </c>
      <c r="O19" s="131">
        <f>IF(SER_hh_emih_in!O19=0,0,SER_hh_emih_in!O19/SER_summary!O$27)</f>
        <v>1.1318909982662109</v>
      </c>
      <c r="P19" s="131">
        <f>IF(SER_hh_emih_in!P19=0,0,SER_hh_emih_in!P19/SER_summary!P$27)</f>
        <v>0.32114002259446767</v>
      </c>
      <c r="Q19" s="131">
        <f>IF(SER_hh_emih_in!Q19=0,0,SER_hh_emih_in!Q19/SER_summary!Q$27)</f>
        <v>0.72711713887142393</v>
      </c>
      <c r="R19" s="131">
        <f>IF(SER_hh_emih_in!R19=0,0,SER_hh_emih_in!R19/SER_summary!R$27)</f>
        <v>0.82636100854891859</v>
      </c>
      <c r="S19" s="131">
        <f>IF(SER_hh_emih_in!S19=0,0,SER_hh_emih_in!S19/SER_summary!S$27)</f>
        <v>0.68079675579021726</v>
      </c>
      <c r="T19" s="131">
        <f>IF(SER_hh_emih_in!T19=0,0,SER_hh_emih_in!T19/SER_summary!T$27)</f>
        <v>0.58166492203735953</v>
      </c>
      <c r="U19" s="131">
        <f>IF(SER_hh_emih_in!U19=0,0,SER_hh_emih_in!U19/SER_summary!U$27)</f>
        <v>0.88017402588496829</v>
      </c>
      <c r="V19" s="131">
        <f>IF(SER_hh_emih_in!V19=0,0,SER_hh_emih_in!V19/SER_summary!V$27)</f>
        <v>0.45889036980916792</v>
      </c>
      <c r="W19" s="131">
        <f>IF(SER_hh_emih_in!W19=0,0,SER_hh_emih_in!W19/SER_summary!W$27)</f>
        <v>0.7925434741628552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2.5116745831280474</v>
      </c>
      <c r="D21" s="133">
        <f>IF(SER_hh_emih_in!D21=0,0,SER_hh_emih_in!D21/SER_summary!D$27)</f>
        <v>5.1875552272006402</v>
      </c>
      <c r="E21" s="133">
        <f>IF(SER_hh_emih_in!E21=0,0,SER_hh_emih_in!E21/SER_summary!E$27)</f>
        <v>4.1680419724681563</v>
      </c>
      <c r="F21" s="133">
        <f>IF(SER_hh_emih_in!F21=0,0,SER_hh_emih_in!F21/SER_summary!F$27)</f>
        <v>5.3501754855605226</v>
      </c>
      <c r="G21" s="133">
        <f>IF(SER_hh_emih_in!G21=0,0,SER_hh_emih_in!G21/SER_summary!G$27)</f>
        <v>6.0145383884566739</v>
      </c>
      <c r="H21" s="133">
        <f>IF(SER_hh_emih_in!H21=0,0,SER_hh_emih_in!H21/SER_summary!H$27)</f>
        <v>5.9768723823982119</v>
      </c>
      <c r="I21" s="133">
        <f>IF(SER_hh_emih_in!I21=0,0,SER_hh_emih_in!I21/SER_summary!I$27)</f>
        <v>4.7762714305613709</v>
      </c>
      <c r="J21" s="133">
        <f>IF(SER_hh_emih_in!J21=0,0,SER_hh_emih_in!J21/SER_summary!J$27)</f>
        <v>0</v>
      </c>
      <c r="K21" s="133">
        <f>IF(SER_hh_emih_in!K21=0,0,SER_hh_emih_in!K21/SER_summary!K$27)</f>
        <v>6.24493836136425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4.0985354968424366</v>
      </c>
      <c r="D22" s="133">
        <f>IF(SER_hh_emih_in!D22=0,0,SER_hh_emih_in!D22/SER_summary!D$27)</f>
        <v>6.489814460193557</v>
      </c>
      <c r="E22" s="133">
        <f>IF(SER_hh_emih_in!E22=0,0,SER_hh_emih_in!E22/SER_summary!E$27)</f>
        <v>3.2849378507950031</v>
      </c>
      <c r="F22" s="133">
        <f>IF(SER_hh_emih_in!F22=0,0,SER_hh_emih_in!F22/SER_summary!F$27)</f>
        <v>6.5529748675047585</v>
      </c>
      <c r="G22" s="133">
        <f>IF(SER_hh_emih_in!G22=0,0,SER_hh_emih_in!G22/SER_summary!G$27)</f>
        <v>7.3878767811035182</v>
      </c>
      <c r="H22" s="133">
        <f>IF(SER_hh_emih_in!H22=0,0,SER_hh_emih_in!H22/SER_summary!H$27)</f>
        <v>7.2592595421588619</v>
      </c>
      <c r="I22" s="133">
        <f>IF(SER_hh_emih_in!I22=0,0,SER_hh_emih_in!I22/SER_summary!I$27)</f>
        <v>5.736555264658814</v>
      </c>
      <c r="J22" s="133">
        <f>IF(SER_hh_emih_in!J22=0,0,SER_hh_emih_in!J22/SER_summary!J$27)</f>
        <v>3.4348187108816646</v>
      </c>
      <c r="K22" s="133">
        <f>IF(SER_hh_emih_in!K22=0,0,SER_hh_emih_in!K22/SER_summary!K$27)</f>
        <v>7.3476622742977984</v>
      </c>
      <c r="L22" s="133">
        <f>IF(SER_hh_emih_in!L22=0,0,SER_hh_emih_in!L22/SER_summary!L$27)</f>
        <v>2.0325122651171115</v>
      </c>
      <c r="M22" s="133">
        <f>IF(SER_hh_emih_in!M22=0,0,SER_hh_emih_in!M22/SER_summary!M$27)</f>
        <v>2.8638300071301237</v>
      </c>
      <c r="N22" s="133">
        <f>IF(SER_hh_emih_in!N22=0,0,SER_hh_emih_in!N22/SER_summary!N$27)</f>
        <v>3.4099039666130553</v>
      </c>
      <c r="O22" s="133">
        <f>IF(SER_hh_emih_in!O22=0,0,SER_hh_emih_in!O22/SER_summary!O$27)</f>
        <v>6.9071893875262331</v>
      </c>
      <c r="P22" s="133">
        <f>IF(SER_hh_emih_in!P22=0,0,SER_hh_emih_in!P22/SER_summary!P$27)</f>
        <v>0</v>
      </c>
      <c r="Q22" s="133">
        <f>IF(SER_hh_emih_in!Q22=0,0,SER_hh_emih_in!Q22/SER_summary!Q$27)</f>
        <v>6.1499463033297275</v>
      </c>
      <c r="R22" s="133">
        <f>IF(SER_hh_emih_in!R22=0,0,SER_hh_emih_in!R22/SER_summary!R$27)</f>
        <v>5.9450895526922016</v>
      </c>
      <c r="S22" s="133">
        <f>IF(SER_hh_emih_in!S22=0,0,SER_hh_emih_in!S22/SER_summary!S$27)</f>
        <v>3.6716201909043686</v>
      </c>
      <c r="T22" s="133">
        <f>IF(SER_hh_emih_in!T22=0,0,SER_hh_emih_in!T22/SER_summary!T$27)</f>
        <v>3.2592852582103524</v>
      </c>
      <c r="U22" s="133">
        <f>IF(SER_hh_emih_in!U22=0,0,SER_hh_emih_in!U22/SER_summary!U$27)</f>
        <v>5.4746177459134753</v>
      </c>
      <c r="V22" s="133">
        <f>IF(SER_hh_emih_in!V22=0,0,SER_hh_emih_in!V22/SER_summary!V$27)</f>
        <v>3.4942768439667304</v>
      </c>
      <c r="W22" s="133">
        <f>IF(SER_hh_emih_in!W22=0,0,SER_hh_emih_in!W22/SER_summary!W$27)</f>
        <v>5.169138467121436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2.7026120338842348</v>
      </c>
      <c r="D23" s="133">
        <f>IF(SER_hh_emih_in!D23=0,0,SER_hh_emih_in!D23/SER_summary!D$27)</f>
        <v>4.4272246303493494</v>
      </c>
      <c r="E23" s="133">
        <f>IF(SER_hh_emih_in!E23=0,0,SER_hh_emih_in!E23/SER_summary!E$27)</f>
        <v>2.641159281104589</v>
      </c>
      <c r="F23" s="133">
        <f>IF(SER_hh_emih_in!F23=0,0,SER_hh_emih_in!F23/SER_summary!F$27)</f>
        <v>4.425930726152485</v>
      </c>
      <c r="G23" s="133">
        <f>IF(SER_hh_emih_in!G23=0,0,SER_hh_emih_in!G23/SER_summary!G$27)</f>
        <v>5.0071998103667008</v>
      </c>
      <c r="H23" s="133">
        <f>IF(SER_hh_emih_in!H23=0,0,SER_hh_emih_in!H23/SER_summary!H$27)</f>
        <v>4.9476131513888308</v>
      </c>
      <c r="I23" s="133">
        <f>IF(SER_hh_emih_in!I23=0,0,SER_hh_emih_in!I23/SER_summary!I$27)</f>
        <v>3.8956798452117178</v>
      </c>
      <c r="J23" s="133">
        <f>IF(SER_hh_emih_in!J23=0,0,SER_hh_emih_in!J23/SER_summary!J$27)</f>
        <v>2.7234068384961958</v>
      </c>
      <c r="K23" s="133">
        <f>IF(SER_hh_emih_in!K23=0,0,SER_hh_emih_in!K23/SER_summary!K$27)</f>
        <v>4.8618500580366861</v>
      </c>
      <c r="L23" s="133">
        <f>IF(SER_hh_emih_in!L23=0,0,SER_hh_emih_in!L23/SER_summary!L$27)</f>
        <v>2.073079078295522</v>
      </c>
      <c r="M23" s="133">
        <f>IF(SER_hh_emih_in!M23=0,0,SER_hh_emih_in!M23/SER_summary!M$27)</f>
        <v>2.4677975120444282</v>
      </c>
      <c r="N23" s="133">
        <f>IF(SER_hh_emih_in!N23=0,0,SER_hh_emih_in!N23/SER_summary!N$27)</f>
        <v>2.813877269182572</v>
      </c>
      <c r="O23" s="133">
        <f>IF(SER_hh_emih_in!O23=0,0,SER_hh_emih_in!O23/SER_summary!O$27)</f>
        <v>4.889524123262448</v>
      </c>
      <c r="P23" s="133">
        <f>IF(SER_hh_emih_in!P23=0,0,SER_hh_emih_in!P23/SER_summary!P$27)</f>
        <v>3.0997058408892575</v>
      </c>
      <c r="Q23" s="133">
        <f>IF(SER_hh_emih_in!Q23=0,0,SER_hh_emih_in!Q23/SER_summary!Q$27)</f>
        <v>4.577823876947348</v>
      </c>
      <c r="R23" s="133">
        <f>IF(SER_hh_emih_in!R23=0,0,SER_hh_emih_in!R23/SER_summary!R$27)</f>
        <v>4.3856766778882008</v>
      </c>
      <c r="S23" s="133">
        <f>IF(SER_hh_emih_in!S23=0,0,SER_hh_emih_in!S23/SER_summary!S$27)</f>
        <v>2.6582363188797142</v>
      </c>
      <c r="T23" s="133">
        <f>IF(SER_hh_emih_in!T23=0,0,SER_hh_emih_in!T23/SER_summary!T$27)</f>
        <v>2.3692950187493249</v>
      </c>
      <c r="U23" s="133">
        <f>IF(SER_hh_emih_in!U23=0,0,SER_hh_emih_in!U23/SER_summary!U$27)</f>
        <v>4.0242001668107896</v>
      </c>
      <c r="V23" s="133">
        <f>IF(SER_hh_emih_in!V23=0,0,SER_hh_emih_in!V23/SER_summary!V$27)</f>
        <v>2.6865698352403324</v>
      </c>
      <c r="W23" s="133">
        <f>IF(SER_hh_emih_in!W23=0,0,SER_hh_emih_in!W23/SER_summary!W$27)</f>
        <v>3.8149406738390339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1.253195897288621</v>
      </c>
      <c r="D24" s="133">
        <f>IF(SER_hh_emih_in!D24=0,0,SER_hh_emih_in!D24/SER_summary!D$27)</f>
        <v>1.9854940531017551</v>
      </c>
      <c r="E24" s="133">
        <f>IF(SER_hh_emih_in!E24=0,0,SER_hh_emih_in!E24/SER_summary!E$27)</f>
        <v>0.94324969266943193</v>
      </c>
      <c r="F24" s="133">
        <f>IF(SER_hh_emih_in!F24=0,0,SER_hh_emih_in!F24/SER_summary!F$27)</f>
        <v>1.3334317237265376</v>
      </c>
      <c r="G24" s="133">
        <f>IF(SER_hh_emih_in!G24=0,0,SER_hh_emih_in!G24/SER_summary!G$27)</f>
        <v>3.7480577261744314</v>
      </c>
      <c r="H24" s="133">
        <f>IF(SER_hh_emih_in!H24=0,0,SER_hh_emih_in!H24/SER_summary!H$27)</f>
        <v>2.3245394679642875</v>
      </c>
      <c r="I24" s="133">
        <f>IF(SER_hh_emih_in!I24=0,0,SER_hh_emih_in!I24/SER_summary!I$27)</f>
        <v>0.87981472245343939</v>
      </c>
      <c r="J24" s="133">
        <f>IF(SER_hh_emih_in!J24=0,0,SER_hh_emih_in!J24/SER_summary!J$27)</f>
        <v>0.12150624576535375</v>
      </c>
      <c r="K24" s="133">
        <f>IF(SER_hh_emih_in!K24=0,0,SER_hh_emih_in!K24/SER_summary!K$27)</f>
        <v>0.22167362296599338</v>
      </c>
      <c r="L24" s="133">
        <f>IF(SER_hh_emih_in!L24=0,0,SER_hh_emih_in!L24/SER_summary!L$27)</f>
        <v>8.8320655783870203E-2</v>
      </c>
      <c r="M24" s="133">
        <f>IF(SER_hh_emih_in!M24=0,0,SER_hh_emih_in!M24/SER_summary!M$27)</f>
        <v>0.11149656949037598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2.0388878780258772</v>
      </c>
      <c r="D29" s="131">
        <f>IF(SER_hh_emih_in!D29=0,0,SER_hh_emih_in!D29/SER_summary!D$27)</f>
        <v>4.193721644435171</v>
      </c>
      <c r="E29" s="131">
        <f>IF(SER_hh_emih_in!E29=0,0,SER_hh_emih_in!E29/SER_summary!E$27)</f>
        <v>3.8814524839488285</v>
      </c>
      <c r="F29" s="131">
        <f>IF(SER_hh_emih_in!F29=0,0,SER_hh_emih_in!F29/SER_summary!F$27)</f>
        <v>2.5504903077295813</v>
      </c>
      <c r="G29" s="131">
        <f>IF(SER_hh_emih_in!G29=0,0,SER_hh_emih_in!G29/SER_summary!G$27)</f>
        <v>1.9056272368853184</v>
      </c>
      <c r="H29" s="131">
        <f>IF(SER_hh_emih_in!H29=0,0,SER_hh_emih_in!H29/SER_summary!H$27)</f>
        <v>1.3773612161570652</v>
      </c>
      <c r="I29" s="131">
        <f>IF(SER_hh_emih_in!I29=0,0,SER_hh_emih_in!I29/SER_summary!I$27)</f>
        <v>1.0724099320035656</v>
      </c>
      <c r="J29" s="131">
        <f>IF(SER_hh_emih_in!J29=0,0,SER_hh_emih_in!J29/SER_summary!J$27)</f>
        <v>1.5871446090891568</v>
      </c>
      <c r="K29" s="131">
        <f>IF(SER_hh_emih_in!K29=0,0,SER_hh_emih_in!K29/SER_summary!K$27)</f>
        <v>2.3728463696649369</v>
      </c>
      <c r="L29" s="131">
        <f>IF(SER_hh_emih_in!L29=0,0,SER_hh_emih_in!L29/SER_summary!L$27)</f>
        <v>2.2394473484716628</v>
      </c>
      <c r="M29" s="131">
        <f>IF(SER_hh_emih_in!M29=0,0,SER_hh_emih_in!M29/SER_summary!M$27)</f>
        <v>1.4699906999633334</v>
      </c>
      <c r="N29" s="131">
        <f>IF(SER_hh_emih_in!N29=0,0,SER_hh_emih_in!N29/SER_summary!N$27)</f>
        <v>1.07353454311344</v>
      </c>
      <c r="O29" s="131">
        <f>IF(SER_hh_emih_in!O29=0,0,SER_hh_emih_in!O29/SER_summary!O$27)</f>
        <v>1.4429441849053311</v>
      </c>
      <c r="P29" s="131">
        <f>IF(SER_hh_emih_in!P29=0,0,SER_hh_emih_in!P29/SER_summary!P$27)</f>
        <v>1.632856710791406</v>
      </c>
      <c r="Q29" s="131">
        <f>IF(SER_hh_emih_in!Q29=0,0,SER_hh_emih_in!Q29/SER_summary!Q$27)</f>
        <v>1.8345712025374739</v>
      </c>
      <c r="R29" s="131">
        <f>IF(SER_hh_emih_in!R29=0,0,SER_hh_emih_in!R29/SER_summary!R$27)</f>
        <v>1.5191848784157975</v>
      </c>
      <c r="S29" s="131">
        <f>IF(SER_hh_emih_in!S29=0,0,SER_hh_emih_in!S29/SER_summary!S$27)</f>
        <v>1.7614580414708212</v>
      </c>
      <c r="T29" s="131">
        <f>IF(SER_hh_emih_in!T29=0,0,SER_hh_emih_in!T29/SER_summary!T$27)</f>
        <v>1.506643872447877</v>
      </c>
      <c r="U29" s="131">
        <f>IF(SER_hh_emih_in!U29=0,0,SER_hh_emih_in!U29/SER_summary!U$27)</f>
        <v>1.5619760182563576</v>
      </c>
      <c r="V29" s="131">
        <f>IF(SER_hh_emih_in!V29=0,0,SER_hh_emih_in!V29/SER_summary!V$27)</f>
        <v>1.4692362184516281</v>
      </c>
      <c r="W29" s="131">
        <f>IF(SER_hh_emih_in!W29=0,0,SER_hh_emih_in!W29/SER_summary!W$27)</f>
        <v>1.5184748687371445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2.6943571475964436</v>
      </c>
      <c r="D30" s="133">
        <f>IF(SER_hh_emih_in!D30=0,0,SER_hh_emih_in!D30/SER_summary!D$27)</f>
        <v>5.5705888007996824</v>
      </c>
      <c r="E30" s="133">
        <f>IF(SER_hh_emih_in!E30=0,0,SER_hh_emih_in!E30/SER_summary!E$27)</f>
        <v>5.8300271748245107</v>
      </c>
      <c r="F30" s="133">
        <f>IF(SER_hh_emih_in!F30=0,0,SER_hh_emih_in!F30/SER_summary!F$27)</f>
        <v>6.9661117358243052</v>
      </c>
      <c r="G30" s="133">
        <f>IF(SER_hh_emih_in!G30=0,0,SER_hh_emih_in!G30/SER_summary!G$27)</f>
        <v>5.1732092612895739</v>
      </c>
      <c r="H30" s="133">
        <f>IF(SER_hh_emih_in!H30=0,0,SER_hh_emih_in!H30/SER_summary!H$27)</f>
        <v>5.5042668645385744</v>
      </c>
      <c r="I30" s="133">
        <f>IF(SER_hh_emih_in!I30=0,0,SER_hh_emih_in!I30/SER_summary!I$27)</f>
        <v>0</v>
      </c>
      <c r="J30" s="133">
        <f>IF(SER_hh_emih_in!J30=0,0,SER_hh_emih_in!J30/SER_summary!J$27)</f>
        <v>3.4355832756224634</v>
      </c>
      <c r="K30" s="133">
        <f>IF(SER_hh_emih_in!K30=0,0,SER_hh_emih_in!K30/SER_summary!K$27)</f>
        <v>4.2935787255743145</v>
      </c>
      <c r="L30" s="133">
        <f>IF(SER_hh_emih_in!L30=0,0,SER_hh_emih_in!L30/SER_summary!L$27)</f>
        <v>7.152893691417896</v>
      </c>
      <c r="M30" s="133">
        <f>IF(SER_hh_emih_in!M30=0,0,SER_hh_emih_in!M30/SER_summary!M$27)</f>
        <v>0</v>
      </c>
      <c r="N30" s="133">
        <f>IF(SER_hh_emih_in!N30=0,0,SER_hh_emih_in!N30/SER_summary!N$27)</f>
        <v>0</v>
      </c>
      <c r="O30" s="133">
        <f>IF(SER_hh_emih_in!O30=0,0,SER_hh_emih_in!O30/SER_summary!O$27)</f>
        <v>0</v>
      </c>
      <c r="P30" s="133">
        <f>IF(SER_hh_emih_in!P30=0,0,SER_hh_emih_in!P30/SER_summary!P$27)</f>
        <v>0</v>
      </c>
      <c r="Q30" s="133">
        <f>IF(SER_hh_emih_in!Q30=0,0,SER_hh_emih_in!Q30/SER_summary!Q$27)</f>
        <v>4.7659165407646062</v>
      </c>
      <c r="R30" s="133">
        <f>IF(SER_hh_emih_in!R30=0,0,SER_hh_emih_in!R30/SER_summary!R$27)</f>
        <v>3.5034287275246649</v>
      </c>
      <c r="S30" s="133">
        <f>IF(SER_hh_emih_in!S30=0,0,SER_hh_emih_in!S30/SER_summary!S$27)</f>
        <v>6.4294612961990509</v>
      </c>
      <c r="T30" s="133">
        <f>IF(SER_hh_emih_in!T30=0,0,SER_hh_emih_in!T30/SER_summary!T$27)</f>
        <v>5.1630969647059812</v>
      </c>
      <c r="U30" s="133">
        <f>IF(SER_hh_emih_in!U30=0,0,SER_hh_emih_in!U30/SER_summary!U$27)</f>
        <v>5.1175186364443235</v>
      </c>
      <c r="V30" s="133">
        <f>IF(SER_hh_emih_in!V30=0,0,SER_hh_emih_in!V30/SER_summary!V$27)</f>
        <v>4.7473788609812129</v>
      </c>
      <c r="W30" s="133">
        <f>IF(SER_hh_emih_in!W30=0,0,SER_hh_emih_in!W30/SER_summary!W$27)</f>
        <v>5.1840075313513916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4.2239994910773548</v>
      </c>
      <c r="D31" s="133">
        <f>IF(SER_hh_emih_in!D31=0,0,SER_hh_emih_in!D31/SER_summary!D$27)</f>
        <v>4.3914288418326368</v>
      </c>
      <c r="E31" s="133">
        <f>IF(SER_hh_emih_in!E31=0,0,SER_hh_emih_in!E31/SER_summary!E$27)</f>
        <v>4.4499234832961898</v>
      </c>
      <c r="F31" s="133">
        <f>IF(SER_hh_emih_in!F31=0,0,SER_hh_emih_in!F31/SER_summary!F$27)</f>
        <v>4.5594318029963983</v>
      </c>
      <c r="G31" s="133">
        <f>IF(SER_hh_emih_in!G31=0,0,SER_hh_emih_in!G31/SER_summary!G$27)</f>
        <v>4.5342606418721312</v>
      </c>
      <c r="H31" s="133">
        <f>IF(SER_hh_emih_in!H31=0,0,SER_hh_emih_in!H31/SER_summary!H$27)</f>
        <v>4.4720793150196627</v>
      </c>
      <c r="I31" s="133">
        <f>IF(SER_hh_emih_in!I31=0,0,SER_hh_emih_in!I31/SER_summary!I$27)</f>
        <v>4.4135427477693803</v>
      </c>
      <c r="J31" s="133">
        <f>IF(SER_hh_emih_in!J31=0,0,SER_hh_emih_in!J31/SER_summary!J$27)</f>
        <v>4.4122395141771795</v>
      </c>
      <c r="K31" s="133">
        <f>IF(SER_hh_emih_in!K31=0,0,SER_hh_emih_in!K31/SER_summary!K$27)</f>
        <v>4.5193262965495569</v>
      </c>
      <c r="L31" s="133">
        <f>IF(SER_hh_emih_in!L31=0,0,SER_hh_emih_in!L31/SER_summary!L$27)</f>
        <v>4.555042775578042</v>
      </c>
      <c r="M31" s="133">
        <f>IF(SER_hh_emih_in!M31=0,0,SER_hh_emih_in!M31/SER_summary!M$27)</f>
        <v>4.5510824626939002</v>
      </c>
      <c r="N31" s="133">
        <f>IF(SER_hh_emih_in!N31=0,0,SER_hh_emih_in!N31/SER_summary!N$27)</f>
        <v>4.5449697526295285</v>
      </c>
      <c r="O31" s="133">
        <f>IF(SER_hh_emih_in!O31=0,0,SER_hh_emih_in!O31/SER_summary!O$27)</f>
        <v>4.570033182707518</v>
      </c>
      <c r="P31" s="133">
        <f>IF(SER_hh_emih_in!P31=0,0,SER_hh_emih_in!P31/SER_summary!P$27)</f>
        <v>4.6105729518343557</v>
      </c>
      <c r="Q31" s="133">
        <f>IF(SER_hh_emih_in!Q31=0,0,SER_hh_emih_in!Q31/SER_summary!Q$27)</f>
        <v>4.6126301807000853</v>
      </c>
      <c r="R31" s="133">
        <f>IF(SER_hh_emih_in!R31=0,0,SER_hh_emih_in!R31/SER_summary!R$27)</f>
        <v>4.581425919226775</v>
      </c>
      <c r="S31" s="133">
        <f>IF(SER_hh_emih_in!S31=0,0,SER_hh_emih_in!S31/SER_summary!S$27)</f>
        <v>4.5341225373598464</v>
      </c>
      <c r="T31" s="133">
        <f>IF(SER_hh_emih_in!T31=0,0,SER_hh_emih_in!T31/SER_summary!T$27)</f>
        <v>4.497313923988469</v>
      </c>
      <c r="U31" s="133">
        <f>IF(SER_hh_emih_in!U31=0,0,SER_hh_emih_in!U31/SER_summary!U$27)</f>
        <v>4.5814307559446066</v>
      </c>
      <c r="V31" s="133">
        <f>IF(SER_hh_emih_in!V31=0,0,SER_hh_emih_in!V31/SER_summary!V$27)</f>
        <v>4.2132592406340672</v>
      </c>
      <c r="W31" s="133">
        <f>IF(SER_hh_emih_in!W31=0,0,SER_hh_emih_in!W31/SER_summary!W$27)</f>
        <v>4.2419632768356754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2.0364200303804534</v>
      </c>
      <c r="D32" s="133">
        <f>IF(SER_hh_emih_in!D32=0,0,SER_hh_emih_in!D32/SER_summary!D$27)</f>
        <v>2.1646675869087257</v>
      </c>
      <c r="E32" s="133">
        <f>IF(SER_hh_emih_in!E32=0,0,SER_hh_emih_in!E32/SER_summary!E$27)</f>
        <v>1.9957373954755746</v>
      </c>
      <c r="F32" s="133">
        <f>IF(SER_hh_emih_in!F32=0,0,SER_hh_emih_in!F32/SER_summary!F$27)</f>
        <v>1.537024039131754</v>
      </c>
      <c r="G32" s="133">
        <f>IF(SER_hh_emih_in!G32=0,0,SER_hh_emih_in!G32/SER_summary!G$27)</f>
        <v>3.8068395766910936</v>
      </c>
      <c r="H32" s="133">
        <f>IF(SER_hh_emih_in!H32=0,0,SER_hh_emih_in!H32/SER_summary!H$27)</f>
        <v>2.3704050358576771</v>
      </c>
      <c r="I32" s="133">
        <f>IF(SER_hh_emih_in!I32=0,0,SER_hh_emih_in!I32/SER_summary!I$27)</f>
        <v>1.1535551866986384</v>
      </c>
      <c r="J32" s="133">
        <f>IF(SER_hh_emih_in!J32=0,0,SER_hh_emih_in!J32/SER_summary!J$27)</f>
        <v>0.2274237205772153</v>
      </c>
      <c r="K32" s="133">
        <f>IF(SER_hh_emih_in!K32=0,0,SER_hh_emih_in!K32/SER_summary!K$27)</f>
        <v>0.23233178657956488</v>
      </c>
      <c r="L32" s="133">
        <f>IF(SER_hh_emih_in!L32=0,0,SER_hh_emih_in!L32/SER_summary!L$27)</f>
        <v>0.2225977339876038</v>
      </c>
      <c r="M32" s="133">
        <f>IF(SER_hh_emih_in!M32=0,0,SER_hh_emih_in!M32/SER_summary!M$27)</f>
        <v>0.22530302373271863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533.71576989465575</v>
      </c>
      <c r="C3" s="180">
        <f t="shared" ref="C3:W3" si="1">SUM(C4:C9)</f>
        <v>548.04124903841887</v>
      </c>
      <c r="D3" s="180">
        <f t="shared" si="1"/>
        <v>565.4043338915485</v>
      </c>
      <c r="E3" s="180">
        <f t="shared" si="1"/>
        <v>581.48375668995709</v>
      </c>
      <c r="F3" s="180">
        <f t="shared" si="1"/>
        <v>582.14765630673071</v>
      </c>
      <c r="G3" s="180">
        <f t="shared" si="1"/>
        <v>600.76353267854711</v>
      </c>
      <c r="H3" s="180">
        <f t="shared" si="1"/>
        <v>619.01764207318718</v>
      </c>
      <c r="I3" s="180">
        <f t="shared" si="1"/>
        <v>633.37972051085637</v>
      </c>
      <c r="J3" s="180">
        <f t="shared" si="1"/>
        <v>648.80546233247765</v>
      </c>
      <c r="K3" s="180">
        <f t="shared" si="1"/>
        <v>649.46020592649916</v>
      </c>
      <c r="L3" s="180">
        <f t="shared" si="1"/>
        <v>659.93864444324834</v>
      </c>
      <c r="M3" s="180">
        <f t="shared" si="1"/>
        <v>670.17739913518994</v>
      </c>
      <c r="N3" s="180">
        <f t="shared" si="1"/>
        <v>680.62370924224797</v>
      </c>
      <c r="O3" s="180">
        <f t="shared" si="1"/>
        <v>691.58412325498296</v>
      </c>
      <c r="P3" s="180">
        <f t="shared" si="1"/>
        <v>709.95647645528129</v>
      </c>
      <c r="Q3" s="180">
        <f t="shared" si="1"/>
        <v>722.23043043792154</v>
      </c>
      <c r="R3" s="180">
        <f t="shared" si="1"/>
        <v>726.38127444451447</v>
      </c>
      <c r="S3" s="180">
        <f t="shared" si="1"/>
        <v>745.80002897821771</v>
      </c>
      <c r="T3" s="180">
        <f t="shared" si="1"/>
        <v>752.06874436304963</v>
      </c>
      <c r="U3" s="180">
        <f t="shared" si="1"/>
        <v>742.26340960573691</v>
      </c>
      <c r="V3" s="180">
        <f t="shared" si="1"/>
        <v>691.03149447384624</v>
      </c>
      <c r="W3" s="180">
        <f t="shared" si="1"/>
        <v>688.29459834520367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37.447656622869388</v>
      </c>
      <c r="C4" s="181">
        <f t="shared" ref="C4:R9" si="3">C12*C44/11630</f>
        <v>38.544311999765831</v>
      </c>
      <c r="D4" s="181">
        <f t="shared" si="3"/>
        <v>39.614431336012586</v>
      </c>
      <c r="E4" s="181">
        <f t="shared" si="3"/>
        <v>40.562054001446278</v>
      </c>
      <c r="F4" s="181">
        <f t="shared" si="3"/>
        <v>41.720566944457701</v>
      </c>
      <c r="G4" s="181">
        <f t="shared" si="3"/>
        <v>42.872912076234037</v>
      </c>
      <c r="H4" s="181">
        <f t="shared" si="3"/>
        <v>44.311126175192562</v>
      </c>
      <c r="I4" s="181">
        <f t="shared" si="3"/>
        <v>45.873214944668021</v>
      </c>
      <c r="J4" s="181">
        <f t="shared" si="3"/>
        <v>47.114972933048364</v>
      </c>
      <c r="K4" s="181">
        <f t="shared" si="3"/>
        <v>46.983256663295869</v>
      </c>
      <c r="L4" s="181">
        <f t="shared" si="3"/>
        <v>47.926144692641259</v>
      </c>
      <c r="M4" s="181">
        <f t="shared" si="3"/>
        <v>48.585940783160041</v>
      </c>
      <c r="N4" s="181">
        <f t="shared" si="3"/>
        <v>48.981610839985841</v>
      </c>
      <c r="O4" s="181">
        <f t="shared" si="3"/>
        <v>49.39537012206506</v>
      </c>
      <c r="P4" s="181">
        <f t="shared" si="3"/>
        <v>49.860526146218547</v>
      </c>
      <c r="Q4" s="181">
        <f t="shared" si="3"/>
        <v>50.39416446498003</v>
      </c>
      <c r="R4" s="181">
        <f t="shared" si="3"/>
        <v>50.702296625545181</v>
      </c>
      <c r="S4" s="181">
        <f t="shared" ref="D4:W9" si="4">S12*S44/11630</f>
        <v>51.01944365404642</v>
      </c>
      <c r="T4" s="181">
        <f t="shared" si="4"/>
        <v>51.284748902035211</v>
      </c>
      <c r="U4" s="181">
        <f t="shared" si="4"/>
        <v>51.631227319713091</v>
      </c>
      <c r="V4" s="181">
        <f t="shared" si="4"/>
        <v>51.924655322393868</v>
      </c>
      <c r="W4" s="181">
        <f t="shared" si="4"/>
        <v>52.178738737926288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86.480565165208972</v>
      </c>
      <c r="C5" s="181">
        <f t="shared" si="3"/>
        <v>86.740221154906152</v>
      </c>
      <c r="D5" s="181">
        <f t="shared" si="4"/>
        <v>86.759118225718709</v>
      </c>
      <c r="E5" s="181">
        <f t="shared" si="4"/>
        <v>86.771527388435871</v>
      </c>
      <c r="F5" s="181">
        <f t="shared" si="4"/>
        <v>87.518727947215879</v>
      </c>
      <c r="G5" s="181">
        <f t="shared" si="4"/>
        <v>87.94433042086807</v>
      </c>
      <c r="H5" s="181">
        <f t="shared" si="4"/>
        <v>88.518436580054214</v>
      </c>
      <c r="I5" s="181">
        <f t="shared" si="4"/>
        <v>88.3370925480897</v>
      </c>
      <c r="J5" s="181">
        <f t="shared" si="4"/>
        <v>88.960256615141688</v>
      </c>
      <c r="K5" s="181">
        <f t="shared" si="4"/>
        <v>90.023896981043691</v>
      </c>
      <c r="L5" s="181">
        <f t="shared" si="4"/>
        <v>90.048823942750943</v>
      </c>
      <c r="M5" s="181">
        <f t="shared" si="4"/>
        <v>90.716995467882143</v>
      </c>
      <c r="N5" s="181">
        <f t="shared" si="4"/>
        <v>91.401577478118227</v>
      </c>
      <c r="O5" s="181">
        <f t="shared" si="4"/>
        <v>92.35680327822277</v>
      </c>
      <c r="P5" s="181">
        <f t="shared" si="4"/>
        <v>93.483781166225953</v>
      </c>
      <c r="Q5" s="181">
        <f t="shared" si="4"/>
        <v>95.46251240097061</v>
      </c>
      <c r="R5" s="181">
        <f t="shared" si="4"/>
        <v>92.647791843628013</v>
      </c>
      <c r="S5" s="181">
        <f t="shared" si="4"/>
        <v>92.107034657512202</v>
      </c>
      <c r="T5" s="181">
        <f t="shared" si="4"/>
        <v>89.582288969275382</v>
      </c>
      <c r="U5" s="181">
        <f t="shared" si="4"/>
        <v>86.698452505325321</v>
      </c>
      <c r="V5" s="181">
        <f t="shared" si="4"/>
        <v>83.271760857877183</v>
      </c>
      <c r="W5" s="181">
        <f t="shared" si="4"/>
        <v>79.951567562070338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202.28380511839984</v>
      </c>
      <c r="C6" s="181">
        <f t="shared" si="3"/>
        <v>203.08395409582624</v>
      </c>
      <c r="D6" s="181">
        <f t="shared" si="4"/>
        <v>204.70665467651685</v>
      </c>
      <c r="E6" s="181">
        <f t="shared" si="4"/>
        <v>205.84802263211893</v>
      </c>
      <c r="F6" s="181">
        <f t="shared" si="4"/>
        <v>209.269274114296</v>
      </c>
      <c r="G6" s="181">
        <f t="shared" si="4"/>
        <v>211.42888866189773</v>
      </c>
      <c r="H6" s="181">
        <f t="shared" si="4"/>
        <v>214.8058930064561</v>
      </c>
      <c r="I6" s="181">
        <f t="shared" si="4"/>
        <v>220.12506507172995</v>
      </c>
      <c r="J6" s="181">
        <f t="shared" si="4"/>
        <v>223.8129959515139</v>
      </c>
      <c r="K6" s="181">
        <f t="shared" si="4"/>
        <v>219.19552162340565</v>
      </c>
      <c r="L6" s="181">
        <f t="shared" si="4"/>
        <v>221.80051836540576</v>
      </c>
      <c r="M6" s="181">
        <f t="shared" si="4"/>
        <v>223.29227861156139</v>
      </c>
      <c r="N6" s="181">
        <f t="shared" si="4"/>
        <v>223.12822835444504</v>
      </c>
      <c r="O6" s="181">
        <f t="shared" si="4"/>
        <v>222.30528249603225</v>
      </c>
      <c r="P6" s="181">
        <f t="shared" si="4"/>
        <v>223.53679721313912</v>
      </c>
      <c r="Q6" s="181">
        <f t="shared" si="4"/>
        <v>226.34527197738322</v>
      </c>
      <c r="R6" s="181">
        <f t="shared" si="4"/>
        <v>217.29901597781119</v>
      </c>
      <c r="S6" s="181">
        <f t="shared" si="4"/>
        <v>216.33381337195794</v>
      </c>
      <c r="T6" s="181">
        <f t="shared" si="4"/>
        <v>208.41727866560873</v>
      </c>
      <c r="U6" s="181">
        <f t="shared" si="4"/>
        <v>200.00699445002638</v>
      </c>
      <c r="V6" s="181">
        <f t="shared" si="4"/>
        <v>174.80693761032762</v>
      </c>
      <c r="W6" s="181">
        <f t="shared" si="4"/>
        <v>168.20695329328109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93.176019407284599</v>
      </c>
      <c r="C7" s="181">
        <f t="shared" si="3"/>
        <v>93.566295453013538</v>
      </c>
      <c r="D7" s="181">
        <f t="shared" si="4"/>
        <v>94.183139393477887</v>
      </c>
      <c r="E7" s="181">
        <f t="shared" si="4"/>
        <v>94.657805127665213</v>
      </c>
      <c r="F7" s="181">
        <f t="shared" si="4"/>
        <v>94.997681511232088</v>
      </c>
      <c r="G7" s="181">
        <f t="shared" si="4"/>
        <v>95.647620173085102</v>
      </c>
      <c r="H7" s="181">
        <f t="shared" si="4"/>
        <v>96.217369357157807</v>
      </c>
      <c r="I7" s="181">
        <f t="shared" si="4"/>
        <v>96.710439380092311</v>
      </c>
      <c r="J7" s="181">
        <f t="shared" si="4"/>
        <v>97.058112243494293</v>
      </c>
      <c r="K7" s="181">
        <f t="shared" si="4"/>
        <v>97.549687522683158</v>
      </c>
      <c r="L7" s="181">
        <f t="shared" si="4"/>
        <v>97.971601286420764</v>
      </c>
      <c r="M7" s="181">
        <f t="shared" si="4"/>
        <v>98.347791631142783</v>
      </c>
      <c r="N7" s="181">
        <f t="shared" si="4"/>
        <v>99.055928891362726</v>
      </c>
      <c r="O7" s="181">
        <f t="shared" si="4"/>
        <v>100.12160355212299</v>
      </c>
      <c r="P7" s="181">
        <f t="shared" si="4"/>
        <v>101.55454375580305</v>
      </c>
      <c r="Q7" s="181">
        <f t="shared" si="4"/>
        <v>103.69586763945183</v>
      </c>
      <c r="R7" s="181">
        <f t="shared" si="4"/>
        <v>106.01962276496053</v>
      </c>
      <c r="S7" s="181">
        <f t="shared" si="4"/>
        <v>107.94679359997383</v>
      </c>
      <c r="T7" s="181">
        <f t="shared" si="4"/>
        <v>109.77318321232846</v>
      </c>
      <c r="U7" s="181">
        <f t="shared" si="4"/>
        <v>111.33269956048485</v>
      </c>
      <c r="V7" s="181">
        <f t="shared" si="4"/>
        <v>112.52392262592383</v>
      </c>
      <c r="W7" s="181">
        <f t="shared" si="4"/>
        <v>113.52474444963161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43.967471829597237</v>
      </c>
      <c r="C8" s="55">
        <f t="shared" si="3"/>
        <v>45.75958382647832</v>
      </c>
      <c r="D8" s="55">
        <f t="shared" si="4"/>
        <v>47.723768687387448</v>
      </c>
      <c r="E8" s="55">
        <f t="shared" si="4"/>
        <v>49.87329249025607</v>
      </c>
      <c r="F8" s="55">
        <f t="shared" si="4"/>
        <v>52.747598047805823</v>
      </c>
      <c r="G8" s="55">
        <f t="shared" si="4"/>
        <v>55.824796687421106</v>
      </c>
      <c r="H8" s="55">
        <f t="shared" si="4"/>
        <v>59.275097243954527</v>
      </c>
      <c r="I8" s="55">
        <f t="shared" si="4"/>
        <v>63.223797309896817</v>
      </c>
      <c r="J8" s="55">
        <f t="shared" si="4"/>
        <v>67.057010074299527</v>
      </c>
      <c r="K8" s="55">
        <f t="shared" si="4"/>
        <v>68.912941623182093</v>
      </c>
      <c r="L8" s="55">
        <f t="shared" si="4"/>
        <v>71.808558646870992</v>
      </c>
      <c r="M8" s="55">
        <f t="shared" si="4"/>
        <v>73.837392772364424</v>
      </c>
      <c r="N8" s="55">
        <f t="shared" si="4"/>
        <v>75.176827000423032</v>
      </c>
      <c r="O8" s="55">
        <f t="shared" si="4"/>
        <v>76.323112728133566</v>
      </c>
      <c r="P8" s="55">
        <f t="shared" si="4"/>
        <v>77.325004274536724</v>
      </c>
      <c r="Q8" s="55">
        <f t="shared" si="4"/>
        <v>78.193559246450945</v>
      </c>
      <c r="R8" s="55">
        <f t="shared" si="4"/>
        <v>81.038040585702674</v>
      </c>
      <c r="S8" s="55">
        <f t="shared" si="4"/>
        <v>85.849824143854775</v>
      </c>
      <c r="T8" s="55">
        <f t="shared" si="4"/>
        <v>89.970824580930284</v>
      </c>
      <c r="U8" s="55">
        <f t="shared" si="4"/>
        <v>93.253122813294908</v>
      </c>
      <c r="V8" s="55">
        <f t="shared" si="4"/>
        <v>88.465942765154395</v>
      </c>
      <c r="W8" s="55">
        <f t="shared" si="4"/>
        <v>91.840561167926765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70.360251751295792</v>
      </c>
      <c r="C9" s="63">
        <f t="shared" si="3"/>
        <v>80.346882508428806</v>
      </c>
      <c r="D9" s="63">
        <f t="shared" si="4"/>
        <v>92.417221572435096</v>
      </c>
      <c r="E9" s="63">
        <f t="shared" si="4"/>
        <v>103.77105505003475</v>
      </c>
      <c r="F9" s="63">
        <f t="shared" si="4"/>
        <v>95.893807741723236</v>
      </c>
      <c r="G9" s="63">
        <f t="shared" si="4"/>
        <v>107.04498465904109</v>
      </c>
      <c r="H9" s="63">
        <f t="shared" si="4"/>
        <v>115.88971971037195</v>
      </c>
      <c r="I9" s="63">
        <f t="shared" si="4"/>
        <v>119.11011125637962</v>
      </c>
      <c r="J9" s="63">
        <f t="shared" si="4"/>
        <v>124.80211451497983</v>
      </c>
      <c r="K9" s="63">
        <f t="shared" si="4"/>
        <v>126.79490151288867</v>
      </c>
      <c r="L9" s="63">
        <f t="shared" si="4"/>
        <v>130.38299750915857</v>
      </c>
      <c r="M9" s="63">
        <f t="shared" si="4"/>
        <v>135.39699986907911</v>
      </c>
      <c r="N9" s="63">
        <f t="shared" si="4"/>
        <v>142.87953667791322</v>
      </c>
      <c r="O9" s="63">
        <f t="shared" si="4"/>
        <v>151.08195107840629</v>
      </c>
      <c r="P9" s="63">
        <f t="shared" si="4"/>
        <v>164.19582389935795</v>
      </c>
      <c r="Q9" s="63">
        <f t="shared" si="4"/>
        <v>168.13905470868485</v>
      </c>
      <c r="R9" s="63">
        <f t="shared" si="4"/>
        <v>178.67450664686692</v>
      </c>
      <c r="S9" s="63">
        <f t="shared" si="4"/>
        <v>192.54311955087255</v>
      </c>
      <c r="T9" s="63">
        <f t="shared" si="4"/>
        <v>203.04042003287157</v>
      </c>
      <c r="U9" s="63">
        <f t="shared" si="4"/>
        <v>199.34091295689231</v>
      </c>
      <c r="V9" s="63">
        <f t="shared" si="4"/>
        <v>180.03827529216935</v>
      </c>
      <c r="W9" s="63">
        <f t="shared" si="4"/>
        <v>182.59203313436754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2571.5685733382716</v>
      </c>
      <c r="C11" s="180">
        <f t="shared" ref="C11:W11" si="6">SUM(C12:C17)</f>
        <v>2653.4029621528589</v>
      </c>
      <c r="D11" s="180">
        <f t="shared" si="6"/>
        <v>2753.7936541279369</v>
      </c>
      <c r="E11" s="180">
        <f t="shared" si="6"/>
        <v>2849.4242715075843</v>
      </c>
      <c r="F11" s="180">
        <f t="shared" si="6"/>
        <v>2838.8067726277786</v>
      </c>
      <c r="G11" s="180">
        <f t="shared" si="6"/>
        <v>2950.0868208399584</v>
      </c>
      <c r="H11" s="180">
        <f t="shared" si="6"/>
        <v>3056.6868939705587</v>
      </c>
      <c r="I11" s="180">
        <f t="shared" si="6"/>
        <v>3142.8937331667357</v>
      </c>
      <c r="J11" s="180">
        <f t="shared" si="6"/>
        <v>3238.3679604887411</v>
      </c>
      <c r="K11" s="180">
        <f t="shared" si="6"/>
        <v>3247.549390398834</v>
      </c>
      <c r="L11" s="180">
        <f t="shared" si="6"/>
        <v>3310.9416056276436</v>
      </c>
      <c r="M11" s="180">
        <f t="shared" si="6"/>
        <v>3368.087991096339</v>
      </c>
      <c r="N11" s="180">
        <f t="shared" si="6"/>
        <v>3422.7908416408441</v>
      </c>
      <c r="O11" s="180">
        <f t="shared" si="6"/>
        <v>3479.6649262137066</v>
      </c>
      <c r="P11" s="180">
        <f t="shared" si="6"/>
        <v>3569.0948476647991</v>
      </c>
      <c r="Q11" s="180">
        <f t="shared" si="6"/>
        <v>3616.0535159359683</v>
      </c>
      <c r="R11" s="180">
        <f t="shared" si="6"/>
        <v>3725.9910510388295</v>
      </c>
      <c r="S11" s="180">
        <f t="shared" si="6"/>
        <v>3823.1810755138458</v>
      </c>
      <c r="T11" s="180">
        <f t="shared" si="6"/>
        <v>3897.477012700087</v>
      </c>
      <c r="U11" s="180">
        <f t="shared" si="6"/>
        <v>3878.2536966304278</v>
      </c>
      <c r="V11" s="180">
        <f t="shared" si="6"/>
        <v>3811.4094656867856</v>
      </c>
      <c r="W11" s="180">
        <f t="shared" si="6"/>
        <v>3801.3004788029957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49.716466498170213</v>
      </c>
      <c r="C12" s="181">
        <f t="shared" ref="C12:W12" si="7">C20*C52</f>
        <v>51.172414218867182</v>
      </c>
      <c r="D12" s="181">
        <f t="shared" si="7"/>
        <v>52.5931320134505</v>
      </c>
      <c r="E12" s="181">
        <f t="shared" si="7"/>
        <v>53.851220095527431</v>
      </c>
      <c r="F12" s="181">
        <f t="shared" si="7"/>
        <v>55.389291502744655</v>
      </c>
      <c r="G12" s="181">
        <f t="shared" si="7"/>
        <v>56.919174366050477</v>
      </c>
      <c r="H12" s="181">
        <f t="shared" si="7"/>
        <v>58.828584180078721</v>
      </c>
      <c r="I12" s="181">
        <f t="shared" si="7"/>
        <v>60.902453174256763</v>
      </c>
      <c r="J12" s="181">
        <f t="shared" si="7"/>
        <v>62.551042832346177</v>
      </c>
      <c r="K12" s="181">
        <f t="shared" si="7"/>
        <v>62.37617294453549</v>
      </c>
      <c r="L12" s="181">
        <f t="shared" si="7"/>
        <v>63.627975202673269</v>
      </c>
      <c r="M12" s="181">
        <f t="shared" si="7"/>
        <v>64.503937363944218</v>
      </c>
      <c r="N12" s="181">
        <f t="shared" si="7"/>
        <v>65.029239048976621</v>
      </c>
      <c r="O12" s="181">
        <f t="shared" si="7"/>
        <v>65.578556452011043</v>
      </c>
      <c r="P12" s="181">
        <f t="shared" si="7"/>
        <v>66.196109484077837</v>
      </c>
      <c r="Q12" s="181">
        <f t="shared" si="7"/>
        <v>66.904581361611648</v>
      </c>
      <c r="R12" s="181">
        <f t="shared" si="7"/>
        <v>67.313665497156478</v>
      </c>
      <c r="S12" s="181">
        <f t="shared" si="7"/>
        <v>67.734718001890428</v>
      </c>
      <c r="T12" s="181">
        <f t="shared" si="7"/>
        <v>68.086944033181467</v>
      </c>
      <c r="U12" s="181">
        <f t="shared" si="7"/>
        <v>68.546937640212718</v>
      </c>
      <c r="V12" s="181">
        <f t="shared" si="7"/>
        <v>68.936500159753507</v>
      </c>
      <c r="W12" s="181">
        <f t="shared" si="7"/>
        <v>69.273827799324536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252.98719622022759</v>
      </c>
      <c r="C13" s="181">
        <f t="shared" ref="C13:W13" si="8">C21*C53/1000</f>
        <v>253.94841156753421</v>
      </c>
      <c r="D13" s="181">
        <f t="shared" si="8"/>
        <v>254.16260546783295</v>
      </c>
      <c r="E13" s="181">
        <f t="shared" si="8"/>
        <v>254.20773857845032</v>
      </c>
      <c r="F13" s="181">
        <f t="shared" si="8"/>
        <v>256.42051251644966</v>
      </c>
      <c r="G13" s="181">
        <f t="shared" si="8"/>
        <v>257.72766478199895</v>
      </c>
      <c r="H13" s="181">
        <f t="shared" si="8"/>
        <v>259.51618217927</v>
      </c>
      <c r="I13" s="181">
        <f t="shared" si="8"/>
        <v>259.38283094674841</v>
      </c>
      <c r="J13" s="181">
        <f t="shared" si="8"/>
        <v>261.5191155919249</v>
      </c>
      <c r="K13" s="181">
        <f t="shared" si="8"/>
        <v>265.03814852667682</v>
      </c>
      <c r="L13" s="181">
        <f t="shared" si="8"/>
        <v>265.60238411973415</v>
      </c>
      <c r="M13" s="181">
        <f t="shared" si="8"/>
        <v>268.55517095241635</v>
      </c>
      <c r="N13" s="181">
        <f t="shared" si="8"/>
        <v>272.44602648190147</v>
      </c>
      <c r="O13" s="181">
        <f t="shared" si="8"/>
        <v>277.34848320712405</v>
      </c>
      <c r="P13" s="181">
        <f t="shared" si="8"/>
        <v>283.04074404887137</v>
      </c>
      <c r="Q13" s="181">
        <f t="shared" si="8"/>
        <v>291.70840717760007</v>
      </c>
      <c r="R13" s="181">
        <f t="shared" si="8"/>
        <v>289.31192815018125</v>
      </c>
      <c r="S13" s="181">
        <f t="shared" si="8"/>
        <v>285.49332407979745</v>
      </c>
      <c r="T13" s="181">
        <f t="shared" si="8"/>
        <v>278.80487083256708</v>
      </c>
      <c r="U13" s="181">
        <f t="shared" si="8"/>
        <v>270.7816352114632</v>
      </c>
      <c r="V13" s="181">
        <f t="shared" si="8"/>
        <v>261.05137542779528</v>
      </c>
      <c r="W13" s="181">
        <f t="shared" si="8"/>
        <v>251.68849371147789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1017.2013483946909</v>
      </c>
      <c r="C14" s="181">
        <f t="shared" ref="C14:W14" si="9">C22*C54</f>
        <v>1015.279551000869</v>
      </c>
      <c r="D14" s="181">
        <f t="shared" si="9"/>
        <v>1017.1091934239058</v>
      </c>
      <c r="E14" s="181">
        <f t="shared" si="9"/>
        <v>1018.2678729876466</v>
      </c>
      <c r="F14" s="181">
        <f t="shared" si="9"/>
        <v>1027.6063068397054</v>
      </c>
      <c r="G14" s="181">
        <f t="shared" si="9"/>
        <v>1032.337122864232</v>
      </c>
      <c r="H14" s="181">
        <f t="shared" si="9"/>
        <v>1043.1521486183817</v>
      </c>
      <c r="I14" s="181">
        <f t="shared" si="9"/>
        <v>1064.3577686663066</v>
      </c>
      <c r="J14" s="181">
        <f t="shared" si="9"/>
        <v>1077.8092989182435</v>
      </c>
      <c r="K14" s="181">
        <f t="shared" si="9"/>
        <v>1052.2300897981254</v>
      </c>
      <c r="L14" s="181">
        <f t="shared" si="9"/>
        <v>1062.9406319770665</v>
      </c>
      <c r="M14" s="181">
        <f t="shared" si="9"/>
        <v>1067.9184432731497</v>
      </c>
      <c r="N14" s="181">
        <f t="shared" si="9"/>
        <v>1063.1989365889981</v>
      </c>
      <c r="O14" s="181">
        <f t="shared" si="9"/>
        <v>1058.2581518954469</v>
      </c>
      <c r="P14" s="181">
        <f t="shared" si="9"/>
        <v>1059.9170159208352</v>
      </c>
      <c r="Q14" s="181">
        <f t="shared" si="9"/>
        <v>1071.221608440618</v>
      </c>
      <c r="R14" s="181">
        <f t="shared" si="9"/>
        <v>1049.3165244106647</v>
      </c>
      <c r="S14" s="181">
        <f t="shared" si="9"/>
        <v>1026.4950263667949</v>
      </c>
      <c r="T14" s="181">
        <f t="shared" si="9"/>
        <v>993.36976448436519</v>
      </c>
      <c r="U14" s="181">
        <f t="shared" si="9"/>
        <v>956.03898350150655</v>
      </c>
      <c r="V14" s="181">
        <f t="shared" si="9"/>
        <v>909.9594119530841</v>
      </c>
      <c r="W14" s="181">
        <f t="shared" si="9"/>
        <v>865.11470836425281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123.70286594825572</v>
      </c>
      <c r="C15" s="181">
        <f t="shared" ref="C15:W15" si="10">C23*C55/1000</f>
        <v>124.22100640622688</v>
      </c>
      <c r="D15" s="181">
        <f t="shared" si="10"/>
        <v>125.0399441947657</v>
      </c>
      <c r="E15" s="181">
        <f t="shared" si="10"/>
        <v>125.67012256104417</v>
      </c>
      <c r="F15" s="181">
        <f t="shared" si="10"/>
        <v>126.12135113877045</v>
      </c>
      <c r="G15" s="181">
        <f t="shared" si="10"/>
        <v>126.98422632568264</v>
      </c>
      <c r="H15" s="181">
        <f t="shared" si="10"/>
        <v>127.74063991138642</v>
      </c>
      <c r="I15" s="181">
        <f t="shared" si="10"/>
        <v>128.39525228201751</v>
      </c>
      <c r="J15" s="181">
        <f t="shared" si="10"/>
        <v>128.85683166573503</v>
      </c>
      <c r="K15" s="181">
        <f t="shared" si="10"/>
        <v>129.50945957634764</v>
      </c>
      <c r="L15" s="181">
        <f t="shared" si="10"/>
        <v>130.06960307774818</v>
      </c>
      <c r="M15" s="181">
        <f t="shared" si="10"/>
        <v>130.56904299888021</v>
      </c>
      <c r="N15" s="181">
        <f t="shared" si="10"/>
        <v>131.50918413316768</v>
      </c>
      <c r="O15" s="181">
        <f t="shared" si="10"/>
        <v>132.92400106292126</v>
      </c>
      <c r="P15" s="181">
        <f t="shared" si="10"/>
        <v>134.82640911872025</v>
      </c>
      <c r="Q15" s="181">
        <f t="shared" si="10"/>
        <v>137.66928546196633</v>
      </c>
      <c r="R15" s="181">
        <f t="shared" si="10"/>
        <v>140.75436218681403</v>
      </c>
      <c r="S15" s="181">
        <f t="shared" si="10"/>
        <v>143.31292346663196</v>
      </c>
      <c r="T15" s="181">
        <f t="shared" si="10"/>
        <v>145.73768501819413</v>
      </c>
      <c r="U15" s="181">
        <f t="shared" si="10"/>
        <v>147.80813880005016</v>
      </c>
      <c r="V15" s="181">
        <f t="shared" si="10"/>
        <v>149.38963700222538</v>
      </c>
      <c r="W15" s="181">
        <f t="shared" si="10"/>
        <v>150.71835364717074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637.35355220395013</v>
      </c>
      <c r="C16" s="55">
        <f t="shared" ref="C16:W16" si="11">C24*C56</f>
        <v>660.17845710827703</v>
      </c>
      <c r="D16" s="55">
        <f t="shared" si="11"/>
        <v>685.5270345748612</v>
      </c>
      <c r="E16" s="55">
        <f t="shared" si="11"/>
        <v>713.54240698414753</v>
      </c>
      <c r="F16" s="55">
        <f t="shared" si="11"/>
        <v>751.87423520186189</v>
      </c>
      <c r="G16" s="55">
        <f t="shared" si="11"/>
        <v>792.99692586798596</v>
      </c>
      <c r="H16" s="55">
        <f t="shared" si="11"/>
        <v>839.29607598450184</v>
      </c>
      <c r="I16" s="55">
        <f t="shared" si="11"/>
        <v>892.49757996908738</v>
      </c>
      <c r="J16" s="55">
        <f t="shared" si="11"/>
        <v>943.90758646618008</v>
      </c>
      <c r="K16" s="55">
        <f t="shared" si="11"/>
        <v>967.41323639722521</v>
      </c>
      <c r="L16" s="55">
        <f t="shared" si="11"/>
        <v>1005.4804398070057</v>
      </c>
      <c r="M16" s="55">
        <f t="shared" si="11"/>
        <v>1032.2085689097871</v>
      </c>
      <c r="N16" s="55">
        <f t="shared" si="11"/>
        <v>1049.3047820726611</v>
      </c>
      <c r="O16" s="55">
        <f t="shared" si="11"/>
        <v>1063.7271146149023</v>
      </c>
      <c r="P16" s="55">
        <f t="shared" si="11"/>
        <v>1076.1628472388247</v>
      </c>
      <c r="Q16" s="55">
        <f t="shared" si="11"/>
        <v>1086.7710603310138</v>
      </c>
      <c r="R16" s="55">
        <f t="shared" si="11"/>
        <v>1145.6179898087994</v>
      </c>
      <c r="S16" s="55">
        <f t="shared" si="11"/>
        <v>1205.0615159382457</v>
      </c>
      <c r="T16" s="55">
        <f t="shared" si="11"/>
        <v>1262.0417124282208</v>
      </c>
      <c r="U16" s="55">
        <f t="shared" si="11"/>
        <v>1311.9632457653181</v>
      </c>
      <c r="V16" s="55">
        <f t="shared" si="11"/>
        <v>1355.3995386247975</v>
      </c>
      <c r="W16" s="55">
        <f t="shared" si="11"/>
        <v>1390.2475760848356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490.60714407297689</v>
      </c>
      <c r="C17" s="63">
        <f t="shared" ref="C17:W17" si="12">C25*C57/1000</f>
        <v>548.60312185108432</v>
      </c>
      <c r="D17" s="63">
        <f t="shared" si="12"/>
        <v>619.36174445312054</v>
      </c>
      <c r="E17" s="63">
        <f t="shared" si="12"/>
        <v>683.88491030076807</v>
      </c>
      <c r="F17" s="63">
        <f t="shared" si="12"/>
        <v>621.39507542824686</v>
      </c>
      <c r="G17" s="63">
        <f t="shared" si="12"/>
        <v>683.12170663400809</v>
      </c>
      <c r="H17" s="63">
        <f t="shared" si="12"/>
        <v>728.15326309694012</v>
      </c>
      <c r="I17" s="63">
        <f t="shared" si="12"/>
        <v>737.35784812831957</v>
      </c>
      <c r="J17" s="63">
        <f t="shared" si="12"/>
        <v>763.72408501431141</v>
      </c>
      <c r="K17" s="63">
        <f t="shared" si="12"/>
        <v>770.98228315592348</v>
      </c>
      <c r="L17" s="63">
        <f t="shared" si="12"/>
        <v>783.22057144341625</v>
      </c>
      <c r="M17" s="63">
        <f t="shared" si="12"/>
        <v>804.33282759816154</v>
      </c>
      <c r="N17" s="63">
        <f t="shared" si="12"/>
        <v>841.30267331513915</v>
      </c>
      <c r="O17" s="63">
        <f t="shared" si="12"/>
        <v>881.82861898130102</v>
      </c>
      <c r="P17" s="63">
        <f t="shared" si="12"/>
        <v>948.95172185346985</v>
      </c>
      <c r="Q17" s="63">
        <f t="shared" si="12"/>
        <v>961.77857316315828</v>
      </c>
      <c r="R17" s="63">
        <f t="shared" si="12"/>
        <v>1033.6765809852136</v>
      </c>
      <c r="S17" s="63">
        <f t="shared" si="12"/>
        <v>1095.0835676604854</v>
      </c>
      <c r="T17" s="63">
        <f t="shared" si="12"/>
        <v>1149.4360359035586</v>
      </c>
      <c r="U17" s="63">
        <f t="shared" si="12"/>
        <v>1123.1147557118775</v>
      </c>
      <c r="V17" s="63">
        <f t="shared" si="12"/>
        <v>1066.6730025191303</v>
      </c>
      <c r="W17" s="63">
        <f t="shared" si="12"/>
        <v>1074.257519195934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76.763396446302821</v>
      </c>
      <c r="C20" s="182">
        <v>79.654973177842493</v>
      </c>
      <c r="D20" s="182">
        <v>82.549904019304023</v>
      </c>
      <c r="E20" s="182">
        <v>85.220895645127513</v>
      </c>
      <c r="F20" s="182">
        <v>88.45797461026568</v>
      </c>
      <c r="G20" s="182">
        <v>91.774453030864649</v>
      </c>
      <c r="H20" s="182">
        <v>95.87329126414528</v>
      </c>
      <c r="I20" s="182">
        <v>100.40176314569109</v>
      </c>
      <c r="J20" s="182">
        <v>104.27260317618953</v>
      </c>
      <c r="K20" s="182">
        <v>104.84522229908931</v>
      </c>
      <c r="L20" s="182">
        <v>108.24101298105289</v>
      </c>
      <c r="M20" s="182">
        <v>111.07844770125888</v>
      </c>
      <c r="N20" s="182">
        <v>113.39604729192116</v>
      </c>
      <c r="O20" s="182">
        <v>115.94711302707378</v>
      </c>
      <c r="P20" s="182">
        <v>118.82615295348371</v>
      </c>
      <c r="Q20" s="182">
        <v>122.11387316551387</v>
      </c>
      <c r="R20" s="182">
        <v>124.87471379732318</v>
      </c>
      <c r="S20" s="182">
        <v>127.79616300489863</v>
      </c>
      <c r="T20" s="182">
        <v>130.70497373122561</v>
      </c>
      <c r="U20" s="182">
        <v>133.37279456008631</v>
      </c>
      <c r="V20" s="182">
        <v>135.92279745240842</v>
      </c>
      <c r="W20" s="182">
        <v>138.29784893285861</v>
      </c>
      <c r="DA20" s="191" t="s">
        <v>921</v>
      </c>
    </row>
    <row r="21" spans="1:105" ht="12" customHeight="1" x14ac:dyDescent="0.25">
      <c r="A21" s="132" t="s">
        <v>163</v>
      </c>
      <c r="B21" s="182">
        <v>1328.5576990042994</v>
      </c>
      <c r="C21" s="182">
        <v>1345.6943723622267</v>
      </c>
      <c r="D21" s="182">
        <v>1361.3107156352705</v>
      </c>
      <c r="E21" s="182">
        <v>1379.0406118038172</v>
      </c>
      <c r="F21" s="182">
        <v>1413.2870356553876</v>
      </c>
      <c r="G21" s="182">
        <v>1447.6926529597886</v>
      </c>
      <c r="H21" s="182">
        <v>1490.5633104384565</v>
      </c>
      <c r="I21" s="182">
        <v>1526.6270553466336</v>
      </c>
      <c r="J21" s="182">
        <v>1560.87499671565</v>
      </c>
      <c r="K21" s="182">
        <v>1606.8260039669719</v>
      </c>
      <c r="L21" s="182">
        <v>1636.8111332585477</v>
      </c>
      <c r="M21" s="182">
        <v>1687.4117282417765</v>
      </c>
      <c r="N21" s="182">
        <v>1751.6189637239779</v>
      </c>
      <c r="O21" s="182">
        <v>1837.5241425822396</v>
      </c>
      <c r="P21" s="182">
        <v>1946.2692970375497</v>
      </c>
      <c r="Q21" s="182">
        <v>2087.9380152342492</v>
      </c>
      <c r="R21" s="182">
        <v>2153.4814573183367</v>
      </c>
      <c r="S21" s="182">
        <v>2211.2525797682024</v>
      </c>
      <c r="T21" s="182">
        <v>2269.0562156841006</v>
      </c>
      <c r="U21" s="182">
        <v>2325.0553171595175</v>
      </c>
      <c r="V21" s="182">
        <v>2377.1035686798018</v>
      </c>
      <c r="W21" s="182">
        <v>2422.6966771733501</v>
      </c>
      <c r="DA21" s="191" t="s">
        <v>922</v>
      </c>
    </row>
    <row r="22" spans="1:105" ht="12" customHeight="1" x14ac:dyDescent="0.25">
      <c r="A22" s="132" t="s">
        <v>167</v>
      </c>
      <c r="B22" s="182">
        <v>26.359880180998275</v>
      </c>
      <c r="C22" s="182">
        <v>26.679694723362726</v>
      </c>
      <c r="D22" s="182">
        <v>27.191566869781106</v>
      </c>
      <c r="E22" s="182">
        <v>27.757557400005211</v>
      </c>
      <c r="F22" s="182">
        <v>28.660865623395228</v>
      </c>
      <c r="G22" s="182">
        <v>29.574167071352289</v>
      </c>
      <c r="H22" s="182">
        <v>30.838781645686453</v>
      </c>
      <c r="I22" s="182">
        <v>32.087855709773564</v>
      </c>
      <c r="J22" s="182">
        <v>33.219809728143034</v>
      </c>
      <c r="K22" s="182">
        <v>33.143737270634965</v>
      </c>
      <c r="L22" s="182">
        <v>34.44635639839575</v>
      </c>
      <c r="M22" s="182">
        <v>35.653505129622779</v>
      </c>
      <c r="N22" s="182">
        <v>36.702177900848817</v>
      </c>
      <c r="O22" s="182">
        <v>37.79633387767057</v>
      </c>
      <c r="P22" s="182">
        <v>39.342852917807527</v>
      </c>
      <c r="Q22" s="182">
        <v>41.265570756811513</v>
      </c>
      <c r="R22" s="182">
        <v>42.764956145880859</v>
      </c>
      <c r="S22" s="182">
        <v>44.346171116906163</v>
      </c>
      <c r="T22" s="182">
        <v>45.907584067731364</v>
      </c>
      <c r="U22" s="182">
        <v>47.339949355482979</v>
      </c>
      <c r="V22" s="182">
        <v>48.632743006383755</v>
      </c>
      <c r="W22" s="182">
        <v>49.697714845407333</v>
      </c>
      <c r="DA22" s="191" t="s">
        <v>923</v>
      </c>
    </row>
    <row r="23" spans="1:105" ht="12" customHeight="1" x14ac:dyDescent="0.25">
      <c r="A23" s="132" t="s">
        <v>180</v>
      </c>
      <c r="B23" s="182">
        <v>188.08604288455405</v>
      </c>
      <c r="C23" s="182">
        <v>190.63115680767169</v>
      </c>
      <c r="D23" s="182">
        <v>194.2808373109998</v>
      </c>
      <c r="E23" s="182">
        <v>197.96311161882119</v>
      </c>
      <c r="F23" s="182">
        <v>201.65619030993682</v>
      </c>
      <c r="G23" s="182">
        <v>206.45255164116432</v>
      </c>
      <c r="H23" s="182">
        <v>211.57381499183202</v>
      </c>
      <c r="I23" s="182">
        <v>217.08138400535967</v>
      </c>
      <c r="J23" s="182">
        <v>222.86641011632608</v>
      </c>
      <c r="K23" s="182">
        <v>229.7243197071875</v>
      </c>
      <c r="L23" s="182">
        <v>237.2266906534808</v>
      </c>
      <c r="M23" s="182">
        <v>242.87956474477517</v>
      </c>
      <c r="N23" s="182">
        <v>249.67842804684474</v>
      </c>
      <c r="O23" s="182">
        <v>258.10247662697901</v>
      </c>
      <c r="P23" s="182">
        <v>268.47730982224488</v>
      </c>
      <c r="Q23" s="182">
        <v>281.63436779598896</v>
      </c>
      <c r="R23" s="182">
        <v>295.5523085891416</v>
      </c>
      <c r="S23" s="182">
        <v>308.55950203761682</v>
      </c>
      <c r="T23" s="182">
        <v>321.46546818173351</v>
      </c>
      <c r="U23" s="182">
        <v>333.86124061436266</v>
      </c>
      <c r="V23" s="182">
        <v>345.1578512764641</v>
      </c>
      <c r="W23" s="182">
        <v>354.79765730242053</v>
      </c>
      <c r="DA23" s="191" t="s">
        <v>924</v>
      </c>
    </row>
    <row r="24" spans="1:105" ht="12" customHeight="1" x14ac:dyDescent="0.25">
      <c r="A24" s="60" t="s">
        <v>166</v>
      </c>
      <c r="B24" s="36">
        <v>14.179623666195274</v>
      </c>
      <c r="C24" s="36">
        <v>14.738945245802755</v>
      </c>
      <c r="D24" s="36">
        <v>15.365608058093285</v>
      </c>
      <c r="E24" s="36">
        <v>16.064977985940772</v>
      </c>
      <c r="F24" s="36">
        <v>17.022861930397713</v>
      </c>
      <c r="G24" s="36">
        <v>18.064717798623793</v>
      </c>
      <c r="H24" s="36">
        <v>19.253766452490314</v>
      </c>
      <c r="I24" s="36">
        <v>20.635042473892746</v>
      </c>
      <c r="J24" s="36">
        <v>22.00029666894897</v>
      </c>
      <c r="K24" s="36">
        <v>22.703750546644375</v>
      </c>
      <c r="L24" s="36">
        <v>23.808954116477018</v>
      </c>
      <c r="M24" s="36">
        <v>24.685698825198909</v>
      </c>
      <c r="N24" s="36">
        <v>25.379889027736517</v>
      </c>
      <c r="O24" s="36">
        <v>26.078043003829197</v>
      </c>
      <c r="P24" s="36">
        <v>26.806806975941285</v>
      </c>
      <c r="Q24" s="36">
        <v>27.58488056437292</v>
      </c>
      <c r="R24" s="36">
        <v>29.470989805274865</v>
      </c>
      <c r="S24" s="36">
        <v>31.439607447721666</v>
      </c>
      <c r="T24" s="36">
        <v>33.404059390505836</v>
      </c>
      <c r="U24" s="36">
        <v>35.273400981485182</v>
      </c>
      <c r="V24" s="36">
        <v>37.01966321979036</v>
      </c>
      <c r="W24" s="36">
        <v>38.567452749089441</v>
      </c>
      <c r="DA24" s="89" t="s">
        <v>925</v>
      </c>
    </row>
    <row r="25" spans="1:105" ht="12" customHeight="1" x14ac:dyDescent="0.25">
      <c r="A25" s="62" t="s">
        <v>164</v>
      </c>
      <c r="B25" s="38">
        <v>1349.4707411894974</v>
      </c>
      <c r="C25" s="38">
        <v>1555.1196828129712</v>
      </c>
      <c r="D25" s="38">
        <v>1823.0272023339212</v>
      </c>
      <c r="E25" s="38">
        <v>2095.458899562771</v>
      </c>
      <c r="F25" s="38">
        <v>1949.7813436634299</v>
      </c>
      <c r="G25" s="38">
        <v>2262.5607169570849</v>
      </c>
      <c r="H25" s="38">
        <v>2557.8366215331657</v>
      </c>
      <c r="I25" s="38">
        <v>2740.9118944821121</v>
      </c>
      <c r="J25" s="38">
        <v>3004.4351802065216</v>
      </c>
      <c r="K25" s="38">
        <v>3075.4171702534272</v>
      </c>
      <c r="L25" s="38">
        <v>3342.7384569421101</v>
      </c>
      <c r="M25" s="38">
        <v>3740.7239258489681</v>
      </c>
      <c r="N25" s="38">
        <v>4198.943650281899</v>
      </c>
      <c r="O25" s="38">
        <v>4693.102051387993</v>
      </c>
      <c r="P25" s="38">
        <v>5123.0587227736141</v>
      </c>
      <c r="Q25" s="38">
        <v>5326.5113781167192</v>
      </c>
      <c r="R25" s="38">
        <v>5834.9280451808308</v>
      </c>
      <c r="S25" s="38">
        <v>6232.6640060948603</v>
      </c>
      <c r="T25" s="38">
        <v>6590.1330341179346</v>
      </c>
      <c r="U25" s="38">
        <v>6467.1619262915965</v>
      </c>
      <c r="V25" s="38">
        <v>6206.2949736908276</v>
      </c>
      <c r="W25" s="38">
        <v>6428.7577416444365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6.2210606384621059</v>
      </c>
      <c r="D28" s="183">
        <v>6.3185911793965204</v>
      </c>
      <c r="E28" s="183">
        <v>6.1914922310910896</v>
      </c>
      <c r="F28" s="183">
        <v>6.8571590222518353</v>
      </c>
      <c r="G28" s="183">
        <v>7.0389545935340294</v>
      </c>
      <c r="H28" s="183">
        <v>7.926606857026897</v>
      </c>
      <c r="I28" s="183">
        <v>8.4645112156495514</v>
      </c>
      <c r="J28" s="183">
        <v>7.9182125763471873</v>
      </c>
      <c r="K28" s="183">
        <v>4.7344740065528157</v>
      </c>
      <c r="L28" s="183">
        <v>7.6753661043823058</v>
      </c>
      <c r="M28" s="183">
        <v>7.2380604767904799</v>
      </c>
      <c r="N28" s="183">
        <v>6.8426996620543719</v>
      </c>
      <c r="O28" s="183">
        <v>7.2041609513214553</v>
      </c>
      <c r="P28" s="183">
        <v>7.6637507060927703</v>
      </c>
      <c r="Q28" s="183">
        <v>8.2077693796598368</v>
      </c>
      <c r="R28" s="183">
        <v>7.8200563141202366</v>
      </c>
      <c r="S28" s="183">
        <v>8.123767812141736</v>
      </c>
      <c r="T28" s="183">
        <v>8.2582800043503966</v>
      </c>
      <c r="U28" s="183">
        <v>8.888881467322804</v>
      </c>
      <c r="V28" s="183">
        <v>8.8685940717186327</v>
      </c>
      <c r="W28" s="183">
        <v>8.5665437115412999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183.796836044467</v>
      </c>
      <c r="D29" s="183">
        <v>189.45037291496851</v>
      </c>
      <c r="E29" s="183">
        <v>199.04659101892389</v>
      </c>
      <c r="F29" s="183">
        <v>223.36787434768144</v>
      </c>
      <c r="G29" s="183">
        <v>231.6677782282361</v>
      </c>
      <c r="H29" s="183">
        <v>248.62394474600092</v>
      </c>
      <c r="I29" s="183">
        <v>250.67365804635551</v>
      </c>
      <c r="J29" s="183">
        <v>218.04477741348342</v>
      </c>
      <c r="K29" s="183">
        <v>235.40138016629044</v>
      </c>
      <c r="L29" s="183">
        <v>229.03172031049962</v>
      </c>
      <c r="M29" s="183">
        <v>273.96846933091024</v>
      </c>
      <c r="N29" s="183">
        <v>295.87501371043754</v>
      </c>
      <c r="O29" s="183">
        <v>334.52912360426262</v>
      </c>
      <c r="P29" s="183">
        <v>359.41881250166557</v>
      </c>
      <c r="Q29" s="183">
        <v>359.71349561018292</v>
      </c>
      <c r="R29" s="183">
        <v>300.94482225037791</v>
      </c>
      <c r="S29" s="183">
        <v>286.80284276036537</v>
      </c>
      <c r="T29" s="183">
        <v>331.77210524680845</v>
      </c>
      <c r="U29" s="183">
        <v>351.87411518585441</v>
      </c>
      <c r="V29" s="183">
        <v>386.57737512454696</v>
      </c>
      <c r="W29" s="183">
        <v>405.01192099521381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4.4363341539734371</v>
      </c>
      <c r="D30" s="183">
        <v>4.7353321538631832</v>
      </c>
      <c r="E30" s="183">
        <v>4.8991690687598819</v>
      </c>
      <c r="F30" s="183">
        <v>5.3490555996477056</v>
      </c>
      <c r="G30" s="183">
        <v>5.4745420148368247</v>
      </c>
      <c r="H30" s="183">
        <v>5.9443486546054203</v>
      </c>
      <c r="I30" s="183">
        <v>5.6854082180605481</v>
      </c>
      <c r="J30" s="183">
        <v>5.867286172232653</v>
      </c>
      <c r="K30" s="183">
        <v>4.8230966112518132</v>
      </c>
      <c r="L30" s="183">
        <v>6.6516747274084906</v>
      </c>
      <c r="M30" s="183">
        <v>6.6816907460638539</v>
      </c>
      <c r="N30" s="183">
        <v>6.9930214258314578</v>
      </c>
      <c r="O30" s="183">
        <v>6.7795641948823011</v>
      </c>
      <c r="P30" s="183">
        <v>7.4138052123696099</v>
      </c>
      <c r="Q30" s="183">
        <v>6.7458144502558</v>
      </c>
      <c r="R30" s="183">
        <v>8.1510601164778365</v>
      </c>
      <c r="S30" s="183">
        <v>8.2629057170891542</v>
      </c>
      <c r="T30" s="183">
        <v>8.5544343766566584</v>
      </c>
      <c r="U30" s="183">
        <v>8.2119294826339129</v>
      </c>
      <c r="V30" s="183">
        <v>8.7065988632703863</v>
      </c>
      <c r="W30" s="183">
        <v>7.8107862892793776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19.638957014984271</v>
      </c>
      <c r="D31" s="183">
        <v>21.103591471754697</v>
      </c>
      <c r="E31" s="183">
        <v>21.503837689242118</v>
      </c>
      <c r="F31" s="183">
        <v>21.890038784044719</v>
      </c>
      <c r="G31" s="183">
        <v>23.376625561517301</v>
      </c>
      <c r="H31" s="183">
        <v>24.092905707653102</v>
      </c>
      <c r="I31" s="183">
        <v>24.878833558550156</v>
      </c>
      <c r="J31" s="183">
        <v>25.564330559802357</v>
      </c>
      <c r="K31" s="183">
        <v>27.053848971611188</v>
      </c>
      <c r="L31" s="183">
        <v>28.123721334320891</v>
      </c>
      <c r="M31" s="183">
        <v>25.291831106278636</v>
      </c>
      <c r="N31" s="183">
        <v>27.902454773824275</v>
      </c>
      <c r="O31" s="183">
        <v>29.927886269376387</v>
      </c>
      <c r="P31" s="183">
        <v>32.264871979310584</v>
      </c>
      <c r="Q31" s="183">
        <v>36.533683535261389</v>
      </c>
      <c r="R31" s="183">
        <v>38.010846500805769</v>
      </c>
      <c r="S31" s="183">
        <v>37.886027007025348</v>
      </c>
      <c r="T31" s="183">
        <v>38.470296703919075</v>
      </c>
      <c r="U31" s="183">
        <v>39.449621404240304</v>
      </c>
      <c r="V31" s="183">
        <v>39.420331996422362</v>
      </c>
      <c r="W31" s="183">
        <v>34.931637132235039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0.96319206614521136</v>
      </c>
      <c r="D32" s="41">
        <v>1.0759814408301569</v>
      </c>
      <c r="E32" s="41">
        <v>1.1992510448943285</v>
      </c>
      <c r="F32" s="41">
        <v>1.5140174214778241</v>
      </c>
      <c r="G32" s="41">
        <v>1.660571866322794</v>
      </c>
      <c r="H32" s="41">
        <v>1.8773896765135696</v>
      </c>
      <c r="I32" s="41">
        <v>2.1470770753857167</v>
      </c>
      <c r="J32" s="41">
        <v>2.2172319720404943</v>
      </c>
      <c r="K32" s="41">
        <v>1.6513059715251224</v>
      </c>
      <c r="L32" s="41">
        <v>2.1597188589021599</v>
      </c>
      <c r="M32" s="41">
        <v>2.0499261598367156</v>
      </c>
      <c r="N32" s="41">
        <v>1.9993914940754038</v>
      </c>
      <c r="O32" s="41">
        <v>2.1502314955702637</v>
      </c>
      <c r="P32" s="41">
        <v>2.3442459182630095</v>
      </c>
      <c r="Q32" s="41">
        <v>2.5753481025901444</v>
      </c>
      <c r="R32" s="41">
        <v>2.8493013070471562</v>
      </c>
      <c r="S32" s="41">
        <v>3.0445990832769603</v>
      </c>
      <c r="T32" s="41">
        <v>3.1637029876784979</v>
      </c>
      <c r="U32" s="41">
        <v>3.38335901245717</v>
      </c>
      <c r="V32" s="41">
        <v>3.4068341046279755</v>
      </c>
      <c r="W32" s="41">
        <v>3.425179205812654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475.54308986137335</v>
      </c>
      <c r="D33" s="42">
        <v>537.80166775884959</v>
      </c>
      <c r="E33" s="42">
        <v>542.32584546674934</v>
      </c>
      <c r="F33" s="42">
        <v>124.21659233855848</v>
      </c>
      <c r="G33" s="42">
        <v>582.67352153155457</v>
      </c>
      <c r="H33" s="42">
        <v>770.81899443745419</v>
      </c>
      <c r="I33" s="42">
        <v>720.87694070779594</v>
      </c>
      <c r="J33" s="42">
        <v>805.8491311911589</v>
      </c>
      <c r="K33" s="42">
        <v>195.19858238546431</v>
      </c>
      <c r="L33" s="42">
        <v>849.99480822023725</v>
      </c>
      <c r="M33" s="42">
        <v>1168.8044633443124</v>
      </c>
      <c r="N33" s="42">
        <v>1179.0966651407271</v>
      </c>
      <c r="O33" s="42">
        <v>1300.007532297253</v>
      </c>
      <c r="P33" s="42">
        <v>625.15525377108497</v>
      </c>
      <c r="Q33" s="42">
        <v>1053.4474635633424</v>
      </c>
      <c r="R33" s="42">
        <v>1677.221130408424</v>
      </c>
      <c r="S33" s="42">
        <v>1576.8326260547565</v>
      </c>
      <c r="T33" s="42">
        <v>1657.4765603203268</v>
      </c>
      <c r="U33" s="42">
        <v>502.18414594474689</v>
      </c>
      <c r="V33" s="42">
        <v>792.5805109625735</v>
      </c>
      <c r="W33" s="42">
        <v>1899.6838983620328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3.3294839069224338</v>
      </c>
      <c r="D36" s="183">
        <v>3.4236603379349901</v>
      </c>
      <c r="E36" s="183">
        <v>3.5205006052675998</v>
      </c>
      <c r="F36" s="183">
        <v>3.6200800571136682</v>
      </c>
      <c r="G36" s="183">
        <v>3.7224761729350604</v>
      </c>
      <c r="H36" s="183">
        <v>3.827768623746266</v>
      </c>
      <c r="I36" s="183">
        <v>3.9360393341037394</v>
      </c>
      <c r="J36" s="183">
        <v>4.0473725458487451</v>
      </c>
      <c r="K36" s="183">
        <v>4.1618548836530351</v>
      </c>
      <c r="L36" s="183">
        <v>4.2795754224187306</v>
      </c>
      <c r="M36" s="183">
        <v>4.4006257565844891</v>
      </c>
      <c r="N36" s="183">
        <v>4.5251000713920888</v>
      </c>
      <c r="O36" s="183">
        <v>4.6530952161688361</v>
      </c>
      <c r="P36" s="183">
        <v>4.7847107796828396</v>
      </c>
      <c r="Q36" s="183">
        <v>4.9200491676296849</v>
      </c>
      <c r="R36" s="183">
        <v>5.0592156823109349</v>
      </c>
      <c r="S36" s="183">
        <v>5.202318604566301</v>
      </c>
      <c r="T36" s="183">
        <v>5.3494692780234345</v>
      </c>
      <c r="U36" s="183">
        <v>6.2210606384620917</v>
      </c>
      <c r="V36" s="183">
        <v>6.3185911793965204</v>
      </c>
      <c r="W36" s="183">
        <v>6.1914922310911038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166.66016268653971</v>
      </c>
      <c r="D37" s="183">
        <v>173.83402964192464</v>
      </c>
      <c r="E37" s="183">
        <v>181.31669485037719</v>
      </c>
      <c r="F37" s="183">
        <v>189.12145049611104</v>
      </c>
      <c r="G37" s="183">
        <v>197.26216092383515</v>
      </c>
      <c r="H37" s="183">
        <v>205.75328726733301</v>
      </c>
      <c r="I37" s="183">
        <v>214.6099131381784</v>
      </c>
      <c r="J37" s="183">
        <v>183.796836044467</v>
      </c>
      <c r="K37" s="183">
        <v>189.45037291496851</v>
      </c>
      <c r="L37" s="183">
        <v>199.04659101892389</v>
      </c>
      <c r="M37" s="183">
        <v>223.36787434768144</v>
      </c>
      <c r="N37" s="183">
        <v>231.6677782282361</v>
      </c>
      <c r="O37" s="183">
        <v>248.62394474600114</v>
      </c>
      <c r="P37" s="183">
        <v>250.67365804635529</v>
      </c>
      <c r="Q37" s="183">
        <v>218.04477741348364</v>
      </c>
      <c r="R37" s="183">
        <v>235.40138016629044</v>
      </c>
      <c r="S37" s="183">
        <v>229.03172031049962</v>
      </c>
      <c r="T37" s="183">
        <v>273.96846933091001</v>
      </c>
      <c r="U37" s="183">
        <v>295.87501371043754</v>
      </c>
      <c r="V37" s="183">
        <v>334.52912360426262</v>
      </c>
      <c r="W37" s="183">
        <v>359.4188125016658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4.1165196116089859</v>
      </c>
      <c r="D38" s="183">
        <v>4.2234600074448032</v>
      </c>
      <c r="E38" s="183">
        <v>4.3331785385357762</v>
      </c>
      <c r="F38" s="183">
        <v>4.4457473762576889</v>
      </c>
      <c r="G38" s="183">
        <v>4.5612405668797642</v>
      </c>
      <c r="H38" s="183">
        <v>4.6797340802712597</v>
      </c>
      <c r="I38" s="183">
        <v>4.4363341539734336</v>
      </c>
      <c r="J38" s="183">
        <v>4.7353321538631832</v>
      </c>
      <c r="K38" s="183">
        <v>4.8991690687598819</v>
      </c>
      <c r="L38" s="183">
        <v>5.3490555996477056</v>
      </c>
      <c r="M38" s="183">
        <v>5.4745420148368211</v>
      </c>
      <c r="N38" s="183">
        <v>5.9443486546054203</v>
      </c>
      <c r="O38" s="183">
        <v>5.6854082180605516</v>
      </c>
      <c r="P38" s="183">
        <v>5.867286172232653</v>
      </c>
      <c r="Q38" s="183">
        <v>4.8230966112518132</v>
      </c>
      <c r="R38" s="183">
        <v>6.6516747274084906</v>
      </c>
      <c r="S38" s="183">
        <v>6.6816907460638504</v>
      </c>
      <c r="T38" s="183">
        <v>6.9930214258314578</v>
      </c>
      <c r="U38" s="183">
        <v>6.7795641948822976</v>
      </c>
      <c r="V38" s="183">
        <v>7.4138052123696099</v>
      </c>
      <c r="W38" s="183">
        <v>6.7458144502558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17.093843091866631</v>
      </c>
      <c r="D39" s="183">
        <v>17.453910968426584</v>
      </c>
      <c r="E39" s="183">
        <v>17.821563381420731</v>
      </c>
      <c r="F39" s="183">
        <v>18.196960092929089</v>
      </c>
      <c r="G39" s="183">
        <v>18.580264230289799</v>
      </c>
      <c r="H39" s="183">
        <v>18.971642356985399</v>
      </c>
      <c r="I39" s="183">
        <v>19.371264545022512</v>
      </c>
      <c r="J39" s="183">
        <v>19.779304448835944</v>
      </c>
      <c r="K39" s="183">
        <v>20.195939380749763</v>
      </c>
      <c r="L39" s="183">
        <v>20.621350388027594</v>
      </c>
      <c r="M39" s="183">
        <v>19.638957014984271</v>
      </c>
      <c r="N39" s="183">
        <v>21.103591471754697</v>
      </c>
      <c r="O39" s="183">
        <v>21.503837689242118</v>
      </c>
      <c r="P39" s="183">
        <v>21.890038784044748</v>
      </c>
      <c r="Q39" s="183">
        <v>23.376625561517301</v>
      </c>
      <c r="R39" s="183">
        <v>24.092905707653131</v>
      </c>
      <c r="S39" s="183">
        <v>24.878833558550127</v>
      </c>
      <c r="T39" s="183">
        <v>25.564330559802386</v>
      </c>
      <c r="U39" s="183">
        <v>27.05384897161116</v>
      </c>
      <c r="V39" s="183">
        <v>28.123721334320919</v>
      </c>
      <c r="W39" s="183">
        <v>25.291831106278607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0.4038704865377305</v>
      </c>
      <c r="D40" s="41">
        <v>0.44931862853962734</v>
      </c>
      <c r="E40" s="41">
        <v>0.49988111704684002</v>
      </c>
      <c r="F40" s="41">
        <v>0.55613347702088234</v>
      </c>
      <c r="G40" s="41">
        <v>0.61871599809671451</v>
      </c>
      <c r="H40" s="41">
        <v>0.68834102264704811</v>
      </c>
      <c r="I40" s="41">
        <v>0.76580105398328513</v>
      </c>
      <c r="J40" s="41">
        <v>0.85197777698427046</v>
      </c>
      <c r="K40" s="41">
        <v>0.94785209382971658</v>
      </c>
      <c r="L40" s="41">
        <v>1.0545152890695171</v>
      </c>
      <c r="M40" s="41">
        <v>1.1731814511148251</v>
      </c>
      <c r="N40" s="41">
        <v>1.3052012915377951</v>
      </c>
      <c r="O40" s="41">
        <v>1.4520775194775837</v>
      </c>
      <c r="P40" s="41">
        <v>1.615481946150922</v>
      </c>
      <c r="Q40" s="41">
        <v>1.7972745141585094</v>
      </c>
      <c r="R40" s="41">
        <v>0.96319206614521136</v>
      </c>
      <c r="S40" s="41">
        <v>1.0759814408301587</v>
      </c>
      <c r="T40" s="41">
        <v>1.199251044894325</v>
      </c>
      <c r="U40" s="41">
        <v>1.5140174214778241</v>
      </c>
      <c r="V40" s="41">
        <v>1.6605718663227975</v>
      </c>
      <c r="W40" s="41">
        <v>1.8773896765135731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269.89414823789957</v>
      </c>
      <c r="D41" s="42">
        <v>269.89414823789957</v>
      </c>
      <c r="E41" s="42">
        <v>269.89414823789957</v>
      </c>
      <c r="F41" s="42">
        <v>269.89414823789934</v>
      </c>
      <c r="G41" s="42">
        <v>269.89414823789957</v>
      </c>
      <c r="H41" s="42">
        <v>475.54308986137357</v>
      </c>
      <c r="I41" s="42">
        <v>537.80166775884936</v>
      </c>
      <c r="J41" s="42">
        <v>542.32584546674934</v>
      </c>
      <c r="K41" s="42">
        <v>124.21659233855871</v>
      </c>
      <c r="L41" s="42">
        <v>582.67352153155434</v>
      </c>
      <c r="M41" s="42">
        <v>770.81899443745442</v>
      </c>
      <c r="N41" s="42">
        <v>720.87694070779617</v>
      </c>
      <c r="O41" s="42">
        <v>805.84913119115936</v>
      </c>
      <c r="P41" s="42">
        <v>195.19858238546385</v>
      </c>
      <c r="Q41" s="42">
        <v>849.99480822023725</v>
      </c>
      <c r="R41" s="42">
        <v>1168.8044633443124</v>
      </c>
      <c r="S41" s="42">
        <v>1179.0966651407271</v>
      </c>
      <c r="T41" s="42">
        <v>1300.0075322972525</v>
      </c>
      <c r="U41" s="42">
        <v>625.15525377108497</v>
      </c>
      <c r="V41" s="42">
        <v>1053.4474635633424</v>
      </c>
      <c r="W41" s="42">
        <v>1677.221130408424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8759.9999999999982</v>
      </c>
      <c r="C44" s="185">
        <v>8760.0000000000018</v>
      </c>
      <c r="D44" s="185">
        <v>8760</v>
      </c>
      <c r="E44" s="185">
        <v>8759.9999999999982</v>
      </c>
      <c r="F44" s="185">
        <v>8759.9999999999982</v>
      </c>
      <c r="G44" s="185">
        <v>8759.9999999999945</v>
      </c>
      <c r="H44" s="185">
        <v>8759.9999999999982</v>
      </c>
      <c r="I44" s="185">
        <v>8759.9999999999982</v>
      </c>
      <c r="J44" s="185">
        <v>8760</v>
      </c>
      <c r="K44" s="185">
        <v>8760</v>
      </c>
      <c r="L44" s="185">
        <v>8760</v>
      </c>
      <c r="M44" s="185">
        <v>8759.9999999999982</v>
      </c>
      <c r="N44" s="185">
        <v>8760.0000000000018</v>
      </c>
      <c r="O44" s="185">
        <v>8759.9999999999982</v>
      </c>
      <c r="P44" s="185">
        <v>8759.9999999999982</v>
      </c>
      <c r="Q44" s="185">
        <v>8759.9999999999964</v>
      </c>
      <c r="R44" s="185">
        <v>8759.9999999999945</v>
      </c>
      <c r="S44" s="185">
        <v>8759.9999999999964</v>
      </c>
      <c r="T44" s="185">
        <v>8759.9999999999982</v>
      </c>
      <c r="U44" s="185">
        <v>8759.9999999999982</v>
      </c>
      <c r="V44" s="185">
        <v>8760</v>
      </c>
      <c r="W44" s="185">
        <v>8759.9999999999964</v>
      </c>
      <c r="DA44" s="194" t="s">
        <v>939</v>
      </c>
    </row>
    <row r="45" spans="1:105" ht="12" customHeight="1" x14ac:dyDescent="0.25">
      <c r="A45" s="132" t="s">
        <v>6</v>
      </c>
      <c r="B45" s="185">
        <v>3975.5726293588768</v>
      </c>
      <c r="C45" s="185">
        <v>3972.4161525746918</v>
      </c>
      <c r="D45" s="185">
        <v>3969.9331186342033</v>
      </c>
      <c r="E45" s="185">
        <v>3969.7959990154959</v>
      </c>
      <c r="F45" s="185">
        <v>3969.4281710821592</v>
      </c>
      <c r="G45" s="185">
        <v>3968.5012614374673</v>
      </c>
      <c r="H45" s="185">
        <v>3966.8794785016066</v>
      </c>
      <c r="I45" s="185">
        <v>3960.7879310454491</v>
      </c>
      <c r="J45" s="185">
        <v>3956.1459287301295</v>
      </c>
      <c r="K45" s="185">
        <v>3950.2914116688262</v>
      </c>
      <c r="L45" s="185">
        <v>3942.9910462779685</v>
      </c>
      <c r="M45" s="185">
        <v>3928.5732371111385</v>
      </c>
      <c r="N45" s="185">
        <v>3901.6915012380623</v>
      </c>
      <c r="O45" s="185">
        <v>3872.7798677867113</v>
      </c>
      <c r="P45" s="185">
        <v>3841.2009501200405</v>
      </c>
      <c r="Q45" s="185">
        <v>3805.9548230550322</v>
      </c>
      <c r="R45" s="185">
        <v>3724.3325086204841</v>
      </c>
      <c r="S45" s="185">
        <v>3752.1186056436732</v>
      </c>
      <c r="T45" s="185">
        <v>3736.8142730129643</v>
      </c>
      <c r="U45" s="185">
        <v>3723.675728043791</v>
      </c>
      <c r="V45" s="185">
        <v>3709.808374654503</v>
      </c>
      <c r="W45" s="185">
        <v>3694.3950716030458</v>
      </c>
      <c r="DA45" s="194" t="s">
        <v>940</v>
      </c>
    </row>
    <row r="46" spans="1:105" ht="12" customHeight="1" x14ac:dyDescent="0.25">
      <c r="A46" s="132" t="s">
        <v>5</v>
      </c>
      <c r="B46" s="185">
        <v>2312.7777575597138</v>
      </c>
      <c r="C46" s="185">
        <v>2326.3212420718178</v>
      </c>
      <c r="D46" s="185">
        <v>2340.6910578338056</v>
      </c>
      <c r="E46" s="185">
        <v>2351.0635724835311</v>
      </c>
      <c r="F46" s="185">
        <v>2368.4183736027876</v>
      </c>
      <c r="G46" s="185">
        <v>2381.8943644258115</v>
      </c>
      <c r="H46" s="185">
        <v>2394.8496285741753</v>
      </c>
      <c r="I46" s="185">
        <v>2405.2575009548673</v>
      </c>
      <c r="J46" s="185">
        <v>2415.0331097797953</v>
      </c>
      <c r="K46" s="185">
        <v>2422.7057762331151</v>
      </c>
      <c r="L46" s="185">
        <v>2426.7959573543935</v>
      </c>
      <c r="M46" s="185">
        <v>2431.7298915571146</v>
      </c>
      <c r="N46" s="185">
        <v>2440.7297698091475</v>
      </c>
      <c r="O46" s="185">
        <v>2443.0810486062637</v>
      </c>
      <c r="P46" s="185">
        <v>2452.7702759165641</v>
      </c>
      <c r="Q46" s="185">
        <v>2457.3771592686189</v>
      </c>
      <c r="R46" s="185">
        <v>2408.4129974426037</v>
      </c>
      <c r="S46" s="185">
        <v>2451.0223477856857</v>
      </c>
      <c r="T46" s="185">
        <v>2440.071197596008</v>
      </c>
      <c r="U46" s="185">
        <v>2433.0402688544145</v>
      </c>
      <c r="V46" s="185">
        <v>2234.1707308071982</v>
      </c>
      <c r="W46" s="185">
        <v>2261.2572042610445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8760</v>
      </c>
      <c r="D47" s="185">
        <v>8760.0000000000036</v>
      </c>
      <c r="E47" s="185">
        <v>8759.9999999999964</v>
      </c>
      <c r="F47" s="185">
        <v>8760</v>
      </c>
      <c r="G47" s="185">
        <v>8759.9999999999982</v>
      </c>
      <c r="H47" s="185">
        <v>8760.0000000000018</v>
      </c>
      <c r="I47" s="185">
        <v>8760.0000000000018</v>
      </c>
      <c r="J47" s="185">
        <v>8759.9999999999982</v>
      </c>
      <c r="K47" s="185">
        <v>8759.9999999999982</v>
      </c>
      <c r="L47" s="185">
        <v>8759.9999999999964</v>
      </c>
      <c r="M47" s="185">
        <v>8760</v>
      </c>
      <c r="N47" s="185">
        <v>8759.9999999999982</v>
      </c>
      <c r="O47" s="185">
        <v>8760</v>
      </c>
      <c r="P47" s="185">
        <v>8760.0000000000018</v>
      </c>
      <c r="Q47" s="185">
        <v>8760</v>
      </c>
      <c r="R47" s="185">
        <v>8760</v>
      </c>
      <c r="S47" s="185">
        <v>8759.9999999999982</v>
      </c>
      <c r="T47" s="185">
        <v>8759.9999999999964</v>
      </c>
      <c r="U47" s="185">
        <v>8759.9999999999964</v>
      </c>
      <c r="V47" s="185">
        <v>8759.9999999999982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802.288926781707</v>
      </c>
      <c r="C48" s="44">
        <v>806.12136638481445</v>
      </c>
      <c r="D48" s="44">
        <v>809.63609287637166</v>
      </c>
      <c r="E48" s="44">
        <v>812.88285879631576</v>
      </c>
      <c r="F48" s="44">
        <v>815.90050114070266</v>
      </c>
      <c r="G48" s="44">
        <v>818.71992727345071</v>
      </c>
      <c r="H48" s="44">
        <v>821.36614321537809</v>
      </c>
      <c r="I48" s="44">
        <v>823.85967112601872</v>
      </c>
      <c r="J48" s="44">
        <v>826.21756445862195</v>
      </c>
      <c r="K48" s="44">
        <v>828.45415064025951</v>
      </c>
      <c r="L48" s="44">
        <v>830.58158468344448</v>
      </c>
      <c r="M48" s="44">
        <v>831.93349077656171</v>
      </c>
      <c r="N48" s="44">
        <v>833.22454348099677</v>
      </c>
      <c r="O48" s="44">
        <v>834.46006859526381</v>
      </c>
      <c r="P48" s="44">
        <v>835.64471865965606</v>
      </c>
      <c r="Q48" s="44">
        <v>836.7825821192165</v>
      </c>
      <c r="R48" s="44">
        <v>822.67598832750366</v>
      </c>
      <c r="S48" s="44">
        <v>828.5331840637723</v>
      </c>
      <c r="T48" s="44">
        <v>829.10151033199816</v>
      </c>
      <c r="U48" s="44">
        <v>826.64954358989678</v>
      </c>
      <c r="V48" s="44">
        <v>759.08164717440923</v>
      </c>
      <c r="W48" s="44">
        <v>768.284544966407</v>
      </c>
      <c r="DA48" s="95" t="s">
        <v>943</v>
      </c>
    </row>
    <row r="49" spans="1:105" ht="12" customHeight="1" x14ac:dyDescent="0.25">
      <c r="A49" s="62" t="s">
        <v>3</v>
      </c>
      <c r="B49" s="186">
        <v>1667.9123770481642</v>
      </c>
      <c r="C49" s="186">
        <v>1703.2973498584549</v>
      </c>
      <c r="D49" s="186">
        <v>1735.354655842443</v>
      </c>
      <c r="E49" s="186">
        <v>1764.7082894417661</v>
      </c>
      <c r="F49" s="186">
        <v>1794.7438403299991</v>
      </c>
      <c r="G49" s="186">
        <v>1822.4178202723078</v>
      </c>
      <c r="H49" s="186">
        <v>1850.9804302726739</v>
      </c>
      <c r="I49" s="186">
        <v>1878.6680001141387</v>
      </c>
      <c r="J49" s="186">
        <v>1900.48817405309</v>
      </c>
      <c r="K49" s="186">
        <v>1912.6570568634806</v>
      </c>
      <c r="L49" s="186">
        <v>1936.050094083954</v>
      </c>
      <c r="M49" s="186">
        <v>1957.7307483265888</v>
      </c>
      <c r="N49" s="186">
        <v>1975.138156896938</v>
      </c>
      <c r="O49" s="186">
        <v>1992.5448700810693</v>
      </c>
      <c r="P49" s="186">
        <v>2012.3230591960491</v>
      </c>
      <c r="Q49" s="186">
        <v>2033.1677798048395</v>
      </c>
      <c r="R49" s="186">
        <v>2010.2849871305996</v>
      </c>
      <c r="S49" s="186">
        <v>2044.845294465146</v>
      </c>
      <c r="T49" s="186">
        <v>2054.3640630912168</v>
      </c>
      <c r="U49" s="186">
        <v>2064.2011921739904</v>
      </c>
      <c r="V49" s="186">
        <v>1962.9681605355688</v>
      </c>
      <c r="W49" s="186">
        <v>1976.7563246307429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0.64765850391921687</v>
      </c>
      <c r="C52" s="181">
        <v>0.64242585462450119</v>
      </c>
      <c r="D52" s="181">
        <v>0.63710712493562405</v>
      </c>
      <c r="E52" s="181">
        <v>0.63190159746468666</v>
      </c>
      <c r="F52" s="181">
        <v>0.62616504330765721</v>
      </c>
      <c r="G52" s="181">
        <v>0.62020717624879773</v>
      </c>
      <c r="H52" s="181">
        <v>0.61360764196565609</v>
      </c>
      <c r="I52" s="181">
        <v>0.60658748677433449</v>
      </c>
      <c r="J52" s="181">
        <v>0.59987993899657044</v>
      </c>
      <c r="K52" s="181">
        <v>0.59493576890510624</v>
      </c>
      <c r="L52" s="181">
        <v>0.5878361025114488</v>
      </c>
      <c r="M52" s="181">
        <v>0.58070614686140576</v>
      </c>
      <c r="N52" s="181">
        <v>0.5734700688602361</v>
      </c>
      <c r="O52" s="181">
        <v>0.56559024834622984</v>
      </c>
      <c r="P52" s="181">
        <v>0.55708367088170652</v>
      </c>
      <c r="Q52" s="181">
        <v>0.54788681766672642</v>
      </c>
      <c r="R52" s="181">
        <v>0.53904960780458189</v>
      </c>
      <c r="S52" s="181">
        <v>0.53002153123559781</v>
      </c>
      <c r="T52" s="181">
        <v>0.52092083483518881</v>
      </c>
      <c r="U52" s="181">
        <v>0.51394992409288809</v>
      </c>
      <c r="V52" s="181">
        <v>0.50717393587996684</v>
      </c>
      <c r="W52" s="181">
        <v>0.50090314732918129</v>
      </c>
      <c r="DA52" s="190" t="s">
        <v>945</v>
      </c>
    </row>
    <row r="53" spans="1:105" ht="12" customHeight="1" x14ac:dyDescent="0.25">
      <c r="A53" s="132" t="s">
        <v>100</v>
      </c>
      <c r="B53" s="181">
        <v>190.42243811452926</v>
      </c>
      <c r="C53" s="181">
        <v>188.71180320220418</v>
      </c>
      <c r="D53" s="181">
        <v>186.70433028158834</v>
      </c>
      <c r="E53" s="181">
        <v>184.33665869052302</v>
      </c>
      <c r="F53" s="181">
        <v>181.43555134045297</v>
      </c>
      <c r="G53" s="181">
        <v>178.02650600946143</v>
      </c>
      <c r="H53" s="181">
        <v>174.10611167058181</v>
      </c>
      <c r="I53" s="181">
        <v>169.9058260747602</v>
      </c>
      <c r="J53" s="181">
        <v>167.54648267299189</v>
      </c>
      <c r="K53" s="181">
        <v>164.94514519452886</v>
      </c>
      <c r="L53" s="181">
        <v>162.26819253787426</v>
      </c>
      <c r="M53" s="181">
        <v>159.15213012786239</v>
      </c>
      <c r="N53" s="181">
        <v>155.53955062388434</v>
      </c>
      <c r="O53" s="181">
        <v>150.93596692415221</v>
      </c>
      <c r="P53" s="181">
        <v>145.4273283145825</v>
      </c>
      <c r="Q53" s="181">
        <v>139.71123905460999</v>
      </c>
      <c r="R53" s="181">
        <v>134.34614315669677</v>
      </c>
      <c r="S53" s="181">
        <v>129.10932323693419</v>
      </c>
      <c r="T53" s="181">
        <v>122.87261501298234</v>
      </c>
      <c r="U53" s="181">
        <v>116.46244853316985</v>
      </c>
      <c r="V53" s="181">
        <v>109.8191003822262</v>
      </c>
      <c r="W53" s="181">
        <v>103.88774462890343</v>
      </c>
      <c r="DA53" s="190" t="s">
        <v>946</v>
      </c>
    </row>
    <row r="54" spans="1:105" ht="12" customHeight="1" x14ac:dyDescent="0.25">
      <c r="A54" s="132" t="s">
        <v>140</v>
      </c>
      <c r="B54" s="181">
        <v>38.588997423742022</v>
      </c>
      <c r="C54" s="181">
        <v>38.054391608604675</v>
      </c>
      <c r="D54" s="181">
        <v>37.405317549179308</v>
      </c>
      <c r="E54" s="181">
        <v>36.684347196466767</v>
      </c>
      <c r="F54" s="181">
        <v>35.85398711757307</v>
      </c>
      <c r="G54" s="181">
        <v>34.906718433474651</v>
      </c>
      <c r="H54" s="181">
        <v>33.82598445695379</v>
      </c>
      <c r="I54" s="181">
        <v>33.170112029085082</v>
      </c>
      <c r="J54" s="181">
        <v>32.444776407167346</v>
      </c>
      <c r="K54" s="181">
        <v>31.747478602251391</v>
      </c>
      <c r="L54" s="181">
        <v>30.857853866557864</v>
      </c>
      <c r="M54" s="181">
        <v>29.95269159064722</v>
      </c>
      <c r="N54" s="181">
        <v>28.968279197524389</v>
      </c>
      <c r="O54" s="181">
        <v>27.998962950230677</v>
      </c>
      <c r="P54" s="181">
        <v>26.940522542560483</v>
      </c>
      <c r="Q54" s="181">
        <v>25.959209791465117</v>
      </c>
      <c r="R54" s="181">
        <v>24.536831531668376</v>
      </c>
      <c r="S54" s="181">
        <v>23.147320287488419</v>
      </c>
      <c r="T54" s="181">
        <v>21.638467470184498</v>
      </c>
      <c r="U54" s="181">
        <v>20.195183909523486</v>
      </c>
      <c r="V54" s="181">
        <v>18.710838741578666</v>
      </c>
      <c r="W54" s="181">
        <v>17.407534955185163</v>
      </c>
      <c r="DA54" s="190" t="s">
        <v>947</v>
      </c>
    </row>
    <row r="55" spans="1:105" ht="12" customHeight="1" x14ac:dyDescent="0.25">
      <c r="A55" s="132" t="s">
        <v>181</v>
      </c>
      <c r="B55" s="181">
        <v>657.69295823924438</v>
      </c>
      <c r="C55" s="181">
        <v>651.63013479246627</v>
      </c>
      <c r="D55" s="181">
        <v>643.6041038602533</v>
      </c>
      <c r="E55" s="181">
        <v>634.81585803229098</v>
      </c>
      <c r="F55" s="181">
        <v>625.42761987582628</v>
      </c>
      <c r="G55" s="181">
        <v>615.07704950236814</v>
      </c>
      <c r="H55" s="181">
        <v>603.76393891804594</v>
      </c>
      <c r="I55" s="181">
        <v>591.46136768156725</v>
      </c>
      <c r="J55" s="181">
        <v>578.17968889290069</v>
      </c>
      <c r="K55" s="181">
        <v>563.7603356119356</v>
      </c>
      <c r="L55" s="181">
        <v>548.29244854130707</v>
      </c>
      <c r="M55" s="181">
        <v>537.58760287670111</v>
      </c>
      <c r="N55" s="181">
        <v>526.71424264371717</v>
      </c>
      <c r="O55" s="181">
        <v>515.00474850161493</v>
      </c>
      <c r="P55" s="181">
        <v>502.18921371041358</v>
      </c>
      <c r="Q55" s="181">
        <v>488.82274751954833</v>
      </c>
      <c r="R55" s="181">
        <v>476.24179577119122</v>
      </c>
      <c r="S55" s="181">
        <v>464.45798142738948</v>
      </c>
      <c r="T55" s="181">
        <v>453.35409069755667</v>
      </c>
      <c r="U55" s="181">
        <v>442.72326589351172</v>
      </c>
      <c r="V55" s="181">
        <v>432.8154102528801</v>
      </c>
      <c r="W55" s="181">
        <v>424.80087042599109</v>
      </c>
      <c r="DA55" s="190" t="s">
        <v>948</v>
      </c>
    </row>
    <row r="56" spans="1:105" ht="12" customHeight="1" x14ac:dyDescent="0.25">
      <c r="A56" s="60" t="s">
        <v>99</v>
      </c>
      <c r="B56" s="55">
        <v>44.948552035511604</v>
      </c>
      <c r="C56" s="55">
        <v>44.791431550794151</v>
      </c>
      <c r="D56" s="55">
        <v>44.614377249703722</v>
      </c>
      <c r="E56" s="55">
        <v>44.416021460384357</v>
      </c>
      <c r="F56" s="55">
        <v>44.168497534438707</v>
      </c>
      <c r="G56" s="55">
        <v>43.897554044735649</v>
      </c>
      <c r="H56" s="55">
        <v>43.591267093402699</v>
      </c>
      <c r="I56" s="55">
        <v>43.251550419548039</v>
      </c>
      <c r="J56" s="55">
        <v>42.904311731323297</v>
      </c>
      <c r="K56" s="55">
        <v>42.610283019525568</v>
      </c>
      <c r="L56" s="55">
        <v>42.231188942111558</v>
      </c>
      <c r="M56" s="55">
        <v>41.814030715473173</v>
      </c>
      <c r="N56" s="55">
        <v>41.343946812609147</v>
      </c>
      <c r="O56" s="55">
        <v>40.790143434409892</v>
      </c>
      <c r="P56" s="55">
        <v>40.145133592548532</v>
      </c>
      <c r="Q56" s="55">
        <v>39.397345143289336</v>
      </c>
      <c r="R56" s="55">
        <v>38.872735438419205</v>
      </c>
      <c r="S56" s="55">
        <v>38.329407195749603</v>
      </c>
      <c r="T56" s="55">
        <v>37.781088150828779</v>
      </c>
      <c r="U56" s="55">
        <v>37.194123879746115</v>
      </c>
      <c r="V56" s="55">
        <v>36.612962429658566</v>
      </c>
      <c r="W56" s="55">
        <v>36.047171306060875</v>
      </c>
      <c r="DA56" s="101" t="s">
        <v>949</v>
      </c>
    </row>
    <row r="57" spans="1:105" ht="12" customHeight="1" x14ac:dyDescent="0.25">
      <c r="A57" s="62" t="s">
        <v>98</v>
      </c>
      <c r="B57" s="63">
        <v>363.5552288006844</v>
      </c>
      <c r="C57" s="63">
        <v>352.77228364748493</v>
      </c>
      <c r="D57" s="63">
        <v>339.74355602603504</v>
      </c>
      <c r="E57" s="63">
        <v>326.36522264572426</v>
      </c>
      <c r="F57" s="63">
        <v>318.699877526119</v>
      </c>
      <c r="G57" s="63">
        <v>301.92414352209636</v>
      </c>
      <c r="H57" s="63">
        <v>284.67543898893962</v>
      </c>
      <c r="I57" s="63">
        <v>269.01917190871302</v>
      </c>
      <c r="J57" s="63">
        <v>254.19888904436732</v>
      </c>
      <c r="K57" s="63">
        <v>250.6919355894704</v>
      </c>
      <c r="L57" s="63">
        <v>234.30507098658728</v>
      </c>
      <c r="M57" s="63">
        <v>215.02063331648188</v>
      </c>
      <c r="N57" s="63">
        <v>200.36055336409615</v>
      </c>
      <c r="O57" s="63">
        <v>187.89887995734051</v>
      </c>
      <c r="P57" s="63">
        <v>185.23147463351918</v>
      </c>
      <c r="Q57" s="63">
        <v>180.56444544819723</v>
      </c>
      <c r="R57" s="63">
        <v>177.15326958298058</v>
      </c>
      <c r="S57" s="63">
        <v>175.7007222897968</v>
      </c>
      <c r="T57" s="63">
        <v>174.4177287397365</v>
      </c>
      <c r="U57" s="63">
        <v>173.66423919988262</v>
      </c>
      <c r="V57" s="63">
        <v>171.86953037857134</v>
      </c>
      <c r="W57" s="63">
        <v>167.10188225589374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0.58065923105524642</v>
      </c>
      <c r="D60" s="181">
        <v>0.5757740014642504</v>
      </c>
      <c r="E60" s="181">
        <v>0.57145678377242148</v>
      </c>
      <c r="F60" s="181">
        <v>0.56621802534779409</v>
      </c>
      <c r="G60" s="181">
        <v>0.55985248377136621</v>
      </c>
      <c r="H60" s="181">
        <v>0.55364127342108305</v>
      </c>
      <c r="I60" s="181">
        <v>0.54617191978238699</v>
      </c>
      <c r="J60" s="181">
        <v>0.53925110809633015</v>
      </c>
      <c r="K60" s="181">
        <v>0.53239088781061561</v>
      </c>
      <c r="L60" s="181">
        <v>0.52421026162305007</v>
      </c>
      <c r="M60" s="181">
        <v>0.51478774832523455</v>
      </c>
      <c r="N60" s="181">
        <v>0.50506691774300971</v>
      </c>
      <c r="O60" s="181">
        <v>0.49456614217904926</v>
      </c>
      <c r="P60" s="181">
        <v>0.48493378762538975</v>
      </c>
      <c r="Q60" s="181">
        <v>0.47454836758720587</v>
      </c>
      <c r="R60" s="181">
        <v>0.47131734699913252</v>
      </c>
      <c r="S60" s="181">
        <v>0.4665788679254716</v>
      </c>
      <c r="T60" s="181">
        <v>0.46218526117385278</v>
      </c>
      <c r="U60" s="181">
        <v>0.4581352455513425</v>
      </c>
      <c r="V60" s="181">
        <v>0.4541467355420557</v>
      </c>
      <c r="W60" s="181">
        <v>0.45239924142113586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177.89778413122968</v>
      </c>
      <c r="D61" s="181">
        <v>175.85657467637057</v>
      </c>
      <c r="E61" s="181">
        <v>173.68747707720087</v>
      </c>
      <c r="F61" s="181">
        <v>171.13356946632859</v>
      </c>
      <c r="G61" s="181">
        <v>167.78463623073227</v>
      </c>
      <c r="H61" s="181">
        <v>164.78123235736615</v>
      </c>
      <c r="I61" s="181">
        <v>162.49490268843974</v>
      </c>
      <c r="J61" s="181">
        <v>159.75312466100837</v>
      </c>
      <c r="K61" s="181">
        <v>156.47795506007006</v>
      </c>
      <c r="L61" s="181">
        <v>153.41165739102613</v>
      </c>
      <c r="M61" s="181">
        <v>150.30389655595809</v>
      </c>
      <c r="N61" s="181">
        <v>144.52436821089756</v>
      </c>
      <c r="O61" s="181">
        <v>137.12114580577554</v>
      </c>
      <c r="P61" s="181">
        <v>129.16812058169589</v>
      </c>
      <c r="Q61" s="181">
        <v>120.93234801423245</v>
      </c>
      <c r="R61" s="181">
        <v>114.4350891362683</v>
      </c>
      <c r="S61" s="181">
        <v>109.19533236194208</v>
      </c>
      <c r="T61" s="181">
        <v>103.95712804432263</v>
      </c>
      <c r="U61" s="181">
        <v>98.722561011456392</v>
      </c>
      <c r="V61" s="181">
        <v>93.489063964766927</v>
      </c>
      <c r="W61" s="181">
        <v>91.509826933379671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35.373928528982603</v>
      </c>
      <c r="D62" s="181">
        <v>34.80404846260835</v>
      </c>
      <c r="E62" s="181">
        <v>34.367398360990109</v>
      </c>
      <c r="F62" s="181">
        <v>33.818188001820111</v>
      </c>
      <c r="G62" s="181">
        <v>33.015458830907313</v>
      </c>
      <c r="H62" s="181">
        <v>32.198863701113112</v>
      </c>
      <c r="I62" s="181">
        <v>31.332171852742114</v>
      </c>
      <c r="J62" s="181">
        <v>30.382063323443806</v>
      </c>
      <c r="K62" s="181">
        <v>29.605976701912432</v>
      </c>
      <c r="L62" s="181">
        <v>28.80566442771109</v>
      </c>
      <c r="M62" s="181">
        <v>27.795708431194416</v>
      </c>
      <c r="N62" s="181">
        <v>26.695437360995548</v>
      </c>
      <c r="O62" s="181">
        <v>25.546686729281863</v>
      </c>
      <c r="P62" s="181">
        <v>24.268121280923335</v>
      </c>
      <c r="Q62" s="181">
        <v>22.843361548097967</v>
      </c>
      <c r="R62" s="181">
        <v>20.8194791383028</v>
      </c>
      <c r="S62" s="181">
        <v>19.71471481566385</v>
      </c>
      <c r="T62" s="181">
        <v>17.950515112253186</v>
      </c>
      <c r="U62" s="181">
        <v>16.54478669747148</v>
      </c>
      <c r="V62" s="181">
        <v>15.372196950880495</v>
      </c>
      <c r="W62" s="181">
        <v>13.987372178483378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598.84242731246763</v>
      </c>
      <c r="D63" s="181">
        <v>582.75635891965692</v>
      </c>
      <c r="E63" s="181">
        <v>574.3763176389815</v>
      </c>
      <c r="F63" s="181">
        <v>567.34669201493034</v>
      </c>
      <c r="G63" s="181">
        <v>559.66093562004789</v>
      </c>
      <c r="H63" s="181">
        <v>549.28738487208443</v>
      </c>
      <c r="I63" s="181">
        <v>538.40774417972932</v>
      </c>
      <c r="J63" s="181">
        <v>526.91732361526817</v>
      </c>
      <c r="K63" s="181">
        <v>515.09694760924162</v>
      </c>
      <c r="L63" s="181">
        <v>502.16186802262843</v>
      </c>
      <c r="M63" s="181">
        <v>484.74468133020497</v>
      </c>
      <c r="N63" s="181">
        <v>474.45263751181852</v>
      </c>
      <c r="O63" s="181">
        <v>459.97608761608325</v>
      </c>
      <c r="P63" s="181">
        <v>443.87745152650359</v>
      </c>
      <c r="Q63" s="181">
        <v>435.92265918855719</v>
      </c>
      <c r="R63" s="181">
        <v>429.32497950626498</v>
      </c>
      <c r="S63" s="181">
        <v>421.09239722976321</v>
      </c>
      <c r="T63" s="181">
        <v>413.17721858199138</v>
      </c>
      <c r="U63" s="181">
        <v>405.7278178718833</v>
      </c>
      <c r="V63" s="181">
        <v>398.37712793973577</v>
      </c>
      <c r="W63" s="181">
        <v>389.01117641222584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42.544264975182699</v>
      </c>
      <c r="D64" s="55">
        <v>42.328610414397957</v>
      </c>
      <c r="E64" s="55">
        <v>42.096527683146114</v>
      </c>
      <c r="F64" s="55">
        <v>41.828595794137023</v>
      </c>
      <c r="G64" s="55">
        <v>41.511650474016804</v>
      </c>
      <c r="H64" s="55">
        <v>41.141742365698846</v>
      </c>
      <c r="I64" s="55">
        <v>40.810436436084522</v>
      </c>
      <c r="J64" s="55">
        <v>40.458181674340075</v>
      </c>
      <c r="K64" s="55">
        <v>40.035117799192619</v>
      </c>
      <c r="L64" s="55">
        <v>39.572807544130633</v>
      </c>
      <c r="M64" s="55">
        <v>38.762828711665705</v>
      </c>
      <c r="N64" s="55">
        <v>37.893089750996012</v>
      </c>
      <c r="O64" s="55">
        <v>37.061644130062078</v>
      </c>
      <c r="P64" s="55">
        <v>36.280027739553297</v>
      </c>
      <c r="Q64" s="55">
        <v>35.487668646434003</v>
      </c>
      <c r="R64" s="55">
        <v>35.034984792574946</v>
      </c>
      <c r="S64" s="55">
        <v>34.4834648108964</v>
      </c>
      <c r="T64" s="55">
        <v>33.967948862123656</v>
      </c>
      <c r="U64" s="55">
        <v>33.472875822044784</v>
      </c>
      <c r="V64" s="55">
        <v>32.983517339047992</v>
      </c>
      <c r="W64" s="55">
        <v>32.724454142710535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328.2928717105591</v>
      </c>
      <c r="D65" s="63">
        <v>314.01920362277031</v>
      </c>
      <c r="E65" s="63">
        <v>299.90197963415153</v>
      </c>
      <c r="F65" s="63">
        <v>286.85051868882732</v>
      </c>
      <c r="G65" s="63">
        <v>274.33554831905997</v>
      </c>
      <c r="H65" s="63">
        <v>260.95486035918708</v>
      </c>
      <c r="I65" s="63">
        <v>247.03888610052897</v>
      </c>
      <c r="J65" s="63">
        <v>234.54865710266407</v>
      </c>
      <c r="K65" s="63">
        <v>219.72389122678408</v>
      </c>
      <c r="L65" s="63">
        <v>202.45576401598581</v>
      </c>
      <c r="M65" s="63">
        <v>190.16116568756217</v>
      </c>
      <c r="N65" s="63">
        <v>182.38918701319656</v>
      </c>
      <c r="O65" s="63">
        <v>176.56572866834154</v>
      </c>
      <c r="P65" s="63">
        <v>175.97691820108867</v>
      </c>
      <c r="Q65" s="63">
        <v>175.5314868688933</v>
      </c>
      <c r="R65" s="63">
        <v>175.3848802040813</v>
      </c>
      <c r="S65" s="63">
        <v>175.32708562225059</v>
      </c>
      <c r="T65" s="63">
        <v>171.27798501271423</v>
      </c>
      <c r="U65" s="63">
        <v>166.65523083514842</v>
      </c>
      <c r="V65" s="63">
        <v>162.09261349205335</v>
      </c>
      <c r="W65" s="63">
        <v>158.83892260676211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514.68171688814652</v>
      </c>
      <c r="C68" s="188">
        <f>1000000*C20/SER_summary!C$8</f>
        <v>530.11018552557448</v>
      </c>
      <c r="D68" s="188">
        <f>1000000*D20/SER_summary!D$8</f>
        <v>543.42145670449486</v>
      </c>
      <c r="E68" s="188">
        <f>1000000*E20/SER_summary!E$8</f>
        <v>556.65736256767389</v>
      </c>
      <c r="F68" s="188">
        <f>1000000*F20/SER_summary!F$8</f>
        <v>568.56965902036347</v>
      </c>
      <c r="G68" s="188">
        <f>1000000*G20/SER_summary!G$8</f>
        <v>579.8838492871032</v>
      </c>
      <c r="H68" s="188">
        <f>1000000*H20/SER_summary!H$8</f>
        <v>592.10087963787407</v>
      </c>
      <c r="I68" s="188">
        <f>1000000*I20/SER_summary!I$8</f>
        <v>606.47087501991803</v>
      </c>
      <c r="J68" s="188">
        <f>1000000*J20/SER_summary!J$8</f>
        <v>622.50878004560445</v>
      </c>
      <c r="K68" s="188">
        <f>1000000*K20/SER_summary!K$8</f>
        <v>637.58727367943948</v>
      </c>
      <c r="L68" s="188">
        <f>1000000*L20/SER_summary!L$8</f>
        <v>650.27859162729101</v>
      </c>
      <c r="M68" s="188">
        <f>1000000*M20/SER_summary!M$8</f>
        <v>661.46501936995503</v>
      </c>
      <c r="N68" s="188">
        <f>1000000*N20/SER_summary!N$8</f>
        <v>672.96503069452046</v>
      </c>
      <c r="O68" s="188">
        <f>1000000*O20/SER_summary!O$8</f>
        <v>685.18944334789489</v>
      </c>
      <c r="P68" s="188">
        <f>1000000*P20/SER_summary!P$8</f>
        <v>698.12986370276656</v>
      </c>
      <c r="Q68" s="188">
        <f>1000000*Q20/SER_summary!Q$8</f>
        <v>711.90496396395281</v>
      </c>
      <c r="R68" s="188">
        <f>1000000*R20/SER_summary!R$8</f>
        <v>717.94382397807078</v>
      </c>
      <c r="S68" s="188">
        <f>1000000*S20/SER_summary!S$8</f>
        <v>724.01447904151405</v>
      </c>
      <c r="T68" s="188">
        <f>1000000*T20/SER_summary!T$8</f>
        <v>729.94877383622315</v>
      </c>
      <c r="U68" s="188">
        <f>1000000*U20/SER_summary!U$8</f>
        <v>735.64471983434112</v>
      </c>
      <c r="V68" s="188">
        <f>1000000*V20/SER_summary!V$8</f>
        <v>740.91247983791482</v>
      </c>
      <c r="W68" s="188">
        <f>1000000*W20/SER_summary!W$8</f>
        <v>745.50181727562267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0.16602434622293202</v>
      </c>
      <c r="C69" s="188">
        <f>1000*C21/SER_summary!C$3</f>
        <v>0.16777252612874177</v>
      </c>
      <c r="D69" s="188">
        <f>1000*D21/SER_summary!D$3</f>
        <v>0.16882086943802929</v>
      </c>
      <c r="E69" s="188">
        <f>1000*E21/SER_summary!E$3</f>
        <v>0.17024618945606121</v>
      </c>
      <c r="F69" s="188">
        <f>1000*F21/SER_summary!F$3</f>
        <v>0.17356762237874782</v>
      </c>
      <c r="G69" s="188">
        <f>1000*G21/SER_summary!G$3</f>
        <v>0.17651862977340568</v>
      </c>
      <c r="H69" s="188">
        <f>1000*H21/SER_summary!H$3</f>
        <v>0.180580263813889</v>
      </c>
      <c r="I69" s="188">
        <f>1000*I21/SER_summary!I$3</f>
        <v>0.18430882582250957</v>
      </c>
      <c r="J69" s="188">
        <f>1000*J21/SER_summary!J$3</f>
        <v>0.18787639183389024</v>
      </c>
      <c r="K69" s="188">
        <f>1000*K21/SER_summary!K$3</f>
        <v>0.19278049497606323</v>
      </c>
      <c r="L69" s="188">
        <f>1000*L21/SER_summary!L$3</f>
        <v>0.19598672180534388</v>
      </c>
      <c r="M69" s="188">
        <f>1000*M21/SER_summary!M$3</f>
        <v>0.20147805204074531</v>
      </c>
      <c r="N69" s="188">
        <f>1000*N21/SER_summary!N$3</f>
        <v>0.2083246618030328</v>
      </c>
      <c r="O69" s="188">
        <f>1000*O21/SER_summary!O$3</f>
        <v>0.21741062234611547</v>
      </c>
      <c r="P69" s="188">
        <f>1000*P21/SER_summary!P$3</f>
        <v>0.22876331128187166</v>
      </c>
      <c r="Q69" s="188">
        <f>1000*Q21/SER_summary!Q$3</f>
        <v>0.24320978599399101</v>
      </c>
      <c r="R69" s="188">
        <f>1000*R21/SER_summary!R$3</f>
        <v>0.24751320443667207</v>
      </c>
      <c r="S69" s="188">
        <f>1000*S21/SER_summary!S$3</f>
        <v>0.25205592241168673</v>
      </c>
      <c r="T69" s="188">
        <f>1000*T21/SER_summary!T$3</f>
        <v>0.25719650240511882</v>
      </c>
      <c r="U69" s="188">
        <f>1000*U21/SER_summary!U$3</f>
        <v>0.26245788127134029</v>
      </c>
      <c r="V69" s="188">
        <f>1000*V21/SER_summary!V$3</f>
        <v>0.26705836163854135</v>
      </c>
      <c r="W69" s="188">
        <f>1000*W21/SER_summary!W$3</f>
        <v>0.27121771032396941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176.73720831271851</v>
      </c>
      <c r="C70" s="188">
        <f>1000000*C22/SER_summary!C$8</f>
        <v>177.55549158230951</v>
      </c>
      <c r="D70" s="188">
        <f>1000000*D22/SER_summary!D$8</f>
        <v>179.00058218115797</v>
      </c>
      <c r="E70" s="188">
        <f>1000000*E22/SER_summary!E$8</f>
        <v>181.31056446472763</v>
      </c>
      <c r="F70" s="188">
        <f>1000000*F22/SER_summary!F$8</f>
        <v>184.21966664417772</v>
      </c>
      <c r="G70" s="188">
        <f>1000000*G22/SER_summary!G$8</f>
        <v>186.86662000620242</v>
      </c>
      <c r="H70" s="188">
        <f>1000000*H22/SER_summary!H$8</f>
        <v>190.45627305172144</v>
      </c>
      <c r="I70" s="188">
        <f>1000000*I22/SER_summary!I$8</f>
        <v>193.82478275387157</v>
      </c>
      <c r="J70" s="188">
        <f>1000000*J22/SER_summary!J$8</f>
        <v>198.32269069058381</v>
      </c>
      <c r="K70" s="188">
        <f>1000000*K22/SER_summary!K$8</f>
        <v>201.55448786830723</v>
      </c>
      <c r="L70" s="188">
        <f>1000000*L22/SER_summary!L$8</f>
        <v>206.94307553608616</v>
      </c>
      <c r="M70" s="188">
        <f>1000000*M22/SER_summary!M$8</f>
        <v>212.31433234104733</v>
      </c>
      <c r="N70" s="188">
        <f>1000000*N22/SER_summary!N$8</f>
        <v>217.81431423280446</v>
      </c>
      <c r="O70" s="188">
        <f>1000000*O22/SER_summary!O$8</f>
        <v>223.35742817663038</v>
      </c>
      <c r="P70" s="188">
        <f>1000000*P22/SER_summary!P$8</f>
        <v>231.14794060478508</v>
      </c>
      <c r="Q70" s="188">
        <f>1000000*Q22/SER_summary!Q$8</f>
        <v>240.57188508599563</v>
      </c>
      <c r="R70" s="188">
        <f>1000000*R22/SER_summary!R$8</f>
        <v>245.86912124948029</v>
      </c>
      <c r="S70" s="188">
        <f>1000000*S22/SER_summary!S$8</f>
        <v>251.23813754456719</v>
      </c>
      <c r="T70" s="188">
        <f>1000000*T22/SER_summary!T$8</f>
        <v>256.38033307693638</v>
      </c>
      <c r="U70" s="188">
        <f>1000000*U22/SER_summary!U$8</f>
        <v>261.11309953018082</v>
      </c>
      <c r="V70" s="188">
        <f>1000000*V22/SER_summary!V$8</f>
        <v>265.09611998528902</v>
      </c>
      <c r="W70" s="188">
        <f>1000000*W22/SER_summary!W$8</f>
        <v>267.89814171067769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2.3504332801631209E-2</v>
      </c>
      <c r="C71" s="188">
        <f>1000*C23/SER_summary!C$3</f>
        <v>2.3766667523714993E-2</v>
      </c>
      <c r="D71" s="188">
        <f>1000*D23/SER_summary!D$3</f>
        <v>2.409344133803094E-2</v>
      </c>
      <c r="E71" s="188">
        <f>1000*E23/SER_summary!E$3</f>
        <v>2.4439066636250555E-2</v>
      </c>
      <c r="F71" s="188">
        <f>1000*F23/SER_summary!F$3</f>
        <v>2.4765659492391019E-2</v>
      </c>
      <c r="G71" s="188">
        <f>1000*G23/SER_summary!G$3</f>
        <v>2.517296848499917E-2</v>
      </c>
      <c r="H71" s="188">
        <f>1000*H23/SER_summary!H$3</f>
        <v>2.5631957435003197E-2</v>
      </c>
      <c r="I71" s="188">
        <f>1000*I23/SER_summary!I$3</f>
        <v>2.6208113405188235E-2</v>
      </c>
      <c r="J71" s="188">
        <f>1000*J23/SER_summary!J$3</f>
        <v>2.6825554308789541E-2</v>
      </c>
      <c r="K71" s="188">
        <f>1000*K23/SER_summary!K$3</f>
        <v>2.7561396163527176E-2</v>
      </c>
      <c r="L71" s="188">
        <f>1000*L23/SER_summary!L$3</f>
        <v>2.8404793003422295E-2</v>
      </c>
      <c r="M71" s="188">
        <f>1000*M23/SER_summary!M$3</f>
        <v>2.8999977164002419E-2</v>
      </c>
      <c r="N71" s="188">
        <f>1000*N23/SER_summary!N$3</f>
        <v>2.9694913768111182E-2</v>
      </c>
      <c r="O71" s="188">
        <f>1000*O23/SER_summary!O$3</f>
        <v>3.0537949827254475E-2</v>
      </c>
      <c r="P71" s="188">
        <f>1000*P23/SER_summary!P$3</f>
        <v>3.1556659960916375E-2</v>
      </c>
      <c r="Q71" s="188">
        <f>1000*Q23/SER_summary!Q$3</f>
        <v>3.280568379925336E-2</v>
      </c>
      <c r="R71" s="188">
        <f>1000*R23/SER_summary!R$3</f>
        <v>3.3969690674118862E-2</v>
      </c>
      <c r="S71" s="188">
        <f>1000*S23/SER_summary!S$3</f>
        <v>3.5172033541792422E-2</v>
      </c>
      <c r="T71" s="188">
        <f>1000*T23/SER_summary!T$3</f>
        <v>3.6437966361903752E-2</v>
      </c>
      <c r="U71" s="188">
        <f>1000*U23/SER_summary!U$3</f>
        <v>3.768706628335889E-2</v>
      </c>
      <c r="V71" s="188">
        <f>1000*V23/SER_summary!V$3</f>
        <v>3.8777145212804238E-2</v>
      </c>
      <c r="W71" s="188">
        <f>1000*W23/SER_summary!W$3</f>
        <v>3.9719131638940024E-2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95.071263013358688</v>
      </c>
      <c r="C72" s="188">
        <f>1000000*C24/SER_summary!C$8</f>
        <v>98.088853551672344</v>
      </c>
      <c r="D72" s="188">
        <f>1000000*D24/SER_summary!D$8</f>
        <v>101.15094879004047</v>
      </c>
      <c r="E72" s="188">
        <f>1000000*E24/SER_summary!E$8</f>
        <v>104.93539416201651</v>
      </c>
      <c r="F72" s="188">
        <f>1000000*F24/SER_summary!F$8</f>
        <v>109.41560493511149</v>
      </c>
      <c r="G72" s="188">
        <f>1000000*G24/SER_summary!G$8</f>
        <v>114.14329094206877</v>
      </c>
      <c r="H72" s="188">
        <f>1000000*H24/SER_summary!H$8</f>
        <v>118.90873779906568</v>
      </c>
      <c r="I72" s="188">
        <f>1000000*I24/SER_summary!I$8</f>
        <v>124.64474599968207</v>
      </c>
      <c r="J72" s="188">
        <f>1000000*J24/SER_summary!J$8</f>
        <v>131.34205364459643</v>
      </c>
      <c r="K72" s="188">
        <f>1000000*K24/SER_summary!K$8</f>
        <v>138.06659088421625</v>
      </c>
      <c r="L72" s="188">
        <f>1000000*L24/SER_summary!L$8</f>
        <v>143.03684642799493</v>
      </c>
      <c r="M72" s="188">
        <f>1000000*M24/SER_summary!M$8</f>
        <v>147.00175046996102</v>
      </c>
      <c r="N72" s="188">
        <f>1000000*N24/SER_summary!N$8</f>
        <v>150.62057458321183</v>
      </c>
      <c r="O72" s="188">
        <f>1000000*O24/SER_summary!O$8</f>
        <v>154.10819038869815</v>
      </c>
      <c r="P72" s="188">
        <f>1000000*P24/SER_summary!P$8</f>
        <v>157.49590502813288</v>
      </c>
      <c r="Q72" s="188">
        <f>1000000*Q24/SER_summary!Q$8</f>
        <v>160.81558053205501</v>
      </c>
      <c r="R72" s="188">
        <f>1000000*R24/SER_summary!R$8</f>
        <v>169.43794683332706</v>
      </c>
      <c r="S72" s="188">
        <f>1000000*S24/SER_summary!S$8</f>
        <v>178.11748390802137</v>
      </c>
      <c r="T72" s="188">
        <f>1000000*T24/SER_summary!T$8</f>
        <v>186.55183117508952</v>
      </c>
      <c r="U72" s="188">
        <f>1000000*U24/SER_summary!U$8</f>
        <v>194.55760275712592</v>
      </c>
      <c r="V72" s="188">
        <f>1000000*V24/SER_summary!V$8</f>
        <v>201.7934518199053</v>
      </c>
      <c r="W72" s="188">
        <f>1000000*W24/SER_summary!W$8</f>
        <v>207.89987938349333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0.1686377623801168</v>
      </c>
      <c r="C73" s="52">
        <f>1000*C25/SER_summary!C$3</f>
        <v>0.19388232794647553</v>
      </c>
      <c r="D73" s="52">
        <f>1000*D25/SER_summary!D$3</f>
        <v>0.2260799344134809</v>
      </c>
      <c r="E73" s="52">
        <f>1000*E25/SER_summary!E$3</f>
        <v>0.2586899107675471</v>
      </c>
      <c r="F73" s="52">
        <f>1000*F25/SER_summary!F$3</f>
        <v>0.23945518740371499</v>
      </c>
      <c r="G73" s="52">
        <f>1000*G25/SER_summary!G$3</f>
        <v>0.27587631720024508</v>
      </c>
      <c r="H73" s="52">
        <f>1000*H25/SER_summary!H$3</f>
        <v>0.30987936485127698</v>
      </c>
      <c r="I73" s="52">
        <f>1000*I25/SER_summary!I$3</f>
        <v>0.33090875154196991</v>
      </c>
      <c r="J73" s="52">
        <f>1000*J25/SER_summary!J$3</f>
        <v>0.36163206044284862</v>
      </c>
      <c r="K73" s="52">
        <f>1000*K25/SER_summary!K$3</f>
        <v>0.36897613237252913</v>
      </c>
      <c r="L73" s="52">
        <f>1000*L25/SER_summary!L$3</f>
        <v>0.4002492032935448</v>
      </c>
      <c r="M73" s="52">
        <f>1000*M25/SER_summary!M$3</f>
        <v>0.44664485684685912</v>
      </c>
      <c r="N73" s="52">
        <f>1000*N25/SER_summary!N$3</f>
        <v>0.49939143957156407</v>
      </c>
      <c r="O73" s="52">
        <f>1000*O25/SER_summary!O$3</f>
        <v>0.55527446637639444</v>
      </c>
      <c r="P73" s="52">
        <f>1000*P25/SER_summary!P$3</f>
        <v>0.6021612112450424</v>
      </c>
      <c r="Q73" s="52">
        <f>1000*Q25/SER_summary!Q$3</f>
        <v>0.62044930592491065</v>
      </c>
      <c r="R73" s="52">
        <f>1000*R25/SER_summary!R$3</f>
        <v>0.67064507716660759</v>
      </c>
      <c r="S73" s="52">
        <f>1000*S25/SER_summary!S$3</f>
        <v>0.71044795583824216</v>
      </c>
      <c r="T73" s="52">
        <f>1000*T25/SER_summary!T$3</f>
        <v>0.74698861801824112</v>
      </c>
      <c r="U73" s="52">
        <f>1000*U25/SER_summary!U$3</f>
        <v>0.73002891780089185</v>
      </c>
      <c r="V73" s="52">
        <f>1000*V25/SER_summary!V$3</f>
        <v>0.69725315689122414</v>
      </c>
      <c r="W73" s="52">
        <f>1000*W25/SER_summary!W$3</f>
        <v>0.71969098374733864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37.447656622869388</v>
      </c>
      <c r="C3" s="199">
        <f>'SER_se-appl'!C4</f>
        <v>38.544311999765831</v>
      </c>
      <c r="D3" s="199">
        <f>'SER_se-appl'!D4</f>
        <v>39.614431336012586</v>
      </c>
      <c r="E3" s="199">
        <f>'SER_se-appl'!E4</f>
        <v>40.562054001446278</v>
      </c>
      <c r="F3" s="199">
        <f>'SER_se-appl'!F4</f>
        <v>41.720566944457701</v>
      </c>
      <c r="G3" s="199">
        <f>'SER_se-appl'!G4</f>
        <v>42.872912076234037</v>
      </c>
      <c r="H3" s="199">
        <f>'SER_se-appl'!H4</f>
        <v>44.311126175192562</v>
      </c>
      <c r="I3" s="199">
        <f>'SER_se-appl'!I4</f>
        <v>45.873214944668021</v>
      </c>
      <c r="J3" s="199">
        <f>'SER_se-appl'!J4</f>
        <v>47.114972933048364</v>
      </c>
      <c r="K3" s="199">
        <f>'SER_se-appl'!K4</f>
        <v>46.983256663295869</v>
      </c>
      <c r="L3" s="199">
        <f>'SER_se-appl'!L4</f>
        <v>47.926144692641259</v>
      </c>
      <c r="M3" s="199">
        <f>'SER_se-appl'!M4</f>
        <v>48.585940783160041</v>
      </c>
      <c r="N3" s="199">
        <f>'SER_se-appl'!N4</f>
        <v>48.981610839985841</v>
      </c>
      <c r="O3" s="199">
        <f>'SER_se-appl'!O4</f>
        <v>49.39537012206506</v>
      </c>
      <c r="P3" s="199">
        <f>'SER_se-appl'!P4</f>
        <v>49.860526146218547</v>
      </c>
      <c r="Q3" s="199">
        <f>'SER_se-appl'!Q4</f>
        <v>50.39416446498003</v>
      </c>
      <c r="R3" s="199">
        <f>'SER_se-appl'!R4</f>
        <v>50.702296625545181</v>
      </c>
      <c r="S3" s="199">
        <f>'SER_se-appl'!S4</f>
        <v>51.01944365404642</v>
      </c>
      <c r="T3" s="199">
        <f>'SER_se-appl'!T4</f>
        <v>51.284748902035211</v>
      </c>
      <c r="U3" s="199">
        <f>'SER_se-appl'!U4</f>
        <v>51.631227319713091</v>
      </c>
      <c r="V3" s="199">
        <f>'SER_se-appl'!V4</f>
        <v>51.924655322393868</v>
      </c>
      <c r="W3" s="199">
        <f>'SER_se-appl'!W4</f>
        <v>52.178738737926288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49.716466498170213</v>
      </c>
      <c r="C5" s="59">
        <f>'SER_se-appl'!C12</f>
        <v>51.172414218867182</v>
      </c>
      <c r="D5" s="59">
        <f>'SER_se-appl'!D12</f>
        <v>52.5931320134505</v>
      </c>
      <c r="E5" s="59">
        <f>'SER_se-appl'!E12</f>
        <v>53.851220095527431</v>
      </c>
      <c r="F5" s="59">
        <f>'SER_se-appl'!F12</f>
        <v>55.389291502744655</v>
      </c>
      <c r="G5" s="59">
        <f>'SER_se-appl'!G12</f>
        <v>56.919174366050477</v>
      </c>
      <c r="H5" s="59">
        <f>'SER_se-appl'!H12</f>
        <v>58.828584180078721</v>
      </c>
      <c r="I5" s="59">
        <f>'SER_se-appl'!I12</f>
        <v>60.902453174256763</v>
      </c>
      <c r="J5" s="59">
        <f>'SER_se-appl'!J12</f>
        <v>62.551042832346177</v>
      </c>
      <c r="K5" s="59">
        <f>'SER_se-appl'!K12</f>
        <v>62.37617294453549</v>
      </c>
      <c r="L5" s="59">
        <f>'SER_se-appl'!L12</f>
        <v>63.627975202673269</v>
      </c>
      <c r="M5" s="59">
        <f>'SER_se-appl'!M12</f>
        <v>64.503937363944218</v>
      </c>
      <c r="N5" s="59">
        <f>'SER_se-appl'!N12</f>
        <v>65.029239048976621</v>
      </c>
      <c r="O5" s="59">
        <f>'SER_se-appl'!O12</f>
        <v>65.578556452011043</v>
      </c>
      <c r="P5" s="59">
        <f>'SER_se-appl'!P12</f>
        <v>66.196109484077837</v>
      </c>
      <c r="Q5" s="59">
        <f>'SER_se-appl'!Q12</f>
        <v>66.904581361611648</v>
      </c>
      <c r="R5" s="59">
        <f>'SER_se-appl'!R12</f>
        <v>67.313665497156478</v>
      </c>
      <c r="S5" s="59">
        <f>'SER_se-appl'!S12</f>
        <v>67.734718001890428</v>
      </c>
      <c r="T5" s="59">
        <f>'SER_se-appl'!T12</f>
        <v>68.086944033181467</v>
      </c>
      <c r="U5" s="59">
        <f>'SER_se-appl'!U12</f>
        <v>68.546937640212718</v>
      </c>
      <c r="V5" s="59">
        <f>'SER_se-appl'!V12</f>
        <v>68.936500159753507</v>
      </c>
      <c r="W5" s="59">
        <f>'SER_se-appl'!W12</f>
        <v>69.273827799324536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514.68171688814652</v>
      </c>
      <c r="C6" s="202">
        <f>'SER_se-appl'!C68</f>
        <v>530.11018552557448</v>
      </c>
      <c r="D6" s="202">
        <f>'SER_se-appl'!D68</f>
        <v>543.42145670449486</v>
      </c>
      <c r="E6" s="202">
        <f>'SER_se-appl'!E68</f>
        <v>556.65736256767389</v>
      </c>
      <c r="F6" s="202">
        <f>'SER_se-appl'!F68</f>
        <v>568.56965902036347</v>
      </c>
      <c r="G6" s="202">
        <f>'SER_se-appl'!G68</f>
        <v>579.8838492871032</v>
      </c>
      <c r="H6" s="202">
        <f>'SER_se-appl'!H68</f>
        <v>592.10087963787407</v>
      </c>
      <c r="I6" s="202">
        <f>'SER_se-appl'!I68</f>
        <v>606.47087501991803</v>
      </c>
      <c r="J6" s="202">
        <f>'SER_se-appl'!J68</f>
        <v>622.50878004560445</v>
      </c>
      <c r="K6" s="202">
        <f>'SER_se-appl'!K68</f>
        <v>637.58727367943948</v>
      </c>
      <c r="L6" s="202">
        <f>'SER_se-appl'!L68</f>
        <v>650.27859162729101</v>
      </c>
      <c r="M6" s="202">
        <f>'SER_se-appl'!M68</f>
        <v>661.46501936995503</v>
      </c>
      <c r="N6" s="202">
        <f>'SER_se-appl'!N68</f>
        <v>672.96503069452046</v>
      </c>
      <c r="O6" s="202">
        <f>'SER_se-appl'!O68</f>
        <v>685.18944334789489</v>
      </c>
      <c r="P6" s="202">
        <f>'SER_se-appl'!P68</f>
        <v>698.12986370276656</v>
      </c>
      <c r="Q6" s="202">
        <f>'SER_se-appl'!Q68</f>
        <v>711.90496396395281</v>
      </c>
      <c r="R6" s="202">
        <f>'SER_se-appl'!R68</f>
        <v>717.94382397807078</v>
      </c>
      <c r="S6" s="202">
        <f>'SER_se-appl'!S68</f>
        <v>724.01447904151405</v>
      </c>
      <c r="T6" s="202">
        <f>'SER_se-appl'!T68</f>
        <v>729.94877383622315</v>
      </c>
      <c r="U6" s="202">
        <f>'SER_se-appl'!U68</f>
        <v>735.64471983434112</v>
      </c>
      <c r="V6" s="202">
        <f>'SER_se-appl'!V68</f>
        <v>740.91247983791482</v>
      </c>
      <c r="W6" s="202">
        <f>'SER_se-appl'!W68</f>
        <v>745.50181727562267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76.763396446302821</v>
      </c>
      <c r="C8" s="34">
        <f>'SER_se-appl'!C20</f>
        <v>79.654973177842493</v>
      </c>
      <c r="D8" s="34">
        <f>'SER_se-appl'!D20</f>
        <v>82.549904019304023</v>
      </c>
      <c r="E8" s="34">
        <f>'SER_se-appl'!E20</f>
        <v>85.220895645127513</v>
      </c>
      <c r="F8" s="34">
        <f>'SER_se-appl'!F20</f>
        <v>88.45797461026568</v>
      </c>
      <c r="G8" s="34">
        <f>'SER_se-appl'!G20</f>
        <v>91.774453030864649</v>
      </c>
      <c r="H8" s="34">
        <f>'SER_se-appl'!H20</f>
        <v>95.87329126414528</v>
      </c>
      <c r="I8" s="34">
        <f>'SER_se-appl'!I20</f>
        <v>100.40176314569109</v>
      </c>
      <c r="J8" s="34">
        <f>'SER_se-appl'!J20</f>
        <v>104.27260317618953</v>
      </c>
      <c r="K8" s="34">
        <f>'SER_se-appl'!K20</f>
        <v>104.84522229908931</v>
      </c>
      <c r="L8" s="34">
        <f>'SER_se-appl'!L20</f>
        <v>108.24101298105289</v>
      </c>
      <c r="M8" s="34">
        <f>'SER_se-appl'!M20</f>
        <v>111.07844770125888</v>
      </c>
      <c r="N8" s="34">
        <f>'SER_se-appl'!N20</f>
        <v>113.39604729192116</v>
      </c>
      <c r="O8" s="34">
        <f>'SER_se-appl'!O20</f>
        <v>115.94711302707378</v>
      </c>
      <c r="P8" s="34">
        <f>'SER_se-appl'!P20</f>
        <v>118.82615295348371</v>
      </c>
      <c r="Q8" s="34">
        <f>'SER_se-appl'!Q20</f>
        <v>122.11387316551387</v>
      </c>
      <c r="R8" s="34">
        <f>'SER_se-appl'!R20</f>
        <v>124.87471379732318</v>
      </c>
      <c r="S8" s="34">
        <f>'SER_se-appl'!S20</f>
        <v>127.79616300489863</v>
      </c>
      <c r="T8" s="34">
        <f>'SER_se-appl'!T20</f>
        <v>130.70497373122561</v>
      </c>
      <c r="U8" s="34">
        <f>'SER_se-appl'!U20</f>
        <v>133.37279456008631</v>
      </c>
      <c r="V8" s="34">
        <f>'SER_se-appl'!V20</f>
        <v>135.92279745240842</v>
      </c>
      <c r="W8" s="34">
        <f>'SER_se-appl'!W20</f>
        <v>138.29784893285861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6.2210606384621059</v>
      </c>
      <c r="D9" s="36">
        <f>'SER_se-appl'!D28</f>
        <v>6.3185911793965204</v>
      </c>
      <c r="E9" s="36">
        <f>'SER_se-appl'!E28</f>
        <v>6.1914922310910896</v>
      </c>
      <c r="F9" s="36">
        <f>'SER_se-appl'!F28</f>
        <v>6.8571590222518353</v>
      </c>
      <c r="G9" s="36">
        <f>'SER_se-appl'!G28</f>
        <v>7.0389545935340294</v>
      </c>
      <c r="H9" s="36">
        <f>'SER_se-appl'!H28</f>
        <v>7.926606857026897</v>
      </c>
      <c r="I9" s="36">
        <f>'SER_se-appl'!I28</f>
        <v>8.4645112156495514</v>
      </c>
      <c r="J9" s="36">
        <f>'SER_se-appl'!J28</f>
        <v>7.9182125763471873</v>
      </c>
      <c r="K9" s="36">
        <f>'SER_se-appl'!K28</f>
        <v>4.7344740065528157</v>
      </c>
      <c r="L9" s="36">
        <f>'SER_se-appl'!L28</f>
        <v>7.6753661043823058</v>
      </c>
      <c r="M9" s="36">
        <f>'SER_se-appl'!M28</f>
        <v>7.2380604767904799</v>
      </c>
      <c r="N9" s="36">
        <f>'SER_se-appl'!N28</f>
        <v>6.8426996620543719</v>
      </c>
      <c r="O9" s="36">
        <f>'SER_se-appl'!O28</f>
        <v>7.2041609513214553</v>
      </c>
      <c r="P9" s="36">
        <f>'SER_se-appl'!P28</f>
        <v>7.6637507060927703</v>
      </c>
      <c r="Q9" s="36">
        <f>'SER_se-appl'!Q28</f>
        <v>8.2077693796598368</v>
      </c>
      <c r="R9" s="36">
        <f>'SER_se-appl'!R28</f>
        <v>7.8200563141202366</v>
      </c>
      <c r="S9" s="36">
        <f>'SER_se-appl'!S28</f>
        <v>8.123767812141736</v>
      </c>
      <c r="T9" s="36">
        <f>'SER_se-appl'!T28</f>
        <v>8.2582800043503966</v>
      </c>
      <c r="U9" s="36">
        <f>'SER_se-appl'!U28</f>
        <v>8.888881467322804</v>
      </c>
      <c r="V9" s="36">
        <f>'SER_se-appl'!V28</f>
        <v>8.8685940717186327</v>
      </c>
      <c r="W9" s="36">
        <f>'SER_se-appl'!W28</f>
        <v>8.5665437115412999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3.3294839069224338</v>
      </c>
      <c r="D10" s="38">
        <f>'SER_se-appl'!D36</f>
        <v>3.4236603379349901</v>
      </c>
      <c r="E10" s="38">
        <f>'SER_se-appl'!E36</f>
        <v>3.5205006052675998</v>
      </c>
      <c r="F10" s="38">
        <f>'SER_se-appl'!F36</f>
        <v>3.6200800571136682</v>
      </c>
      <c r="G10" s="38">
        <f>'SER_se-appl'!G36</f>
        <v>3.7224761729350604</v>
      </c>
      <c r="H10" s="38">
        <f>'SER_se-appl'!H36</f>
        <v>3.827768623746266</v>
      </c>
      <c r="I10" s="38">
        <f>'SER_se-appl'!I36</f>
        <v>3.9360393341037394</v>
      </c>
      <c r="J10" s="38">
        <f>'SER_se-appl'!J36</f>
        <v>4.0473725458487451</v>
      </c>
      <c r="K10" s="38">
        <f>'SER_se-appl'!K36</f>
        <v>4.1618548836530351</v>
      </c>
      <c r="L10" s="38">
        <f>'SER_se-appl'!L36</f>
        <v>4.2795754224187306</v>
      </c>
      <c r="M10" s="38">
        <f>'SER_se-appl'!M36</f>
        <v>4.4006257565844891</v>
      </c>
      <c r="N10" s="38">
        <f>'SER_se-appl'!N36</f>
        <v>4.5251000713920888</v>
      </c>
      <c r="O10" s="38">
        <f>'SER_se-appl'!O36</f>
        <v>4.6530952161688361</v>
      </c>
      <c r="P10" s="38">
        <f>'SER_se-appl'!P36</f>
        <v>4.7847107796828396</v>
      </c>
      <c r="Q10" s="38">
        <f>'SER_se-appl'!Q36</f>
        <v>4.9200491676296849</v>
      </c>
      <c r="R10" s="38">
        <f>'SER_se-appl'!R36</f>
        <v>5.0592156823109349</v>
      </c>
      <c r="S10" s="38">
        <f>'SER_se-appl'!S36</f>
        <v>5.202318604566301</v>
      </c>
      <c r="T10" s="38">
        <f>'SER_se-appl'!T36</f>
        <v>5.3494692780234345</v>
      </c>
      <c r="U10" s="38">
        <f>'SER_se-appl'!U36</f>
        <v>6.2210606384620917</v>
      </c>
      <c r="V10" s="38">
        <f>'SER_se-appl'!V36</f>
        <v>6.3185911793965204</v>
      </c>
      <c r="W10" s="38">
        <f>'SER_se-appl'!W36</f>
        <v>6.1914922310911038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8759.9999999999982</v>
      </c>
      <c r="C12" s="205">
        <f>'SER_se-appl'!C44</f>
        <v>8760.0000000000018</v>
      </c>
      <c r="D12" s="205">
        <f>'SER_se-appl'!D44</f>
        <v>8760</v>
      </c>
      <c r="E12" s="205">
        <f>'SER_se-appl'!E44</f>
        <v>8759.9999999999982</v>
      </c>
      <c r="F12" s="205">
        <f>'SER_se-appl'!F44</f>
        <v>8759.9999999999982</v>
      </c>
      <c r="G12" s="205">
        <f>'SER_se-appl'!G44</f>
        <v>8759.9999999999945</v>
      </c>
      <c r="H12" s="205">
        <f>'SER_se-appl'!H44</f>
        <v>8759.9999999999982</v>
      </c>
      <c r="I12" s="205">
        <f>'SER_se-appl'!I44</f>
        <v>8759.9999999999982</v>
      </c>
      <c r="J12" s="205">
        <f>'SER_se-appl'!J44</f>
        <v>8760</v>
      </c>
      <c r="K12" s="205">
        <f>'SER_se-appl'!K44</f>
        <v>8760</v>
      </c>
      <c r="L12" s="205">
        <f>'SER_se-appl'!L44</f>
        <v>8760</v>
      </c>
      <c r="M12" s="205">
        <f>'SER_se-appl'!M44</f>
        <v>8759.9999999999982</v>
      </c>
      <c r="N12" s="205">
        <f>'SER_se-appl'!N44</f>
        <v>8760.0000000000018</v>
      </c>
      <c r="O12" s="205">
        <f>'SER_se-appl'!O44</f>
        <v>8759.9999999999982</v>
      </c>
      <c r="P12" s="205">
        <f>'SER_se-appl'!P44</f>
        <v>8759.9999999999982</v>
      </c>
      <c r="Q12" s="205">
        <f>'SER_se-appl'!Q44</f>
        <v>8759.9999999999964</v>
      </c>
      <c r="R12" s="205">
        <f>'SER_se-appl'!R44</f>
        <v>8759.9999999999945</v>
      </c>
      <c r="S12" s="205">
        <f>'SER_se-appl'!S44</f>
        <v>8759.9999999999964</v>
      </c>
      <c r="T12" s="205">
        <f>'SER_se-appl'!T44</f>
        <v>8759.9999999999982</v>
      </c>
      <c r="U12" s="205">
        <f>'SER_se-appl'!U44</f>
        <v>8759.9999999999982</v>
      </c>
      <c r="V12" s="205">
        <f>'SER_se-appl'!V44</f>
        <v>8760</v>
      </c>
      <c r="W12" s="205">
        <f>'SER_se-appl'!W44</f>
        <v>8759.9999999999964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0.64765850391921687</v>
      </c>
      <c r="C14" s="59">
        <f>'SER_se-appl'!C52</f>
        <v>0.64242585462450119</v>
      </c>
      <c r="D14" s="59">
        <f>'SER_se-appl'!D52</f>
        <v>0.63710712493562405</v>
      </c>
      <c r="E14" s="59">
        <f>'SER_se-appl'!E52</f>
        <v>0.63190159746468666</v>
      </c>
      <c r="F14" s="59">
        <f>'SER_se-appl'!F52</f>
        <v>0.62616504330765721</v>
      </c>
      <c r="G14" s="59">
        <f>'SER_se-appl'!G52</f>
        <v>0.62020717624879773</v>
      </c>
      <c r="H14" s="59">
        <f>'SER_se-appl'!H52</f>
        <v>0.61360764196565609</v>
      </c>
      <c r="I14" s="59">
        <f>'SER_se-appl'!I52</f>
        <v>0.60658748677433449</v>
      </c>
      <c r="J14" s="59">
        <f>'SER_se-appl'!J52</f>
        <v>0.59987993899657044</v>
      </c>
      <c r="K14" s="59">
        <f>'SER_se-appl'!K52</f>
        <v>0.59493576890510624</v>
      </c>
      <c r="L14" s="59">
        <f>'SER_se-appl'!L52</f>
        <v>0.5878361025114488</v>
      </c>
      <c r="M14" s="59">
        <f>'SER_se-appl'!M52</f>
        <v>0.58070614686140576</v>
      </c>
      <c r="N14" s="59">
        <f>'SER_se-appl'!N52</f>
        <v>0.5734700688602361</v>
      </c>
      <c r="O14" s="59">
        <f>'SER_se-appl'!O52</f>
        <v>0.56559024834622984</v>
      </c>
      <c r="P14" s="59">
        <f>'SER_se-appl'!P52</f>
        <v>0.55708367088170652</v>
      </c>
      <c r="Q14" s="59">
        <f>'SER_se-appl'!Q52</f>
        <v>0.54788681766672642</v>
      </c>
      <c r="R14" s="59">
        <f>'SER_se-appl'!R52</f>
        <v>0.53904960780458189</v>
      </c>
      <c r="S14" s="59">
        <f>'SER_se-appl'!S52</f>
        <v>0.53002153123559781</v>
      </c>
      <c r="T14" s="59">
        <f>'SER_se-appl'!T52</f>
        <v>0.52092083483518881</v>
      </c>
      <c r="U14" s="59">
        <f>'SER_se-appl'!U52</f>
        <v>0.51394992409288809</v>
      </c>
      <c r="V14" s="59">
        <f>'SER_se-appl'!V52</f>
        <v>0.50717393587996684</v>
      </c>
      <c r="W14" s="59">
        <f>'SER_se-appl'!W52</f>
        <v>0.50090314732918129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0.58065923105524642</v>
      </c>
      <c r="D15" s="63">
        <f>'SER_se-appl'!D60</f>
        <v>0.5757740014642504</v>
      </c>
      <c r="E15" s="63">
        <f>'SER_se-appl'!E60</f>
        <v>0.57145678377242148</v>
      </c>
      <c r="F15" s="63">
        <f>'SER_se-appl'!F60</f>
        <v>0.56621802534779409</v>
      </c>
      <c r="G15" s="63">
        <f>'SER_se-appl'!G60</f>
        <v>0.55985248377136621</v>
      </c>
      <c r="H15" s="63">
        <f>'SER_se-appl'!H60</f>
        <v>0.55364127342108305</v>
      </c>
      <c r="I15" s="63">
        <f>'SER_se-appl'!I60</f>
        <v>0.54617191978238699</v>
      </c>
      <c r="J15" s="63">
        <f>'SER_se-appl'!J60</f>
        <v>0.53925110809633015</v>
      </c>
      <c r="K15" s="63">
        <f>'SER_se-appl'!K60</f>
        <v>0.53239088781061561</v>
      </c>
      <c r="L15" s="63">
        <f>'SER_se-appl'!L60</f>
        <v>0.52421026162305007</v>
      </c>
      <c r="M15" s="63">
        <f>'SER_se-appl'!M60</f>
        <v>0.51478774832523455</v>
      </c>
      <c r="N15" s="63">
        <f>'SER_se-appl'!N60</f>
        <v>0.50506691774300971</v>
      </c>
      <c r="O15" s="63">
        <f>'SER_se-appl'!O60</f>
        <v>0.49456614217904926</v>
      </c>
      <c r="P15" s="63">
        <f>'SER_se-appl'!P60</f>
        <v>0.48493378762538975</v>
      </c>
      <c r="Q15" s="63">
        <f>'SER_se-appl'!Q60</f>
        <v>0.47454836758720587</v>
      </c>
      <c r="R15" s="63">
        <f>'SER_se-appl'!R60</f>
        <v>0.47131734699913252</v>
      </c>
      <c r="S15" s="63">
        <f>'SER_se-appl'!S60</f>
        <v>0.4665788679254716</v>
      </c>
      <c r="T15" s="63">
        <f>'SER_se-appl'!T60</f>
        <v>0.46218526117385278</v>
      </c>
      <c r="U15" s="63">
        <f>'SER_se-appl'!U60</f>
        <v>0.4581352455513425</v>
      </c>
      <c r="V15" s="63">
        <f>'SER_se-appl'!V60</f>
        <v>0.4541467355420557</v>
      </c>
      <c r="W15" s="63">
        <f>'SER_se-appl'!W60</f>
        <v>0.45239924142113586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86.480565165208972</v>
      </c>
      <c r="C3" s="199">
        <f>'SER_se-appl'!C5</f>
        <v>86.740221154906152</v>
      </c>
      <c r="D3" s="199">
        <f>'SER_se-appl'!D5</f>
        <v>86.759118225718709</v>
      </c>
      <c r="E3" s="199">
        <f>'SER_se-appl'!E5</f>
        <v>86.771527388435871</v>
      </c>
      <c r="F3" s="199">
        <f>'SER_se-appl'!F5</f>
        <v>87.518727947215879</v>
      </c>
      <c r="G3" s="199">
        <f>'SER_se-appl'!G5</f>
        <v>87.94433042086807</v>
      </c>
      <c r="H3" s="199">
        <f>'SER_se-appl'!H5</f>
        <v>88.518436580054214</v>
      </c>
      <c r="I3" s="199">
        <f>'SER_se-appl'!I5</f>
        <v>88.3370925480897</v>
      </c>
      <c r="J3" s="199">
        <f>'SER_se-appl'!J5</f>
        <v>88.960256615141688</v>
      </c>
      <c r="K3" s="199">
        <f>'SER_se-appl'!K5</f>
        <v>90.023896981043691</v>
      </c>
      <c r="L3" s="199">
        <f>'SER_se-appl'!L5</f>
        <v>90.048823942750943</v>
      </c>
      <c r="M3" s="199">
        <f>'SER_se-appl'!M5</f>
        <v>90.716995467882143</v>
      </c>
      <c r="N3" s="199">
        <f>'SER_se-appl'!N5</f>
        <v>91.401577478118227</v>
      </c>
      <c r="O3" s="199">
        <f>'SER_se-appl'!O5</f>
        <v>92.35680327822277</v>
      </c>
      <c r="P3" s="199">
        <f>'SER_se-appl'!P5</f>
        <v>93.483781166225953</v>
      </c>
      <c r="Q3" s="199">
        <f>'SER_se-appl'!Q5</f>
        <v>95.46251240097061</v>
      </c>
      <c r="R3" s="199">
        <f>'SER_se-appl'!R5</f>
        <v>92.647791843628013</v>
      </c>
      <c r="S3" s="199">
        <f>'SER_se-appl'!S5</f>
        <v>92.107034657512202</v>
      </c>
      <c r="T3" s="199">
        <f>'SER_se-appl'!T5</f>
        <v>89.582288969275382</v>
      </c>
      <c r="U3" s="199">
        <f>'SER_se-appl'!U5</f>
        <v>86.698452505325321</v>
      </c>
      <c r="V3" s="199">
        <f>'SER_se-appl'!V5</f>
        <v>83.271760857877183</v>
      </c>
      <c r="W3" s="199">
        <f>'SER_se-appl'!W5</f>
        <v>79.951567562070338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252.98719622022759</v>
      </c>
      <c r="C5" s="59">
        <f>'SER_se-appl'!C13</f>
        <v>253.94841156753421</v>
      </c>
      <c r="D5" s="59">
        <f>'SER_se-appl'!D13</f>
        <v>254.16260546783295</v>
      </c>
      <c r="E5" s="59">
        <f>'SER_se-appl'!E13</f>
        <v>254.20773857845032</v>
      </c>
      <c r="F5" s="59">
        <f>'SER_se-appl'!F13</f>
        <v>256.42051251644966</v>
      </c>
      <c r="G5" s="59">
        <f>'SER_se-appl'!G13</f>
        <v>257.72766478199895</v>
      </c>
      <c r="H5" s="59">
        <f>'SER_se-appl'!H13</f>
        <v>259.51618217927</v>
      </c>
      <c r="I5" s="59">
        <f>'SER_se-appl'!I13</f>
        <v>259.38283094674841</v>
      </c>
      <c r="J5" s="59">
        <f>'SER_se-appl'!J13</f>
        <v>261.5191155919249</v>
      </c>
      <c r="K5" s="59">
        <f>'SER_se-appl'!K13</f>
        <v>265.03814852667682</v>
      </c>
      <c r="L5" s="59">
        <f>'SER_se-appl'!L13</f>
        <v>265.60238411973415</v>
      </c>
      <c r="M5" s="59">
        <f>'SER_se-appl'!M13</f>
        <v>268.55517095241635</v>
      </c>
      <c r="N5" s="59">
        <f>'SER_se-appl'!N13</f>
        <v>272.44602648190147</v>
      </c>
      <c r="O5" s="59">
        <f>'SER_se-appl'!O13</f>
        <v>277.34848320712405</v>
      </c>
      <c r="P5" s="59">
        <f>'SER_se-appl'!P13</f>
        <v>283.04074404887137</v>
      </c>
      <c r="Q5" s="59">
        <f>'SER_se-appl'!Q13</f>
        <v>291.70840717760007</v>
      </c>
      <c r="R5" s="59">
        <f>'SER_se-appl'!R13</f>
        <v>289.31192815018125</v>
      </c>
      <c r="S5" s="59">
        <f>'SER_se-appl'!S13</f>
        <v>285.49332407979745</v>
      </c>
      <c r="T5" s="59">
        <f>'SER_se-appl'!T13</f>
        <v>278.80487083256708</v>
      </c>
      <c r="U5" s="59">
        <f>'SER_se-appl'!U13</f>
        <v>270.7816352114632</v>
      </c>
      <c r="V5" s="59">
        <f>'SER_se-appl'!V13</f>
        <v>261.05137542779528</v>
      </c>
      <c r="W5" s="59">
        <f>'SER_se-appl'!W13</f>
        <v>251.68849371147789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0.16602434622293202</v>
      </c>
      <c r="C6" s="202">
        <f>'SER_se-appl'!C69</f>
        <v>0.16777252612874177</v>
      </c>
      <c r="D6" s="202">
        <f>'SER_se-appl'!D69</f>
        <v>0.16882086943802929</v>
      </c>
      <c r="E6" s="202">
        <f>'SER_se-appl'!E69</f>
        <v>0.17024618945606121</v>
      </c>
      <c r="F6" s="202">
        <f>'SER_se-appl'!F69</f>
        <v>0.17356762237874782</v>
      </c>
      <c r="G6" s="202">
        <f>'SER_se-appl'!G69</f>
        <v>0.17651862977340568</v>
      </c>
      <c r="H6" s="202">
        <f>'SER_se-appl'!H69</f>
        <v>0.180580263813889</v>
      </c>
      <c r="I6" s="202">
        <f>'SER_se-appl'!I69</f>
        <v>0.18430882582250957</v>
      </c>
      <c r="J6" s="202">
        <f>'SER_se-appl'!J69</f>
        <v>0.18787639183389024</v>
      </c>
      <c r="K6" s="202">
        <f>'SER_se-appl'!K69</f>
        <v>0.19278049497606323</v>
      </c>
      <c r="L6" s="202">
        <f>'SER_se-appl'!L69</f>
        <v>0.19598672180534388</v>
      </c>
      <c r="M6" s="202">
        <f>'SER_se-appl'!M69</f>
        <v>0.20147805204074531</v>
      </c>
      <c r="N6" s="202">
        <f>'SER_se-appl'!N69</f>
        <v>0.2083246618030328</v>
      </c>
      <c r="O6" s="202">
        <f>'SER_se-appl'!O69</f>
        <v>0.21741062234611547</v>
      </c>
      <c r="P6" s="202">
        <f>'SER_se-appl'!P69</f>
        <v>0.22876331128187166</v>
      </c>
      <c r="Q6" s="202">
        <f>'SER_se-appl'!Q69</f>
        <v>0.24320978599399101</v>
      </c>
      <c r="R6" s="202">
        <f>'SER_se-appl'!R69</f>
        <v>0.24751320443667207</v>
      </c>
      <c r="S6" s="202">
        <f>'SER_se-appl'!S69</f>
        <v>0.25205592241168673</v>
      </c>
      <c r="T6" s="202">
        <f>'SER_se-appl'!T69</f>
        <v>0.25719650240511882</v>
      </c>
      <c r="U6" s="202">
        <f>'SER_se-appl'!U69</f>
        <v>0.26245788127134029</v>
      </c>
      <c r="V6" s="202">
        <f>'SER_se-appl'!V69</f>
        <v>0.26705836163854135</v>
      </c>
      <c r="W6" s="202">
        <f>'SER_se-appl'!W69</f>
        <v>0.27121771032396941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1328.5576990042994</v>
      </c>
      <c r="C8" s="34">
        <f>'SER_se-appl'!C21</f>
        <v>1345.6943723622267</v>
      </c>
      <c r="D8" s="34">
        <f>'SER_se-appl'!D21</f>
        <v>1361.3107156352705</v>
      </c>
      <c r="E8" s="34">
        <f>'SER_se-appl'!E21</f>
        <v>1379.0406118038172</v>
      </c>
      <c r="F8" s="34">
        <f>'SER_se-appl'!F21</f>
        <v>1413.2870356553876</v>
      </c>
      <c r="G8" s="34">
        <f>'SER_se-appl'!G21</f>
        <v>1447.6926529597886</v>
      </c>
      <c r="H8" s="34">
        <f>'SER_se-appl'!H21</f>
        <v>1490.5633104384565</v>
      </c>
      <c r="I8" s="34">
        <f>'SER_se-appl'!I21</f>
        <v>1526.6270553466336</v>
      </c>
      <c r="J8" s="34">
        <f>'SER_se-appl'!J21</f>
        <v>1560.87499671565</v>
      </c>
      <c r="K8" s="34">
        <f>'SER_se-appl'!K21</f>
        <v>1606.8260039669719</v>
      </c>
      <c r="L8" s="34">
        <f>'SER_se-appl'!L21</f>
        <v>1636.8111332585477</v>
      </c>
      <c r="M8" s="34">
        <f>'SER_se-appl'!M21</f>
        <v>1687.4117282417765</v>
      </c>
      <c r="N8" s="34">
        <f>'SER_se-appl'!N21</f>
        <v>1751.6189637239779</v>
      </c>
      <c r="O8" s="34">
        <f>'SER_se-appl'!O21</f>
        <v>1837.5241425822396</v>
      </c>
      <c r="P8" s="34">
        <f>'SER_se-appl'!P21</f>
        <v>1946.2692970375497</v>
      </c>
      <c r="Q8" s="34">
        <f>'SER_se-appl'!Q21</f>
        <v>2087.9380152342492</v>
      </c>
      <c r="R8" s="34">
        <f>'SER_se-appl'!R21</f>
        <v>2153.4814573183367</v>
      </c>
      <c r="S8" s="34">
        <f>'SER_se-appl'!S21</f>
        <v>2211.2525797682024</v>
      </c>
      <c r="T8" s="34">
        <f>'SER_se-appl'!T21</f>
        <v>2269.0562156841006</v>
      </c>
      <c r="U8" s="34">
        <f>'SER_se-appl'!U21</f>
        <v>2325.0553171595175</v>
      </c>
      <c r="V8" s="34">
        <f>'SER_se-appl'!V21</f>
        <v>2377.1035686798018</v>
      </c>
      <c r="W8" s="34">
        <f>'SER_se-appl'!W21</f>
        <v>2422.6966771733501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183.796836044467</v>
      </c>
      <c r="D9" s="36">
        <f>'SER_se-appl'!D29</f>
        <v>189.45037291496851</v>
      </c>
      <c r="E9" s="36">
        <f>'SER_se-appl'!E29</f>
        <v>199.04659101892389</v>
      </c>
      <c r="F9" s="36">
        <f>'SER_se-appl'!F29</f>
        <v>223.36787434768144</v>
      </c>
      <c r="G9" s="36">
        <f>'SER_se-appl'!G29</f>
        <v>231.6677782282361</v>
      </c>
      <c r="H9" s="36">
        <f>'SER_se-appl'!H29</f>
        <v>248.62394474600092</v>
      </c>
      <c r="I9" s="36">
        <f>'SER_se-appl'!I29</f>
        <v>250.67365804635551</v>
      </c>
      <c r="J9" s="36">
        <f>'SER_se-appl'!J29</f>
        <v>218.04477741348342</v>
      </c>
      <c r="K9" s="36">
        <f>'SER_se-appl'!K29</f>
        <v>235.40138016629044</v>
      </c>
      <c r="L9" s="36">
        <f>'SER_se-appl'!L29</f>
        <v>229.03172031049962</v>
      </c>
      <c r="M9" s="36">
        <f>'SER_se-appl'!M29</f>
        <v>273.96846933091024</v>
      </c>
      <c r="N9" s="36">
        <f>'SER_se-appl'!N29</f>
        <v>295.87501371043754</v>
      </c>
      <c r="O9" s="36">
        <f>'SER_se-appl'!O29</f>
        <v>334.52912360426262</v>
      </c>
      <c r="P9" s="36">
        <f>'SER_se-appl'!P29</f>
        <v>359.41881250166557</v>
      </c>
      <c r="Q9" s="36">
        <f>'SER_se-appl'!Q29</f>
        <v>359.71349561018292</v>
      </c>
      <c r="R9" s="36">
        <f>'SER_se-appl'!R29</f>
        <v>300.94482225037791</v>
      </c>
      <c r="S9" s="36">
        <f>'SER_se-appl'!S29</f>
        <v>286.80284276036537</v>
      </c>
      <c r="T9" s="36">
        <f>'SER_se-appl'!T29</f>
        <v>331.77210524680845</v>
      </c>
      <c r="U9" s="36">
        <f>'SER_se-appl'!U29</f>
        <v>351.87411518585441</v>
      </c>
      <c r="V9" s="36">
        <f>'SER_se-appl'!V29</f>
        <v>386.57737512454696</v>
      </c>
      <c r="W9" s="36">
        <f>'SER_se-appl'!W29</f>
        <v>405.01192099521381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166.66016268653971</v>
      </c>
      <c r="D10" s="38">
        <f>'SER_se-appl'!D37</f>
        <v>173.83402964192464</v>
      </c>
      <c r="E10" s="38">
        <f>'SER_se-appl'!E37</f>
        <v>181.31669485037719</v>
      </c>
      <c r="F10" s="38">
        <f>'SER_se-appl'!F37</f>
        <v>189.12145049611104</v>
      </c>
      <c r="G10" s="38">
        <f>'SER_se-appl'!G37</f>
        <v>197.26216092383515</v>
      </c>
      <c r="H10" s="38">
        <f>'SER_se-appl'!H37</f>
        <v>205.75328726733301</v>
      </c>
      <c r="I10" s="38">
        <f>'SER_se-appl'!I37</f>
        <v>214.6099131381784</v>
      </c>
      <c r="J10" s="38">
        <f>'SER_se-appl'!J37</f>
        <v>183.796836044467</v>
      </c>
      <c r="K10" s="38">
        <f>'SER_se-appl'!K37</f>
        <v>189.45037291496851</v>
      </c>
      <c r="L10" s="38">
        <f>'SER_se-appl'!L37</f>
        <v>199.04659101892389</v>
      </c>
      <c r="M10" s="38">
        <f>'SER_se-appl'!M37</f>
        <v>223.36787434768144</v>
      </c>
      <c r="N10" s="38">
        <f>'SER_se-appl'!N37</f>
        <v>231.6677782282361</v>
      </c>
      <c r="O10" s="38">
        <f>'SER_se-appl'!O37</f>
        <v>248.62394474600114</v>
      </c>
      <c r="P10" s="38">
        <f>'SER_se-appl'!P37</f>
        <v>250.67365804635529</v>
      </c>
      <c r="Q10" s="38">
        <f>'SER_se-appl'!Q37</f>
        <v>218.04477741348364</v>
      </c>
      <c r="R10" s="38">
        <f>'SER_se-appl'!R37</f>
        <v>235.40138016629044</v>
      </c>
      <c r="S10" s="38">
        <f>'SER_se-appl'!S37</f>
        <v>229.03172031049962</v>
      </c>
      <c r="T10" s="38">
        <f>'SER_se-appl'!T37</f>
        <v>273.96846933091001</v>
      </c>
      <c r="U10" s="38">
        <f>'SER_se-appl'!U37</f>
        <v>295.87501371043754</v>
      </c>
      <c r="V10" s="38">
        <f>'SER_se-appl'!V37</f>
        <v>334.52912360426262</v>
      </c>
      <c r="W10" s="38">
        <f>'SER_se-appl'!W37</f>
        <v>359.4188125016658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3975.5726293588768</v>
      </c>
      <c r="C12" s="205">
        <f>'SER_se-appl'!C45</f>
        <v>3972.4161525746918</v>
      </c>
      <c r="D12" s="205">
        <f>'SER_se-appl'!D45</f>
        <v>3969.9331186342033</v>
      </c>
      <c r="E12" s="205">
        <f>'SER_se-appl'!E45</f>
        <v>3969.7959990154959</v>
      </c>
      <c r="F12" s="205">
        <f>'SER_se-appl'!F45</f>
        <v>3969.4281710821592</v>
      </c>
      <c r="G12" s="205">
        <f>'SER_se-appl'!G45</f>
        <v>3968.5012614374673</v>
      </c>
      <c r="H12" s="205">
        <f>'SER_se-appl'!H45</f>
        <v>3966.8794785016066</v>
      </c>
      <c r="I12" s="205">
        <f>'SER_se-appl'!I45</f>
        <v>3960.7879310454491</v>
      </c>
      <c r="J12" s="205">
        <f>'SER_se-appl'!J45</f>
        <v>3956.1459287301295</v>
      </c>
      <c r="K12" s="205">
        <f>'SER_se-appl'!K45</f>
        <v>3950.2914116688262</v>
      </c>
      <c r="L12" s="205">
        <f>'SER_se-appl'!L45</f>
        <v>3942.9910462779685</v>
      </c>
      <c r="M12" s="205">
        <f>'SER_se-appl'!M45</f>
        <v>3928.5732371111385</v>
      </c>
      <c r="N12" s="205">
        <f>'SER_se-appl'!N45</f>
        <v>3901.6915012380623</v>
      </c>
      <c r="O12" s="205">
        <f>'SER_se-appl'!O45</f>
        <v>3872.7798677867113</v>
      </c>
      <c r="P12" s="205">
        <f>'SER_se-appl'!P45</f>
        <v>3841.2009501200405</v>
      </c>
      <c r="Q12" s="205">
        <f>'SER_se-appl'!Q45</f>
        <v>3805.9548230550322</v>
      </c>
      <c r="R12" s="205">
        <f>'SER_se-appl'!R45</f>
        <v>3724.3325086204841</v>
      </c>
      <c r="S12" s="205">
        <f>'SER_se-appl'!S45</f>
        <v>3752.1186056436732</v>
      </c>
      <c r="T12" s="205">
        <f>'SER_se-appl'!T45</f>
        <v>3736.8142730129643</v>
      </c>
      <c r="U12" s="205">
        <f>'SER_se-appl'!U45</f>
        <v>3723.675728043791</v>
      </c>
      <c r="V12" s="205">
        <f>'SER_se-appl'!V45</f>
        <v>3709.808374654503</v>
      </c>
      <c r="W12" s="205">
        <f>'SER_se-appl'!W45</f>
        <v>3694.3950716030458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190.42243811452926</v>
      </c>
      <c r="C14" s="59">
        <f>'SER_se-appl'!C53</f>
        <v>188.71180320220418</v>
      </c>
      <c r="D14" s="59">
        <f>'SER_se-appl'!D53</f>
        <v>186.70433028158834</v>
      </c>
      <c r="E14" s="59">
        <f>'SER_se-appl'!E53</f>
        <v>184.33665869052302</v>
      </c>
      <c r="F14" s="59">
        <f>'SER_se-appl'!F53</f>
        <v>181.43555134045297</v>
      </c>
      <c r="G14" s="59">
        <f>'SER_se-appl'!G53</f>
        <v>178.02650600946143</v>
      </c>
      <c r="H14" s="59">
        <f>'SER_se-appl'!H53</f>
        <v>174.10611167058181</v>
      </c>
      <c r="I14" s="59">
        <f>'SER_se-appl'!I53</f>
        <v>169.9058260747602</v>
      </c>
      <c r="J14" s="59">
        <f>'SER_se-appl'!J53</f>
        <v>167.54648267299189</v>
      </c>
      <c r="K14" s="59">
        <f>'SER_se-appl'!K53</f>
        <v>164.94514519452886</v>
      </c>
      <c r="L14" s="59">
        <f>'SER_se-appl'!L53</f>
        <v>162.26819253787426</v>
      </c>
      <c r="M14" s="59">
        <f>'SER_se-appl'!M53</f>
        <v>159.15213012786239</v>
      </c>
      <c r="N14" s="59">
        <f>'SER_se-appl'!N53</f>
        <v>155.53955062388434</v>
      </c>
      <c r="O14" s="59">
        <f>'SER_se-appl'!O53</f>
        <v>150.93596692415221</v>
      </c>
      <c r="P14" s="59">
        <f>'SER_se-appl'!P53</f>
        <v>145.4273283145825</v>
      </c>
      <c r="Q14" s="59">
        <f>'SER_se-appl'!Q53</f>
        <v>139.71123905460999</v>
      </c>
      <c r="R14" s="59">
        <f>'SER_se-appl'!R53</f>
        <v>134.34614315669677</v>
      </c>
      <c r="S14" s="59">
        <f>'SER_se-appl'!S53</f>
        <v>129.10932323693419</v>
      </c>
      <c r="T14" s="59">
        <f>'SER_se-appl'!T53</f>
        <v>122.87261501298234</v>
      </c>
      <c r="U14" s="59">
        <f>'SER_se-appl'!U53</f>
        <v>116.46244853316985</v>
      </c>
      <c r="V14" s="59">
        <f>'SER_se-appl'!V53</f>
        <v>109.8191003822262</v>
      </c>
      <c r="W14" s="59">
        <f>'SER_se-appl'!W53</f>
        <v>103.88774462890343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177.89778413122968</v>
      </c>
      <c r="D15" s="63">
        <f>'SER_se-appl'!D61</f>
        <v>175.85657467637057</v>
      </c>
      <c r="E15" s="63">
        <f>'SER_se-appl'!E61</f>
        <v>173.68747707720087</v>
      </c>
      <c r="F15" s="63">
        <f>'SER_se-appl'!F61</f>
        <v>171.13356946632859</v>
      </c>
      <c r="G15" s="63">
        <f>'SER_se-appl'!G61</f>
        <v>167.78463623073227</v>
      </c>
      <c r="H15" s="63">
        <f>'SER_se-appl'!H61</f>
        <v>164.78123235736615</v>
      </c>
      <c r="I15" s="63">
        <f>'SER_se-appl'!I61</f>
        <v>162.49490268843974</v>
      </c>
      <c r="J15" s="63">
        <f>'SER_se-appl'!J61</f>
        <v>159.75312466100837</v>
      </c>
      <c r="K15" s="63">
        <f>'SER_se-appl'!K61</f>
        <v>156.47795506007006</v>
      </c>
      <c r="L15" s="63">
        <f>'SER_se-appl'!L61</f>
        <v>153.41165739102613</v>
      </c>
      <c r="M15" s="63">
        <f>'SER_se-appl'!M61</f>
        <v>150.30389655595809</v>
      </c>
      <c r="N15" s="63">
        <f>'SER_se-appl'!N61</f>
        <v>144.52436821089756</v>
      </c>
      <c r="O15" s="63">
        <f>'SER_se-appl'!O61</f>
        <v>137.12114580577554</v>
      </c>
      <c r="P15" s="63">
        <f>'SER_se-appl'!P61</f>
        <v>129.16812058169589</v>
      </c>
      <c r="Q15" s="63">
        <f>'SER_se-appl'!Q61</f>
        <v>120.93234801423245</v>
      </c>
      <c r="R15" s="63">
        <f>'SER_se-appl'!R61</f>
        <v>114.4350891362683</v>
      </c>
      <c r="S15" s="63">
        <f>'SER_se-appl'!S61</f>
        <v>109.19533236194208</v>
      </c>
      <c r="T15" s="63">
        <f>'SER_se-appl'!T61</f>
        <v>103.95712804432263</v>
      </c>
      <c r="U15" s="63">
        <f>'SER_se-appl'!U61</f>
        <v>98.722561011456392</v>
      </c>
      <c r="V15" s="63">
        <f>'SER_se-appl'!V61</f>
        <v>93.489063964766927</v>
      </c>
      <c r="W15" s="63">
        <f>'SER_se-appl'!W61</f>
        <v>91.509826933379671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202.28380511839984</v>
      </c>
      <c r="C3" s="199">
        <f>'SER_se-appl'!C6</f>
        <v>203.08395409582624</v>
      </c>
      <c r="D3" s="199">
        <f>'SER_se-appl'!D6</f>
        <v>204.70665467651685</v>
      </c>
      <c r="E3" s="199">
        <f>'SER_se-appl'!E6</f>
        <v>205.84802263211893</v>
      </c>
      <c r="F3" s="199">
        <f>'SER_se-appl'!F6</f>
        <v>209.269274114296</v>
      </c>
      <c r="G3" s="199">
        <f>'SER_se-appl'!G6</f>
        <v>211.42888866189773</v>
      </c>
      <c r="H3" s="199">
        <f>'SER_se-appl'!H6</f>
        <v>214.8058930064561</v>
      </c>
      <c r="I3" s="199">
        <f>'SER_se-appl'!I6</f>
        <v>220.12506507172995</v>
      </c>
      <c r="J3" s="199">
        <f>'SER_se-appl'!J6</f>
        <v>223.8129959515139</v>
      </c>
      <c r="K3" s="199">
        <f>'SER_se-appl'!K6</f>
        <v>219.19552162340565</v>
      </c>
      <c r="L3" s="199">
        <f>'SER_se-appl'!L6</f>
        <v>221.80051836540576</v>
      </c>
      <c r="M3" s="199">
        <f>'SER_se-appl'!M6</f>
        <v>223.29227861156139</v>
      </c>
      <c r="N3" s="199">
        <f>'SER_se-appl'!N6</f>
        <v>223.12822835444504</v>
      </c>
      <c r="O3" s="199">
        <f>'SER_se-appl'!O6</f>
        <v>222.30528249603225</v>
      </c>
      <c r="P3" s="199">
        <f>'SER_se-appl'!P6</f>
        <v>223.53679721313912</v>
      </c>
      <c r="Q3" s="199">
        <f>'SER_se-appl'!Q6</f>
        <v>226.34527197738322</v>
      </c>
      <c r="R3" s="199">
        <f>'SER_se-appl'!R6</f>
        <v>217.29901597781119</v>
      </c>
      <c r="S3" s="199">
        <f>'SER_se-appl'!S6</f>
        <v>216.33381337195794</v>
      </c>
      <c r="T3" s="199">
        <f>'SER_se-appl'!T6</f>
        <v>208.41727866560873</v>
      </c>
      <c r="U3" s="199">
        <f>'SER_se-appl'!U6</f>
        <v>200.00699445002638</v>
      </c>
      <c r="V3" s="199">
        <f>'SER_se-appl'!V6</f>
        <v>174.80693761032762</v>
      </c>
      <c r="W3" s="199">
        <f>'SER_se-appl'!W6</f>
        <v>168.20695329328109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1017.2013483946909</v>
      </c>
      <c r="C5" s="59">
        <f>'SER_se-appl'!C14</f>
        <v>1015.279551000869</v>
      </c>
      <c r="D5" s="59">
        <f>'SER_se-appl'!D14</f>
        <v>1017.1091934239058</v>
      </c>
      <c r="E5" s="59">
        <f>'SER_se-appl'!E14</f>
        <v>1018.2678729876466</v>
      </c>
      <c r="F5" s="59">
        <f>'SER_se-appl'!F14</f>
        <v>1027.6063068397054</v>
      </c>
      <c r="G5" s="59">
        <f>'SER_se-appl'!G14</f>
        <v>1032.337122864232</v>
      </c>
      <c r="H5" s="59">
        <f>'SER_se-appl'!H14</f>
        <v>1043.1521486183817</v>
      </c>
      <c r="I5" s="59">
        <f>'SER_se-appl'!I14</f>
        <v>1064.3577686663066</v>
      </c>
      <c r="J5" s="59">
        <f>'SER_se-appl'!J14</f>
        <v>1077.8092989182435</v>
      </c>
      <c r="K5" s="59">
        <f>'SER_se-appl'!K14</f>
        <v>1052.2300897981254</v>
      </c>
      <c r="L5" s="59">
        <f>'SER_se-appl'!L14</f>
        <v>1062.9406319770665</v>
      </c>
      <c r="M5" s="59">
        <f>'SER_se-appl'!M14</f>
        <v>1067.9184432731497</v>
      </c>
      <c r="N5" s="59">
        <f>'SER_se-appl'!N14</f>
        <v>1063.1989365889981</v>
      </c>
      <c r="O5" s="59">
        <f>'SER_se-appl'!O14</f>
        <v>1058.2581518954469</v>
      </c>
      <c r="P5" s="59">
        <f>'SER_se-appl'!P14</f>
        <v>1059.9170159208352</v>
      </c>
      <c r="Q5" s="59">
        <f>'SER_se-appl'!Q14</f>
        <v>1071.221608440618</v>
      </c>
      <c r="R5" s="59">
        <f>'SER_se-appl'!R14</f>
        <v>1049.3165244106647</v>
      </c>
      <c r="S5" s="59">
        <f>'SER_se-appl'!S14</f>
        <v>1026.4950263667949</v>
      </c>
      <c r="T5" s="59">
        <f>'SER_se-appl'!T14</f>
        <v>993.36976448436519</v>
      </c>
      <c r="U5" s="59">
        <f>'SER_se-appl'!U14</f>
        <v>956.03898350150655</v>
      </c>
      <c r="V5" s="59">
        <f>'SER_se-appl'!V14</f>
        <v>909.9594119530841</v>
      </c>
      <c r="W5" s="59">
        <f>'SER_se-appl'!W14</f>
        <v>865.11470836425281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176.73720831271851</v>
      </c>
      <c r="C6" s="202">
        <f>'SER_se-appl'!C70</f>
        <v>177.55549158230951</v>
      </c>
      <c r="D6" s="202">
        <f>'SER_se-appl'!D70</f>
        <v>179.00058218115797</v>
      </c>
      <c r="E6" s="202">
        <f>'SER_se-appl'!E70</f>
        <v>181.31056446472763</v>
      </c>
      <c r="F6" s="202">
        <f>'SER_se-appl'!F70</f>
        <v>184.21966664417772</v>
      </c>
      <c r="G6" s="202">
        <f>'SER_se-appl'!G70</f>
        <v>186.86662000620242</v>
      </c>
      <c r="H6" s="202">
        <f>'SER_se-appl'!H70</f>
        <v>190.45627305172144</v>
      </c>
      <c r="I6" s="202">
        <f>'SER_se-appl'!I70</f>
        <v>193.82478275387157</v>
      </c>
      <c r="J6" s="202">
        <f>'SER_se-appl'!J70</f>
        <v>198.32269069058381</v>
      </c>
      <c r="K6" s="202">
        <f>'SER_se-appl'!K70</f>
        <v>201.55448786830723</v>
      </c>
      <c r="L6" s="202">
        <f>'SER_se-appl'!L70</f>
        <v>206.94307553608616</v>
      </c>
      <c r="M6" s="202">
        <f>'SER_se-appl'!M70</f>
        <v>212.31433234104733</v>
      </c>
      <c r="N6" s="202">
        <f>'SER_se-appl'!N70</f>
        <v>217.81431423280446</v>
      </c>
      <c r="O6" s="202">
        <f>'SER_se-appl'!O70</f>
        <v>223.35742817663038</v>
      </c>
      <c r="P6" s="202">
        <f>'SER_se-appl'!P70</f>
        <v>231.14794060478508</v>
      </c>
      <c r="Q6" s="202">
        <f>'SER_se-appl'!Q70</f>
        <v>240.57188508599563</v>
      </c>
      <c r="R6" s="202">
        <f>'SER_se-appl'!R70</f>
        <v>245.86912124948029</v>
      </c>
      <c r="S6" s="202">
        <f>'SER_se-appl'!S70</f>
        <v>251.23813754456719</v>
      </c>
      <c r="T6" s="202">
        <f>'SER_se-appl'!T70</f>
        <v>256.38033307693638</v>
      </c>
      <c r="U6" s="202">
        <f>'SER_se-appl'!U70</f>
        <v>261.11309953018082</v>
      </c>
      <c r="V6" s="202">
        <f>'SER_se-appl'!V70</f>
        <v>265.09611998528902</v>
      </c>
      <c r="W6" s="202">
        <f>'SER_se-appl'!W70</f>
        <v>267.89814171067769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26.359880180998275</v>
      </c>
      <c r="C8" s="34">
        <f>'SER_se-appl'!C22</f>
        <v>26.679694723362726</v>
      </c>
      <c r="D8" s="34">
        <f>'SER_se-appl'!D22</f>
        <v>27.191566869781106</v>
      </c>
      <c r="E8" s="34">
        <f>'SER_se-appl'!E22</f>
        <v>27.757557400005211</v>
      </c>
      <c r="F8" s="34">
        <f>'SER_se-appl'!F22</f>
        <v>28.660865623395228</v>
      </c>
      <c r="G8" s="34">
        <f>'SER_se-appl'!G22</f>
        <v>29.574167071352289</v>
      </c>
      <c r="H8" s="34">
        <f>'SER_se-appl'!H22</f>
        <v>30.838781645686453</v>
      </c>
      <c r="I8" s="34">
        <f>'SER_se-appl'!I22</f>
        <v>32.087855709773564</v>
      </c>
      <c r="J8" s="34">
        <f>'SER_se-appl'!J22</f>
        <v>33.219809728143034</v>
      </c>
      <c r="K8" s="34">
        <f>'SER_se-appl'!K22</f>
        <v>33.143737270634965</v>
      </c>
      <c r="L8" s="34">
        <f>'SER_se-appl'!L22</f>
        <v>34.44635639839575</v>
      </c>
      <c r="M8" s="34">
        <f>'SER_se-appl'!M22</f>
        <v>35.653505129622779</v>
      </c>
      <c r="N8" s="34">
        <f>'SER_se-appl'!N22</f>
        <v>36.702177900848817</v>
      </c>
      <c r="O8" s="34">
        <f>'SER_se-appl'!O22</f>
        <v>37.79633387767057</v>
      </c>
      <c r="P8" s="34">
        <f>'SER_se-appl'!P22</f>
        <v>39.342852917807527</v>
      </c>
      <c r="Q8" s="34">
        <f>'SER_se-appl'!Q22</f>
        <v>41.265570756811513</v>
      </c>
      <c r="R8" s="34">
        <f>'SER_se-appl'!R22</f>
        <v>42.764956145880859</v>
      </c>
      <c r="S8" s="34">
        <f>'SER_se-appl'!S22</f>
        <v>44.346171116906163</v>
      </c>
      <c r="T8" s="34">
        <f>'SER_se-appl'!T22</f>
        <v>45.907584067731364</v>
      </c>
      <c r="U8" s="34">
        <f>'SER_se-appl'!U22</f>
        <v>47.339949355482979</v>
      </c>
      <c r="V8" s="34">
        <f>'SER_se-appl'!V22</f>
        <v>48.632743006383755</v>
      </c>
      <c r="W8" s="34">
        <f>'SER_se-appl'!W22</f>
        <v>49.697714845407333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4.4363341539734371</v>
      </c>
      <c r="D9" s="36">
        <f>'SER_se-appl'!D30</f>
        <v>4.7353321538631832</v>
      </c>
      <c r="E9" s="36">
        <f>'SER_se-appl'!E30</f>
        <v>4.8991690687598819</v>
      </c>
      <c r="F9" s="36">
        <f>'SER_se-appl'!F30</f>
        <v>5.3490555996477056</v>
      </c>
      <c r="G9" s="36">
        <f>'SER_se-appl'!G30</f>
        <v>5.4745420148368247</v>
      </c>
      <c r="H9" s="36">
        <f>'SER_se-appl'!H30</f>
        <v>5.9443486546054203</v>
      </c>
      <c r="I9" s="36">
        <f>'SER_se-appl'!I30</f>
        <v>5.6854082180605481</v>
      </c>
      <c r="J9" s="36">
        <f>'SER_se-appl'!J30</f>
        <v>5.867286172232653</v>
      </c>
      <c r="K9" s="36">
        <f>'SER_se-appl'!K30</f>
        <v>4.8230966112518132</v>
      </c>
      <c r="L9" s="36">
        <f>'SER_se-appl'!L30</f>
        <v>6.6516747274084906</v>
      </c>
      <c r="M9" s="36">
        <f>'SER_se-appl'!M30</f>
        <v>6.6816907460638539</v>
      </c>
      <c r="N9" s="36">
        <f>'SER_se-appl'!N30</f>
        <v>6.9930214258314578</v>
      </c>
      <c r="O9" s="36">
        <f>'SER_se-appl'!O30</f>
        <v>6.7795641948823011</v>
      </c>
      <c r="P9" s="36">
        <f>'SER_se-appl'!P30</f>
        <v>7.4138052123696099</v>
      </c>
      <c r="Q9" s="36">
        <f>'SER_se-appl'!Q30</f>
        <v>6.7458144502558</v>
      </c>
      <c r="R9" s="36">
        <f>'SER_se-appl'!R30</f>
        <v>8.1510601164778365</v>
      </c>
      <c r="S9" s="36">
        <f>'SER_se-appl'!S30</f>
        <v>8.2629057170891542</v>
      </c>
      <c r="T9" s="36">
        <f>'SER_se-appl'!T30</f>
        <v>8.5544343766566584</v>
      </c>
      <c r="U9" s="36">
        <f>'SER_se-appl'!U30</f>
        <v>8.2119294826339129</v>
      </c>
      <c r="V9" s="36">
        <f>'SER_se-appl'!V30</f>
        <v>8.7065988632703863</v>
      </c>
      <c r="W9" s="36">
        <f>'SER_se-appl'!W30</f>
        <v>7.8107862892793776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4.1165196116089859</v>
      </c>
      <c r="D10" s="38">
        <f>'SER_se-appl'!D38</f>
        <v>4.2234600074448032</v>
      </c>
      <c r="E10" s="38">
        <f>'SER_se-appl'!E38</f>
        <v>4.3331785385357762</v>
      </c>
      <c r="F10" s="38">
        <f>'SER_se-appl'!F38</f>
        <v>4.4457473762576889</v>
      </c>
      <c r="G10" s="38">
        <f>'SER_se-appl'!G38</f>
        <v>4.5612405668797642</v>
      </c>
      <c r="H10" s="38">
        <f>'SER_se-appl'!H38</f>
        <v>4.6797340802712597</v>
      </c>
      <c r="I10" s="38">
        <f>'SER_se-appl'!I38</f>
        <v>4.4363341539734336</v>
      </c>
      <c r="J10" s="38">
        <f>'SER_se-appl'!J38</f>
        <v>4.7353321538631832</v>
      </c>
      <c r="K10" s="38">
        <f>'SER_se-appl'!K38</f>
        <v>4.8991690687598819</v>
      </c>
      <c r="L10" s="38">
        <f>'SER_se-appl'!L38</f>
        <v>5.3490555996477056</v>
      </c>
      <c r="M10" s="38">
        <f>'SER_se-appl'!M38</f>
        <v>5.4745420148368211</v>
      </c>
      <c r="N10" s="38">
        <f>'SER_se-appl'!N38</f>
        <v>5.9443486546054203</v>
      </c>
      <c r="O10" s="38">
        <f>'SER_se-appl'!O38</f>
        <v>5.6854082180605516</v>
      </c>
      <c r="P10" s="38">
        <f>'SER_se-appl'!P38</f>
        <v>5.867286172232653</v>
      </c>
      <c r="Q10" s="38">
        <f>'SER_se-appl'!Q38</f>
        <v>4.8230966112518132</v>
      </c>
      <c r="R10" s="38">
        <f>'SER_se-appl'!R38</f>
        <v>6.6516747274084906</v>
      </c>
      <c r="S10" s="38">
        <f>'SER_se-appl'!S38</f>
        <v>6.6816907460638504</v>
      </c>
      <c r="T10" s="38">
        <f>'SER_se-appl'!T38</f>
        <v>6.9930214258314578</v>
      </c>
      <c r="U10" s="38">
        <f>'SER_se-appl'!U38</f>
        <v>6.7795641948822976</v>
      </c>
      <c r="V10" s="38">
        <f>'SER_se-appl'!V38</f>
        <v>7.4138052123696099</v>
      </c>
      <c r="W10" s="38">
        <f>'SER_se-appl'!W38</f>
        <v>6.7458144502558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2312.7777575597138</v>
      </c>
      <c r="C12" s="205">
        <f>'SER_se-appl'!C46</f>
        <v>2326.3212420718178</v>
      </c>
      <c r="D12" s="205">
        <f>'SER_se-appl'!D46</f>
        <v>2340.6910578338056</v>
      </c>
      <c r="E12" s="205">
        <f>'SER_se-appl'!E46</f>
        <v>2351.0635724835311</v>
      </c>
      <c r="F12" s="205">
        <f>'SER_se-appl'!F46</f>
        <v>2368.4183736027876</v>
      </c>
      <c r="G12" s="205">
        <f>'SER_se-appl'!G46</f>
        <v>2381.8943644258115</v>
      </c>
      <c r="H12" s="205">
        <f>'SER_se-appl'!H46</f>
        <v>2394.8496285741753</v>
      </c>
      <c r="I12" s="205">
        <f>'SER_se-appl'!I46</f>
        <v>2405.2575009548673</v>
      </c>
      <c r="J12" s="205">
        <f>'SER_se-appl'!J46</f>
        <v>2415.0331097797953</v>
      </c>
      <c r="K12" s="205">
        <f>'SER_se-appl'!K46</f>
        <v>2422.7057762331151</v>
      </c>
      <c r="L12" s="205">
        <f>'SER_se-appl'!L46</f>
        <v>2426.7959573543935</v>
      </c>
      <c r="M12" s="205">
        <f>'SER_se-appl'!M46</f>
        <v>2431.7298915571146</v>
      </c>
      <c r="N12" s="205">
        <f>'SER_se-appl'!N46</f>
        <v>2440.7297698091475</v>
      </c>
      <c r="O12" s="205">
        <f>'SER_se-appl'!O46</f>
        <v>2443.0810486062637</v>
      </c>
      <c r="P12" s="205">
        <f>'SER_se-appl'!P46</f>
        <v>2452.7702759165641</v>
      </c>
      <c r="Q12" s="205">
        <f>'SER_se-appl'!Q46</f>
        <v>2457.3771592686189</v>
      </c>
      <c r="R12" s="205">
        <f>'SER_se-appl'!R46</f>
        <v>2408.4129974426037</v>
      </c>
      <c r="S12" s="205">
        <f>'SER_se-appl'!S46</f>
        <v>2451.0223477856857</v>
      </c>
      <c r="T12" s="205">
        <f>'SER_se-appl'!T46</f>
        <v>2440.071197596008</v>
      </c>
      <c r="U12" s="205">
        <f>'SER_se-appl'!U46</f>
        <v>2433.0402688544145</v>
      </c>
      <c r="V12" s="205">
        <f>'SER_se-appl'!V46</f>
        <v>2234.1707308071982</v>
      </c>
      <c r="W12" s="205">
        <f>'SER_se-appl'!W46</f>
        <v>2261.2572042610445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38.588997423742022</v>
      </c>
      <c r="C14" s="59">
        <f>'SER_se-appl'!C54</f>
        <v>38.054391608604675</v>
      </c>
      <c r="D14" s="59">
        <f>'SER_se-appl'!D54</f>
        <v>37.405317549179308</v>
      </c>
      <c r="E14" s="59">
        <f>'SER_se-appl'!E54</f>
        <v>36.684347196466767</v>
      </c>
      <c r="F14" s="59">
        <f>'SER_se-appl'!F54</f>
        <v>35.85398711757307</v>
      </c>
      <c r="G14" s="59">
        <f>'SER_se-appl'!G54</f>
        <v>34.906718433474651</v>
      </c>
      <c r="H14" s="59">
        <f>'SER_se-appl'!H54</f>
        <v>33.82598445695379</v>
      </c>
      <c r="I14" s="59">
        <f>'SER_se-appl'!I54</f>
        <v>33.170112029085082</v>
      </c>
      <c r="J14" s="59">
        <f>'SER_se-appl'!J54</f>
        <v>32.444776407167346</v>
      </c>
      <c r="K14" s="59">
        <f>'SER_se-appl'!K54</f>
        <v>31.747478602251391</v>
      </c>
      <c r="L14" s="59">
        <f>'SER_se-appl'!L54</f>
        <v>30.857853866557864</v>
      </c>
      <c r="M14" s="59">
        <f>'SER_se-appl'!M54</f>
        <v>29.95269159064722</v>
      </c>
      <c r="N14" s="59">
        <f>'SER_se-appl'!N54</f>
        <v>28.968279197524389</v>
      </c>
      <c r="O14" s="59">
        <f>'SER_se-appl'!O54</f>
        <v>27.998962950230677</v>
      </c>
      <c r="P14" s="59">
        <f>'SER_se-appl'!P54</f>
        <v>26.940522542560483</v>
      </c>
      <c r="Q14" s="59">
        <f>'SER_se-appl'!Q54</f>
        <v>25.959209791465117</v>
      </c>
      <c r="R14" s="59">
        <f>'SER_se-appl'!R54</f>
        <v>24.536831531668376</v>
      </c>
      <c r="S14" s="59">
        <f>'SER_se-appl'!S54</f>
        <v>23.147320287488419</v>
      </c>
      <c r="T14" s="59">
        <f>'SER_se-appl'!T54</f>
        <v>21.638467470184498</v>
      </c>
      <c r="U14" s="59">
        <f>'SER_se-appl'!U54</f>
        <v>20.195183909523486</v>
      </c>
      <c r="V14" s="59">
        <f>'SER_se-appl'!V54</f>
        <v>18.710838741578666</v>
      </c>
      <c r="W14" s="59">
        <f>'SER_se-appl'!W54</f>
        <v>17.407534955185163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35.373928528982603</v>
      </c>
      <c r="D15" s="63">
        <f>'SER_se-appl'!D62</f>
        <v>34.80404846260835</v>
      </c>
      <c r="E15" s="63">
        <f>'SER_se-appl'!E62</f>
        <v>34.367398360990109</v>
      </c>
      <c r="F15" s="63">
        <f>'SER_se-appl'!F62</f>
        <v>33.818188001820111</v>
      </c>
      <c r="G15" s="63">
        <f>'SER_se-appl'!G62</f>
        <v>33.015458830907313</v>
      </c>
      <c r="H15" s="63">
        <f>'SER_se-appl'!H62</f>
        <v>32.198863701113112</v>
      </c>
      <c r="I15" s="63">
        <f>'SER_se-appl'!I62</f>
        <v>31.332171852742114</v>
      </c>
      <c r="J15" s="63">
        <f>'SER_se-appl'!J62</f>
        <v>30.382063323443806</v>
      </c>
      <c r="K15" s="63">
        <f>'SER_se-appl'!K62</f>
        <v>29.605976701912432</v>
      </c>
      <c r="L15" s="63">
        <f>'SER_se-appl'!L62</f>
        <v>28.80566442771109</v>
      </c>
      <c r="M15" s="63">
        <f>'SER_se-appl'!M62</f>
        <v>27.795708431194416</v>
      </c>
      <c r="N15" s="63">
        <f>'SER_se-appl'!N62</f>
        <v>26.695437360995548</v>
      </c>
      <c r="O15" s="63">
        <f>'SER_se-appl'!O62</f>
        <v>25.546686729281863</v>
      </c>
      <c r="P15" s="63">
        <f>'SER_se-appl'!P62</f>
        <v>24.268121280923335</v>
      </c>
      <c r="Q15" s="63">
        <f>'SER_se-appl'!Q62</f>
        <v>22.843361548097967</v>
      </c>
      <c r="R15" s="63">
        <f>'SER_se-appl'!R62</f>
        <v>20.8194791383028</v>
      </c>
      <c r="S15" s="63">
        <f>'SER_se-appl'!S62</f>
        <v>19.71471481566385</v>
      </c>
      <c r="T15" s="63">
        <f>'SER_se-appl'!T62</f>
        <v>17.950515112253186</v>
      </c>
      <c r="U15" s="63">
        <f>'SER_se-appl'!U62</f>
        <v>16.54478669747148</v>
      </c>
      <c r="V15" s="63">
        <f>'SER_se-appl'!V62</f>
        <v>15.372196950880495</v>
      </c>
      <c r="W15" s="63">
        <f>'SER_se-appl'!W62</f>
        <v>13.987372178483378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93.176019407284599</v>
      </c>
      <c r="C3" s="199">
        <f>'SER_se-appl'!C7</f>
        <v>93.566295453013538</v>
      </c>
      <c r="D3" s="199">
        <f>'SER_se-appl'!D7</f>
        <v>94.183139393477887</v>
      </c>
      <c r="E3" s="199">
        <f>'SER_se-appl'!E7</f>
        <v>94.657805127665213</v>
      </c>
      <c r="F3" s="199">
        <f>'SER_se-appl'!F7</f>
        <v>94.997681511232088</v>
      </c>
      <c r="G3" s="199">
        <f>'SER_se-appl'!G7</f>
        <v>95.647620173085102</v>
      </c>
      <c r="H3" s="199">
        <f>'SER_se-appl'!H7</f>
        <v>96.217369357157807</v>
      </c>
      <c r="I3" s="199">
        <f>'SER_se-appl'!I7</f>
        <v>96.710439380092311</v>
      </c>
      <c r="J3" s="199">
        <f>'SER_se-appl'!J7</f>
        <v>97.058112243494293</v>
      </c>
      <c r="K3" s="199">
        <f>'SER_se-appl'!K7</f>
        <v>97.549687522683158</v>
      </c>
      <c r="L3" s="199">
        <f>'SER_se-appl'!L7</f>
        <v>97.971601286420764</v>
      </c>
      <c r="M3" s="199">
        <f>'SER_se-appl'!M7</f>
        <v>98.347791631142783</v>
      </c>
      <c r="N3" s="199">
        <f>'SER_se-appl'!N7</f>
        <v>99.055928891362726</v>
      </c>
      <c r="O3" s="199">
        <f>'SER_se-appl'!O7</f>
        <v>100.12160355212299</v>
      </c>
      <c r="P3" s="199">
        <f>'SER_se-appl'!P7</f>
        <v>101.55454375580305</v>
      </c>
      <c r="Q3" s="199">
        <f>'SER_se-appl'!Q7</f>
        <v>103.69586763945183</v>
      </c>
      <c r="R3" s="199">
        <f>'SER_se-appl'!R7</f>
        <v>106.01962276496053</v>
      </c>
      <c r="S3" s="199">
        <f>'SER_se-appl'!S7</f>
        <v>107.94679359997383</v>
      </c>
      <c r="T3" s="199">
        <f>'SER_se-appl'!T7</f>
        <v>109.77318321232846</v>
      </c>
      <c r="U3" s="199">
        <f>'SER_se-appl'!U7</f>
        <v>111.33269956048485</v>
      </c>
      <c r="V3" s="199">
        <f>'SER_se-appl'!V7</f>
        <v>112.52392262592383</v>
      </c>
      <c r="W3" s="199">
        <f>'SER_se-appl'!W7</f>
        <v>113.52474444963161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123.70286594825572</v>
      </c>
      <c r="C5" s="59">
        <f>'SER_se-appl'!C15</f>
        <v>124.22100640622688</v>
      </c>
      <c r="D5" s="59">
        <f>'SER_se-appl'!D15</f>
        <v>125.0399441947657</v>
      </c>
      <c r="E5" s="59">
        <f>'SER_se-appl'!E15</f>
        <v>125.67012256104417</v>
      </c>
      <c r="F5" s="59">
        <f>'SER_se-appl'!F15</f>
        <v>126.12135113877045</v>
      </c>
      <c r="G5" s="59">
        <f>'SER_se-appl'!G15</f>
        <v>126.98422632568264</v>
      </c>
      <c r="H5" s="59">
        <f>'SER_se-appl'!H15</f>
        <v>127.74063991138642</v>
      </c>
      <c r="I5" s="59">
        <f>'SER_se-appl'!I15</f>
        <v>128.39525228201751</v>
      </c>
      <c r="J5" s="59">
        <f>'SER_se-appl'!J15</f>
        <v>128.85683166573503</v>
      </c>
      <c r="K5" s="59">
        <f>'SER_se-appl'!K15</f>
        <v>129.50945957634764</v>
      </c>
      <c r="L5" s="59">
        <f>'SER_se-appl'!L15</f>
        <v>130.06960307774818</v>
      </c>
      <c r="M5" s="59">
        <f>'SER_se-appl'!M15</f>
        <v>130.56904299888021</v>
      </c>
      <c r="N5" s="59">
        <f>'SER_se-appl'!N15</f>
        <v>131.50918413316768</v>
      </c>
      <c r="O5" s="59">
        <f>'SER_se-appl'!O15</f>
        <v>132.92400106292126</v>
      </c>
      <c r="P5" s="59">
        <f>'SER_se-appl'!P15</f>
        <v>134.82640911872025</v>
      </c>
      <c r="Q5" s="59">
        <f>'SER_se-appl'!Q15</f>
        <v>137.66928546196633</v>
      </c>
      <c r="R5" s="59">
        <f>'SER_se-appl'!R15</f>
        <v>140.75436218681403</v>
      </c>
      <c r="S5" s="59">
        <f>'SER_se-appl'!S15</f>
        <v>143.31292346663196</v>
      </c>
      <c r="T5" s="59">
        <f>'SER_se-appl'!T15</f>
        <v>145.73768501819413</v>
      </c>
      <c r="U5" s="59">
        <f>'SER_se-appl'!U15</f>
        <v>147.80813880005016</v>
      </c>
      <c r="V5" s="59">
        <f>'SER_se-appl'!V15</f>
        <v>149.38963700222538</v>
      </c>
      <c r="W5" s="59">
        <f>'SER_se-appl'!W15</f>
        <v>150.71835364717074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2.3504332801631209E-2</v>
      </c>
      <c r="C6" s="202">
        <f>'SER_se-appl'!C71</f>
        <v>2.3766667523714993E-2</v>
      </c>
      <c r="D6" s="202">
        <f>'SER_se-appl'!D71</f>
        <v>2.409344133803094E-2</v>
      </c>
      <c r="E6" s="202">
        <f>'SER_se-appl'!E71</f>
        <v>2.4439066636250555E-2</v>
      </c>
      <c r="F6" s="202">
        <f>'SER_se-appl'!F71</f>
        <v>2.4765659492391019E-2</v>
      </c>
      <c r="G6" s="202">
        <f>'SER_se-appl'!G71</f>
        <v>2.517296848499917E-2</v>
      </c>
      <c r="H6" s="202">
        <f>'SER_se-appl'!H71</f>
        <v>2.5631957435003197E-2</v>
      </c>
      <c r="I6" s="202">
        <f>'SER_se-appl'!I71</f>
        <v>2.6208113405188235E-2</v>
      </c>
      <c r="J6" s="202">
        <f>'SER_se-appl'!J71</f>
        <v>2.6825554308789541E-2</v>
      </c>
      <c r="K6" s="202">
        <f>'SER_se-appl'!K71</f>
        <v>2.7561396163527176E-2</v>
      </c>
      <c r="L6" s="202">
        <f>'SER_se-appl'!L71</f>
        <v>2.8404793003422295E-2</v>
      </c>
      <c r="M6" s="202">
        <f>'SER_se-appl'!M71</f>
        <v>2.8999977164002419E-2</v>
      </c>
      <c r="N6" s="202">
        <f>'SER_se-appl'!N71</f>
        <v>2.9694913768111182E-2</v>
      </c>
      <c r="O6" s="202">
        <f>'SER_se-appl'!O71</f>
        <v>3.0537949827254475E-2</v>
      </c>
      <c r="P6" s="202">
        <f>'SER_se-appl'!P71</f>
        <v>3.1556659960916375E-2</v>
      </c>
      <c r="Q6" s="202">
        <f>'SER_se-appl'!Q71</f>
        <v>3.280568379925336E-2</v>
      </c>
      <c r="R6" s="202">
        <f>'SER_se-appl'!R71</f>
        <v>3.3969690674118862E-2</v>
      </c>
      <c r="S6" s="202">
        <f>'SER_se-appl'!S71</f>
        <v>3.5172033541792422E-2</v>
      </c>
      <c r="T6" s="202">
        <f>'SER_se-appl'!T71</f>
        <v>3.6437966361903752E-2</v>
      </c>
      <c r="U6" s="202">
        <f>'SER_se-appl'!U71</f>
        <v>3.768706628335889E-2</v>
      </c>
      <c r="V6" s="202">
        <f>'SER_se-appl'!V71</f>
        <v>3.8777145212804238E-2</v>
      </c>
      <c r="W6" s="202">
        <f>'SER_se-appl'!W71</f>
        <v>3.9719131638940024E-2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188.08604288455405</v>
      </c>
      <c r="C8" s="34">
        <f>'SER_se-appl'!C23</f>
        <v>190.63115680767169</v>
      </c>
      <c r="D8" s="34">
        <f>'SER_se-appl'!D23</f>
        <v>194.2808373109998</v>
      </c>
      <c r="E8" s="34">
        <f>'SER_se-appl'!E23</f>
        <v>197.96311161882119</v>
      </c>
      <c r="F8" s="34">
        <f>'SER_se-appl'!F23</f>
        <v>201.65619030993682</v>
      </c>
      <c r="G8" s="34">
        <f>'SER_se-appl'!G23</f>
        <v>206.45255164116432</v>
      </c>
      <c r="H8" s="34">
        <f>'SER_se-appl'!H23</f>
        <v>211.57381499183202</v>
      </c>
      <c r="I8" s="34">
        <f>'SER_se-appl'!I23</f>
        <v>217.08138400535967</v>
      </c>
      <c r="J8" s="34">
        <f>'SER_se-appl'!J23</f>
        <v>222.86641011632608</v>
      </c>
      <c r="K8" s="34">
        <f>'SER_se-appl'!K23</f>
        <v>229.7243197071875</v>
      </c>
      <c r="L8" s="34">
        <f>'SER_se-appl'!L23</f>
        <v>237.2266906534808</v>
      </c>
      <c r="M8" s="34">
        <f>'SER_se-appl'!M23</f>
        <v>242.87956474477517</v>
      </c>
      <c r="N8" s="34">
        <f>'SER_se-appl'!N23</f>
        <v>249.67842804684474</v>
      </c>
      <c r="O8" s="34">
        <f>'SER_se-appl'!O23</f>
        <v>258.10247662697901</v>
      </c>
      <c r="P8" s="34">
        <f>'SER_se-appl'!P23</f>
        <v>268.47730982224488</v>
      </c>
      <c r="Q8" s="34">
        <f>'SER_se-appl'!Q23</f>
        <v>281.63436779598896</v>
      </c>
      <c r="R8" s="34">
        <f>'SER_se-appl'!R23</f>
        <v>295.5523085891416</v>
      </c>
      <c r="S8" s="34">
        <f>'SER_se-appl'!S23</f>
        <v>308.55950203761682</v>
      </c>
      <c r="T8" s="34">
        <f>'SER_se-appl'!T23</f>
        <v>321.46546818173351</v>
      </c>
      <c r="U8" s="34">
        <f>'SER_se-appl'!U23</f>
        <v>333.86124061436266</v>
      </c>
      <c r="V8" s="34">
        <f>'SER_se-appl'!V23</f>
        <v>345.1578512764641</v>
      </c>
      <c r="W8" s="34">
        <f>'SER_se-appl'!W23</f>
        <v>354.79765730242053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19.638957014984271</v>
      </c>
      <c r="D9" s="36">
        <f>'SER_se-appl'!D31</f>
        <v>21.103591471754697</v>
      </c>
      <c r="E9" s="36">
        <f>'SER_se-appl'!E31</f>
        <v>21.503837689242118</v>
      </c>
      <c r="F9" s="36">
        <f>'SER_se-appl'!F31</f>
        <v>21.890038784044719</v>
      </c>
      <c r="G9" s="36">
        <f>'SER_se-appl'!G31</f>
        <v>23.376625561517301</v>
      </c>
      <c r="H9" s="36">
        <f>'SER_se-appl'!H31</f>
        <v>24.092905707653102</v>
      </c>
      <c r="I9" s="36">
        <f>'SER_se-appl'!I31</f>
        <v>24.878833558550156</v>
      </c>
      <c r="J9" s="36">
        <f>'SER_se-appl'!J31</f>
        <v>25.564330559802357</v>
      </c>
      <c r="K9" s="36">
        <f>'SER_se-appl'!K31</f>
        <v>27.053848971611188</v>
      </c>
      <c r="L9" s="36">
        <f>'SER_se-appl'!L31</f>
        <v>28.123721334320891</v>
      </c>
      <c r="M9" s="36">
        <f>'SER_se-appl'!M31</f>
        <v>25.291831106278636</v>
      </c>
      <c r="N9" s="36">
        <f>'SER_se-appl'!N31</f>
        <v>27.902454773824275</v>
      </c>
      <c r="O9" s="36">
        <f>'SER_se-appl'!O31</f>
        <v>29.927886269376387</v>
      </c>
      <c r="P9" s="36">
        <f>'SER_se-appl'!P31</f>
        <v>32.264871979310584</v>
      </c>
      <c r="Q9" s="36">
        <f>'SER_se-appl'!Q31</f>
        <v>36.533683535261389</v>
      </c>
      <c r="R9" s="36">
        <f>'SER_se-appl'!R31</f>
        <v>38.010846500805769</v>
      </c>
      <c r="S9" s="36">
        <f>'SER_se-appl'!S31</f>
        <v>37.886027007025348</v>
      </c>
      <c r="T9" s="36">
        <f>'SER_se-appl'!T31</f>
        <v>38.470296703919075</v>
      </c>
      <c r="U9" s="36">
        <f>'SER_se-appl'!U31</f>
        <v>39.449621404240304</v>
      </c>
      <c r="V9" s="36">
        <f>'SER_se-appl'!V31</f>
        <v>39.420331996422362</v>
      </c>
      <c r="W9" s="36">
        <f>'SER_se-appl'!W31</f>
        <v>34.931637132235039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17.093843091866631</v>
      </c>
      <c r="D10" s="38">
        <f>'SER_se-appl'!D39</f>
        <v>17.453910968426584</v>
      </c>
      <c r="E10" s="38">
        <f>'SER_se-appl'!E39</f>
        <v>17.821563381420731</v>
      </c>
      <c r="F10" s="38">
        <f>'SER_se-appl'!F39</f>
        <v>18.196960092929089</v>
      </c>
      <c r="G10" s="38">
        <f>'SER_se-appl'!G39</f>
        <v>18.580264230289799</v>
      </c>
      <c r="H10" s="38">
        <f>'SER_se-appl'!H39</f>
        <v>18.971642356985399</v>
      </c>
      <c r="I10" s="38">
        <f>'SER_se-appl'!I39</f>
        <v>19.371264545022512</v>
      </c>
      <c r="J10" s="38">
        <f>'SER_se-appl'!J39</f>
        <v>19.779304448835944</v>
      </c>
      <c r="K10" s="38">
        <f>'SER_se-appl'!K39</f>
        <v>20.195939380749763</v>
      </c>
      <c r="L10" s="38">
        <f>'SER_se-appl'!L39</f>
        <v>20.621350388027594</v>
      </c>
      <c r="M10" s="38">
        <f>'SER_se-appl'!M39</f>
        <v>19.638957014984271</v>
      </c>
      <c r="N10" s="38">
        <f>'SER_se-appl'!N39</f>
        <v>21.103591471754697</v>
      </c>
      <c r="O10" s="38">
        <f>'SER_se-appl'!O39</f>
        <v>21.503837689242118</v>
      </c>
      <c r="P10" s="38">
        <f>'SER_se-appl'!P39</f>
        <v>21.890038784044748</v>
      </c>
      <c r="Q10" s="38">
        <f>'SER_se-appl'!Q39</f>
        <v>23.376625561517301</v>
      </c>
      <c r="R10" s="38">
        <f>'SER_se-appl'!R39</f>
        <v>24.092905707653131</v>
      </c>
      <c r="S10" s="38">
        <f>'SER_se-appl'!S39</f>
        <v>24.878833558550127</v>
      </c>
      <c r="T10" s="38">
        <f>'SER_se-appl'!T39</f>
        <v>25.564330559802386</v>
      </c>
      <c r="U10" s="38">
        <f>'SER_se-appl'!U39</f>
        <v>27.05384897161116</v>
      </c>
      <c r="V10" s="38">
        <f>'SER_se-appl'!V39</f>
        <v>28.123721334320919</v>
      </c>
      <c r="W10" s="38">
        <f>'SER_se-appl'!W39</f>
        <v>25.291831106278607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8760</v>
      </c>
      <c r="D12" s="205">
        <f>'SER_se-appl'!D47</f>
        <v>8760.0000000000036</v>
      </c>
      <c r="E12" s="205">
        <f>'SER_se-appl'!E47</f>
        <v>8759.9999999999964</v>
      </c>
      <c r="F12" s="205">
        <f>'SER_se-appl'!F47</f>
        <v>8760</v>
      </c>
      <c r="G12" s="205">
        <f>'SER_se-appl'!G47</f>
        <v>8759.9999999999982</v>
      </c>
      <c r="H12" s="205">
        <f>'SER_se-appl'!H47</f>
        <v>8760.0000000000018</v>
      </c>
      <c r="I12" s="205">
        <f>'SER_se-appl'!I47</f>
        <v>8760.0000000000018</v>
      </c>
      <c r="J12" s="205">
        <f>'SER_se-appl'!J47</f>
        <v>8759.9999999999982</v>
      </c>
      <c r="K12" s="205">
        <f>'SER_se-appl'!K47</f>
        <v>8759.9999999999982</v>
      </c>
      <c r="L12" s="205">
        <f>'SER_se-appl'!L47</f>
        <v>8759.9999999999964</v>
      </c>
      <c r="M12" s="205">
        <f>'SER_se-appl'!M47</f>
        <v>8760</v>
      </c>
      <c r="N12" s="205">
        <f>'SER_se-appl'!N47</f>
        <v>8759.9999999999982</v>
      </c>
      <c r="O12" s="205">
        <f>'SER_se-appl'!O47</f>
        <v>8760</v>
      </c>
      <c r="P12" s="205">
        <f>'SER_se-appl'!P47</f>
        <v>8760.0000000000018</v>
      </c>
      <c r="Q12" s="205">
        <f>'SER_se-appl'!Q47</f>
        <v>8760</v>
      </c>
      <c r="R12" s="205">
        <f>'SER_se-appl'!R47</f>
        <v>8760</v>
      </c>
      <c r="S12" s="205">
        <f>'SER_se-appl'!S47</f>
        <v>8759.9999999999982</v>
      </c>
      <c r="T12" s="205">
        <f>'SER_se-appl'!T47</f>
        <v>8759.9999999999964</v>
      </c>
      <c r="U12" s="205">
        <f>'SER_se-appl'!U47</f>
        <v>8759.9999999999964</v>
      </c>
      <c r="V12" s="205">
        <f>'SER_se-appl'!V47</f>
        <v>8759.9999999999982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657.69295823924438</v>
      </c>
      <c r="C14" s="59">
        <f>'SER_se-appl'!C55</f>
        <v>651.63013479246627</v>
      </c>
      <c r="D14" s="59">
        <f>'SER_se-appl'!D55</f>
        <v>643.6041038602533</v>
      </c>
      <c r="E14" s="59">
        <f>'SER_se-appl'!E55</f>
        <v>634.81585803229098</v>
      </c>
      <c r="F14" s="59">
        <f>'SER_se-appl'!F55</f>
        <v>625.42761987582628</v>
      </c>
      <c r="G14" s="59">
        <f>'SER_se-appl'!G55</f>
        <v>615.07704950236814</v>
      </c>
      <c r="H14" s="59">
        <f>'SER_se-appl'!H55</f>
        <v>603.76393891804594</v>
      </c>
      <c r="I14" s="59">
        <f>'SER_se-appl'!I55</f>
        <v>591.46136768156725</v>
      </c>
      <c r="J14" s="59">
        <f>'SER_se-appl'!J55</f>
        <v>578.17968889290069</v>
      </c>
      <c r="K14" s="59">
        <f>'SER_se-appl'!K55</f>
        <v>563.7603356119356</v>
      </c>
      <c r="L14" s="59">
        <f>'SER_se-appl'!L55</f>
        <v>548.29244854130707</v>
      </c>
      <c r="M14" s="59">
        <f>'SER_se-appl'!M55</f>
        <v>537.58760287670111</v>
      </c>
      <c r="N14" s="59">
        <f>'SER_se-appl'!N55</f>
        <v>526.71424264371717</v>
      </c>
      <c r="O14" s="59">
        <f>'SER_se-appl'!O55</f>
        <v>515.00474850161493</v>
      </c>
      <c r="P14" s="59">
        <f>'SER_se-appl'!P55</f>
        <v>502.18921371041358</v>
      </c>
      <c r="Q14" s="59">
        <f>'SER_se-appl'!Q55</f>
        <v>488.82274751954833</v>
      </c>
      <c r="R14" s="59">
        <f>'SER_se-appl'!R55</f>
        <v>476.24179577119122</v>
      </c>
      <c r="S14" s="59">
        <f>'SER_se-appl'!S55</f>
        <v>464.45798142738948</v>
      </c>
      <c r="T14" s="59">
        <f>'SER_se-appl'!T55</f>
        <v>453.35409069755667</v>
      </c>
      <c r="U14" s="59">
        <f>'SER_se-appl'!U55</f>
        <v>442.72326589351172</v>
      </c>
      <c r="V14" s="59">
        <f>'SER_se-appl'!V55</f>
        <v>432.8154102528801</v>
      </c>
      <c r="W14" s="59">
        <f>'SER_se-appl'!W55</f>
        <v>424.80087042599109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598.84242731246763</v>
      </c>
      <c r="D15" s="63">
        <f>'SER_se-appl'!D63</f>
        <v>582.75635891965692</v>
      </c>
      <c r="E15" s="63">
        <f>'SER_se-appl'!E63</f>
        <v>574.3763176389815</v>
      </c>
      <c r="F15" s="63">
        <f>'SER_se-appl'!F63</f>
        <v>567.34669201493034</v>
      </c>
      <c r="G15" s="63">
        <f>'SER_se-appl'!G63</f>
        <v>559.66093562004789</v>
      </c>
      <c r="H15" s="63">
        <f>'SER_se-appl'!H63</f>
        <v>549.28738487208443</v>
      </c>
      <c r="I15" s="63">
        <f>'SER_se-appl'!I63</f>
        <v>538.40774417972932</v>
      </c>
      <c r="J15" s="63">
        <f>'SER_se-appl'!J63</f>
        <v>526.91732361526817</v>
      </c>
      <c r="K15" s="63">
        <f>'SER_se-appl'!K63</f>
        <v>515.09694760924162</v>
      </c>
      <c r="L15" s="63">
        <f>'SER_se-appl'!L63</f>
        <v>502.16186802262843</v>
      </c>
      <c r="M15" s="63">
        <f>'SER_se-appl'!M63</f>
        <v>484.74468133020497</v>
      </c>
      <c r="N15" s="63">
        <f>'SER_se-appl'!N63</f>
        <v>474.45263751181852</v>
      </c>
      <c r="O15" s="63">
        <f>'SER_se-appl'!O63</f>
        <v>459.97608761608325</v>
      </c>
      <c r="P15" s="63">
        <f>'SER_se-appl'!P63</f>
        <v>443.87745152650359</v>
      </c>
      <c r="Q15" s="63">
        <f>'SER_se-appl'!Q63</f>
        <v>435.92265918855719</v>
      </c>
      <c r="R15" s="63">
        <f>'SER_se-appl'!R63</f>
        <v>429.32497950626498</v>
      </c>
      <c r="S15" s="63">
        <f>'SER_se-appl'!S63</f>
        <v>421.09239722976321</v>
      </c>
      <c r="T15" s="63">
        <f>'SER_se-appl'!T63</f>
        <v>413.17721858199138</v>
      </c>
      <c r="U15" s="63">
        <f>'SER_se-appl'!U63</f>
        <v>405.7278178718833</v>
      </c>
      <c r="V15" s="63">
        <f>'SER_se-appl'!V63</f>
        <v>398.37712793973577</v>
      </c>
      <c r="W15" s="63">
        <f>'SER_se-appl'!W63</f>
        <v>389.01117641222584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43.967471829597237</v>
      </c>
      <c r="C3" s="199">
        <f>'SER_se-appl'!C8</f>
        <v>45.75958382647832</v>
      </c>
      <c r="D3" s="199">
        <f>'SER_se-appl'!D8</f>
        <v>47.723768687387448</v>
      </c>
      <c r="E3" s="199">
        <f>'SER_se-appl'!E8</f>
        <v>49.87329249025607</v>
      </c>
      <c r="F3" s="199">
        <f>'SER_se-appl'!F8</f>
        <v>52.747598047805823</v>
      </c>
      <c r="G3" s="199">
        <f>'SER_se-appl'!G8</f>
        <v>55.824796687421106</v>
      </c>
      <c r="H3" s="199">
        <f>'SER_se-appl'!H8</f>
        <v>59.275097243954527</v>
      </c>
      <c r="I3" s="199">
        <f>'SER_se-appl'!I8</f>
        <v>63.223797309896817</v>
      </c>
      <c r="J3" s="199">
        <f>'SER_se-appl'!J8</f>
        <v>67.057010074299527</v>
      </c>
      <c r="K3" s="199">
        <f>'SER_se-appl'!K8</f>
        <v>68.912941623182093</v>
      </c>
      <c r="L3" s="199">
        <f>'SER_se-appl'!L8</f>
        <v>71.808558646870992</v>
      </c>
      <c r="M3" s="199">
        <f>'SER_se-appl'!M8</f>
        <v>73.837392772364424</v>
      </c>
      <c r="N3" s="199">
        <f>'SER_se-appl'!N8</f>
        <v>75.176827000423032</v>
      </c>
      <c r="O3" s="199">
        <f>'SER_se-appl'!O8</f>
        <v>76.323112728133566</v>
      </c>
      <c r="P3" s="199">
        <f>'SER_se-appl'!P8</f>
        <v>77.325004274536724</v>
      </c>
      <c r="Q3" s="199">
        <f>'SER_se-appl'!Q8</f>
        <v>78.193559246450945</v>
      </c>
      <c r="R3" s="199">
        <f>'SER_se-appl'!R8</f>
        <v>81.038040585702674</v>
      </c>
      <c r="S3" s="199">
        <f>'SER_se-appl'!S8</f>
        <v>85.849824143854775</v>
      </c>
      <c r="T3" s="199">
        <f>'SER_se-appl'!T8</f>
        <v>89.970824580930284</v>
      </c>
      <c r="U3" s="199">
        <f>'SER_se-appl'!U8</f>
        <v>93.253122813294908</v>
      </c>
      <c r="V3" s="199">
        <f>'SER_se-appl'!V8</f>
        <v>88.465942765154395</v>
      </c>
      <c r="W3" s="199">
        <f>'SER_se-appl'!W8</f>
        <v>91.840561167926765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637.35355220395013</v>
      </c>
      <c r="C5" s="59">
        <f>'SER_se-appl'!C16</f>
        <v>660.17845710827703</v>
      </c>
      <c r="D5" s="59">
        <f>'SER_se-appl'!D16</f>
        <v>685.5270345748612</v>
      </c>
      <c r="E5" s="59">
        <f>'SER_se-appl'!E16</f>
        <v>713.54240698414753</v>
      </c>
      <c r="F5" s="59">
        <f>'SER_se-appl'!F16</f>
        <v>751.87423520186189</v>
      </c>
      <c r="G5" s="59">
        <f>'SER_se-appl'!G16</f>
        <v>792.99692586798596</v>
      </c>
      <c r="H5" s="59">
        <f>'SER_se-appl'!H16</f>
        <v>839.29607598450184</v>
      </c>
      <c r="I5" s="59">
        <f>'SER_se-appl'!I16</f>
        <v>892.49757996908738</v>
      </c>
      <c r="J5" s="59">
        <f>'SER_se-appl'!J16</f>
        <v>943.90758646618008</v>
      </c>
      <c r="K5" s="59">
        <f>'SER_se-appl'!K16</f>
        <v>967.41323639722521</v>
      </c>
      <c r="L5" s="59">
        <f>'SER_se-appl'!L16</f>
        <v>1005.4804398070057</v>
      </c>
      <c r="M5" s="59">
        <f>'SER_se-appl'!M16</f>
        <v>1032.2085689097871</v>
      </c>
      <c r="N5" s="59">
        <f>'SER_se-appl'!N16</f>
        <v>1049.3047820726611</v>
      </c>
      <c r="O5" s="59">
        <f>'SER_se-appl'!O16</f>
        <v>1063.7271146149023</v>
      </c>
      <c r="P5" s="59">
        <f>'SER_se-appl'!P16</f>
        <v>1076.1628472388247</v>
      </c>
      <c r="Q5" s="59">
        <f>'SER_se-appl'!Q16</f>
        <v>1086.7710603310138</v>
      </c>
      <c r="R5" s="59">
        <f>'SER_se-appl'!R16</f>
        <v>1145.6179898087994</v>
      </c>
      <c r="S5" s="59">
        <f>'SER_se-appl'!S16</f>
        <v>1205.0615159382457</v>
      </c>
      <c r="T5" s="59">
        <f>'SER_se-appl'!T16</f>
        <v>1262.0417124282208</v>
      </c>
      <c r="U5" s="59">
        <f>'SER_se-appl'!U16</f>
        <v>1311.9632457653181</v>
      </c>
      <c r="V5" s="59">
        <f>'SER_se-appl'!V16</f>
        <v>1355.3995386247975</v>
      </c>
      <c r="W5" s="59">
        <f>'SER_se-appl'!W16</f>
        <v>1390.2475760848356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95.071263013358688</v>
      </c>
      <c r="C6" s="202">
        <f>'SER_se-appl'!C72</f>
        <v>98.088853551672344</v>
      </c>
      <c r="D6" s="202">
        <f>'SER_se-appl'!D72</f>
        <v>101.15094879004047</v>
      </c>
      <c r="E6" s="202">
        <f>'SER_se-appl'!E72</f>
        <v>104.93539416201651</v>
      </c>
      <c r="F6" s="202">
        <f>'SER_se-appl'!F72</f>
        <v>109.41560493511149</v>
      </c>
      <c r="G6" s="202">
        <f>'SER_se-appl'!G72</f>
        <v>114.14329094206877</v>
      </c>
      <c r="H6" s="202">
        <f>'SER_se-appl'!H72</f>
        <v>118.90873779906568</v>
      </c>
      <c r="I6" s="202">
        <f>'SER_se-appl'!I72</f>
        <v>124.64474599968207</v>
      </c>
      <c r="J6" s="202">
        <f>'SER_se-appl'!J72</f>
        <v>131.34205364459643</v>
      </c>
      <c r="K6" s="202">
        <f>'SER_se-appl'!K72</f>
        <v>138.06659088421625</v>
      </c>
      <c r="L6" s="202">
        <f>'SER_se-appl'!L72</f>
        <v>143.03684642799493</v>
      </c>
      <c r="M6" s="202">
        <f>'SER_se-appl'!M72</f>
        <v>147.00175046996102</v>
      </c>
      <c r="N6" s="202">
        <f>'SER_se-appl'!N72</f>
        <v>150.62057458321183</v>
      </c>
      <c r="O6" s="202">
        <f>'SER_se-appl'!O72</f>
        <v>154.10819038869815</v>
      </c>
      <c r="P6" s="202">
        <f>'SER_se-appl'!P72</f>
        <v>157.49590502813288</v>
      </c>
      <c r="Q6" s="202">
        <f>'SER_se-appl'!Q72</f>
        <v>160.81558053205501</v>
      </c>
      <c r="R6" s="202">
        <f>'SER_se-appl'!R72</f>
        <v>169.43794683332706</v>
      </c>
      <c r="S6" s="202">
        <f>'SER_se-appl'!S72</f>
        <v>178.11748390802137</v>
      </c>
      <c r="T6" s="202">
        <f>'SER_se-appl'!T72</f>
        <v>186.55183117508952</v>
      </c>
      <c r="U6" s="202">
        <f>'SER_se-appl'!U72</f>
        <v>194.55760275712592</v>
      </c>
      <c r="V6" s="202">
        <f>'SER_se-appl'!V72</f>
        <v>201.7934518199053</v>
      </c>
      <c r="W6" s="202">
        <f>'SER_se-appl'!W72</f>
        <v>207.89987938349333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14.179623666195274</v>
      </c>
      <c r="C8" s="34">
        <f>'SER_se-appl'!C24</f>
        <v>14.738945245802755</v>
      </c>
      <c r="D8" s="34">
        <f>'SER_se-appl'!D24</f>
        <v>15.365608058093285</v>
      </c>
      <c r="E8" s="34">
        <f>'SER_se-appl'!E24</f>
        <v>16.064977985940772</v>
      </c>
      <c r="F8" s="34">
        <f>'SER_se-appl'!F24</f>
        <v>17.022861930397713</v>
      </c>
      <c r="G8" s="34">
        <f>'SER_se-appl'!G24</f>
        <v>18.064717798623793</v>
      </c>
      <c r="H8" s="34">
        <f>'SER_se-appl'!H24</f>
        <v>19.253766452490314</v>
      </c>
      <c r="I8" s="34">
        <f>'SER_se-appl'!I24</f>
        <v>20.635042473892746</v>
      </c>
      <c r="J8" s="34">
        <f>'SER_se-appl'!J24</f>
        <v>22.00029666894897</v>
      </c>
      <c r="K8" s="34">
        <f>'SER_se-appl'!K24</f>
        <v>22.703750546644375</v>
      </c>
      <c r="L8" s="34">
        <f>'SER_se-appl'!L24</f>
        <v>23.808954116477018</v>
      </c>
      <c r="M8" s="34">
        <f>'SER_se-appl'!M24</f>
        <v>24.685698825198909</v>
      </c>
      <c r="N8" s="34">
        <f>'SER_se-appl'!N24</f>
        <v>25.379889027736517</v>
      </c>
      <c r="O8" s="34">
        <f>'SER_se-appl'!O24</f>
        <v>26.078043003829197</v>
      </c>
      <c r="P8" s="34">
        <f>'SER_se-appl'!P24</f>
        <v>26.806806975941285</v>
      </c>
      <c r="Q8" s="34">
        <f>'SER_se-appl'!Q24</f>
        <v>27.58488056437292</v>
      </c>
      <c r="R8" s="34">
        <f>'SER_se-appl'!R24</f>
        <v>29.470989805274865</v>
      </c>
      <c r="S8" s="34">
        <f>'SER_se-appl'!S24</f>
        <v>31.439607447721666</v>
      </c>
      <c r="T8" s="34">
        <f>'SER_se-appl'!T24</f>
        <v>33.404059390505836</v>
      </c>
      <c r="U8" s="34">
        <f>'SER_se-appl'!U24</f>
        <v>35.273400981485182</v>
      </c>
      <c r="V8" s="34">
        <f>'SER_se-appl'!V24</f>
        <v>37.01966321979036</v>
      </c>
      <c r="W8" s="34">
        <f>'SER_se-appl'!W24</f>
        <v>38.567452749089441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0.96319206614521136</v>
      </c>
      <c r="D9" s="36">
        <f>'SER_se-appl'!D32</f>
        <v>1.0759814408301569</v>
      </c>
      <c r="E9" s="36">
        <f>'SER_se-appl'!E32</f>
        <v>1.1992510448943285</v>
      </c>
      <c r="F9" s="36">
        <f>'SER_se-appl'!F32</f>
        <v>1.5140174214778241</v>
      </c>
      <c r="G9" s="36">
        <f>'SER_se-appl'!G32</f>
        <v>1.660571866322794</v>
      </c>
      <c r="H9" s="36">
        <f>'SER_se-appl'!H32</f>
        <v>1.8773896765135696</v>
      </c>
      <c r="I9" s="36">
        <f>'SER_se-appl'!I32</f>
        <v>2.1470770753857167</v>
      </c>
      <c r="J9" s="36">
        <f>'SER_se-appl'!J32</f>
        <v>2.2172319720404943</v>
      </c>
      <c r="K9" s="36">
        <f>'SER_se-appl'!K32</f>
        <v>1.6513059715251224</v>
      </c>
      <c r="L9" s="36">
        <f>'SER_se-appl'!L32</f>
        <v>2.1597188589021599</v>
      </c>
      <c r="M9" s="36">
        <f>'SER_se-appl'!M32</f>
        <v>2.0499261598367156</v>
      </c>
      <c r="N9" s="36">
        <f>'SER_se-appl'!N32</f>
        <v>1.9993914940754038</v>
      </c>
      <c r="O9" s="36">
        <f>'SER_se-appl'!O32</f>
        <v>2.1502314955702637</v>
      </c>
      <c r="P9" s="36">
        <f>'SER_se-appl'!P32</f>
        <v>2.3442459182630095</v>
      </c>
      <c r="Q9" s="36">
        <f>'SER_se-appl'!Q32</f>
        <v>2.5753481025901444</v>
      </c>
      <c r="R9" s="36">
        <f>'SER_se-appl'!R32</f>
        <v>2.8493013070471562</v>
      </c>
      <c r="S9" s="36">
        <f>'SER_se-appl'!S32</f>
        <v>3.0445990832769603</v>
      </c>
      <c r="T9" s="36">
        <f>'SER_se-appl'!T32</f>
        <v>3.1637029876784979</v>
      </c>
      <c r="U9" s="36">
        <f>'SER_se-appl'!U32</f>
        <v>3.38335901245717</v>
      </c>
      <c r="V9" s="36">
        <f>'SER_se-appl'!V32</f>
        <v>3.4068341046279755</v>
      </c>
      <c r="W9" s="36">
        <f>'SER_se-appl'!W32</f>
        <v>3.425179205812654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0.4038704865377305</v>
      </c>
      <c r="D10" s="38">
        <f>'SER_se-appl'!D40</f>
        <v>0.44931862853962734</v>
      </c>
      <c r="E10" s="38">
        <f>'SER_se-appl'!E40</f>
        <v>0.49988111704684002</v>
      </c>
      <c r="F10" s="38">
        <f>'SER_se-appl'!F40</f>
        <v>0.55613347702088234</v>
      </c>
      <c r="G10" s="38">
        <f>'SER_se-appl'!G40</f>
        <v>0.61871599809671451</v>
      </c>
      <c r="H10" s="38">
        <f>'SER_se-appl'!H40</f>
        <v>0.68834102264704811</v>
      </c>
      <c r="I10" s="38">
        <f>'SER_se-appl'!I40</f>
        <v>0.76580105398328513</v>
      </c>
      <c r="J10" s="38">
        <f>'SER_se-appl'!J40</f>
        <v>0.85197777698427046</v>
      </c>
      <c r="K10" s="38">
        <f>'SER_se-appl'!K40</f>
        <v>0.94785209382971658</v>
      </c>
      <c r="L10" s="38">
        <f>'SER_se-appl'!L40</f>
        <v>1.0545152890695171</v>
      </c>
      <c r="M10" s="38">
        <f>'SER_se-appl'!M40</f>
        <v>1.1731814511148251</v>
      </c>
      <c r="N10" s="38">
        <f>'SER_se-appl'!N40</f>
        <v>1.3052012915377951</v>
      </c>
      <c r="O10" s="38">
        <f>'SER_se-appl'!O40</f>
        <v>1.4520775194775837</v>
      </c>
      <c r="P10" s="38">
        <f>'SER_se-appl'!P40</f>
        <v>1.615481946150922</v>
      </c>
      <c r="Q10" s="38">
        <f>'SER_se-appl'!Q40</f>
        <v>1.7972745141585094</v>
      </c>
      <c r="R10" s="38">
        <f>'SER_se-appl'!R40</f>
        <v>0.96319206614521136</v>
      </c>
      <c r="S10" s="38">
        <f>'SER_se-appl'!S40</f>
        <v>1.0759814408301587</v>
      </c>
      <c r="T10" s="38">
        <f>'SER_se-appl'!T40</f>
        <v>1.199251044894325</v>
      </c>
      <c r="U10" s="38">
        <f>'SER_se-appl'!U40</f>
        <v>1.5140174214778241</v>
      </c>
      <c r="V10" s="38">
        <f>'SER_se-appl'!V40</f>
        <v>1.6605718663227975</v>
      </c>
      <c r="W10" s="38">
        <f>'SER_se-appl'!W40</f>
        <v>1.8773896765135731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802.288926781707</v>
      </c>
      <c r="C12" s="205">
        <f>'SER_se-appl'!C48</f>
        <v>806.12136638481445</v>
      </c>
      <c r="D12" s="205">
        <f>'SER_se-appl'!D48</f>
        <v>809.63609287637166</v>
      </c>
      <c r="E12" s="205">
        <f>'SER_se-appl'!E48</f>
        <v>812.88285879631576</v>
      </c>
      <c r="F12" s="205">
        <f>'SER_se-appl'!F48</f>
        <v>815.90050114070266</v>
      </c>
      <c r="G12" s="205">
        <f>'SER_se-appl'!G48</f>
        <v>818.71992727345071</v>
      </c>
      <c r="H12" s="205">
        <f>'SER_se-appl'!H48</f>
        <v>821.36614321537809</v>
      </c>
      <c r="I12" s="205">
        <f>'SER_se-appl'!I48</f>
        <v>823.85967112601872</v>
      </c>
      <c r="J12" s="205">
        <f>'SER_se-appl'!J48</f>
        <v>826.21756445862195</v>
      </c>
      <c r="K12" s="205">
        <f>'SER_se-appl'!K48</f>
        <v>828.45415064025951</v>
      </c>
      <c r="L12" s="205">
        <f>'SER_se-appl'!L48</f>
        <v>830.58158468344448</v>
      </c>
      <c r="M12" s="205">
        <f>'SER_se-appl'!M48</f>
        <v>831.93349077656171</v>
      </c>
      <c r="N12" s="205">
        <f>'SER_se-appl'!N48</f>
        <v>833.22454348099677</v>
      </c>
      <c r="O12" s="205">
        <f>'SER_se-appl'!O48</f>
        <v>834.46006859526381</v>
      </c>
      <c r="P12" s="205">
        <f>'SER_se-appl'!P48</f>
        <v>835.64471865965606</v>
      </c>
      <c r="Q12" s="205">
        <f>'SER_se-appl'!Q48</f>
        <v>836.7825821192165</v>
      </c>
      <c r="R12" s="205">
        <f>'SER_se-appl'!R48</f>
        <v>822.67598832750366</v>
      </c>
      <c r="S12" s="205">
        <f>'SER_se-appl'!S48</f>
        <v>828.5331840637723</v>
      </c>
      <c r="T12" s="205">
        <f>'SER_se-appl'!T48</f>
        <v>829.10151033199816</v>
      </c>
      <c r="U12" s="205">
        <f>'SER_se-appl'!U48</f>
        <v>826.64954358989678</v>
      </c>
      <c r="V12" s="205">
        <f>'SER_se-appl'!V48</f>
        <v>759.08164717440923</v>
      </c>
      <c r="W12" s="205">
        <f>'SER_se-appl'!W48</f>
        <v>768.284544966407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44.948552035511604</v>
      </c>
      <c r="C14" s="59">
        <f>'SER_se-appl'!C56</f>
        <v>44.791431550794151</v>
      </c>
      <c r="D14" s="59">
        <f>'SER_se-appl'!D56</f>
        <v>44.614377249703722</v>
      </c>
      <c r="E14" s="59">
        <f>'SER_se-appl'!E56</f>
        <v>44.416021460384357</v>
      </c>
      <c r="F14" s="59">
        <f>'SER_se-appl'!F56</f>
        <v>44.168497534438707</v>
      </c>
      <c r="G14" s="59">
        <f>'SER_se-appl'!G56</f>
        <v>43.897554044735649</v>
      </c>
      <c r="H14" s="59">
        <f>'SER_se-appl'!H56</f>
        <v>43.591267093402699</v>
      </c>
      <c r="I14" s="59">
        <f>'SER_se-appl'!I56</f>
        <v>43.251550419548039</v>
      </c>
      <c r="J14" s="59">
        <f>'SER_se-appl'!J56</f>
        <v>42.904311731323297</v>
      </c>
      <c r="K14" s="59">
        <f>'SER_se-appl'!K56</f>
        <v>42.610283019525568</v>
      </c>
      <c r="L14" s="59">
        <f>'SER_se-appl'!L56</f>
        <v>42.231188942111558</v>
      </c>
      <c r="M14" s="59">
        <f>'SER_se-appl'!M56</f>
        <v>41.814030715473173</v>
      </c>
      <c r="N14" s="59">
        <f>'SER_se-appl'!N56</f>
        <v>41.343946812609147</v>
      </c>
      <c r="O14" s="59">
        <f>'SER_se-appl'!O56</f>
        <v>40.790143434409892</v>
      </c>
      <c r="P14" s="59">
        <f>'SER_se-appl'!P56</f>
        <v>40.145133592548532</v>
      </c>
      <c r="Q14" s="59">
        <f>'SER_se-appl'!Q56</f>
        <v>39.397345143289336</v>
      </c>
      <c r="R14" s="59">
        <f>'SER_se-appl'!R56</f>
        <v>38.872735438419205</v>
      </c>
      <c r="S14" s="59">
        <f>'SER_se-appl'!S56</f>
        <v>38.329407195749603</v>
      </c>
      <c r="T14" s="59">
        <f>'SER_se-appl'!T56</f>
        <v>37.781088150828779</v>
      </c>
      <c r="U14" s="59">
        <f>'SER_se-appl'!U56</f>
        <v>37.194123879746115</v>
      </c>
      <c r="V14" s="59">
        <f>'SER_se-appl'!V56</f>
        <v>36.612962429658566</v>
      </c>
      <c r="W14" s="59">
        <f>'SER_se-appl'!W56</f>
        <v>36.047171306060875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42.544264975182699</v>
      </c>
      <c r="D15" s="63">
        <f>'SER_se-appl'!D64</f>
        <v>42.328610414397957</v>
      </c>
      <c r="E15" s="63">
        <f>'SER_se-appl'!E64</f>
        <v>42.096527683146114</v>
      </c>
      <c r="F15" s="63">
        <f>'SER_se-appl'!F64</f>
        <v>41.828595794137023</v>
      </c>
      <c r="G15" s="63">
        <f>'SER_se-appl'!G64</f>
        <v>41.511650474016804</v>
      </c>
      <c r="H15" s="63">
        <f>'SER_se-appl'!H64</f>
        <v>41.141742365698846</v>
      </c>
      <c r="I15" s="63">
        <f>'SER_se-appl'!I64</f>
        <v>40.810436436084522</v>
      </c>
      <c r="J15" s="63">
        <f>'SER_se-appl'!J64</f>
        <v>40.458181674340075</v>
      </c>
      <c r="K15" s="63">
        <f>'SER_se-appl'!K64</f>
        <v>40.035117799192619</v>
      </c>
      <c r="L15" s="63">
        <f>'SER_se-appl'!L64</f>
        <v>39.572807544130633</v>
      </c>
      <c r="M15" s="63">
        <f>'SER_se-appl'!M64</f>
        <v>38.762828711665705</v>
      </c>
      <c r="N15" s="63">
        <f>'SER_se-appl'!N64</f>
        <v>37.893089750996012</v>
      </c>
      <c r="O15" s="63">
        <f>'SER_se-appl'!O64</f>
        <v>37.061644130062078</v>
      </c>
      <c r="P15" s="63">
        <f>'SER_se-appl'!P64</f>
        <v>36.280027739553297</v>
      </c>
      <c r="Q15" s="63">
        <f>'SER_se-appl'!Q64</f>
        <v>35.487668646434003</v>
      </c>
      <c r="R15" s="63">
        <f>'SER_se-appl'!R64</f>
        <v>35.034984792574946</v>
      </c>
      <c r="S15" s="63">
        <f>'SER_se-appl'!S64</f>
        <v>34.4834648108964</v>
      </c>
      <c r="T15" s="63">
        <f>'SER_se-appl'!T64</f>
        <v>33.967948862123656</v>
      </c>
      <c r="U15" s="63">
        <f>'SER_se-appl'!U64</f>
        <v>33.472875822044784</v>
      </c>
      <c r="V15" s="63">
        <f>'SER_se-appl'!V64</f>
        <v>32.983517339047992</v>
      </c>
      <c r="W15" s="63">
        <f>'SER_se-appl'!W64</f>
        <v>32.724454142710535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70.360251751295792</v>
      </c>
      <c r="C3" s="199">
        <f>'SER_se-appl'!C9</f>
        <v>80.346882508428806</v>
      </c>
      <c r="D3" s="199">
        <f>'SER_se-appl'!D9</f>
        <v>92.417221572435096</v>
      </c>
      <c r="E3" s="199">
        <f>'SER_se-appl'!E9</f>
        <v>103.77105505003475</v>
      </c>
      <c r="F3" s="199">
        <f>'SER_se-appl'!F9</f>
        <v>95.893807741723236</v>
      </c>
      <c r="G3" s="199">
        <f>'SER_se-appl'!G9</f>
        <v>107.04498465904109</v>
      </c>
      <c r="H3" s="199">
        <f>'SER_se-appl'!H9</f>
        <v>115.88971971037195</v>
      </c>
      <c r="I3" s="199">
        <f>'SER_se-appl'!I9</f>
        <v>119.11011125637962</v>
      </c>
      <c r="J3" s="199">
        <f>'SER_se-appl'!J9</f>
        <v>124.80211451497983</v>
      </c>
      <c r="K3" s="199">
        <f>'SER_se-appl'!K9</f>
        <v>126.79490151288867</v>
      </c>
      <c r="L3" s="199">
        <f>'SER_se-appl'!L9</f>
        <v>130.38299750915857</v>
      </c>
      <c r="M3" s="199">
        <f>'SER_se-appl'!M9</f>
        <v>135.39699986907911</v>
      </c>
      <c r="N3" s="199">
        <f>'SER_se-appl'!N9</f>
        <v>142.87953667791322</v>
      </c>
      <c r="O3" s="199">
        <f>'SER_se-appl'!O9</f>
        <v>151.08195107840629</v>
      </c>
      <c r="P3" s="199">
        <f>'SER_se-appl'!P9</f>
        <v>164.19582389935795</v>
      </c>
      <c r="Q3" s="199">
        <f>'SER_se-appl'!Q9</f>
        <v>168.13905470868485</v>
      </c>
      <c r="R3" s="199">
        <f>'SER_se-appl'!R9</f>
        <v>178.67450664686692</v>
      </c>
      <c r="S3" s="199">
        <f>'SER_se-appl'!S9</f>
        <v>192.54311955087255</v>
      </c>
      <c r="T3" s="199">
        <f>'SER_se-appl'!T9</f>
        <v>203.04042003287157</v>
      </c>
      <c r="U3" s="199">
        <f>'SER_se-appl'!U9</f>
        <v>199.34091295689231</v>
      </c>
      <c r="V3" s="199">
        <f>'SER_se-appl'!V9</f>
        <v>180.03827529216935</v>
      </c>
      <c r="W3" s="199">
        <f>'SER_se-appl'!W9</f>
        <v>182.59203313436754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490.60714407297689</v>
      </c>
      <c r="C5" s="59">
        <f>'SER_se-appl'!C17</f>
        <v>548.60312185108432</v>
      </c>
      <c r="D5" s="59">
        <f>'SER_se-appl'!D17</f>
        <v>619.36174445312054</v>
      </c>
      <c r="E5" s="59">
        <f>'SER_se-appl'!E17</f>
        <v>683.88491030076807</v>
      </c>
      <c r="F5" s="59">
        <f>'SER_se-appl'!F17</f>
        <v>621.39507542824686</v>
      </c>
      <c r="G5" s="59">
        <f>'SER_se-appl'!G17</f>
        <v>683.12170663400809</v>
      </c>
      <c r="H5" s="59">
        <f>'SER_se-appl'!H17</f>
        <v>728.15326309694012</v>
      </c>
      <c r="I5" s="59">
        <f>'SER_se-appl'!I17</f>
        <v>737.35784812831957</v>
      </c>
      <c r="J5" s="59">
        <f>'SER_se-appl'!J17</f>
        <v>763.72408501431141</v>
      </c>
      <c r="K5" s="59">
        <f>'SER_se-appl'!K17</f>
        <v>770.98228315592348</v>
      </c>
      <c r="L5" s="59">
        <f>'SER_se-appl'!L17</f>
        <v>783.22057144341625</v>
      </c>
      <c r="M5" s="59">
        <f>'SER_se-appl'!M17</f>
        <v>804.33282759816154</v>
      </c>
      <c r="N5" s="59">
        <f>'SER_se-appl'!N17</f>
        <v>841.30267331513915</v>
      </c>
      <c r="O5" s="59">
        <f>'SER_se-appl'!O17</f>
        <v>881.82861898130102</v>
      </c>
      <c r="P5" s="59">
        <f>'SER_se-appl'!P17</f>
        <v>948.95172185346985</v>
      </c>
      <c r="Q5" s="59">
        <f>'SER_se-appl'!Q17</f>
        <v>961.77857316315828</v>
      </c>
      <c r="R5" s="59">
        <f>'SER_se-appl'!R17</f>
        <v>1033.6765809852136</v>
      </c>
      <c r="S5" s="59">
        <f>'SER_se-appl'!S17</f>
        <v>1095.0835676604854</v>
      </c>
      <c r="T5" s="59">
        <f>'SER_se-appl'!T17</f>
        <v>1149.4360359035586</v>
      </c>
      <c r="U5" s="59">
        <f>'SER_se-appl'!U17</f>
        <v>1123.1147557118775</v>
      </c>
      <c r="V5" s="59">
        <f>'SER_se-appl'!V17</f>
        <v>1066.6730025191303</v>
      </c>
      <c r="W5" s="59">
        <f>'SER_se-appl'!W17</f>
        <v>1074.257519195934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0.1686377623801168</v>
      </c>
      <c r="C6" s="202">
        <f>'SER_se-appl'!C73</f>
        <v>0.19388232794647553</v>
      </c>
      <c r="D6" s="202">
        <f>'SER_se-appl'!D73</f>
        <v>0.2260799344134809</v>
      </c>
      <c r="E6" s="202">
        <f>'SER_se-appl'!E73</f>
        <v>0.2586899107675471</v>
      </c>
      <c r="F6" s="202">
        <f>'SER_se-appl'!F73</f>
        <v>0.23945518740371499</v>
      </c>
      <c r="G6" s="202">
        <f>'SER_se-appl'!G73</f>
        <v>0.27587631720024508</v>
      </c>
      <c r="H6" s="202">
        <f>'SER_se-appl'!H73</f>
        <v>0.30987936485127698</v>
      </c>
      <c r="I6" s="202">
        <f>'SER_se-appl'!I73</f>
        <v>0.33090875154196991</v>
      </c>
      <c r="J6" s="202">
        <f>'SER_se-appl'!J73</f>
        <v>0.36163206044284862</v>
      </c>
      <c r="K6" s="202">
        <f>'SER_se-appl'!K73</f>
        <v>0.36897613237252913</v>
      </c>
      <c r="L6" s="202">
        <f>'SER_se-appl'!L73</f>
        <v>0.4002492032935448</v>
      </c>
      <c r="M6" s="202">
        <f>'SER_se-appl'!M73</f>
        <v>0.44664485684685912</v>
      </c>
      <c r="N6" s="202">
        <f>'SER_se-appl'!N73</f>
        <v>0.49939143957156407</v>
      </c>
      <c r="O6" s="202">
        <f>'SER_se-appl'!O73</f>
        <v>0.55527446637639444</v>
      </c>
      <c r="P6" s="202">
        <f>'SER_se-appl'!P73</f>
        <v>0.6021612112450424</v>
      </c>
      <c r="Q6" s="202">
        <f>'SER_se-appl'!Q73</f>
        <v>0.62044930592491065</v>
      </c>
      <c r="R6" s="202">
        <f>'SER_se-appl'!R73</f>
        <v>0.67064507716660759</v>
      </c>
      <c r="S6" s="202">
        <f>'SER_se-appl'!S73</f>
        <v>0.71044795583824216</v>
      </c>
      <c r="T6" s="202">
        <f>'SER_se-appl'!T73</f>
        <v>0.74698861801824112</v>
      </c>
      <c r="U6" s="202">
        <f>'SER_se-appl'!U73</f>
        <v>0.73002891780089185</v>
      </c>
      <c r="V6" s="202">
        <f>'SER_se-appl'!V73</f>
        <v>0.69725315689122414</v>
      </c>
      <c r="W6" s="202">
        <f>'SER_se-appl'!W73</f>
        <v>0.71969098374733864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1349.4707411894974</v>
      </c>
      <c r="C8" s="34">
        <f>'SER_se-appl'!C25</f>
        <v>1555.1196828129712</v>
      </c>
      <c r="D8" s="34">
        <f>'SER_se-appl'!D25</f>
        <v>1823.0272023339212</v>
      </c>
      <c r="E8" s="34">
        <f>'SER_se-appl'!E25</f>
        <v>2095.458899562771</v>
      </c>
      <c r="F8" s="34">
        <f>'SER_se-appl'!F25</f>
        <v>1949.7813436634299</v>
      </c>
      <c r="G8" s="34">
        <f>'SER_se-appl'!G25</f>
        <v>2262.5607169570849</v>
      </c>
      <c r="H8" s="34">
        <f>'SER_se-appl'!H25</f>
        <v>2557.8366215331657</v>
      </c>
      <c r="I8" s="34">
        <f>'SER_se-appl'!I25</f>
        <v>2740.9118944821121</v>
      </c>
      <c r="J8" s="34">
        <f>'SER_se-appl'!J25</f>
        <v>3004.4351802065216</v>
      </c>
      <c r="K8" s="34">
        <f>'SER_se-appl'!K25</f>
        <v>3075.4171702534272</v>
      </c>
      <c r="L8" s="34">
        <f>'SER_se-appl'!L25</f>
        <v>3342.7384569421101</v>
      </c>
      <c r="M8" s="34">
        <f>'SER_se-appl'!M25</f>
        <v>3740.7239258489681</v>
      </c>
      <c r="N8" s="34">
        <f>'SER_se-appl'!N25</f>
        <v>4198.943650281899</v>
      </c>
      <c r="O8" s="34">
        <f>'SER_se-appl'!O25</f>
        <v>4693.102051387993</v>
      </c>
      <c r="P8" s="34">
        <f>'SER_se-appl'!P25</f>
        <v>5123.0587227736141</v>
      </c>
      <c r="Q8" s="34">
        <f>'SER_se-appl'!Q25</f>
        <v>5326.5113781167192</v>
      </c>
      <c r="R8" s="34">
        <f>'SER_se-appl'!R25</f>
        <v>5834.9280451808308</v>
      </c>
      <c r="S8" s="34">
        <f>'SER_se-appl'!S25</f>
        <v>6232.6640060948603</v>
      </c>
      <c r="T8" s="34">
        <f>'SER_se-appl'!T25</f>
        <v>6590.1330341179346</v>
      </c>
      <c r="U8" s="34">
        <f>'SER_se-appl'!U25</f>
        <v>6467.1619262915965</v>
      </c>
      <c r="V8" s="34">
        <f>'SER_se-appl'!V25</f>
        <v>6206.2949736908276</v>
      </c>
      <c r="W8" s="34">
        <f>'SER_se-appl'!W25</f>
        <v>6428.7577416444365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475.54308986137335</v>
      </c>
      <c r="D9" s="36">
        <f>'SER_se-appl'!D33</f>
        <v>537.80166775884959</v>
      </c>
      <c r="E9" s="36">
        <f>'SER_se-appl'!E33</f>
        <v>542.32584546674934</v>
      </c>
      <c r="F9" s="36">
        <f>'SER_se-appl'!F33</f>
        <v>124.21659233855848</v>
      </c>
      <c r="G9" s="36">
        <f>'SER_se-appl'!G33</f>
        <v>582.67352153155457</v>
      </c>
      <c r="H9" s="36">
        <f>'SER_se-appl'!H33</f>
        <v>770.81899443745419</v>
      </c>
      <c r="I9" s="36">
        <f>'SER_se-appl'!I33</f>
        <v>720.87694070779594</v>
      </c>
      <c r="J9" s="36">
        <f>'SER_se-appl'!J33</f>
        <v>805.8491311911589</v>
      </c>
      <c r="K9" s="36">
        <f>'SER_se-appl'!K33</f>
        <v>195.19858238546431</v>
      </c>
      <c r="L9" s="36">
        <f>'SER_se-appl'!L33</f>
        <v>849.99480822023725</v>
      </c>
      <c r="M9" s="36">
        <f>'SER_se-appl'!M33</f>
        <v>1168.8044633443124</v>
      </c>
      <c r="N9" s="36">
        <f>'SER_se-appl'!N33</f>
        <v>1179.0966651407271</v>
      </c>
      <c r="O9" s="36">
        <f>'SER_se-appl'!O33</f>
        <v>1300.007532297253</v>
      </c>
      <c r="P9" s="36">
        <f>'SER_se-appl'!P33</f>
        <v>625.15525377108497</v>
      </c>
      <c r="Q9" s="36">
        <f>'SER_se-appl'!Q33</f>
        <v>1053.4474635633424</v>
      </c>
      <c r="R9" s="36">
        <f>'SER_se-appl'!R33</f>
        <v>1677.221130408424</v>
      </c>
      <c r="S9" s="36">
        <f>'SER_se-appl'!S33</f>
        <v>1576.8326260547565</v>
      </c>
      <c r="T9" s="36">
        <f>'SER_se-appl'!T33</f>
        <v>1657.4765603203268</v>
      </c>
      <c r="U9" s="36">
        <f>'SER_se-appl'!U33</f>
        <v>502.18414594474689</v>
      </c>
      <c r="V9" s="36">
        <f>'SER_se-appl'!V33</f>
        <v>792.5805109625735</v>
      </c>
      <c r="W9" s="36">
        <f>'SER_se-appl'!W33</f>
        <v>1899.6838983620328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269.89414823789957</v>
      </c>
      <c r="D10" s="38">
        <f>'SER_se-appl'!D41</f>
        <v>269.89414823789957</v>
      </c>
      <c r="E10" s="38">
        <f>'SER_se-appl'!E41</f>
        <v>269.89414823789957</v>
      </c>
      <c r="F10" s="38">
        <f>'SER_se-appl'!F41</f>
        <v>269.89414823789934</v>
      </c>
      <c r="G10" s="38">
        <f>'SER_se-appl'!G41</f>
        <v>269.89414823789957</v>
      </c>
      <c r="H10" s="38">
        <f>'SER_se-appl'!H41</f>
        <v>475.54308986137357</v>
      </c>
      <c r="I10" s="38">
        <f>'SER_se-appl'!I41</f>
        <v>537.80166775884936</v>
      </c>
      <c r="J10" s="38">
        <f>'SER_se-appl'!J41</f>
        <v>542.32584546674934</v>
      </c>
      <c r="K10" s="38">
        <f>'SER_se-appl'!K41</f>
        <v>124.21659233855871</v>
      </c>
      <c r="L10" s="38">
        <f>'SER_se-appl'!L41</f>
        <v>582.67352153155434</v>
      </c>
      <c r="M10" s="38">
        <f>'SER_se-appl'!M41</f>
        <v>770.81899443745442</v>
      </c>
      <c r="N10" s="38">
        <f>'SER_se-appl'!N41</f>
        <v>720.87694070779617</v>
      </c>
      <c r="O10" s="38">
        <f>'SER_se-appl'!O41</f>
        <v>805.84913119115936</v>
      </c>
      <c r="P10" s="38">
        <f>'SER_se-appl'!P41</f>
        <v>195.19858238546385</v>
      </c>
      <c r="Q10" s="38">
        <f>'SER_se-appl'!Q41</f>
        <v>849.99480822023725</v>
      </c>
      <c r="R10" s="38">
        <f>'SER_se-appl'!R41</f>
        <v>1168.8044633443124</v>
      </c>
      <c r="S10" s="38">
        <f>'SER_se-appl'!S41</f>
        <v>1179.0966651407271</v>
      </c>
      <c r="T10" s="38">
        <f>'SER_se-appl'!T41</f>
        <v>1300.0075322972525</v>
      </c>
      <c r="U10" s="38">
        <f>'SER_se-appl'!U41</f>
        <v>625.15525377108497</v>
      </c>
      <c r="V10" s="38">
        <f>'SER_se-appl'!V41</f>
        <v>1053.4474635633424</v>
      </c>
      <c r="W10" s="38">
        <f>'SER_se-appl'!W41</f>
        <v>1677.221130408424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1667.9123770481642</v>
      </c>
      <c r="C12" s="205">
        <f>'SER_se-appl'!C49</f>
        <v>1703.2973498584549</v>
      </c>
      <c r="D12" s="205">
        <f>'SER_se-appl'!D49</f>
        <v>1735.354655842443</v>
      </c>
      <c r="E12" s="205">
        <f>'SER_se-appl'!E49</f>
        <v>1764.7082894417661</v>
      </c>
      <c r="F12" s="205">
        <f>'SER_se-appl'!F49</f>
        <v>1794.7438403299991</v>
      </c>
      <c r="G12" s="205">
        <f>'SER_se-appl'!G49</f>
        <v>1822.4178202723078</v>
      </c>
      <c r="H12" s="205">
        <f>'SER_se-appl'!H49</f>
        <v>1850.9804302726739</v>
      </c>
      <c r="I12" s="205">
        <f>'SER_se-appl'!I49</f>
        <v>1878.6680001141387</v>
      </c>
      <c r="J12" s="205">
        <f>'SER_se-appl'!J49</f>
        <v>1900.48817405309</v>
      </c>
      <c r="K12" s="205">
        <f>'SER_se-appl'!K49</f>
        <v>1912.6570568634806</v>
      </c>
      <c r="L12" s="205">
        <f>'SER_se-appl'!L49</f>
        <v>1936.050094083954</v>
      </c>
      <c r="M12" s="205">
        <f>'SER_se-appl'!M49</f>
        <v>1957.7307483265888</v>
      </c>
      <c r="N12" s="205">
        <f>'SER_se-appl'!N49</f>
        <v>1975.138156896938</v>
      </c>
      <c r="O12" s="205">
        <f>'SER_se-appl'!O49</f>
        <v>1992.5448700810693</v>
      </c>
      <c r="P12" s="205">
        <f>'SER_se-appl'!P49</f>
        <v>2012.3230591960491</v>
      </c>
      <c r="Q12" s="205">
        <f>'SER_se-appl'!Q49</f>
        <v>2033.1677798048395</v>
      </c>
      <c r="R12" s="205">
        <f>'SER_se-appl'!R49</f>
        <v>2010.2849871305996</v>
      </c>
      <c r="S12" s="205">
        <f>'SER_se-appl'!S49</f>
        <v>2044.845294465146</v>
      </c>
      <c r="T12" s="205">
        <f>'SER_se-appl'!T49</f>
        <v>2054.3640630912168</v>
      </c>
      <c r="U12" s="205">
        <f>'SER_se-appl'!U49</f>
        <v>2064.2011921739904</v>
      </c>
      <c r="V12" s="205">
        <f>'SER_se-appl'!V49</f>
        <v>1962.9681605355688</v>
      </c>
      <c r="W12" s="205">
        <f>'SER_se-appl'!W49</f>
        <v>1976.7563246307429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363.5552288006844</v>
      </c>
      <c r="C14" s="59">
        <f>'SER_se-appl'!C57</f>
        <v>352.77228364748493</v>
      </c>
      <c r="D14" s="59">
        <f>'SER_se-appl'!D57</f>
        <v>339.74355602603504</v>
      </c>
      <c r="E14" s="59">
        <f>'SER_se-appl'!E57</f>
        <v>326.36522264572426</v>
      </c>
      <c r="F14" s="59">
        <f>'SER_se-appl'!F57</f>
        <v>318.699877526119</v>
      </c>
      <c r="G14" s="59">
        <f>'SER_se-appl'!G57</f>
        <v>301.92414352209636</v>
      </c>
      <c r="H14" s="59">
        <f>'SER_se-appl'!H57</f>
        <v>284.67543898893962</v>
      </c>
      <c r="I14" s="59">
        <f>'SER_se-appl'!I57</f>
        <v>269.01917190871302</v>
      </c>
      <c r="J14" s="59">
        <f>'SER_se-appl'!J57</f>
        <v>254.19888904436732</v>
      </c>
      <c r="K14" s="59">
        <f>'SER_se-appl'!K57</f>
        <v>250.6919355894704</v>
      </c>
      <c r="L14" s="59">
        <f>'SER_se-appl'!L57</f>
        <v>234.30507098658728</v>
      </c>
      <c r="M14" s="59">
        <f>'SER_se-appl'!M57</f>
        <v>215.02063331648188</v>
      </c>
      <c r="N14" s="59">
        <f>'SER_se-appl'!N57</f>
        <v>200.36055336409615</v>
      </c>
      <c r="O14" s="59">
        <f>'SER_se-appl'!O57</f>
        <v>187.89887995734051</v>
      </c>
      <c r="P14" s="59">
        <f>'SER_se-appl'!P57</f>
        <v>185.23147463351918</v>
      </c>
      <c r="Q14" s="59">
        <f>'SER_se-appl'!Q57</f>
        <v>180.56444544819723</v>
      </c>
      <c r="R14" s="59">
        <f>'SER_se-appl'!R57</f>
        <v>177.15326958298058</v>
      </c>
      <c r="S14" s="59">
        <f>'SER_se-appl'!S57</f>
        <v>175.7007222897968</v>
      </c>
      <c r="T14" s="59">
        <f>'SER_se-appl'!T57</f>
        <v>174.4177287397365</v>
      </c>
      <c r="U14" s="59">
        <f>'SER_se-appl'!U57</f>
        <v>173.66423919988262</v>
      </c>
      <c r="V14" s="59">
        <f>'SER_se-appl'!V57</f>
        <v>171.86953037857134</v>
      </c>
      <c r="W14" s="59">
        <f>'SER_se-appl'!W57</f>
        <v>167.10188225589374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328.2928717105591</v>
      </c>
      <c r="D15" s="63">
        <f>'SER_se-appl'!D65</f>
        <v>314.01920362277031</v>
      </c>
      <c r="E15" s="63">
        <f>'SER_se-appl'!E65</f>
        <v>299.90197963415153</v>
      </c>
      <c r="F15" s="63">
        <f>'SER_se-appl'!F65</f>
        <v>286.85051868882732</v>
      </c>
      <c r="G15" s="63">
        <f>'SER_se-appl'!G65</f>
        <v>274.33554831905997</v>
      </c>
      <c r="H15" s="63">
        <f>'SER_se-appl'!H65</f>
        <v>260.95486035918708</v>
      </c>
      <c r="I15" s="63">
        <f>'SER_se-appl'!I65</f>
        <v>247.03888610052897</v>
      </c>
      <c r="J15" s="63">
        <f>'SER_se-appl'!J65</f>
        <v>234.54865710266407</v>
      </c>
      <c r="K15" s="63">
        <f>'SER_se-appl'!K65</f>
        <v>219.72389122678408</v>
      </c>
      <c r="L15" s="63">
        <f>'SER_se-appl'!L65</f>
        <v>202.45576401598581</v>
      </c>
      <c r="M15" s="63">
        <f>'SER_se-appl'!M65</f>
        <v>190.16116568756217</v>
      </c>
      <c r="N15" s="63">
        <f>'SER_se-appl'!N65</f>
        <v>182.38918701319656</v>
      </c>
      <c r="O15" s="63">
        <f>'SER_se-appl'!O65</f>
        <v>176.56572866834154</v>
      </c>
      <c r="P15" s="63">
        <f>'SER_se-appl'!P65</f>
        <v>175.97691820108867</v>
      </c>
      <c r="Q15" s="63">
        <f>'SER_se-appl'!Q65</f>
        <v>175.5314868688933</v>
      </c>
      <c r="R15" s="63">
        <f>'SER_se-appl'!R65</f>
        <v>175.3848802040813</v>
      </c>
      <c r="S15" s="63">
        <f>'SER_se-appl'!S65</f>
        <v>175.32708562225059</v>
      </c>
      <c r="T15" s="63">
        <f>'SER_se-appl'!T65</f>
        <v>171.27798501271423</v>
      </c>
      <c r="U15" s="63">
        <f>'SER_se-appl'!U65</f>
        <v>166.65523083514842</v>
      </c>
      <c r="V15" s="63">
        <f>'SER_se-appl'!V65</f>
        <v>162.09261349205335</v>
      </c>
      <c r="W15" s="63">
        <f>'SER_se-appl'!W65</f>
        <v>158.83892260676211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4575.9207240948817</v>
      </c>
      <c r="C3" s="220">
        <v>4699.0625597857279</v>
      </c>
      <c r="D3" s="220">
        <v>4471.7314487632511</v>
      </c>
      <c r="E3" s="220">
        <v>4309.8314291765819</v>
      </c>
      <c r="F3" s="220">
        <v>4400.4181270368326</v>
      </c>
      <c r="G3" s="220">
        <v>3852.535006080162</v>
      </c>
      <c r="H3" s="220">
        <v>4120.0495779968123</v>
      </c>
      <c r="I3" s="220">
        <v>4648.8673139158582</v>
      </c>
      <c r="J3" s="220">
        <v>4476.1429041742822</v>
      </c>
      <c r="K3" s="220">
        <v>3673.271950894049</v>
      </c>
      <c r="L3" s="220">
        <v>4137.6570930476328</v>
      </c>
      <c r="M3" s="220">
        <v>4724.8877924731314</v>
      </c>
      <c r="N3" s="220">
        <v>4576.4065645001547</v>
      </c>
      <c r="O3" s="220">
        <v>4258.2037634633916</v>
      </c>
      <c r="P3" s="220">
        <v>4097.5579775465048</v>
      </c>
      <c r="Q3" s="220">
        <v>3889.5</v>
      </c>
      <c r="R3" s="220">
        <v>3896.9094424433952</v>
      </c>
      <c r="S3" s="220">
        <v>4347.3145879516196</v>
      </c>
      <c r="T3" s="220">
        <v>4158.5755883335714</v>
      </c>
      <c r="U3" s="220">
        <v>3924.617594861827</v>
      </c>
      <c r="V3" s="220">
        <v>3708.2072410398509</v>
      </c>
      <c r="W3" s="220">
        <v>4392.9689723882721</v>
      </c>
      <c r="DA3" s="211" t="s">
        <v>972</v>
      </c>
    </row>
    <row r="5" spans="1:105" x14ac:dyDescent="0.25">
      <c r="A5" s="219" t="s">
        <v>120</v>
      </c>
      <c r="B5" s="220">
        <v>4175.2945844904179</v>
      </c>
      <c r="C5" s="220">
        <v>4443.6214911065381</v>
      </c>
      <c r="D5" s="220">
        <v>4128.6443074231793</v>
      </c>
      <c r="E5" s="220">
        <v>3997.980684143593</v>
      </c>
      <c r="F5" s="220">
        <v>4066.7888131119339</v>
      </c>
      <c r="G5" s="220">
        <v>3408.575324962238</v>
      </c>
      <c r="H5" s="220">
        <v>3557.343890276014</v>
      </c>
      <c r="I5" s="220">
        <v>3746.727249854066</v>
      </c>
      <c r="J5" s="220">
        <v>3737.5060618181601</v>
      </c>
      <c r="K5" s="220">
        <v>3280.2408543195588</v>
      </c>
      <c r="L5" s="220">
        <v>3690.0512742385758</v>
      </c>
      <c r="M5" s="220">
        <v>3892.3671652181438</v>
      </c>
      <c r="N5" s="220">
        <v>3880.317735432563</v>
      </c>
      <c r="O5" s="220">
        <v>4118.5242633584676</v>
      </c>
      <c r="P5" s="220">
        <v>4051.3834344324619</v>
      </c>
      <c r="Q5" s="220">
        <v>4017.327022133838</v>
      </c>
      <c r="R5" s="220">
        <v>4034.007425696775</v>
      </c>
      <c r="S5" s="220">
        <v>4425.9981566552005</v>
      </c>
      <c r="T5" s="220">
        <v>3751.20339172066</v>
      </c>
      <c r="U5" s="220">
        <v>3670.608060461584</v>
      </c>
      <c r="V5" s="220">
        <v>3479.5873088002932</v>
      </c>
      <c r="W5" s="220">
        <v>3949.9919815643789</v>
      </c>
      <c r="DA5" s="211" t="s">
        <v>973</v>
      </c>
    </row>
    <row r="6" spans="1:105" x14ac:dyDescent="0.25">
      <c r="A6" s="221" t="s">
        <v>119</v>
      </c>
      <c r="B6" s="222">
        <v>5219.1182306130222</v>
      </c>
      <c r="C6" s="222">
        <v>4958.1623190823711</v>
      </c>
      <c r="D6" s="222">
        <v>4697.2064075517201</v>
      </c>
      <c r="E6" s="222">
        <v>4697.2064075517201</v>
      </c>
      <c r="F6" s="222">
        <v>4436.250496021069</v>
      </c>
      <c r="G6" s="222">
        <v>4175.2945844904179</v>
      </c>
      <c r="H6" s="222">
        <v>4175.2945844904179</v>
      </c>
      <c r="I6" s="222">
        <v>4175.2945844904179</v>
      </c>
      <c r="J6" s="222">
        <v>4175.2945844904179</v>
      </c>
      <c r="K6" s="222">
        <v>4175.2945844904179</v>
      </c>
      <c r="L6" s="222">
        <v>3914.3386729597669</v>
      </c>
      <c r="M6" s="222">
        <v>4175.2945844904179</v>
      </c>
      <c r="N6" s="222">
        <v>4175.2945844904179</v>
      </c>
      <c r="O6" s="222">
        <v>4436.250496021069</v>
      </c>
      <c r="P6" s="222">
        <v>4436.250496021069</v>
      </c>
      <c r="Q6" s="222">
        <v>4436.250496021069</v>
      </c>
      <c r="R6" s="222">
        <v>4436.250496021069</v>
      </c>
      <c r="S6" s="222">
        <v>4697.2064075517201</v>
      </c>
      <c r="T6" s="222">
        <v>4436.250496021069</v>
      </c>
      <c r="U6" s="222">
        <v>4175.2945844904179</v>
      </c>
      <c r="V6" s="222">
        <v>3914.3386729597669</v>
      </c>
      <c r="W6" s="222">
        <v>4175.2945844904179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260.95591153065112</v>
      </c>
      <c r="J7" s="226">
        <v>260.95591153065112</v>
      </c>
      <c r="K7" s="226">
        <v>0</v>
      </c>
      <c r="L7" s="226">
        <v>0</v>
      </c>
      <c r="M7" s="226">
        <v>260.95591153065112</v>
      </c>
      <c r="N7" s="226">
        <v>260.95591153065112</v>
      </c>
      <c r="O7" s="226">
        <v>521.91182306130224</v>
      </c>
      <c r="P7" s="226">
        <v>0</v>
      </c>
      <c r="Q7" s="226">
        <v>260.95591153065112</v>
      </c>
      <c r="R7" s="226">
        <v>260.95591153065112</v>
      </c>
      <c r="S7" s="226">
        <v>260.95591153065112</v>
      </c>
      <c r="T7" s="226">
        <v>0</v>
      </c>
      <c r="U7" s="226">
        <v>0</v>
      </c>
      <c r="V7" s="226">
        <v>0</v>
      </c>
      <c r="W7" s="226">
        <v>260.95591153065112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260.95591153065106</v>
      </c>
      <c r="D8" s="228">
        <f t="shared" ref="D8" si="1">IF(C6=0,0,C6+D7-D6)</f>
        <v>260.95591153065106</v>
      </c>
      <c r="E8" s="228">
        <f t="shared" ref="E8" si="2">IF(D6=0,0,D6+E7-E6)</f>
        <v>0</v>
      </c>
      <c r="F8" s="228">
        <f t="shared" ref="F8" si="3">IF(E6=0,0,E6+F7-F6)</f>
        <v>260.95591153065106</v>
      </c>
      <c r="G8" s="228">
        <f t="shared" ref="G8" si="4">IF(F6=0,0,F6+G7-G6)</f>
        <v>260.95591153065106</v>
      </c>
      <c r="H8" s="228">
        <f t="shared" ref="H8" si="5">IF(G6=0,0,G6+H7-H6)</f>
        <v>0</v>
      </c>
      <c r="I8" s="228">
        <f t="shared" ref="I8" si="6">IF(H6=0,0,H6+I7-I6)</f>
        <v>260.95591153065106</v>
      </c>
      <c r="J8" s="228">
        <f t="shared" ref="J8" si="7">IF(I6=0,0,I6+J7-J6)</f>
        <v>260.95591153065106</v>
      </c>
      <c r="K8" s="228">
        <f t="shared" ref="K8" si="8">IF(J6=0,0,J6+K7-K6)</f>
        <v>0</v>
      </c>
      <c r="L8" s="228">
        <f t="shared" ref="L8" si="9">IF(K6=0,0,K6+L7-L6)</f>
        <v>260.95591153065106</v>
      </c>
      <c r="M8" s="228">
        <f t="shared" ref="M8" si="10">IF(L6=0,0,L6+M7-M6)</f>
        <v>0</v>
      </c>
      <c r="N8" s="228">
        <f t="shared" ref="N8" si="11">IF(M6=0,0,M6+N7-N6)</f>
        <v>260.95591153065106</v>
      </c>
      <c r="O8" s="228">
        <f t="shared" ref="O8" si="12">IF(N6=0,0,N6+O7-O6)</f>
        <v>260.95591153065106</v>
      </c>
      <c r="P8" s="228">
        <f t="shared" ref="P8" si="13">IF(O6=0,0,O6+P7-P6)</f>
        <v>0</v>
      </c>
      <c r="Q8" s="228">
        <f t="shared" ref="Q8" si="14">IF(P6=0,0,P6+Q7-Q6)</f>
        <v>260.95591153065106</v>
      </c>
      <c r="R8" s="228">
        <f t="shared" ref="R8" si="15">IF(Q6=0,0,Q6+R7-R6)</f>
        <v>260.95591153065106</v>
      </c>
      <c r="S8" s="228">
        <f t="shared" ref="S8" si="16">IF(R6=0,0,R6+S7-S6)</f>
        <v>0</v>
      </c>
      <c r="T8" s="228">
        <f t="shared" ref="T8" si="17">IF(S6=0,0,S6+T7-T6)</f>
        <v>260.95591153065106</v>
      </c>
      <c r="U8" s="228">
        <f t="shared" ref="U8" si="18">IF(T6=0,0,T6+U7-U6)</f>
        <v>260.95591153065106</v>
      </c>
      <c r="V8" s="228">
        <f t="shared" ref="V8" si="19">IF(U6=0,0,U6+V7-V6)</f>
        <v>260.95591153065106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1043.8236461226043</v>
      </c>
      <c r="C9" s="224">
        <f t="shared" ref="C9:W9" si="21">C6-C5</f>
        <v>514.54082797583305</v>
      </c>
      <c r="D9" s="224">
        <f t="shared" si="21"/>
        <v>568.56210012854081</v>
      </c>
      <c r="E9" s="224">
        <f t="shared" si="21"/>
        <v>699.22572340812712</v>
      </c>
      <c r="F9" s="224">
        <f t="shared" si="21"/>
        <v>369.46168290913511</v>
      </c>
      <c r="G9" s="224">
        <f t="shared" si="21"/>
        <v>766.71925952817992</v>
      </c>
      <c r="H9" s="224">
        <f t="shared" si="21"/>
        <v>617.95069421440394</v>
      </c>
      <c r="I9" s="224">
        <f t="shared" si="21"/>
        <v>428.56733463635192</v>
      </c>
      <c r="J9" s="224">
        <f t="shared" si="21"/>
        <v>437.78852267225784</v>
      </c>
      <c r="K9" s="224">
        <f t="shared" si="21"/>
        <v>895.05373017085913</v>
      </c>
      <c r="L9" s="224">
        <f t="shared" si="21"/>
        <v>224.28739872119104</v>
      </c>
      <c r="M9" s="224">
        <f t="shared" si="21"/>
        <v>282.92741927227416</v>
      </c>
      <c r="N9" s="224">
        <f t="shared" si="21"/>
        <v>294.97684905785491</v>
      </c>
      <c r="O9" s="224">
        <f t="shared" si="21"/>
        <v>317.72623266260143</v>
      </c>
      <c r="P9" s="224">
        <f t="shared" si="21"/>
        <v>384.86706158860716</v>
      </c>
      <c r="Q9" s="224">
        <f t="shared" si="21"/>
        <v>418.92347388723101</v>
      </c>
      <c r="R9" s="224">
        <f t="shared" si="21"/>
        <v>402.24307032429397</v>
      </c>
      <c r="S9" s="224">
        <f t="shared" si="21"/>
        <v>271.20825089651953</v>
      </c>
      <c r="T9" s="224">
        <f t="shared" si="21"/>
        <v>685.04710430040905</v>
      </c>
      <c r="U9" s="224">
        <f t="shared" si="21"/>
        <v>504.6865240288339</v>
      </c>
      <c r="V9" s="224">
        <f t="shared" si="21"/>
        <v>434.75136415947372</v>
      </c>
      <c r="W9" s="224">
        <f t="shared" si="21"/>
        <v>225.30260292603907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528.00309544282027</v>
      </c>
      <c r="C12" s="230">
        <f t="shared" ref="C12:W12" si="22">SUM(C13,C14,C18,C19,C26,C27)</f>
        <v>543.66835769561476</v>
      </c>
      <c r="D12" s="230">
        <f t="shared" si="22"/>
        <v>527.68435081685288</v>
      </c>
      <c r="E12" s="230">
        <f t="shared" si="22"/>
        <v>541.45803955288034</v>
      </c>
      <c r="F12" s="230">
        <f t="shared" si="22"/>
        <v>548.38056749785039</v>
      </c>
      <c r="G12" s="230">
        <f t="shared" si="22"/>
        <v>526.37454858125534</v>
      </c>
      <c r="H12" s="230">
        <f t="shared" si="22"/>
        <v>522.68125537403273</v>
      </c>
      <c r="I12" s="230">
        <f t="shared" si="22"/>
        <v>514.19527085124662</v>
      </c>
      <c r="J12" s="230">
        <f t="shared" si="22"/>
        <v>520.73637145313842</v>
      </c>
      <c r="K12" s="230">
        <f t="shared" si="22"/>
        <v>512.8992261392948</v>
      </c>
      <c r="L12" s="230">
        <f t="shared" si="22"/>
        <v>533.52923473774717</v>
      </c>
      <c r="M12" s="230">
        <f t="shared" si="22"/>
        <v>516.90739466895957</v>
      </c>
      <c r="N12" s="230">
        <f t="shared" si="22"/>
        <v>524.00980223559759</v>
      </c>
      <c r="O12" s="230">
        <f t="shared" si="22"/>
        <v>547.55864144453994</v>
      </c>
      <c r="P12" s="230">
        <f t="shared" si="22"/>
        <v>527.32562338779019</v>
      </c>
      <c r="Q12" s="230">
        <f t="shared" si="22"/>
        <v>533.9757523645743</v>
      </c>
      <c r="R12" s="230">
        <f t="shared" si="22"/>
        <v>546.14574376612211</v>
      </c>
      <c r="S12" s="230">
        <f t="shared" si="22"/>
        <v>552.81650902837487</v>
      </c>
      <c r="T12" s="230">
        <f t="shared" si="22"/>
        <v>529.96947549441097</v>
      </c>
      <c r="U12" s="230">
        <f t="shared" si="22"/>
        <v>521.27033533963868</v>
      </c>
      <c r="V12" s="230">
        <f t="shared" si="22"/>
        <v>517.15717970765263</v>
      </c>
      <c r="W12" s="230">
        <f t="shared" si="22"/>
        <v>563.03241616509035</v>
      </c>
      <c r="DA12" s="211" t="s">
        <v>978</v>
      </c>
    </row>
    <row r="13" spans="1:105" x14ac:dyDescent="0.25">
      <c r="A13" s="58" t="s">
        <v>29</v>
      </c>
      <c r="B13" s="59">
        <v>4.1217540842648317</v>
      </c>
      <c r="C13" s="59">
        <v>4.1251074806534822</v>
      </c>
      <c r="D13" s="59">
        <v>2.9822871883061053</v>
      </c>
      <c r="E13" s="59">
        <v>2.2941530524505591</v>
      </c>
      <c r="F13" s="59">
        <v>2.293121238177128</v>
      </c>
      <c r="G13" s="59">
        <v>2.9866723989681856</v>
      </c>
      <c r="H13" s="59">
        <v>2.5380911435941531</v>
      </c>
      <c r="I13" s="59">
        <v>3.0977644024075657</v>
      </c>
      <c r="J13" s="59">
        <v>3.238005159071367</v>
      </c>
      <c r="K13" s="59">
        <v>1.2911435941530525</v>
      </c>
      <c r="L13" s="59">
        <v>1.3400687876182287</v>
      </c>
      <c r="M13" s="59">
        <v>0.88005159071367134</v>
      </c>
      <c r="N13" s="59">
        <v>0.9309544282029234</v>
      </c>
      <c r="O13" s="59">
        <v>0.71728288907996562</v>
      </c>
      <c r="P13" s="59">
        <v>0.58856405846947546</v>
      </c>
      <c r="Q13" s="59">
        <v>0.47867583834909722</v>
      </c>
      <c r="R13" s="59">
        <v>0.45932932072226995</v>
      </c>
      <c r="S13" s="59">
        <v>0.65889939810834042</v>
      </c>
      <c r="T13" s="59">
        <v>0.58417884780739471</v>
      </c>
      <c r="U13" s="59">
        <v>0.42252794496990531</v>
      </c>
      <c r="V13" s="59">
        <v>0.41805674978503865</v>
      </c>
      <c r="W13" s="59">
        <v>0.33826311263972481</v>
      </c>
      <c r="DA13" s="9" t="s">
        <v>979</v>
      </c>
    </row>
    <row r="14" spans="1:105" x14ac:dyDescent="0.25">
      <c r="A14" s="60" t="s">
        <v>28</v>
      </c>
      <c r="B14" s="55">
        <f>SUM(B15:B17)</f>
        <v>312.33697334479791</v>
      </c>
      <c r="C14" s="55">
        <f t="shared" ref="C14:W14" si="23">SUM(C15:C17)</f>
        <v>310.68228718830613</v>
      </c>
      <c r="D14" s="55">
        <f t="shared" si="23"/>
        <v>299.19613069647465</v>
      </c>
      <c r="E14" s="55">
        <f t="shared" si="23"/>
        <v>305.04668959587269</v>
      </c>
      <c r="F14" s="55">
        <f t="shared" si="23"/>
        <v>301.93800515907134</v>
      </c>
      <c r="G14" s="55">
        <f t="shared" si="23"/>
        <v>274.21504729148751</v>
      </c>
      <c r="H14" s="55">
        <f t="shared" si="23"/>
        <v>262.81977644024079</v>
      </c>
      <c r="I14" s="55">
        <f t="shared" si="23"/>
        <v>253.73104041272563</v>
      </c>
      <c r="J14" s="55">
        <f t="shared" si="23"/>
        <v>251.8803955288048</v>
      </c>
      <c r="K14" s="55">
        <f t="shared" si="23"/>
        <v>236.01341358555459</v>
      </c>
      <c r="L14" s="55">
        <f t="shared" si="23"/>
        <v>234.01040412725709</v>
      </c>
      <c r="M14" s="55">
        <f t="shared" si="23"/>
        <v>229.35915735167674</v>
      </c>
      <c r="N14" s="55">
        <f t="shared" si="23"/>
        <v>228.31848667239896</v>
      </c>
      <c r="O14" s="55">
        <f t="shared" si="23"/>
        <v>233.77411865864144</v>
      </c>
      <c r="P14" s="55">
        <f t="shared" si="23"/>
        <v>232.57970765262255</v>
      </c>
      <c r="Q14" s="55">
        <f t="shared" si="23"/>
        <v>229.85107480653483</v>
      </c>
      <c r="R14" s="55">
        <f t="shared" si="23"/>
        <v>231.36147893379191</v>
      </c>
      <c r="S14" s="55">
        <f t="shared" si="23"/>
        <v>222.88675838349093</v>
      </c>
      <c r="T14" s="55">
        <f t="shared" si="23"/>
        <v>221.01074806534822</v>
      </c>
      <c r="U14" s="55">
        <f t="shared" si="23"/>
        <v>217.20533104041266</v>
      </c>
      <c r="V14" s="55">
        <f t="shared" si="23"/>
        <v>215.57884780739471</v>
      </c>
      <c r="W14" s="55">
        <f t="shared" si="23"/>
        <v>219.88185726569216</v>
      </c>
      <c r="DA14" s="10"/>
    </row>
    <row r="15" spans="1:105" x14ac:dyDescent="0.25">
      <c r="A15" s="61" t="s">
        <v>52</v>
      </c>
      <c r="B15" s="55">
        <v>5.4934651762682716</v>
      </c>
      <c r="C15" s="55">
        <v>4.3947549441100593</v>
      </c>
      <c r="D15" s="55">
        <v>3.2960447119518479</v>
      </c>
      <c r="E15" s="55">
        <v>3.2960447119518479</v>
      </c>
      <c r="F15" s="55">
        <v>3.2960447119518479</v>
      </c>
      <c r="G15" s="55">
        <v>4.8484952708512461</v>
      </c>
      <c r="H15" s="55">
        <v>4.7375752364574373</v>
      </c>
      <c r="I15" s="55">
        <v>4.9408426483233017</v>
      </c>
      <c r="J15" s="55">
        <v>5.0990541702493548</v>
      </c>
      <c r="K15" s="55">
        <v>3.5103181427343082</v>
      </c>
      <c r="L15" s="55">
        <v>3.7113499570077382</v>
      </c>
      <c r="M15" s="55">
        <v>2.665434221840068</v>
      </c>
      <c r="N15" s="55">
        <v>2.774806534823731</v>
      </c>
      <c r="O15" s="55">
        <v>3.136801375752365</v>
      </c>
      <c r="P15" s="55">
        <v>2.6800515907136711</v>
      </c>
      <c r="Q15" s="55">
        <v>2.7087704213241621</v>
      </c>
      <c r="R15" s="55">
        <v>2.7098022355975919</v>
      </c>
      <c r="S15" s="55">
        <v>3.2771281169389508</v>
      </c>
      <c r="T15" s="55">
        <v>3.01384350816853</v>
      </c>
      <c r="U15" s="55">
        <v>3.0832330180567489</v>
      </c>
      <c r="V15" s="55">
        <v>3.1438521066208081</v>
      </c>
      <c r="W15" s="55">
        <v>3.3101461736887354</v>
      </c>
      <c r="DA15" s="10" t="s">
        <v>980</v>
      </c>
    </row>
    <row r="16" spans="1:105" x14ac:dyDescent="0.25">
      <c r="A16" s="61" t="s">
        <v>172</v>
      </c>
      <c r="B16" s="55">
        <v>247.38701633705929</v>
      </c>
      <c r="C16" s="55">
        <v>246.36474634565781</v>
      </c>
      <c r="D16" s="55">
        <v>246.36474634565781</v>
      </c>
      <c r="E16" s="55">
        <v>245.34247635425621</v>
      </c>
      <c r="F16" s="55">
        <v>244.32020636285469</v>
      </c>
      <c r="G16" s="55">
        <v>240.92106620808249</v>
      </c>
      <c r="H16" s="55">
        <v>232.3690455717971</v>
      </c>
      <c r="I16" s="55">
        <v>230.83559759243329</v>
      </c>
      <c r="J16" s="55">
        <v>228.45064488392089</v>
      </c>
      <c r="K16" s="55">
        <v>222.27721410146171</v>
      </c>
      <c r="L16" s="55">
        <v>222.63602751504729</v>
      </c>
      <c r="M16" s="55">
        <v>220.44961306964751</v>
      </c>
      <c r="N16" s="55">
        <v>219.37059329320721</v>
      </c>
      <c r="O16" s="55">
        <v>222.16466036113499</v>
      </c>
      <c r="P16" s="55">
        <v>220.32811693895101</v>
      </c>
      <c r="Q16" s="55">
        <v>218.89673258813411</v>
      </c>
      <c r="R16" s="55">
        <v>217.99019776440241</v>
      </c>
      <c r="S16" s="55">
        <v>217.26758383490969</v>
      </c>
      <c r="T16" s="55">
        <v>217.9969045571797</v>
      </c>
      <c r="U16" s="55">
        <v>214.12209802235591</v>
      </c>
      <c r="V16" s="55">
        <v>212.4349957007739</v>
      </c>
      <c r="W16" s="55">
        <v>216.57171109200343</v>
      </c>
      <c r="DA16" s="10" t="s">
        <v>981</v>
      </c>
    </row>
    <row r="17" spans="1:105" x14ac:dyDescent="0.25">
      <c r="A17" s="61" t="s">
        <v>113</v>
      </c>
      <c r="B17" s="55">
        <v>59.456491831470338</v>
      </c>
      <c r="C17" s="55">
        <v>59.922785898538272</v>
      </c>
      <c r="D17" s="55">
        <v>49.535339638864997</v>
      </c>
      <c r="E17" s="55">
        <v>56.408168529664657</v>
      </c>
      <c r="F17" s="55">
        <v>54.321754084264818</v>
      </c>
      <c r="G17" s="55">
        <v>28.445485812553741</v>
      </c>
      <c r="H17" s="55">
        <v>25.71315563198624</v>
      </c>
      <c r="I17" s="55">
        <v>17.954600171969041</v>
      </c>
      <c r="J17" s="55">
        <v>18.330696474634561</v>
      </c>
      <c r="K17" s="55">
        <v>10.22588134135855</v>
      </c>
      <c r="L17" s="55">
        <v>7.6630266552020627</v>
      </c>
      <c r="M17" s="55">
        <v>6.2441100601891657</v>
      </c>
      <c r="N17" s="55">
        <v>6.1730868443680142</v>
      </c>
      <c r="O17" s="55">
        <v>8.4726569217540835</v>
      </c>
      <c r="P17" s="55">
        <v>9.5715391229578657</v>
      </c>
      <c r="Q17" s="55">
        <v>8.2455717970765257</v>
      </c>
      <c r="R17" s="55">
        <v>10.661478933791919</v>
      </c>
      <c r="S17" s="55">
        <v>2.342046431642304</v>
      </c>
      <c r="T17" s="55">
        <v>0</v>
      </c>
      <c r="U17" s="55">
        <v>0</v>
      </c>
      <c r="V17" s="55">
        <v>0</v>
      </c>
      <c r="W17" s="55">
        <v>0</v>
      </c>
      <c r="DA17" s="10" t="s">
        <v>982</v>
      </c>
    </row>
    <row r="18" spans="1:105" x14ac:dyDescent="0.25">
      <c r="A18" s="60" t="s">
        <v>153</v>
      </c>
      <c r="B18" s="55">
        <v>12.85468615649183</v>
      </c>
      <c r="C18" s="55">
        <v>14.380911435941529</v>
      </c>
      <c r="D18" s="55">
        <v>13.43508168529665</v>
      </c>
      <c r="E18" s="55">
        <v>14.20894239036973</v>
      </c>
      <c r="F18" s="55">
        <v>13.86500429922614</v>
      </c>
      <c r="G18" s="55">
        <v>18.400171969045569</v>
      </c>
      <c r="H18" s="55">
        <v>17.325709372312978</v>
      </c>
      <c r="I18" s="55">
        <v>17.643594153052451</v>
      </c>
      <c r="J18" s="55">
        <v>17.978159931212382</v>
      </c>
      <c r="K18" s="55">
        <v>17.761994840928629</v>
      </c>
      <c r="L18" s="55">
        <v>20.1323301805675</v>
      </c>
      <c r="M18" s="55">
        <v>17.107394668959589</v>
      </c>
      <c r="N18" s="55">
        <v>10.976612209802241</v>
      </c>
      <c r="O18" s="55">
        <v>12.13198624247635</v>
      </c>
      <c r="P18" s="55">
        <v>13.381513327601031</v>
      </c>
      <c r="Q18" s="55">
        <v>14.778933791917449</v>
      </c>
      <c r="R18" s="55">
        <v>17.701117798796211</v>
      </c>
      <c r="S18" s="55">
        <v>24.202665520206359</v>
      </c>
      <c r="T18" s="55">
        <v>21.59054170249355</v>
      </c>
      <c r="U18" s="55">
        <v>26.16362854686156</v>
      </c>
      <c r="V18" s="55">
        <v>21.76612209802235</v>
      </c>
      <c r="W18" s="55">
        <v>23.223817712811691</v>
      </c>
      <c r="DA18" s="10" t="s">
        <v>983</v>
      </c>
    </row>
    <row r="19" spans="1:105" x14ac:dyDescent="0.25">
      <c r="A19" s="60" t="s">
        <v>51</v>
      </c>
      <c r="B19" s="55">
        <f>SUM(B20:B25)</f>
        <v>120.42467755803958</v>
      </c>
      <c r="C19" s="55">
        <f t="shared" ref="C19:W19" si="24">SUM(C20:C25)</f>
        <v>136.0000859845228</v>
      </c>
      <c r="D19" s="55">
        <f t="shared" si="24"/>
        <v>130.45245055889936</v>
      </c>
      <c r="E19" s="55">
        <f t="shared" si="24"/>
        <v>137.79785038693029</v>
      </c>
      <c r="F19" s="55">
        <f t="shared" si="24"/>
        <v>148.03542562338774</v>
      </c>
      <c r="G19" s="55">
        <f t="shared" si="24"/>
        <v>143.87437661220983</v>
      </c>
      <c r="H19" s="55">
        <f t="shared" si="24"/>
        <v>149.34703353396387</v>
      </c>
      <c r="I19" s="55">
        <f t="shared" si="24"/>
        <v>144.06680997420463</v>
      </c>
      <c r="J19" s="55">
        <f t="shared" si="24"/>
        <v>147.37575236457437</v>
      </c>
      <c r="K19" s="55">
        <f t="shared" si="24"/>
        <v>152.8214101461736</v>
      </c>
      <c r="L19" s="55">
        <f t="shared" si="24"/>
        <v>169.72218400687873</v>
      </c>
      <c r="M19" s="55">
        <f t="shared" si="24"/>
        <v>163.57558039552879</v>
      </c>
      <c r="N19" s="55">
        <f t="shared" si="24"/>
        <v>175.10507308684441</v>
      </c>
      <c r="O19" s="55">
        <f t="shared" si="24"/>
        <v>190.1650042992261</v>
      </c>
      <c r="P19" s="55">
        <f t="shared" si="24"/>
        <v>176.27807394668955</v>
      </c>
      <c r="Q19" s="55">
        <f t="shared" si="24"/>
        <v>180.75331040412723</v>
      </c>
      <c r="R19" s="55">
        <f t="shared" si="24"/>
        <v>184.05975924333617</v>
      </c>
      <c r="S19" s="55">
        <f t="shared" si="24"/>
        <v>191.28727429062766</v>
      </c>
      <c r="T19" s="55">
        <f t="shared" si="24"/>
        <v>173.9723989681857</v>
      </c>
      <c r="U19" s="55">
        <f t="shared" si="24"/>
        <v>162.01315563198622</v>
      </c>
      <c r="V19" s="55">
        <f t="shared" si="24"/>
        <v>157.45580395528805</v>
      </c>
      <c r="W19" s="55">
        <f t="shared" si="24"/>
        <v>186.52622527944973</v>
      </c>
      <c r="DA19" s="10"/>
    </row>
    <row r="20" spans="1:105" x14ac:dyDescent="0.25">
      <c r="A20" s="61" t="s">
        <v>171</v>
      </c>
      <c r="B20" s="55">
        <v>118.2287188306105</v>
      </c>
      <c r="C20" s="55">
        <v>133.63430782459159</v>
      </c>
      <c r="D20" s="55">
        <v>127.9736027515047</v>
      </c>
      <c r="E20" s="55">
        <v>135.21066208082539</v>
      </c>
      <c r="F20" s="55">
        <v>143.90464316423041</v>
      </c>
      <c r="G20" s="55">
        <v>137.27558039552881</v>
      </c>
      <c r="H20" s="55">
        <v>135.5011177987962</v>
      </c>
      <c r="I20" s="55">
        <v>129.05064488392091</v>
      </c>
      <c r="J20" s="55">
        <v>132.43086844368011</v>
      </c>
      <c r="K20" s="55">
        <v>134.76981943250209</v>
      </c>
      <c r="L20" s="55">
        <v>152.08865004299221</v>
      </c>
      <c r="M20" s="55">
        <v>146.3748925193465</v>
      </c>
      <c r="N20" s="55">
        <v>158.60877042132421</v>
      </c>
      <c r="O20" s="55">
        <v>173.83938091143591</v>
      </c>
      <c r="P20" s="55">
        <v>160.06182287188301</v>
      </c>
      <c r="Q20" s="55">
        <v>164.24316423043851</v>
      </c>
      <c r="R20" s="55">
        <v>168.3504729148753</v>
      </c>
      <c r="S20" s="55">
        <v>175.94213241616509</v>
      </c>
      <c r="T20" s="55">
        <v>159.61994840928631</v>
      </c>
      <c r="U20" s="55">
        <v>148.11805674978501</v>
      </c>
      <c r="V20" s="55">
        <v>149.44866723989679</v>
      </c>
      <c r="W20" s="55">
        <v>178.30653482373174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1.031814273430782E-3</v>
      </c>
      <c r="K21" s="55">
        <v>1.9776440240756661E-3</v>
      </c>
      <c r="L21" s="55">
        <v>1.805674978503869E-3</v>
      </c>
      <c r="M21" s="55">
        <v>5.9329320722269988E-3</v>
      </c>
      <c r="N21" s="55">
        <v>7.3946689595872734E-3</v>
      </c>
      <c r="O21" s="55">
        <v>9.2863284608770413E-3</v>
      </c>
      <c r="P21" s="55">
        <v>1.8056749785038691E-2</v>
      </c>
      <c r="Q21" s="55">
        <v>2.7773000859845229E-2</v>
      </c>
      <c r="R21" s="55">
        <v>4.7635425623387788E-2</v>
      </c>
      <c r="S21" s="55">
        <v>0.11573516766981939</v>
      </c>
      <c r="T21" s="55">
        <v>0.12123817712811689</v>
      </c>
      <c r="U21" s="55">
        <v>0</v>
      </c>
      <c r="V21" s="55">
        <v>0</v>
      </c>
      <c r="W21" s="55">
        <v>0</v>
      </c>
      <c r="DA21" s="10" t="s">
        <v>985</v>
      </c>
    </row>
    <row r="22" spans="1:105" x14ac:dyDescent="0.25">
      <c r="A22" s="61" t="s">
        <v>49</v>
      </c>
      <c r="B22" s="55">
        <v>1.45554600171969</v>
      </c>
      <c r="C22" s="55">
        <v>1.60146173688736</v>
      </c>
      <c r="D22" s="55">
        <v>1.690627687016337</v>
      </c>
      <c r="E22" s="55">
        <v>1.727343078245916</v>
      </c>
      <c r="F22" s="55">
        <v>3.2231298366294059</v>
      </c>
      <c r="G22" s="55">
        <v>5.5475494411006014</v>
      </c>
      <c r="H22" s="55">
        <v>12.615219260533102</v>
      </c>
      <c r="I22" s="55">
        <v>13.653740326741184</v>
      </c>
      <c r="J22" s="55">
        <v>13.555889939810834</v>
      </c>
      <c r="K22" s="55">
        <v>16.147807394668959</v>
      </c>
      <c r="L22" s="55">
        <v>15.505245055889946</v>
      </c>
      <c r="M22" s="55">
        <v>15.113671539122958</v>
      </c>
      <c r="N22" s="55">
        <v>15.205417024935509</v>
      </c>
      <c r="O22" s="55">
        <v>14.982115219260535</v>
      </c>
      <c r="P22" s="55">
        <v>14.898452278589851</v>
      </c>
      <c r="Q22" s="55">
        <v>14.998366294067065</v>
      </c>
      <c r="R22" s="55">
        <v>14.194840928632845</v>
      </c>
      <c r="S22" s="55">
        <v>13.693637145313843</v>
      </c>
      <c r="T22" s="55">
        <v>12.908512467755799</v>
      </c>
      <c r="U22" s="55">
        <v>12.549871023215816</v>
      </c>
      <c r="V22" s="55">
        <v>6.2875322441960444</v>
      </c>
      <c r="W22" s="55">
        <v>6.6230438521066208</v>
      </c>
      <c r="DA22" s="10" t="s">
        <v>986</v>
      </c>
    </row>
    <row r="23" spans="1:105" x14ac:dyDescent="0.25">
      <c r="A23" s="61" t="s">
        <v>26</v>
      </c>
      <c r="B23" s="55">
        <v>0.74041272570937233</v>
      </c>
      <c r="C23" s="55">
        <v>0.76431642304385194</v>
      </c>
      <c r="D23" s="55">
        <v>0.78822012037833178</v>
      </c>
      <c r="E23" s="55">
        <v>0.85984522785898532</v>
      </c>
      <c r="F23" s="55">
        <v>0.90765262252794487</v>
      </c>
      <c r="G23" s="55">
        <v>1.051246775580396</v>
      </c>
      <c r="H23" s="55">
        <v>1.2306964746345661</v>
      </c>
      <c r="I23" s="55">
        <v>1.3624247635425619</v>
      </c>
      <c r="J23" s="55">
        <v>1.387962166809974</v>
      </c>
      <c r="K23" s="55">
        <v>1.9018056749785039</v>
      </c>
      <c r="L23" s="55">
        <v>2.1264832330180572</v>
      </c>
      <c r="M23" s="55">
        <v>2.0810834049871021</v>
      </c>
      <c r="N23" s="55">
        <v>1.2834909716251071</v>
      </c>
      <c r="O23" s="55">
        <v>1.334221840068788</v>
      </c>
      <c r="P23" s="55">
        <v>1.299742046431642</v>
      </c>
      <c r="Q23" s="55">
        <v>1.484006878761823</v>
      </c>
      <c r="R23" s="55">
        <v>1.466809974204643</v>
      </c>
      <c r="S23" s="55">
        <v>1.535769561478934</v>
      </c>
      <c r="T23" s="55">
        <v>1.3226999140154769</v>
      </c>
      <c r="U23" s="55">
        <v>1.345227858985383</v>
      </c>
      <c r="V23" s="55">
        <v>1.719604471195185</v>
      </c>
      <c r="W23" s="55">
        <v>1.59664660361135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5.3501289767841786</v>
      </c>
      <c r="C26" s="55">
        <v>5.5650902837489236</v>
      </c>
      <c r="D26" s="55">
        <v>5.7800515907136703</v>
      </c>
      <c r="E26" s="55">
        <v>6.1860705073086839</v>
      </c>
      <c r="F26" s="55">
        <v>6.4966466036113486</v>
      </c>
      <c r="G26" s="55">
        <v>6.7650042992261392</v>
      </c>
      <c r="H26" s="55">
        <v>6.178933791917455</v>
      </c>
      <c r="I26" s="55">
        <v>6.8457437661220979</v>
      </c>
      <c r="J26" s="55">
        <v>7.1152192605331033</v>
      </c>
      <c r="K26" s="55">
        <v>7.5239036973344797</v>
      </c>
      <c r="L26" s="55">
        <v>8.4370593293207214</v>
      </c>
      <c r="M26" s="55">
        <v>8.2694754944110063</v>
      </c>
      <c r="N26" s="55">
        <v>9.3163370593293209</v>
      </c>
      <c r="O26" s="55">
        <v>10.612295786758381</v>
      </c>
      <c r="P26" s="55">
        <v>9.6785038693035261</v>
      </c>
      <c r="Q26" s="55">
        <v>10.627515047291491</v>
      </c>
      <c r="R26" s="55">
        <v>11.013241616509029</v>
      </c>
      <c r="S26" s="55">
        <v>11.66500429922614</v>
      </c>
      <c r="T26" s="55">
        <v>10.97454858125537</v>
      </c>
      <c r="U26" s="55">
        <v>10.846431642304379</v>
      </c>
      <c r="V26" s="55">
        <v>11.80877042132416</v>
      </c>
      <c r="W26" s="55">
        <v>12.748065348237315</v>
      </c>
      <c r="DA26" s="10" t="s">
        <v>990</v>
      </c>
    </row>
    <row r="27" spans="1:105" x14ac:dyDescent="0.25">
      <c r="A27" s="62" t="s">
        <v>24</v>
      </c>
      <c r="B27" s="63">
        <v>72.914875322441958</v>
      </c>
      <c r="C27" s="63">
        <v>72.914875322441958</v>
      </c>
      <c r="D27" s="63">
        <v>75.838349097162506</v>
      </c>
      <c r="E27" s="63">
        <v>75.924333619948399</v>
      </c>
      <c r="F27" s="63">
        <v>75.752364574376614</v>
      </c>
      <c r="G27" s="63">
        <v>80.133276010318141</v>
      </c>
      <c r="H27" s="63">
        <v>84.471711092003432</v>
      </c>
      <c r="I27" s="63">
        <v>88.810318142734303</v>
      </c>
      <c r="J27" s="63">
        <v>93.148839208942377</v>
      </c>
      <c r="K27" s="63">
        <v>97.487360275150465</v>
      </c>
      <c r="L27" s="63">
        <v>99.887188306104903</v>
      </c>
      <c r="M27" s="63">
        <v>97.715735167669806</v>
      </c>
      <c r="N27" s="63">
        <v>99.36233877901978</v>
      </c>
      <c r="O27" s="63">
        <v>100.1579535683577</v>
      </c>
      <c r="P27" s="63">
        <v>94.819260533104043</v>
      </c>
      <c r="Q27" s="63">
        <v>97.486242476354263</v>
      </c>
      <c r="R27" s="63">
        <v>101.55081685296651</v>
      </c>
      <c r="S27" s="63">
        <v>102.11590713671541</v>
      </c>
      <c r="T27" s="63">
        <v>101.8370593293207</v>
      </c>
      <c r="U27" s="63">
        <v>104.619260533104</v>
      </c>
      <c r="V27" s="63">
        <v>110.1295786758383</v>
      </c>
      <c r="W27" s="63">
        <v>120.31418744625967</v>
      </c>
      <c r="DA27" s="11" t="s">
        <v>991</v>
      </c>
    </row>
    <row r="29" spans="1:105" x14ac:dyDescent="0.25">
      <c r="A29" s="219" t="s">
        <v>84</v>
      </c>
      <c r="B29" s="220">
        <v>1022.3126224557517</v>
      </c>
      <c r="C29" s="220">
        <v>1021.349091651472</v>
      </c>
      <c r="D29" s="220">
        <v>977.77010221827459</v>
      </c>
      <c r="E29" s="220">
        <v>995.65633852238818</v>
      </c>
      <c r="F29" s="220">
        <v>984.91124325293583</v>
      </c>
      <c r="G29" s="220">
        <v>907.80711750294552</v>
      </c>
      <c r="H29" s="220">
        <v>867.90106737628116</v>
      </c>
      <c r="I29" s="220">
        <v>841.33827326527171</v>
      </c>
      <c r="J29" s="220">
        <v>836.95896329929519</v>
      </c>
      <c r="K29" s="220">
        <v>779.14967717102843</v>
      </c>
      <c r="L29" s="220">
        <v>778.29571323154437</v>
      </c>
      <c r="M29" s="220">
        <v>755.10397944243687</v>
      </c>
      <c r="N29" s="220">
        <v>737.61531913348301</v>
      </c>
      <c r="O29" s="220">
        <v>756.46326361563649</v>
      </c>
      <c r="P29" s="220">
        <v>755.54631566944749</v>
      </c>
      <c r="Q29" s="220">
        <v>749.70847942217279</v>
      </c>
      <c r="R29" s="220">
        <v>761.52041591790146</v>
      </c>
      <c r="S29" s="220">
        <v>749.8266903450849</v>
      </c>
      <c r="T29" s="220">
        <v>737.34239915927424</v>
      </c>
      <c r="U29" s="220">
        <v>735.64911488658663</v>
      </c>
      <c r="V29" s="220">
        <v>720.22075566168576</v>
      </c>
      <c r="W29" s="220">
        <v>736.55924545040193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115.38729083801149</v>
      </c>
      <c r="C31" s="59">
        <f t="shared" si="25"/>
        <v>115.69719508488635</v>
      </c>
      <c r="D31" s="59">
        <f t="shared" si="25"/>
        <v>118.0044814548948</v>
      </c>
      <c r="E31" s="59">
        <f t="shared" si="25"/>
        <v>125.63322915307826</v>
      </c>
      <c r="F31" s="59">
        <f t="shared" si="25"/>
        <v>124.62010465062797</v>
      </c>
      <c r="G31" s="59">
        <f t="shared" si="25"/>
        <v>136.63069842338061</v>
      </c>
      <c r="H31" s="59">
        <f t="shared" si="25"/>
        <v>126.86285576887715</v>
      </c>
      <c r="I31" s="59">
        <f t="shared" si="25"/>
        <v>110.60657061819364</v>
      </c>
      <c r="J31" s="59">
        <f t="shared" si="25"/>
        <v>116.33595767631084</v>
      </c>
      <c r="K31" s="59">
        <f t="shared" si="25"/>
        <v>139.63007177142404</v>
      </c>
      <c r="L31" s="59">
        <f t="shared" si="25"/>
        <v>128.94476819604469</v>
      </c>
      <c r="M31" s="59">
        <f t="shared" si="25"/>
        <v>109.40098841974755</v>
      </c>
      <c r="N31" s="59">
        <f t="shared" si="25"/>
        <v>114.50245839179088</v>
      </c>
      <c r="O31" s="59">
        <f t="shared" si="25"/>
        <v>128.58911218452016</v>
      </c>
      <c r="P31" s="59">
        <f t="shared" si="25"/>
        <v>128.69265701117351</v>
      </c>
      <c r="Q31" s="59">
        <f t="shared" si="25"/>
        <v>137.28647701878756</v>
      </c>
      <c r="R31" s="59">
        <f t="shared" si="25"/>
        <v>140.14843091239095</v>
      </c>
      <c r="S31" s="59">
        <f t="shared" si="25"/>
        <v>127.16275710998237</v>
      </c>
      <c r="T31" s="59">
        <f t="shared" si="25"/>
        <v>127.44014488547047</v>
      </c>
      <c r="U31" s="59">
        <f t="shared" si="25"/>
        <v>132.82066920917194</v>
      </c>
      <c r="V31" s="59">
        <f t="shared" si="25"/>
        <v>139.4628579503642</v>
      </c>
      <c r="W31" s="59">
        <f t="shared" si="25"/>
        <v>128.16671815894784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126.45888445910971</v>
      </c>
      <c r="C32" s="55">
        <f t="shared" si="26"/>
        <v>122.34803499436492</v>
      </c>
      <c r="D32" s="55">
        <f t="shared" si="26"/>
        <v>127.8105623843866</v>
      </c>
      <c r="E32" s="55">
        <f t="shared" si="26"/>
        <v>135.43288032890183</v>
      </c>
      <c r="F32" s="55">
        <f t="shared" si="26"/>
        <v>134.84363036747561</v>
      </c>
      <c r="G32" s="55">
        <f t="shared" si="26"/>
        <v>154.42655608236757</v>
      </c>
      <c r="H32" s="55">
        <f t="shared" si="26"/>
        <v>146.93020171673027</v>
      </c>
      <c r="I32" s="55">
        <f t="shared" si="26"/>
        <v>137.23851152262935</v>
      </c>
      <c r="J32" s="55">
        <f t="shared" si="26"/>
        <v>139.32723127138399</v>
      </c>
      <c r="K32" s="55">
        <f t="shared" si="26"/>
        <v>156.36023356757099</v>
      </c>
      <c r="L32" s="55">
        <f t="shared" si="26"/>
        <v>144.58585940593423</v>
      </c>
      <c r="M32" s="55">
        <f t="shared" si="26"/>
        <v>132.8002659379103</v>
      </c>
      <c r="N32" s="55">
        <f t="shared" si="26"/>
        <v>135.04301399101354</v>
      </c>
      <c r="O32" s="55">
        <f t="shared" si="26"/>
        <v>132.95020410976795</v>
      </c>
      <c r="P32" s="55">
        <f t="shared" si="26"/>
        <v>130.15939664117738</v>
      </c>
      <c r="Q32" s="55">
        <f t="shared" si="26"/>
        <v>132.91816907674806</v>
      </c>
      <c r="R32" s="55">
        <f t="shared" si="26"/>
        <v>135.38540863538171</v>
      </c>
      <c r="S32" s="55">
        <f t="shared" si="26"/>
        <v>124.90211009173744</v>
      </c>
      <c r="T32" s="55">
        <f t="shared" si="26"/>
        <v>141.27985612939969</v>
      </c>
      <c r="U32" s="55">
        <f t="shared" si="26"/>
        <v>142.01198459584054</v>
      </c>
      <c r="V32" s="55">
        <f t="shared" si="26"/>
        <v>148.6260104466125</v>
      </c>
      <c r="W32" s="55">
        <f t="shared" si="26"/>
        <v>142.5401415478579</v>
      </c>
      <c r="DA32" s="217"/>
    </row>
    <row r="33" spans="1:105" x14ac:dyDescent="0.25">
      <c r="A33" s="35" t="s">
        <v>111</v>
      </c>
      <c r="B33" s="55">
        <f>IF(AGR_ued!B$5=0,"",AGR_ued!B$5/B$5*1000)</f>
        <v>46.677341090471124</v>
      </c>
      <c r="C33" s="55">
        <f>IF(AGR_ued!C$5=0,"",AGR_ued!C$5/C$5*1000)</f>
        <v>44.853254222002626</v>
      </c>
      <c r="D33" s="55">
        <f>IF(AGR_ued!D$5=0,"",AGR_ued!D$5/D$5*1000)</f>
        <v>47.373970603406292</v>
      </c>
      <c r="E33" s="55">
        <f>IF(AGR_ued!E$5=0,"",AGR_ued!E$5/E$5*1000)</f>
        <v>49.92838221359645</v>
      </c>
      <c r="F33" s="55">
        <f>IF(AGR_ued!F$5=0,"",AGR_ued!F$5/F$5*1000)</f>
        <v>49.542268063742092</v>
      </c>
      <c r="G33" s="55">
        <f>IF(AGR_ued!G$5=0,"",AGR_ued!G$5/G$5*1000)</f>
        <v>57.867050642759047</v>
      </c>
      <c r="H33" s="55">
        <f>IF(AGR_ued!H$5=0,"",AGR_ued!H$5/H$5*1000)</f>
        <v>55.417287245813199</v>
      </c>
      <c r="I33" s="55">
        <f>IF(AGR_ued!I$5=0,"",AGR_ued!I$5/I$5*1000)</f>
        <v>52.391403948886691</v>
      </c>
      <c r="J33" s="55">
        <f>IF(AGR_ued!J$5=0,"",AGR_ued!J$5/J$5*1000)</f>
        <v>53.36359654223007</v>
      </c>
      <c r="K33" s="55">
        <f>IF(AGR_ued!K$5=0,"",AGR_ued!K$5/K$5*1000)</f>
        <v>60.467517479000101</v>
      </c>
      <c r="L33" s="55">
        <f>IF(AGR_ued!L$5=0,"",AGR_ued!L$5/L$5*1000)</f>
        <v>55.657452983102125</v>
      </c>
      <c r="M33" s="55">
        <f>IF(AGR_ued!M$5=0,"",AGR_ued!M$5/M$5*1000)</f>
        <v>51.207914301388428</v>
      </c>
      <c r="N33" s="55">
        <f>IF(AGR_ued!N$5=0,"",AGR_ued!N$5/N$5*1000)</f>
        <v>51.81305152160887</v>
      </c>
      <c r="O33" s="55">
        <f>IF(AGR_ued!O$5=0,"",AGR_ued!O$5/O$5*1000)</f>
        <v>50.629484702502701</v>
      </c>
      <c r="P33" s="55">
        <f>IF(AGR_ued!P$5=0,"",AGR_ued!P$5/P$5*1000)</f>
        <v>49.606232809299364</v>
      </c>
      <c r="Q33" s="55">
        <f>IF(AGR_ued!Q$5=0,"",AGR_ued!Q$5/Q$5*1000)</f>
        <v>50.79009851129149</v>
      </c>
      <c r="R33" s="55">
        <f>IF(AGR_ued!R$5=0,"",AGR_ued!R$5/R$5*1000)</f>
        <v>51.847780752710051</v>
      </c>
      <c r="S33" s="55">
        <f>IF(AGR_ued!S$5=0,"",AGR_ued!S$5/S$5*1000)</f>
        <v>47.921886809713186</v>
      </c>
      <c r="T33" s="55">
        <f>IF(AGR_ued!T$5=0,"",AGR_ued!T$5/T$5*1000)</f>
        <v>54.6789514267982</v>
      </c>
      <c r="U33" s="55">
        <f>IF(AGR_ued!U$5=0,"",AGR_ued!U$5/U$5*1000)</f>
        <v>55.549792698476828</v>
      </c>
      <c r="V33" s="55">
        <f>IF(AGR_ued!V$5=0,"",AGR_ued!V$5/V$5*1000)</f>
        <v>58.55498102600604</v>
      </c>
      <c r="W33" s="55">
        <f>IF(AGR_ued!W$5=0,"",AGR_ued!W$5/W$5*1000)</f>
        <v>55.857112082388923</v>
      </c>
      <c r="DA33" s="217"/>
    </row>
    <row r="34" spans="1:105" x14ac:dyDescent="0.25">
      <c r="A34" s="37" t="s">
        <v>110</v>
      </c>
      <c r="B34" s="218">
        <f t="shared" ref="B34:W34" si="27">IF(B$12=0,"",B$29/B$12)</f>
        <v>1.9361867975383154</v>
      </c>
      <c r="C34" s="218">
        <f t="shared" si="27"/>
        <v>1.8786252265637609</v>
      </c>
      <c r="D34" s="218">
        <f t="shared" si="27"/>
        <v>1.8529450431961665</v>
      </c>
      <c r="E34" s="218">
        <f t="shared" si="27"/>
        <v>1.838843023449372</v>
      </c>
      <c r="F34" s="218">
        <f t="shared" si="27"/>
        <v>1.7960360042422485</v>
      </c>
      <c r="G34" s="218">
        <f t="shared" si="27"/>
        <v>1.7246409803623117</v>
      </c>
      <c r="H34" s="218">
        <f t="shared" si="27"/>
        <v>1.6604786539651355</v>
      </c>
      <c r="I34" s="218">
        <f t="shared" si="27"/>
        <v>1.6362232812301876</v>
      </c>
      <c r="J34" s="218">
        <f t="shared" si="27"/>
        <v>1.6072604280813405</v>
      </c>
      <c r="K34" s="218">
        <f t="shared" si="27"/>
        <v>1.5191087010129831</v>
      </c>
      <c r="L34" s="218">
        <f t="shared" si="27"/>
        <v>1.4587686345137405</v>
      </c>
      <c r="M34" s="218">
        <f t="shared" si="27"/>
        <v>1.4608109445329649</v>
      </c>
      <c r="N34" s="218">
        <f t="shared" si="27"/>
        <v>1.4076364907422996</v>
      </c>
      <c r="O34" s="218">
        <f t="shared" si="27"/>
        <v>1.3815200900125977</v>
      </c>
      <c r="P34" s="218">
        <f t="shared" si="27"/>
        <v>1.4327889299508323</v>
      </c>
      <c r="Q34" s="218">
        <f t="shared" si="27"/>
        <v>1.4040122161021011</v>
      </c>
      <c r="R34" s="218">
        <f t="shared" si="27"/>
        <v>1.3943538416441636</v>
      </c>
      <c r="S34" s="218">
        <f t="shared" si="27"/>
        <v>1.3563753580061733</v>
      </c>
      <c r="T34" s="218">
        <f t="shared" si="27"/>
        <v>1.3912922031432171</v>
      </c>
      <c r="U34" s="218">
        <f t="shared" si="27"/>
        <v>1.4112621897182531</v>
      </c>
      <c r="V34" s="218">
        <f t="shared" si="27"/>
        <v>1.392653498630386</v>
      </c>
      <c r="W34" s="218">
        <f t="shared" si="27"/>
        <v>1.3082004238179257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528.00309544282038</v>
      </c>
      <c r="C5" s="80">
        <f t="shared" ref="C5:W5" si="1">SUM(C6:C9,C16:C17,C25:C27)</f>
        <v>543.66835769561487</v>
      </c>
      <c r="D5" s="80">
        <f t="shared" si="1"/>
        <v>527.68435081685266</v>
      </c>
      <c r="E5" s="80">
        <f t="shared" si="1"/>
        <v>541.45803955288022</v>
      </c>
      <c r="F5" s="80">
        <f t="shared" si="1"/>
        <v>548.38056749785028</v>
      </c>
      <c r="G5" s="80">
        <f t="shared" si="1"/>
        <v>526.37454858125523</v>
      </c>
      <c r="H5" s="80">
        <f t="shared" si="1"/>
        <v>522.68125537403239</v>
      </c>
      <c r="I5" s="80">
        <f t="shared" si="1"/>
        <v>514.19527085124651</v>
      </c>
      <c r="J5" s="80">
        <f t="shared" si="1"/>
        <v>520.73637145313796</v>
      </c>
      <c r="K5" s="80">
        <f t="shared" si="1"/>
        <v>512.89922613929457</v>
      </c>
      <c r="L5" s="80">
        <f t="shared" si="1"/>
        <v>533.52923473774706</v>
      </c>
      <c r="M5" s="80">
        <f t="shared" si="1"/>
        <v>516.90739466895934</v>
      </c>
      <c r="N5" s="80">
        <f t="shared" si="1"/>
        <v>524.00980223559759</v>
      </c>
      <c r="O5" s="80">
        <f t="shared" si="1"/>
        <v>547.55864144453994</v>
      </c>
      <c r="P5" s="80">
        <f t="shared" si="1"/>
        <v>527.32562338779007</v>
      </c>
      <c r="Q5" s="80">
        <f t="shared" si="1"/>
        <v>533.97575236457419</v>
      </c>
      <c r="R5" s="80">
        <f t="shared" si="1"/>
        <v>546.14574376612211</v>
      </c>
      <c r="S5" s="80">
        <f t="shared" si="1"/>
        <v>552.81650902837453</v>
      </c>
      <c r="T5" s="80">
        <f t="shared" si="1"/>
        <v>529.96947549441086</v>
      </c>
      <c r="U5" s="80">
        <f t="shared" si="1"/>
        <v>521.27033533963834</v>
      </c>
      <c r="V5" s="80">
        <f t="shared" si="1"/>
        <v>517.15717970765274</v>
      </c>
      <c r="W5" s="80">
        <f t="shared" si="1"/>
        <v>563.0324161650899</v>
      </c>
      <c r="DA5" s="103"/>
    </row>
    <row r="6" spans="1:105" x14ac:dyDescent="0.25">
      <c r="A6" s="239" t="s">
        <v>125</v>
      </c>
      <c r="B6" s="240">
        <v>11.639768589783669</v>
      </c>
      <c r="C6" s="240">
        <v>11.675598071335861</v>
      </c>
      <c r="D6" s="240">
        <v>11.97756673805376</v>
      </c>
      <c r="E6" s="240">
        <v>12.016703269228829</v>
      </c>
      <c r="F6" s="240">
        <v>12.014285218330571</v>
      </c>
      <c r="G6" s="240">
        <v>12.51315811457807</v>
      </c>
      <c r="H6" s="240">
        <v>12.93855766090488</v>
      </c>
      <c r="I6" s="240">
        <v>13.38856235571205</v>
      </c>
      <c r="J6" s="240">
        <v>13.83082883004097</v>
      </c>
      <c r="K6" s="240">
        <v>14.215854447732109</v>
      </c>
      <c r="L6" s="240">
        <v>14.559853722474511</v>
      </c>
      <c r="M6" s="240">
        <v>14.22532041979907</v>
      </c>
      <c r="N6" s="240">
        <v>14.314355102096419</v>
      </c>
      <c r="O6" s="240">
        <v>14.52853196389213</v>
      </c>
      <c r="P6" s="240">
        <v>13.92727987575331</v>
      </c>
      <c r="Q6" s="240">
        <v>14.23680185904758</v>
      </c>
      <c r="R6" s="240">
        <v>14.69668782824022</v>
      </c>
      <c r="S6" s="240">
        <v>14.868487339064741</v>
      </c>
      <c r="T6" s="240">
        <v>14.72651791634765</v>
      </c>
      <c r="U6" s="240">
        <v>14.984266765569039</v>
      </c>
      <c r="V6" s="240">
        <v>15.35548430818258</v>
      </c>
      <c r="W6" s="240">
        <v>16.533815157165929</v>
      </c>
      <c r="DA6" s="268" t="s">
        <v>993</v>
      </c>
    </row>
    <row r="7" spans="1:105" x14ac:dyDescent="0.25">
      <c r="A7" s="241" t="s">
        <v>124</v>
      </c>
      <c r="B7" s="242">
        <v>7.5658495833593866</v>
      </c>
      <c r="C7" s="242">
        <v>7.5891387463683104</v>
      </c>
      <c r="D7" s="242">
        <v>7.7854183797349394</v>
      </c>
      <c r="E7" s="242">
        <v>7.8108571249987362</v>
      </c>
      <c r="F7" s="242">
        <v>7.8092853919148739</v>
      </c>
      <c r="G7" s="242">
        <v>8.1335527744757368</v>
      </c>
      <c r="H7" s="242">
        <v>8.4100624795881682</v>
      </c>
      <c r="I7" s="242">
        <v>8.7025655312128318</v>
      </c>
      <c r="J7" s="242">
        <v>8.9900387395266286</v>
      </c>
      <c r="K7" s="242">
        <v>9.2403053910258688</v>
      </c>
      <c r="L7" s="242">
        <v>9.4639049196084351</v>
      </c>
      <c r="M7" s="242">
        <v>9.2464582728693934</v>
      </c>
      <c r="N7" s="242">
        <v>9.3043308163626701</v>
      </c>
      <c r="O7" s="242">
        <v>9.4435457765298878</v>
      </c>
      <c r="P7" s="242">
        <v>9.0527319192396494</v>
      </c>
      <c r="Q7" s="242">
        <v>9.253921208380925</v>
      </c>
      <c r="R7" s="242">
        <v>9.55284708835614</v>
      </c>
      <c r="S7" s="242">
        <v>9.6645167703920745</v>
      </c>
      <c r="T7" s="242">
        <v>9.5722366456259724</v>
      </c>
      <c r="U7" s="242">
        <v>9.7397733976198761</v>
      </c>
      <c r="V7" s="242">
        <v>9.981064800318677</v>
      </c>
      <c r="W7" s="242">
        <v>10.74697985215785</v>
      </c>
      <c r="DA7" s="269" t="s">
        <v>994</v>
      </c>
    </row>
    <row r="8" spans="1:105" x14ac:dyDescent="0.25">
      <c r="A8" s="241" t="s">
        <v>123</v>
      </c>
      <c r="B8" s="242">
        <v>10.475791730805311</v>
      </c>
      <c r="C8" s="242">
        <v>10.50803826420228</v>
      </c>
      <c r="D8" s="242">
        <v>10.77981006424838</v>
      </c>
      <c r="E8" s="242">
        <v>10.81503294230594</v>
      </c>
      <c r="F8" s="242">
        <v>10.812856696497519</v>
      </c>
      <c r="G8" s="242">
        <v>11.261842303120259</v>
      </c>
      <c r="H8" s="242">
        <v>11.644701894814389</v>
      </c>
      <c r="I8" s="242">
        <v>12.049706120140851</v>
      </c>
      <c r="J8" s="242">
        <v>12.44774594703687</v>
      </c>
      <c r="K8" s="242">
        <v>12.794269002958901</v>
      </c>
      <c r="L8" s="242">
        <v>13.103868350227071</v>
      </c>
      <c r="M8" s="242">
        <v>12.80278837781916</v>
      </c>
      <c r="N8" s="242">
        <v>12.882919591886781</v>
      </c>
      <c r="O8" s="242">
        <v>13.07567876750292</v>
      </c>
      <c r="P8" s="242">
        <v>12.53455188817798</v>
      </c>
      <c r="Q8" s="242">
        <v>12.81312167314282</v>
      </c>
      <c r="R8" s="242">
        <v>13.227019045416201</v>
      </c>
      <c r="S8" s="242">
        <v>13.38163860515826</v>
      </c>
      <c r="T8" s="242">
        <v>13.25386612471288</v>
      </c>
      <c r="U8" s="242">
        <v>13.485840089012139</v>
      </c>
      <c r="V8" s="242">
        <v>13.819935877364321</v>
      </c>
      <c r="W8" s="242">
        <v>14.88043364144934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88.293064644099317</v>
      </c>
      <c r="C9" s="244">
        <f t="shared" ref="C9:W9" si="3">SUM(C10:C15)</f>
        <v>89.698287812952955</v>
      </c>
      <c r="D9" s="244">
        <f t="shared" si="3"/>
        <v>88.881401030005051</v>
      </c>
      <c r="E9" s="244">
        <f t="shared" si="3"/>
        <v>90.092658976876649</v>
      </c>
      <c r="F9" s="244">
        <f t="shared" si="3"/>
        <v>90.685296946036914</v>
      </c>
      <c r="G9" s="244">
        <f t="shared" si="3"/>
        <v>90.71394759493684</v>
      </c>
      <c r="H9" s="244">
        <f t="shared" si="3"/>
        <v>90.454568560263084</v>
      </c>
      <c r="I9" s="244">
        <f t="shared" si="3"/>
        <v>90.832757033984706</v>
      </c>
      <c r="J9" s="244">
        <f t="shared" si="3"/>
        <v>92.018022845364641</v>
      </c>
      <c r="K9" s="244">
        <f t="shared" si="3"/>
        <v>92.069672509763905</v>
      </c>
      <c r="L9" s="244">
        <f t="shared" si="3"/>
        <v>95.001893206708104</v>
      </c>
      <c r="M9" s="244">
        <f t="shared" si="3"/>
        <v>92.379300379157485</v>
      </c>
      <c r="N9" s="244">
        <f t="shared" si="3"/>
        <v>92.339889750981442</v>
      </c>
      <c r="O9" s="244">
        <f t="shared" si="3"/>
        <v>95.271636221343101</v>
      </c>
      <c r="P9" s="244">
        <f t="shared" si="3"/>
        <v>92.339908088878076</v>
      </c>
      <c r="Q9" s="244">
        <f t="shared" si="3"/>
        <v>93.954444555631994</v>
      </c>
      <c r="R9" s="244">
        <f t="shared" si="3"/>
        <v>96.216450405244331</v>
      </c>
      <c r="S9" s="244">
        <f t="shared" si="3"/>
        <v>98.284214059760629</v>
      </c>
      <c r="T9" s="244">
        <f t="shared" si="3"/>
        <v>95.676256393281434</v>
      </c>
      <c r="U9" s="244">
        <f t="shared" si="3"/>
        <v>95.886599149000915</v>
      </c>
      <c r="V9" s="244">
        <f t="shared" si="3"/>
        <v>95.811767133579991</v>
      </c>
      <c r="W9" s="244">
        <f t="shared" si="3"/>
        <v>102.73753953534009</v>
      </c>
      <c r="DA9" s="270"/>
    </row>
    <row r="10" spans="1:105" x14ac:dyDescent="0.25">
      <c r="A10" s="254" t="s">
        <v>173</v>
      </c>
      <c r="B10" s="255">
        <v>60.901305610369462</v>
      </c>
      <c r="C10" s="255">
        <v>61.195072214987192</v>
      </c>
      <c r="D10" s="255">
        <v>59.607562419663843</v>
      </c>
      <c r="E10" s="255">
        <v>59.8557448855586</v>
      </c>
      <c r="F10" s="255">
        <v>60.355984443747467</v>
      </c>
      <c r="G10" s="255">
        <v>56.476584681050149</v>
      </c>
      <c r="H10" s="255">
        <v>55.220686325699447</v>
      </c>
      <c r="I10" s="255">
        <v>53.058934316613971</v>
      </c>
      <c r="J10" s="255">
        <v>51.687011060645453</v>
      </c>
      <c r="K10" s="255">
        <v>49.115893915161998</v>
      </c>
      <c r="L10" s="255">
        <v>48.97326474086843</v>
      </c>
      <c r="M10" s="255">
        <v>48.582777559141888</v>
      </c>
      <c r="N10" s="255">
        <v>49.355684196265209</v>
      </c>
      <c r="O10" s="255">
        <v>50.456177516699988</v>
      </c>
      <c r="P10" s="255">
        <v>50.289103368352137</v>
      </c>
      <c r="Q10" s="255">
        <v>49.093364079177171</v>
      </c>
      <c r="R10" s="255">
        <v>47.756703478436187</v>
      </c>
      <c r="S10" s="255">
        <v>46.32556278855018</v>
      </c>
      <c r="T10" s="255">
        <v>45.817591940713001</v>
      </c>
      <c r="U10" s="255">
        <v>43.089304821465817</v>
      </c>
      <c r="V10" s="255">
        <v>40.328932625939707</v>
      </c>
      <c r="W10" s="255">
        <v>40.935791476706328</v>
      </c>
      <c r="DA10" s="271" t="s">
        <v>996</v>
      </c>
    </row>
    <row r="11" spans="1:105" x14ac:dyDescent="0.25">
      <c r="A11" s="254" t="s">
        <v>176</v>
      </c>
      <c r="B11" s="256">
        <v>6.9266328946679261</v>
      </c>
      <c r="C11" s="256">
        <v>7.9772648203414196</v>
      </c>
      <c r="D11" s="256">
        <v>7.1252422021870938</v>
      </c>
      <c r="E11" s="256">
        <v>7.7415511993773451</v>
      </c>
      <c r="F11" s="256">
        <v>7.6508739260845804</v>
      </c>
      <c r="G11" s="256">
        <v>9.369566928486547</v>
      </c>
      <c r="H11" s="256">
        <v>8.6608218180693495</v>
      </c>
      <c r="I11" s="256">
        <v>8.4110757865883485</v>
      </c>
      <c r="J11" s="256">
        <v>8.5602603343201906</v>
      </c>
      <c r="K11" s="256">
        <v>8.1493227600478608</v>
      </c>
      <c r="L11" s="256">
        <v>9.5002705902870357</v>
      </c>
      <c r="M11" s="256">
        <v>7.9688537820958789</v>
      </c>
      <c r="N11" s="256">
        <v>5.2623902461570973</v>
      </c>
      <c r="O11" s="256">
        <v>6.0256967215936923</v>
      </c>
      <c r="P11" s="256">
        <v>6.5537353185275284</v>
      </c>
      <c r="Q11" s="256">
        <v>7.2088254344033267</v>
      </c>
      <c r="R11" s="256">
        <v>8.6631767942298303</v>
      </c>
      <c r="S11" s="256">
        <v>11.77646262077489</v>
      </c>
      <c r="T11" s="256">
        <v>10.06639298548501</v>
      </c>
      <c r="U11" s="256">
        <v>11.65374746362251</v>
      </c>
      <c r="V11" s="256">
        <v>9.5661459018536501</v>
      </c>
      <c r="W11" s="256">
        <v>10.674682432830179</v>
      </c>
      <c r="DA11" s="272" t="s">
        <v>997</v>
      </c>
    </row>
    <row r="12" spans="1:105" x14ac:dyDescent="0.25">
      <c r="A12" s="254" t="s">
        <v>158</v>
      </c>
      <c r="B12" s="256">
        <v>0.39896478833435117</v>
      </c>
      <c r="C12" s="256">
        <v>0.4239755275815536</v>
      </c>
      <c r="D12" s="256">
        <v>0.41802940971167402</v>
      </c>
      <c r="E12" s="256">
        <v>0.46847511040104978</v>
      </c>
      <c r="F12" s="256">
        <v>0.50085348938758956</v>
      </c>
      <c r="G12" s="256">
        <v>0.53530624815497896</v>
      </c>
      <c r="H12" s="256">
        <v>0.61520383667344902</v>
      </c>
      <c r="I12" s="256">
        <v>0.64949679981720954</v>
      </c>
      <c r="J12" s="256">
        <v>0.66083713051581794</v>
      </c>
      <c r="K12" s="256">
        <v>0.87246410032546107</v>
      </c>
      <c r="L12" s="256">
        <v>1.003378851931964</v>
      </c>
      <c r="M12" s="256">
        <v>0.96906047434565279</v>
      </c>
      <c r="N12" s="256">
        <v>0.61491497999426126</v>
      </c>
      <c r="O12" s="256">
        <v>0.66217244696620714</v>
      </c>
      <c r="P12" s="256">
        <v>0.63570437748969832</v>
      </c>
      <c r="Q12" s="256">
        <v>0.7225068127685339</v>
      </c>
      <c r="R12" s="256">
        <v>0.71595080338326444</v>
      </c>
      <c r="S12" s="256">
        <v>0.74371390894538425</v>
      </c>
      <c r="T12" s="256">
        <v>0.61325313770540257</v>
      </c>
      <c r="U12" s="256">
        <v>0.59918851552132124</v>
      </c>
      <c r="V12" s="256">
        <v>0.75576104879185901</v>
      </c>
      <c r="W12" s="256">
        <v>0.73388861649588732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5.3501289767885947</v>
      </c>
      <c r="C14" s="255">
        <v>5.5650902837551079</v>
      </c>
      <c r="D14" s="255">
        <v>5.7800515907237866</v>
      </c>
      <c r="E14" s="255">
        <v>6.1860705073145894</v>
      </c>
      <c r="F14" s="255">
        <v>6.4966466036185286</v>
      </c>
      <c r="G14" s="255">
        <v>6.7650042992344384</v>
      </c>
      <c r="H14" s="255">
        <v>6.1789337919235612</v>
      </c>
      <c r="I14" s="255">
        <v>6.8457437661331211</v>
      </c>
      <c r="J14" s="255">
        <v>7.1152192605447002</v>
      </c>
      <c r="K14" s="255">
        <v>7.5239036973430808</v>
      </c>
      <c r="L14" s="255">
        <v>8.4370593293346854</v>
      </c>
      <c r="M14" s="255">
        <v>8.2694754944229665</v>
      </c>
      <c r="N14" s="255">
        <v>9.3163370593511061</v>
      </c>
      <c r="O14" s="255">
        <v>10.61229578677373</v>
      </c>
      <c r="P14" s="255">
        <v>9.6785038693299352</v>
      </c>
      <c r="Q14" s="255">
        <v>10.627515047321349</v>
      </c>
      <c r="R14" s="255">
        <v>11.013241616542571</v>
      </c>
      <c r="S14" s="255">
        <v>11.66500429925787</v>
      </c>
      <c r="T14" s="255">
        <v>10.97454858127365</v>
      </c>
      <c r="U14" s="255">
        <v>10.84643164233181</v>
      </c>
      <c r="V14" s="255">
        <v>11.808770421354801</v>
      </c>
      <c r="W14" s="255">
        <v>12.74806534826681</v>
      </c>
      <c r="DA14" s="271" t="s">
        <v>1000</v>
      </c>
    </row>
    <row r="15" spans="1:105" x14ac:dyDescent="0.25">
      <c r="A15" s="254" t="s">
        <v>24</v>
      </c>
      <c r="B15" s="256">
        <v>14.716032373938971</v>
      </c>
      <c r="C15" s="256">
        <v>14.53688496628769</v>
      </c>
      <c r="D15" s="256">
        <v>15.950515407718649</v>
      </c>
      <c r="E15" s="256">
        <v>15.840817274225079</v>
      </c>
      <c r="F15" s="256">
        <v>15.680938483198741</v>
      </c>
      <c r="G15" s="256">
        <v>17.567485438010738</v>
      </c>
      <c r="H15" s="256">
        <v>19.77892278789728</v>
      </c>
      <c r="I15" s="256">
        <v>21.86750636483206</v>
      </c>
      <c r="J15" s="256">
        <v>23.99469505933849</v>
      </c>
      <c r="K15" s="256">
        <v>26.408088036885509</v>
      </c>
      <c r="L15" s="256">
        <v>27.087919694285979</v>
      </c>
      <c r="M15" s="256">
        <v>26.589133069151099</v>
      </c>
      <c r="N15" s="256">
        <v>27.790563269213759</v>
      </c>
      <c r="O15" s="256">
        <v>27.515293749309471</v>
      </c>
      <c r="P15" s="256">
        <v>25.182861155178792</v>
      </c>
      <c r="Q15" s="256">
        <v>26.302233181961618</v>
      </c>
      <c r="R15" s="256">
        <v>28.06737771265248</v>
      </c>
      <c r="S15" s="256">
        <v>27.773470442232309</v>
      </c>
      <c r="T15" s="256">
        <v>28.204469748104369</v>
      </c>
      <c r="U15" s="256">
        <v>29.697926706059469</v>
      </c>
      <c r="V15" s="256">
        <v>33.352157135639963</v>
      </c>
      <c r="W15" s="256">
        <v>37.645111661040893</v>
      </c>
      <c r="DA15" s="272" t="s">
        <v>1001</v>
      </c>
    </row>
    <row r="16" spans="1:105" x14ac:dyDescent="0.25">
      <c r="A16" s="257" t="s">
        <v>175</v>
      </c>
      <c r="B16" s="258">
        <v>113.92765380296071</v>
      </c>
      <c r="C16" s="258">
        <v>115.4608207054779</v>
      </c>
      <c r="D16" s="258">
        <v>113.7949978237484</v>
      </c>
      <c r="E16" s="258">
        <v>115.09361926006039</v>
      </c>
      <c r="F16" s="258">
        <v>115.89526558093441</v>
      </c>
      <c r="G16" s="258">
        <v>113.7085487902052</v>
      </c>
      <c r="H16" s="258">
        <v>112.8348186449777</v>
      </c>
      <c r="I16" s="258">
        <v>111.72142429959121</v>
      </c>
      <c r="J16" s="258">
        <v>111.9380177949492</v>
      </c>
      <c r="K16" s="258">
        <v>110.1881500996803</v>
      </c>
      <c r="L16" s="258">
        <v>112.6957166092314</v>
      </c>
      <c r="M16" s="258">
        <v>110.0780498574175</v>
      </c>
      <c r="N16" s="258">
        <v>110.3524404681709</v>
      </c>
      <c r="O16" s="258">
        <v>113.644147550106</v>
      </c>
      <c r="P16" s="258">
        <v>111.0649295174066</v>
      </c>
      <c r="Q16" s="258">
        <v>111.61171126431969</v>
      </c>
      <c r="R16" s="258">
        <v>112.6889810199653</v>
      </c>
      <c r="S16" s="258">
        <v>113.49072421550321</v>
      </c>
      <c r="T16" s="258">
        <v>110.79348708899811</v>
      </c>
      <c r="U16" s="258">
        <v>108.989641877029</v>
      </c>
      <c r="V16" s="258">
        <v>106.4967331127652</v>
      </c>
      <c r="W16" s="258">
        <v>112.5143575586071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245.69138592684268</v>
      </c>
      <c r="C17" s="258">
        <f t="shared" ref="C17:W17" si="5">SUM(C18:C24)</f>
        <v>257.94449990319492</v>
      </c>
      <c r="D17" s="258">
        <f t="shared" si="5"/>
        <v>243.25346110475525</v>
      </c>
      <c r="E17" s="258">
        <f t="shared" si="5"/>
        <v>254.07204687038234</v>
      </c>
      <c r="F17" s="258">
        <f t="shared" si="5"/>
        <v>259.45833775855323</v>
      </c>
      <c r="G17" s="258">
        <f t="shared" si="5"/>
        <v>237.53621635738554</v>
      </c>
      <c r="H17" s="258">
        <f t="shared" si="5"/>
        <v>233.01692912726219</v>
      </c>
      <c r="I17" s="258">
        <f t="shared" si="5"/>
        <v>223.23007500429384</v>
      </c>
      <c r="J17" s="258">
        <f t="shared" si="5"/>
        <v>226.11636368263919</v>
      </c>
      <c r="K17" s="258">
        <f t="shared" si="5"/>
        <v>218.38855997177217</v>
      </c>
      <c r="L17" s="258">
        <f t="shared" si="5"/>
        <v>231.37693518783678</v>
      </c>
      <c r="M17" s="258">
        <f t="shared" si="5"/>
        <v>222.17102769306729</v>
      </c>
      <c r="N17" s="258">
        <f t="shared" si="5"/>
        <v>228.54055542308924</v>
      </c>
      <c r="O17" s="258">
        <f t="shared" si="5"/>
        <v>244.16252782278016</v>
      </c>
      <c r="P17" s="258">
        <f t="shared" si="5"/>
        <v>232.94233461136631</v>
      </c>
      <c r="Q17" s="258">
        <f t="shared" si="5"/>
        <v>235.77846678861394</v>
      </c>
      <c r="R17" s="258">
        <f t="shared" si="5"/>
        <v>242.10274637772326</v>
      </c>
      <c r="S17" s="258">
        <f t="shared" si="5"/>
        <v>244.89094559926889</v>
      </c>
      <c r="T17" s="258">
        <f t="shared" si="5"/>
        <v>228.57725056376583</v>
      </c>
      <c r="U17" s="258">
        <f t="shared" si="5"/>
        <v>220.52949250936615</v>
      </c>
      <c r="V17" s="258">
        <f t="shared" si="5"/>
        <v>217.60702313826758</v>
      </c>
      <c r="W17" s="258">
        <f t="shared" si="5"/>
        <v>243.49087181668887</v>
      </c>
      <c r="DA17" s="273"/>
    </row>
    <row r="18" spans="1:105" x14ac:dyDescent="0.25">
      <c r="A18" s="61" t="s">
        <v>29</v>
      </c>
      <c r="B18" s="55">
        <v>4.1217540842580291</v>
      </c>
      <c r="C18" s="55">
        <v>4.1251074806448766</v>
      </c>
      <c r="D18" s="55">
        <v>2.982287188296187</v>
      </c>
      <c r="E18" s="55">
        <v>2.2941530524466489</v>
      </c>
      <c r="F18" s="55">
        <v>2.293121238172712</v>
      </c>
      <c r="G18" s="55">
        <v>2.9866723989612449</v>
      </c>
      <c r="H18" s="55">
        <v>2.538091143589785</v>
      </c>
      <c r="I18" s="55">
        <v>3.097764402399104</v>
      </c>
      <c r="J18" s="55">
        <v>3.2380051590631331</v>
      </c>
      <c r="K18" s="55">
        <v>1.29114359415085</v>
      </c>
      <c r="L18" s="55">
        <v>1.340068787615063</v>
      </c>
      <c r="M18" s="55">
        <v>0.88005159071183692</v>
      </c>
      <c r="N18" s="55">
        <v>0.93095442820004337</v>
      </c>
      <c r="O18" s="55">
        <v>0.71728288907862869</v>
      </c>
      <c r="P18" s="55">
        <v>0.58856405846725346</v>
      </c>
      <c r="Q18" s="55">
        <v>0.47867583834728439</v>
      </c>
      <c r="R18" s="55">
        <v>0.45932932072045302</v>
      </c>
      <c r="S18" s="55">
        <v>0.65889939810595111</v>
      </c>
      <c r="T18" s="55">
        <v>0.58417884780606477</v>
      </c>
      <c r="U18" s="55">
        <v>0.42252794496843987</v>
      </c>
      <c r="V18" s="55">
        <v>0.4180567497836814</v>
      </c>
      <c r="W18" s="55">
        <v>0.33826311263881248</v>
      </c>
      <c r="DA18" s="101" t="s">
        <v>1003</v>
      </c>
    </row>
    <row r="19" spans="1:105" x14ac:dyDescent="0.25">
      <c r="A19" s="61" t="s">
        <v>27</v>
      </c>
      <c r="B19" s="55">
        <v>5.4934651762592059</v>
      </c>
      <c r="C19" s="55">
        <v>4.3947549441008933</v>
      </c>
      <c r="D19" s="55">
        <v>3.296044711940886</v>
      </c>
      <c r="E19" s="55">
        <v>3.2960447119462302</v>
      </c>
      <c r="F19" s="55">
        <v>3.296044711945501</v>
      </c>
      <c r="G19" s="55">
        <v>4.8484952708399778</v>
      </c>
      <c r="H19" s="55">
        <v>4.7375752364492838</v>
      </c>
      <c r="I19" s="55">
        <v>4.940842648309804</v>
      </c>
      <c r="J19" s="55">
        <v>5.0990541702363892</v>
      </c>
      <c r="K19" s="55">
        <v>3.510318142728321</v>
      </c>
      <c r="L19" s="55">
        <v>3.7113499569989692</v>
      </c>
      <c r="M19" s="55">
        <v>2.665434221834512</v>
      </c>
      <c r="N19" s="55">
        <v>2.7748065348151472</v>
      </c>
      <c r="O19" s="55">
        <v>3.136801375746519</v>
      </c>
      <c r="P19" s="55">
        <v>2.6800515907035538</v>
      </c>
      <c r="Q19" s="55">
        <v>2.7087704213139032</v>
      </c>
      <c r="R19" s="55">
        <v>2.7098022355868729</v>
      </c>
      <c r="S19" s="55">
        <v>3.2771281169270678</v>
      </c>
      <c r="T19" s="55">
        <v>3.0138435081616688</v>
      </c>
      <c r="U19" s="55">
        <v>3.0832330180460552</v>
      </c>
      <c r="V19" s="55">
        <v>3.143852106610602</v>
      </c>
      <c r="W19" s="55">
        <v>3.3101461736798079</v>
      </c>
      <c r="DA19" s="101" t="s">
        <v>1004</v>
      </c>
    </row>
    <row r="20" spans="1:105" x14ac:dyDescent="0.25">
      <c r="A20" s="61" t="s">
        <v>173</v>
      </c>
      <c r="B20" s="55">
        <v>52.121454805343163</v>
      </c>
      <c r="C20" s="55">
        <v>49.123556244665373</v>
      </c>
      <c r="D20" s="55">
        <v>52.786156620971639</v>
      </c>
      <c r="E20" s="55">
        <v>50.004257187379586</v>
      </c>
      <c r="F20" s="55">
        <v>49.021845054043382</v>
      </c>
      <c r="G20" s="55">
        <v>54.433436911912452</v>
      </c>
      <c r="H20" s="55">
        <v>55.246609124520198</v>
      </c>
      <c r="I20" s="55">
        <v>58.240776567919681</v>
      </c>
      <c r="J20" s="55">
        <v>56.871682987959417</v>
      </c>
      <c r="K20" s="55">
        <v>57.947406161729553</v>
      </c>
      <c r="L20" s="55">
        <v>54.81687009907133</v>
      </c>
      <c r="M20" s="55">
        <v>55.750042551734452</v>
      </c>
      <c r="N20" s="55">
        <v>53.662744570662007</v>
      </c>
      <c r="O20" s="55">
        <v>51.20878048266168</v>
      </c>
      <c r="P20" s="55">
        <v>52.530484540203297</v>
      </c>
      <c r="Q20" s="55">
        <v>51.742903077733068</v>
      </c>
      <c r="R20" s="55">
        <v>50.085227372455989</v>
      </c>
      <c r="S20" s="55">
        <v>49.336745517454418</v>
      </c>
      <c r="T20" s="55">
        <v>53.004446128438801</v>
      </c>
      <c r="U20" s="55">
        <v>53.649754370399179</v>
      </c>
      <c r="V20" s="55">
        <v>51.432627423905537</v>
      </c>
      <c r="W20" s="55">
        <v>48.124034440032268</v>
      </c>
      <c r="DA20" s="101" t="s">
        <v>1005</v>
      </c>
    </row>
    <row r="21" spans="1:105" x14ac:dyDescent="0.25">
      <c r="A21" s="61" t="s">
        <v>129</v>
      </c>
      <c r="B21" s="55">
        <v>59.456491831372233</v>
      </c>
      <c r="C21" s="55">
        <v>59.922785898413288</v>
      </c>
      <c r="D21" s="55">
        <v>49.53533963870025</v>
      </c>
      <c r="E21" s="55">
        <v>56.40816852956852</v>
      </c>
      <c r="F21" s="55">
        <v>54.321754084160197</v>
      </c>
      <c r="G21" s="55">
        <v>28.44548581248764</v>
      </c>
      <c r="H21" s="55">
        <v>25.71315563194198</v>
      </c>
      <c r="I21" s="55">
        <v>17.954600171919989</v>
      </c>
      <c r="J21" s="55">
        <v>18.330696474587949</v>
      </c>
      <c r="K21" s="55">
        <v>10.225881341341109</v>
      </c>
      <c r="L21" s="55">
        <v>7.6630266551839572</v>
      </c>
      <c r="M21" s="55">
        <v>6.2441100601761512</v>
      </c>
      <c r="N21" s="55">
        <v>6.1730868443489184</v>
      </c>
      <c r="O21" s="55">
        <v>8.4726569217382934</v>
      </c>
      <c r="P21" s="55">
        <v>9.571539122921731</v>
      </c>
      <c r="Q21" s="55">
        <v>8.2455717970452973</v>
      </c>
      <c r="R21" s="55">
        <v>10.66147893374975</v>
      </c>
      <c r="S21" s="55">
        <v>2.3420464316338112</v>
      </c>
      <c r="T21" s="55">
        <v>0</v>
      </c>
      <c r="U21" s="55">
        <v>0</v>
      </c>
      <c r="V21" s="55">
        <v>0</v>
      </c>
      <c r="W21" s="55">
        <v>0</v>
      </c>
      <c r="DA21" s="101" t="s">
        <v>1006</v>
      </c>
    </row>
    <row r="22" spans="1:105" x14ac:dyDescent="0.25">
      <c r="A22" s="61" t="s">
        <v>176</v>
      </c>
      <c r="B22" s="55">
        <v>5.9280532618198398</v>
      </c>
      <c r="C22" s="55">
        <v>6.4036466155956182</v>
      </c>
      <c r="D22" s="55">
        <v>6.309839483101042</v>
      </c>
      <c r="E22" s="55">
        <v>6.4673911909887503</v>
      </c>
      <c r="F22" s="55">
        <v>6.2141303731380493</v>
      </c>
      <c r="G22" s="55">
        <v>9.0306050405495295</v>
      </c>
      <c r="H22" s="55">
        <v>8.664887554237275</v>
      </c>
      <c r="I22" s="55">
        <v>9.2325183664524246</v>
      </c>
      <c r="J22" s="55">
        <v>9.4189314111556222</v>
      </c>
      <c r="K22" s="55">
        <v>9.6146497248977667</v>
      </c>
      <c r="L22" s="55">
        <v>10.633865265249559</v>
      </c>
      <c r="M22" s="55">
        <v>9.1444738189284021</v>
      </c>
      <c r="N22" s="55">
        <v>5.7216166325993409</v>
      </c>
      <c r="O22" s="55">
        <v>6.1155758493408543</v>
      </c>
      <c r="P22" s="55">
        <v>6.8458347588505788</v>
      </c>
      <c r="Q22" s="55">
        <v>7.5978813583654503</v>
      </c>
      <c r="R22" s="55">
        <v>9.0855764301802129</v>
      </c>
      <c r="S22" s="55">
        <v>12.541938067087839</v>
      </c>
      <c r="T22" s="55">
        <v>11.64538689412691</v>
      </c>
      <c r="U22" s="55">
        <v>14.5098810832182</v>
      </c>
      <c r="V22" s="55">
        <v>12.199976196153919</v>
      </c>
      <c r="W22" s="55">
        <v>12.549135279972351</v>
      </c>
      <c r="DA22" s="101" t="s">
        <v>1007</v>
      </c>
    </row>
    <row r="23" spans="1:105" x14ac:dyDescent="0.25">
      <c r="A23" s="61" t="s">
        <v>171</v>
      </c>
      <c r="B23" s="55">
        <v>118.2287188304154</v>
      </c>
      <c r="C23" s="55">
        <v>133.6343078243128</v>
      </c>
      <c r="D23" s="55">
        <v>127.9736027510791</v>
      </c>
      <c r="E23" s="55">
        <v>135.21066208059489</v>
      </c>
      <c r="F23" s="55">
        <v>143.9046431639533</v>
      </c>
      <c r="G23" s="55">
        <v>137.2755803952098</v>
      </c>
      <c r="H23" s="55">
        <v>135.501117798563</v>
      </c>
      <c r="I23" s="55">
        <v>129.0506448835684</v>
      </c>
      <c r="J23" s="55">
        <v>132.43086844334329</v>
      </c>
      <c r="K23" s="55">
        <v>134.7698194322723</v>
      </c>
      <c r="L23" s="55">
        <v>152.08865004263279</v>
      </c>
      <c r="M23" s="55">
        <v>146.3748925190414</v>
      </c>
      <c r="N23" s="55">
        <v>158.60877042083359</v>
      </c>
      <c r="O23" s="55">
        <v>173.8393809111119</v>
      </c>
      <c r="P23" s="55">
        <v>160.06182287127871</v>
      </c>
      <c r="Q23" s="55">
        <v>164.2431642298165</v>
      </c>
      <c r="R23" s="55">
        <v>168.3504729142094</v>
      </c>
      <c r="S23" s="55">
        <v>175.94213241552711</v>
      </c>
      <c r="T23" s="55">
        <v>159.61994840892291</v>
      </c>
      <c r="U23" s="55">
        <v>148.11805674927129</v>
      </c>
      <c r="V23" s="55">
        <v>149.44866723941169</v>
      </c>
      <c r="W23" s="55">
        <v>178.30653482325079</v>
      </c>
      <c r="DA23" s="101" t="s">
        <v>1008</v>
      </c>
    </row>
    <row r="24" spans="1:105" x14ac:dyDescent="0.25">
      <c r="A24" s="61" t="s">
        <v>158</v>
      </c>
      <c r="B24" s="55">
        <v>0.34144793737478701</v>
      </c>
      <c r="C24" s="55">
        <v>0.34034089546205942</v>
      </c>
      <c r="D24" s="55">
        <v>0.37019071066615827</v>
      </c>
      <c r="E24" s="55">
        <v>0.39137011745771561</v>
      </c>
      <c r="F24" s="55">
        <v>0.40679913314012539</v>
      </c>
      <c r="G24" s="55">
        <v>0.51594052742487462</v>
      </c>
      <c r="H24" s="55">
        <v>0.61549263796066567</v>
      </c>
      <c r="I24" s="55">
        <v>0.71292796372445066</v>
      </c>
      <c r="J24" s="55">
        <v>0.72712503629338399</v>
      </c>
      <c r="K24" s="55">
        <v>1.0293415746522849</v>
      </c>
      <c r="L24" s="55">
        <v>1.1231043810851</v>
      </c>
      <c r="M24" s="55">
        <v>1.1120229306405329</v>
      </c>
      <c r="N24" s="55">
        <v>0.66857599163021542</v>
      </c>
      <c r="O24" s="55">
        <v>0.67204939310228606</v>
      </c>
      <c r="P24" s="55">
        <v>0.66403766894117144</v>
      </c>
      <c r="Q24" s="55">
        <v>0.76150006599243591</v>
      </c>
      <c r="R24" s="55">
        <v>0.75085917082058873</v>
      </c>
      <c r="S24" s="55">
        <v>0.79205565253270072</v>
      </c>
      <c r="T24" s="55">
        <v>0.70944677630948061</v>
      </c>
      <c r="U24" s="55">
        <v>0.74603934346298972</v>
      </c>
      <c r="V24" s="55">
        <v>0.96384342240215803</v>
      </c>
      <c r="W24" s="55">
        <v>0.86275798711483354</v>
      </c>
      <c r="DA24" s="101" t="s">
        <v>1009</v>
      </c>
    </row>
    <row r="25" spans="1:105" x14ac:dyDescent="0.25">
      <c r="A25" s="257" t="s">
        <v>174</v>
      </c>
      <c r="B25" s="258">
        <v>21.892148119999309</v>
      </c>
      <c r="C25" s="258">
        <v>22.18675891730966</v>
      </c>
      <c r="D25" s="258">
        <v>21.866657168075179</v>
      </c>
      <c r="E25" s="258">
        <v>22.116198099416721</v>
      </c>
      <c r="F25" s="258">
        <v>22.270241120672829</v>
      </c>
      <c r="G25" s="258">
        <v>21.85004526583738</v>
      </c>
      <c r="H25" s="258">
        <v>21.682150737004971</v>
      </c>
      <c r="I25" s="258">
        <v>21.46820273481644</v>
      </c>
      <c r="J25" s="258">
        <v>21.509822979980139</v>
      </c>
      <c r="K25" s="258">
        <v>21.17357131941769</v>
      </c>
      <c r="L25" s="258">
        <v>21.65542112159817</v>
      </c>
      <c r="M25" s="258">
        <v>21.152414640321741</v>
      </c>
      <c r="N25" s="258">
        <v>21.20514108287394</v>
      </c>
      <c r="O25" s="258">
        <v>21.83767003085007</v>
      </c>
      <c r="P25" s="258">
        <v>21.34205179137254</v>
      </c>
      <c r="Q25" s="258">
        <v>21.447120460770719</v>
      </c>
      <c r="R25" s="258">
        <v>21.65412682198814</v>
      </c>
      <c r="S25" s="258">
        <v>21.808188458518231</v>
      </c>
      <c r="T25" s="258">
        <v>21.289891866627251</v>
      </c>
      <c r="U25" s="258">
        <v>20.94326797639707</v>
      </c>
      <c r="V25" s="258">
        <v>20.464234782127171</v>
      </c>
      <c r="W25" s="258">
        <v>21.62057146862422</v>
      </c>
      <c r="DA25" s="273" t="s">
        <v>1010</v>
      </c>
    </row>
    <row r="26" spans="1:105" x14ac:dyDescent="0.25">
      <c r="A26" s="257" t="s">
        <v>177</v>
      </c>
      <c r="B26" s="258">
        <v>11.639768589783669</v>
      </c>
      <c r="C26" s="258">
        <v>11.675598071335861</v>
      </c>
      <c r="D26" s="258">
        <v>11.97756673805376</v>
      </c>
      <c r="E26" s="258">
        <v>12.016703269228829</v>
      </c>
      <c r="F26" s="258">
        <v>12.014285218330571</v>
      </c>
      <c r="G26" s="258">
        <v>12.51315811457807</v>
      </c>
      <c r="H26" s="258">
        <v>12.93855766090488</v>
      </c>
      <c r="I26" s="258">
        <v>13.38856235571205</v>
      </c>
      <c r="J26" s="258">
        <v>13.83082883004097</v>
      </c>
      <c r="K26" s="258">
        <v>14.215854447732109</v>
      </c>
      <c r="L26" s="258">
        <v>14.559853722474511</v>
      </c>
      <c r="M26" s="258">
        <v>14.22532041979907</v>
      </c>
      <c r="N26" s="258">
        <v>14.314355102096419</v>
      </c>
      <c r="O26" s="258">
        <v>14.52853196389213</v>
      </c>
      <c r="P26" s="258">
        <v>13.92727987575331</v>
      </c>
      <c r="Q26" s="258">
        <v>14.23680185904758</v>
      </c>
      <c r="R26" s="258">
        <v>14.69668782824022</v>
      </c>
      <c r="S26" s="258">
        <v>14.868487339064741</v>
      </c>
      <c r="T26" s="258">
        <v>14.72651791634765</v>
      </c>
      <c r="U26" s="258">
        <v>14.984266765569039</v>
      </c>
      <c r="V26" s="258">
        <v>15.35548430818258</v>
      </c>
      <c r="W26" s="258">
        <v>16.533815157165929</v>
      </c>
      <c r="DA26" s="273" t="s">
        <v>1011</v>
      </c>
    </row>
    <row r="27" spans="1:105" x14ac:dyDescent="0.25">
      <c r="A27" s="129" t="s">
        <v>33</v>
      </c>
      <c r="B27" s="259">
        <v>16.877664455186331</v>
      </c>
      <c r="C27" s="259">
        <v>16.929617203437001</v>
      </c>
      <c r="D27" s="259">
        <v>17.36747177017795</v>
      </c>
      <c r="E27" s="259">
        <v>17.42421974038179</v>
      </c>
      <c r="F27" s="259">
        <v>17.420713566579341</v>
      </c>
      <c r="G27" s="259">
        <v>18.144079266138188</v>
      </c>
      <c r="H27" s="259">
        <v>18.760908608312072</v>
      </c>
      <c r="I27" s="259">
        <v>19.413415415782481</v>
      </c>
      <c r="J27" s="259">
        <v>20.054701803559411</v>
      </c>
      <c r="K27" s="259">
        <v>20.612988949211559</v>
      </c>
      <c r="L27" s="259">
        <v>21.111787897588052</v>
      </c>
      <c r="M27" s="259">
        <v>20.626714608708649</v>
      </c>
      <c r="N27" s="259">
        <v>20.755814898039809</v>
      </c>
      <c r="O27" s="259">
        <v>21.066371347643599</v>
      </c>
      <c r="P27" s="259">
        <v>20.1945558198423</v>
      </c>
      <c r="Q27" s="259">
        <v>20.64336269561899</v>
      </c>
      <c r="R27" s="259">
        <v>21.310197350948322</v>
      </c>
      <c r="S27" s="259">
        <v>21.559306641643861</v>
      </c>
      <c r="T27" s="259">
        <v>21.353450978704089</v>
      </c>
      <c r="U27" s="259">
        <v>21.727186810075111</v>
      </c>
      <c r="V27" s="259">
        <v>22.265452246864751</v>
      </c>
      <c r="W27" s="259">
        <v>23.974031977890601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0.99999999999999989</v>
      </c>
      <c r="D31" s="236">
        <f t="shared" si="6"/>
        <v>1</v>
      </c>
      <c r="E31" s="236">
        <f t="shared" si="6"/>
        <v>1</v>
      </c>
      <c r="F31" s="236">
        <f t="shared" si="6"/>
        <v>0.99999999999999989</v>
      </c>
      <c r="G31" s="236">
        <f t="shared" si="6"/>
        <v>1.0000000000000002</v>
      </c>
      <c r="H31" s="236">
        <f t="shared" si="6"/>
        <v>1</v>
      </c>
      <c r="I31" s="236">
        <f t="shared" si="6"/>
        <v>0.99999999999999978</v>
      </c>
      <c r="J31" s="236">
        <f t="shared" si="6"/>
        <v>1.0000000000000002</v>
      </c>
      <c r="K31" s="236">
        <f t="shared" si="6"/>
        <v>1</v>
      </c>
      <c r="L31" s="236">
        <f t="shared" si="6"/>
        <v>1</v>
      </c>
      <c r="M31" s="236">
        <f t="shared" si="6"/>
        <v>1</v>
      </c>
      <c r="N31" s="236">
        <f t="shared" si="6"/>
        <v>1</v>
      </c>
      <c r="O31" s="236">
        <f t="shared" si="6"/>
        <v>1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1</v>
      </c>
      <c r="S31" s="236">
        <f t="shared" si="7"/>
        <v>1.0000000000000002</v>
      </c>
      <c r="T31" s="236">
        <f t="shared" si="7"/>
        <v>1</v>
      </c>
      <c r="U31" s="236">
        <f t="shared" si="7"/>
        <v>0.99999999999999989</v>
      </c>
      <c r="V31" s="236">
        <f t="shared" si="7"/>
        <v>1.0000000000000004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2.2044887028591649E-2</v>
      </c>
      <c r="C32" s="245">
        <f t="shared" si="8"/>
        <v>2.1475588759338301E-2</v>
      </c>
      <c r="D32" s="245">
        <f t="shared" si="8"/>
        <v>2.2698355028934528E-2</v>
      </c>
      <c r="E32" s="245">
        <f t="shared" si="8"/>
        <v>2.2193230853404376E-2</v>
      </c>
      <c r="F32" s="245">
        <f t="shared" si="8"/>
        <v>2.190866330867508E-2</v>
      </c>
      <c r="G32" s="245">
        <f t="shared" si="8"/>
        <v>2.3772346418163573E-2</v>
      </c>
      <c r="H32" s="245">
        <f t="shared" si="8"/>
        <v>2.4754202542897789E-2</v>
      </c>
      <c r="I32" s="245">
        <f t="shared" si="8"/>
        <v>2.6037894773997792E-2</v>
      </c>
      <c r="J32" s="245">
        <f t="shared" si="8"/>
        <v>2.6560135969464601E-2</v>
      </c>
      <c r="K32" s="245">
        <f t="shared" si="8"/>
        <v>2.7716661915709987E-2</v>
      </c>
      <c r="L32" s="245">
        <f t="shared" si="8"/>
        <v>2.7289701809182613E-2</v>
      </c>
      <c r="M32" s="245">
        <f t="shared" si="8"/>
        <v>2.7520055945242042E-2</v>
      </c>
      <c r="N32" s="245">
        <f t="shared" si="8"/>
        <v>2.7316960562620562E-2</v>
      </c>
      <c r="O32" s="245">
        <f t="shared" si="8"/>
        <v>2.6533289522312594E-2</v>
      </c>
      <c r="P32" s="245">
        <f t="shared" si="8"/>
        <v>2.6411157087868887E-2</v>
      </c>
      <c r="Q32" s="245">
        <f t="shared" si="8"/>
        <v>2.6661888289877519E-2</v>
      </c>
      <c r="R32" s="245">
        <f t="shared" si="8"/>
        <v>2.690982763482605E-2</v>
      </c>
      <c r="S32" s="245">
        <f t="shared" si="8"/>
        <v>2.6895881537976254E-2</v>
      </c>
      <c r="T32" s="245">
        <f t="shared" si="8"/>
        <v>2.7787483236858531E-2</v>
      </c>
      <c r="U32" s="245">
        <f t="shared" si="8"/>
        <v>2.8745673309427643E-2</v>
      </c>
      <c r="V32" s="245">
        <f t="shared" si="8"/>
        <v>2.9692103118171897E-2</v>
      </c>
      <c r="W32" s="245">
        <f t="shared" si="8"/>
        <v>2.9365654059104754E-2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1.4329176568584574E-2</v>
      </c>
      <c r="C33" s="246">
        <f t="shared" si="9"/>
        <v>1.3959132693569897E-2</v>
      </c>
      <c r="D33" s="246">
        <f t="shared" si="9"/>
        <v>1.4753930768807436E-2</v>
      </c>
      <c r="E33" s="246">
        <f t="shared" si="9"/>
        <v>1.442560005471284E-2</v>
      </c>
      <c r="F33" s="246">
        <f t="shared" si="9"/>
        <v>1.4240631150638807E-2</v>
      </c>
      <c r="G33" s="246">
        <f t="shared" si="9"/>
        <v>1.5452025171806305E-2</v>
      </c>
      <c r="H33" s="246">
        <f t="shared" si="9"/>
        <v>1.6090231652883553E-2</v>
      </c>
      <c r="I33" s="246">
        <f t="shared" si="9"/>
        <v>1.6924631603098563E-2</v>
      </c>
      <c r="J33" s="246">
        <f t="shared" si="9"/>
        <v>1.7264088380151987E-2</v>
      </c>
      <c r="K33" s="246">
        <f t="shared" si="9"/>
        <v>1.8015830245211487E-2</v>
      </c>
      <c r="L33" s="246">
        <f t="shared" si="9"/>
        <v>1.7738306175968704E-2</v>
      </c>
      <c r="M33" s="246">
        <f t="shared" si="9"/>
        <v>1.7888036364407323E-2</v>
      </c>
      <c r="N33" s="246">
        <f t="shared" si="9"/>
        <v>1.7756024365703362E-2</v>
      </c>
      <c r="O33" s="246">
        <f t="shared" si="9"/>
        <v>1.7246638189503193E-2</v>
      </c>
      <c r="P33" s="246">
        <f t="shared" si="9"/>
        <v>1.7167252107114773E-2</v>
      </c>
      <c r="Q33" s="246">
        <f t="shared" si="9"/>
        <v>1.7330227388420386E-2</v>
      </c>
      <c r="R33" s="246">
        <f t="shared" si="9"/>
        <v>1.7491387962636929E-2</v>
      </c>
      <c r="S33" s="246">
        <f t="shared" si="9"/>
        <v>1.7482322999684552E-2</v>
      </c>
      <c r="T33" s="246">
        <f t="shared" si="9"/>
        <v>1.8061864103958044E-2</v>
      </c>
      <c r="U33" s="246">
        <f t="shared" si="9"/>
        <v>1.8684687651127969E-2</v>
      </c>
      <c r="V33" s="246">
        <f t="shared" si="9"/>
        <v>1.9299867026811732E-2</v>
      </c>
      <c r="W33" s="246">
        <f t="shared" si="9"/>
        <v>1.9087675138418081E-2</v>
      </c>
      <c r="DA33" s="277"/>
    </row>
    <row r="34" spans="1:105" x14ac:dyDescent="0.25">
      <c r="A34" s="241" t="s">
        <v>123</v>
      </c>
      <c r="B34" s="246">
        <f t="shared" ref="B34:W34" si="10">IF(B$8=0,0,B$8/B$5)</f>
        <v>1.9840398325732499E-2</v>
      </c>
      <c r="C34" s="246">
        <f t="shared" si="10"/>
        <v>1.9328029883404482E-2</v>
      </c>
      <c r="D34" s="246">
        <f t="shared" si="10"/>
        <v>2.0428519526041071E-2</v>
      </c>
      <c r="E34" s="246">
        <f t="shared" si="10"/>
        <v>1.9973907768063928E-2</v>
      </c>
      <c r="F34" s="246">
        <f t="shared" si="10"/>
        <v>1.9717796977807584E-2</v>
      </c>
      <c r="G34" s="246">
        <f t="shared" si="10"/>
        <v>2.1395111776347207E-2</v>
      </c>
      <c r="H34" s="246">
        <f t="shared" si="10"/>
        <v>2.2278782288608003E-2</v>
      </c>
      <c r="I34" s="246">
        <f t="shared" si="10"/>
        <v>2.3434105296598024E-2</v>
      </c>
      <c r="J34" s="246">
        <f t="shared" si="10"/>
        <v>2.3904122372518138E-2</v>
      </c>
      <c r="K34" s="246">
        <f t="shared" si="10"/>
        <v>2.4944995724138993E-2</v>
      </c>
      <c r="L34" s="246">
        <f t="shared" si="10"/>
        <v>2.4560731628264373E-2</v>
      </c>
      <c r="M34" s="246">
        <f t="shared" si="10"/>
        <v>2.4768050350717833E-2</v>
      </c>
      <c r="N34" s="246">
        <f t="shared" si="10"/>
        <v>2.4585264506358513E-2</v>
      </c>
      <c r="O34" s="246">
        <f t="shared" si="10"/>
        <v>2.3879960570081338E-2</v>
      </c>
      <c r="P34" s="246">
        <f t="shared" si="10"/>
        <v>2.3770041379081997E-2</v>
      </c>
      <c r="Q34" s="246">
        <f t="shared" si="10"/>
        <v>2.3995699460889766E-2</v>
      </c>
      <c r="R34" s="246">
        <f t="shared" si="10"/>
        <v>2.4218844871343452E-2</v>
      </c>
      <c r="S34" s="246">
        <f t="shared" si="10"/>
        <v>2.4206293384178616E-2</v>
      </c>
      <c r="T34" s="246">
        <f t="shared" si="10"/>
        <v>2.5008734913172671E-2</v>
      </c>
      <c r="U34" s="246">
        <f t="shared" si="10"/>
        <v>2.5871105978484889E-2</v>
      </c>
      <c r="V34" s="246">
        <f t="shared" si="10"/>
        <v>2.6722892806354703E-2</v>
      </c>
      <c r="W34" s="246">
        <f t="shared" si="10"/>
        <v>2.6429088653194283E-2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0.16722073299598852</v>
      </c>
      <c r="C35" s="247">
        <f t="shared" si="11"/>
        <v>0.16498714067735498</v>
      </c>
      <c r="D35" s="247">
        <f t="shared" si="11"/>
        <v>0.16843668168748438</v>
      </c>
      <c r="E35" s="247">
        <f t="shared" si="11"/>
        <v>0.16638899489103987</v>
      </c>
      <c r="F35" s="247">
        <f t="shared" si="11"/>
        <v>0.16536927513645422</v>
      </c>
      <c r="G35" s="247">
        <f t="shared" si="11"/>
        <v>0.17233726030150856</v>
      </c>
      <c r="H35" s="247">
        <f t="shared" si="11"/>
        <v>0.17305875737887999</v>
      </c>
      <c r="I35" s="247">
        <f t="shared" si="11"/>
        <v>0.17665031590744065</v>
      </c>
      <c r="J35" s="247">
        <f t="shared" si="11"/>
        <v>0.17670750093484783</v>
      </c>
      <c r="K35" s="247">
        <f t="shared" si="11"/>
        <v>0.17950830848935492</v>
      </c>
      <c r="L35" s="247">
        <f t="shared" si="11"/>
        <v>0.17806314447493338</v>
      </c>
      <c r="M35" s="247">
        <f t="shared" si="11"/>
        <v>0.17871537790307593</v>
      </c>
      <c r="N35" s="247">
        <f t="shared" si="11"/>
        <v>0.17621786721742455</v>
      </c>
      <c r="O35" s="247">
        <f t="shared" si="11"/>
        <v>0.17399348491698088</v>
      </c>
      <c r="P35" s="247">
        <f t="shared" si="11"/>
        <v>0.17510984483485306</v>
      </c>
      <c r="Q35" s="247">
        <f t="shared" si="11"/>
        <v>0.1759526423055334</v>
      </c>
      <c r="R35" s="247">
        <f t="shared" si="11"/>
        <v>0.17617357912881115</v>
      </c>
      <c r="S35" s="247">
        <f t="shared" si="11"/>
        <v>0.17778813124178239</v>
      </c>
      <c r="T35" s="247">
        <f t="shared" si="11"/>
        <v>0.18053163590983165</v>
      </c>
      <c r="U35" s="247">
        <f t="shared" si="11"/>
        <v>0.18394792998631918</v>
      </c>
      <c r="V35" s="247">
        <f t="shared" si="11"/>
        <v>0.1852662418565707</v>
      </c>
      <c r="W35" s="247">
        <f t="shared" si="11"/>
        <v>0.18247180195254661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0.21577080662266382</v>
      </c>
      <c r="C36" s="260">
        <f t="shared" si="12"/>
        <v>0.21237362644180457</v>
      </c>
      <c r="D36" s="260">
        <f t="shared" si="12"/>
        <v>0.21564974903575279</v>
      </c>
      <c r="E36" s="260">
        <f t="shared" si="12"/>
        <v>0.21256239791933138</v>
      </c>
      <c r="F36" s="260">
        <f t="shared" si="12"/>
        <v>0.21134094176557183</v>
      </c>
      <c r="G36" s="260">
        <f t="shared" si="12"/>
        <v>0.21602212549350167</v>
      </c>
      <c r="H36" s="260">
        <f t="shared" si="12"/>
        <v>0.21587691826490457</v>
      </c>
      <c r="I36" s="260">
        <f t="shared" si="12"/>
        <v>0.21727431315079426</v>
      </c>
      <c r="J36" s="260">
        <f t="shared" si="12"/>
        <v>0.21496101277231933</v>
      </c>
      <c r="K36" s="260">
        <f t="shared" si="12"/>
        <v>0.21483391762762205</v>
      </c>
      <c r="L36" s="260">
        <f t="shared" si="12"/>
        <v>0.21122688181206464</v>
      </c>
      <c r="M36" s="260">
        <f t="shared" si="12"/>
        <v>0.21295506892083502</v>
      </c>
      <c r="N36" s="260">
        <f t="shared" si="12"/>
        <v>0.21059232097829317</v>
      </c>
      <c r="O36" s="260">
        <f t="shared" si="12"/>
        <v>0.20754698939696409</v>
      </c>
      <c r="P36" s="260">
        <f t="shared" si="12"/>
        <v>0.21061925419795227</v>
      </c>
      <c r="Q36" s="260">
        <f t="shared" si="12"/>
        <v>0.20902018634755595</v>
      </c>
      <c r="R36" s="260">
        <f t="shared" si="12"/>
        <v>0.20633499813233461</v>
      </c>
      <c r="S36" s="260">
        <f t="shared" si="12"/>
        <v>0.20529546849997934</v>
      </c>
      <c r="T36" s="260">
        <f t="shared" si="12"/>
        <v>0.20905635552998289</v>
      </c>
      <c r="U36" s="260">
        <f t="shared" si="12"/>
        <v>0.20908468118757578</v>
      </c>
      <c r="V36" s="260">
        <f t="shared" si="12"/>
        <v>0.20592720606328516</v>
      </c>
      <c r="W36" s="260">
        <f t="shared" si="12"/>
        <v>0.19983637589636782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0.46532186657123414</v>
      </c>
      <c r="C37" s="260">
        <f t="shared" si="13"/>
        <v>0.47445192689991172</v>
      </c>
      <c r="D37" s="260">
        <f t="shared" si="13"/>
        <v>0.46098289768912065</v>
      </c>
      <c r="E37" s="260">
        <f t="shared" si="13"/>
        <v>0.46923681672579354</v>
      </c>
      <c r="F37" s="260">
        <f t="shared" si="13"/>
        <v>0.47313554333700991</v>
      </c>
      <c r="G37" s="260">
        <f t="shared" si="13"/>
        <v>0.45126843043156301</v>
      </c>
      <c r="H37" s="260">
        <f t="shared" si="13"/>
        <v>0.44581076273820941</v>
      </c>
      <c r="I37" s="260">
        <f t="shared" si="13"/>
        <v>0.43413482709543028</v>
      </c>
      <c r="J37" s="260">
        <f t="shared" si="13"/>
        <v>0.43422425641529788</v>
      </c>
      <c r="K37" s="260">
        <f t="shared" si="13"/>
        <v>0.42579233666549071</v>
      </c>
      <c r="L37" s="260">
        <f t="shared" si="13"/>
        <v>0.43367245902011098</v>
      </c>
      <c r="M37" s="260">
        <f t="shared" si="13"/>
        <v>0.42980818224771433</v>
      </c>
      <c r="N37" s="260">
        <f t="shared" si="13"/>
        <v>0.43613793949666652</v>
      </c>
      <c r="O37" s="260">
        <f t="shared" si="13"/>
        <v>0.44591119442228805</v>
      </c>
      <c r="P37" s="260">
        <f t="shared" si="13"/>
        <v>0.4417428705907257</v>
      </c>
      <c r="Q37" s="260">
        <f t="shared" si="13"/>
        <v>0.4415527591740443</v>
      </c>
      <c r="R37" s="260">
        <f t="shared" si="13"/>
        <v>0.44329329513442067</v>
      </c>
      <c r="S37" s="260">
        <f t="shared" si="13"/>
        <v>0.44298775742006524</v>
      </c>
      <c r="T37" s="260">
        <f t="shared" si="13"/>
        <v>0.4313026714425866</v>
      </c>
      <c r="U37" s="260">
        <f t="shared" si="13"/>
        <v>0.42306165833449583</v>
      </c>
      <c r="V37" s="260">
        <f t="shared" si="13"/>
        <v>0.42077540770347638</v>
      </c>
      <c r="W37" s="260">
        <f t="shared" si="13"/>
        <v>0.43246332684563144</v>
      </c>
      <c r="DA37" s="279"/>
    </row>
    <row r="38" spans="1:105" x14ac:dyDescent="0.25">
      <c r="A38" s="128" t="s">
        <v>174</v>
      </c>
      <c r="B38" s="260">
        <f t="shared" ref="B38:W38" si="14">IF(B$25=0,0,B$25/B$5)</f>
        <v>4.1462158667155198E-2</v>
      </c>
      <c r="C38" s="260">
        <f t="shared" si="14"/>
        <v>4.0809362184237002E-2</v>
      </c>
      <c r="D38" s="260">
        <f t="shared" si="14"/>
        <v>4.1438896442969567E-2</v>
      </c>
      <c r="E38" s="260">
        <f t="shared" si="14"/>
        <v>4.0845636196813355E-2</v>
      </c>
      <c r="F38" s="260">
        <f t="shared" si="14"/>
        <v>4.0610923217588545E-2</v>
      </c>
      <c r="G38" s="260">
        <f t="shared" si="14"/>
        <v>4.1510451682609119E-2</v>
      </c>
      <c r="H38" s="260">
        <f t="shared" si="14"/>
        <v>4.1482548903517026E-2</v>
      </c>
      <c r="I38" s="260">
        <f t="shared" si="14"/>
        <v>4.1751069976345735E-2</v>
      </c>
      <c r="J38" s="260">
        <f t="shared" si="14"/>
        <v>4.1306550030212066E-2</v>
      </c>
      <c r="K38" s="260">
        <f t="shared" si="14"/>
        <v>4.1282127638982466E-2</v>
      </c>
      <c r="L38" s="260">
        <f t="shared" si="14"/>
        <v>4.0589005646977823E-2</v>
      </c>
      <c r="M38" s="260">
        <f t="shared" si="14"/>
        <v>4.0921091202164528E-2</v>
      </c>
      <c r="N38" s="260">
        <f t="shared" si="14"/>
        <v>4.0467069494512994E-2</v>
      </c>
      <c r="O38" s="260">
        <f t="shared" si="14"/>
        <v>3.9881883652204075E-2</v>
      </c>
      <c r="P38" s="260">
        <f t="shared" si="14"/>
        <v>4.0472244937124563E-2</v>
      </c>
      <c r="Q38" s="260">
        <f t="shared" si="14"/>
        <v>4.0164970723478861E-2</v>
      </c>
      <c r="R38" s="260">
        <f t="shared" si="14"/>
        <v>3.9648989430303351E-2</v>
      </c>
      <c r="S38" s="260">
        <f t="shared" si="14"/>
        <v>3.9449235148291996E-2</v>
      </c>
      <c r="T38" s="260">
        <f t="shared" si="14"/>
        <v>4.0171920933306238E-2</v>
      </c>
      <c r="U38" s="260">
        <f t="shared" si="14"/>
        <v>4.017736394447096E-2</v>
      </c>
      <c r="V38" s="260">
        <f t="shared" si="14"/>
        <v>3.9570628785808477E-2</v>
      </c>
      <c r="W38" s="260">
        <f t="shared" si="14"/>
        <v>3.8400225009930386E-2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2.2044887028591649E-2</v>
      </c>
      <c r="C39" s="260">
        <f t="shared" si="15"/>
        <v>2.1475588759338301E-2</v>
      </c>
      <c r="D39" s="260">
        <f t="shared" si="15"/>
        <v>2.2698355028934528E-2</v>
      </c>
      <c r="E39" s="260">
        <f t="shared" si="15"/>
        <v>2.2193230853404376E-2</v>
      </c>
      <c r="F39" s="260">
        <f t="shared" si="15"/>
        <v>2.190866330867508E-2</v>
      </c>
      <c r="G39" s="260">
        <f t="shared" si="15"/>
        <v>2.3772346418163573E-2</v>
      </c>
      <c r="H39" s="260">
        <f t="shared" si="15"/>
        <v>2.4754202542897789E-2</v>
      </c>
      <c r="I39" s="260">
        <f t="shared" si="15"/>
        <v>2.6037894773997792E-2</v>
      </c>
      <c r="J39" s="260">
        <f t="shared" si="15"/>
        <v>2.6560135969464601E-2</v>
      </c>
      <c r="K39" s="260">
        <f t="shared" si="15"/>
        <v>2.7716661915709987E-2</v>
      </c>
      <c r="L39" s="260">
        <f t="shared" si="15"/>
        <v>2.7289701809182613E-2</v>
      </c>
      <c r="M39" s="260">
        <f t="shared" si="15"/>
        <v>2.7520055945242042E-2</v>
      </c>
      <c r="N39" s="260">
        <f t="shared" si="15"/>
        <v>2.7316960562620562E-2</v>
      </c>
      <c r="O39" s="260">
        <f t="shared" si="15"/>
        <v>2.6533289522312594E-2</v>
      </c>
      <c r="P39" s="260">
        <f t="shared" si="15"/>
        <v>2.6411157087868887E-2</v>
      </c>
      <c r="Q39" s="260">
        <f t="shared" si="15"/>
        <v>2.6661888289877519E-2</v>
      </c>
      <c r="R39" s="260">
        <f t="shared" si="15"/>
        <v>2.690982763482605E-2</v>
      </c>
      <c r="S39" s="260">
        <f t="shared" si="15"/>
        <v>2.6895881537976254E-2</v>
      </c>
      <c r="T39" s="260">
        <f t="shared" si="15"/>
        <v>2.7787483236858531E-2</v>
      </c>
      <c r="U39" s="260">
        <f t="shared" si="15"/>
        <v>2.8745673309427643E-2</v>
      </c>
      <c r="V39" s="260">
        <f t="shared" si="15"/>
        <v>2.9692103118171897E-2</v>
      </c>
      <c r="W39" s="260">
        <f t="shared" si="15"/>
        <v>2.9365654059104754E-2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3.1965086191457909E-2</v>
      </c>
      <c r="C40" s="262">
        <f t="shared" si="16"/>
        <v>3.113960370104054E-2</v>
      </c>
      <c r="D40" s="262">
        <f t="shared" si="16"/>
        <v>3.2912614791955064E-2</v>
      </c>
      <c r="E40" s="262">
        <f t="shared" si="16"/>
        <v>3.2180184737436328E-2</v>
      </c>
      <c r="F40" s="262">
        <f t="shared" si="16"/>
        <v>3.1767561797578892E-2</v>
      </c>
      <c r="G40" s="262">
        <f t="shared" si="16"/>
        <v>3.4469902306337154E-2</v>
      </c>
      <c r="H40" s="262">
        <f t="shared" si="16"/>
        <v>3.5893593687201783E-2</v>
      </c>
      <c r="I40" s="262">
        <f t="shared" si="16"/>
        <v>3.7754947422296813E-2</v>
      </c>
      <c r="J40" s="262">
        <f t="shared" si="16"/>
        <v>3.8512197155723682E-2</v>
      </c>
      <c r="K40" s="262">
        <f t="shared" si="16"/>
        <v>4.0189159777779482E-2</v>
      </c>
      <c r="L40" s="262">
        <f t="shared" si="16"/>
        <v>3.957006762331481E-2</v>
      </c>
      <c r="M40" s="262">
        <f t="shared" si="16"/>
        <v>3.9904081120600961E-2</v>
      </c>
      <c r="N40" s="262">
        <f t="shared" si="16"/>
        <v>3.9609592815799816E-2</v>
      </c>
      <c r="O40" s="262">
        <f t="shared" si="16"/>
        <v>3.8473269807353279E-2</v>
      </c>
      <c r="P40" s="262">
        <f t="shared" si="16"/>
        <v>3.8296177777409887E-2</v>
      </c>
      <c r="Q40" s="262">
        <f t="shared" si="16"/>
        <v>3.8659738020322403E-2</v>
      </c>
      <c r="R40" s="262">
        <f t="shared" si="16"/>
        <v>3.901925007049778E-2</v>
      </c>
      <c r="S40" s="262">
        <f t="shared" si="16"/>
        <v>3.8999028230065541E-2</v>
      </c>
      <c r="T40" s="262">
        <f t="shared" si="16"/>
        <v>4.0291850693444861E-2</v>
      </c>
      <c r="U40" s="262">
        <f t="shared" si="16"/>
        <v>4.168122629867009E-2</v>
      </c>
      <c r="V40" s="262">
        <f t="shared" si="16"/>
        <v>4.3053549521349266E-2</v>
      </c>
      <c r="W40" s="262">
        <f t="shared" si="16"/>
        <v>4.2580198385701901E-2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126.45888445910974</v>
      </c>
      <c r="C44" s="237">
        <f t="shared" si="17"/>
        <v>122.34803499436492</v>
      </c>
      <c r="D44" s="237">
        <f t="shared" si="17"/>
        <v>127.81056238438656</v>
      </c>
      <c r="E44" s="237">
        <f t="shared" si="17"/>
        <v>135.4328803289018</v>
      </c>
      <c r="F44" s="237">
        <f t="shared" si="17"/>
        <v>134.84363036747555</v>
      </c>
      <c r="G44" s="237">
        <f t="shared" si="17"/>
        <v>154.4265560823676</v>
      </c>
      <c r="H44" s="237">
        <f t="shared" si="17"/>
        <v>146.93020171673015</v>
      </c>
      <c r="I44" s="237">
        <f t="shared" si="17"/>
        <v>137.2385115226293</v>
      </c>
      <c r="J44" s="237">
        <f t="shared" si="17"/>
        <v>139.32723127138385</v>
      </c>
      <c r="K44" s="237">
        <f t="shared" si="17"/>
        <v>156.36023356757093</v>
      </c>
      <c r="L44" s="237">
        <f t="shared" si="17"/>
        <v>144.58585940593417</v>
      </c>
      <c r="M44" s="237">
        <f t="shared" si="17"/>
        <v>132.80026593791027</v>
      </c>
      <c r="N44" s="237">
        <f t="shared" si="17"/>
        <v>135.04301399101354</v>
      </c>
      <c r="O44" s="237">
        <f t="shared" si="17"/>
        <v>132.95020410976798</v>
      </c>
      <c r="P44" s="237">
        <f t="shared" si="17"/>
        <v>130.15939664117735</v>
      </c>
      <c r="Q44" s="237">
        <f t="shared" si="17"/>
        <v>132.91816907674806</v>
      </c>
      <c r="R44" s="237">
        <f t="shared" si="17"/>
        <v>135.38540863538171</v>
      </c>
      <c r="S44" s="237">
        <f t="shared" si="17"/>
        <v>124.90211009173738</v>
      </c>
      <c r="T44" s="237">
        <f t="shared" si="17"/>
        <v>141.27985612939963</v>
      </c>
      <c r="U44" s="237">
        <f t="shared" si="17"/>
        <v>142.01198459584049</v>
      </c>
      <c r="V44" s="237">
        <f t="shared" si="17"/>
        <v>148.62601044661253</v>
      </c>
      <c r="W44" s="237">
        <f t="shared" si="17"/>
        <v>142.54014154785779</v>
      </c>
      <c r="DA44" s="281"/>
    </row>
    <row r="45" spans="1:105" x14ac:dyDescent="0.25">
      <c r="A45" s="239" t="s">
        <v>125</v>
      </c>
      <c r="B45" s="248">
        <f>IF(B$6=0,0,B$6/AGR!B$5*1000)</f>
        <v>2.787771821662798</v>
      </c>
      <c r="C45" s="248">
        <f>IF(C$6=0,0,C$6/AGR!C$5*1000)</f>
        <v>2.6274960850521127</v>
      </c>
      <c r="D45" s="248">
        <f>IF(D$6=0,0,D$6/AGR!D$5*1000)</f>
        <v>2.9010895214485908</v>
      </c>
      <c r="E45" s="248">
        <f>IF(E$6=0,0,E$6/AGR!E$5*1000)</f>
        <v>3.0056931782808065</v>
      </c>
      <c r="F45" s="248">
        <f>IF(F$6=0,0,F$6/AGR!F$5*1000)</f>
        <v>2.9542436970404569</v>
      </c>
      <c r="G45" s="248">
        <f>IF(G$6=0,0,G$6/AGR!G$5*1000)</f>
        <v>3.6710815873540064</v>
      </c>
      <c r="H45" s="248">
        <f>IF(H$6=0,0,H$6/AGR!H$5*1000)</f>
        <v>3.6371399729647669</v>
      </c>
      <c r="I45" s="248">
        <f>IF(I$6=0,0,I$6/AGR!I$5*1000)</f>
        <v>3.5734019219663056</v>
      </c>
      <c r="J45" s="248">
        <f>IF(J$6=0,0,J$6/AGR!J$5*1000)</f>
        <v>3.7005502068169962</v>
      </c>
      <c r="K45" s="248">
        <f>IF(K$6=0,0,K$6/AGR!K$5*1000)</f>
        <v>4.3337837308538107</v>
      </c>
      <c r="L45" s="248">
        <f>IF(L$6=0,0,L$6/AGR!L$5*1000)</f>
        <v>3.9457049890123455</v>
      </c>
      <c r="M45" s="248">
        <f>IF(M$6=0,0,M$6/AGR!M$5*1000)</f>
        <v>3.6546707481543117</v>
      </c>
      <c r="N45" s="248">
        <f>IF(N$6=0,0,N$6/AGR!N$5*1000)</f>
        <v>3.6889646874499338</v>
      </c>
      <c r="O45" s="248">
        <f>IF(O$6=0,0,O$6/AGR!O$5*1000)</f>
        <v>3.5276062576950267</v>
      </c>
      <c r="P45" s="248">
        <f>IF(P$6=0,0,P$6/AGR!P$5*1000)</f>
        <v>3.4376602711523683</v>
      </c>
      <c r="Q45" s="248">
        <f>IF(Q$6=0,0,Q$6/AGR!Q$5*1000)</f>
        <v>3.5438493756193092</v>
      </c>
      <c r="R45" s="248">
        <f>IF(R$6=0,0,R$6/AGR!R$5*1000)</f>
        <v>3.6431980106486122</v>
      </c>
      <c r="S45" s="248">
        <f>IF(S$6=0,0,S$6/AGR!S$5*1000)</f>
        <v>3.3593523568706365</v>
      </c>
      <c r="T45" s="248">
        <f>IF(T$6=0,0,T$6/AGR!T$5*1000)</f>
        <v>3.9258116339014779</v>
      </c>
      <c r="U45" s="248">
        <f>IF(U$6=0,0,U$6/AGR!U$5*1000)</f>
        <v>4.0822301152155012</v>
      </c>
      <c r="V45" s="248">
        <f>IF(V$6=0,0,V$6/AGR!V$5*1000)</f>
        <v>4.4130188282233132</v>
      </c>
      <c r="W45" s="248">
        <f>IF(W$6=0,0,W$6/AGR!W$5*1000)</f>
        <v>4.185784486230216</v>
      </c>
      <c r="DA45" s="282"/>
    </row>
    <row r="46" spans="1:105" x14ac:dyDescent="0.25">
      <c r="A46" s="241" t="s">
        <v>124</v>
      </c>
      <c r="B46" s="249">
        <f>IF(B$7=0,0,B$7/AGR!B$5*1000)</f>
        <v>1.8120516840808194</v>
      </c>
      <c r="C46" s="249">
        <f>IF(C$7=0,0,C$7/AGR!C$5*1000)</f>
        <v>1.7078724552838735</v>
      </c>
      <c r="D46" s="249">
        <f>IF(D$7=0,0,D$7/AGR!D$5*1000)</f>
        <v>1.885708188941583</v>
      </c>
      <c r="E46" s="249">
        <f>IF(E$7=0,0,E$7/AGR!E$5*1000)</f>
        <v>1.9537005658825237</v>
      </c>
      <c r="F46" s="249">
        <f>IF(F$7=0,0,F$7/AGR!F$5*1000)</f>
        <v>1.9202584030762977</v>
      </c>
      <c r="G46" s="249">
        <f>IF(G$7=0,0,G$7/AGR!G$5*1000)</f>
        <v>2.3862030317801013</v>
      </c>
      <c r="H46" s="249">
        <f>IF(H$7=0,0,H$7/AGR!H$5*1000)</f>
        <v>2.3641409824270974</v>
      </c>
      <c r="I46" s="249">
        <f>IF(I$7=0,0,I$7/AGR!I$5*1000)</f>
        <v>2.3227112492780986</v>
      </c>
      <c r="J46" s="249">
        <f>IF(J$7=0,0,J$7/AGR!J$5*1000)</f>
        <v>2.4053576344310472</v>
      </c>
      <c r="K46" s="249">
        <f>IF(K$7=0,0,K$7/AGR!K$5*1000)</f>
        <v>2.8169594250549763</v>
      </c>
      <c r="L46" s="249">
        <f>IF(L$7=0,0,L$7/AGR!L$5*1000)</f>
        <v>2.5647082428580252</v>
      </c>
      <c r="M46" s="249">
        <f>IF(M$7=0,0,M$7/AGR!M$5*1000)</f>
        <v>2.375535986300302</v>
      </c>
      <c r="N46" s="249">
        <f>IF(N$7=0,0,N$7/AGR!N$5*1000)</f>
        <v>2.3978270468424561</v>
      </c>
      <c r="O46" s="249">
        <f>IF(O$7=0,0,O$7/AGR!O$5*1000)</f>
        <v>2.292944067501768</v>
      </c>
      <c r="P46" s="249">
        <f>IF(P$7=0,0,P$7/AGR!P$5*1000)</f>
        <v>2.2344791762490388</v>
      </c>
      <c r="Q46" s="249">
        <f>IF(Q$7=0,0,Q$7/AGR!Q$5*1000)</f>
        <v>2.3035020941525506</v>
      </c>
      <c r="R46" s="249">
        <f>IF(R$7=0,0,R$7/AGR!R$5*1000)</f>
        <v>2.3680787069215974</v>
      </c>
      <c r="S46" s="249">
        <f>IF(S$7=0,0,S$7/AGR!S$5*1000)</f>
        <v>2.1835790319659121</v>
      </c>
      <c r="T46" s="249">
        <f>IF(T$7=0,0,T$7/AGR!T$5*1000)</f>
        <v>2.5517775620359604</v>
      </c>
      <c r="U46" s="249">
        <f>IF(U$7=0,0,U$7/AGR!U$5*1000)</f>
        <v>2.6534495748900762</v>
      </c>
      <c r="V46" s="249">
        <f>IF(V$7=0,0,V$7/AGR!V$5*1000)</f>
        <v>2.868462238345153</v>
      </c>
      <c r="W46" s="249">
        <f>IF(W$7=0,0,W$7/AGR!W$5*1000)</f>
        <v>2.7207599160496398</v>
      </c>
      <c r="DA46" s="283"/>
    </row>
    <row r="47" spans="1:105" x14ac:dyDescent="0.25">
      <c r="A47" s="241" t="s">
        <v>123</v>
      </c>
      <c r="B47" s="249">
        <f>IF(B$8=0,0,B$8/AGR!B$5*1000)</f>
        <v>2.5089946394965206</v>
      </c>
      <c r="C47" s="249">
        <f>IF(C$8=0,0,C$8/AGR!C$5*1000)</f>
        <v>2.3647464765469026</v>
      </c>
      <c r="D47" s="249">
        <f>IF(D$8=0,0,D$8/AGR!D$5*1000)</f>
        <v>2.6109805693037309</v>
      </c>
      <c r="E47" s="249">
        <f>IF(E$8=0,0,E$8/AGR!E$5*1000)</f>
        <v>2.7051238604527246</v>
      </c>
      <c r="F47" s="249">
        <f>IF(F$8=0,0,F$8/AGR!F$5*1000)</f>
        <v>2.6588193273364125</v>
      </c>
      <c r="G47" s="249">
        <f>IF(G$8=0,0,G$8/AGR!G$5*1000)</f>
        <v>3.3039734286186047</v>
      </c>
      <c r="H47" s="249">
        <f>IF(H$8=0,0,H$8/AGR!H$5*1000)</f>
        <v>3.2734259756682893</v>
      </c>
      <c r="I47" s="249">
        <f>IF(I$8=0,0,I$8/AGR!I$5*1000)</f>
        <v>3.2160617297696765</v>
      </c>
      <c r="J47" s="249">
        <f>IF(J$8=0,0,J$8/AGR!J$5*1000)</f>
        <v>3.3304951861352956</v>
      </c>
      <c r="K47" s="249">
        <f>IF(K$8=0,0,K$8/AGR!K$5*1000)</f>
        <v>3.9004053577684306</v>
      </c>
      <c r="L47" s="249">
        <f>IF(L$8=0,0,L$8/AGR!L$5*1000)</f>
        <v>3.5511344901111137</v>
      </c>
      <c r="M47" s="249">
        <f>IF(M$8=0,0,M$8/AGR!M$5*1000)</f>
        <v>3.2892036733388794</v>
      </c>
      <c r="N47" s="249">
        <f>IF(N$8=0,0,N$8/AGR!N$5*1000)</f>
        <v>3.3200682187049413</v>
      </c>
      <c r="O47" s="249">
        <f>IF(O$8=0,0,O$8/AGR!O$5*1000)</f>
        <v>3.1748456319255243</v>
      </c>
      <c r="P47" s="249">
        <f>IF(P$8=0,0,P$8/AGR!P$5*1000)</f>
        <v>3.0938942440371315</v>
      </c>
      <c r="Q47" s="249">
        <f>IF(Q$8=0,0,Q$8/AGR!Q$5*1000)</f>
        <v>3.1894644380573776</v>
      </c>
      <c r="R47" s="249">
        <f>IF(R$8=0,0,R$8/AGR!R$5*1000)</f>
        <v>3.2788782095837519</v>
      </c>
      <c r="S47" s="249">
        <f>IF(S$8=0,0,S$8/AGR!S$5*1000)</f>
        <v>3.0234171211835714</v>
      </c>
      <c r="T47" s="249">
        <f>IF(T$8=0,0,T$8/AGR!T$5*1000)</f>
        <v>3.5332304705113287</v>
      </c>
      <c r="U47" s="249">
        <f>IF(U$8=0,0,U$8/AGR!U$5*1000)</f>
        <v>3.6740071036939521</v>
      </c>
      <c r="V47" s="249">
        <f>IF(V$8=0,0,V$8/AGR!V$5*1000)</f>
        <v>3.9717169454009809</v>
      </c>
      <c r="W47" s="249">
        <f>IF(W$8=0,0,W$8/AGR!W$5*1000)</f>
        <v>3.7672060376071959</v>
      </c>
      <c r="DA47" s="283"/>
    </row>
    <row r="48" spans="1:105" x14ac:dyDescent="0.25">
      <c r="A48" s="243" t="s">
        <v>122</v>
      </c>
      <c r="B48" s="250">
        <f>IF(B$9=0,0,B$9/AGR!B$5*1000)</f>
        <v>21.146547353107355</v>
      </c>
      <c r="C48" s="250">
        <f>IF(C$9=0,0,C$9/AGR!C$5*1000)</f>
        <v>20.185852461213237</v>
      </c>
      <c r="D48" s="250">
        <f>IF(D$9=0,0,D$9/AGR!D$5*1000)</f>
        <v>21.527987012637283</v>
      </c>
      <c r="E48" s="250">
        <f>IF(E$9=0,0,E$9/AGR!E$5*1000)</f>
        <v>22.534540833124456</v>
      </c>
      <c r="F48" s="250">
        <f>IF(F$9=0,0,F$9/AGR!F$5*1000)</f>
        <v>22.298993410637401</v>
      </c>
      <c r="G48" s="250">
        <f>IF(G$9=0,0,G$9/AGR!G$5*1000)</f>
        <v>26.613449593032485</v>
      </c>
      <c r="H48" s="250">
        <f>IF(H$9=0,0,H$9/AGR!H$5*1000)</f>
        <v>25.427558130525505</v>
      </c>
      <c r="I48" s="250">
        <f>IF(I$9=0,0,I$9/AGR!I$5*1000)</f>
        <v>24.243226415139404</v>
      </c>
      <c r="J48" s="250">
        <f>IF(J$9=0,0,J$9/AGR!J$5*1000)</f>
        <v>24.620166850137828</v>
      </c>
      <c r="K48" s="250">
        <f>IF(K$9=0,0,K$9/AGR!K$5*1000)</f>
        <v>28.067961042715108</v>
      </c>
      <c r="L48" s="250">
        <f>IF(L$9=0,0,L$9/AGR!L$5*1000)</f>
        <v>25.745412772431266</v>
      </c>
      <c r="M48" s="250">
        <f>IF(M$9=0,0,M$9/AGR!M$5*1000)</f>
        <v>23.733449712722614</v>
      </c>
      <c r="N48" s="250">
        <f>IF(N$9=0,0,N$9/AGR!N$5*1000)</f>
        <v>23.796991908109231</v>
      </c>
      <c r="O48" s="250">
        <f>IF(O$9=0,0,O$9/AGR!O$5*1000)</f>
        <v>23.13246933348244</v>
      </c>
      <c r="P48" s="250">
        <f>IF(P$9=0,0,P$9/AGR!P$5*1000)</f>
        <v>22.792191749634657</v>
      </c>
      <c r="Q48" s="250">
        <f>IF(Q$9=0,0,Q$9/AGR!Q$5*1000)</f>
        <v>23.387303059467456</v>
      </c>
      <c r="R48" s="250">
        <f>IF(R$9=0,0,R$9/AGR!R$5*1000)</f>
        <v>23.851332001111853</v>
      </c>
      <c r="S48" s="250">
        <f>IF(S$9=0,0,S$9/AGR!S$5*1000)</f>
        <v>22.206112741365356</v>
      </c>
      <c r="T48" s="250">
        <f>IF(T$9=0,0,T$9/AGR!T$5*1000)</f>
        <v>25.505483548146177</v>
      </c>
      <c r="U48" s="250">
        <f>IF(U$9=0,0,U$9/AGR!U$5*1000)</f>
        <v>26.122810599653903</v>
      </c>
      <c r="V48" s="250">
        <f>IF(V$9=0,0,V$9/AGR!V$5*1000)</f>
        <v>27.535382397579319</v>
      </c>
      <c r="W48" s="250">
        <f>IF(W$9=0,0,W$9/AGR!W$5*1000)</f>
        <v>26.009556478808669</v>
      </c>
      <c r="DA48" s="284"/>
    </row>
    <row r="49" spans="1:105" x14ac:dyDescent="0.25">
      <c r="A49" s="128" t="s">
        <v>175</v>
      </c>
      <c r="B49" s="263">
        <f>IF(B$16=0,0,B$16/AGR!B$5*1000)</f>
        <v>27.286135504344355</v>
      </c>
      <c r="C49" s="263">
        <f>IF(C$16=0,0,C$16/AGR!C$5*1000)</f>
        <v>25.983495879782094</v>
      </c>
      <c r="D49" s="263">
        <f>IF(D$16=0,0,D$16/AGR!D$5*1000)</f>
        <v>27.562315702311384</v>
      </c>
      <c r="E49" s="263">
        <f>IF(E$16=0,0,E$16/AGR!E$5*1000)</f>
        <v>28.787937799833212</v>
      </c>
      <c r="F49" s="263">
        <f>IF(F$16=0,0,F$16/AGR!F$5*1000)</f>
        <v>28.497979832950946</v>
      </c>
      <c r="G49" s="263">
        <f>IF(G$16=0,0,G$16/AGR!G$5*1000)</f>
        <v>33.359552877554471</v>
      </c>
      <c r="H49" s="263">
        <f>IF(H$16=0,0,H$16/AGR!H$5*1000)</f>
        <v>31.718839146648499</v>
      </c>
      <c r="I49" s="263">
        <f>IF(I$16=0,0,I$16/AGR!I$5*1000)</f>
        <v>29.818403328916652</v>
      </c>
      <c r="J49" s="263">
        <f>IF(J$16=0,0,J$16/AGR!J$5*1000)</f>
        <v>29.949922740859837</v>
      </c>
      <c r="K49" s="263">
        <f>IF(K$16=0,0,K$16/AGR!K$5*1000)</f>
        <v>33.591481538491273</v>
      </c>
      <c r="L49" s="263">
        <f>IF(L$16=0,0,L$16/AGR!L$5*1000)</f>
        <v>30.540420236433061</v>
      </c>
      <c r="M49" s="263">
        <f>IF(M$16=0,0,M$16/AGR!M$5*1000)</f>
        <v>28.280489785512895</v>
      </c>
      <c r="N49" s="263">
        <f>IF(N$16=0,0,N$16/AGR!N$5*1000)</f>
        <v>28.439021748271657</v>
      </c>
      <c r="O49" s="263">
        <f>IF(O$16=0,0,O$16/AGR!O$5*1000)</f>
        <v>27.593414602694221</v>
      </c>
      <c r="P49" s="263">
        <f>IF(P$16=0,0,P$16/AGR!P$5*1000)</f>
        <v>27.414075047420223</v>
      </c>
      <c r="Q49" s="263">
        <f>IF(Q$16=0,0,Q$16/AGR!Q$5*1000)</f>
        <v>27.782580469397828</v>
      </c>
      <c r="R49" s="263">
        <f>IF(R$16=0,0,R$16/AGR!R$5*1000)</f>
        <v>27.934748037926841</v>
      </c>
      <c r="S49" s="263">
        <f>IF(S$16=0,0,S$16/AGR!S$5*1000)</f>
        <v>25.64183720791922</v>
      </c>
      <c r="T49" s="263">
        <f>IF(T$16=0,0,T$16/AGR!T$5*1000)</f>
        <v>29.535451832212605</v>
      </c>
      <c r="U49" s="263">
        <f>IF(U$16=0,0,U$16/AGR!U$5*1000)</f>
        <v>29.692530524036229</v>
      </c>
      <c r="V49" s="263">
        <f>IF(V$16=0,0,V$16/AGR!V$5*1000)</f>
        <v>30.606139079603551</v>
      </c>
      <c r="W49" s="263">
        <f>IF(W$16=0,0,W$16/AGR!W$5*1000)</f>
        <v>28.484705306679189</v>
      </c>
      <c r="DA49" s="285"/>
    </row>
    <row r="50" spans="1:105" x14ac:dyDescent="0.25">
      <c r="A50" s="128" t="s">
        <v>121</v>
      </c>
      <c r="B50" s="263">
        <f>IF(B$17=0,0,B$17/AGR!B$5*1000)</f>
        <v>58.844084161028981</v>
      </c>
      <c r="C50" s="263">
        <f>IF(C$17=0,0,C$17/AGR!C$5*1000)</f>
        <v>58.048260955494278</v>
      </c>
      <c r="D50" s="263">
        <f>IF(D$17=0,0,D$17/AGR!D$5*1000)</f>
        <v>58.918483403230638</v>
      </c>
      <c r="E50" s="263">
        <f>IF(E$17=0,0,E$17/AGR!E$5*1000)</f>
        <v>63.550093645539235</v>
      </c>
      <c r="F50" s="263">
        <f>IF(F$17=0,0,F$17/AGR!F$5*1000)</f>
        <v>63.799314319450474</v>
      </c>
      <c r="G50" s="263">
        <f>IF(G$17=0,0,G$17/AGR!G$5*1000)</f>
        <v>69.68782958024174</v>
      </c>
      <c r="H50" s="263">
        <f>IF(H$17=0,0,H$17/AGR!H$5*1000)</f>
        <v>65.503065296614437</v>
      </c>
      <c r="I50" s="263">
        <f>IF(I$17=0,0,I$17/AGR!I$5*1000)</f>
        <v>59.580017470710892</v>
      </c>
      <c r="J50" s="263">
        <f>IF(J$17=0,0,J$17/AGR!J$5*1000)</f>
        <v>60.499263397218904</v>
      </c>
      <c r="K50" s="263">
        <f>IF(K$17=0,0,K$17/AGR!K$5*1000)</f>
        <v>66.576989212297917</v>
      </c>
      <c r="L50" s="263">
        <f>IF(L$17=0,0,L$17/AGR!L$5*1000)</f>
        <v>62.702905188107522</v>
      </c>
      <c r="M50" s="263">
        <f>IF(M$17=0,0,M$17/AGR!M$5*1000)</f>
        <v>57.078640904786262</v>
      </c>
      <c r="N50" s="263">
        <f>IF(N$17=0,0,N$17/AGR!N$5*1000)</f>
        <v>58.897381865460154</v>
      </c>
      <c r="O50" s="263">
        <f>IF(O$17=0,0,O$17/AGR!O$5*1000)</f>
        <v>59.283984313273614</v>
      </c>
      <c r="P50" s="263">
        <f>IF(P$17=0,0,P$17/AGR!P$5*1000)</f>
        <v>57.496985506630537</v>
      </c>
      <c r="Q50" s="263">
        <f>IF(Q$17=0,0,Q$17/AGR!Q$5*1000)</f>
        <v>58.690384300200229</v>
      </c>
      <c r="R50" s="263">
        <f>IF(R$17=0,0,R$17/AGR!R$5*1000)</f>
        <v>60.015443907098415</v>
      </c>
      <c r="S50" s="263">
        <f>IF(S$17=0,0,S$17/AGR!S$5*1000)</f>
        <v>55.330105646572839</v>
      </c>
      <c r="T50" s="263">
        <f>IF(T$17=0,0,T$17/AGR!T$5*1000)</f>
        <v>60.934379369634364</v>
      </c>
      <c r="U50" s="263">
        <f>IF(U$17=0,0,U$17/AGR!U$5*1000)</f>
        <v>60.079825706489146</v>
      </c>
      <c r="V50" s="263">
        <f>IF(V$17=0,0,V$17/AGR!V$5*1000)</f>
        <v>62.538170141014525</v>
      </c>
      <c r="W50" s="263">
        <f>IF(W$17=0,0,W$17/AGR!W$5*1000)</f>
        <v>61.643383822833805</v>
      </c>
      <c r="DA50" s="285"/>
    </row>
    <row r="51" spans="1:105" x14ac:dyDescent="0.25">
      <c r="A51" s="128" t="s">
        <v>174</v>
      </c>
      <c r="B51" s="263">
        <f>IF(B$25=0,0,B$25/AGR!B$5*1000)</f>
        <v>5.2432583323150546</v>
      </c>
      <c r="C51" s="263">
        <f>IF(C$25=0,0,C$25/AGR!C$5*1000)</f>
        <v>4.9929452726147421</v>
      </c>
      <c r="D51" s="263">
        <f>IF(D$25=0,0,D$25/AGR!D$5*1000)</f>
        <v>5.2963286589642946</v>
      </c>
      <c r="E51" s="263">
        <f>IF(E$25=0,0,E$25/AGR!E$5*1000)</f>
        <v>5.5318421590008828</v>
      </c>
      <c r="F51" s="263">
        <f>IF(F$25=0,0,F$25/AGR!F$5*1000)</f>
        <v>5.4761243192344411</v>
      </c>
      <c r="G51" s="263">
        <f>IF(G$25=0,0,G$25/AGR!G$5*1000)</f>
        <v>6.4103160947688451</v>
      </c>
      <c r="H51" s="263">
        <f>IF(H$25=0,0,H$25/AGR!H$5*1000)</f>
        <v>6.0950392781178815</v>
      </c>
      <c r="I51" s="263">
        <f>IF(I$25=0,0,I$25/AGR!I$5*1000)</f>
        <v>5.7298546980308274</v>
      </c>
      <c r="J51" s="263">
        <f>IF(J$25=0,0,J$25/AGR!J$5*1000)</f>
        <v>5.7551272490823457</v>
      </c>
      <c r="K51" s="263">
        <f>IF(K$25=0,0,K$25/AGR!K$5*1000)</f>
        <v>6.4548831197975725</v>
      </c>
      <c r="L51" s="263">
        <f>IF(L$25=0,0,L$25/AGR!L$5*1000)</f>
        <v>5.8685962639006037</v>
      </c>
      <c r="M51" s="263">
        <f>IF(M$25=0,0,M$25/AGR!M$5*1000)</f>
        <v>5.4343317941169289</v>
      </c>
      <c r="N51" s="263">
        <f>IF(N$25=0,0,N$25/AGR!N$5*1000)</f>
        <v>5.4647950319228356</v>
      </c>
      <c r="O51" s="263">
        <f>IF(O$25=0,0,O$25/AGR!O$5*1000)</f>
        <v>5.3023045718425488</v>
      </c>
      <c r="P51" s="263">
        <f>IF(P$25=0,0,P$25/AGR!P$5*1000)</f>
        <v>5.2678429817300776</v>
      </c>
      <c r="Q51" s="263">
        <f>IF(Q$25=0,0,Q$25/AGR!Q$5*1000)</f>
        <v>5.3386543695859983</v>
      </c>
      <c r="R51" s="263">
        <f>IF(R$25=0,0,R$25/AGR!R$5*1000)</f>
        <v>5.3678946360015498</v>
      </c>
      <c r="S51" s="263">
        <f>IF(S$25=0,0,S$25/AGR!S$5*1000)</f>
        <v>4.9272927115268015</v>
      </c>
      <c r="T51" s="263">
        <f>IF(T$25=0,0,T$25/AGR!T$5*1000)</f>
        <v>5.6754832098991237</v>
      </c>
      <c r="U51" s="263">
        <f>IF(U$25=0,0,U$25/AGR!U$5*1000)</f>
        <v>5.7056671895836857</v>
      </c>
      <c r="V51" s="263">
        <f>IF(V$25=0,0,V$25/AGR!V$5*1000)</f>
        <v>5.8812246872985972</v>
      </c>
      <c r="W51" s="263">
        <f>IF(W$25=0,0,W$25/AGR!W$5*1000)</f>
        <v>5.4735735083850674</v>
      </c>
      <c r="DA51" s="285"/>
    </row>
    <row r="52" spans="1:105" x14ac:dyDescent="0.25">
      <c r="A52" s="128" t="s">
        <v>177</v>
      </c>
      <c r="B52" s="263">
        <f>IF(B$26=0,0,B$26/AGR!B$5*1000)</f>
        <v>2.787771821662798</v>
      </c>
      <c r="C52" s="263">
        <f>IF(C$26=0,0,C$26/AGR!C$5*1000)</f>
        <v>2.6274960850521127</v>
      </c>
      <c r="D52" s="263">
        <f>IF(D$26=0,0,D$26/AGR!D$5*1000)</f>
        <v>2.9010895214485908</v>
      </c>
      <c r="E52" s="263">
        <f>IF(E$26=0,0,E$26/AGR!E$5*1000)</f>
        <v>3.0056931782808065</v>
      </c>
      <c r="F52" s="263">
        <f>IF(F$26=0,0,F$26/AGR!F$5*1000)</f>
        <v>2.9542436970404569</v>
      </c>
      <c r="G52" s="263">
        <f>IF(G$26=0,0,G$26/AGR!G$5*1000)</f>
        <v>3.6710815873540064</v>
      </c>
      <c r="H52" s="263">
        <f>IF(H$26=0,0,H$26/AGR!H$5*1000)</f>
        <v>3.6371399729647669</v>
      </c>
      <c r="I52" s="263">
        <f>IF(I$26=0,0,I$26/AGR!I$5*1000)</f>
        <v>3.5734019219663056</v>
      </c>
      <c r="J52" s="263">
        <f>IF(J$26=0,0,J$26/AGR!J$5*1000)</f>
        <v>3.7005502068169962</v>
      </c>
      <c r="K52" s="263">
        <f>IF(K$26=0,0,K$26/AGR!K$5*1000)</f>
        <v>4.3337837308538107</v>
      </c>
      <c r="L52" s="263">
        <f>IF(L$26=0,0,L$26/AGR!L$5*1000)</f>
        <v>3.9457049890123455</v>
      </c>
      <c r="M52" s="263">
        <f>IF(M$26=0,0,M$26/AGR!M$5*1000)</f>
        <v>3.6546707481543117</v>
      </c>
      <c r="N52" s="263">
        <f>IF(N$26=0,0,N$26/AGR!N$5*1000)</f>
        <v>3.6889646874499338</v>
      </c>
      <c r="O52" s="263">
        <f>IF(O$26=0,0,O$26/AGR!O$5*1000)</f>
        <v>3.5276062576950267</v>
      </c>
      <c r="P52" s="263">
        <f>IF(P$26=0,0,P$26/AGR!P$5*1000)</f>
        <v>3.4376602711523683</v>
      </c>
      <c r="Q52" s="263">
        <f>IF(Q$26=0,0,Q$26/AGR!Q$5*1000)</f>
        <v>3.5438493756193092</v>
      </c>
      <c r="R52" s="263">
        <f>IF(R$26=0,0,R$26/AGR!R$5*1000)</f>
        <v>3.6431980106486122</v>
      </c>
      <c r="S52" s="263">
        <f>IF(S$26=0,0,S$26/AGR!S$5*1000)</f>
        <v>3.3593523568706365</v>
      </c>
      <c r="T52" s="263">
        <f>IF(T$26=0,0,T$26/AGR!T$5*1000)</f>
        <v>3.9258116339014779</v>
      </c>
      <c r="U52" s="263">
        <f>IF(U$26=0,0,U$26/AGR!U$5*1000)</f>
        <v>4.0822301152155012</v>
      </c>
      <c r="V52" s="263">
        <f>IF(V$26=0,0,V$26/AGR!V$5*1000)</f>
        <v>4.4130188282233132</v>
      </c>
      <c r="W52" s="263">
        <f>IF(W$26=0,0,W$26/AGR!W$5*1000)</f>
        <v>4.185784486230216</v>
      </c>
      <c r="DA52" s="285"/>
    </row>
    <row r="53" spans="1:105" x14ac:dyDescent="0.25">
      <c r="A53" s="261" t="s">
        <v>33</v>
      </c>
      <c r="B53" s="264">
        <f>IF(B$27=0,0,B$27/AGR!B$5*1000)</f>
        <v>4.0422691414110599</v>
      </c>
      <c r="C53" s="264">
        <f>IF(C$27=0,0,C$27/AGR!C$5*1000)</f>
        <v>3.8098693233255641</v>
      </c>
      <c r="D53" s="264">
        <f>IF(D$27=0,0,D$27/AGR!D$5*1000)</f>
        <v>4.2065798061004562</v>
      </c>
      <c r="E53" s="264">
        <f>IF(E$27=0,0,E$27/AGR!E$5*1000)</f>
        <v>4.3582551085071666</v>
      </c>
      <c r="F53" s="264">
        <f>IF(F$27=0,0,F$27/AGR!F$5*1000)</f>
        <v>4.2836533607086649</v>
      </c>
      <c r="G53" s="264">
        <f>IF(G$27=0,0,G$27/AGR!G$5*1000)</f>
        <v>5.3230683016633051</v>
      </c>
      <c r="H53" s="264">
        <f>IF(H$27=0,0,H$27/AGR!H$5*1000)</f>
        <v>5.2738529607989104</v>
      </c>
      <c r="I53" s="264">
        <f>IF(I$27=0,0,I$27/AGR!I$5*1000)</f>
        <v>5.1814327868511452</v>
      </c>
      <c r="J53" s="264">
        <f>IF(J$27=0,0,J$27/AGR!J$5*1000)</f>
        <v>5.3657977998846453</v>
      </c>
      <c r="K53" s="264">
        <f>IF(K$27=0,0,K$27/AGR!K$5*1000)</f>
        <v>6.2839864097380254</v>
      </c>
      <c r="L53" s="264">
        <f>IF(L$27=0,0,L$27/AGR!L$5*1000)</f>
        <v>5.7212722340679036</v>
      </c>
      <c r="M53" s="264">
        <f>IF(M$27=0,0,M$27/AGR!M$5*1000)</f>
        <v>5.2992725848237505</v>
      </c>
      <c r="N53" s="264">
        <f>IF(N$27=0,0,N$27/AGR!N$5*1000)</f>
        <v>5.3489987968024044</v>
      </c>
      <c r="O53" s="264">
        <f>IF(O$27=0,0,O$27/AGR!O$5*1000)</f>
        <v>5.1150290736577908</v>
      </c>
      <c r="P53" s="264">
        <f>IF(P$27=0,0,P$27/AGR!P$5*1000)</f>
        <v>4.9846073931709345</v>
      </c>
      <c r="Q53" s="264">
        <f>IF(Q$27=0,0,Q$27/AGR!Q$5*1000)</f>
        <v>5.1385815946479978</v>
      </c>
      <c r="R53" s="264">
        <f>IF(R$27=0,0,R$27/AGR!R$5*1000)</f>
        <v>5.2826371154404885</v>
      </c>
      <c r="S53" s="264">
        <f>IF(S$27=0,0,S$27/AGR!S$5*1000)</f>
        <v>4.8710609174624206</v>
      </c>
      <c r="T53" s="264">
        <f>IF(T$27=0,0,T$27/AGR!T$5*1000)</f>
        <v>5.6924268691571429</v>
      </c>
      <c r="U53" s="264">
        <f>IF(U$27=0,0,U$27/AGR!U$5*1000)</f>
        <v>5.9192336670624774</v>
      </c>
      <c r="V53" s="264">
        <f>IF(V$27=0,0,V$27/AGR!V$5*1000)</f>
        <v>6.3988773009238065</v>
      </c>
      <c r="W53" s="264">
        <f>IF(W$27=0,0,W$27/AGR!W$5*1000)</f>
        <v>6.0693875050338146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194.89164947345614</v>
      </c>
      <c r="C5" s="80">
        <f t="shared" ref="C5:W5" si="1">SUM(C6:C9,C16:C17,C25:C27)</f>
        <v>199.31088440695595</v>
      </c>
      <c r="D5" s="80">
        <f t="shared" si="1"/>
        <v>195.59027405178642</v>
      </c>
      <c r="E5" s="80">
        <f t="shared" si="1"/>
        <v>199.61270768049712</v>
      </c>
      <c r="F5" s="80">
        <f t="shared" si="1"/>
        <v>201.47794153781899</v>
      </c>
      <c r="G5" s="80">
        <f t="shared" si="1"/>
        <v>197.24420094924869</v>
      </c>
      <c r="H5" s="80">
        <f t="shared" si="1"/>
        <v>197.13834819956446</v>
      </c>
      <c r="I5" s="80">
        <f t="shared" si="1"/>
        <v>196.29630083340567</v>
      </c>
      <c r="J5" s="80">
        <f t="shared" si="1"/>
        <v>199.44676555700352</v>
      </c>
      <c r="K5" s="80">
        <f t="shared" si="1"/>
        <v>198.34802119389815</v>
      </c>
      <c r="L5" s="80">
        <f t="shared" si="1"/>
        <v>205.37885530116961</v>
      </c>
      <c r="M5" s="80">
        <f t="shared" si="1"/>
        <v>199.32000422602891</v>
      </c>
      <c r="N5" s="80">
        <f t="shared" si="1"/>
        <v>201.05110274618005</v>
      </c>
      <c r="O5" s="80">
        <f t="shared" si="1"/>
        <v>208.51876118859374</v>
      </c>
      <c r="P5" s="80">
        <f t="shared" si="1"/>
        <v>200.97386984819553</v>
      </c>
      <c r="Q5" s="80">
        <f t="shared" si="1"/>
        <v>204.04043520625092</v>
      </c>
      <c r="R5" s="80">
        <f t="shared" si="1"/>
        <v>209.15433256233067</v>
      </c>
      <c r="S5" s="80">
        <f t="shared" si="1"/>
        <v>212.10218268322976</v>
      </c>
      <c r="T5" s="80">
        <f t="shared" si="1"/>
        <v>205.11186804793462</v>
      </c>
      <c r="U5" s="80">
        <f t="shared" si="1"/>
        <v>203.90151683599908</v>
      </c>
      <c r="V5" s="80">
        <f t="shared" si="1"/>
        <v>203.74716884513256</v>
      </c>
      <c r="W5" s="80">
        <f t="shared" si="1"/>
        <v>220.63514483877904</v>
      </c>
      <c r="DA5" s="103"/>
    </row>
    <row r="6" spans="1:105" x14ac:dyDescent="0.25">
      <c r="A6" s="239" t="s">
        <v>125</v>
      </c>
      <c r="B6" s="240">
        <v>5.5364894945258074</v>
      </c>
      <c r="C6" s="240">
        <v>5.5535318907451012</v>
      </c>
      <c r="D6" s="240">
        <v>5.6971641578356156</v>
      </c>
      <c r="E6" s="240">
        <v>5.7157795617443439</v>
      </c>
      <c r="F6" s="240">
        <v>5.7146294088618248</v>
      </c>
      <c r="G6" s="240">
        <v>5.9519197405271926</v>
      </c>
      <c r="H6" s="240">
        <v>6.154262261432776</v>
      </c>
      <c r="I6" s="240">
        <v>6.3683082921652057</v>
      </c>
      <c r="J6" s="240">
        <v>6.5786736160129831</v>
      </c>
      <c r="K6" s="240">
        <v>6.7618121613395026</v>
      </c>
      <c r="L6" s="240">
        <v>6.9254364083376299</v>
      </c>
      <c r="M6" s="240">
        <v>6.7663146782495183</v>
      </c>
      <c r="N6" s="240">
        <v>6.8086642816274043</v>
      </c>
      <c r="O6" s="240">
        <v>6.9105381235475329</v>
      </c>
      <c r="P6" s="240">
        <v>6.6245508340352606</v>
      </c>
      <c r="Q6" s="240">
        <v>6.771775857936305</v>
      </c>
      <c r="R6" s="240">
        <v>6.9905219453241294</v>
      </c>
      <c r="S6" s="240">
        <v>7.0722388780541721</v>
      </c>
      <c r="T6" s="240">
        <v>7.0047107127513906</v>
      </c>
      <c r="U6" s="240">
        <v>7.1273096961360638</v>
      </c>
      <c r="V6" s="240">
        <v>7.3038803907345349</v>
      </c>
      <c r="W6" s="240">
        <v>7.8643568569245934</v>
      </c>
      <c r="DA6" s="268" t="s">
        <v>1014</v>
      </c>
    </row>
    <row r="7" spans="1:105" x14ac:dyDescent="0.25">
      <c r="A7" s="241" t="s">
        <v>124</v>
      </c>
      <c r="B7" s="242">
        <v>3.568589392585813</v>
      </c>
      <c r="C7" s="242">
        <v>3.579574207861369</v>
      </c>
      <c r="D7" s="242">
        <v>3.672153555348447</v>
      </c>
      <c r="E7" s="242">
        <v>3.6841522655407219</v>
      </c>
      <c r="F7" s="242">
        <v>3.6834109251335079</v>
      </c>
      <c r="G7" s="242">
        <v>3.836358340888824</v>
      </c>
      <c r="H7" s="242">
        <v>3.9667798606057318</v>
      </c>
      <c r="I7" s="242">
        <v>4.1047449728943208</v>
      </c>
      <c r="J7" s="242">
        <v>4.2403376555849164</v>
      </c>
      <c r="K7" s="242">
        <v>4.358381096446136</v>
      </c>
      <c r="L7" s="242">
        <v>4.4638464373963371</v>
      </c>
      <c r="M7" s="242">
        <v>4.3612832303887563</v>
      </c>
      <c r="N7" s="242">
        <v>4.3885800121389913</v>
      </c>
      <c r="O7" s="242">
        <v>4.4542436266040042</v>
      </c>
      <c r="P7" s="242">
        <v>4.2699081900829103</v>
      </c>
      <c r="Q7" s="242">
        <v>4.3648032782314452</v>
      </c>
      <c r="R7" s="242">
        <v>4.5057978503142886</v>
      </c>
      <c r="S7" s="242">
        <v>4.5584691648039879</v>
      </c>
      <c r="T7" s="242">
        <v>4.5149433359121316</v>
      </c>
      <c r="U7" s="242">
        <v>4.5939655090926186</v>
      </c>
      <c r="V7" s="242">
        <v>4.707775588278829</v>
      </c>
      <c r="W7" s="242">
        <v>5.0690352590534991</v>
      </c>
      <c r="DA7" s="269" t="s">
        <v>1015</v>
      </c>
    </row>
    <row r="8" spans="1:105" x14ac:dyDescent="0.25">
      <c r="A8" s="241" t="s">
        <v>123</v>
      </c>
      <c r="B8" s="242">
        <v>7.0916158652716303</v>
      </c>
      <c r="C8" s="242">
        <v>7.1134452442545548</v>
      </c>
      <c r="D8" s="242">
        <v>7.2974219076386628</v>
      </c>
      <c r="E8" s="242">
        <v>7.3212661312803951</v>
      </c>
      <c r="F8" s="242">
        <v>7.3197929157279731</v>
      </c>
      <c r="G8" s="242">
        <v>7.6237349501845566</v>
      </c>
      <c r="H8" s="242">
        <v>7.88291279796913</v>
      </c>
      <c r="I8" s="242">
        <v>8.1570815160605079</v>
      </c>
      <c r="J8" s="242">
        <v>8.4265356655855719</v>
      </c>
      <c r="K8" s="242">
        <v>8.661115396092498</v>
      </c>
      <c r="L8" s="242">
        <v>8.8706995210334689</v>
      </c>
      <c r="M8" s="242">
        <v>8.6668826102061196</v>
      </c>
      <c r="N8" s="242">
        <v>8.7211276547419256</v>
      </c>
      <c r="O8" s="242">
        <v>8.851616505904973</v>
      </c>
      <c r="P8" s="242">
        <v>8.4852991848703088</v>
      </c>
      <c r="Q8" s="242">
        <v>8.6738777627388242</v>
      </c>
      <c r="R8" s="242">
        <v>8.9540667209802134</v>
      </c>
      <c r="S8" s="242">
        <v>9.0587368548588501</v>
      </c>
      <c r="T8" s="242">
        <v>8.9722409247415129</v>
      </c>
      <c r="U8" s="242">
        <v>9.1292763343628209</v>
      </c>
      <c r="V8" s="242">
        <v>9.355443392097623</v>
      </c>
      <c r="W8" s="242">
        <v>10.07335025413985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58.240343080068051</v>
      </c>
      <c r="C9" s="244">
        <f t="shared" ref="C9:W9" si="3">SUM(C10:C15)</f>
        <v>59.147771672565398</v>
      </c>
      <c r="D9" s="244">
        <f t="shared" si="3"/>
        <v>58.939768785976952</v>
      </c>
      <c r="E9" s="244">
        <f t="shared" si="3"/>
        <v>59.736628020334834</v>
      </c>
      <c r="F9" s="244">
        <f t="shared" si="3"/>
        <v>60.086391970557678</v>
      </c>
      <c r="G9" s="244">
        <f t="shared" si="3"/>
        <v>60.686777434324114</v>
      </c>
      <c r="H9" s="244">
        <f t="shared" si="3"/>
        <v>60.960095910775365</v>
      </c>
      <c r="I9" s="244">
        <f t="shared" si="3"/>
        <v>61.723269185701739</v>
      </c>
      <c r="J9" s="244">
        <f t="shared" si="3"/>
        <v>62.976454674364206</v>
      </c>
      <c r="K9" s="244">
        <f t="shared" si="3"/>
        <v>63.612751199728216</v>
      </c>
      <c r="L9" s="244">
        <f t="shared" si="3"/>
        <v>65.74826041824106</v>
      </c>
      <c r="M9" s="244">
        <f t="shared" si="3"/>
        <v>63.911087005243928</v>
      </c>
      <c r="N9" s="244">
        <f t="shared" si="3"/>
        <v>64.017377966303712</v>
      </c>
      <c r="O9" s="244">
        <f t="shared" si="3"/>
        <v>65.909589689025921</v>
      </c>
      <c r="P9" s="244">
        <f t="shared" si="3"/>
        <v>63.529959937145776</v>
      </c>
      <c r="Q9" s="244">
        <f t="shared" si="3"/>
        <v>64.913982532075124</v>
      </c>
      <c r="R9" s="244">
        <f t="shared" si="3"/>
        <v>66.833211641729037</v>
      </c>
      <c r="S9" s="244">
        <f t="shared" si="3"/>
        <v>68.293043376494495</v>
      </c>
      <c r="T9" s="244">
        <f t="shared" si="3"/>
        <v>66.609230272467215</v>
      </c>
      <c r="U9" s="244">
        <f t="shared" si="3"/>
        <v>67.178234163509899</v>
      </c>
      <c r="V9" s="244">
        <f t="shared" si="3"/>
        <v>67.952893331907575</v>
      </c>
      <c r="W9" s="244">
        <f t="shared" si="3"/>
        <v>73.326096352825815</v>
      </c>
      <c r="DA9" s="270"/>
    </row>
    <row r="10" spans="1:105" x14ac:dyDescent="0.25">
      <c r="A10" s="254" t="s">
        <v>173</v>
      </c>
      <c r="B10" s="255">
        <v>37.127679950649721</v>
      </c>
      <c r="C10" s="255">
        <v>37.306770897340023</v>
      </c>
      <c r="D10" s="255">
        <v>36.338966430611947</v>
      </c>
      <c r="E10" s="255">
        <v>36.490267606682877</v>
      </c>
      <c r="F10" s="255">
        <v>36.795232073847409</v>
      </c>
      <c r="G10" s="255">
        <v>34.43020703297983</v>
      </c>
      <c r="H10" s="255">
        <v>33.664565119055602</v>
      </c>
      <c r="I10" s="255">
        <v>32.346681439525192</v>
      </c>
      <c r="J10" s="255">
        <v>31.51030647097641</v>
      </c>
      <c r="K10" s="255">
        <v>29.942858720285091</v>
      </c>
      <c r="L10" s="255">
        <v>29.85590672013133</v>
      </c>
      <c r="M10" s="255">
        <v>29.61785134574038</v>
      </c>
      <c r="N10" s="255">
        <v>30.08904371127748</v>
      </c>
      <c r="O10" s="255">
        <v>30.759944989656201</v>
      </c>
      <c r="P10" s="255">
        <v>30.65809043258691</v>
      </c>
      <c r="Q10" s="255">
        <v>29.92912370210442</v>
      </c>
      <c r="R10" s="255">
        <v>29.114246147517079</v>
      </c>
      <c r="S10" s="255">
        <v>28.241770049247801</v>
      </c>
      <c r="T10" s="255">
        <v>27.932092303036271</v>
      </c>
      <c r="U10" s="255">
        <v>26.268827945044531</v>
      </c>
      <c r="V10" s="255">
        <v>24.586003342303741</v>
      </c>
      <c r="W10" s="255">
        <v>24.955966858860041</v>
      </c>
      <c r="DA10" s="271" t="s">
        <v>1017</v>
      </c>
    </row>
    <row r="11" spans="1:105" x14ac:dyDescent="0.25">
      <c r="A11" s="254" t="s">
        <v>176</v>
      </c>
      <c r="B11" s="256">
        <v>4.6847727922920894</v>
      </c>
      <c r="C11" s="256">
        <v>5.3953592973019804</v>
      </c>
      <c r="D11" s="256">
        <v>4.8191006099071991</v>
      </c>
      <c r="E11" s="256">
        <v>5.235936273870899</v>
      </c>
      <c r="F11" s="256">
        <v>5.1746074248816321</v>
      </c>
      <c r="G11" s="256">
        <v>6.3370316991857694</v>
      </c>
      <c r="H11" s="256">
        <v>5.8576776089020921</v>
      </c>
      <c r="I11" s="256">
        <v>5.6887638767818611</v>
      </c>
      <c r="J11" s="256">
        <v>5.7896636531771906</v>
      </c>
      <c r="K11" s="256">
        <v>5.5117293095275546</v>
      </c>
      <c r="L11" s="256">
        <v>6.4254320761029922</v>
      </c>
      <c r="M11" s="256">
        <v>5.3896705588157863</v>
      </c>
      <c r="N11" s="256">
        <v>3.5591755796092261</v>
      </c>
      <c r="O11" s="256">
        <v>4.0754318130034406</v>
      </c>
      <c r="P11" s="256">
        <v>4.4325664973173708</v>
      </c>
      <c r="Q11" s="256">
        <v>4.8756314609184983</v>
      </c>
      <c r="R11" s="256">
        <v>5.8592703782044193</v>
      </c>
      <c r="S11" s="256">
        <v>7.9649163618474041</v>
      </c>
      <c r="T11" s="256">
        <v>6.8083244329611547</v>
      </c>
      <c r="U11" s="256">
        <v>7.8819189461951469</v>
      </c>
      <c r="V11" s="256">
        <v>6.469986316526013</v>
      </c>
      <c r="W11" s="256">
        <v>7.2197361384890666</v>
      </c>
      <c r="DA11" s="272" t="s">
        <v>1018</v>
      </c>
    </row>
    <row r="12" spans="1:105" x14ac:dyDescent="0.25">
      <c r="A12" s="254" t="s">
        <v>158</v>
      </c>
      <c r="B12" s="256">
        <v>0.30895865481321949</v>
      </c>
      <c r="C12" s="256">
        <v>0.32832699151772088</v>
      </c>
      <c r="D12" s="256">
        <v>0.32372231302940457</v>
      </c>
      <c r="E12" s="256">
        <v>0.36278750444935098</v>
      </c>
      <c r="F12" s="256">
        <v>0.38786134732776179</v>
      </c>
      <c r="G12" s="256">
        <v>0.41454159158645171</v>
      </c>
      <c r="H12" s="256">
        <v>0.47641434876521149</v>
      </c>
      <c r="I12" s="256">
        <v>0.50297084716370266</v>
      </c>
      <c r="J12" s="256">
        <v>0.51175280843002591</v>
      </c>
      <c r="K12" s="256">
        <v>0.67563690503804619</v>
      </c>
      <c r="L12" s="256">
        <v>0.77701739458053498</v>
      </c>
      <c r="M12" s="256">
        <v>0.75044121521717433</v>
      </c>
      <c r="N12" s="256">
        <v>0.47619065791918908</v>
      </c>
      <c r="O12" s="256">
        <v>0.51278687856935978</v>
      </c>
      <c r="P12" s="256">
        <v>0.49228998415643271</v>
      </c>
      <c r="Q12" s="256">
        <v>0.5595098602518277</v>
      </c>
      <c r="R12" s="256">
        <v>0.55443288128064538</v>
      </c>
      <c r="S12" s="256">
        <v>0.57593265268583893</v>
      </c>
      <c r="T12" s="256">
        <v>0.47490372590641422</v>
      </c>
      <c r="U12" s="256">
        <v>0.46401207111003062</v>
      </c>
      <c r="V12" s="256">
        <v>0.58526196752801563</v>
      </c>
      <c r="W12" s="256">
        <v>0.56832393826515903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3.717285421999458</v>
      </c>
      <c r="C14" s="255">
        <v>3.8666411732621531</v>
      </c>
      <c r="D14" s="255">
        <v>4.0159969245263509</v>
      </c>
      <c r="E14" s="255">
        <v>4.2981000675060832</v>
      </c>
      <c r="F14" s="255">
        <v>4.5138892569295352</v>
      </c>
      <c r="G14" s="255">
        <v>4.7003449768051286</v>
      </c>
      <c r="H14" s="255">
        <v>4.2931414565643431</v>
      </c>
      <c r="I14" s="255">
        <v>4.7564429969808284</v>
      </c>
      <c r="J14" s="255">
        <v>4.9436753667626014</v>
      </c>
      <c r="K14" s="255">
        <v>5.2276305210588214</v>
      </c>
      <c r="L14" s="255">
        <v>5.8620937524212557</v>
      </c>
      <c r="M14" s="255">
        <v>5.7456560087364252</v>
      </c>
      <c r="N14" s="255">
        <v>6.4730185173865946</v>
      </c>
      <c r="O14" s="255">
        <v>7.3734544705872489</v>
      </c>
      <c r="P14" s="255">
        <v>6.7246530871151258</v>
      </c>
      <c r="Q14" s="255">
        <v>7.3840288577866504</v>
      </c>
      <c r="R14" s="255">
        <v>7.6520328178527821</v>
      </c>
      <c r="S14" s="255">
        <v>8.1048794556762882</v>
      </c>
      <c r="T14" s="255">
        <v>7.6251487826151072</v>
      </c>
      <c r="U14" s="255">
        <v>7.5361327548696293</v>
      </c>
      <c r="V14" s="255">
        <v>8.2047685821192005</v>
      </c>
      <c r="W14" s="255">
        <v>8.8573934728305037</v>
      </c>
      <c r="DA14" s="271" t="s">
        <v>1021</v>
      </c>
    </row>
    <row r="15" spans="1:105" x14ac:dyDescent="0.25">
      <c r="A15" s="254" t="s">
        <v>24</v>
      </c>
      <c r="B15" s="256">
        <v>12.401646260313569</v>
      </c>
      <c r="C15" s="256">
        <v>12.250673313143521</v>
      </c>
      <c r="D15" s="256">
        <v>13.441982507902051</v>
      </c>
      <c r="E15" s="256">
        <v>13.34953656782562</v>
      </c>
      <c r="F15" s="256">
        <v>13.21480186757133</v>
      </c>
      <c r="G15" s="256">
        <v>14.80465213376694</v>
      </c>
      <c r="H15" s="256">
        <v>16.66829737748812</v>
      </c>
      <c r="I15" s="256">
        <v>18.428410025250152</v>
      </c>
      <c r="J15" s="256">
        <v>20.22105637501798</v>
      </c>
      <c r="K15" s="256">
        <v>22.2548957438187</v>
      </c>
      <c r="L15" s="256">
        <v>22.827810475004949</v>
      </c>
      <c r="M15" s="256">
        <v>22.40746787673417</v>
      </c>
      <c r="N15" s="256">
        <v>23.419949500111219</v>
      </c>
      <c r="O15" s="256">
        <v>23.18797153720968</v>
      </c>
      <c r="P15" s="256">
        <v>21.22235993596993</v>
      </c>
      <c r="Q15" s="256">
        <v>22.165688651013731</v>
      </c>
      <c r="R15" s="256">
        <v>23.653229416874112</v>
      </c>
      <c r="S15" s="256">
        <v>23.405544857037171</v>
      </c>
      <c r="T15" s="256">
        <v>23.768761027948269</v>
      </c>
      <c r="U15" s="256">
        <v>25.027342446290561</v>
      </c>
      <c r="V15" s="256">
        <v>28.106873123430599</v>
      </c>
      <c r="W15" s="256">
        <v>31.724675944381051</v>
      </c>
      <c r="DA15" s="272" t="s">
        <v>1022</v>
      </c>
    </row>
    <row r="16" spans="1:105" x14ac:dyDescent="0.25">
      <c r="A16" s="257" t="s">
        <v>175</v>
      </c>
      <c r="B16" s="258">
        <v>38.77727669816035</v>
      </c>
      <c r="C16" s="258">
        <v>39.29911696449458</v>
      </c>
      <c r="D16" s="258">
        <v>38.732124907178338</v>
      </c>
      <c r="E16" s="258">
        <v>39.174133507207323</v>
      </c>
      <c r="F16" s="258">
        <v>39.44698790349252</v>
      </c>
      <c r="G16" s="258">
        <v>38.702700461206788</v>
      </c>
      <c r="H16" s="258">
        <v>38.405311070044498</v>
      </c>
      <c r="I16" s="258">
        <v>38.026347761628713</v>
      </c>
      <c r="J16" s="258">
        <v>38.10006915955239</v>
      </c>
      <c r="K16" s="258">
        <v>37.504470974743171</v>
      </c>
      <c r="L16" s="258">
        <v>38.357965250576093</v>
      </c>
      <c r="M16" s="258">
        <v>37.466996424743733</v>
      </c>
      <c r="N16" s="258">
        <v>37.560390085381748</v>
      </c>
      <c r="O16" s="258">
        <v>38.68078036872992</v>
      </c>
      <c r="P16" s="258">
        <v>37.802898239323092</v>
      </c>
      <c r="Q16" s="258">
        <v>37.9890050043252</v>
      </c>
      <c r="R16" s="258">
        <v>38.355672674542291</v>
      </c>
      <c r="S16" s="258">
        <v>38.628560043819739</v>
      </c>
      <c r="T16" s="258">
        <v>37.710508044294393</v>
      </c>
      <c r="U16" s="258">
        <v>37.096537664230617</v>
      </c>
      <c r="V16" s="258">
        <v>36.248032409287731</v>
      </c>
      <c r="W16" s="258">
        <v>38.296236514373597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62.603908532371534</v>
      </c>
      <c r="C17" s="258">
        <f t="shared" ref="C17:W17" si="5">SUM(C18:C24)</f>
        <v>65.431168870394387</v>
      </c>
      <c r="D17" s="258">
        <f t="shared" si="5"/>
        <v>61.782129805543981</v>
      </c>
      <c r="E17" s="258">
        <f t="shared" si="5"/>
        <v>64.405189206989633</v>
      </c>
      <c r="F17" s="258">
        <f t="shared" si="5"/>
        <v>65.617346310022427</v>
      </c>
      <c r="G17" s="258">
        <f t="shared" si="5"/>
        <v>60.339520826259957</v>
      </c>
      <c r="H17" s="258">
        <f t="shared" si="5"/>
        <v>59.199349412605343</v>
      </c>
      <c r="I17" s="258">
        <f t="shared" si="5"/>
        <v>56.862144002486353</v>
      </c>
      <c r="J17" s="258">
        <f t="shared" si="5"/>
        <v>57.533843032835023</v>
      </c>
      <c r="K17" s="258">
        <f t="shared" si="5"/>
        <v>55.480369501004624</v>
      </c>
      <c r="L17" s="258">
        <f t="shared" si="5"/>
        <v>58.519181637154908</v>
      </c>
      <c r="M17" s="258">
        <f t="shared" si="5"/>
        <v>56.172090647181371</v>
      </c>
      <c r="N17" s="258">
        <f t="shared" si="5"/>
        <v>57.461052434417233</v>
      </c>
      <c r="O17" s="258">
        <f t="shared" si="5"/>
        <v>61.21239452525797</v>
      </c>
      <c r="P17" s="258">
        <f t="shared" si="5"/>
        <v>58.595546812147028</v>
      </c>
      <c r="Q17" s="258">
        <f t="shared" si="5"/>
        <v>59.267756364549456</v>
      </c>
      <c r="R17" s="258">
        <f t="shared" si="5"/>
        <v>60.858999735018784</v>
      </c>
      <c r="S17" s="258">
        <f t="shared" si="5"/>
        <v>61.593834050694717</v>
      </c>
      <c r="T17" s="258">
        <f t="shared" si="5"/>
        <v>57.695440860488809</v>
      </c>
      <c r="U17" s="258">
        <f t="shared" si="5"/>
        <v>55.947128190283394</v>
      </c>
      <c r="V17" s="258">
        <f t="shared" si="5"/>
        <v>55.02226697452177</v>
      </c>
      <c r="W17" s="258">
        <f t="shared" si="5"/>
        <v>61.170852124540993</v>
      </c>
      <c r="DA17" s="273"/>
    </row>
    <row r="18" spans="1:105" x14ac:dyDescent="0.25">
      <c r="A18" s="61" t="s">
        <v>29</v>
      </c>
      <c r="B18" s="55">
        <v>1.025547130523345</v>
      </c>
      <c r="C18" s="55">
        <v>1.026381500059163</v>
      </c>
      <c r="D18" s="55">
        <v>0.74203264091730903</v>
      </c>
      <c r="E18" s="55">
        <v>0.57081573325875967</v>
      </c>
      <c r="F18" s="55">
        <v>0.57055900417055172</v>
      </c>
      <c r="G18" s="55">
        <v>0.74312373954239852</v>
      </c>
      <c r="H18" s="55">
        <v>0.63151076849937371</v>
      </c>
      <c r="I18" s="55">
        <v>0.7707649046921855</v>
      </c>
      <c r="J18" s="55">
        <v>0.80565866658072571</v>
      </c>
      <c r="K18" s="55">
        <v>0.32125366555277263</v>
      </c>
      <c r="L18" s="55">
        <v>0.3334269031457559</v>
      </c>
      <c r="M18" s="55">
        <v>0.21896851804284639</v>
      </c>
      <c r="N18" s="55">
        <v>0.23163381972130001</v>
      </c>
      <c r="O18" s="55">
        <v>0.17846950439802911</v>
      </c>
      <c r="P18" s="55">
        <v>0.1464425506595749</v>
      </c>
      <c r="Q18" s="55">
        <v>0.11910090277894</v>
      </c>
      <c r="R18" s="55">
        <v>0.1142872323774007</v>
      </c>
      <c r="S18" s="55">
        <v>0.1639429168304587</v>
      </c>
      <c r="T18" s="55">
        <v>0.14535145203544819</v>
      </c>
      <c r="U18" s="55">
        <v>0.1051305615692289</v>
      </c>
      <c r="V18" s="55">
        <v>0.1040180688542337</v>
      </c>
      <c r="W18" s="55">
        <v>8.4164352709333645E-2</v>
      </c>
      <c r="DA18" s="101" t="s">
        <v>1024</v>
      </c>
    </row>
    <row r="19" spans="1:105" x14ac:dyDescent="0.25">
      <c r="A19" s="61" t="s">
        <v>27</v>
      </c>
      <c r="B19" s="55">
        <v>1.586432967193014</v>
      </c>
      <c r="C19" s="55">
        <v>1.2691414075375551</v>
      </c>
      <c r="D19" s="55">
        <v>0.95184984788160554</v>
      </c>
      <c r="E19" s="55">
        <v>0.95184984788314886</v>
      </c>
      <c r="F19" s="55">
        <v>0.95184984788293847</v>
      </c>
      <c r="G19" s="55">
        <v>1.4001750247150431</v>
      </c>
      <c r="H19" s="55">
        <v>1.368142929555862</v>
      </c>
      <c r="I19" s="55">
        <v>1.4268436062662799</v>
      </c>
      <c r="J19" s="55">
        <v>1.472532796262207</v>
      </c>
      <c r="K19" s="55">
        <v>1.013728903029492</v>
      </c>
      <c r="L19" s="55">
        <v>1.0717839716211439</v>
      </c>
      <c r="M19" s="55">
        <v>0.76973869601957889</v>
      </c>
      <c r="N19" s="55">
        <v>0.80132383171143484</v>
      </c>
      <c r="O19" s="55">
        <v>0.90586268490907695</v>
      </c>
      <c r="P19" s="55">
        <v>0.77395997987656717</v>
      </c>
      <c r="Q19" s="55">
        <v>0.78225356110402</v>
      </c>
      <c r="R19" s="55">
        <v>0.78255153408212008</v>
      </c>
      <c r="S19" s="55">
        <v>0.94638700994706282</v>
      </c>
      <c r="T19" s="55">
        <v>0.87035423833598169</v>
      </c>
      <c r="U19" s="55">
        <v>0.89039292112106405</v>
      </c>
      <c r="V19" s="55">
        <v>0.90789883359241164</v>
      </c>
      <c r="W19" s="55">
        <v>0.95592214525138208</v>
      </c>
      <c r="DA19" s="101" t="s">
        <v>1025</v>
      </c>
    </row>
    <row r="20" spans="1:105" x14ac:dyDescent="0.25">
      <c r="A20" s="61" t="s">
        <v>173</v>
      </c>
      <c r="B20" s="55">
        <v>14.38840981240171</v>
      </c>
      <c r="C20" s="55">
        <v>13.560823682503059</v>
      </c>
      <c r="D20" s="55">
        <v>14.571904347656499</v>
      </c>
      <c r="E20" s="55">
        <v>13.803945946324481</v>
      </c>
      <c r="F20" s="55">
        <v>13.532745757613171</v>
      </c>
      <c r="G20" s="55">
        <v>15.02664499122578</v>
      </c>
      <c r="H20" s="55">
        <v>15.251125583464701</v>
      </c>
      <c r="I20" s="55">
        <v>16.077681718236409</v>
      </c>
      <c r="J20" s="55">
        <v>15.699736022484711</v>
      </c>
      <c r="K20" s="55">
        <v>15.996695229143601</v>
      </c>
      <c r="L20" s="55">
        <v>15.132493798653</v>
      </c>
      <c r="M20" s="55">
        <v>15.390101106904581</v>
      </c>
      <c r="N20" s="55">
        <v>14.81389119748375</v>
      </c>
      <c r="O20" s="55">
        <v>14.13646112391938</v>
      </c>
      <c r="P20" s="55">
        <v>14.50132468541524</v>
      </c>
      <c r="Q20" s="55">
        <v>14.28390855831376</v>
      </c>
      <c r="R20" s="55">
        <v>13.826298204330641</v>
      </c>
      <c r="S20" s="55">
        <v>13.619675735577029</v>
      </c>
      <c r="T20" s="55">
        <v>14.632164348128761</v>
      </c>
      <c r="U20" s="55">
        <v>14.81030518236531</v>
      </c>
      <c r="V20" s="55">
        <v>14.198255284076611</v>
      </c>
      <c r="W20" s="55">
        <v>13.284900276389349</v>
      </c>
      <c r="DA20" s="101" t="s">
        <v>1026</v>
      </c>
    </row>
    <row r="21" spans="1:105" x14ac:dyDescent="0.25">
      <c r="A21" s="61" t="s">
        <v>129</v>
      </c>
      <c r="B21" s="55">
        <v>15.300286614526071</v>
      </c>
      <c r="C21" s="55">
        <v>15.420280792665871</v>
      </c>
      <c r="D21" s="55">
        <v>12.74721852358096</v>
      </c>
      <c r="E21" s="55">
        <v>14.515843759343589</v>
      </c>
      <c r="F21" s="55">
        <v>13.97893453331706</v>
      </c>
      <c r="G21" s="55">
        <v>7.3200431511307196</v>
      </c>
      <c r="H21" s="55">
        <v>6.6169166530784116</v>
      </c>
      <c r="I21" s="55">
        <v>4.6203622214831714</v>
      </c>
      <c r="J21" s="55">
        <v>4.7171452816375359</v>
      </c>
      <c r="K21" s="55">
        <v>2.6314858241618899</v>
      </c>
      <c r="L21" s="55">
        <v>1.9719714458027009</v>
      </c>
      <c r="M21" s="55">
        <v>1.606833343687641</v>
      </c>
      <c r="N21" s="55">
        <v>1.588556524370349</v>
      </c>
      <c r="O21" s="55">
        <v>2.1803183352426219</v>
      </c>
      <c r="P21" s="55">
        <v>2.4631001159334969</v>
      </c>
      <c r="Q21" s="55">
        <v>2.1218811926080998</v>
      </c>
      <c r="R21" s="55">
        <v>2.7435806990386662</v>
      </c>
      <c r="S21" s="55">
        <v>0.60269249941883618</v>
      </c>
      <c r="T21" s="55">
        <v>0</v>
      </c>
      <c r="U21" s="55">
        <v>0</v>
      </c>
      <c r="V21" s="55">
        <v>0</v>
      </c>
      <c r="W21" s="55">
        <v>0</v>
      </c>
      <c r="DA21" s="101" t="s">
        <v>1027</v>
      </c>
    </row>
    <row r="22" spans="1:105" x14ac:dyDescent="0.25">
      <c r="A22" s="61" t="s">
        <v>176</v>
      </c>
      <c r="B22" s="55">
        <v>1.7720573088417331</v>
      </c>
      <c r="C22" s="55">
        <v>1.9142251743065919</v>
      </c>
      <c r="D22" s="55">
        <v>1.8861836558828069</v>
      </c>
      <c r="E22" s="55">
        <v>1.9332801719146491</v>
      </c>
      <c r="F22" s="55">
        <v>1.85757358435646</v>
      </c>
      <c r="G22" s="55">
        <v>2.699494919931968</v>
      </c>
      <c r="H22" s="55">
        <v>2.590171957406509</v>
      </c>
      <c r="I22" s="55">
        <v>2.759852337302561</v>
      </c>
      <c r="J22" s="55">
        <v>2.8155762965418099</v>
      </c>
      <c r="K22" s="55">
        <v>2.8740818552847949</v>
      </c>
      <c r="L22" s="55">
        <v>3.1787532655769182</v>
      </c>
      <c r="M22" s="55">
        <v>2.7335334131882201</v>
      </c>
      <c r="N22" s="55">
        <v>1.710347752353953</v>
      </c>
      <c r="O22" s="55">
        <v>1.8281129407858221</v>
      </c>
      <c r="P22" s="55">
        <v>2.046407308395171</v>
      </c>
      <c r="Q22" s="55">
        <v>2.271214612648504</v>
      </c>
      <c r="R22" s="55">
        <v>2.715927372285194</v>
      </c>
      <c r="S22" s="55">
        <v>3.7491284300641641</v>
      </c>
      <c r="T22" s="55">
        <v>3.481124755227357</v>
      </c>
      <c r="U22" s="55">
        <v>4.3374004396255783</v>
      </c>
      <c r="V22" s="55">
        <v>3.646906670918292</v>
      </c>
      <c r="W22" s="55">
        <v>3.751279873907869</v>
      </c>
      <c r="DA22" s="101" t="s">
        <v>1028</v>
      </c>
    </row>
    <row r="23" spans="1:105" x14ac:dyDescent="0.25">
      <c r="A23" s="61" t="s">
        <v>171</v>
      </c>
      <c r="B23" s="55">
        <v>28.467048049709518</v>
      </c>
      <c r="C23" s="55">
        <v>32.176397575457173</v>
      </c>
      <c r="D23" s="55">
        <v>30.813416018107141</v>
      </c>
      <c r="E23" s="55">
        <v>32.555951315029652</v>
      </c>
      <c r="F23" s="55">
        <v>34.649283457097653</v>
      </c>
      <c r="G23" s="55">
        <v>33.053141248764639</v>
      </c>
      <c r="H23" s="55">
        <v>32.625887088346879</v>
      </c>
      <c r="I23" s="55">
        <v>31.072745650031109</v>
      </c>
      <c r="J23" s="55">
        <v>31.88663408125819</v>
      </c>
      <c r="K23" s="55">
        <v>32.449805456592649</v>
      </c>
      <c r="L23" s="55">
        <v>36.619824281351171</v>
      </c>
      <c r="M23" s="55">
        <v>35.24406878321561</v>
      </c>
      <c r="N23" s="55">
        <v>38.189735398821398</v>
      </c>
      <c r="O23" s="55">
        <v>41.856953693515663</v>
      </c>
      <c r="P23" s="55">
        <v>38.539600595152443</v>
      </c>
      <c r="Q23" s="55">
        <v>39.546381743956609</v>
      </c>
      <c r="R23" s="55">
        <v>40.535337344848408</v>
      </c>
      <c r="S23" s="55">
        <v>42.363253082572271</v>
      </c>
      <c r="T23" s="55">
        <v>38.433206297081213</v>
      </c>
      <c r="U23" s="55">
        <v>35.663786939611001</v>
      </c>
      <c r="V23" s="55">
        <v>35.984170625850581</v>
      </c>
      <c r="W23" s="55">
        <v>42.93255263698989</v>
      </c>
      <c r="DA23" s="101" t="s">
        <v>1029</v>
      </c>
    </row>
    <row r="24" spans="1:105" x14ac:dyDescent="0.25">
      <c r="A24" s="61" t="s">
        <v>158</v>
      </c>
      <c r="B24" s="55">
        <v>6.412664917614698E-2</v>
      </c>
      <c r="C24" s="55">
        <v>6.3918737864962688E-2</v>
      </c>
      <c r="D24" s="55">
        <v>6.9524771517656833E-2</v>
      </c>
      <c r="E24" s="55">
        <v>7.3502433235350342E-2</v>
      </c>
      <c r="F24" s="55">
        <v>7.6400125584603407E-2</v>
      </c>
      <c r="G24" s="55">
        <v>9.6897750949408015E-2</v>
      </c>
      <c r="H24" s="55">
        <v>0.1155944322536105</v>
      </c>
      <c r="I24" s="55">
        <v>0.13389356447463649</v>
      </c>
      <c r="J24" s="55">
        <v>0.13655988806984101</v>
      </c>
      <c r="K24" s="55">
        <v>0.19331856723942231</v>
      </c>
      <c r="L24" s="55">
        <v>0.2109279710042144</v>
      </c>
      <c r="M24" s="55">
        <v>0.20884678612289651</v>
      </c>
      <c r="N24" s="55">
        <v>0.12556390995505029</v>
      </c>
      <c r="O24" s="55">
        <v>0.12621624248738281</v>
      </c>
      <c r="P24" s="55">
        <v>0.1247115767145392</v>
      </c>
      <c r="Q24" s="55">
        <v>0.14301579313952409</v>
      </c>
      <c r="R24" s="55">
        <v>0.1410173480563541</v>
      </c>
      <c r="S24" s="55">
        <v>0.14875437628489019</v>
      </c>
      <c r="T24" s="55">
        <v>0.1332397696800551</v>
      </c>
      <c r="U24" s="55">
        <v>0.14011214599121141</v>
      </c>
      <c r="V24" s="55">
        <v>0.1810174912296425</v>
      </c>
      <c r="W24" s="55">
        <v>0.16203283929316539</v>
      </c>
      <c r="DA24" s="101" t="s">
        <v>1030</v>
      </c>
    </row>
    <row r="25" spans="1:105" x14ac:dyDescent="0.25">
      <c r="A25" s="257" t="s">
        <v>174</v>
      </c>
      <c r="B25" s="258">
        <v>5.215963813703886</v>
      </c>
      <c r="C25" s="258">
        <v>5.2861569829385404</v>
      </c>
      <c r="D25" s="258">
        <v>5.2098904086600157</v>
      </c>
      <c r="E25" s="258">
        <v>5.2693453539116613</v>
      </c>
      <c r="F25" s="258">
        <v>5.3060472262094942</v>
      </c>
      <c r="G25" s="258">
        <v>5.2059325019039404</v>
      </c>
      <c r="H25" s="258">
        <v>5.1659304069926284</v>
      </c>
      <c r="I25" s="258">
        <v>5.1149557364709111</v>
      </c>
      <c r="J25" s="258">
        <v>5.1248720631603426</v>
      </c>
      <c r="K25" s="258">
        <v>5.0447576548264559</v>
      </c>
      <c r="L25" s="258">
        <v>5.1595618813480968</v>
      </c>
      <c r="M25" s="258">
        <v>5.0397169218669609</v>
      </c>
      <c r="N25" s="258">
        <v>5.0522793810130482</v>
      </c>
      <c r="O25" s="258">
        <v>5.20298401199212</v>
      </c>
      <c r="P25" s="258">
        <v>5.0848993549563497</v>
      </c>
      <c r="Q25" s="258">
        <v>5.1099327310568086</v>
      </c>
      <c r="R25" s="258">
        <v>5.1592535050346813</v>
      </c>
      <c r="S25" s="258">
        <v>5.195959812557188</v>
      </c>
      <c r="T25" s="258">
        <v>5.0724718728058686</v>
      </c>
      <c r="U25" s="258">
        <v>4.9898862051730877</v>
      </c>
      <c r="V25" s="258">
        <v>4.875753056010252</v>
      </c>
      <c r="W25" s="258">
        <v>5.1512586975839527</v>
      </c>
      <c r="DA25" s="273" t="s">
        <v>1031</v>
      </c>
    </row>
    <row r="26" spans="1:105" x14ac:dyDescent="0.25">
      <c r="A26" s="257" t="s">
        <v>177</v>
      </c>
      <c r="B26" s="258">
        <v>5.4901375270550989</v>
      </c>
      <c r="C26" s="258">
        <v>5.5070372428636452</v>
      </c>
      <c r="D26" s="258">
        <v>5.649467008228382</v>
      </c>
      <c r="E26" s="258">
        <v>5.6679265623703419</v>
      </c>
      <c r="F26" s="258">
        <v>5.6667860386669338</v>
      </c>
      <c r="G26" s="258">
        <v>5.9020897552135816</v>
      </c>
      <c r="H26" s="258">
        <v>6.1027382470857434</v>
      </c>
      <c r="I26" s="258">
        <v>6.3149922659912656</v>
      </c>
      <c r="J26" s="258">
        <v>6.5235963932075682</v>
      </c>
      <c r="K26" s="258">
        <v>6.7052016868402102</v>
      </c>
      <c r="L26" s="258">
        <v>6.8674560575328236</v>
      </c>
      <c r="M26" s="258">
        <v>6.7096665082903959</v>
      </c>
      <c r="N26" s="258">
        <v>6.7516615571369112</v>
      </c>
      <c r="O26" s="258">
        <v>6.8526825024676983</v>
      </c>
      <c r="P26" s="258">
        <v>6.5690895232044797</v>
      </c>
      <c r="Q26" s="258">
        <v>6.7150819665099153</v>
      </c>
      <c r="R26" s="258">
        <v>6.931996692791218</v>
      </c>
      <c r="S26" s="258">
        <v>7.0130294843138294</v>
      </c>
      <c r="T26" s="258">
        <v>6.9460666706340506</v>
      </c>
      <c r="U26" s="258">
        <v>7.0676392447578733</v>
      </c>
      <c r="V26" s="258">
        <v>7.2427316742751229</v>
      </c>
      <c r="W26" s="258">
        <v>7.7985157831592327</v>
      </c>
      <c r="DA26" s="273" t="s">
        <v>1032</v>
      </c>
    </row>
    <row r="27" spans="1:105" x14ac:dyDescent="0.25">
      <c r="A27" s="129" t="s">
        <v>33</v>
      </c>
      <c r="B27" s="259">
        <v>8.3673250697139565</v>
      </c>
      <c r="C27" s="259">
        <v>8.3930813308383936</v>
      </c>
      <c r="D27" s="259">
        <v>8.610153515376016</v>
      </c>
      <c r="E27" s="259">
        <v>8.6382870711178548</v>
      </c>
      <c r="F27" s="259">
        <v>8.6365488391466005</v>
      </c>
      <c r="G27" s="259">
        <v>8.9951669387397608</v>
      </c>
      <c r="H27" s="259">
        <v>9.3009682320532274</v>
      </c>
      <c r="I27" s="259">
        <v>9.6244571000066657</v>
      </c>
      <c r="J27" s="259">
        <v>9.9423832967005037</v>
      </c>
      <c r="K27" s="259">
        <v>10.219161522877339</v>
      </c>
      <c r="L27" s="259">
        <v>10.46644768954924</v>
      </c>
      <c r="M27" s="259">
        <v>10.225966199858171</v>
      </c>
      <c r="N27" s="259">
        <v>10.289969373419069</v>
      </c>
      <c r="O27" s="259">
        <v>10.44393183506361</v>
      </c>
      <c r="P27" s="259">
        <v>10.01171777243032</v>
      </c>
      <c r="Q27" s="259">
        <v>10.234219708827821</v>
      </c>
      <c r="R27" s="259">
        <v>10.56481179659602</v>
      </c>
      <c r="S27" s="259">
        <v>10.68831101763279</v>
      </c>
      <c r="T27" s="259">
        <v>10.58625535383926</v>
      </c>
      <c r="U27" s="259">
        <v>10.771539828452701</v>
      </c>
      <c r="V27" s="259">
        <v>11.038392028019119</v>
      </c>
      <c r="W27" s="259">
        <v>11.88544299617749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1.0000000000000002</v>
      </c>
      <c r="D31" s="236">
        <f t="shared" si="6"/>
        <v>0.99999999999999989</v>
      </c>
      <c r="E31" s="236">
        <f t="shared" si="6"/>
        <v>1</v>
      </c>
      <c r="F31" s="236">
        <f t="shared" si="6"/>
        <v>0.99999999999999978</v>
      </c>
      <c r="G31" s="236">
        <f t="shared" si="6"/>
        <v>1</v>
      </c>
      <c r="H31" s="236">
        <f t="shared" si="6"/>
        <v>1</v>
      </c>
      <c r="I31" s="236">
        <f t="shared" si="6"/>
        <v>1</v>
      </c>
      <c r="J31" s="236">
        <f t="shared" si="6"/>
        <v>1</v>
      </c>
      <c r="K31" s="236">
        <f t="shared" si="6"/>
        <v>0.99999999999999989</v>
      </c>
      <c r="L31" s="236">
        <f t="shared" si="6"/>
        <v>1.0000000000000002</v>
      </c>
      <c r="M31" s="236">
        <f t="shared" si="6"/>
        <v>1.0000000000000002</v>
      </c>
      <c r="N31" s="236">
        <f t="shared" si="6"/>
        <v>1</v>
      </c>
      <c r="O31" s="236">
        <f t="shared" si="6"/>
        <v>1</v>
      </c>
      <c r="P31" s="236">
        <f t="shared" si="6"/>
        <v>0.99999999999999989</v>
      </c>
      <c r="Q31" s="236">
        <f t="shared" si="6"/>
        <v>0.99999999999999978</v>
      </c>
      <c r="R31" s="236">
        <f t="shared" ref="R31:W31" si="7">SUM(R32:R40)</f>
        <v>0.99999999999999978</v>
      </c>
      <c r="S31" s="236">
        <f t="shared" si="7"/>
        <v>1</v>
      </c>
      <c r="T31" s="236">
        <f t="shared" si="7"/>
        <v>1.0000000000000002</v>
      </c>
      <c r="U31" s="236">
        <f t="shared" si="7"/>
        <v>1</v>
      </c>
      <c r="V31" s="236">
        <f t="shared" si="7"/>
        <v>1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2.8408038566474683E-2</v>
      </c>
      <c r="C32" s="245">
        <f t="shared" si="8"/>
        <v>2.7863665886935791E-2</v>
      </c>
      <c r="D32" s="245">
        <f t="shared" si="8"/>
        <v>2.9128054477428555E-2</v>
      </c>
      <c r="E32" s="245">
        <f t="shared" si="8"/>
        <v>2.8634347122293936E-2</v>
      </c>
      <c r="F32" s="245">
        <f t="shared" si="8"/>
        <v>2.8363548710314494E-2</v>
      </c>
      <c r="G32" s="245">
        <f t="shared" si="8"/>
        <v>3.0175385191976482E-2</v>
      </c>
      <c r="H32" s="245">
        <f t="shared" si="8"/>
        <v>3.1217986341261088E-2</v>
      </c>
      <c r="I32" s="245">
        <f t="shared" si="8"/>
        <v>3.2442324512115553E-2</v>
      </c>
      <c r="J32" s="245">
        <f t="shared" si="8"/>
        <v>3.2984609189527038E-2</v>
      </c>
      <c r="K32" s="245">
        <f t="shared" si="8"/>
        <v>3.4090645929506849E-2</v>
      </c>
      <c r="L32" s="245">
        <f t="shared" si="8"/>
        <v>3.3720298996613357E-2</v>
      </c>
      <c r="M32" s="245">
        <f t="shared" si="8"/>
        <v>3.3946992448266843E-2</v>
      </c>
      <c r="N32" s="245">
        <f t="shared" si="8"/>
        <v>3.386534164014561E-2</v>
      </c>
      <c r="O32" s="245">
        <f t="shared" si="8"/>
        <v>3.3141085646952083E-2</v>
      </c>
      <c r="P32" s="245">
        <f t="shared" si="8"/>
        <v>3.2962249465759291E-2</v>
      </c>
      <c r="Q32" s="245">
        <f t="shared" si="8"/>
        <v>3.3188401363147296E-2</v>
      </c>
      <c r="R32" s="245">
        <f t="shared" si="8"/>
        <v>3.3422792918912474E-2</v>
      </c>
      <c r="S32" s="245">
        <f t="shared" si="8"/>
        <v>3.3343545967258692E-2</v>
      </c>
      <c r="T32" s="245">
        <f t="shared" si="8"/>
        <v>3.4150684596731332E-2</v>
      </c>
      <c r="U32" s="245">
        <f t="shared" si="8"/>
        <v>3.4954667364581998E-2</v>
      </c>
      <c r="V32" s="245">
        <f t="shared" si="8"/>
        <v>3.5847763834628718E-2</v>
      </c>
      <c r="W32" s="245">
        <f t="shared" si="8"/>
        <v>3.5644171116397533E-2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1.8310632611644288E-2</v>
      </c>
      <c r="C33" s="246">
        <f t="shared" si="9"/>
        <v>1.7959752767704049E-2</v>
      </c>
      <c r="D33" s="246">
        <f t="shared" si="9"/>
        <v>1.8774724730822614E-2</v>
      </c>
      <c r="E33" s="246">
        <f t="shared" si="9"/>
        <v>1.8456501634342978E-2</v>
      </c>
      <c r="F33" s="246">
        <f t="shared" si="9"/>
        <v>1.8281956312533116E-2</v>
      </c>
      <c r="G33" s="246">
        <f t="shared" si="9"/>
        <v>1.94497902722926E-2</v>
      </c>
      <c r="H33" s="246">
        <f t="shared" si="9"/>
        <v>2.0121807333954803E-2</v>
      </c>
      <c r="I33" s="246">
        <f t="shared" si="9"/>
        <v>2.091096447292692E-2</v>
      </c>
      <c r="J33" s="246">
        <f t="shared" si="9"/>
        <v>2.1260498478091354E-2</v>
      </c>
      <c r="K33" s="246">
        <f t="shared" si="9"/>
        <v>2.1973403466352376E-2</v>
      </c>
      <c r="L33" s="246">
        <f t="shared" si="9"/>
        <v>2.1734693334669278E-2</v>
      </c>
      <c r="M33" s="246">
        <f t="shared" si="9"/>
        <v>2.1880810445112475E-2</v>
      </c>
      <c r="N33" s="246">
        <f t="shared" si="9"/>
        <v>2.1828181751777902E-2</v>
      </c>
      <c r="O33" s="246">
        <f t="shared" si="9"/>
        <v>2.1361356653060996E-2</v>
      </c>
      <c r="P33" s="246">
        <f t="shared" si="9"/>
        <v>2.1246086336040408E-2</v>
      </c>
      <c r="Q33" s="246">
        <f t="shared" si="9"/>
        <v>2.1391854383271413E-2</v>
      </c>
      <c r="R33" s="246">
        <f t="shared" si="9"/>
        <v>2.1542933369412768E-2</v>
      </c>
      <c r="S33" s="246">
        <f t="shared" si="9"/>
        <v>2.149185410134118E-2</v>
      </c>
      <c r="T33" s="246">
        <f t="shared" si="9"/>
        <v>2.2012101878263766E-2</v>
      </c>
      <c r="U33" s="246">
        <f t="shared" si="9"/>
        <v>2.2530315518876749E-2</v>
      </c>
      <c r="V33" s="246">
        <f t="shared" si="9"/>
        <v>2.3105968121977641E-2</v>
      </c>
      <c r="W33" s="246">
        <f t="shared" si="9"/>
        <v>2.2974740777392963E-2</v>
      </c>
      <c r="DA33" s="277"/>
    </row>
    <row r="34" spans="1:105" x14ac:dyDescent="0.25">
      <c r="A34" s="241" t="s">
        <v>123</v>
      </c>
      <c r="B34" s="246">
        <f t="shared" ref="B34:W34" si="10">IF(B$8=0,0,B$8/B$5)</f>
        <v>3.6387479322132245E-2</v>
      </c>
      <c r="C34" s="246">
        <f t="shared" si="10"/>
        <v>3.569019958654248E-2</v>
      </c>
      <c r="D34" s="246">
        <f t="shared" si="10"/>
        <v>3.7309738140182395E-2</v>
      </c>
      <c r="E34" s="246">
        <f t="shared" si="10"/>
        <v>3.6677354945752833E-2</v>
      </c>
      <c r="F34" s="246">
        <f t="shared" si="10"/>
        <v>3.6330492856231564E-2</v>
      </c>
      <c r="G34" s="246">
        <f t="shared" si="10"/>
        <v>3.865125014319766E-2</v>
      </c>
      <c r="H34" s="246">
        <f t="shared" si="10"/>
        <v>3.9986704108878932E-2</v>
      </c>
      <c r="I34" s="246">
        <f t="shared" si="10"/>
        <v>4.1554942611900396E-2</v>
      </c>
      <c r="J34" s="246">
        <f t="shared" si="10"/>
        <v>4.2249547853295218E-2</v>
      </c>
      <c r="K34" s="246">
        <f t="shared" si="10"/>
        <v>4.366625562463107E-2</v>
      </c>
      <c r="L34" s="246">
        <f t="shared" si="10"/>
        <v>4.3191883156741655E-2</v>
      </c>
      <c r="M34" s="246">
        <f t="shared" si="10"/>
        <v>4.3482251788324634E-2</v>
      </c>
      <c r="N34" s="246">
        <f t="shared" si="10"/>
        <v>4.3377666352579239E-2</v>
      </c>
      <c r="O34" s="246">
        <f t="shared" si="10"/>
        <v>4.2449976469499419E-2</v>
      </c>
      <c r="P34" s="246">
        <f t="shared" si="10"/>
        <v>4.2220907580073123E-2</v>
      </c>
      <c r="Q34" s="246">
        <f t="shared" si="10"/>
        <v>4.2510582541989667E-2</v>
      </c>
      <c r="R34" s="246">
        <f t="shared" si="10"/>
        <v>4.2810811572893369E-2</v>
      </c>
      <c r="S34" s="246">
        <f t="shared" si="10"/>
        <v>4.2709305204972299E-2</v>
      </c>
      <c r="T34" s="246">
        <f t="shared" si="10"/>
        <v>4.3743158356125453E-2</v>
      </c>
      <c r="U34" s="246">
        <f t="shared" si="10"/>
        <v>4.4772969206038959E-2</v>
      </c>
      <c r="V34" s="246">
        <f t="shared" si="10"/>
        <v>4.5916924613606087E-2</v>
      </c>
      <c r="W34" s="246">
        <f t="shared" si="10"/>
        <v>4.5656145404670584E-2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0.29883447155082071</v>
      </c>
      <c r="C35" s="247">
        <f t="shared" si="11"/>
        <v>0.29676137280990933</v>
      </c>
      <c r="D35" s="247">
        <f t="shared" si="11"/>
        <v>0.30134304515761084</v>
      </c>
      <c r="E35" s="247">
        <f t="shared" si="11"/>
        <v>0.29926265073238778</v>
      </c>
      <c r="F35" s="247">
        <f t="shared" si="11"/>
        <v>0.29822814106565104</v>
      </c>
      <c r="G35" s="247">
        <f t="shared" si="11"/>
        <v>0.30767331633713751</v>
      </c>
      <c r="H35" s="247">
        <f t="shared" si="11"/>
        <v>0.30922495023172791</v>
      </c>
      <c r="I35" s="247">
        <f t="shared" si="11"/>
        <v>0.31443928858387171</v>
      </c>
      <c r="J35" s="247">
        <f t="shared" si="11"/>
        <v>0.3157557080381182</v>
      </c>
      <c r="K35" s="247">
        <f t="shared" si="11"/>
        <v>0.32071280982199762</v>
      </c>
      <c r="L35" s="247">
        <f t="shared" si="11"/>
        <v>0.32013159447123779</v>
      </c>
      <c r="M35" s="247">
        <f t="shared" si="11"/>
        <v>0.3206456233703906</v>
      </c>
      <c r="N35" s="247">
        <f t="shared" si="11"/>
        <v>0.31841346350198041</v>
      </c>
      <c r="O35" s="247">
        <f t="shared" si="11"/>
        <v>0.31608469815056267</v>
      </c>
      <c r="P35" s="247">
        <f t="shared" si="11"/>
        <v>0.31611054703346642</v>
      </c>
      <c r="Q35" s="247">
        <f t="shared" si="11"/>
        <v>0.31814273708276447</v>
      </c>
      <c r="R35" s="247">
        <f t="shared" si="11"/>
        <v>0.31954017314851407</v>
      </c>
      <c r="S35" s="247">
        <f t="shared" si="11"/>
        <v>0.32198180382937758</v>
      </c>
      <c r="T35" s="247">
        <f t="shared" si="11"/>
        <v>0.32474586139940304</v>
      </c>
      <c r="U35" s="247">
        <f t="shared" si="11"/>
        <v>0.32946412172863981</v>
      </c>
      <c r="V35" s="247">
        <f t="shared" si="11"/>
        <v>0.33351576719850429</v>
      </c>
      <c r="W35" s="247">
        <f t="shared" si="11"/>
        <v>0.33234096229957444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0.19896838475597045</v>
      </c>
      <c r="C36" s="260">
        <f t="shared" si="12"/>
        <v>0.19717496654248473</v>
      </c>
      <c r="D36" s="260">
        <f t="shared" si="12"/>
        <v>0.198026845122796</v>
      </c>
      <c r="E36" s="260">
        <f t="shared" si="12"/>
        <v>0.19625069947906315</v>
      </c>
      <c r="F36" s="260">
        <f t="shared" si="12"/>
        <v>0.19578812252302077</v>
      </c>
      <c r="G36" s="260">
        <f t="shared" si="12"/>
        <v>0.19621717786859075</v>
      </c>
      <c r="H36" s="260">
        <f t="shared" si="12"/>
        <v>0.19481400458507719</v>
      </c>
      <c r="I36" s="260">
        <f t="shared" si="12"/>
        <v>0.1937191256288687</v>
      </c>
      <c r="J36" s="260">
        <f t="shared" si="12"/>
        <v>0.19102876425771406</v>
      </c>
      <c r="K36" s="260">
        <f t="shared" si="12"/>
        <v>0.1890841700814353</v>
      </c>
      <c r="L36" s="260">
        <f t="shared" si="12"/>
        <v>0.18676686650301749</v>
      </c>
      <c r="M36" s="260">
        <f t="shared" si="12"/>
        <v>0.18797409005799615</v>
      </c>
      <c r="N36" s="260">
        <f t="shared" si="12"/>
        <v>0.18682011474863891</v>
      </c>
      <c r="O36" s="260">
        <f t="shared" si="12"/>
        <v>0.18550263845920936</v>
      </c>
      <c r="P36" s="260">
        <f t="shared" si="12"/>
        <v>0.18809857355026946</v>
      </c>
      <c r="Q36" s="260">
        <f t="shared" si="12"/>
        <v>0.18618370895908273</v>
      </c>
      <c r="R36" s="260">
        <f t="shared" si="12"/>
        <v>0.18338454769093443</v>
      </c>
      <c r="S36" s="260">
        <f t="shared" si="12"/>
        <v>0.18212240701695512</v>
      </c>
      <c r="T36" s="260">
        <f t="shared" si="12"/>
        <v>0.18385336939879779</v>
      </c>
      <c r="U36" s="260">
        <f t="shared" si="12"/>
        <v>0.18193360324076399</v>
      </c>
      <c r="V36" s="260">
        <f t="shared" si="12"/>
        <v>0.17790692560169866</v>
      </c>
      <c r="W36" s="260">
        <f t="shared" si="12"/>
        <v>0.17357269415240784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0.32122417097659212</v>
      </c>
      <c r="C37" s="260">
        <f t="shared" si="13"/>
        <v>0.32828698274599016</v>
      </c>
      <c r="D37" s="260">
        <f t="shared" si="13"/>
        <v>0.31587526580787922</v>
      </c>
      <c r="E37" s="260">
        <f t="shared" si="13"/>
        <v>0.32265074681556583</v>
      </c>
      <c r="F37" s="260">
        <f t="shared" si="13"/>
        <v>0.32568005117178317</v>
      </c>
      <c r="G37" s="260">
        <f t="shared" si="13"/>
        <v>0.30591277480337903</v>
      </c>
      <c r="H37" s="260">
        <f t="shared" si="13"/>
        <v>0.30029342313793483</v>
      </c>
      <c r="I37" s="260">
        <f t="shared" si="13"/>
        <v>0.28967506652478681</v>
      </c>
      <c r="J37" s="260">
        <f t="shared" si="13"/>
        <v>0.2884671650209909</v>
      </c>
      <c r="K37" s="260">
        <f t="shared" si="13"/>
        <v>0.27971224097450881</v>
      </c>
      <c r="L37" s="260">
        <f t="shared" si="13"/>
        <v>0.28493284545452252</v>
      </c>
      <c r="M37" s="260">
        <f t="shared" si="13"/>
        <v>0.28181863062516399</v>
      </c>
      <c r="N37" s="260">
        <f t="shared" si="13"/>
        <v>0.2858032194280466</v>
      </c>
      <c r="O37" s="260">
        <f t="shared" si="13"/>
        <v>0.2935582111476997</v>
      </c>
      <c r="P37" s="260">
        <f t="shared" si="13"/>
        <v>0.29155803615866499</v>
      </c>
      <c r="Q37" s="260">
        <f t="shared" si="13"/>
        <v>0.2904706427656833</v>
      </c>
      <c r="R37" s="260">
        <f t="shared" si="13"/>
        <v>0.29097651953674936</v>
      </c>
      <c r="S37" s="260">
        <f t="shared" si="13"/>
        <v>0.29039698352696275</v>
      </c>
      <c r="T37" s="260">
        <f t="shared" si="13"/>
        <v>0.28128767686424361</v>
      </c>
      <c r="U37" s="260">
        <f t="shared" si="13"/>
        <v>0.27438308973092373</v>
      </c>
      <c r="V37" s="260">
        <f t="shared" si="13"/>
        <v>0.27005168850392214</v>
      </c>
      <c r="W37" s="260">
        <f t="shared" si="13"/>
        <v>0.27724890415459119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2.6763403295092383E-2</v>
      </c>
      <c r="C38" s="260">
        <f t="shared" si="14"/>
        <v>2.6522169116189289E-2</v>
      </c>
      <c r="D38" s="260">
        <f t="shared" si="14"/>
        <v>2.6636756014159442E-2</v>
      </c>
      <c r="E38" s="260">
        <f t="shared" si="14"/>
        <v>2.6397845183012341E-2</v>
      </c>
      <c r="F38" s="260">
        <f t="shared" si="14"/>
        <v>2.6335623571047392E-2</v>
      </c>
      <c r="G38" s="260">
        <f t="shared" si="14"/>
        <v>2.6393336163243838E-2</v>
      </c>
      <c r="H38" s="260">
        <f t="shared" si="14"/>
        <v>2.6204594155182444E-2</v>
      </c>
      <c r="I38" s="260">
        <f t="shared" si="14"/>
        <v>2.6057321074083373E-2</v>
      </c>
      <c r="J38" s="260">
        <f t="shared" si="14"/>
        <v>2.569543832334354E-2</v>
      </c>
      <c r="K38" s="260">
        <f t="shared" si="14"/>
        <v>2.5433869339663719E-2</v>
      </c>
      <c r="L38" s="260">
        <f t="shared" si="14"/>
        <v>2.5122166903608766E-2</v>
      </c>
      <c r="M38" s="260">
        <f t="shared" si="14"/>
        <v>2.5284551550339731E-2</v>
      </c>
      <c r="N38" s="260">
        <f t="shared" si="14"/>
        <v>2.5129329369515438E-2</v>
      </c>
      <c r="O38" s="260">
        <f t="shared" si="14"/>
        <v>2.4952114535565974E-2</v>
      </c>
      <c r="P38" s="260">
        <f t="shared" si="14"/>
        <v>2.5301295928655796E-2</v>
      </c>
      <c r="Q38" s="260">
        <f t="shared" si="14"/>
        <v>2.5043725896249522E-2</v>
      </c>
      <c r="R38" s="260">
        <f t="shared" si="14"/>
        <v>2.4667208380668652E-2</v>
      </c>
      <c r="S38" s="260">
        <f t="shared" si="14"/>
        <v>2.4497436786481575E-2</v>
      </c>
      <c r="T38" s="260">
        <f t="shared" si="14"/>
        <v>2.4730269979406715E-2</v>
      </c>
      <c r="U38" s="260">
        <f t="shared" si="14"/>
        <v>2.4472040633157846E-2</v>
      </c>
      <c r="V38" s="260">
        <f t="shared" si="14"/>
        <v>2.3930408867257894E-2</v>
      </c>
      <c r="W38" s="260">
        <f t="shared" si="14"/>
        <v>2.3347407781965309E-2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2.8170204017914296E-2</v>
      </c>
      <c r="C39" s="260">
        <f t="shared" si="15"/>
        <v>2.7630388873390848E-2</v>
      </c>
      <c r="D39" s="260">
        <f t="shared" si="15"/>
        <v>2.8884191893573261E-2</v>
      </c>
      <c r="E39" s="260">
        <f t="shared" si="15"/>
        <v>2.8394617898989196E-2</v>
      </c>
      <c r="F39" s="260">
        <f t="shared" si="15"/>
        <v>2.8126086634666324E-2</v>
      </c>
      <c r="G39" s="260">
        <f t="shared" si="15"/>
        <v>2.992275426506557E-2</v>
      </c>
      <c r="H39" s="260">
        <f t="shared" si="15"/>
        <v>3.0956626667622784E-2</v>
      </c>
      <c r="I39" s="260">
        <f t="shared" si="15"/>
        <v>3.2170714573733737E-2</v>
      </c>
      <c r="J39" s="260">
        <f t="shared" si="15"/>
        <v>3.2708459197063645E-2</v>
      </c>
      <c r="K39" s="260">
        <f t="shared" si="15"/>
        <v>3.3805236102080582E-2</v>
      </c>
      <c r="L39" s="260">
        <f t="shared" si="15"/>
        <v>3.3437989745645026E-2</v>
      </c>
      <c r="M39" s="260">
        <f t="shared" si="15"/>
        <v>3.3662785300173047E-2</v>
      </c>
      <c r="N39" s="260">
        <f t="shared" si="15"/>
        <v>3.3581818079658314E-2</v>
      </c>
      <c r="O39" s="260">
        <f t="shared" si="15"/>
        <v>3.2863625620093838E-2</v>
      </c>
      <c r="P39" s="260">
        <f t="shared" si="15"/>
        <v>3.2686286670831406E-2</v>
      </c>
      <c r="Q39" s="260">
        <f t="shared" si="15"/>
        <v>3.2910545205032941E-2</v>
      </c>
      <c r="R39" s="260">
        <f t="shared" si="15"/>
        <v>3.3142974414481205E-2</v>
      </c>
      <c r="S39" s="260">
        <f t="shared" si="15"/>
        <v>3.306439092514029E-2</v>
      </c>
      <c r="T39" s="260">
        <f t="shared" si="15"/>
        <v>3.3864772120405805E-2</v>
      </c>
      <c r="U39" s="260">
        <f t="shared" si="15"/>
        <v>3.4662023875194993E-2</v>
      </c>
      <c r="V39" s="260">
        <f t="shared" si="15"/>
        <v>3.5547643264580993E-2</v>
      </c>
      <c r="W39" s="260">
        <f t="shared" si="15"/>
        <v>3.5345755042143032E-2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4.2933214903358746E-2</v>
      </c>
      <c r="C40" s="262">
        <f t="shared" si="16"/>
        <v>4.211050167085343E-2</v>
      </c>
      <c r="D40" s="262">
        <f t="shared" si="16"/>
        <v>4.4021378655547595E-2</v>
      </c>
      <c r="E40" s="262">
        <f t="shared" si="16"/>
        <v>4.3275236188591845E-2</v>
      </c>
      <c r="F40" s="262">
        <f t="shared" si="16"/>
        <v>4.2865977154751961E-2</v>
      </c>
      <c r="G40" s="262">
        <f t="shared" si="16"/>
        <v>4.560421495511665E-2</v>
      </c>
      <c r="H40" s="262">
        <f t="shared" si="16"/>
        <v>4.7179903438359927E-2</v>
      </c>
      <c r="I40" s="262">
        <f t="shared" si="16"/>
        <v>4.9030252017712897E-2</v>
      </c>
      <c r="J40" s="262">
        <f t="shared" si="16"/>
        <v>4.984980964185598E-2</v>
      </c>
      <c r="K40" s="262">
        <f t="shared" si="16"/>
        <v>5.1521368659823638E-2</v>
      </c>
      <c r="L40" s="262">
        <f t="shared" si="16"/>
        <v>5.0961661433944289E-2</v>
      </c>
      <c r="M40" s="262">
        <f t="shared" si="16"/>
        <v>5.130426441423272E-2</v>
      </c>
      <c r="N40" s="262">
        <f t="shared" si="16"/>
        <v>5.1180865127657585E-2</v>
      </c>
      <c r="O40" s="262">
        <f t="shared" si="16"/>
        <v>5.0086293317355979E-2</v>
      </c>
      <c r="P40" s="262">
        <f t="shared" si="16"/>
        <v>4.9816017276239015E-2</v>
      </c>
      <c r="Q40" s="262">
        <f t="shared" si="16"/>
        <v>5.0157801802778595E-2</v>
      </c>
      <c r="R40" s="262">
        <f t="shared" si="16"/>
        <v>5.0512038967433635E-2</v>
      </c>
      <c r="S40" s="262">
        <f t="shared" si="16"/>
        <v>5.0392272641510541E-2</v>
      </c>
      <c r="T40" s="262">
        <f t="shared" si="16"/>
        <v>5.161210540662256E-2</v>
      </c>
      <c r="U40" s="262">
        <f t="shared" si="16"/>
        <v>5.28271687018219E-2</v>
      </c>
      <c r="V40" s="262">
        <f t="shared" si="16"/>
        <v>5.417690999382356E-2</v>
      </c>
      <c r="W40" s="262">
        <f t="shared" si="16"/>
        <v>5.3869219270857041E-2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0.36911080854555661</v>
      </c>
      <c r="C44" s="238">
        <f>IF(C$5=0,0,C$5/AGR_fec!C$5)</f>
        <v>0.36660379730715298</v>
      </c>
      <c r="D44" s="238">
        <f>IF(D$5=0,0,D$5/AGR_fec!D$5)</f>
        <v>0.37065771184802748</v>
      </c>
      <c r="E44" s="238">
        <f>IF(E$5=0,0,E$5/AGR_fec!E$5)</f>
        <v>0.36865775941812834</v>
      </c>
      <c r="F44" s="238">
        <f>IF(F$5=0,0,F$5/AGR_fec!F$5)</f>
        <v>0.36740532666414882</v>
      </c>
      <c r="G44" s="238">
        <f>IF(G$5=0,0,G$5/AGR_fec!G$5)</f>
        <v>0.37472214695958189</v>
      </c>
      <c r="H44" s="238">
        <f>IF(H$5=0,0,H$5/AGR_fec!H$5)</f>
        <v>0.37716743459355861</v>
      </c>
      <c r="I44" s="238">
        <f>IF(I$5=0,0,I$5/AGR_fec!I$5)</f>
        <v>0.38175438779986948</v>
      </c>
      <c r="J44" s="238">
        <f>IF(J$5=0,0,J$5/AGR_fec!J$5)</f>
        <v>0.38300909345056589</v>
      </c>
      <c r="K44" s="238">
        <f>IF(K$5=0,0,K$5/AGR_fec!K$5)</f>
        <v>0.38671928340954498</v>
      </c>
      <c r="L44" s="238">
        <f>IF(L$5=0,0,L$5/AGR_fec!L$5)</f>
        <v>0.38494395794847547</v>
      </c>
      <c r="M44" s="238">
        <f>IF(M$5=0,0,M$5/AGR_fec!M$5)</f>
        <v>0.38560099213453602</v>
      </c>
      <c r="N44" s="238">
        <f>IF(N$5=0,0,N$5/AGR_fec!N$5)</f>
        <v>0.38367813328764105</v>
      </c>
      <c r="O44" s="238">
        <f>IF(O$5=0,0,O$5/AGR_fec!O$5)</f>
        <v>0.38081539657285052</v>
      </c>
      <c r="P44" s="238">
        <f>IF(P$5=0,0,P$5/AGR_fec!P$5)</f>
        <v>0.3811191054154433</v>
      </c>
      <c r="Q44" s="238">
        <f>IF(Q$5=0,0,Q$5/AGR_fec!Q$5)</f>
        <v>0.3821155442034781</v>
      </c>
      <c r="R44" s="238">
        <f>IF(R$5=0,0,R$5/AGR_fec!R$5)</f>
        <v>0.38296431849864887</v>
      </c>
      <c r="S44" s="238">
        <f>IF(S$5=0,0,S$5/AGR_fec!S$5)</f>
        <v>0.38367555819926347</v>
      </c>
      <c r="T44" s="238">
        <f>IF(T$5=0,0,T$5/AGR_fec!T$5)</f>
        <v>0.38702581475392495</v>
      </c>
      <c r="U44" s="238">
        <f>IF(U$5=0,0,U$5/AGR_fec!U$5)</f>
        <v>0.39116270965840638</v>
      </c>
      <c r="V44" s="238">
        <f>IF(V$5=0,0,V$5/AGR_fec!V$5)</f>
        <v>0.39397532672815289</v>
      </c>
      <c r="W44" s="238">
        <f>IF(W$5=0,0,W$5/AGR_fec!W$5)</f>
        <v>0.39186934624752651</v>
      </c>
      <c r="DA44" s="287"/>
    </row>
    <row r="45" spans="1:105" x14ac:dyDescent="0.25">
      <c r="A45" s="239" t="s">
        <v>125</v>
      </c>
      <c r="B45" s="251">
        <f>IF(B$6=0,0,B$6/AGR_fec!B$6)</f>
        <v>0.47565288363079955</v>
      </c>
      <c r="C45" s="251">
        <f>IF(C$6=0,0,C$6/AGR_fec!C$6)</f>
        <v>0.47565288363079933</v>
      </c>
      <c r="D45" s="251">
        <f>IF(D$6=0,0,D$6/AGR_fec!D$6)</f>
        <v>0.47565288363079916</v>
      </c>
      <c r="E45" s="251">
        <f>IF(E$6=0,0,E$6/AGR_fec!E$6)</f>
        <v>0.47565288363079916</v>
      </c>
      <c r="F45" s="251">
        <f>IF(F$6=0,0,F$6/AGR_fec!F$6)</f>
        <v>0.47565288363079944</v>
      </c>
      <c r="G45" s="251">
        <f>IF(G$6=0,0,G$6/AGR_fec!G$6)</f>
        <v>0.47565288363079911</v>
      </c>
      <c r="H45" s="251">
        <f>IF(H$6=0,0,H$6/AGR_fec!H$6)</f>
        <v>0.47565288363079933</v>
      </c>
      <c r="I45" s="251">
        <f>IF(I$6=0,0,I$6/AGR_fec!I$6)</f>
        <v>0.47565288363079944</v>
      </c>
      <c r="J45" s="251">
        <f>IF(J$6=0,0,J$6/AGR_fec!J$6)</f>
        <v>0.47565288363079944</v>
      </c>
      <c r="K45" s="251">
        <f>IF(K$6=0,0,K$6/AGR_fec!K$6)</f>
        <v>0.47565288363079938</v>
      </c>
      <c r="L45" s="251">
        <f>IF(L$6=0,0,L$6/AGR_fec!L$6)</f>
        <v>0.47565288363079938</v>
      </c>
      <c r="M45" s="251">
        <f>IF(M$6=0,0,M$6/AGR_fec!M$6)</f>
        <v>0.47565288363079916</v>
      </c>
      <c r="N45" s="251">
        <f>IF(N$6=0,0,N$6/AGR_fec!N$6)</f>
        <v>0.47565288363079916</v>
      </c>
      <c r="O45" s="251">
        <f>IF(O$6=0,0,O$6/AGR_fec!O$6)</f>
        <v>0.47565288363079944</v>
      </c>
      <c r="P45" s="251">
        <f>IF(P$6=0,0,P$6/AGR_fec!P$6)</f>
        <v>0.47565288363079916</v>
      </c>
      <c r="Q45" s="251">
        <f>IF(Q$6=0,0,Q$6/AGR_fec!Q$6)</f>
        <v>0.47565288363079927</v>
      </c>
      <c r="R45" s="251">
        <f>IF(R$6=0,0,R$6/AGR_fec!R$6)</f>
        <v>0.47565288363079927</v>
      </c>
      <c r="S45" s="251">
        <f>IF(S$6=0,0,S$6/AGR_fec!S$6)</f>
        <v>0.47565288363079916</v>
      </c>
      <c r="T45" s="251">
        <f>IF(T$6=0,0,T$6/AGR_fec!T$6)</f>
        <v>0.47565288363079938</v>
      </c>
      <c r="U45" s="251">
        <f>IF(U$6=0,0,U$6/AGR_fec!U$6)</f>
        <v>0.47565288363079933</v>
      </c>
      <c r="V45" s="251">
        <f>IF(V$6=0,0,V$6/AGR_fec!V$6)</f>
        <v>0.47565288363079938</v>
      </c>
      <c r="W45" s="251">
        <f>IF(W$6=0,0,W$6/AGR_fec!W$6)</f>
        <v>0.47565288363079944</v>
      </c>
      <c r="DA45" s="288"/>
    </row>
    <row r="46" spans="1:105" x14ac:dyDescent="0.25">
      <c r="A46" s="241" t="s">
        <v>124</v>
      </c>
      <c r="B46" s="252">
        <f>IF(B$7=0,0,B$7/AGR_fec!B$7)</f>
        <v>0.47167067667254481</v>
      </c>
      <c r="C46" s="252">
        <f>IF(C$7=0,0,C$7/AGR_fec!C$7)</f>
        <v>0.47167067667254475</v>
      </c>
      <c r="D46" s="252">
        <f>IF(D$7=0,0,D$7/AGR_fec!D$7)</f>
        <v>0.47167067667254492</v>
      </c>
      <c r="E46" s="252">
        <f>IF(E$7=0,0,E$7/AGR_fec!E$7)</f>
        <v>0.47167067667254481</v>
      </c>
      <c r="F46" s="252">
        <f>IF(F$7=0,0,F$7/AGR_fec!F$7)</f>
        <v>0.47167067667254481</v>
      </c>
      <c r="G46" s="252">
        <f>IF(G$7=0,0,G$7/AGR_fec!G$7)</f>
        <v>0.4716706766725447</v>
      </c>
      <c r="H46" s="252">
        <f>IF(H$7=0,0,H$7/AGR_fec!H$7)</f>
        <v>0.47167067667254486</v>
      </c>
      <c r="I46" s="252">
        <f>IF(I$7=0,0,I$7/AGR_fec!I$7)</f>
        <v>0.47167067667254481</v>
      </c>
      <c r="J46" s="252">
        <f>IF(J$7=0,0,J$7/AGR_fec!J$7)</f>
        <v>0.47167067667254475</v>
      </c>
      <c r="K46" s="252">
        <f>IF(K$7=0,0,K$7/AGR_fec!K$7)</f>
        <v>0.47167067667254486</v>
      </c>
      <c r="L46" s="252">
        <f>IF(L$7=0,0,L$7/AGR_fec!L$7)</f>
        <v>0.47167067667254492</v>
      </c>
      <c r="M46" s="252">
        <f>IF(M$7=0,0,M$7/AGR_fec!M$7)</f>
        <v>0.47167067667254475</v>
      </c>
      <c r="N46" s="252">
        <f>IF(N$7=0,0,N$7/AGR_fec!N$7)</f>
        <v>0.47167067667254475</v>
      </c>
      <c r="O46" s="252">
        <f>IF(O$7=0,0,O$7/AGR_fec!O$7)</f>
        <v>0.47167067667254475</v>
      </c>
      <c r="P46" s="252">
        <f>IF(P$7=0,0,P$7/AGR_fec!P$7)</f>
        <v>0.47167067667254475</v>
      </c>
      <c r="Q46" s="252">
        <f>IF(Q$7=0,0,Q$7/AGR_fec!Q$7)</f>
        <v>0.47167067667254486</v>
      </c>
      <c r="R46" s="252">
        <f>IF(R$7=0,0,R$7/AGR_fec!R$7)</f>
        <v>0.47167067667254464</v>
      </c>
      <c r="S46" s="252">
        <f>IF(S$7=0,0,S$7/AGR_fec!S$7)</f>
        <v>0.47167067667254486</v>
      </c>
      <c r="T46" s="252">
        <f>IF(T$7=0,0,T$7/AGR_fec!T$7)</f>
        <v>0.4716706766725447</v>
      </c>
      <c r="U46" s="252">
        <f>IF(U$7=0,0,U$7/AGR_fec!U$7)</f>
        <v>0.47167067667254486</v>
      </c>
      <c r="V46" s="252">
        <f>IF(V$7=0,0,V$7/AGR_fec!V$7)</f>
        <v>0.47167067667254486</v>
      </c>
      <c r="W46" s="252">
        <f>IF(W$7=0,0,W$7/AGR_fec!W$7)</f>
        <v>0.47167067667254486</v>
      </c>
      <c r="DA46" s="289"/>
    </row>
    <row r="47" spans="1:105" x14ac:dyDescent="0.25">
      <c r="A47" s="241" t="s">
        <v>123</v>
      </c>
      <c r="B47" s="252">
        <f>IF(B$8=0,0,B$8/AGR_fec!B$8)</f>
        <v>0.67695273517302668</v>
      </c>
      <c r="C47" s="252">
        <f>IF(C$8=0,0,C$8/AGR_fec!C$8)</f>
        <v>0.67695273517302645</v>
      </c>
      <c r="D47" s="252">
        <f>IF(D$8=0,0,D$8/AGR_fec!D$8)</f>
        <v>0.67695273517302679</v>
      </c>
      <c r="E47" s="252">
        <f>IF(E$8=0,0,E$8/AGR_fec!E$8)</f>
        <v>0.6769527351730269</v>
      </c>
      <c r="F47" s="252">
        <f>IF(F$8=0,0,F$8/AGR_fec!F$8)</f>
        <v>0.67695273517302668</v>
      </c>
      <c r="G47" s="252">
        <f>IF(G$8=0,0,G$8/AGR_fec!G$8)</f>
        <v>0.67695273517302657</v>
      </c>
      <c r="H47" s="252">
        <f>IF(H$8=0,0,H$8/AGR_fec!H$8)</f>
        <v>0.6769527351730269</v>
      </c>
      <c r="I47" s="252">
        <f>IF(I$8=0,0,I$8/AGR_fec!I$8)</f>
        <v>0.67695273517302668</v>
      </c>
      <c r="J47" s="252">
        <f>IF(J$8=0,0,J$8/AGR_fec!J$8)</f>
        <v>0.67695273517302712</v>
      </c>
      <c r="K47" s="252">
        <f>IF(K$8=0,0,K$8/AGR_fec!K$8)</f>
        <v>0.67695273517302645</v>
      </c>
      <c r="L47" s="252">
        <f>IF(L$8=0,0,L$8/AGR_fec!L$8)</f>
        <v>0.67695273517302645</v>
      </c>
      <c r="M47" s="252">
        <f>IF(M$8=0,0,M$8/AGR_fec!M$8)</f>
        <v>0.67695273517302679</v>
      </c>
      <c r="N47" s="252">
        <f>IF(N$8=0,0,N$8/AGR_fec!N$8)</f>
        <v>0.67695273517302645</v>
      </c>
      <c r="O47" s="252">
        <f>IF(O$8=0,0,O$8/AGR_fec!O$8)</f>
        <v>0.67695273517302679</v>
      </c>
      <c r="P47" s="252">
        <f>IF(P$8=0,0,P$8/AGR_fec!P$8)</f>
        <v>0.67695273517302668</v>
      </c>
      <c r="Q47" s="252">
        <f>IF(Q$8=0,0,Q$8/AGR_fec!Q$8)</f>
        <v>0.67695273517302701</v>
      </c>
      <c r="R47" s="252">
        <f>IF(R$8=0,0,R$8/AGR_fec!R$8)</f>
        <v>0.67695273517302668</v>
      </c>
      <c r="S47" s="252">
        <f>IF(S$8=0,0,S$8/AGR_fec!S$8)</f>
        <v>0.67695273517302668</v>
      </c>
      <c r="T47" s="252">
        <f>IF(T$8=0,0,T$8/AGR_fec!T$8)</f>
        <v>0.67695273517302701</v>
      </c>
      <c r="U47" s="252">
        <f>IF(U$8=0,0,U$8/AGR_fec!U$8)</f>
        <v>0.67695273517302668</v>
      </c>
      <c r="V47" s="252">
        <f>IF(V$8=0,0,V$8/AGR_fec!V$8)</f>
        <v>0.67695273517302701</v>
      </c>
      <c r="W47" s="252">
        <f>IF(W$8=0,0,W$8/AGR_fec!W$8)</f>
        <v>0.67695273517302657</v>
      </c>
      <c r="DA47" s="289"/>
    </row>
    <row r="48" spans="1:105" x14ac:dyDescent="0.25">
      <c r="A48" s="243" t="s">
        <v>122</v>
      </c>
      <c r="B48" s="253">
        <f>IF(B$9=0,0,B$9/AGR_fec!B$9)</f>
        <v>0.65962534333618572</v>
      </c>
      <c r="C48" s="253">
        <f>IF(C$9=0,0,C$9/AGR_fec!C$9)</f>
        <v>0.65940803458707842</v>
      </c>
      <c r="D48" s="253">
        <f>IF(D$9=0,0,D$9/AGR_fec!D$9)</f>
        <v>0.66312825971408518</v>
      </c>
      <c r="E48" s="253">
        <f>IF(E$9=0,0,E$9/AGR_fec!E$9)</f>
        <v>0.66305766417291501</v>
      </c>
      <c r="F48" s="253">
        <f>IF(F$9=0,0,F$9/AGR_fec!F$9)</f>
        <v>0.66258141059308229</v>
      </c>
      <c r="G48" s="253">
        <f>IF(G$9=0,0,G$9/AGR_fec!G$9)</f>
        <v>0.66899059122978044</v>
      </c>
      <c r="H48" s="253">
        <f>IF(H$9=0,0,H$9/AGR_fec!H$9)</f>
        <v>0.67393053641245582</v>
      </c>
      <c r="I48" s="253">
        <f>IF(I$9=0,0,I$9/AGR_fec!I$9)</f>
        <v>0.67952654087784903</v>
      </c>
      <c r="J48" s="253">
        <f>IF(J$9=0,0,J$9/AGR_fec!J$9)</f>
        <v>0.68439260839363503</v>
      </c>
      <c r="K48" s="253">
        <f>IF(K$9=0,0,K$9/AGR_fec!K$9)</f>
        <v>0.69091970749632181</v>
      </c>
      <c r="L48" s="253">
        <f>IF(L$9=0,0,L$9/AGR_fec!L$9)</f>
        <v>0.69207315979676243</v>
      </c>
      <c r="M48" s="253">
        <f>IF(M$9=0,0,M$9/AGR_fec!M$9)</f>
        <v>0.69183341660880859</v>
      </c>
      <c r="N48" s="253">
        <f>IF(N$9=0,0,N$9/AGR_fec!N$9)</f>
        <v>0.69327977474245683</v>
      </c>
      <c r="O48" s="253">
        <f>IF(O$9=0,0,O$9/AGR_fec!O$9)</f>
        <v>0.69180705090336858</v>
      </c>
      <c r="P48" s="253">
        <f>IF(P$9=0,0,P$9/AGR_fec!P$9)</f>
        <v>0.68800111730669644</v>
      </c>
      <c r="Q48" s="253">
        <f>IF(Q$9=0,0,Q$9/AGR_fec!Q$9)</f>
        <v>0.69090911919167886</v>
      </c>
      <c r="R48" s="253">
        <f>IF(R$9=0,0,R$9/AGR_fec!R$9)</f>
        <v>0.69461314941718377</v>
      </c>
      <c r="S48" s="253">
        <f>IF(S$9=0,0,S$9/AGR_fec!S$9)</f>
        <v>0.69485261727757897</v>
      </c>
      <c r="T48" s="253">
        <f>IF(T$9=0,0,T$9/AGR_fec!T$9)</f>
        <v>0.69619394386280187</v>
      </c>
      <c r="U48" s="253">
        <f>IF(U$9=0,0,U$9/AGR_fec!U$9)</f>
        <v>0.70060086351711914</v>
      </c>
      <c r="V48" s="253">
        <f>IF(V$9=0,0,V$9/AGR_fec!V$9)</f>
        <v>0.70923327441783013</v>
      </c>
      <c r="W48" s="253">
        <f>IF(W$9=0,0,W$9/AGR_fec!W$9)</f>
        <v>0.71372252717423501</v>
      </c>
      <c r="DA48" s="290"/>
    </row>
    <row r="49" spans="1:105" x14ac:dyDescent="0.25">
      <c r="A49" s="128" t="s">
        <v>175</v>
      </c>
      <c r="B49" s="265">
        <f>IF(B$16=0,0,B$16/AGR_fec!B$16)</f>
        <v>0.34036755259812629</v>
      </c>
      <c r="C49" s="265">
        <f>IF(C$16=0,0,C$16/AGR_fec!C$16)</f>
        <v>0.34036755259812629</v>
      </c>
      <c r="D49" s="265">
        <f>IF(D$16=0,0,D$16/AGR_fec!D$16)</f>
        <v>0.34036755259812618</v>
      </c>
      <c r="E49" s="265">
        <f>IF(E$16=0,0,E$16/AGR_fec!E$16)</f>
        <v>0.34036755259812623</v>
      </c>
      <c r="F49" s="265">
        <f>IF(F$16=0,0,F$16/AGR_fec!F$16)</f>
        <v>0.3403675525981264</v>
      </c>
      <c r="G49" s="265">
        <f>IF(G$16=0,0,G$16/AGR_fec!G$16)</f>
        <v>0.3403675525981264</v>
      </c>
      <c r="H49" s="265">
        <f>IF(H$16=0,0,H$16/AGR_fec!H$16)</f>
        <v>0.34036755259812634</v>
      </c>
      <c r="I49" s="265">
        <f>IF(I$16=0,0,I$16/AGR_fec!I$16)</f>
        <v>0.34036755259812645</v>
      </c>
      <c r="J49" s="265">
        <f>IF(J$16=0,0,J$16/AGR_fec!J$16)</f>
        <v>0.34036755259812645</v>
      </c>
      <c r="K49" s="265">
        <f>IF(K$16=0,0,K$16/AGR_fec!K$16)</f>
        <v>0.34036755259812629</v>
      </c>
      <c r="L49" s="265">
        <f>IF(L$16=0,0,L$16/AGR_fec!L$16)</f>
        <v>0.34036755259812623</v>
      </c>
      <c r="M49" s="265">
        <f>IF(M$16=0,0,M$16/AGR_fec!M$16)</f>
        <v>0.34036755259812645</v>
      </c>
      <c r="N49" s="265">
        <f>IF(N$16=0,0,N$16/AGR_fec!N$16)</f>
        <v>0.34036755259812618</v>
      </c>
      <c r="O49" s="265">
        <f>IF(O$16=0,0,O$16/AGR_fec!O$16)</f>
        <v>0.34036755259812623</v>
      </c>
      <c r="P49" s="265">
        <f>IF(P$16=0,0,P$16/AGR_fec!P$16)</f>
        <v>0.3403675525981264</v>
      </c>
      <c r="Q49" s="265">
        <f>IF(Q$16=0,0,Q$16/AGR_fec!Q$16)</f>
        <v>0.34036755259812612</v>
      </c>
      <c r="R49" s="265">
        <f>IF(R$16=0,0,R$16/AGR_fec!R$16)</f>
        <v>0.34036755259812629</v>
      </c>
      <c r="S49" s="265">
        <f>IF(S$16=0,0,S$16/AGR_fec!S$16)</f>
        <v>0.34036755259812634</v>
      </c>
      <c r="T49" s="265">
        <f>IF(T$16=0,0,T$16/AGR_fec!T$16)</f>
        <v>0.34036755259812634</v>
      </c>
      <c r="U49" s="265">
        <f>IF(U$16=0,0,U$16/AGR_fec!U$16)</f>
        <v>0.34036755259812629</v>
      </c>
      <c r="V49" s="265">
        <f>IF(V$16=0,0,V$16/AGR_fec!V$16)</f>
        <v>0.34036755259812634</v>
      </c>
      <c r="W49" s="265">
        <f>IF(W$16=0,0,W$16/AGR_fec!W$16)</f>
        <v>0.34036755259812634</v>
      </c>
      <c r="DA49" s="291"/>
    </row>
    <row r="50" spans="1:105" x14ac:dyDescent="0.25">
      <c r="A50" s="128" t="s">
        <v>121</v>
      </c>
      <c r="B50" s="265">
        <f>IF(B$17=0,0,B$17/AGR_fec!B$17)</f>
        <v>0.25480709588659545</v>
      </c>
      <c r="C50" s="265">
        <f>IF(C$17=0,0,C$17/AGR_fec!C$17)</f>
        <v>0.25366374896518562</v>
      </c>
      <c r="D50" s="265">
        <f>IF(D$17=0,0,D$17/AGR_fec!D$17)</f>
        <v>0.25398253132742882</v>
      </c>
      <c r="E50" s="265">
        <f>IF(E$17=0,0,E$17/AGR_fec!E$17)</f>
        <v>0.25349183430574973</v>
      </c>
      <c r="F50" s="265">
        <f>IF(F$17=0,0,F$17/AGR_fec!F$17)</f>
        <v>0.25290128225166009</v>
      </c>
      <c r="G50" s="265">
        <f>IF(G$17=0,0,G$17/AGR_fec!G$17)</f>
        <v>0.25402240446347779</v>
      </c>
      <c r="H50" s="265">
        <f>IF(H$17=0,0,H$17/AGR_fec!H$17)</f>
        <v>0.25405600200092593</v>
      </c>
      <c r="I50" s="265">
        <f>IF(I$17=0,0,I$17/AGR_fec!I$17)</f>
        <v>0.25472438694200417</v>
      </c>
      <c r="J50" s="265">
        <f>IF(J$17=0,0,J$17/AGR_fec!J$17)</f>
        <v>0.25444351791180148</v>
      </c>
      <c r="K50" s="265">
        <f>IF(K$17=0,0,K$17/AGR_fec!K$17)</f>
        <v>0.25404430299909364</v>
      </c>
      <c r="L50" s="265">
        <f>IF(L$17=0,0,L$17/AGR_fec!L$17)</f>
        <v>0.25291709214510849</v>
      </c>
      <c r="M50" s="265">
        <f>IF(M$17=0,0,M$17/AGR_fec!M$17)</f>
        <v>0.25283265433143687</v>
      </c>
      <c r="N50" s="265">
        <f>IF(N$17=0,0,N$17/AGR_fec!N$17)</f>
        <v>0.25142606452514116</v>
      </c>
      <c r="O50" s="265">
        <f>IF(O$17=0,0,O$17/AGR_fec!O$17)</f>
        <v>0.25070347637327706</v>
      </c>
      <c r="P50" s="265">
        <f>IF(P$17=0,0,P$17/AGR_fec!P$17)</f>
        <v>0.25154528870806592</v>
      </c>
      <c r="Q50" s="265">
        <f>IF(Q$17=0,0,Q$17/AGR_fec!Q$17)</f>
        <v>0.25137052238822843</v>
      </c>
      <c r="R50" s="265">
        <f>IF(R$17=0,0,R$17/AGR_fec!R$17)</f>
        <v>0.25137674250116909</v>
      </c>
      <c r="S50" s="265">
        <f>IF(S$17=0,0,S$17/AGR_fec!S$17)</f>
        <v>0.25151535880581205</v>
      </c>
      <c r="T50" s="265">
        <f>IF(T$17=0,0,T$17/AGR_fec!T$17)</f>
        <v>0.25241112454624437</v>
      </c>
      <c r="U50" s="265">
        <f>IF(U$17=0,0,U$17/AGR_fec!U$17)</f>
        <v>0.25369454014368281</v>
      </c>
      <c r="V50" s="265">
        <f>IF(V$17=0,0,V$17/AGR_fec!V$17)</f>
        <v>0.25285152189026822</v>
      </c>
      <c r="W50" s="265">
        <f>IF(W$17=0,0,W$17/AGR_fec!W$17)</f>
        <v>0.25122441620971003</v>
      </c>
      <c r="DA50" s="291"/>
    </row>
    <row r="51" spans="1:105" x14ac:dyDescent="0.25">
      <c r="A51" s="128" t="s">
        <v>174</v>
      </c>
      <c r="B51" s="265">
        <f>IF(B$25=0,0,B$25/AGR_fec!B$25)</f>
        <v>0.23825728681868844</v>
      </c>
      <c r="C51" s="265">
        <f>IF(C$25=0,0,C$25/AGR_fec!C$25)</f>
        <v>0.23825728681868841</v>
      </c>
      <c r="D51" s="265">
        <f>IF(D$25=0,0,D$25/AGR_fec!D$25)</f>
        <v>0.23825728681868838</v>
      </c>
      <c r="E51" s="265">
        <f>IF(E$25=0,0,E$25/AGR_fec!E$25)</f>
        <v>0.23825728681868841</v>
      </c>
      <c r="F51" s="265">
        <f>IF(F$25=0,0,F$25/AGR_fec!F$25)</f>
        <v>0.23825728681868838</v>
      </c>
      <c r="G51" s="265">
        <f>IF(G$25=0,0,G$25/AGR_fec!G$25)</f>
        <v>0.23825728681868835</v>
      </c>
      <c r="H51" s="265">
        <f>IF(H$25=0,0,H$25/AGR_fec!H$25)</f>
        <v>0.23825728681868835</v>
      </c>
      <c r="I51" s="265">
        <f>IF(I$25=0,0,I$25/AGR_fec!I$25)</f>
        <v>0.23825728681868838</v>
      </c>
      <c r="J51" s="265">
        <f>IF(J$25=0,0,J$25/AGR_fec!J$25)</f>
        <v>0.23825728681868838</v>
      </c>
      <c r="K51" s="265">
        <f>IF(K$25=0,0,K$25/AGR_fec!K$25)</f>
        <v>0.23825728681868844</v>
      </c>
      <c r="L51" s="265">
        <f>IF(L$25=0,0,L$25/AGR_fec!L$25)</f>
        <v>0.23825728681868835</v>
      </c>
      <c r="M51" s="265">
        <f>IF(M$25=0,0,M$25/AGR_fec!M$25)</f>
        <v>0.23825728681868841</v>
      </c>
      <c r="N51" s="265">
        <f>IF(N$25=0,0,N$25/AGR_fec!N$25)</f>
        <v>0.23825728681868835</v>
      </c>
      <c r="O51" s="265">
        <f>IF(O$25=0,0,O$25/AGR_fec!O$25)</f>
        <v>0.23825728681868835</v>
      </c>
      <c r="P51" s="265">
        <f>IF(P$25=0,0,P$25/AGR_fec!P$25)</f>
        <v>0.23825728681868838</v>
      </c>
      <c r="Q51" s="265">
        <f>IF(Q$25=0,0,Q$25/AGR_fec!Q$25)</f>
        <v>0.23825728681868835</v>
      </c>
      <c r="R51" s="265">
        <f>IF(R$25=0,0,R$25/AGR_fec!R$25)</f>
        <v>0.23825728681868838</v>
      </c>
      <c r="S51" s="265">
        <f>IF(S$25=0,0,S$25/AGR_fec!S$25)</f>
        <v>0.23825728681868838</v>
      </c>
      <c r="T51" s="265">
        <f>IF(T$25=0,0,T$25/AGR_fec!T$25)</f>
        <v>0.23825728681868832</v>
      </c>
      <c r="U51" s="265">
        <f>IF(U$25=0,0,U$25/AGR_fec!U$25)</f>
        <v>0.23825728681868835</v>
      </c>
      <c r="V51" s="265">
        <f>IF(V$25=0,0,V$25/AGR_fec!V$25)</f>
        <v>0.23825728681868835</v>
      </c>
      <c r="W51" s="265">
        <f>IF(W$25=0,0,W$25/AGR_fec!W$25)</f>
        <v>0.23825728681868844</v>
      </c>
      <c r="DA51" s="291"/>
    </row>
    <row r="52" spans="1:105" x14ac:dyDescent="0.25">
      <c r="A52" s="128" t="s">
        <v>177</v>
      </c>
      <c r="B52" s="265">
        <f>IF(B$26=0,0,B$26/AGR_fec!B$26)</f>
        <v>0.47167067667254509</v>
      </c>
      <c r="C52" s="265">
        <f>IF(C$26=0,0,C$26/AGR_fec!C$26)</f>
        <v>0.47167067667254486</v>
      </c>
      <c r="D52" s="265">
        <f>IF(D$26=0,0,D$26/AGR_fec!D$26)</f>
        <v>0.47167067667254481</v>
      </c>
      <c r="E52" s="265">
        <f>IF(E$26=0,0,E$26/AGR_fec!E$26)</f>
        <v>0.4716706766725447</v>
      </c>
      <c r="F52" s="265">
        <f>IF(F$26=0,0,F$26/AGR_fec!F$26)</f>
        <v>0.47167067667254486</v>
      </c>
      <c r="G52" s="265">
        <f>IF(G$26=0,0,G$26/AGR_fec!G$26)</f>
        <v>0.47167067667254464</v>
      </c>
      <c r="H52" s="265">
        <f>IF(H$26=0,0,H$26/AGR_fec!H$26)</f>
        <v>0.47167067667254481</v>
      </c>
      <c r="I52" s="265">
        <f>IF(I$26=0,0,I$26/AGR_fec!I$26)</f>
        <v>0.47167067667254498</v>
      </c>
      <c r="J52" s="265">
        <f>IF(J$26=0,0,J$26/AGR_fec!J$26)</f>
        <v>0.47167067667254503</v>
      </c>
      <c r="K52" s="265">
        <f>IF(K$26=0,0,K$26/AGR_fec!K$26)</f>
        <v>0.47167067667254486</v>
      </c>
      <c r="L52" s="265">
        <f>IF(L$26=0,0,L$26/AGR_fec!L$26)</f>
        <v>0.47167067667254486</v>
      </c>
      <c r="M52" s="265">
        <f>IF(M$26=0,0,M$26/AGR_fec!M$26)</f>
        <v>0.47167067667254475</v>
      </c>
      <c r="N52" s="265">
        <f>IF(N$26=0,0,N$26/AGR_fec!N$26)</f>
        <v>0.47167067667254475</v>
      </c>
      <c r="O52" s="265">
        <f>IF(O$26=0,0,O$26/AGR_fec!O$26)</f>
        <v>0.47167067667254486</v>
      </c>
      <c r="P52" s="265">
        <f>IF(P$26=0,0,P$26/AGR_fec!P$26)</f>
        <v>0.47167067667254481</v>
      </c>
      <c r="Q52" s="265">
        <f>IF(Q$26=0,0,Q$26/AGR_fec!Q$26)</f>
        <v>0.47167067667254475</v>
      </c>
      <c r="R52" s="265">
        <f>IF(R$26=0,0,R$26/AGR_fec!R$26)</f>
        <v>0.47167067667254481</v>
      </c>
      <c r="S52" s="265">
        <f>IF(S$26=0,0,S$26/AGR_fec!S$26)</f>
        <v>0.4716706766725447</v>
      </c>
      <c r="T52" s="265">
        <f>IF(T$26=0,0,T$26/AGR_fec!T$26)</f>
        <v>0.47167067667254481</v>
      </c>
      <c r="U52" s="265">
        <f>IF(U$26=0,0,U$26/AGR_fec!U$26)</f>
        <v>0.47167067667254481</v>
      </c>
      <c r="V52" s="265">
        <f>IF(V$26=0,0,V$26/AGR_fec!V$26)</f>
        <v>0.47167067667254492</v>
      </c>
      <c r="W52" s="265">
        <f>IF(W$26=0,0,W$26/AGR_fec!W$26)</f>
        <v>0.47167067667254486</v>
      </c>
      <c r="DA52" s="291"/>
    </row>
    <row r="53" spans="1:105" x14ac:dyDescent="0.25">
      <c r="A53" s="261" t="s">
        <v>33</v>
      </c>
      <c r="B53" s="266">
        <f>IF(B$27=0,0,B$27/AGR_fec!B$27)</f>
        <v>0.49576320775489552</v>
      </c>
      <c r="C53" s="266">
        <f>IF(C$27=0,0,C$27/AGR_fec!C$27)</f>
        <v>0.49576320775489569</v>
      </c>
      <c r="D53" s="266">
        <f>IF(D$27=0,0,D$27/AGR_fec!D$27)</f>
        <v>0.49576320775489563</v>
      </c>
      <c r="E53" s="266">
        <f>IF(E$27=0,0,E$27/AGR_fec!E$27)</f>
        <v>0.49576320775489585</v>
      </c>
      <c r="F53" s="266">
        <f>IF(F$27=0,0,F$27/AGR_fec!F$27)</f>
        <v>0.49576320775489552</v>
      </c>
      <c r="G53" s="266">
        <f>IF(G$27=0,0,G$27/AGR_fec!G$27)</f>
        <v>0.49576320775489563</v>
      </c>
      <c r="H53" s="266">
        <f>IF(H$27=0,0,H$27/AGR_fec!H$27)</f>
        <v>0.49576320775489563</v>
      </c>
      <c r="I53" s="266">
        <f>IF(I$27=0,0,I$27/AGR_fec!I$27)</f>
        <v>0.49576320775489574</v>
      </c>
      <c r="J53" s="266">
        <f>IF(J$27=0,0,J$27/AGR_fec!J$27)</f>
        <v>0.49576320775489563</v>
      </c>
      <c r="K53" s="266">
        <f>IF(K$27=0,0,K$27/AGR_fec!K$27)</f>
        <v>0.49576320775489569</v>
      </c>
      <c r="L53" s="266">
        <f>IF(L$27=0,0,L$27/AGR_fec!L$27)</f>
        <v>0.4957632077548958</v>
      </c>
      <c r="M53" s="266">
        <f>IF(M$27=0,0,M$27/AGR_fec!M$27)</f>
        <v>0.4957632077548958</v>
      </c>
      <c r="N53" s="266">
        <f>IF(N$27=0,0,N$27/AGR_fec!N$27)</f>
        <v>0.49576320775489569</v>
      </c>
      <c r="O53" s="266">
        <f>IF(O$27=0,0,O$27/AGR_fec!O$27)</f>
        <v>0.49576320775489546</v>
      </c>
      <c r="P53" s="266">
        <f>IF(P$27=0,0,P$27/AGR_fec!P$27)</f>
        <v>0.49576320775489585</v>
      </c>
      <c r="Q53" s="266">
        <f>IF(Q$27=0,0,Q$27/AGR_fec!Q$27)</f>
        <v>0.49576320775489569</v>
      </c>
      <c r="R53" s="266">
        <f>IF(R$27=0,0,R$27/AGR_fec!R$27)</f>
        <v>0.49576320775489569</v>
      </c>
      <c r="S53" s="266">
        <f>IF(S$27=0,0,S$27/AGR_fec!S$27)</f>
        <v>0.4957632077548958</v>
      </c>
      <c r="T53" s="266">
        <f>IF(T$27=0,0,T$27/AGR_fec!T$27)</f>
        <v>0.49576320775489585</v>
      </c>
      <c r="U53" s="266">
        <f>IF(U$27=0,0,U$27/AGR_fec!U$27)</f>
        <v>0.49576320775489591</v>
      </c>
      <c r="V53" s="266">
        <f>IF(V$27=0,0,V$27/AGR_fec!V$27)</f>
        <v>0.49576320775489574</v>
      </c>
      <c r="W53" s="266">
        <f>IF(W$27=0,0,W$27/AGR_fec!W$27)</f>
        <v>0.49576320775489569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1022.3126224550434</v>
      </c>
      <c r="C5" s="80">
        <f t="shared" ref="C5:W5" si="0">SUM(C6:C9,C16:C17,C25:C27)</f>
        <v>1021.3490916506719</v>
      </c>
      <c r="D5" s="80">
        <f t="shared" si="0"/>
        <v>977.77010221698686</v>
      </c>
      <c r="E5" s="80">
        <f t="shared" si="0"/>
        <v>995.65633852176927</v>
      </c>
      <c r="F5" s="80">
        <f t="shared" si="0"/>
        <v>984.91124325229021</v>
      </c>
      <c r="G5" s="80">
        <f t="shared" si="0"/>
        <v>907.8071175021114</v>
      </c>
      <c r="H5" s="80">
        <f t="shared" si="0"/>
        <v>867.90106737570693</v>
      </c>
      <c r="I5" s="80">
        <f t="shared" si="0"/>
        <v>841.33827326433288</v>
      </c>
      <c r="J5" s="80">
        <f t="shared" si="0"/>
        <v>836.95896329847471</v>
      </c>
      <c r="K5" s="80">
        <f t="shared" si="0"/>
        <v>779.14967717052207</v>
      </c>
      <c r="L5" s="80">
        <f t="shared" si="0"/>
        <v>778.29571323094001</v>
      </c>
      <c r="M5" s="80">
        <f t="shared" si="0"/>
        <v>755.10397944190493</v>
      </c>
      <c r="N5" s="80">
        <f t="shared" si="0"/>
        <v>737.61531913287854</v>
      </c>
      <c r="O5" s="80">
        <f t="shared" si="0"/>
        <v>756.4632636153317</v>
      </c>
      <c r="P5" s="80">
        <f t="shared" si="0"/>
        <v>755.54631566867624</v>
      </c>
      <c r="Q5" s="80">
        <f t="shared" si="0"/>
        <v>749.70847942143462</v>
      </c>
      <c r="R5" s="80">
        <f t="shared" si="0"/>
        <v>761.52041591715408</v>
      </c>
      <c r="S5" s="80">
        <f t="shared" si="0"/>
        <v>749.82669034440846</v>
      </c>
      <c r="T5" s="80">
        <f t="shared" si="0"/>
        <v>737.34239915876435</v>
      </c>
      <c r="U5" s="80">
        <f t="shared" si="0"/>
        <v>735.64911488568089</v>
      </c>
      <c r="V5" s="80">
        <f t="shared" si="0"/>
        <v>720.22075566091837</v>
      </c>
      <c r="W5" s="80">
        <f t="shared" si="0"/>
        <v>736.55924544993104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204.10542680438869</v>
      </c>
      <c r="C9" s="244">
        <f t="shared" ref="C9:W9" si="1">SUM(C10:C15)</f>
        <v>207.36355814959268</v>
      </c>
      <c r="D9" s="244">
        <f t="shared" si="1"/>
        <v>200.40297521082698</v>
      </c>
      <c r="E9" s="244">
        <f t="shared" si="1"/>
        <v>202.58263298006926</v>
      </c>
      <c r="F9" s="244">
        <f t="shared" si="1"/>
        <v>202.78179725927174</v>
      </c>
      <c r="G9" s="244">
        <f t="shared" si="1"/>
        <v>193.27746697851387</v>
      </c>
      <c r="H9" s="244">
        <f t="shared" si="1"/>
        <v>182.83835557912644</v>
      </c>
      <c r="I9" s="244">
        <f t="shared" si="1"/>
        <v>175.17406608947661</v>
      </c>
      <c r="J9" s="244">
        <f t="shared" si="1"/>
        <v>171.47769461899151</v>
      </c>
      <c r="K9" s="244">
        <f t="shared" si="1"/>
        <v>161.19692147924792</v>
      </c>
      <c r="L9" s="244">
        <f t="shared" si="1"/>
        <v>164.3553217534382</v>
      </c>
      <c r="M9" s="244">
        <f t="shared" si="1"/>
        <v>159.76442013534205</v>
      </c>
      <c r="N9" s="244">
        <f t="shared" si="1"/>
        <v>155.54845740084801</v>
      </c>
      <c r="O9" s="244">
        <f t="shared" si="1"/>
        <v>160.78907699279722</v>
      </c>
      <c r="P9" s="244">
        <f t="shared" si="1"/>
        <v>161.50885409045759</v>
      </c>
      <c r="Q9" s="244">
        <f t="shared" si="1"/>
        <v>159.44180826930724</v>
      </c>
      <c r="R9" s="244">
        <f t="shared" si="1"/>
        <v>159.3967339045391</v>
      </c>
      <c r="S9" s="244">
        <f t="shared" si="1"/>
        <v>162.72894804428364</v>
      </c>
      <c r="T9" s="244">
        <f t="shared" si="1"/>
        <v>157.71074367962416</v>
      </c>
      <c r="U9" s="244">
        <f t="shared" si="1"/>
        <v>153.65197373889413</v>
      </c>
      <c r="V9" s="244">
        <f t="shared" si="1"/>
        <v>143.98945545383486</v>
      </c>
      <c r="W9" s="244">
        <f t="shared" si="1"/>
        <v>148.30403180544047</v>
      </c>
      <c r="DA9" s="270"/>
    </row>
    <row r="10" spans="1:105" x14ac:dyDescent="0.25">
      <c r="A10" s="254" t="s">
        <v>173</v>
      </c>
      <c r="B10" s="255">
        <v>187.83618747988371</v>
      </c>
      <c r="C10" s="255">
        <v>188.62660002135181</v>
      </c>
      <c r="D10" s="255">
        <v>183.66724337758939</v>
      </c>
      <c r="E10" s="255">
        <v>184.399317779038</v>
      </c>
      <c r="F10" s="255">
        <v>184.81146436622871</v>
      </c>
      <c r="G10" s="255">
        <v>171.27027689863269</v>
      </c>
      <c r="H10" s="255">
        <v>162.49586232911861</v>
      </c>
      <c r="I10" s="255">
        <v>155.41817501953199</v>
      </c>
      <c r="J10" s="255">
        <v>151.37255354645549</v>
      </c>
      <c r="K10" s="255">
        <v>142.05796551362479</v>
      </c>
      <c r="L10" s="255">
        <v>142.04313677921451</v>
      </c>
      <c r="M10" s="255">
        <v>141.05370678119721</v>
      </c>
      <c r="N10" s="255">
        <v>143.19650375716961</v>
      </c>
      <c r="O10" s="255">
        <v>146.64677697324441</v>
      </c>
      <c r="P10" s="255">
        <v>146.13621818498859</v>
      </c>
      <c r="Q10" s="255">
        <v>142.5415160939105</v>
      </c>
      <c r="R10" s="255">
        <v>139.1033208424914</v>
      </c>
      <c r="S10" s="255">
        <v>135.20009460455981</v>
      </c>
      <c r="T10" s="255">
        <v>134.1988792332229</v>
      </c>
      <c r="U10" s="255">
        <v>126.2797122958244</v>
      </c>
      <c r="V10" s="255">
        <v>121.5205417035197</v>
      </c>
      <c r="W10" s="255">
        <v>123.2313932155576</v>
      </c>
      <c r="DA10" s="271" t="s">
        <v>1038</v>
      </c>
    </row>
    <row r="11" spans="1:105" x14ac:dyDescent="0.25">
      <c r="A11" s="254" t="s">
        <v>176</v>
      </c>
      <c r="B11" s="256">
        <v>16.269239324504969</v>
      </c>
      <c r="C11" s="256">
        <v>18.736958128240861</v>
      </c>
      <c r="D11" s="256">
        <v>16.735731833237601</v>
      </c>
      <c r="E11" s="256">
        <v>18.18331520103127</v>
      </c>
      <c r="F11" s="256">
        <v>17.97033289304305</v>
      </c>
      <c r="G11" s="256">
        <v>22.00719007988118</v>
      </c>
      <c r="H11" s="256">
        <v>20.342493250007841</v>
      </c>
      <c r="I11" s="256">
        <v>19.755891069944621</v>
      </c>
      <c r="J11" s="256">
        <v>20.105141072536011</v>
      </c>
      <c r="K11" s="256">
        <v>19.13895596562314</v>
      </c>
      <c r="L11" s="256">
        <v>22.312184974223701</v>
      </c>
      <c r="M11" s="256">
        <v>18.71071335414485</v>
      </c>
      <c r="N11" s="256">
        <v>12.351953643678391</v>
      </c>
      <c r="O11" s="256">
        <v>14.14230001955281</v>
      </c>
      <c r="P11" s="256">
        <v>15.372635905468989</v>
      </c>
      <c r="Q11" s="256">
        <v>16.900292175396739</v>
      </c>
      <c r="R11" s="256">
        <v>20.293413062047701</v>
      </c>
      <c r="S11" s="256">
        <v>27.528853439723822</v>
      </c>
      <c r="T11" s="256">
        <v>23.511864446401251</v>
      </c>
      <c r="U11" s="256">
        <v>27.372261443069739</v>
      </c>
      <c r="V11" s="256">
        <v>22.468913750315171</v>
      </c>
      <c r="W11" s="256">
        <v>25.072638589882882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351.38386483511692</v>
      </c>
      <c r="C16" s="258">
        <v>355.89437608368962</v>
      </c>
      <c r="D16" s="258">
        <v>350.63358929691532</v>
      </c>
      <c r="E16" s="258">
        <v>354.57222882871508</v>
      </c>
      <c r="F16" s="258">
        <v>354.8740682887551</v>
      </c>
      <c r="G16" s="258">
        <v>344.83130924123742</v>
      </c>
      <c r="H16" s="258">
        <v>332.03482927252662</v>
      </c>
      <c r="I16" s="258">
        <v>327.25006822815777</v>
      </c>
      <c r="J16" s="258">
        <v>327.82595172061502</v>
      </c>
      <c r="K16" s="258">
        <v>318.69733357410001</v>
      </c>
      <c r="L16" s="258">
        <v>326.86514108172543</v>
      </c>
      <c r="M16" s="258">
        <v>319.59714424998862</v>
      </c>
      <c r="N16" s="258">
        <v>320.16745210694552</v>
      </c>
      <c r="O16" s="258">
        <v>330.297473576529</v>
      </c>
      <c r="P16" s="258">
        <v>322.74603612977398</v>
      </c>
      <c r="Q16" s="258">
        <v>324.06217899008891</v>
      </c>
      <c r="R16" s="258">
        <v>328.23478884616998</v>
      </c>
      <c r="S16" s="258">
        <v>331.22008081612438</v>
      </c>
      <c r="T16" s="258">
        <v>324.51207415971248</v>
      </c>
      <c r="U16" s="258">
        <v>319.41059797743009</v>
      </c>
      <c r="V16" s="258">
        <v>320.89965825662222</v>
      </c>
      <c r="W16" s="258">
        <v>338.70851249059939</v>
      </c>
      <c r="DA16" s="273" t="s">
        <v>1044</v>
      </c>
    </row>
    <row r="17" spans="1:105" x14ac:dyDescent="0.25">
      <c r="A17" s="257" t="s">
        <v>121</v>
      </c>
      <c r="B17" s="258">
        <f>SUM(B18:B24)</f>
        <v>399.30199285089799</v>
      </c>
      <c r="C17" s="258">
        <f t="shared" ref="C17:W17" si="2">SUM(C18:C24)</f>
        <v>389.70308712697522</v>
      </c>
      <c r="D17" s="258">
        <f t="shared" si="2"/>
        <v>359.3563714418604</v>
      </c>
      <c r="E17" s="258">
        <f t="shared" si="2"/>
        <v>370.36746803602585</v>
      </c>
      <c r="F17" s="258">
        <f t="shared" si="2"/>
        <v>359.06336805961035</v>
      </c>
      <c r="G17" s="258">
        <f t="shared" si="2"/>
        <v>303.43613148228206</v>
      </c>
      <c r="H17" s="258">
        <f t="shared" si="2"/>
        <v>289.2246229923112</v>
      </c>
      <c r="I17" s="258">
        <f t="shared" si="2"/>
        <v>276.03031112451487</v>
      </c>
      <c r="J17" s="258">
        <f t="shared" si="2"/>
        <v>274.66082832435427</v>
      </c>
      <c r="K17" s="258">
        <f t="shared" si="2"/>
        <v>238.01507353490817</v>
      </c>
      <c r="L17" s="258">
        <f t="shared" si="2"/>
        <v>224.26538953265703</v>
      </c>
      <c r="M17" s="258">
        <f t="shared" si="2"/>
        <v>214.32916035416144</v>
      </c>
      <c r="N17" s="258">
        <f t="shared" si="2"/>
        <v>200.37656551516895</v>
      </c>
      <c r="O17" s="258">
        <f t="shared" si="2"/>
        <v>201.90730088989378</v>
      </c>
      <c r="P17" s="258">
        <f t="shared" si="2"/>
        <v>209.27308492933147</v>
      </c>
      <c r="Q17" s="258">
        <f t="shared" si="2"/>
        <v>203.93324382394283</v>
      </c>
      <c r="R17" s="258">
        <f t="shared" si="2"/>
        <v>210.81584307111933</v>
      </c>
      <c r="S17" s="258">
        <f t="shared" si="2"/>
        <v>192.2309626580452</v>
      </c>
      <c r="T17" s="258">
        <f t="shared" si="2"/>
        <v>192.76188187518611</v>
      </c>
      <c r="U17" s="258">
        <f t="shared" si="2"/>
        <v>201.2091348878414</v>
      </c>
      <c r="V17" s="258">
        <f t="shared" si="2"/>
        <v>193.66809832688003</v>
      </c>
      <c r="W17" s="258">
        <f t="shared" si="2"/>
        <v>184.46103777515376</v>
      </c>
      <c r="DA17" s="273"/>
    </row>
    <row r="18" spans="1:105" x14ac:dyDescent="0.25">
      <c r="A18" s="61" t="s">
        <v>29</v>
      </c>
      <c r="B18" s="55">
        <v>17.43473829572293</v>
      </c>
      <c r="C18" s="55">
        <v>17.44951289143529</v>
      </c>
      <c r="D18" s="55">
        <v>12.65611777823244</v>
      </c>
      <c r="E18" s="55">
        <v>9.6242498823717479</v>
      </c>
      <c r="F18" s="55">
        <v>9.6197038529173238</v>
      </c>
      <c r="G18" s="55">
        <v>12.161782622917251</v>
      </c>
      <c r="H18" s="55">
        <v>10.458753936262969</v>
      </c>
      <c r="I18" s="55">
        <v>12.51194978523772</v>
      </c>
      <c r="J18" s="55">
        <v>13.10918981926177</v>
      </c>
      <c r="K18" s="55">
        <v>5.4217619310191978</v>
      </c>
      <c r="L18" s="55">
        <v>5.6612209515309448</v>
      </c>
      <c r="M18" s="55">
        <v>3.7189047624289229</v>
      </c>
      <c r="N18" s="55">
        <v>3.918974773470858</v>
      </c>
      <c r="O18" s="55">
        <v>2.9765247756308</v>
      </c>
      <c r="P18" s="55">
        <v>2.4680756694379808</v>
      </c>
      <c r="Q18" s="55">
        <v>2.0097752221652381</v>
      </c>
      <c r="R18" s="55">
        <v>1.938877797893765</v>
      </c>
      <c r="S18" s="55">
        <v>2.6772133050751541</v>
      </c>
      <c r="T18" s="55">
        <v>2.350766879268936</v>
      </c>
      <c r="U18" s="55">
        <v>1.754194526580785</v>
      </c>
      <c r="V18" s="55">
        <v>1.728625741680087</v>
      </c>
      <c r="W18" s="55">
        <v>1.370136610398027</v>
      </c>
      <c r="DA18" s="101" t="s">
        <v>1045</v>
      </c>
    </row>
    <row r="19" spans="1:105" x14ac:dyDescent="0.25">
      <c r="A19" s="61" t="s">
        <v>27</v>
      </c>
      <c r="B19" s="55">
        <v>14.51302523997605</v>
      </c>
      <c r="C19" s="55">
        <v>11.61037475997578</v>
      </c>
      <c r="D19" s="55">
        <v>8.707724279971039</v>
      </c>
      <c r="E19" s="55">
        <v>8.7077242799851575</v>
      </c>
      <c r="F19" s="55">
        <v>8.7077242799832302</v>
      </c>
      <c r="G19" s="55">
        <v>12.80909807997023</v>
      </c>
      <c r="H19" s="55">
        <v>12.51606167997846</v>
      </c>
      <c r="I19" s="55">
        <v>13.05306791996434</v>
      </c>
      <c r="J19" s="55">
        <v>13.471042319965751</v>
      </c>
      <c r="K19" s="55">
        <v>9.2738069999841883</v>
      </c>
      <c r="L19" s="55">
        <v>9.8049070799768323</v>
      </c>
      <c r="M19" s="55">
        <v>7.041732839985321</v>
      </c>
      <c r="N19" s="55">
        <v>7.3306803599773218</v>
      </c>
      <c r="O19" s="55">
        <v>8.287023959984559</v>
      </c>
      <c r="P19" s="55">
        <v>7.0803500399732711</v>
      </c>
      <c r="Q19" s="55">
        <v>7.1562214799729</v>
      </c>
      <c r="R19" s="55">
        <v>7.1589473999716819</v>
      </c>
      <c r="S19" s="55">
        <v>8.6577490799686085</v>
      </c>
      <c r="T19" s="55">
        <v>7.9621851599818756</v>
      </c>
      <c r="U19" s="55">
        <v>8.1455032799717468</v>
      </c>
      <c r="V19" s="55">
        <v>8.3056510799730372</v>
      </c>
      <c r="W19" s="55">
        <v>8.7449785199764154</v>
      </c>
      <c r="DA19" s="101" t="s">
        <v>1046</v>
      </c>
    </row>
    <row r="20" spans="1:105" x14ac:dyDescent="0.25">
      <c r="A20" s="61" t="s">
        <v>173</v>
      </c>
      <c r="B20" s="55">
        <v>160.75674008003139</v>
      </c>
      <c r="C20" s="55">
        <v>151.4175743242206</v>
      </c>
      <c r="D20" s="55">
        <v>162.6486217774484</v>
      </c>
      <c r="E20" s="55">
        <v>154.04955579502021</v>
      </c>
      <c r="F20" s="55">
        <v>150.10605914010009</v>
      </c>
      <c r="G20" s="55">
        <v>165.07424917951229</v>
      </c>
      <c r="H20" s="55">
        <v>162.572144386236</v>
      </c>
      <c r="I20" s="55">
        <v>170.5966266094438</v>
      </c>
      <c r="J20" s="55">
        <v>166.55658165783731</v>
      </c>
      <c r="K20" s="55">
        <v>167.60136016960109</v>
      </c>
      <c r="L20" s="55">
        <v>158.9920585954537</v>
      </c>
      <c r="M20" s="55">
        <v>161.86291830595189</v>
      </c>
      <c r="N20" s="55">
        <v>155.69265282547369</v>
      </c>
      <c r="O20" s="55">
        <v>148.8341562938887</v>
      </c>
      <c r="P20" s="55">
        <v>152.649497325525</v>
      </c>
      <c r="Q20" s="55">
        <v>150.23439501732261</v>
      </c>
      <c r="R20" s="55">
        <v>145.88572797546061</v>
      </c>
      <c r="S20" s="55">
        <v>143.98816247278421</v>
      </c>
      <c r="T20" s="55">
        <v>155.24904220235931</v>
      </c>
      <c r="U20" s="55">
        <v>157.22870384440759</v>
      </c>
      <c r="V20" s="55">
        <v>154.97858085557681</v>
      </c>
      <c r="W20" s="55">
        <v>144.87057895468371</v>
      </c>
      <c r="DA20" s="101" t="s">
        <v>1047</v>
      </c>
    </row>
    <row r="21" spans="1:105" x14ac:dyDescent="0.25">
      <c r="A21" s="61" t="s">
        <v>129</v>
      </c>
      <c r="B21" s="55">
        <v>192.6737085596821</v>
      </c>
      <c r="C21" s="55">
        <v>194.18477327959499</v>
      </c>
      <c r="D21" s="55">
        <v>160.52338943946609</v>
      </c>
      <c r="E21" s="55">
        <v>182.7953632796885</v>
      </c>
      <c r="F21" s="55">
        <v>176.03416367966099</v>
      </c>
      <c r="G21" s="55">
        <v>92.179963439785794</v>
      </c>
      <c r="H21" s="55">
        <v>83.325620159856584</v>
      </c>
      <c r="I21" s="55">
        <v>58.183375679841049</v>
      </c>
      <c r="J21" s="55">
        <v>59.402147039848927</v>
      </c>
      <c r="K21" s="55">
        <v>33.137819279943457</v>
      </c>
      <c r="L21" s="55">
        <v>24.83267543994133</v>
      </c>
      <c r="M21" s="55">
        <v>20.234558159957832</v>
      </c>
      <c r="N21" s="55">
        <v>20.004401519938121</v>
      </c>
      <c r="O21" s="55">
        <v>27.456349679948829</v>
      </c>
      <c r="P21" s="55">
        <v>31.017368879882898</v>
      </c>
      <c r="Q21" s="55">
        <v>26.720461439898809</v>
      </c>
      <c r="R21" s="55">
        <v>34.549409519863353</v>
      </c>
      <c r="S21" s="55">
        <v>7.5895963199724781</v>
      </c>
      <c r="T21" s="55">
        <v>0</v>
      </c>
      <c r="U21" s="55">
        <v>0</v>
      </c>
      <c r="V21" s="55">
        <v>0</v>
      </c>
      <c r="W21" s="55">
        <v>0</v>
      </c>
      <c r="DA21" s="101" t="s">
        <v>1048</v>
      </c>
    </row>
    <row r="22" spans="1:105" x14ac:dyDescent="0.25">
      <c r="A22" s="61" t="s">
        <v>176</v>
      </c>
      <c r="B22" s="55">
        <v>13.92378067548548</v>
      </c>
      <c r="C22" s="55">
        <v>15.04085187174859</v>
      </c>
      <c r="D22" s="55">
        <v>14.820518166742421</v>
      </c>
      <c r="E22" s="55">
        <v>15.19057479896018</v>
      </c>
      <c r="F22" s="55">
        <v>14.59571710694871</v>
      </c>
      <c r="G22" s="55">
        <v>21.211038160096528</v>
      </c>
      <c r="H22" s="55">
        <v>20.352042829977229</v>
      </c>
      <c r="I22" s="55">
        <v>21.685291130027949</v>
      </c>
      <c r="J22" s="55">
        <v>22.121867487440511</v>
      </c>
      <c r="K22" s="55">
        <v>22.580325154360231</v>
      </c>
      <c r="L22" s="55">
        <v>24.974527465754221</v>
      </c>
      <c r="M22" s="55">
        <v>21.47104628583747</v>
      </c>
      <c r="N22" s="55">
        <v>13.429856036308969</v>
      </c>
      <c r="O22" s="55">
        <v>14.353246180440889</v>
      </c>
      <c r="P22" s="55">
        <v>16.057793014512331</v>
      </c>
      <c r="Q22" s="55">
        <v>17.81239066458329</v>
      </c>
      <c r="R22" s="55">
        <v>21.28288037792991</v>
      </c>
      <c r="S22" s="55">
        <v>29.31824148024474</v>
      </c>
      <c r="T22" s="55">
        <v>27.19988763357599</v>
      </c>
      <c r="U22" s="55">
        <v>34.080733236881279</v>
      </c>
      <c r="V22" s="55">
        <v>28.6552406496501</v>
      </c>
      <c r="W22" s="55">
        <v>29.47534369009561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67.521337964639855</v>
      </c>
      <c r="C25" s="258">
        <v>68.38807029041439</v>
      </c>
      <c r="D25" s="258">
        <v>67.37716626738424</v>
      </c>
      <c r="E25" s="258">
        <v>68.134008676959112</v>
      </c>
      <c r="F25" s="258">
        <v>68.192009644652899</v>
      </c>
      <c r="G25" s="258">
        <v>66.262209800078153</v>
      </c>
      <c r="H25" s="258">
        <v>63.803259531742668</v>
      </c>
      <c r="I25" s="258">
        <v>62.883827822183498</v>
      </c>
      <c r="J25" s="258">
        <v>62.994488634513907</v>
      </c>
      <c r="K25" s="258">
        <v>61.240348582265902</v>
      </c>
      <c r="L25" s="258">
        <v>62.809860863119432</v>
      </c>
      <c r="M25" s="258">
        <v>61.413254702412807</v>
      </c>
      <c r="N25" s="258">
        <v>61.522844109916022</v>
      </c>
      <c r="O25" s="258">
        <v>63.469412156111787</v>
      </c>
      <c r="P25" s="258">
        <v>62.018340519113167</v>
      </c>
      <c r="Q25" s="258">
        <v>62.271248338095653</v>
      </c>
      <c r="R25" s="258">
        <v>63.073050095325563</v>
      </c>
      <c r="S25" s="258">
        <v>63.646698825955262</v>
      </c>
      <c r="T25" s="258">
        <v>62.357699444241547</v>
      </c>
      <c r="U25" s="258">
        <v>61.377408281515322</v>
      </c>
      <c r="V25" s="258">
        <v>61.663543623581283</v>
      </c>
      <c r="W25" s="258">
        <v>65.085663378737451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1</v>
      </c>
      <c r="D31" s="236">
        <f t="shared" si="3"/>
        <v>1.0000000000000002</v>
      </c>
      <c r="E31" s="236">
        <f t="shared" si="3"/>
        <v>1</v>
      </c>
      <c r="F31" s="236">
        <f t="shared" si="3"/>
        <v>0.99999999999999989</v>
      </c>
      <c r="G31" s="236">
        <f t="shared" si="3"/>
        <v>1</v>
      </c>
      <c r="H31" s="236">
        <f t="shared" si="3"/>
        <v>1</v>
      </c>
      <c r="I31" s="236">
        <f t="shared" si="3"/>
        <v>0.99999999999999978</v>
      </c>
      <c r="J31" s="236">
        <f t="shared" si="3"/>
        <v>1</v>
      </c>
      <c r="K31" s="236">
        <f t="shared" si="3"/>
        <v>0.99999999999999989</v>
      </c>
      <c r="L31" s="236">
        <f t="shared" si="3"/>
        <v>1</v>
      </c>
      <c r="M31" s="236">
        <f t="shared" si="3"/>
        <v>1</v>
      </c>
      <c r="N31" s="236">
        <f t="shared" si="3"/>
        <v>0.99999999999999989</v>
      </c>
      <c r="O31" s="236">
        <f t="shared" si="3"/>
        <v>1.0000000000000002</v>
      </c>
      <c r="P31" s="236">
        <f t="shared" si="3"/>
        <v>0.99999999999999989</v>
      </c>
      <c r="Q31" s="236">
        <f t="shared" si="3"/>
        <v>1</v>
      </c>
      <c r="R31" s="236">
        <f t="shared" ref="R31:W31" si="4">SUM(R32:R40)</f>
        <v>0.99999999999999978</v>
      </c>
      <c r="S31" s="236">
        <f t="shared" si="4"/>
        <v>0.99999999999999989</v>
      </c>
      <c r="T31" s="236">
        <f t="shared" si="4"/>
        <v>1</v>
      </c>
      <c r="U31" s="236">
        <f t="shared" si="4"/>
        <v>1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0.19965069619725281</v>
      </c>
      <c r="C35" s="247">
        <f t="shared" si="8"/>
        <v>0.20302907188614452</v>
      </c>
      <c r="D35" s="247">
        <f t="shared" si="8"/>
        <v>0.20495919721459588</v>
      </c>
      <c r="E35" s="247">
        <f t="shared" si="8"/>
        <v>0.20346642224046863</v>
      </c>
      <c r="F35" s="247">
        <f t="shared" si="8"/>
        <v>0.20588839720182595</v>
      </c>
      <c r="G35" s="247">
        <f t="shared" si="8"/>
        <v>0.21290587312239745</v>
      </c>
      <c r="H35" s="247">
        <f t="shared" si="8"/>
        <v>0.21066727816337308</v>
      </c>
      <c r="I35" s="247">
        <f t="shared" si="8"/>
        <v>0.20820884019671856</v>
      </c>
      <c r="J35" s="247">
        <f t="shared" si="8"/>
        <v>0.2048818426451805</v>
      </c>
      <c r="K35" s="247">
        <f t="shared" si="8"/>
        <v>0.2068882606287327</v>
      </c>
      <c r="L35" s="247">
        <f t="shared" si="8"/>
        <v>0.21117336117804086</v>
      </c>
      <c r="M35" s="247">
        <f t="shared" si="8"/>
        <v>0.21157936454450083</v>
      </c>
      <c r="N35" s="247">
        <f t="shared" si="8"/>
        <v>0.21088018831239397</v>
      </c>
      <c r="O35" s="247">
        <f t="shared" si="8"/>
        <v>0.21255371506653878</v>
      </c>
      <c r="P35" s="247">
        <f t="shared" si="8"/>
        <v>0.21376433282917734</v>
      </c>
      <c r="Q35" s="247">
        <f t="shared" si="8"/>
        <v>0.2126717419447513</v>
      </c>
      <c r="R35" s="247">
        <f t="shared" si="8"/>
        <v>0.20931380245737219</v>
      </c>
      <c r="S35" s="247">
        <f t="shared" si="8"/>
        <v>0.21702208008831933</v>
      </c>
      <c r="T35" s="247">
        <f t="shared" si="8"/>
        <v>0.21389078379265414</v>
      </c>
      <c r="U35" s="247">
        <f t="shared" si="8"/>
        <v>0.20886584463949431</v>
      </c>
      <c r="V35" s="247">
        <f t="shared" si="8"/>
        <v>0.19992405706456123</v>
      </c>
      <c r="W35" s="247">
        <f t="shared" si="8"/>
        <v>0.20134705079270057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0.3437146887527246</v>
      </c>
      <c r="C36" s="260">
        <f t="shared" si="9"/>
        <v>0.34845517462448072</v>
      </c>
      <c r="D36" s="260">
        <f t="shared" si="9"/>
        <v>0.35860534956212303</v>
      </c>
      <c r="E36" s="260">
        <f t="shared" si="9"/>
        <v>0.35611908959987265</v>
      </c>
      <c r="F36" s="260">
        <f t="shared" si="9"/>
        <v>0.36031070892938544</v>
      </c>
      <c r="G36" s="260">
        <f t="shared" si="9"/>
        <v>0.37985085443046818</v>
      </c>
      <c r="H36" s="260">
        <f t="shared" si="9"/>
        <v>0.38257220984473289</v>
      </c>
      <c r="I36" s="260">
        <f t="shared" si="9"/>
        <v>0.38896372437503729</v>
      </c>
      <c r="J36" s="260">
        <f t="shared" si="9"/>
        <v>0.39168700748319291</v>
      </c>
      <c r="K36" s="260">
        <f t="shared" si="9"/>
        <v>0.4090322346425756</v>
      </c>
      <c r="L36" s="260">
        <f t="shared" si="9"/>
        <v>0.41997551255268994</v>
      </c>
      <c r="M36" s="260">
        <f t="shared" si="9"/>
        <v>0.42324918547800783</v>
      </c>
      <c r="N36" s="260">
        <f t="shared" si="9"/>
        <v>0.43405748742220551</v>
      </c>
      <c r="O36" s="260">
        <f t="shared" si="9"/>
        <v>0.4366338584612196</v>
      </c>
      <c r="P36" s="260">
        <f t="shared" si="9"/>
        <v>0.42716909531103486</v>
      </c>
      <c r="Q36" s="260">
        <f t="shared" si="9"/>
        <v>0.43225091870399324</v>
      </c>
      <c r="R36" s="260">
        <f t="shared" si="9"/>
        <v>0.43102559299195292</v>
      </c>
      <c r="S36" s="260">
        <f t="shared" si="9"/>
        <v>0.44172884892106096</v>
      </c>
      <c r="T36" s="260">
        <f t="shared" si="9"/>
        <v>0.44011042160324576</v>
      </c>
      <c r="U36" s="260">
        <f t="shared" si="9"/>
        <v>0.43418878853278597</v>
      </c>
      <c r="V36" s="260">
        <f t="shared" si="9"/>
        <v>0.44555735964891097</v>
      </c>
      <c r="W36" s="260">
        <f t="shared" si="9"/>
        <v>0.45985236704713078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0.39058697318242047</v>
      </c>
      <c r="C37" s="260">
        <f t="shared" si="10"/>
        <v>0.3815571877556081</v>
      </c>
      <c r="D37" s="260">
        <f t="shared" si="10"/>
        <v>0.36752644678647783</v>
      </c>
      <c r="E37" s="260">
        <f t="shared" si="10"/>
        <v>0.37198323729440913</v>
      </c>
      <c r="F37" s="260">
        <f t="shared" si="10"/>
        <v>0.36456418841756932</v>
      </c>
      <c r="G37" s="260">
        <f t="shared" si="10"/>
        <v>0.33425176519567917</v>
      </c>
      <c r="H37" s="260">
        <f t="shared" si="10"/>
        <v>0.33324607361855951</v>
      </c>
      <c r="I37" s="260">
        <f t="shared" si="10"/>
        <v>0.32808481427278569</v>
      </c>
      <c r="J37" s="260">
        <f t="shared" si="10"/>
        <v>0.32816522717184315</v>
      </c>
      <c r="K37" s="260">
        <f t="shared" si="10"/>
        <v>0.3054805520798759</v>
      </c>
      <c r="L37" s="260">
        <f t="shared" si="10"/>
        <v>0.28814933157175415</v>
      </c>
      <c r="M37" s="260">
        <f t="shared" si="10"/>
        <v>0.28384059174548582</v>
      </c>
      <c r="N37" s="260">
        <f t="shared" si="10"/>
        <v>0.27165456074139899</v>
      </c>
      <c r="O37" s="260">
        <f t="shared" si="10"/>
        <v>0.26690959178232537</v>
      </c>
      <c r="P37" s="260">
        <f t="shared" si="10"/>
        <v>0.27698247028591472</v>
      </c>
      <c r="Q37" s="260">
        <f t="shared" si="10"/>
        <v>0.27201672306190572</v>
      </c>
      <c r="R37" s="260">
        <f t="shared" si="10"/>
        <v>0.27683544480842126</v>
      </c>
      <c r="S37" s="260">
        <f t="shared" si="10"/>
        <v>0.25636719142359438</v>
      </c>
      <c r="T37" s="260">
        <f t="shared" si="10"/>
        <v>0.26142790933372145</v>
      </c>
      <c r="U37" s="260">
        <f t="shared" si="10"/>
        <v>0.2735123727010928</v>
      </c>
      <c r="V37" s="260">
        <f t="shared" si="10"/>
        <v>0.26890102347738981</v>
      </c>
      <c r="W37" s="260">
        <f t="shared" si="10"/>
        <v>0.25043611754879919</v>
      </c>
      <c r="DA37" s="279"/>
    </row>
    <row r="38" spans="1:105" x14ac:dyDescent="0.25">
      <c r="A38" s="128" t="s">
        <v>174</v>
      </c>
      <c r="B38" s="260">
        <f t="shared" ref="B38:W38" si="11">IF(B$25=0,0,B$25/B$5)</f>
        <v>6.6047641867602133E-2</v>
      </c>
      <c r="C38" s="260">
        <f t="shared" si="11"/>
        <v>6.695856573376667E-2</v>
      </c>
      <c r="D38" s="260">
        <f t="shared" si="11"/>
        <v>6.890900643680338E-2</v>
      </c>
      <c r="E38" s="260">
        <f t="shared" si="11"/>
        <v>6.8431250865249635E-2</v>
      </c>
      <c r="F38" s="260">
        <f t="shared" si="11"/>
        <v>6.9236705451219183E-2</v>
      </c>
      <c r="G38" s="260">
        <f t="shared" si="11"/>
        <v>7.2991507251455368E-2</v>
      </c>
      <c r="H38" s="260">
        <f t="shared" si="11"/>
        <v>7.3514438373334531E-2</v>
      </c>
      <c r="I38" s="260">
        <f t="shared" si="11"/>
        <v>7.4742621155458322E-2</v>
      </c>
      <c r="J38" s="260">
        <f t="shared" si="11"/>
        <v>7.5265922699783466E-2</v>
      </c>
      <c r="K38" s="260">
        <f t="shared" si="11"/>
        <v>7.8598952648815695E-2</v>
      </c>
      <c r="L38" s="260">
        <f t="shared" si="11"/>
        <v>8.0701794697515136E-2</v>
      </c>
      <c r="M38" s="260">
        <f t="shared" si="11"/>
        <v>8.133085823200556E-2</v>
      </c>
      <c r="N38" s="260">
        <f t="shared" si="11"/>
        <v>8.3407763524001491E-2</v>
      </c>
      <c r="O38" s="260">
        <f t="shared" si="11"/>
        <v>8.3902834689916342E-2</v>
      </c>
      <c r="P38" s="260">
        <f t="shared" si="11"/>
        <v>8.2084101573873039E-2</v>
      </c>
      <c r="Q38" s="260">
        <f t="shared" si="11"/>
        <v>8.3060616289349756E-2</v>
      </c>
      <c r="R38" s="260">
        <f t="shared" si="11"/>
        <v>8.2825159742253435E-2</v>
      </c>
      <c r="S38" s="260">
        <f t="shared" si="11"/>
        <v>8.4881879567025309E-2</v>
      </c>
      <c r="T38" s="260">
        <f t="shared" si="11"/>
        <v>8.4570885270378579E-2</v>
      </c>
      <c r="U38" s="260">
        <f t="shared" si="11"/>
        <v>8.3432994126626941E-2</v>
      </c>
      <c r="V38" s="260">
        <f t="shared" si="11"/>
        <v>8.5617559809138058E-2</v>
      </c>
      <c r="W38" s="260">
        <f t="shared" si="11"/>
        <v>8.83644646113695E-2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1.9361867975369735</v>
      </c>
      <c r="C44" s="238">
        <f>IF(C$5=0,0,C$5/AGR_fec!C$5)</f>
        <v>1.8786252265622887</v>
      </c>
      <c r="D44" s="238">
        <f>IF(D$5=0,0,D$5/AGR_fec!D$5)</f>
        <v>1.8529450431937271</v>
      </c>
      <c r="E44" s="238">
        <f>IF(E$5=0,0,E$5/AGR_fec!E$5)</f>
        <v>1.8388430234482294</v>
      </c>
      <c r="F44" s="238">
        <f>IF(F$5=0,0,F$5/AGR_fec!F$5)</f>
        <v>1.7960360042410715</v>
      </c>
      <c r="G44" s="238">
        <f>IF(G$5=0,0,G$5/AGR_fec!G$5)</f>
        <v>1.7246409803607274</v>
      </c>
      <c r="H44" s="238">
        <f>IF(H$5=0,0,H$5/AGR_fec!H$5)</f>
        <v>1.6604786539640382</v>
      </c>
      <c r="I44" s="238">
        <f>IF(I$5=0,0,I$5/AGR_fec!I$5)</f>
        <v>1.6362232812283619</v>
      </c>
      <c r="J44" s="238">
        <f>IF(J$5=0,0,J$5/AGR_fec!J$5)</f>
        <v>1.6072604280797662</v>
      </c>
      <c r="K44" s="238">
        <f>IF(K$5=0,0,K$5/AGR_fec!K$5)</f>
        <v>1.5191087010119966</v>
      </c>
      <c r="L44" s="238">
        <f>IF(L$5=0,0,L$5/AGR_fec!L$5)</f>
        <v>1.4587686345126081</v>
      </c>
      <c r="M44" s="238">
        <f>IF(M$5=0,0,M$5/AGR_fec!M$5)</f>
        <v>1.4608109445319364</v>
      </c>
      <c r="N44" s="238">
        <f>IF(N$5=0,0,N$5/AGR_fec!N$5)</f>
        <v>1.4076364907411461</v>
      </c>
      <c r="O44" s="238">
        <f>IF(O$5=0,0,O$5/AGR_fec!O$5)</f>
        <v>1.381520090012041</v>
      </c>
      <c r="P44" s="238">
        <f>IF(P$5=0,0,P$5/AGR_fec!P$5)</f>
        <v>1.4327889299493701</v>
      </c>
      <c r="Q44" s="238">
        <f>IF(Q$5=0,0,Q$5/AGR_fec!Q$5)</f>
        <v>1.4040122161007191</v>
      </c>
      <c r="R44" s="238">
        <f>IF(R$5=0,0,R$5/AGR_fec!R$5)</f>
        <v>1.3943538416427952</v>
      </c>
      <c r="S44" s="238">
        <f>IF(S$5=0,0,S$5/AGR_fec!S$5)</f>
        <v>1.3563753580049505</v>
      </c>
      <c r="T44" s="238">
        <f>IF(T$5=0,0,T$5/AGR_fec!T$5)</f>
        <v>1.3912922031422552</v>
      </c>
      <c r="U44" s="238">
        <f>IF(U$5=0,0,U$5/AGR_fec!U$5)</f>
        <v>1.4112621897165165</v>
      </c>
      <c r="V44" s="238">
        <f>IF(V$5=0,0,V$5/AGR_fec!V$5)</f>
        <v>1.3926534986289019</v>
      </c>
      <c r="W44" s="238">
        <f>IF(W$5=0,0,W$5/AGR_fec!W$5)</f>
        <v>1.3082004238170903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2.311681303929336</v>
      </c>
      <c r="C48" s="253">
        <f>IF(C$9=0,0,C$9/AGR_fec!C$9)</f>
        <v>2.3117894801069792</v>
      </c>
      <c r="D48" s="253">
        <f>IF(D$9=0,0,D$9/AGR_fec!D$9)</f>
        <v>2.2547234054419762</v>
      </c>
      <c r="E48" s="253">
        <f>IF(E$9=0,0,E$9/AGR_fec!E$9)</f>
        <v>2.2486031079631528</v>
      </c>
      <c r="F48" s="253">
        <f>IF(F$9=0,0,F$9/AGR_fec!F$9)</f>
        <v>2.2361044633281493</v>
      </c>
      <c r="G48" s="253">
        <f>IF(G$9=0,0,G$9/AGR_fec!G$9)</f>
        <v>2.1306256877007694</v>
      </c>
      <c r="H48" s="253">
        <f>IF(H$9=0,0,H$9/AGR_fec!H$9)</f>
        <v>2.0213280378128715</v>
      </c>
      <c r="I48" s="253">
        <f>IF(I$9=0,0,I$9/AGR_fec!I$9)</f>
        <v>1.9285340642466235</v>
      </c>
      <c r="J48" s="253">
        <f>IF(J$9=0,0,J$9/AGR_fec!J$9)</f>
        <v>1.863522919930132</v>
      </c>
      <c r="K48" s="253">
        <f>IF(K$9=0,0,K$9/AGR_fec!K$9)</f>
        <v>1.7508145416956178</v>
      </c>
      <c r="L48" s="253">
        <f>IF(L$9=0,0,L$9/AGR_fec!L$9)</f>
        <v>1.7300215417373708</v>
      </c>
      <c r="M48" s="253">
        <f>IF(M$9=0,0,M$9/AGR_fec!M$9)</f>
        <v>1.72943959826078</v>
      </c>
      <c r="N48" s="253">
        <f>IF(N$9=0,0,N$9/AGR_fec!N$9)</f>
        <v>1.6845207181893429</v>
      </c>
      <c r="O48" s="253">
        <f>IF(O$9=0,0,O$9/AGR_fec!O$9)</f>
        <v>1.6876909368832342</v>
      </c>
      <c r="P48" s="253">
        <f>IF(P$9=0,0,P$9/AGR_fec!P$9)</f>
        <v>1.7490688201140911</v>
      </c>
      <c r="Q48" s="253">
        <f>IF(Q$9=0,0,Q$9/AGR_fec!Q$9)</f>
        <v>1.6970118765898199</v>
      </c>
      <c r="R48" s="253">
        <f>IF(R$9=0,0,R$9/AGR_fec!R$9)</f>
        <v>1.6566474156258324</v>
      </c>
      <c r="S48" s="253">
        <f>IF(S$9=0,0,S$9/AGR_fec!S$9)</f>
        <v>1.6556977089457938</v>
      </c>
      <c r="T48" s="253">
        <f>IF(T$9=0,0,T$9/AGR_fec!T$9)</f>
        <v>1.6483791237749443</v>
      </c>
      <c r="U48" s="253">
        <f>IF(U$9=0,0,U$9/AGR_fec!U$9)</f>
        <v>1.6024342828149527</v>
      </c>
      <c r="V48" s="253">
        <f>IF(V$9=0,0,V$9/AGR_fec!V$9)</f>
        <v>1.5028368619178678</v>
      </c>
      <c r="W48" s="253">
        <f>IF(W$9=0,0,W$9/AGR_fec!W$9)</f>
        <v>1.4435232970945955</v>
      </c>
      <c r="DA48" s="290"/>
    </row>
    <row r="49" spans="1:105" x14ac:dyDescent="0.25">
      <c r="A49" s="128" t="s">
        <v>175</v>
      </c>
      <c r="B49" s="265">
        <f>IF(B$16=0,0,B$16/AGR_fec!B$16)</f>
        <v>3.0842719314034124</v>
      </c>
      <c r="C49" s="265">
        <f>IF(C$16=0,0,C$16/AGR_fec!C$16)</f>
        <v>3.0823821787264034</v>
      </c>
      <c r="D49" s="265">
        <f>IF(D$16=0,0,D$16/AGR_fec!D$16)</f>
        <v>3.0812741860586423</v>
      </c>
      <c r="E49" s="265">
        <f>IF(E$16=0,0,E$16/AGR_fec!E$16)</f>
        <v>3.0807288111041111</v>
      </c>
      <c r="F49" s="265">
        <f>IF(F$16=0,0,F$16/AGR_fec!F$16)</f>
        <v>3.062023858437358</v>
      </c>
      <c r="G49" s="265">
        <f>IF(G$16=0,0,G$16/AGR_fec!G$16)</f>
        <v>3.0325891316884084</v>
      </c>
      <c r="H49" s="265">
        <f>IF(H$16=0,0,H$16/AGR_fec!H$16)</f>
        <v>2.9426628522994975</v>
      </c>
      <c r="I49" s="265">
        <f>IF(I$16=0,0,I$16/AGR_fec!I$16)</f>
        <v>2.9291612623072796</v>
      </c>
      <c r="J49" s="265">
        <f>IF(J$16=0,0,J$16/AGR_fec!J$16)</f>
        <v>2.9286381711808995</v>
      </c>
      <c r="K49" s="265">
        <f>IF(K$16=0,0,K$16/AGR_fec!K$16)</f>
        <v>2.8923013344519766</v>
      </c>
      <c r="L49" s="265">
        <f>IF(L$16=0,0,L$16/AGR_fec!L$16)</f>
        <v>2.9004220472293487</v>
      </c>
      <c r="M49" s="265">
        <f>IF(M$16=0,0,M$16/AGR_fec!M$16)</f>
        <v>2.9033685159208233</v>
      </c>
      <c r="N49" s="265">
        <f>IF(N$16=0,0,N$16/AGR_fec!N$16)</f>
        <v>2.9013173677775783</v>
      </c>
      <c r="O49" s="265">
        <f>IF(O$16=0,0,O$16/AGR_fec!O$16)</f>
        <v>2.9064186823250182</v>
      </c>
      <c r="P49" s="265">
        <f>IF(P$16=0,0,P$16/AGR_fec!P$16)</f>
        <v>2.9059221262026891</v>
      </c>
      <c r="Q49" s="265">
        <f>IF(Q$16=0,0,Q$16/AGR_fec!Q$16)</f>
        <v>2.9034782758830961</v>
      </c>
      <c r="R49" s="265">
        <f>IF(R$16=0,0,R$16/AGR_fec!R$16)</f>
        <v>2.9127496395412082</v>
      </c>
      <c r="S49" s="265">
        <f>IF(S$16=0,0,S$16/AGR_fec!S$16)</f>
        <v>2.9184771099634821</v>
      </c>
      <c r="T49" s="265">
        <f>IF(T$16=0,0,T$16/AGR_fec!T$16)</f>
        <v>2.9289815014039471</v>
      </c>
      <c r="U49" s="265">
        <f>IF(U$16=0,0,U$16/AGR_fec!U$16)</f>
        <v>2.9306509543155959</v>
      </c>
      <c r="V49" s="265">
        <f>IF(V$16=0,0,V$16/AGR_fec!V$16)</f>
        <v>3.0132347620169173</v>
      </c>
      <c r="W49" s="265">
        <f>IF(W$16=0,0,W$16/AGR_fec!W$16)</f>
        <v>3.010358143085615</v>
      </c>
      <c r="DA49" s="291"/>
    </row>
    <row r="50" spans="1:105" x14ac:dyDescent="0.25">
      <c r="A50" s="128" t="s">
        <v>121</v>
      </c>
      <c r="B50" s="265">
        <f>IF(B$17=0,0,B$17/AGR_fec!B$17)</f>
        <v>1.6252177150801475</v>
      </c>
      <c r="C50" s="265">
        <f>IF(C$17=0,0,C$17/AGR_fec!C$17)</f>
        <v>1.5108020805763587</v>
      </c>
      <c r="D50" s="265">
        <f>IF(D$17=0,0,D$17/AGR_fec!D$17)</f>
        <v>1.477291915230371</v>
      </c>
      <c r="E50" s="265">
        <f>IF(E$17=0,0,E$17/AGR_fec!E$17)</f>
        <v>1.4577261552309724</v>
      </c>
      <c r="F50" s="265">
        <f>IF(F$17=0,0,F$17/AGR_fec!F$17)</f>
        <v>1.3838960472865882</v>
      </c>
      <c r="G50" s="265">
        <f>IF(G$17=0,0,G$17/AGR_fec!G$17)</f>
        <v>1.2774310214057913</v>
      </c>
      <c r="H50" s="265">
        <f>IF(H$17=0,0,H$17/AGR_fec!H$17)</f>
        <v>1.24121721145141</v>
      </c>
      <c r="I50" s="265">
        <f>IF(I$17=0,0,I$17/AGR_fec!I$17)</f>
        <v>1.2365283267463196</v>
      </c>
      <c r="J50" s="265">
        <f>IF(J$17=0,0,J$17/AGR_fec!J$17)</f>
        <v>1.2146879768058212</v>
      </c>
      <c r="K50" s="265">
        <f>IF(K$17=0,0,K$17/AGR_fec!K$17)</f>
        <v>1.0898696963140964</v>
      </c>
      <c r="L50" s="265">
        <f>IF(L$17=0,0,L$17/AGR_fec!L$17)</f>
        <v>0.96926424127190358</v>
      </c>
      <c r="M50" s="265">
        <f>IF(M$17=0,0,M$17/AGR_fec!M$17)</f>
        <v>0.96470346552233843</v>
      </c>
      <c r="N50" s="265">
        <f>IF(N$17=0,0,N$17/AGR_fec!N$17)</f>
        <v>0.87676589891986012</v>
      </c>
      <c r="O50" s="265">
        <f>IF(O$17=0,0,O$17/AGR_fec!O$17)</f>
        <v>0.82693811655015148</v>
      </c>
      <c r="P50" s="265">
        <f>IF(P$17=0,0,P$17/AGR_fec!P$17)</f>
        <v>0.89839008988416014</v>
      </c>
      <c r="Q50" s="265">
        <f>IF(Q$17=0,0,Q$17/AGR_fec!Q$17)</f>
        <v>0.86493582981340789</v>
      </c>
      <c r="R50" s="265">
        <f>IF(R$17=0,0,R$17/AGR_fec!R$17)</f>
        <v>0.87077014294670241</v>
      </c>
      <c r="S50" s="265">
        <f>IF(S$17=0,0,S$17/AGR_fec!S$17)</f>
        <v>0.78496557799488975</v>
      </c>
      <c r="T50" s="265">
        <f>IF(T$17=0,0,T$17/AGR_fec!T$17)</f>
        <v>0.84331175302772154</v>
      </c>
      <c r="U50" s="265">
        <f>IF(U$17=0,0,U$17/AGR_fec!U$17)</f>
        <v>0.91239104846394103</v>
      </c>
      <c r="V50" s="265">
        <f>IF(V$17=0,0,V$17/AGR_fec!V$17)</f>
        <v>0.88999010939009648</v>
      </c>
      <c r="W50" s="265">
        <f>IF(W$17=0,0,W$17/AGR_fec!W$17)</f>
        <v>0.75756859548322009</v>
      </c>
      <c r="DA50" s="291"/>
    </row>
    <row r="51" spans="1:105" x14ac:dyDescent="0.25">
      <c r="A51" s="128" t="s">
        <v>174</v>
      </c>
      <c r="B51" s="265">
        <f>IF(B$25=0,0,B$25/AGR_fec!B$25)</f>
        <v>3.0842719314034124</v>
      </c>
      <c r="C51" s="265">
        <f>IF(C$25=0,0,C$25/AGR_fec!C$25)</f>
        <v>3.0823821787264025</v>
      </c>
      <c r="D51" s="265">
        <f>IF(D$25=0,0,D$25/AGR_fec!D$25)</f>
        <v>3.0812741860586432</v>
      </c>
      <c r="E51" s="265">
        <f>IF(E$25=0,0,E$25/AGR_fec!E$25)</f>
        <v>3.0807288111041129</v>
      </c>
      <c r="F51" s="265">
        <f>IF(F$25=0,0,F$25/AGR_fec!F$25)</f>
        <v>3.0620238584373567</v>
      </c>
      <c r="G51" s="265">
        <f>IF(G$25=0,0,G$25/AGR_fec!G$25)</f>
        <v>3.0325891316884062</v>
      </c>
      <c r="H51" s="265">
        <f>IF(H$25=0,0,H$25/AGR_fec!H$25)</f>
        <v>2.9426628522994962</v>
      </c>
      <c r="I51" s="265">
        <f>IF(I$25=0,0,I$25/AGR_fec!I$25)</f>
        <v>2.9291612623072787</v>
      </c>
      <c r="J51" s="265">
        <f>IF(J$25=0,0,J$25/AGR_fec!J$25)</f>
        <v>2.9286381711808986</v>
      </c>
      <c r="K51" s="265">
        <f>IF(K$25=0,0,K$25/AGR_fec!K$25)</f>
        <v>2.8923013344519775</v>
      </c>
      <c r="L51" s="265">
        <f>IF(L$25=0,0,L$25/AGR_fec!L$25)</f>
        <v>2.9004220472293483</v>
      </c>
      <c r="M51" s="265">
        <f>IF(M$25=0,0,M$25/AGR_fec!M$25)</f>
        <v>2.9033685159208225</v>
      </c>
      <c r="N51" s="265">
        <f>IF(N$25=0,0,N$25/AGR_fec!N$25)</f>
        <v>2.9013173677775792</v>
      </c>
      <c r="O51" s="265">
        <f>IF(O$25=0,0,O$25/AGR_fec!O$25)</f>
        <v>2.9064186823250178</v>
      </c>
      <c r="P51" s="265">
        <f>IF(P$25=0,0,P$25/AGR_fec!P$25)</f>
        <v>2.9059221262026873</v>
      </c>
      <c r="Q51" s="265">
        <f>IF(Q$25=0,0,Q$25/AGR_fec!Q$25)</f>
        <v>2.9034782758830966</v>
      </c>
      <c r="R51" s="265">
        <f>IF(R$25=0,0,R$25/AGR_fec!R$25)</f>
        <v>2.9127496395412082</v>
      </c>
      <c r="S51" s="265">
        <f>IF(S$25=0,0,S$25/AGR_fec!S$25)</f>
        <v>2.9184771099634825</v>
      </c>
      <c r="T51" s="265">
        <f>IF(T$25=0,0,T$25/AGR_fec!T$25)</f>
        <v>2.9289815014039462</v>
      </c>
      <c r="U51" s="265">
        <f>IF(U$25=0,0,U$25/AGR_fec!U$25)</f>
        <v>2.9306509543155954</v>
      </c>
      <c r="V51" s="265">
        <f>IF(V$25=0,0,V$25/AGR_fec!V$25)</f>
        <v>3.0132347620169169</v>
      </c>
      <c r="W51" s="265">
        <f>IF(W$25=0,0,W$25/AGR_fec!W$25)</f>
        <v>3.0103581430856159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849409-9D9F-42DC-B35E-9A0B0EEC7A09}"/>
</file>

<file path=customXml/itemProps2.xml><?xml version="1.0" encoding="utf-8"?>
<ds:datastoreItem xmlns:ds="http://schemas.openxmlformats.org/officeDocument/2006/customXml" ds:itemID="{267F7817-FD9B-4BCB-8CF3-625760750ED0}"/>
</file>

<file path=customXml/itemProps3.xml><?xml version="1.0" encoding="utf-8"?>
<ds:datastoreItem xmlns:ds="http://schemas.openxmlformats.org/officeDocument/2006/customXml" ds:itemID="{108A081A-B707-4953-BDD6-EFAB4F2C6A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2024-05-20T16:45:55Z</dcterms:created>
  <dcterms:modified xsi:type="dcterms:W3CDTF">2024-05-20T16:45:55Z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