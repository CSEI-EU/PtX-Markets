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N30" i="3"/>
  <c r="M30" i="3"/>
  <c r="K30" i="3"/>
  <c r="J30" i="3"/>
  <c r="I30" i="3"/>
  <c r="H30" i="3"/>
  <c r="G30" i="3"/>
  <c r="C30" i="3"/>
  <c r="C242" i="3" s="1"/>
  <c r="B30" i="3"/>
  <c r="B24" i="1"/>
  <c r="B26" i="1"/>
  <c r="B25" i="1"/>
  <c r="S242" i="3" l="1"/>
  <c r="P18" i="20"/>
  <c r="C18" i="20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1" i="20"/>
  <c r="E17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F24" i="19"/>
  <c r="J21" i="19"/>
  <c r="N24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R212" i="3" s="1"/>
  <c r="G25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L23" i="18"/>
  <c r="T23" i="18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S22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R21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T20" i="19" l="1"/>
  <c r="N22" i="18"/>
  <c r="N20" i="19"/>
  <c r="S10" i="20"/>
  <c r="R23" i="18"/>
  <c r="I213" i="3"/>
  <c r="N23" i="18"/>
  <c r="R22" i="18"/>
  <c r="N13" i="20"/>
  <c r="N10" i="20"/>
  <c r="K20" i="19"/>
  <c r="U19" i="18"/>
  <c r="F89" i="3"/>
  <c r="F181" i="3" s="1"/>
  <c r="W24" i="19"/>
  <c r="W23" i="20"/>
  <c r="T24" i="19"/>
  <c r="Q10" i="20"/>
  <c r="W17" i="20"/>
  <c r="U24" i="19"/>
  <c r="U18" i="18"/>
  <c r="H25" i="19"/>
  <c r="M24" i="19"/>
  <c r="I22" i="18"/>
  <c r="F20" i="19"/>
  <c r="R29" i="3"/>
  <c r="R123" i="3" s="1"/>
  <c r="H3" i="19"/>
  <c r="H19" i="19" s="1"/>
  <c r="E19" i="18"/>
  <c r="H20" i="19"/>
  <c r="Q24" i="19"/>
  <c r="W10" i="20"/>
  <c r="R25" i="19"/>
  <c r="I21" i="18"/>
  <c r="G18" i="18"/>
  <c r="U29" i="3"/>
  <c r="U121" i="3" s="1"/>
  <c r="K23" i="18"/>
  <c r="N29" i="3"/>
  <c r="N122" i="3" s="1"/>
  <c r="M23" i="20"/>
  <c r="D23" i="20"/>
  <c r="M22" i="20"/>
  <c r="G23" i="20"/>
  <c r="L21" i="20"/>
  <c r="P24" i="19"/>
  <c r="O11" i="20"/>
  <c r="G24" i="19"/>
  <c r="L10" i="20"/>
  <c r="J11" i="20"/>
  <c r="L20" i="19"/>
  <c r="O21" i="19"/>
  <c r="Q21" i="19"/>
  <c r="Q11" i="20"/>
  <c r="P10" i="20"/>
  <c r="W3" i="19"/>
  <c r="W28" i="19" s="1"/>
  <c r="Q25" i="19"/>
  <c r="T22" i="18"/>
  <c r="E13" i="18"/>
  <c r="M22" i="18"/>
  <c r="M23" i="18"/>
  <c r="F19" i="18"/>
  <c r="E22" i="18"/>
  <c r="E23" i="18"/>
  <c r="S23" i="18"/>
  <c r="F18" i="18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M29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W23" i="19"/>
  <c r="W19" i="19"/>
  <c r="W27" i="19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F183" i="3" l="1"/>
  <c r="H23" i="19"/>
  <c r="E23" i="19"/>
  <c r="E27" i="19"/>
  <c r="L121" i="3"/>
  <c r="U182" i="3"/>
  <c r="H29" i="19"/>
  <c r="H27" i="19"/>
  <c r="E28" i="19"/>
  <c r="P121" i="3"/>
  <c r="H9" i="20"/>
  <c r="H28" i="19"/>
  <c r="Q241" i="3"/>
  <c r="U123" i="3"/>
  <c r="D123" i="3"/>
  <c r="U122" i="3"/>
  <c r="N241" i="3"/>
  <c r="N121" i="3"/>
  <c r="M182" i="3"/>
  <c r="W9" i="20"/>
  <c r="W29" i="19"/>
  <c r="N9" i="20"/>
  <c r="G28" i="19"/>
  <c r="P9" i="20"/>
  <c r="P27" i="19"/>
  <c r="Q123" i="3"/>
  <c r="T123" i="3"/>
  <c r="Q122" i="3"/>
  <c r="F241" i="3"/>
  <c r="T241" i="3"/>
  <c r="P122" i="3"/>
  <c r="M23" i="19"/>
  <c r="M28" i="19"/>
  <c r="G27" i="19"/>
  <c r="Q23" i="19"/>
  <c r="N27" i="19"/>
  <c r="F153" i="3"/>
  <c r="F151" i="3"/>
  <c r="M19" i="19"/>
  <c r="M9" i="20"/>
  <c r="K183" i="3"/>
  <c r="M27" i="19"/>
  <c r="N29" i="19"/>
  <c r="Q9" i="20"/>
  <c r="N19" i="19"/>
  <c r="Q27" i="19"/>
  <c r="E153" i="3"/>
  <c r="Q28" i="19"/>
  <c r="P59" i="3"/>
  <c r="Q19" i="19"/>
  <c r="L123" i="3"/>
  <c r="M59" i="3"/>
  <c r="M152" i="3" s="1"/>
  <c r="O9" i="20"/>
  <c r="Q151" i="3"/>
  <c r="P29" i="19"/>
  <c r="P28" i="19"/>
  <c r="Q152" i="3"/>
  <c r="P211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M211" i="3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151" i="3" l="1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Q10" i="5"/>
  <c r="N10" i="5"/>
  <c r="M10" i="5"/>
  <c r="K10" i="5"/>
  <c r="I10" i="5"/>
  <c r="H10" i="5"/>
  <c r="F10" i="5"/>
  <c r="E10" i="5"/>
  <c r="C10" i="5"/>
  <c r="B10" i="5" l="1"/>
  <c r="J10" i="5"/>
  <c r="R10" i="5"/>
  <c r="S10" i="5"/>
  <c r="D10" i="5"/>
  <c r="L10" i="5"/>
  <c r="T10" i="5"/>
  <c r="G10" i="5"/>
  <c r="O10" i="5"/>
  <c r="W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63" i="4" l="1"/>
  <c r="W217" i="4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R60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57" i="9" l="1"/>
  <c r="N84" i="4"/>
  <c r="Q75" i="7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R59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18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O184" i="4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D206" i="4" s="1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R206" i="4"/>
  <c r="R93" i="6"/>
  <c r="R99" i="5"/>
  <c r="I200" i="4"/>
  <c r="I87" i="6"/>
  <c r="I93" i="5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71" i="6"/>
  <c r="O77" i="5"/>
  <c r="P190" i="4"/>
  <c r="P83" i="5"/>
  <c r="P138" i="7" s="1"/>
  <c r="K112" i="4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T206" i="7" s="1"/>
  <c r="P31" i="4"/>
  <c r="P64" i="6"/>
  <c r="P70" i="5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83" i="5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C111" i="5"/>
  <c r="S218" i="4"/>
  <c r="O219" i="4"/>
  <c r="O106" i="6"/>
  <c r="O112" i="5"/>
  <c r="F58" i="4"/>
  <c r="F13" i="7"/>
  <c r="O20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H199" i="4"/>
  <c r="H86" i="6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68" i="4"/>
  <c r="M184" i="4"/>
  <c r="M71" i="6"/>
  <c r="M213" i="7" s="1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U73" i="4"/>
  <c r="J127" i="4"/>
  <c r="J46" i="7" s="1"/>
  <c r="J47" i="7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70" i="5"/>
  <c r="E125" i="7" s="1"/>
  <c r="E258" i="4"/>
  <c r="Q64" i="6"/>
  <c r="Q70" i="5"/>
  <c r="Q125" i="7" s="1"/>
  <c r="V46" i="4"/>
  <c r="N71" i="6"/>
  <c r="N265" i="4"/>
  <c r="N77" i="5"/>
  <c r="T184" i="4"/>
  <c r="O77" i="6"/>
  <c r="O83" i="5"/>
  <c r="H58" i="4"/>
  <c r="I58" i="4"/>
  <c r="I4" i="7" s="1"/>
  <c r="I13" i="7"/>
  <c r="R73" i="4"/>
  <c r="R19" i="7" s="1"/>
  <c r="R20" i="7"/>
  <c r="M47" i="7"/>
  <c r="E252" i="4"/>
  <c r="R253" i="4"/>
  <c r="O109" i="5"/>
  <c r="V83" i="6"/>
  <c r="Q215" i="4"/>
  <c r="Q102" i="6"/>
  <c r="Q108" i="5"/>
  <c r="M216" i="4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E58" i="4"/>
  <c r="E168" i="4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V59" i="7" l="1"/>
  <c r="S125" i="7"/>
  <c r="I59" i="7"/>
  <c r="T125" i="6"/>
  <c r="R26" i="4"/>
  <c r="B73" i="4"/>
  <c r="B19" i="7" s="1"/>
  <c r="G112" i="4"/>
  <c r="Q206" i="7"/>
  <c r="M200" i="4"/>
  <c r="T177" i="4"/>
  <c r="D99" i="5"/>
  <c r="M26" i="7"/>
  <c r="S105" i="5"/>
  <c r="D93" i="6"/>
  <c r="M64" i="6"/>
  <c r="M206" i="7" s="1"/>
  <c r="T118" i="6"/>
  <c r="S99" i="6"/>
  <c r="B207" i="4"/>
  <c r="R111" i="5"/>
  <c r="B77" i="5"/>
  <c r="B132" i="7" s="1"/>
  <c r="J112" i="4"/>
  <c r="R13" i="7"/>
  <c r="R105" i="6"/>
  <c r="O206" i="7"/>
  <c r="O125" i="7"/>
  <c r="R58" i="4"/>
  <c r="B184" i="4"/>
  <c r="N127" i="4"/>
  <c r="N46" i="7" s="1"/>
  <c r="B59" i="7"/>
  <c r="B71" i="6"/>
  <c r="B213" i="7" s="1"/>
  <c r="I199" i="4"/>
  <c r="M203" i="4"/>
  <c r="B138" i="7"/>
  <c r="R177" i="4"/>
  <c r="R47" i="7"/>
  <c r="B190" i="4"/>
  <c r="U250" i="4"/>
  <c r="E96" i="6"/>
  <c r="S26" i="4"/>
  <c r="O271" i="4"/>
  <c r="U263" i="4"/>
  <c r="E209" i="4"/>
  <c r="M58" i="4"/>
  <c r="M4" i="7" s="1"/>
  <c r="R266" i="4"/>
  <c r="I138" i="7"/>
  <c r="U63" i="5"/>
  <c r="U118" i="7" s="1"/>
  <c r="N18" i="5"/>
  <c r="S101" i="5"/>
  <c r="H199" i="7"/>
  <c r="R270" i="4"/>
  <c r="S95" i="6"/>
  <c r="O132" i="7"/>
  <c r="V252" i="4"/>
  <c r="H118" i="7"/>
  <c r="U125" i="7"/>
  <c r="S111" i="5"/>
  <c r="O213" i="7"/>
  <c r="V250" i="4"/>
  <c r="O125" i="6"/>
  <c r="M199" i="7"/>
  <c r="S112" i="4"/>
  <c r="N250" i="4"/>
  <c r="U170" i="4"/>
  <c r="V262" i="4"/>
  <c r="U59" i="7"/>
  <c r="T213" i="7"/>
  <c r="M13" i="4"/>
  <c r="M150" i="4" s="1"/>
  <c r="K184" i="4"/>
  <c r="B57" i="6"/>
  <c r="B199" i="7" s="1"/>
  <c r="P71" i="6"/>
  <c r="P213" i="7" s="1"/>
  <c r="O6" i="4"/>
  <c r="S42" i="5"/>
  <c r="W231" i="4"/>
  <c r="Q91" i="5"/>
  <c r="M196" i="4"/>
  <c r="U20" i="4"/>
  <c r="U104" i="5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M110" i="5" s="1"/>
  <c r="O20" i="4"/>
  <c r="O211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72" i="4" s="1"/>
  <c r="S216" i="4"/>
  <c r="G190" i="4"/>
  <c r="Q57" i="6"/>
  <c r="Q199" i="7" s="1"/>
  <c r="N200" i="4"/>
  <c r="V206" i="7"/>
  <c r="G137" i="5"/>
  <c r="V6" i="4"/>
  <c r="V143" i="4" s="1"/>
  <c r="U6" i="4"/>
  <c r="U197" i="4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143" i="4" s="1"/>
  <c r="I20" i="4"/>
  <c r="I19" i="4" s="1"/>
  <c r="I244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204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97" i="4" s="1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204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168" i="4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57" i="4" s="1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217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4" i="4" s="1"/>
  <c r="K223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43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V111" i="6"/>
  <c r="C137" i="5"/>
  <c r="E131" i="5"/>
  <c r="E42" i="5"/>
  <c r="E76" i="5" s="1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B197" i="4"/>
  <c r="B84" i="6"/>
  <c r="B90" i="5"/>
  <c r="U211" i="4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97" i="5"/>
  <c r="T31" i="7"/>
  <c r="P20" i="4"/>
  <c r="P157" i="4" s="1"/>
  <c r="P215" i="4"/>
  <c r="P102" i="6"/>
  <c r="P108" i="5"/>
  <c r="S84" i="6"/>
  <c r="S90" i="5"/>
  <c r="O57" i="4"/>
  <c r="O3" i="7" s="1"/>
  <c r="O4" i="7"/>
  <c r="J163" i="4"/>
  <c r="J217" i="4"/>
  <c r="J104" i="6"/>
  <c r="J110" i="5"/>
  <c r="B177" i="4"/>
  <c r="B64" i="6"/>
  <c r="B206" i="7" s="1"/>
  <c r="B70" i="5"/>
  <c r="B125" i="7" s="1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269" i="4"/>
  <c r="E267" i="4"/>
  <c r="E272" i="4"/>
  <c r="E270" i="4"/>
  <c r="E26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O163" i="4"/>
  <c r="O217" i="4"/>
  <c r="O104" i="6"/>
  <c r="O110" i="5"/>
  <c r="B20" i="4"/>
  <c r="B213" i="4"/>
  <c r="B100" i="6"/>
  <c r="B106" i="5"/>
  <c r="H20" i="4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68" i="4"/>
  <c r="T266" i="4"/>
  <c r="T264" i="4"/>
  <c r="H201" i="4"/>
  <c r="H88" i="6"/>
  <c r="H94" i="5"/>
  <c r="E90" i="5"/>
  <c r="F6" i="4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V265" i="4"/>
  <c r="H168" i="4"/>
  <c r="H262" i="4"/>
  <c r="H260" i="4"/>
  <c r="H255" i="4"/>
  <c r="H253" i="4"/>
  <c r="H261" i="4"/>
  <c r="H254" i="4"/>
  <c r="H252" i="4"/>
  <c r="H250" i="4"/>
  <c r="H263" i="4"/>
  <c r="H257" i="4"/>
  <c r="R168" i="4"/>
  <c r="C6" i="4"/>
  <c r="T20" i="4"/>
  <c r="R4" i="4"/>
  <c r="R143" i="4"/>
  <c r="B143" i="4"/>
  <c r="P13" i="4"/>
  <c r="H19" i="4"/>
  <c r="H242" i="4" s="1"/>
  <c r="H157" i="4"/>
  <c r="V19" i="4"/>
  <c r="V157" i="4"/>
  <c r="U4" i="4"/>
  <c r="H13" i="4"/>
  <c r="U19" i="4"/>
  <c r="U244" i="4" s="1"/>
  <c r="U157" i="4"/>
  <c r="N19" i="4"/>
  <c r="N244" i="4" s="1"/>
  <c r="N157" i="4"/>
  <c r="Q4" i="4"/>
  <c r="O19" i="4"/>
  <c r="O157" i="4"/>
  <c r="T6" i="4"/>
  <c r="C46" i="4"/>
  <c r="C271" i="4" s="1"/>
  <c r="R19" i="4"/>
  <c r="R244" i="4" s="1"/>
  <c r="E19" i="4"/>
  <c r="E238" i="4" s="1"/>
  <c r="K197" i="4" l="1"/>
  <c r="J183" i="4"/>
  <c r="N204" i="4"/>
  <c r="B4" i="4"/>
  <c r="B231" i="4" s="1"/>
  <c r="G183" i="4"/>
  <c r="Q143" i="4"/>
  <c r="U143" i="4"/>
  <c r="E266" i="4"/>
  <c r="E30" i="4"/>
  <c r="R150" i="4"/>
  <c r="S4" i="4"/>
  <c r="O4" i="4"/>
  <c r="O232" i="4" s="1"/>
  <c r="U98" i="6"/>
  <c r="D150" i="4"/>
  <c r="H251" i="4"/>
  <c r="H259" i="4"/>
  <c r="T270" i="4"/>
  <c r="O183" i="4"/>
  <c r="C61" i="5"/>
  <c r="Q150" i="4"/>
  <c r="Q90" i="5"/>
  <c r="O104" i="5"/>
  <c r="U90" i="5"/>
  <c r="R97" i="5"/>
  <c r="S197" i="4"/>
  <c r="J91" i="6"/>
  <c r="D97" i="5"/>
  <c r="R17" i="6"/>
  <c r="R136" i="6" s="1"/>
  <c r="H61" i="5"/>
  <c r="H249" i="4"/>
  <c r="E271" i="4"/>
  <c r="T265" i="4"/>
  <c r="Q84" i="6"/>
  <c r="B183" i="4"/>
  <c r="O98" i="6"/>
  <c r="U84" i="6"/>
  <c r="C258" i="4"/>
  <c r="E273" i="4"/>
  <c r="R91" i="6"/>
  <c r="J204" i="4"/>
  <c r="D91" i="6"/>
  <c r="N17" i="5"/>
  <c r="N183" i="4"/>
  <c r="E264" i="4"/>
  <c r="E70" i="6"/>
  <c r="M76" i="5"/>
  <c r="S19" i="4"/>
  <c r="S240" i="4" s="1"/>
  <c r="K163" i="4"/>
  <c r="K90" i="5"/>
  <c r="N97" i="5"/>
  <c r="K84" i="6"/>
  <c r="N91" i="6"/>
  <c r="E84" i="6"/>
  <c r="K143" i="4"/>
  <c r="E4" i="4"/>
  <c r="E197" i="4"/>
  <c r="K110" i="5"/>
  <c r="K104" i="6"/>
  <c r="B17" i="5"/>
  <c r="B144" i="5" s="1"/>
  <c r="M97" i="5"/>
  <c r="F204" i="4"/>
  <c r="M104" i="6"/>
  <c r="N111" i="4"/>
  <c r="N30" i="7" s="1"/>
  <c r="M217" i="4"/>
  <c r="J4" i="7"/>
  <c r="M91" i="6"/>
  <c r="M163" i="4"/>
  <c r="J57" i="4"/>
  <c r="J3" i="7" s="1"/>
  <c r="M204" i="4"/>
  <c r="V90" i="5"/>
  <c r="V84" i="6"/>
  <c r="V4" i="4"/>
  <c r="V231" i="4" s="1"/>
  <c r="V197" i="4"/>
  <c r="M4" i="4"/>
  <c r="M231" i="4" s="1"/>
  <c r="F4" i="4"/>
  <c r="F231" i="4" s="1"/>
  <c r="I90" i="5"/>
  <c r="C111" i="4"/>
  <c r="C30" i="7" s="1"/>
  <c r="D57" i="4"/>
  <c r="D3" i="7" s="1"/>
  <c r="I84" i="6"/>
  <c r="B110" i="5"/>
  <c r="I197" i="4"/>
  <c r="B104" i="6"/>
  <c r="B164" i="5"/>
  <c r="B217" i="4"/>
  <c r="S17" i="5"/>
  <c r="S156" i="5" s="1"/>
  <c r="O111" i="4"/>
  <c r="O30" i="7" s="1"/>
  <c r="B19" i="4"/>
  <c r="B103" i="5" s="1"/>
  <c r="P3" i="7"/>
  <c r="P167" i="4"/>
  <c r="C157" i="4"/>
  <c r="S241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0" i="5"/>
  <c r="S154" i="5"/>
  <c r="S162" i="5"/>
  <c r="S147" i="5"/>
  <c r="S161" i="5"/>
  <c r="S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37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9" i="6"/>
  <c r="H146" i="6"/>
  <c r="H148" i="6"/>
  <c r="H156" i="6"/>
  <c r="H147" i="6"/>
  <c r="H142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88" i="5"/>
  <c r="N234" i="4"/>
  <c r="N235" i="4"/>
  <c r="N233" i="4"/>
  <c r="N232" i="4"/>
  <c r="N227" i="4"/>
  <c r="N236" i="4"/>
  <c r="N228" i="4"/>
  <c r="B243" i="4"/>
  <c r="B241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41" i="4"/>
  <c r="G243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229" i="4"/>
  <c r="J228" i="4"/>
  <c r="J235" i="4"/>
  <c r="J234" i="4"/>
  <c r="J227" i="4"/>
  <c r="J236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C150" i="4"/>
  <c r="C204" i="4"/>
  <c r="C91" i="6"/>
  <c r="C97" i="5"/>
  <c r="Q231" i="4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V244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88" i="5"/>
  <c r="F228" i="4"/>
  <c r="F230" i="4"/>
  <c r="F235" i="4"/>
  <c r="F234" i="4"/>
  <c r="F236" i="4"/>
  <c r="K245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245" i="4" l="1"/>
  <c r="S149" i="5"/>
  <c r="S143" i="5"/>
  <c r="H136" i="6"/>
  <c r="N226" i="4"/>
  <c r="H158" i="6"/>
  <c r="H152" i="6"/>
  <c r="H160" i="6"/>
  <c r="H153" i="6"/>
  <c r="S156" i="4"/>
  <c r="S223" i="4"/>
  <c r="S231" i="4"/>
  <c r="N230" i="4"/>
  <c r="H155" i="6"/>
  <c r="H154" i="6"/>
  <c r="S243" i="4"/>
  <c r="N229" i="4"/>
  <c r="N222" i="4"/>
  <c r="H145" i="6"/>
  <c r="S237" i="4"/>
  <c r="S246" i="4"/>
  <c r="S242" i="4"/>
  <c r="S244" i="4"/>
  <c r="N82" i="6"/>
  <c r="H138" i="6"/>
  <c r="H151" i="6"/>
  <c r="H159" i="6"/>
  <c r="H141" i="6"/>
  <c r="S97" i="6"/>
  <c r="S103" i="5"/>
  <c r="S238" i="4"/>
  <c r="B97" i="6"/>
  <c r="N223" i="4"/>
  <c r="N195" i="4"/>
  <c r="D167" i="4"/>
  <c r="H139" i="6"/>
  <c r="H135" i="6"/>
  <c r="S210" i="4"/>
  <c r="B157" i="5"/>
  <c r="N225" i="4"/>
  <c r="N141" i="4"/>
  <c r="H140" i="6"/>
  <c r="S239" i="4"/>
  <c r="U60" i="5"/>
  <c r="S165" i="5"/>
  <c r="S163" i="5"/>
  <c r="S153" i="5"/>
  <c r="S144" i="5"/>
  <c r="S142" i="5"/>
  <c r="F233" i="4"/>
  <c r="F82" i="6"/>
  <c r="G244" i="4"/>
  <c r="J222" i="4"/>
  <c r="F195" i="4"/>
  <c r="J223" i="4"/>
  <c r="J88" i="5"/>
  <c r="G237" i="4"/>
  <c r="J232" i="4"/>
  <c r="J82" i="6"/>
  <c r="G103" i="5"/>
  <c r="E54" i="6"/>
  <c r="F141" i="4"/>
  <c r="F225" i="4"/>
  <c r="J195" i="4"/>
  <c r="G97" i="6"/>
  <c r="G245" i="4"/>
  <c r="G238" i="4"/>
  <c r="J226" i="4"/>
  <c r="J225" i="4"/>
  <c r="J141" i="4"/>
  <c r="G210" i="4"/>
  <c r="F224" i="4"/>
  <c r="F227" i="4"/>
  <c r="F222" i="4"/>
  <c r="J233" i="4"/>
  <c r="G246" i="4"/>
  <c r="G156" i="4"/>
  <c r="F232" i="4"/>
  <c r="F223" i="4"/>
  <c r="F226" i="4"/>
  <c r="G239" i="4"/>
  <c r="B246" i="4"/>
  <c r="B210" i="4"/>
  <c r="J144" i="5"/>
  <c r="B156" i="4"/>
  <c r="B240" i="4"/>
  <c r="B239" i="4"/>
  <c r="S141" i="5"/>
  <c r="S145" i="5"/>
  <c r="B245" i="4"/>
  <c r="S151" i="5"/>
  <c r="S152" i="5"/>
  <c r="B237" i="4"/>
  <c r="S155" i="5"/>
  <c r="S164" i="5"/>
  <c r="S148" i="5"/>
  <c r="B238" i="4"/>
  <c r="J167" i="4"/>
  <c r="S150" i="5"/>
  <c r="S146" i="5"/>
  <c r="S159" i="5"/>
  <c r="S158" i="5"/>
  <c r="S166" i="5"/>
  <c r="J142" i="5"/>
  <c r="J146" i="5"/>
  <c r="J141" i="5"/>
  <c r="J153" i="5"/>
  <c r="J152" i="5"/>
  <c r="J161" i="5"/>
  <c r="J155" i="5"/>
  <c r="J159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111" i="6"/>
  <c r="L131" i="6"/>
  <c r="L18" i="5"/>
  <c r="L17" i="5" s="1"/>
  <c r="L144" i="5" s="1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25" i="8" l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G4" i="16"/>
  <c r="K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R79" i="8"/>
  <c r="K79" i="8"/>
  <c r="V77" i="8"/>
  <c r="O77" i="8"/>
  <c r="N77" i="8"/>
  <c r="S76" i="8"/>
  <c r="R76" i="8"/>
  <c r="P76" i="8"/>
  <c r="V75" i="8"/>
  <c r="T75" i="8"/>
  <c r="N75" i="8"/>
  <c r="L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1" i="1"/>
  <c r="B13" i="1"/>
  <c r="B15" i="1"/>
  <c r="B9" i="1"/>
  <c r="B7" i="1"/>
  <c r="B8" i="1"/>
  <c r="B6" i="1"/>
  <c r="B20" i="1"/>
  <c r="B16" i="1"/>
  <c r="B12" i="1"/>
  <c r="B18" i="1"/>
  <c r="B11" i="1"/>
  <c r="B4" i="1"/>
  <c r="B17" i="1"/>
  <c r="B22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K221" i="3" s="1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M221" i="3" l="1"/>
  <c r="N221" i="3"/>
  <c r="F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P234" i="3" l="1"/>
  <c r="V186" i="3"/>
  <c r="V131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3" i="3" l="1"/>
  <c r="I140" i="3"/>
  <c r="C234" i="3"/>
  <c r="I142" i="3"/>
  <c r="I141" i="3"/>
  <c r="I199" i="3"/>
  <c r="I144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S47" i="3" l="1"/>
  <c r="S147" i="3" s="1"/>
  <c r="B225" i="3"/>
  <c r="B53" i="12"/>
  <c r="R139" i="3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<sst xmlns="http://schemas.openxmlformats.org/spreadsheetml/2006/main" count="2655" uniqueCount="1167">
  <si>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</si>
  <si>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</si>
  <si>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</si>
  <si>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</si>
  <si>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</si>
  <si>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</si>
  <si>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</si>
  <si>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</si>
  <si>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</si>
  <si>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</si>
  <si>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</si>
  <si>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</si>
  <si>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</si>
  <si>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</si>
  <si>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</si>
  <si>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</si>
  <si>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</si>
  <si>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</si>
  <si>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</si>
  <si>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</si>
  <si>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</si>
  <si>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</si>
  <si>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</si>
  <si>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</si>
  <si>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</si>
  <si>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</si>
  <si>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</si>
  <si>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</si>
  <si>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</si>
  <si>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</si>
  <si>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</si>
  <si>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</si>
  <si>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</si>
  <si>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</si>
  <si>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</si>
  <si>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</si>
  <si>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</si>
  <si>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</si>
  <si>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</si>
  <si>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</si>
  <si>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</si>
  <si>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</si>
  <si>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</si>
  <si>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</si>
  <si>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</si>
  <si>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</si>
  <si>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</si>
  <si>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</si>
  <si>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</si>
  <si>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</si>
  <si>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</si>
  <si>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</si>
  <si>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</si>
  <si>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</si>
  <si>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</si>
  <si>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</si>
  <si>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</si>
  <si>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</si>
  <si>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</si>
  <si>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</si>
  <si>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</si>
  <si>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</si>
  <si>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</si>
  <si>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</si>
  <si>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</si>
  <si>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</si>
  <si>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</si>
  <si>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</si>
  <si>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</si>
  <si>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</si>
  <si>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</si>
  <si>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</si>
  <si>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</si>
  <si>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</si>
  <si>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</si>
  <si>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</si>
  <si>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</si>
  <si>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</si>
  <si>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</si>
  <si>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</si>
  <si>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</si>
  <si>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</si>
  <si>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</si>
  <si>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</si>
  <si>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</si>
  <si>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</si>
  <si>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</si>
  <si>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</si>
  <si>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</si>
  <si>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</si>
  <si>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</si>
  <si>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</si>
  <si>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</si>
  <si>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</si>
  <si>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</si>
  <si>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</si>
  <si>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</si>
  <si>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</si>
  <si>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</si>
  <si>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</si>
  <si>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</si>
  <si>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</si>
  <si>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</si>
  <si>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</si>
  <si>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</si>
  <si>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</si>
  <si>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</si>
  <si>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</si>
  <si>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</si>
  <si>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</si>
  <si>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</si>
  <si>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</si>
  <si>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</si>
  <si>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</si>
  <si>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</si>
  <si>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</si>
  <si>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</si>
  <si>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</si>
  <si>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</si>
  <si>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</si>
  <si>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</si>
  <si>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</si>
  <si>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</si>
  <si>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</si>
  <si>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</si>
  <si>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</si>
  <si>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</si>
  <si>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</si>
  <si>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</si>
  <si>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</si>
  <si>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</si>
  <si>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</si>
  <si>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</si>
  <si>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</si>
  <si>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</si>
  <si>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</si>
  <si>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</si>
  <si>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</si>
  <si>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</si>
  <si>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</si>
  <si>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</si>
  <si>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</si>
  <si>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</si>
  <si>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</si>
  <si>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</si>
  <si>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</si>
  <si>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</si>
  <si>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</si>
  <si>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</si>
  <si>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</si>
  <si>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</si>
  <si>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</si>
  <si>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</si>
  <si>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</si>
  <si>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</si>
  <si>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</si>
  <si>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</si>
  <si>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</si>
  <si>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</si>
  <si>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</si>
  <si>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</si>
  <si>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</si>
  <si>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</si>
  <si>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</si>
  <si>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</si>
  <si>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</si>
  <si>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</si>
  <si>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</si>
  <si>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</si>
  <si>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</si>
  <si>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</si>
  <si>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</si>
  <si>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</si>
  <si>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</si>
  <si>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</si>
  <si>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</si>
  <si>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</si>
  <si>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</si>
  <si>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</si>
  <si>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</si>
  <si>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</si>
  <si>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</si>
  <si>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</si>
  <si>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</si>
  <si>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</si>
  <si>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</si>
  <si>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DK</t>
  </si>
  <si>
    <t>Denmark</t>
  </si>
  <si>
    <t>Aviation - DK - Denmark</t>
  </si>
  <si>
    <t>Activity.Mpkm.DK.Tr.Avia.Passenger</t>
  </si>
  <si>
    <t>Activity.Mpkm.DK.Tr.Avia.Passenger.Domestic</t>
  </si>
  <si>
    <t>Activity.Mpkm.DK.Tr.Avia.Passenger.IntraEEAwUK</t>
  </si>
  <si>
    <t>Activity.Mpkm.DK.Tr.Avia.Passenger.ExtraEEAwUK</t>
  </si>
  <si>
    <t>Activity.Mtkm.DK.Tr.Avia.Freight</t>
  </si>
  <si>
    <t>Activity.Mtkm.DK.Tr.Avia.Freight.Domestic</t>
  </si>
  <si>
    <t>Activity.Mtkm.DK.Tr.Avia.Freight.IntraEEAwUK</t>
  </si>
  <si>
    <t>Activity.Mtkm.DK.Tr.Avia.Freight.ExtraEEAwUK</t>
  </si>
  <si>
    <t>VehicleKm.Mkm.DK.Tr.Avia</t>
  </si>
  <si>
    <t>VehicleKm.Mkm.DK.Tr.Avia.Passenger</t>
  </si>
  <si>
    <t>VehicleKm.Mkm.DK.Tr.Avia.Passenger.Domestic</t>
  </si>
  <si>
    <t>VehicleKm.Mkm.DK.Tr.Avia.Passenger.IntraEEAwUK</t>
  </si>
  <si>
    <t>VehicleKm.Mkm.DK.Tr.Avia.Passenger.ExtraEEAwUK</t>
  </si>
  <si>
    <t>VehicleKm.Mkm.DK.Tr.Avia.Freight</t>
  </si>
  <si>
    <t>VehicleKm.Mkm.DK.Tr.Avia.Freight.Domestic</t>
  </si>
  <si>
    <t>VehicleKm.Mkm.DK.Tr.Avia.Freight.IntraEEAwUK</t>
  </si>
  <si>
    <t>VehicleKm.Mkm.DK.Tr.Avia.Freight.ExtraEEAwUK</t>
  </si>
  <si>
    <t>Flights.number.DK.Tr.Avia</t>
  </si>
  <si>
    <t>Flights.number.DK.Tr.Avia.Passenger</t>
  </si>
  <si>
    <t>Flights.number.DK.Tr.Avia.Passenger.Domestic</t>
  </si>
  <si>
    <t>Flights.number.DK.Tr.Avia.Passenger.IntraEEAwUK</t>
  </si>
  <si>
    <t>Flights.number.DK.Tr.Avia.Passenger.ExtraEEAwUK</t>
  </si>
  <si>
    <t>Flights.number.DK.Tr.Avia.Freight</t>
  </si>
  <si>
    <t>Flights.number.DK.Tr.Avia.Freight.Domestic</t>
  </si>
  <si>
    <t>Flights.number.DK.Tr.Avia.Freight.IntraEEAwUK</t>
  </si>
  <si>
    <t>Flights.number.DK.Tr.Avia.Freight.ExtraEEAwUK</t>
  </si>
  <si>
    <t>VolCarried.passenger.DK.Tr.Avia.Passenger</t>
  </si>
  <si>
    <t>VolCarried.passenger.DK.Tr.Avia.Passenger.Domestic</t>
  </si>
  <si>
    <t>VolCarried.passenger.DK.Tr.Avia.Passenger.IntraEEAwUK</t>
  </si>
  <si>
    <t>VolCarried.passenger.DK.Tr.Avia.Passenger.ExtraEEAwUK</t>
  </si>
  <si>
    <t>VolCarried.t.DK.Tr.Avia.Freight</t>
  </si>
  <si>
    <t>VolCarried.t.DK.Tr.Avia.Freight.Domestic</t>
  </si>
  <si>
    <t>VolCarried.t.DK.Tr.Avia.Freight.IntraEEAwUK</t>
  </si>
  <si>
    <t>VolCarried.t.DK.Tr.Avia.Freight.ExtraEEAwUK</t>
  </si>
  <si>
    <t>Stock.number.DK.Tr.Avia</t>
  </si>
  <si>
    <t>Stock.number.DK.Tr.Avia.Passenger</t>
  </si>
  <si>
    <t>Stock.number.DK.Tr.Avia.Passenger.Domestic</t>
  </si>
  <si>
    <t>Stock.number.DK.Tr.Avia.Passenger.IntraEEAwUK</t>
  </si>
  <si>
    <t>Stock.number.DK.Tr.Avia.Passenger.ExtraEEAwUK</t>
  </si>
  <si>
    <t>Stock.number.DK.Tr.Avia.Freight</t>
  </si>
  <si>
    <t>Stock.number.DK.Tr.Avia.Freight.Domestic</t>
  </si>
  <si>
    <t>Stock.number.DK.Tr.Avia.Freight.IntraEEAwUK</t>
  </si>
  <si>
    <t>Stock.number.DK.Tr.Avia.Freight.ExtraEEAwUK</t>
  </si>
  <si>
    <t>StockNew.number.DK.Tr.Avia</t>
  </si>
  <si>
    <t>StockNew.number.DK.Tr.Avia.Passenger</t>
  </si>
  <si>
    <t>StockNew.number.DK.Tr.Avia.Passenger.Domestic</t>
  </si>
  <si>
    <t>StockNew.number.DK.Tr.Avia.Passenger.IntraEEAwUK</t>
  </si>
  <si>
    <t>StockNew.number.DK.Tr.Avia.Passenger.ExtraEEAwUK</t>
  </si>
  <si>
    <t>StockNew.number.DK.Tr.Avia.Freight</t>
  </si>
  <si>
    <t>StockNew.number.DK.Tr.Avia.Freight.Domestic</t>
  </si>
  <si>
    <t>StockNew.number.DK.Tr.Avia.Freight.IntraEEAwUK</t>
  </si>
  <si>
    <t>StockNew.number.DK.Tr.Avia.Freight.ExtraEEAwUK</t>
  </si>
  <si>
    <t>Load.passenger_per_movement.DK.Tr.Avia.Passenger</t>
  </si>
  <si>
    <t>Load.passenger_per_movement.DK.Tr.Avia.Passenger.Domestic</t>
  </si>
  <si>
    <t>Load.passenger_per_movement.DK.Tr.Avia.Passenger.IntraEEAwUK</t>
  </si>
  <si>
    <t>Load.passenger_per_movement.DK.Tr.Avia.Passenger.ExtraEEAwUK</t>
  </si>
  <si>
    <t>Load.t_per_movement.DK.Tr.Avia.Freight</t>
  </si>
  <si>
    <t>Load.t_per_movement.DK.Tr.Avia.Freight.Domestic</t>
  </si>
  <si>
    <t>Load.t_per_movement.DK.Tr.Avia.Freight.IntraEEAwUK</t>
  </si>
  <si>
    <t>Load.t_per_movement.DK.Tr.Avia.Freight.ExtraEEAwUK</t>
  </si>
  <si>
    <t>VehicleKm_per_flight.km.DK.Tr.Avia</t>
  </si>
  <si>
    <t>VehicleKm_per_flight.km.DK.Tr.Avia.Passenger</t>
  </si>
  <si>
    <t>VehicleKm_per_flight.km.DK.Tr.Avia.Passenger.Domestic</t>
  </si>
  <si>
    <t>VehicleKm_per_flight.km.DK.Tr.Avia.Passenger.IntraEEAwUK</t>
  </si>
  <si>
    <t>VehicleKm_per_flight.km.DK.Tr.Avia.Passenger.ExtraEEAwUK</t>
  </si>
  <si>
    <t>VehicleKm_per_flight.km.DK.Tr.Avia.Freight</t>
  </si>
  <si>
    <t>VehicleKm_per_flight.km.DK.Tr.Avia.Freight.Domestic</t>
  </si>
  <si>
    <t>VehicleKm_per_flight.km.DK.Tr.Avia.Freight.IntraEEAwUK</t>
  </si>
  <si>
    <t>VehicleKm_per_flight.km.DK.Tr.Avia.Freight.ExtraEEAwUK</t>
  </si>
  <si>
    <t>Activity_per_flight.pkm.DK.Tr.Avia.Passenger</t>
  </si>
  <si>
    <t>Activity_per_flight.pkm.DK.Tr.Avia.Passenger.Domestic</t>
  </si>
  <si>
    <t>Activity_per_flight.pkm.DK.Tr.Avia.Passenger.IntraEEAwUK</t>
  </si>
  <si>
    <t>Activity_per_flight.pkm.DK.Tr.Avia.Passenger.ExtraEEAwUK</t>
  </si>
  <si>
    <t>Activity_per_flight.tkm.DK.Tr.Avia.Freight</t>
  </si>
  <si>
    <t>Activity_per_flight.tkm.DK.Tr.Avia.Freight.Domestic</t>
  </si>
  <si>
    <t>Activity_per_flight.tkm.DK.Tr.Avia.Freight.IntraEEAwUK</t>
  </si>
  <si>
    <t>Activity_per_flight.tkm.DK.Tr.Avia.Freight.ExtraEEAwUK</t>
  </si>
  <si>
    <t>Flights_per_vehicle.number.DK.Tr.Avia</t>
  </si>
  <si>
    <t>Flights_per_vehicle.number.DK.Tr.Avia.Passenger</t>
  </si>
  <si>
    <t>Flights_per_vehicle.number.DK.Tr.Avia.Passenger.Domestic</t>
  </si>
  <si>
    <t>Flights_per_vehicle.number.DK.Tr.Avia.Passenger.IntraEEAwUK</t>
  </si>
  <si>
    <t>Flights_per_vehicle.number.DK.Tr.Avia.Passenger.ExtraEEAwUK</t>
  </si>
  <si>
    <t>Flights_per_vehicle.number.DK.Tr.Avia.Freight</t>
  </si>
  <si>
    <t>Flights_per_vehicle.number.DK.Tr.Avia.Freight.Domestic</t>
  </si>
  <si>
    <t>Flights_per_vehicle.number.DK.Tr.Avia.Freight.IntraEEAwUK</t>
  </si>
  <si>
    <t>Flights_per_vehicle.number.DK.Tr.Avia.Freight.ExtraEEAwUK</t>
  </si>
  <si>
    <t>Aviation / energy consumption - DK - Denmark</t>
  </si>
  <si>
    <t>FEC.ktoe.DK.Tr.Avia</t>
  </si>
  <si>
    <t>FEC.ktoe.DK.Tr.Avia.Domestic</t>
  </si>
  <si>
    <t>FEC.ktoe.DK.Tr.Avia.International</t>
  </si>
  <si>
    <t>FEC.ktoe.DK.Tr.Avia.Passenger</t>
  </si>
  <si>
    <t>FEC.ktoe.DK.Tr.Avia.Passenger.Domestic</t>
  </si>
  <si>
    <t>FEC.ktoe.DK.Tr.Avia.Passenger.IntraEEAwUK</t>
  </si>
  <si>
    <t>FEC.ktoe.DK.Tr.Avia.Passenger.ExtraEEAwUK</t>
  </si>
  <si>
    <t>FEC.ktoe.DK.Tr.Avia.Freight</t>
  </si>
  <si>
    <t>FEC.ktoe.DK.Tr.Avia.Freight.Domestic</t>
  </si>
  <si>
    <t>FEC.ktoe.DK.Tr.Avia.Freight.IntraEEAwUK</t>
  </si>
  <si>
    <t>FEC.ktoe.DK.Tr.Avia.Freight.ExtraEEAwUK</t>
  </si>
  <si>
    <t>Eff.kgoe_per_100km.DK.Tr.Avia</t>
  </si>
  <si>
    <t>Eff.kgoe_per_100km.DK.Tr.Avia.Passenger</t>
  </si>
  <si>
    <t>Eff.kgoe_per_100km.DK.Tr.Avia.Passenger.Domestic</t>
  </si>
  <si>
    <t>Eff.kgoe_per_100km.DK.Tr.Avia.Passenger.IntraEEAwUK</t>
  </si>
  <si>
    <t>Eff.kgoe_per_100km.DK.Tr.Avia.Passenger.ExtraEEAwUK</t>
  </si>
  <si>
    <t>Eff.kgoe_per_100km.DK.Tr.Avia.Freight</t>
  </si>
  <si>
    <t>Eff.kgoe_per_100km.DK.Tr.Avia.Freight.Domestic</t>
  </si>
  <si>
    <t>Eff.kgoe_per_100km.DK.Tr.Avia.Freight.IntraEEAwUK</t>
  </si>
  <si>
    <t>Eff.kgoe_per_100km.DK.Tr.Avia.Freight.ExtraEEAwUK</t>
  </si>
  <si>
    <t>Eff.kgoe_per_kpkm.DK.Tr.Avia.Passenger</t>
  </si>
  <si>
    <t>Eff.kgoe_per_kpkm.DK.Tr.Avia.Passenger.Domestic</t>
  </si>
  <si>
    <t>Eff.kgoe_per_kpkm.DK.Tr.Avia.Passenger.IntraEEAwUK</t>
  </si>
  <si>
    <t>Eff.kgoe_per_kpkm.DK.Tr.Avia.Passenger.ExtraEEAwUK</t>
  </si>
  <si>
    <t>Eff.kgoe_per_ktkm.DK.Tr.Avia.Freight</t>
  </si>
  <si>
    <t>Eff.kgoe_per_ktkm.DK.Tr.Avia.Freight.Domestic</t>
  </si>
  <si>
    <t>Eff.kgoe_per_ktkm.DK.Tr.Avia.Freight.IntraEEAwUK</t>
  </si>
  <si>
    <t>Eff.kgoe_per_ktkm.DK.Tr.Avia.Freight.ExtraEEAwUK</t>
  </si>
  <si>
    <t>FEC_per_flight.kgoe.DK.Tr.Avia</t>
  </si>
  <si>
    <t>FEC_per_flight.kgoe.DK.Tr.Avia.Passenger</t>
  </si>
  <si>
    <t>FEC_per_flight.kgoe.DK.Tr.Avia.Passenger.Domestic</t>
  </si>
  <si>
    <t>FEC_per_flight.kgoe.DK.Tr.Avia.Passenger.IntraEEAwUK</t>
  </si>
  <si>
    <t>FEC_per_flight.kgoe.DK.Tr.Avia.Passenger.ExtraEEAwUK</t>
  </si>
  <si>
    <t>FEC_per_flight.kgoe.DK.Tr.Avia.Freight</t>
  </si>
  <si>
    <t>FEC_per_flight.kgoe.DK.Tr.Avia.Freight.Domestic</t>
  </si>
  <si>
    <t>FEC_per_flight.kgoe.DK.Tr.Avia.Freight.IntraEEAwUK</t>
  </si>
  <si>
    <t>FEC_per_flight.kgoe.DK.Tr.Avia.Freight.ExtraEEAwUK</t>
  </si>
  <si>
    <t>Eff_theor.kgoe_per_100km.DK.Tr.Avia</t>
  </si>
  <si>
    <t>Eff_theor.kgoe_per_100km.DK.Tr.Avia.Passenger</t>
  </si>
  <si>
    <t>Eff_theor.kgoe_per_100km.DK.Tr.Avia.Passenger.Domestic</t>
  </si>
  <si>
    <t>Eff_theor.kgoe_per_100km.DK.Tr.Avia.Passenger.IntraEEAwUK</t>
  </si>
  <si>
    <t>Eff_theor.kgoe_per_100km.DK.Tr.Avia.Passenger.ExtraEEAwUK</t>
  </si>
  <si>
    <t>Eff_theor.kgoe_per_100km.DK.Tr.Avia.Freight</t>
  </si>
  <si>
    <t>Eff_theor.kgoe_per_100km.DK.Tr.Avia.Freight.Domestic</t>
  </si>
  <si>
    <t>Eff_theor.kgoe_per_100km.DK.Tr.Avia.Freight.IntraEEAwUK</t>
  </si>
  <si>
    <t>Eff_theor.kgoe_per_100km.DK.Tr.Avia.Freight.ExtraEEAwUK</t>
  </si>
  <si>
    <t>Aviation / CO2 emissions - DK - Denmark</t>
  </si>
  <si>
    <t>EMI.ktCO2.DK.Tr.Avia</t>
  </si>
  <si>
    <t>EMI.ktCO2.DK.Tr.Avia.Domestic</t>
  </si>
  <si>
    <t>EMI.ktCO2.DK.Tr.Avia.International</t>
  </si>
  <si>
    <t>EMI.ktCO2.DK.Tr.Avia.Passenger</t>
  </si>
  <si>
    <t>EMI.ktCO2.DK.Tr.Avia.Passenger.Domestic</t>
  </si>
  <si>
    <t>EMI.ktCO2.DK.Tr.Avia.Passenger.IntraEEAwUK</t>
  </si>
  <si>
    <t>EMI.ktCO2.DK.Tr.Avia.Passenger.ExtraEEAwUK</t>
  </si>
  <si>
    <t>EMI.ktCO2.DK.Tr.Avia.Freight</t>
  </si>
  <si>
    <t>EMI.ktCO2.DK.Tr.Avia.Freight.Domestic</t>
  </si>
  <si>
    <t>EMI.ktCO2.DK.Tr.Avia.Freight.IntraEEAwUK</t>
  </si>
  <si>
    <t>EMI.ktCO2.DK.Tr.Avia.Freight.ExtraEEAwUK</t>
  </si>
  <si>
    <t>EMIint.gCO2_per_km.DK.Tr.Avia</t>
  </si>
  <si>
    <t>EMIint.gCO2_per_km.DK.Tr.Avia.Passenger</t>
  </si>
  <si>
    <t>EMIint.gCO2_per_km.DK.Tr.Avia.Passenger.Domestic</t>
  </si>
  <si>
    <t>EMIint.gCO2_per_km.DK.Tr.Avia.Passenger.IntraEEAwUK</t>
  </si>
  <si>
    <t>EMIint.gCO2_per_km.DK.Tr.Avia.Passenger.ExtraEEAwUK</t>
  </si>
  <si>
    <t>EMIint.gCO2_per_km.DK.Tr.Avia.Freight</t>
  </si>
  <si>
    <t>EMIint.gCO2_per_km.DK.Tr.Avia.Freight.Domestic</t>
  </si>
  <si>
    <t>EMIint.gCO2_per_km.DK.Tr.Avia.Freight.IntraEEAwUK</t>
  </si>
  <si>
    <t>EMIint.gCO2_per_km.DK.Tr.Avia.Freight.ExtraEEAwUK</t>
  </si>
  <si>
    <t>EMIint.gCO2_per_pkm.DK.Tr.Avia.Passenger</t>
  </si>
  <si>
    <t>EMIint.gCO2_per_pkm.DK.Tr.Avia.Passenger.Domestic</t>
  </si>
  <si>
    <t>EMIint.gCO2_per_pkm.DK.Tr.Avia.Passenger.IntraEEAwUK</t>
  </si>
  <si>
    <t>EMIint.gCO2_per_pkm.DK.Tr.Avia.Passenger.ExtraEEAwUK</t>
  </si>
  <si>
    <t>EMIint.gCO2_per_tkm.DK.Tr.Avia.Freight</t>
  </si>
  <si>
    <t>EMIint.gCO2_per_tkm.DK.Tr.Avia.Freight.Domestic</t>
  </si>
  <si>
    <t>EMIint.gCO2_per_tkm.DK.Tr.Avia.Freight.IntraEEAwUK</t>
  </si>
  <si>
    <t>EMIint.gCO2_per_tkm.DK.Tr.Avia.Freight.ExtraEEAwUK</t>
  </si>
  <si>
    <t>EMI_per_flight.kgCO2.DK.Tr.Avia</t>
  </si>
  <si>
    <t>EMI_per_flight.kgCO2.DK.Tr.Avia.Passenger</t>
  </si>
  <si>
    <t>EMI_per_flight.kgCO2.DK.Tr.Avia.Passenger.Domestic</t>
  </si>
  <si>
    <t>EMI_per_flight.kgCO2.DK.Tr.Avia.Passenger.IntraEEAwUK</t>
  </si>
  <si>
    <t>EMI_per_flight.kgCO2.DK.Tr.Avia.Passenger.ExtraEEAwUK</t>
  </si>
  <si>
    <t>EMI_per_flight.kgCO2.DK.Tr.Avia.Freight</t>
  </si>
  <si>
    <t>EMI_per_flight.kgCO2.DK.Tr.Avia.Freight.Domestic</t>
  </si>
  <si>
    <t>EMI_per_flight.kgCO2.DK.Tr.Avia.Freight.IntraEEAwUK</t>
  </si>
  <si>
    <t>EMI_per_flight.kgCO2.DK.Tr.Avia.Freight.ExtraEEAwUK</t>
  </si>
  <si>
    <t>Aviation / passenger transport specific data - DK - Denmark</t>
  </si>
  <si>
    <t>TrCap.seats.DK.Tr.Avia.Passenger</t>
  </si>
  <si>
    <t>TrCap.seats.DK.Tr.Avia.Passenger.Domestic</t>
  </si>
  <si>
    <t>TrCap.seats.DK.Tr.Avia.Passenger.IntraEEAwUK</t>
  </si>
  <si>
    <t>TrCap.seats.DK.Tr.Avia.Passenger.ExtraEEAwUK</t>
  </si>
  <si>
    <t>TrCap_per_flight.seats.DK.Tr.Avia.Passenger</t>
  </si>
  <si>
    <t>TrCap_per_flight.seats.DK.Tr.Avia.Passenger.Domestic</t>
  </si>
  <si>
    <t>TrCap_per_flight.seats.DK.Tr.Avia.Passenger.IntraEEAwUK</t>
  </si>
  <si>
    <t>TrCap_per_flight.seats.DK.Tr.Avia.Passenger.ExtraEEAwUK</t>
  </si>
  <si>
    <t>Transport overview - DK - Denmark</t>
  </si>
  <si>
    <t>Activity.Mpkm.DK.Tr</t>
  </si>
  <si>
    <t>Activity.Mpkm.DK.Tr.Road.Passenger</t>
  </si>
  <si>
    <t>Activity.Mpkm.DK.Tr.Road.Passenger.P2W</t>
  </si>
  <si>
    <t>Activity.Mpkm.DK.Tr.Road.Passenger.Car</t>
  </si>
  <si>
    <t>Activity.Mpkm.DK.Tr.Road.Passenger.Bus</t>
  </si>
  <si>
    <t>Activity.Mpkm.DK.Tr.Rail.Passenger</t>
  </si>
  <si>
    <t>Activity.Mpkm.DK.Tr.Rail.Passenger.MTU</t>
  </si>
  <si>
    <t>Activity.Mpkm.DK.Tr.Rail.Passenger.CPT</t>
  </si>
  <si>
    <t>Activity.Mpkm.DK.Tr.Rail.Passenger.HST</t>
  </si>
  <si>
    <t>Activity.Mtkm.DK.Tr</t>
  </si>
  <si>
    <t>Activity.Mtkm.DK.Tr.Road.Freight</t>
  </si>
  <si>
    <t>Activity.Mtkm.DK.Tr.Road.Freight.LCV</t>
  </si>
  <si>
    <t>Activity.Mtkm.DK.Tr.Road.Freight.HGV</t>
  </si>
  <si>
    <t>Activity.Mtkm.DK.Tr.Rail.Freight</t>
  </si>
  <si>
    <t>Activity.Mtkm.DK.Tr.DNavi.Freight</t>
  </si>
  <si>
    <t>Activity.Mtkm.DK.Tr.DNavi.Freight.DCS</t>
  </si>
  <si>
    <t>Activity.Mtkm.DK.Tr.DNavi.Freight.IWW</t>
  </si>
  <si>
    <t>Activity.Mtkm.DK.MBunk.Freight</t>
  </si>
  <si>
    <t>Activity.Mtkm.DK.MBunk.Freight.IntraEEA</t>
  </si>
  <si>
    <t>Activity.Mtkm.DK.MBunk.Freight.ExtraEEA</t>
  </si>
  <si>
    <t>FEC.ktoe.DK.Tr.Road.Passenger</t>
  </si>
  <si>
    <t>FEC.ktoe.DK.Tr.Road.Passenger.P2W</t>
  </si>
  <si>
    <t>FEC.ktoe.DK.Tr.Road.Passenger.Car</t>
  </si>
  <si>
    <t>FEC.ktoe.DK.Tr.Road.Passenger.Bus</t>
  </si>
  <si>
    <t>FEC.ktoe.DK.Tr.Rail.Passenger</t>
  </si>
  <si>
    <t>FEC.ktoe.DK.Tr.Rail.Passenger.MTU</t>
  </si>
  <si>
    <t>FEC.ktoe.DK.Tr.Rail.Passenger.CPT</t>
  </si>
  <si>
    <t>FEC.ktoe.DK.Tr.Rail.Passenger.HST</t>
  </si>
  <si>
    <t>FEC.ktoe.DK.Tr.Road.Freight</t>
  </si>
  <si>
    <t>FEC.ktoe.DK.Tr.Road.Freight.LCV</t>
  </si>
  <si>
    <t>FEC.ktoe.DK.Tr.Road.Freight.HGV</t>
  </si>
  <si>
    <t>FEC.ktoe.DK.Tr.Rail.Freight</t>
  </si>
  <si>
    <t>EMI.ktCO2.DK.Tr.Road.Passenger</t>
  </si>
  <si>
    <t>EMI.ktCO2.DK.Tr.Road.Passenger.P2W</t>
  </si>
  <si>
    <t>EMI.ktCO2.DK.Tr.Road.Passenger.Car</t>
  </si>
  <si>
    <t>EMI.ktCO2.DK.Tr.Road.Passenger.Bus</t>
  </si>
  <si>
    <t>EMI.ktCO2.DK.Tr.Rail.Passenger</t>
  </si>
  <si>
    <t>EMI.ktCO2.DK.Tr.Rail.Passenger.MTU</t>
  </si>
  <si>
    <t>EMI.ktCO2.DK.Tr.Rail.Passenger.CPT</t>
  </si>
  <si>
    <t>EMI.ktCO2.DK.Tr.Rail.Passenger.HST</t>
  </si>
  <si>
    <t>EMI.ktCO2.DK.Tr.Road.Freight</t>
  </si>
  <si>
    <t>EMI.ktCO2.DK.Tr.Road.Freight.LCV</t>
  </si>
  <si>
    <t>EMI.ktCO2.DK.Tr.Road.Freight.HGV</t>
  </si>
  <si>
    <t>EMI.ktCO2.DK.Tr.Rail.Freight</t>
  </si>
  <si>
    <t>Eff.kgoe_per_kpkm.DK.Tr</t>
  </si>
  <si>
    <t>Eff.kgoe_per_kpkm.DK.Tr.Road.Passenger</t>
  </si>
  <si>
    <t>Eff.kgoe_per_kpkm.DK.Tr.Road.Passenger.P2W</t>
  </si>
  <si>
    <t>Eff.kgoe_per_kpkm.DK.Tr.Road.Passenger.Car</t>
  </si>
  <si>
    <t>Eff.kgoe_per_kpkm.DK.Tr.Road.Passenger.Bus</t>
  </si>
  <si>
    <t>Eff.kgoe_per_kpkm.DK.Tr.Rail.Passenger</t>
  </si>
  <si>
    <t>Eff.kgoe_per_kpkm.DK.Tr.Rail.Passenger.MTU</t>
  </si>
  <si>
    <t>Eff.kgoe_per_kpkm.DK.Tr.Rail.Passenger.CPT</t>
  </si>
  <si>
    <t>Eff.kgoe_per_kpkm.DK.Tr.Rail.Passenger.HST</t>
  </si>
  <si>
    <t>Eff.kgoe_per_ktkm.DK.Tr</t>
  </si>
  <si>
    <t>Eff.kgoe_per_ktkm.DK.Tr.Road.Freight</t>
  </si>
  <si>
    <t>Eff.kgoe_per_ktkm.DK.Tr.Road.Freight.LCV</t>
  </si>
  <si>
    <t>Eff.kgoe_per_ktkm.DK.Tr.Road.Freight.HGV</t>
  </si>
  <si>
    <t>Eff.kgoe_per_ktkm.DK.Tr.Rail.Freight</t>
  </si>
  <si>
    <t>Eff.kgoe_per_ktkm.DK.Tr.DNavi.Freight</t>
  </si>
  <si>
    <t>Eff.kgoe_per_ktkm.DK.Tr.DNavi.Freight.DCS</t>
  </si>
  <si>
    <t>Eff.kgoe_per_ktkm.DK.Tr.DNavi.Freight.IWW</t>
  </si>
  <si>
    <t>Eff.kgoe_per_ktkm.DK.MBunk.Freight</t>
  </si>
  <si>
    <t>Eff.kgoe_per_ktkm.DK.MBunk.Freight.IntraEEA</t>
  </si>
  <si>
    <t>Eff.kgoe_per_ktkm.DK.MBunk.Freight.ExtraEEA</t>
  </si>
  <si>
    <t>EMIint.gCO2_per_pkm.DK.Tr</t>
  </si>
  <si>
    <t>EMIint.gCO2_per_pkm.DK.Tr.Road.Passenger</t>
  </si>
  <si>
    <t>EMIint.gCO2_per_pkm.DK.Tr.Road.Passenger.P2W</t>
  </si>
  <si>
    <t>EMIint.gCO2_per_pkm.DK.Tr.Road.Passenger.Car</t>
  </si>
  <si>
    <t>EMIint.gCO2_per_pkm.DK.Tr.Road.Passenger.Bus</t>
  </si>
  <si>
    <t>EMIint.gCO2_per_pkm.DK.Tr.Rail.Passenger</t>
  </si>
  <si>
    <t>EMIint.gCO2_per_pkm.DK.Tr.Rail.Passenger.MTU</t>
  </si>
  <si>
    <t>EMIint.gCO2_per_pkm.DK.Tr.Rail.Passenger.CPT</t>
  </si>
  <si>
    <t>EMIint.gCO2_per_pkm.DK.Tr.Rail.Passenger.HST</t>
  </si>
  <si>
    <t>EMIint.gCO2_per_tkm.DK.Tr</t>
  </si>
  <si>
    <t>EMIint.gCO2_per_tkm.DK.Tr.Road.Freight</t>
  </si>
  <si>
    <t>EMIint.gCO2_per_tkm.DK.Tr.Road.Freight.LCV</t>
  </si>
  <si>
    <t>EMIint.gCO2_per_tkm.DK.Tr.Road.Freight.HGV</t>
  </si>
  <si>
    <t>EMIint.gCO2_per_tkm.DK.Tr.Rail.Freight</t>
  </si>
  <si>
    <t>EMIint.gCO2_per_tkm.DK.Tr.DNavi.Freight</t>
  </si>
  <si>
    <t>EMIint.gCO2_per_tkm.DK.Tr.DNavi.Freight.DCS</t>
  </si>
  <si>
    <t>EMIint.gCO2_per_tkm.DK.Tr.DNavi.Freight.IWW</t>
  </si>
  <si>
    <t>EMIint.gCO2_per_tkm.DK.MBunk.Freight</t>
  </si>
  <si>
    <t>EMIint.gCO2_per_tkm.DK.MBunk.Freight.IntraEEA</t>
  </si>
  <si>
    <t>EMIint.gCO2_per_tkm.DK.MBunk.Freight.ExtraEEA</t>
  </si>
  <si>
    <t>Road transport - DK - Denmark</t>
  </si>
  <si>
    <t>Activity.Mpkm.DK.Tr.Road.Passenger.Car.ICE.Gasoline</t>
  </si>
  <si>
    <t>Activity.Mpkm.DK.Tr.Road.Passenger.Car.ICE.Diesel</t>
  </si>
  <si>
    <t>Activity.Mpkm.DK.Tr.Road.Passenger.Car.ICE.LPG</t>
  </si>
  <si>
    <t>Activity.Mpkm.DK.Tr.Road.Passenger.Car.ICE.NGas</t>
  </si>
  <si>
    <t>Activity.Mpkm.DK.Tr.Road.Passenger.Car.PHEV</t>
  </si>
  <si>
    <t>Activity.Mpkm.DK.Tr.Road.Passenger.Car.BEV</t>
  </si>
  <si>
    <t>Activity.Mpkm.DK.Tr.Road.Passenger.Bus.ICE.Gasoline</t>
  </si>
  <si>
    <t>Activity.Mpkm.DK.Tr.Road.Passenger.Bus.ICE.Diesel</t>
  </si>
  <si>
    <t>Activity.Mpkm.DK.Tr.Road.Passenger.Bus.ICE.LPG</t>
  </si>
  <si>
    <t>Activity.Mpkm.DK.Tr.Road.Passenger.Bus.ICE.NGas</t>
  </si>
  <si>
    <t>Activity.Mpkm.DK.Tr.Road.Passenger.Bus.ICE.BEV</t>
  </si>
  <si>
    <t>Activity.Mtkm.DK.Tr.Road.Freight.LCV.ICE.Gasoline</t>
  </si>
  <si>
    <t>Activity.Mtkm.DK.Tr.Road.Freight.LCV.ICE.Diesel</t>
  </si>
  <si>
    <t>Activity.Mtkm.DK.Tr.Road.Freight.LCV.ICE.LPG</t>
  </si>
  <si>
    <t>Activity.Mtkm.DK.Tr.Road.Freight.LCV.ICE.NGas</t>
  </si>
  <si>
    <t>Activity.Mtkm.DK.Tr.Road.Freight.LCV.ICE.BEV</t>
  </si>
  <si>
    <t>Activity.Mtkm.DK.Tr.Road.Freight.HGV.Domestic</t>
  </si>
  <si>
    <t>Activity.Mtkm.DK.Tr.Road.Freight.HGV.International</t>
  </si>
  <si>
    <t>VehicleKm.Mkm.DK.Tr.Road</t>
  </si>
  <si>
    <t>VehicleKm.Mkm.DK.Tr.Road.Passenger</t>
  </si>
  <si>
    <t>VehicleKm.Mkm.DK.Tr.Road.Passenger.P2W</t>
  </si>
  <si>
    <t>VehicleKm.Mkm.DK.Tr.Road.Passenger.Car</t>
  </si>
  <si>
    <t>VehicleKm.Mkm.DK.Tr.Road.Passenger.Car.ICE.Gasoline</t>
  </si>
  <si>
    <t>VehicleKm.Mkm.DK.Tr.Road.Passenger.Car.ICE.Diesel</t>
  </si>
  <si>
    <t>VehicleKm.Mkm.DK.Tr.Road.Passenger.Car.ICE.LPG</t>
  </si>
  <si>
    <t>VehicleKm.Mkm.DK.Tr.Road.Passenger.Car.ICE.NGas</t>
  </si>
  <si>
    <t>VehicleKm.Mkm.DK.Tr.Road.Passenger.Car.PHEV</t>
  </si>
  <si>
    <t>VehicleKm.Mkm.DK.Tr.Road.Passenger.Car.BEV</t>
  </si>
  <si>
    <t>VehicleKm.Mkm.DK.Tr.Road.Passenger.Bus</t>
  </si>
  <si>
    <t>VehicleKm.Mkm.DK.Tr.Road.Passenger.Bus.ICE.Gasoline</t>
  </si>
  <si>
    <t>VehicleKm.Mkm.DK.Tr.Road.Passenger.Bus.ICE.Diesel</t>
  </si>
  <si>
    <t>VehicleKm.Mkm.DK.Tr.Road.Passenger.Bus.ICE.LPG</t>
  </si>
  <si>
    <t>VehicleKm.Mkm.DK.Tr.Road.Passenger.Bus.ICE.NGas</t>
  </si>
  <si>
    <t>VehicleKm.Mkm.DK.Tr.Road.Passenger.Bus.ICE.BEV</t>
  </si>
  <si>
    <t>VehicleKm.Mkm.DK.Tr.Road.Freight</t>
  </si>
  <si>
    <t>VehicleKm.Mkm.DK.Tr.Road.Freight.LCV</t>
  </si>
  <si>
    <t>VehicleKm.Mkm.DK.Tr.Road.Freight.LCV.ICE.Gasoline</t>
  </si>
  <si>
    <t>VehicleKm.Mkm.DK.Tr.Road.Freight.LCV.ICE.Diesel</t>
  </si>
  <si>
    <t>VehicleKm.Mkm.DK.Tr.Road.Freight.LCV.ICE.LPG</t>
  </si>
  <si>
    <t>VehicleKm.Mkm.DK.Tr.Road.Freight.LCV.ICE.NGas</t>
  </si>
  <si>
    <t>VehicleKm.Mkm.DK.Tr.Road.Freight.LCV.ICE.BEV</t>
  </si>
  <si>
    <t>VehicleKm.Mkm.DK.Tr.Road.Freight.HGV</t>
  </si>
  <si>
    <t>VehicleKm.Mkm.DK.Tr.Road.Freight.HGV.Domestic</t>
  </si>
  <si>
    <t>VehicleKm.Mkm.DK.Tr.Road.Freight.HGV.International</t>
  </si>
  <si>
    <t>Stock.number.DK.Tr.Road</t>
  </si>
  <si>
    <t>Stock.number.DK.Tr.Road.Passenger</t>
  </si>
  <si>
    <t>Stock.number.DK.Tr.Road.Passenger.P2W</t>
  </si>
  <si>
    <t>Stock.number.DK.Tr.Road.Passenger.Car</t>
  </si>
  <si>
    <t>Stock.number.DK.Tr.Road.Passenger.Car.ICE.Gasoline</t>
  </si>
  <si>
    <t>Stock.number.DK.Tr.Road.Passenger.Car.ICE.Diesel</t>
  </si>
  <si>
    <t>Stock.number.DK.Tr.Road.Passenger.Car.ICE.LPG</t>
  </si>
  <si>
    <t>Stock.number.DK.Tr.Road.Passenger.Car.ICE.NGas</t>
  </si>
  <si>
    <t>Stock.number.DK.Tr.Road.Passenger.Car.PHEV</t>
  </si>
  <si>
    <t>Stock.number.DK.Tr.Road.Passenger.Car.BEV</t>
  </si>
  <si>
    <t>Stock.number.DK.Tr.Road.Passenger.Bus</t>
  </si>
  <si>
    <t>Stock.number.DK.Tr.Road.Passenger.Bus.ICE.Gasoline</t>
  </si>
  <si>
    <t>Stock.number.DK.Tr.Road.Passenger.Bus.ICE.Diesel</t>
  </si>
  <si>
    <t>Stock.number.DK.Tr.Road.Passenger.Bus.ICE.LPG</t>
  </si>
  <si>
    <t>Stock.number.DK.Tr.Road.Passenger.Bus.ICE.NGas</t>
  </si>
  <si>
    <t>Stock.number.DK.Tr.Road.Passenger.Bus.ICE.BEV</t>
  </si>
  <si>
    <t>Stock.number.DK.Tr.Road.Freight</t>
  </si>
  <si>
    <t>Stock.number.DK.Tr.Road.Freight.LCV</t>
  </si>
  <si>
    <t>Stock.number.DK.Tr.Road.Freight.LCV.ICE.Gasoline</t>
  </si>
  <si>
    <t>Stock.number.DK.Tr.Road.Freight.LCV.ICE.Diesel</t>
  </si>
  <si>
    <t>Stock.number.DK.Tr.Road.Freight.LCV.ICE.LPG</t>
  </si>
  <si>
    <t>Stock.number.DK.Tr.Road.Freight.LCV.ICE.NGas</t>
  </si>
  <si>
    <t>Stock.number.DK.Tr.Road.Freight.LCV.ICE.BEV</t>
  </si>
  <si>
    <t>Stock.number.DK.Tr.Road.Freight.HGV</t>
  </si>
  <si>
    <t>Stock.number.DK.Tr.Road.Freight.HGV.Domestic</t>
  </si>
  <si>
    <t>Stock.number.DK.Tr.Road.Freight.HGV.International</t>
  </si>
  <si>
    <t>StockNew.number.DK.Tr.Road</t>
  </si>
  <si>
    <t>StockNew.number.DK.Tr.Road.Passenger</t>
  </si>
  <si>
    <t>StockNew.number.DK.Tr.Road.Passenger.P2W</t>
  </si>
  <si>
    <t>StockNew.number.DK.Tr.Road.Passenger.Car</t>
  </si>
  <si>
    <t>StockNew.number.DK.Tr.Road.Passenger.Car.ICE.Gasoline</t>
  </si>
  <si>
    <t>StockNew.number.DK.Tr.Road.Passenger.Car.ICE.Diesel</t>
  </si>
  <si>
    <t>StockNew.number.DK.Tr.Road.Passenger.Car.ICE.LPG</t>
  </si>
  <si>
    <t>StockNew.number.DK.Tr.Road.Passenger.Car.ICE.NGas</t>
  </si>
  <si>
    <t>StockNew.number.DK.Tr.Road.Passenger.Car.PHEV</t>
  </si>
  <si>
    <t>StockNew.number.DK.Tr.Road.Passenger.Car.BEV</t>
  </si>
  <si>
    <t>StockNew.number.DK.Tr.Road.Passenger.Bus</t>
  </si>
  <si>
    <t>StockNew.number.DK.Tr.Road.Passenger.Bus.ICE.Gasoline</t>
  </si>
  <si>
    <t>StockNew.number.DK.Tr.Road.Passenger.Bus.ICE.Diesel</t>
  </si>
  <si>
    <t>StockNew.number.DK.Tr.Road.Passenger.Bus.ICE.LPG</t>
  </si>
  <si>
    <t>StockNew.number.DK.Tr.Road.Passenger.Bus.ICE.NGas</t>
  </si>
  <si>
    <t>StockNew.number.DK.Tr.Road.Passenger.Bus.ICE.BEV</t>
  </si>
  <si>
    <t>StockNew.number.DK.Tr.Road.Freight</t>
  </si>
  <si>
    <t>StockNew.number.DK.Tr.Road.Freight.LCV</t>
  </si>
  <si>
    <t>StockNew.number.DK.Tr.Road.Freight.LCV.ICE.Gasoline</t>
  </si>
  <si>
    <t>StockNew.number.DK.Tr.Road.Freight.LCV.ICE.Diesel</t>
  </si>
  <si>
    <t>StockNew.number.DK.Tr.Road.Freight.LCV.ICE.LPG</t>
  </si>
  <si>
    <t>StockNew.number.DK.Tr.Road.Freight.LCV.ICE.NGas</t>
  </si>
  <si>
    <t>StockNew.number.DK.Tr.Road.Freight.LCV.ICE.BEV</t>
  </si>
  <si>
    <t>StockNew.number.DK.Tr.Road.Freight.HGV</t>
  </si>
  <si>
    <t>StockNew.number.DK.Tr.Road.Freight.HGV.Domestic</t>
  </si>
  <si>
    <t>StockNew.number.DK.Tr.Road.Freight.HGV.International</t>
  </si>
  <si>
    <t>Load.passenger_per_movement.DK.Tr.Road.Passenger</t>
  </si>
  <si>
    <t>Load.passenger_per_movement.DK.Tr.Road.Passenger.P2W</t>
  </si>
  <si>
    <t>Load.passenger_per_movement.DK.Tr.Road.Passenger.Car</t>
  </si>
  <si>
    <t>Load.passenger_per_movement.DK.Tr.Road.Passenger.Car.ICE.Gasoline</t>
  </si>
  <si>
    <t>Load.passenger_per_movement.DK.Tr.Road.Passenger.Car.ICE.Diesel</t>
  </si>
  <si>
    <t>Load.passenger_per_movement.DK.Tr.Road.Passenger.Car.ICE.LPG</t>
  </si>
  <si>
    <t>Load.passenger_per_movement.DK.Tr.Road.Passenger.Car.ICE.NGas</t>
  </si>
  <si>
    <t>Load.passenger_per_movement.DK.Tr.Road.Passenger.Car.PHEV</t>
  </si>
  <si>
    <t>Load.passenger_per_movement.DK.Tr.Road.Passenger.Car.BEV</t>
  </si>
  <si>
    <t>Load.passenger_per_movement.DK.Tr.Road.Passenger.Bus</t>
  </si>
  <si>
    <t>Load.passenger_per_movement.DK.Tr.Road.Passenger.Bus.ICE.Gasoline</t>
  </si>
  <si>
    <t>Load.passenger_per_movement.DK.Tr.Road.Passenger.Bus.ICE.Diesel</t>
  </si>
  <si>
    <t>Load.passenger_per_movement.DK.Tr.Road.Passenger.Bus.ICE.LPG</t>
  </si>
  <si>
    <t>Load.passenger_per_movement.DK.Tr.Road.Passenger.Bus.ICE.NGas</t>
  </si>
  <si>
    <t>Load.passenger_per_movement.DK.Tr.Road.Passenger.Bus.ICE.BEV</t>
  </si>
  <si>
    <t>Load.t_per_movement.DK.Tr.Road.Freight</t>
  </si>
  <si>
    <t>Load.t_per_movement.DK.Tr.Road.Freight.LCV</t>
  </si>
  <si>
    <t>Load.t_per_movement.DK.Tr.Road.Freight.LCV.ICE.Gasoline</t>
  </si>
  <si>
    <t>Load.t_per_movement.DK.Tr.Road.Freight.LCV.ICE.Diesel</t>
  </si>
  <si>
    <t>Load.t_per_movement.DK.Tr.Road.Freight.LCV.ICE.LPG</t>
  </si>
  <si>
    <t>Load.t_per_movement.DK.Tr.Road.Freight.LCV.ICE.NGas</t>
  </si>
  <si>
    <t>Load.t_per_movement.DK.Tr.Road.Freight.LCV.ICE.BEV</t>
  </si>
  <si>
    <t>Load.t_per_movement.DK.Tr.Road.Freight.HGV</t>
  </si>
  <si>
    <t>Load.t_per_movement.DK.Tr.Road.Freight.HGV.Domestic</t>
  </si>
  <si>
    <t>Load.t_per_movement.DK.Tr.Road.Freight.HGV.International</t>
  </si>
  <si>
    <t>VehicleKm_per_vehicle.km.DK.Tr.Road</t>
  </si>
  <si>
    <t>VehicleKm_per_vehicle.km.DK.Tr.Road.Passenger</t>
  </si>
  <si>
    <t>VehicleKm_per_vehicle.km.DK.Tr.Road.Passenger.P2W</t>
  </si>
  <si>
    <t>VehicleKm_per_vehicle.km.DK.Tr.Road.Passenger.Car</t>
  </si>
  <si>
    <t>VehicleKm_per_vehicle.km.DK.Tr.Road.Passenger.Car.ICE.Gasoline</t>
  </si>
  <si>
    <t>VehicleKm_per_vehicle.km.DK.Tr.Road.Passenger.Car.ICE.Diesel</t>
  </si>
  <si>
    <t>VehicleKm_per_vehicle.km.DK.Tr.Road.Passenger.Car.ICE.LPG</t>
  </si>
  <si>
    <t>VehicleKm_per_vehicle.km.DK.Tr.Road.Passenger.Car.ICE.NGas</t>
  </si>
  <si>
    <t>VehicleKm_per_vehicle.km.DK.Tr.Road.Passenger.Car.PHEV</t>
  </si>
  <si>
    <t>VehicleKm_per_vehicle.km.DK.Tr.Road.Passenger.Car.BEV</t>
  </si>
  <si>
    <t>VehicleKm_per_vehicle.km.DK.Tr.Road.Passenger.Bus</t>
  </si>
  <si>
    <t>VehicleKm_per_vehicle.km.DK.Tr.Road.Passenger.Bus.ICE.Gasoline</t>
  </si>
  <si>
    <t>VehicleKm_per_vehicle.km.DK.Tr.Road.Passenger.Bus.ICE.Diesel</t>
  </si>
  <si>
    <t>VehicleKm_per_vehicle.km.DK.Tr.Road.Passenger.Bus.ICE.LPG</t>
  </si>
  <si>
    <t>VehicleKm_per_vehicle.km.DK.Tr.Road.Passenger.Bus.ICE.NGas</t>
  </si>
  <si>
    <t>VehicleKm_per_vehicle.km.DK.Tr.Road.Passenger.Bus.ICE.BEV</t>
  </si>
  <si>
    <t>VehicleKm_per_vehicle.km.DK.Tr.Road.Freight</t>
  </si>
  <si>
    <t>VehicleKm_per_vehicle.km.DK.Tr.Road.Freight.LCV</t>
  </si>
  <si>
    <t>VehicleKm_per_vehicle.km.DK.Tr.Road.Freight.LCV.ICE.Gasoline</t>
  </si>
  <si>
    <t>VehicleKm_per_vehicle.km.DK.Tr.Road.Freight.LCV.ICE.Diesel</t>
  </si>
  <si>
    <t>VehicleKm_per_vehicle.km.DK.Tr.Road.Freight.LCV.ICE.LPG</t>
  </si>
  <si>
    <t>VehicleKm_per_vehicle.km.DK.Tr.Road.Freight.LCV.ICE.NGas</t>
  </si>
  <si>
    <t>VehicleKm_per_vehicle.km.DK.Tr.Road.Freight.LCV.ICE.BEV</t>
  </si>
  <si>
    <t>VehicleKm_per_vehicle.km.DK.Tr.Road.Freight.HGV</t>
  </si>
  <si>
    <t>VehicleKm_per_vehicle.km.DK.Tr.Road.Freight.HGV.Domestic</t>
  </si>
  <si>
    <t>VehicleKm_per_vehicle.km.DK.Tr.Road.Freight.HGV.International</t>
  </si>
  <si>
    <t>Activity_per_vehicle.pkm.DK.Tr.Road.Passenger</t>
  </si>
  <si>
    <t>Activity_per_vehicle.pkm.DK.Tr.Road.Passenger.P2W</t>
  </si>
  <si>
    <t>Activity_per_vehicle.pkm.DK.Tr.Road.Passenger.Car</t>
  </si>
  <si>
    <t>Activity_per_vehicle.pkm.DK.Tr.Road.Passenger.Car.ICE.Gasoline</t>
  </si>
  <si>
    <t>Activity_per_vehicle.pkm.DK.Tr.Road.Passenger.Car.ICE.Diesel</t>
  </si>
  <si>
    <t>Activity_per_vehicle.pkm.DK.Tr.Road.Passenger.Car.ICE.LPG</t>
  </si>
  <si>
    <t>Activity_per_vehicle.pkm.DK.Tr.Road.Passenger.Car.ICE.NGas</t>
  </si>
  <si>
    <t>Activity_per_vehicle.pkm.DK.Tr.Road.Passenger.Car.PHEV</t>
  </si>
  <si>
    <t>Activity_per_vehicle.pkm.DK.Tr.Road.Passenger.Car.BEV</t>
  </si>
  <si>
    <t>Activity_per_vehicle.pkm.DK.Tr.Road.Passenger.Bus</t>
  </si>
  <si>
    <t>Activity_per_vehicle.pkm.DK.Tr.Road.Passenger.Bus.ICE.Gasoline</t>
  </si>
  <si>
    <t>Activity_per_vehicle.pkm.DK.Tr.Road.Passenger.Bus.ICE.Diesel</t>
  </si>
  <si>
    <t>Activity_per_vehicle.pkm.DK.Tr.Road.Passenger.Bus.ICE.LPG</t>
  </si>
  <si>
    <t>Activity_per_vehicle.pkm.DK.Tr.Road.Passenger.Bus.ICE.NGas</t>
  </si>
  <si>
    <t>Activity_per_vehicle.pkm.DK.Tr.Road.Passenger.Bus.ICE.BEV</t>
  </si>
  <si>
    <t>Activity_per_vehicle.tkm.DK.Tr.Road.Freight</t>
  </si>
  <si>
    <t>Activity_per_vehicle.tkm.DK.Tr.Road.Freight.LCV</t>
  </si>
  <si>
    <t>Activity_per_vehicle.tkm.DK.Tr.Road.Freight.LCV.ICE.Gasoline</t>
  </si>
  <si>
    <t>Activity_per_vehicle.tkm.DK.Tr.Road.Freight.LCV.ICE.Diesel</t>
  </si>
  <si>
    <t>Activity_per_vehicle.tkm.DK.Tr.Road.Freight.LCV.ICE.LPG</t>
  </si>
  <si>
    <t>Activity_per_vehicle.tkm.DK.Tr.Road.Freight.LCV.ICE.NGas</t>
  </si>
  <si>
    <t>Activity_per_vehicle.tkm.DK.Tr.Road.Freight.LCV.ICE.BEV</t>
  </si>
  <si>
    <t>Activity_per_vehicle.tkm.DK.Tr.Road.Freight.HGV</t>
  </si>
  <si>
    <t>Activity_per_vehicle.tkm.DK.Tr.Road.Freight.HGV.Domestic</t>
  </si>
  <si>
    <t>Activity_per_vehicle.tkm.DK.Tr.Road.Freight.HGV.International</t>
  </si>
  <si>
    <t>Road transport / energy consumption - DK - Denmark</t>
  </si>
  <si>
    <t>FEC.ktoe.DK.ES.Tr.Road</t>
  </si>
  <si>
    <t>FEC.ktoe.DK.ES.Tr.Road.LPG</t>
  </si>
  <si>
    <t>FEC.ktoe.DK.ES.Tr.Road.Gasoline</t>
  </si>
  <si>
    <t>FEC.ktoe.DK.ES.Tr.Road.Diesel</t>
  </si>
  <si>
    <t>FEC.ktoe.DK.ES.Tr.Road.NG</t>
  </si>
  <si>
    <t>FEC.ktoe.DK.ES.Tr.Road.Biogas</t>
  </si>
  <si>
    <t>FEC.ktoe.DK.ES.Tr.Road.Biogasoline</t>
  </si>
  <si>
    <t>FEC.ktoe.DK.ES.Tr.Road.Biodiesel</t>
  </si>
  <si>
    <t>FEC.ktoe.DK.ES.Tr.Road.OthLiqBio</t>
  </si>
  <si>
    <t>FEC.ktoe.DK.ES.Tr.Road.Elec</t>
  </si>
  <si>
    <t>FEC.ktoe.DK.Tr.Road</t>
  </si>
  <si>
    <t>FEC.ktoe.DK.Tr.Road.Passenger.P2W.Biogasoline</t>
  </si>
  <si>
    <t>FEC.ktoe.DK.Tr.Road.Passenger.Car.ICE.Gasoline</t>
  </si>
  <si>
    <t>FEC.ktoe.DK.Tr.Road.Passenger.Car.ICE.Gasoline.Biogasoline</t>
  </si>
  <si>
    <t>FEC.ktoe.DK.Tr.Road.Passenger.Car.ICE.Diesel</t>
  </si>
  <si>
    <t>FEC.ktoe.DK.Tr.Road.Passenger.Car.ICE.Diesel.BioDiesel_OthLiqBio</t>
  </si>
  <si>
    <t>FEC.ktoe.DK.Tr.Road.Passenger.Car.ICE.LPG</t>
  </si>
  <si>
    <t>FEC.ktoe.DK.Tr.Road.Passenger.Car.ICE.NGas</t>
  </si>
  <si>
    <t>FEC.ktoe.DK.Tr.Road.Passenger.Car.ICE.NGas.Biogas</t>
  </si>
  <si>
    <t>FEC.ktoe.DK.Tr.Road.Passenger.Car.PHEV</t>
  </si>
  <si>
    <t>FEC.ktoe.DK.Tr.Road.Passenger.Car.PHEV.Biogasoline</t>
  </si>
  <si>
    <t>FEC.ktoe.DK.Tr.Road.Passenger.Car.PHEV.Elec</t>
  </si>
  <si>
    <t>FEC.ktoe.DK.Tr.Road.Passenger.Car.BEV</t>
  </si>
  <si>
    <t>FEC.ktoe.DK.Tr.Road.Passenger.Bus.ICE.Gasoline</t>
  </si>
  <si>
    <t>FEC.ktoe.DK.Tr.Road.Passenger.Bus.ICE.Gasoline.Biogasoline</t>
  </si>
  <si>
    <t>FEC.ktoe.DK.Tr.Road.Passenger.Bus.ICE.Diesel</t>
  </si>
  <si>
    <t>FEC.ktoe.DK.Tr.Road.Passenger.Bus.ICE.Diesel.BioDiesel_OthLiqBio</t>
  </si>
  <si>
    <t>FEC.ktoe.DK.Tr.Road.Passenger.Bus.ICE.LPG</t>
  </si>
  <si>
    <t>FEC.ktoe.DK.Tr.Road.Passenger.Bus.ICE.NGas</t>
  </si>
  <si>
    <t>FEC.ktoe.DK.Tr.Road.Passenger.Bus.ICE.NGas.Biogas</t>
  </si>
  <si>
    <t>FEC.ktoe.DK.Tr.Road.Passenger.Bus.ICE.BEV</t>
  </si>
  <si>
    <t>FEC.ktoe.DK.Tr.Road.Freight.LCV.ICE.Gasoline</t>
  </si>
  <si>
    <t>FEC.ktoe.DK.Tr.Road.Freight.LCV.ICE.Gasoline.Biogasoline</t>
  </si>
  <si>
    <t>FEC.ktoe.DK.Tr.Road.Freight.LCV.ICE.Diesel</t>
  </si>
  <si>
    <t>FEC.ktoe.DK.Tr.Road.Freight.LCV.ICE.Diesel.BioDiesel_OthLiqBio</t>
  </si>
  <si>
    <t>FEC.ktoe.DK.Tr.Road.Freight.LCV.ICE.LPG</t>
  </si>
  <si>
    <t>FEC.ktoe.DK.Tr.Road.Freight.LCV.ICE.NGas</t>
  </si>
  <si>
    <t>FEC.ktoe.DK.Tr.Road.Freight.LCV.ICE.NGas.Biogas</t>
  </si>
  <si>
    <t>FEC.ktoe.DK.Tr.Road.Freight.LCV.ICE.BEV</t>
  </si>
  <si>
    <t>FEC.ktoe.DK.Tr.Road.Freight.HGV.Domestic</t>
  </si>
  <si>
    <t>FEC.ktoe.DK.Tr.Road.Freight.HGV.Domestic.BioDiesel_OthLiqBio</t>
  </si>
  <si>
    <t>FEC.ktoe.DK.Tr.Road.Freight.HGV.International</t>
  </si>
  <si>
    <t>FEC.ktoe.DK.Tr.Road.Freight.HGV.International.BioDiesel_OthLiqBio</t>
  </si>
  <si>
    <t>Eff.kgoe_per_100km.DK.Tr.Road</t>
  </si>
  <si>
    <t>Eff.kgoe_per_100km.DK.Tr.Road.Passenger</t>
  </si>
  <si>
    <t>Eff.kgoe_per_100km.DK.Tr.Road.Passenger.P2W</t>
  </si>
  <si>
    <t>Eff.kgoe_per_100km.DK.Tr.Road.Passenger.Car</t>
  </si>
  <si>
    <t>Eff.kgoe_per_100km.DK.Tr.Road.Passenger.Car.ICE.Gasoline</t>
  </si>
  <si>
    <t>Eff.kgoe_per_100km.DK.Tr.Road.Passenger.Car.ICE.Diesel</t>
  </si>
  <si>
    <t>Eff.kgoe_per_100km.DK.Tr.Road.Passenger.Car.ICE.LPG</t>
  </si>
  <si>
    <t>Eff.kgoe_per_100km.DK.Tr.Road.Passenger.Car.ICE.NGas</t>
  </si>
  <si>
    <t>Eff.kgoe_per_100km.DK.Tr.Road.Passenger.Car.PHEV</t>
  </si>
  <si>
    <t>Eff.kgoe_per_100km.DK.Tr.Road.Passenger.Car.BEV</t>
  </si>
  <si>
    <t>Eff.kgoe_per_100km.DK.Tr.Road.Passenger.Bus</t>
  </si>
  <si>
    <t>Eff.kgoe_per_100km.DK.Tr.Road.Passenger.Bus.ICE.Gasoline</t>
  </si>
  <si>
    <t>Eff.kgoe_per_100km.DK.Tr.Road.Passenger.Bus.ICE.Diesel</t>
  </si>
  <si>
    <t>Eff.kgoe_per_100km.DK.Tr.Road.Passenger.Bus.ICE.LPG</t>
  </si>
  <si>
    <t>Eff.kgoe_per_100km.DK.Tr.Road.Passenger.Bus.ICE.NGas</t>
  </si>
  <si>
    <t>Eff.kgoe_per_100km.DK.Tr.Road.Passenger.Bus.ICE.BEV</t>
  </si>
  <si>
    <t>Eff.kgoe_per_100km.DK.Tr.Road.Freight</t>
  </si>
  <si>
    <t>Eff.kgoe_per_100km.DK.Tr.Road.Freight.LCV</t>
  </si>
  <si>
    <t>Eff.kgoe_per_100km.DK.Tr.Road.Freight.LCV.ICE.Gasoline</t>
  </si>
  <si>
    <t>Eff.kgoe_per_100km.DK.Tr.Road.Freight.LCV.ICE.Diesel</t>
  </si>
  <si>
    <t>Eff.kgoe_per_100km.DK.Tr.Road.Freight.LCV.ICE.LPG</t>
  </si>
  <si>
    <t>Eff.kgoe_per_100km.DK.Tr.Road.Freight.LCV.ICE.NGas</t>
  </si>
  <si>
    <t>Eff.kgoe_per_100km.DK.Tr.Road.Freight.LCV.ICE.BEV</t>
  </si>
  <si>
    <t>Eff.kgoe_per_100km.DK.Tr.Road.Freight.HGV</t>
  </si>
  <si>
    <t>Eff.kgoe_per_100km.DK.Tr.Road.Freight.HGV.Domestic</t>
  </si>
  <si>
    <t>Eff.kgoe_per_100km.DK.Tr.Road.Freight.HGV.International</t>
  </si>
  <si>
    <t>Eff.kgoe_per_kpkm.DK.Tr.Road.Passenger.Car.ICE.Gasoline</t>
  </si>
  <si>
    <t>Eff.kgoe_per_kpkm.DK.Tr.Road.Passenger.Car.ICE.Diesel</t>
  </si>
  <si>
    <t>Eff.kgoe_per_kpkm.DK.Tr.Road.Passenger.Car.ICE.LPG</t>
  </si>
  <si>
    <t>Eff.kgoe_per_kpkm.DK.Tr.Road.Passenger.Car.ICE.NGas</t>
  </si>
  <si>
    <t>Eff.kgoe_per_kpkm.DK.Tr.Road.Passenger.Car.PHEV</t>
  </si>
  <si>
    <t>Eff.kgoe_per_kpkm.DK.Tr.Road.Passenger.Car.BEV</t>
  </si>
  <si>
    <t>Eff.kgoe_per_kpkm.DK.Tr.Road.Passenger.Bus.ICE.Gasoline</t>
  </si>
  <si>
    <t>Eff.kgoe_per_kpkm.DK.Tr.Road.Passenger.Bus.ICE.Diesel</t>
  </si>
  <si>
    <t>Eff.kgoe_per_kpkm.DK.Tr.Road.Passenger.Bus.ICE.LPG</t>
  </si>
  <si>
    <t>Eff.kgoe_per_kpkm.DK.Tr.Road.Passenger.Bus.ICE.NGas</t>
  </si>
  <si>
    <t>Eff.kgoe_per_kpkm.DK.Tr.Road.Passenger.Bus.ICE.BEV</t>
  </si>
  <si>
    <t>Eff.kgoe_per_ktkm.DK.Tr.Road.Freight.LCV.ICE.Gasoline</t>
  </si>
  <si>
    <t>Eff.kgoe_per_ktkm.DK.Tr.Road.Freight.LCV.ICE.Diesel</t>
  </si>
  <si>
    <t>Eff.kgoe_per_ktkm.DK.Tr.Road.Freight.LCV.ICE.LPG</t>
  </si>
  <si>
    <t>Eff.kgoe_per_ktkm.DK.Tr.Road.Freight.LCV.ICE.NGas</t>
  </si>
  <si>
    <t>Eff.kgoe_per_ktkm.DK.Tr.Road.Freight.LCV.ICE.BEV</t>
  </si>
  <si>
    <t>Eff.kgoe_per_ktkm.DK.Tr.Road.Freight.HGV.Domestic</t>
  </si>
  <si>
    <t>Eff.kgoe_per_ktkm.DK.Tr.Road.Freight.HGV.International</t>
  </si>
  <si>
    <t>FEC_per_vehicle.kgoe.DK.Tr.Road.Passenger.P2W</t>
  </si>
  <si>
    <t>FEC_per_vehicle.kgoe.DK.Tr.Road.Passenger.Car</t>
  </si>
  <si>
    <t>FEC_per_vehicle.kgoe.DK.Tr.Road.Passenger.Car.ICE.Gasoline</t>
  </si>
  <si>
    <t>FEC_per_vehicle.kgoe.DK.Tr.Road.Passenger.Car.ICE.Diesel</t>
  </si>
  <si>
    <t>FEC_per_vehicle.kgoe.DK.Tr.Road.Passenger.Car.ICE.LPG</t>
  </si>
  <si>
    <t>FEC_per_vehicle.kgoe.DK.Tr.Road.Passenger.Car.ICE.NGas</t>
  </si>
  <si>
    <t>FEC_per_vehicle.kgoe.DK.Tr.Road.Passenger.Car.PHEV</t>
  </si>
  <si>
    <t>FEC_per_vehicle.kgoe.DK.Tr.Road.Passenger.Car.BEV</t>
  </si>
  <si>
    <t>FEC_per_vehicle.kgoe.DK.Tr.Road.Passenger.Bus</t>
  </si>
  <si>
    <t>FEC_per_vehicle.kgoe.DK.Tr.Road.Passenger.Bus.ICE.Gasoline</t>
  </si>
  <si>
    <t>FEC_per_vehicle.kgoe.DK.Tr.Road.Passenger.Bus.ICE.Diesel</t>
  </si>
  <si>
    <t>FEC_per_vehicle.kgoe.DK.Tr.Road.Passenger.Bus.ICE.LPG</t>
  </si>
  <si>
    <t>FEC_per_vehicle.kgoe.DK.Tr.Road.Passenger.Bus.ICE.NGas</t>
  </si>
  <si>
    <t>FEC_per_vehicle.kgoe.DK.Tr.Road.Passenger.Bus.ICE.BEV</t>
  </si>
  <si>
    <t>FEC_per_vehicle.kgoe.DK.Tr.Road.Freight.LCV</t>
  </si>
  <si>
    <t>FEC_per_vehicle.kgoe.DK.Tr.Road.Freight.LCV.ICE.Gasoline</t>
  </si>
  <si>
    <t>FEC_per_vehicle.kgoe.DK.Tr.Road.Freight.LCV.ICE.Diesel</t>
  </si>
  <si>
    <t>FEC_per_vehicle.kgoe.DK.Tr.Road.Freight.LCV.ICE.LPG</t>
  </si>
  <si>
    <t>FEC_per_vehicle.kgoe.DK.Tr.Road.Freight.LCV.ICE.NGas</t>
  </si>
  <si>
    <t>FEC_per_vehicle.kgoe.DK.Tr.Road.Freight.LCV.ICE.BEV</t>
  </si>
  <si>
    <t>FEC_per_vehicle.kgoe.DK.Tr.Road.Freight.HGV</t>
  </si>
  <si>
    <t>FEC_per_vehicle.kgoe.DK.Tr.Road.Freight.HGV.Domestic</t>
  </si>
  <si>
    <t>FEC_per_vehicle.kgoe.DK.Tr.Road.Freight.HGV.International</t>
  </si>
  <si>
    <t>Road transport / CO2 emissions - DK - Denmark</t>
  </si>
  <si>
    <t>EMI.ktCO2.DK.ES.Tr.Road</t>
  </si>
  <si>
    <t>EMI.ktCO2.DK.ES.Tr.Road.LPG</t>
  </si>
  <si>
    <t>EMI.ktCO2.DK.ES.Tr.Road.Gasoline</t>
  </si>
  <si>
    <t>EMI.ktCO2.DK.ES.Tr.Road.Diesel</t>
  </si>
  <si>
    <t>EMI.ktCO2.DK.ES.Tr.Road.NG</t>
  </si>
  <si>
    <t>EMI.ktCO2.DK.ES.Tr.Road.Biogas</t>
  </si>
  <si>
    <t>EMI.ktCO2.DK.ES.Tr.Road.Biogasoline</t>
  </si>
  <si>
    <t>EMI.ktCO2.DK.ES.Tr.Road.Biodiesel</t>
  </si>
  <si>
    <t>EMI.ktCO2.DK.ES.Tr.Road.OthLiqBio</t>
  </si>
  <si>
    <t>EMI.ktCO2.DK.ES.Tr.Road.Elec</t>
  </si>
  <si>
    <t>EMI.ktCO2.DK.Tr.Road</t>
  </si>
  <si>
    <t>EMI.ktCO2.DK.Tr.Road.Passenger.Car.ICE.Gasoline</t>
  </si>
  <si>
    <t>EMI.ktCO2.DK.Tr.Road.Passenger.Car.ICE.Diesel</t>
  </si>
  <si>
    <t>EMI.ktCO2.DK.Tr.Road.Passenger.Car.ICE.LPG</t>
  </si>
  <si>
    <t>EMI.ktCO2.DK.Tr.Road.Passenger.Car.ICE.NGas</t>
  </si>
  <si>
    <t>EMI.ktCO2.DK.Tr.Road.Passenger.Car.PHEV</t>
  </si>
  <si>
    <t>EMI.ktCO2.DK.Tr.Road.Passenger.Car.BEV</t>
  </si>
  <si>
    <t>EMI.ktCO2.DK.Tr.Road.Passenger.Bus.ICE.Gasoline</t>
  </si>
  <si>
    <t>EMI.ktCO2.DK.Tr.Road.Passenger.Bus.ICE.Diesel</t>
  </si>
  <si>
    <t>EMI.ktCO2.DK.Tr.Road.Passenger.Bus.ICE.LPG</t>
  </si>
  <si>
    <t>EMI.ktCO2.DK.Tr.Road.Passenger.Bus.ICE.NGas</t>
  </si>
  <si>
    <t>EMI.ktCO2.DK.Tr.Road.Passenger.Bus.ICE.BEV</t>
  </si>
  <si>
    <t>EMI.ktCO2.DK.Tr.Road.Freight.LCV.ICE.Gasoline</t>
  </si>
  <si>
    <t>EMI.ktCO2.DK.Tr.Road.Freight.LCV.ICE.Diesel</t>
  </si>
  <si>
    <t>EMI.ktCO2.DK.Tr.Road.Freight.LCV.ICE.LPG</t>
  </si>
  <si>
    <t>EMI.ktCO2.DK.Tr.Road.Freight.LCV.ICE.NGas</t>
  </si>
  <si>
    <t>EMI.ktCO2.DK.Tr.Road.Freight.LCV.ICE.BEV</t>
  </si>
  <si>
    <t>EMI.ktCO2.DK.Tr.Road.Freight.HGV.Domestic</t>
  </si>
  <si>
    <t>EMI.ktCO2.DK.Tr.Road.Freight.HGV.International</t>
  </si>
  <si>
    <t>EMIint.gCO2_per_km.DK.Tr.Road</t>
  </si>
  <si>
    <t>EMIint.gCO2_per_km.DK.Tr.Road.Passenger</t>
  </si>
  <si>
    <t>EMIint.gCO2_per_km.DK.Tr.Road.Passenger.P2W</t>
  </si>
  <si>
    <t>EMIint.gCO2_per_km.DK.Tr.Road.Passenger.Car</t>
  </si>
  <si>
    <t>EMIint.gCO2_per_km.DK.Tr.Road.Passenger.Car.ICE.Gasoline</t>
  </si>
  <si>
    <t>EMIint.gCO2_per_km.DK.Tr.Road.Passenger.Car.ICE.Diesel</t>
  </si>
  <si>
    <t>EMIint.gCO2_per_km.DK.Tr.Road.Passenger.Car.ICE.LPG</t>
  </si>
  <si>
    <t>EMIint.gCO2_per_km.DK.Tr.Road.Passenger.Car.ICE.NGas</t>
  </si>
  <si>
    <t>EMIint.gCO2_per_km.DK.Tr.Road.Passenger.Car.PHEV</t>
  </si>
  <si>
    <t>EMIint.gCO2_per_km.DK.Tr.Road.Passenger.Car.BEV</t>
  </si>
  <si>
    <t>EMIint.gCO2_per_km.DK.Tr.Road.Passenger.Bus</t>
  </si>
  <si>
    <t>EMIint.gCO2_per_km.DK.Tr.Road.Passenger.Bus.ICE.Gasoline</t>
  </si>
  <si>
    <t>EMIint.gCO2_per_km.DK.Tr.Road.Passenger.Bus.ICE.Diesel</t>
  </si>
  <si>
    <t>EMIint.gCO2_per_km.DK.Tr.Road.Passenger.Bus.ICE.LPG</t>
  </si>
  <si>
    <t>EMIint.gCO2_per_km.DK.Tr.Road.Passenger.Bus.ICE.NGas</t>
  </si>
  <si>
    <t>EMIint.gCO2_per_km.DK.Tr.Road.Passenger.Bus.ICE.BEV</t>
  </si>
  <si>
    <t>EMIint.gCO2_per_km.DK.Tr.Road.Freight</t>
  </si>
  <si>
    <t>EMIint.gCO2_per_km.DK.Tr.Road.Freight.LCV</t>
  </si>
  <si>
    <t>EMIint.gCO2_per_km.DK.Tr.Road.Freight.LCV.ICE.Gasoline</t>
  </si>
  <si>
    <t>EMIint.gCO2_per_km.DK.Tr.Road.Freight.LCV.ICE.Diesel</t>
  </si>
  <si>
    <t>EMIint.gCO2_per_km.DK.Tr.Road.Freight.LCV.ICE.LPG</t>
  </si>
  <si>
    <t>EMIint.gCO2_per_km.DK.Tr.Road.Freight.LCV.ICE.NGas</t>
  </si>
  <si>
    <t>EMIint.gCO2_per_km.DK.Tr.Road.Freight.LCV.ICE.BEV</t>
  </si>
  <si>
    <t>EMIint.gCO2_per_km.DK.Tr.Road.Freight.HGV</t>
  </si>
  <si>
    <t>EMIint.gCO2_per_km.DK.Tr.Road.Freight.HGV.Domestic</t>
  </si>
  <si>
    <t>EMIint.gCO2_per_km.DK.Tr.Road.Freight.HGV.International</t>
  </si>
  <si>
    <t>EMIint.gCO2_per_pkm.DK.Tr.Road.Passenger.Car.ICE.Gasoline</t>
  </si>
  <si>
    <t>EMIint.gCO2_per_pkm.DK.Tr.Road.Passenger.Car.ICE.Diesel</t>
  </si>
  <si>
    <t>EMIint.gCO2_per_pkm.DK.Tr.Road.Passenger.Car.ICE.LPG</t>
  </si>
  <si>
    <t>EMIint.gCO2_per_pkm.DK.Tr.Road.Passenger.Car.ICE.NGas</t>
  </si>
  <si>
    <t>EMIint.gCO2_per_pkm.DK.Tr.Road.Passenger.Car.PHEV</t>
  </si>
  <si>
    <t>EMIint.gCO2_per_pkm.DK.Tr.Road.Passenger.Car.BEV</t>
  </si>
  <si>
    <t>EMIint.gCO2_per_pkm.DK.Tr.Road.Passenger.Bus.ICE.Gasoline</t>
  </si>
  <si>
    <t>EMIint.gCO2_per_pkm.DK.Tr.Road.Passenger.Bus.ICE.Diesel</t>
  </si>
  <si>
    <t>EMIint.gCO2_per_pkm.DK.Tr.Road.Passenger.Bus.ICE.LPG</t>
  </si>
  <si>
    <t>EMIint.gCO2_per_pkm.DK.Tr.Road.Passenger.Bus.ICE.NGas</t>
  </si>
  <si>
    <t>EMIint.gCO2_per_pkm.DK.Tr.Road.Passenger.Bus.ICE.BEV</t>
  </si>
  <si>
    <t>EMIint.gCO2_per_tkm.DK.Tr.Road.Freight.LCV.ICE.Gasoline</t>
  </si>
  <si>
    <t>EMIint.gCO2_per_tkm.DK.Tr.Road.Freight.LCV.ICE.Diesel</t>
  </si>
  <si>
    <t>EMIint.gCO2_per_tkm.DK.Tr.Road.Freight.LCV.ICE.LPG</t>
  </si>
  <si>
    <t>EMIint.gCO2_per_tkm.DK.Tr.Road.Freight.LCV.ICE.NGas</t>
  </si>
  <si>
    <t>EMIint.gCO2_per_tkm.DK.Tr.Road.Freight.LCV.ICE.BEV</t>
  </si>
  <si>
    <t>EMIint.gCO2_per_tkm.DK.Tr.Road.Freight.HGV.Domestic</t>
  </si>
  <si>
    <t>EMIint.gCO2_per_tkm.DK.Tr.Road.Freight.HGV.International</t>
  </si>
  <si>
    <t>EMI_per_vehicle.kgCO2.DK.Tr.Road.Passenger.P2W</t>
  </si>
  <si>
    <t>EMI_per_vehicle.kgCO2.DK.Tr.Road.Passenger.Car</t>
  </si>
  <si>
    <t>EMI_per_vehicle.kgCO2.DK.Tr.Road.Passenger.Car.ICE.Gasoline</t>
  </si>
  <si>
    <t>EMI_per_vehicle.kgCO2.DK.Tr.Road.Passenger.Car.ICE.Diesel</t>
  </si>
  <si>
    <t>EMI_per_vehicle.kgCO2.DK.Tr.Road.Passenger.Car.ICE.LPG</t>
  </si>
  <si>
    <t>EMI_per_vehicle.kgCO2.DK.Tr.Road.Passenger.Car.ICE.NGas</t>
  </si>
  <si>
    <t>EMI_per_vehicle.kgCO2.DK.Tr.Road.Passenger.Car.PHEV</t>
  </si>
  <si>
    <t>EMI_per_vehicle.kgCO2.DK.Tr.Road.Passenger.Car.BEV</t>
  </si>
  <si>
    <t>EMI_per_vehicle.kgCO2.DK.Tr.Road.Passenger.Bus</t>
  </si>
  <si>
    <t>EMI_per_vehicle.kgCO2.DK.Tr.Road.Passenger.Bus.ICE.Gasoline</t>
  </si>
  <si>
    <t>EMI_per_vehicle.kgCO2.DK.Tr.Road.Passenger.Bus.ICE.Diesel</t>
  </si>
  <si>
    <t>EMI_per_vehicle.kgCO2.DK.Tr.Road.Passenger.Bus.ICE.LPG</t>
  </si>
  <si>
    <t>EMI_per_vehicle.kgCO2.DK.Tr.Road.Passenger.Bus.ICE.NGas</t>
  </si>
  <si>
    <t>EMI_per_vehicle.kgCO2.DK.Tr.Road.Passenger.Bus.ICE.BEV</t>
  </si>
  <si>
    <t>EMI_per_vehicle.kgCO2.DK.Tr.Road.Freight.LCV</t>
  </si>
  <si>
    <t>EMI_per_vehicle.kgCO2.DK.Tr.Road.Freight.LCV.ICE.Gasoline</t>
  </si>
  <si>
    <t>EMI_per_vehicle.kgCO2.DK.Tr.Road.Freight.LCV.ICE.Diesel</t>
  </si>
  <si>
    <t>EMI_per_vehicle.kgCO2.DK.Tr.Road.Freight.LCV.ICE.LPG</t>
  </si>
  <si>
    <t>EMI_per_vehicle.kgCO2.DK.Tr.Road.Freight.LCV.ICE.NGas</t>
  </si>
  <si>
    <t>EMI_per_vehicle.kgCO2.DK.Tr.Road.Freight.LCV.ICE.BEV</t>
  </si>
  <si>
    <t>EMI_per_vehicle.kgCO2.DK.Tr.Road.Freight.HGV</t>
  </si>
  <si>
    <t>EMI_per_vehicle.kgCO2.DK.Tr.Road.Freight.HGV.Domestic</t>
  </si>
  <si>
    <t>EMI_per_vehicle.kgCO2.DK.Tr.Road.Freight.HGV.International</t>
  </si>
  <si>
    <t>Road transport / technologies - DK - Denmark</t>
  </si>
  <si>
    <t>StockVin.number.DK.Tr.Road</t>
  </si>
  <si>
    <t>StockVin.number.DK.Tr.Road.Passenger</t>
  </si>
  <si>
    <t>StockVin.number.DK.Tr.Road.Passenger.P2W</t>
  </si>
  <si>
    <t>StockVin.number.DK.Tr.Road.Passenger.Car</t>
  </si>
  <si>
    <t>StockVin.number.DK.Tr.Road.Passenger.Car.ICE.Gasoline</t>
  </si>
  <si>
    <t>StockVin.number.DK.Tr.Road.Passenger.Car.ICE.Diesel</t>
  </si>
  <si>
    <t>StockVin.number.DK.Tr.Road.Passenger.Car.ICE.LPG</t>
  </si>
  <si>
    <t>StockVin.number.DK.Tr.Road.Passenger.Car.ICE.NGas</t>
  </si>
  <si>
    <t>StockVin.number.DK.Tr.Road.Passenger.Car.PHEV</t>
  </si>
  <si>
    <t>StockVin.number.DK.Tr.Road.Passenger.Car.BEV</t>
  </si>
  <si>
    <t>StockVin.number.DK.Tr.Road.Passenger.Bus</t>
  </si>
  <si>
    <t>StockVin.number.DK.Tr.Road.Passenger.Bus.ICE.Gasoline</t>
  </si>
  <si>
    <t>StockVin.number.DK.Tr.Road.Passenger.Bus.ICE.Diesel</t>
  </si>
  <si>
    <t>StockVin.number.DK.Tr.Road.Passenger.Bus.ICE.LPG</t>
  </si>
  <si>
    <t>StockVin.number.DK.Tr.Road.Passenger.Bus.ICE.NGas</t>
  </si>
  <si>
    <t>StockVin.number.DK.Tr.Road.Passenger.Bus.ICE.BEV</t>
  </si>
  <si>
    <t>StockVin.number.DK.Tr.Road.Freight</t>
  </si>
  <si>
    <t>StockVin.number.DK.Tr.Road.Freight.LCV</t>
  </si>
  <si>
    <t>StockVin.number.DK.Tr.Road.Freight.LCV.ICE.Gasoline</t>
  </si>
  <si>
    <t>StockVin.number.DK.Tr.Road.Freight.LCV.ICE.Diesel</t>
  </si>
  <si>
    <t>StockVin.number.DK.Tr.Road.Freight.LCV.ICE.LPG</t>
  </si>
  <si>
    <t>StockVin.number.DK.Tr.Road.Freight.LCV.ICE.NGas</t>
  </si>
  <si>
    <t>StockVin.number.DK.Tr.Road.Freight.LCV.ICE.BEV</t>
  </si>
  <si>
    <t>StockVin.number.DK.Tr.Road.Freight.HGV</t>
  </si>
  <si>
    <t>StockVin.number.DK.Tr.Road.Freight.HGV.Domestic</t>
  </si>
  <si>
    <t>StockVin.number.DK.Tr.Road.Freight.HGV.International</t>
  </si>
  <si>
    <t>Eff_test_stock.kgoe_per_100km.DK.Tr.Road.Passenger.P2W</t>
  </si>
  <si>
    <t>Eff_test_stock.kgoe_per_100km.DK.Tr.Road.Passenger.Car</t>
  </si>
  <si>
    <t>Eff_test_stock.kgoe_per_100km.DK.Tr.Road.Passenger.Car.ICE.Gasoline</t>
  </si>
  <si>
    <t>Eff_test_stock.kgoe_per_100km.DK.Tr.Road.Passenger.Car.ICE.Diesel</t>
  </si>
  <si>
    <t>Eff_test_stock.kgoe_per_100km.DK.Tr.Road.Passenger.Car.ICE.LPG</t>
  </si>
  <si>
    <t>Eff_test_stock.kgoe_per_100km.DK.Tr.Road.Passenger.Car.ICE.NGas</t>
  </si>
  <si>
    <t>Eff_test_stock.kgoe_per_100km.DK.Tr.Road.Passenger.Car.PHEV</t>
  </si>
  <si>
    <t>Eff_test_stock.kgoe_per_100km.DK.Tr.Road.Passenger.Car.BEV</t>
  </si>
  <si>
    <t>Eff_test_stock.kgoe_per_100km.DK.Tr.Road.Passenger.Bus</t>
  </si>
  <si>
    <t>Eff_test_stock.kgoe_per_100km.DK.Tr.Road.Passenger.Bus.ICE.Gasoline</t>
  </si>
  <si>
    <t>Eff_test_stock.kgoe_per_100km.DK.Tr.Road.Passenger.Bus.ICE.Diesel</t>
  </si>
  <si>
    <t>Eff_test_stock.kgoe_per_100km.DK.Tr.Road.Passenger.Bus.ICE.LPG</t>
  </si>
  <si>
    <t>Eff_test_stock.kgoe_per_100km.DK.Tr.Road.Passenger.Bus.ICE.NGas</t>
  </si>
  <si>
    <t>Eff_test_stock.kgoe_per_100km.DK.Tr.Road.Passenger.Bus.ICE.BEV</t>
  </si>
  <si>
    <t>Eff_test_stock.kgoe_per_100km.DK.Tr.Road.Freight.LCV</t>
  </si>
  <si>
    <t>Eff_test_stock.kgoe_per_100km.DK.Tr.Road.Freight.LCV.ICE.Gasoline</t>
  </si>
  <si>
    <t>Eff_test_stock.kgoe_per_100km.DK.Tr.Road.Freight.LCV.ICE.Diesel</t>
  </si>
  <si>
    <t>Eff_test_stock.kgoe_per_100km.DK.Tr.Road.Freight.LCV.ICE.LPG</t>
  </si>
  <si>
    <t>Eff_test_stock.kgoe_per_100km.DK.Tr.Road.Freight.LCV.ICE.NGas</t>
  </si>
  <si>
    <t>Eff_test_stock.kgoe_per_100km.DK.Tr.Road.Freight.LCV.ICE.BEV</t>
  </si>
  <si>
    <t>Eff_test_stock.kgoe_per_100km.DK.Tr.Road.Freight.HGV</t>
  </si>
  <si>
    <t>Eff_test_stock.kgoe_per_100km.DK.Tr.Road.Freight.HGV.Domestic</t>
  </si>
  <si>
    <t>Eff_test_stock.kgoe_per_100km.DK.Tr.Road.Freight.HGV.International</t>
  </si>
  <si>
    <t>Eff_test_new.kgoe_per_100km.DK.Tr.Road.Passenger.P2W</t>
  </si>
  <si>
    <t>Eff_test_new.kgoe_per_100km.DK.Tr.Road.Passenger.Car</t>
  </si>
  <si>
    <t>Eff_test_new.kgoe_per_100km.DK.Tr.Road.Passenger.Car.ICE.Gasoline</t>
  </si>
  <si>
    <t>Eff_test_new.kgoe_per_100km.DK.Tr.Road.Passenger.Car.ICE.Diesel</t>
  </si>
  <si>
    <t>Eff_test_new.kgoe_per_100km.DK.Tr.Road.Passenger.Car.ICE.LPG</t>
  </si>
  <si>
    <t>Eff_test_new.kgoe_per_100km.DK.Tr.Road.Passenger.Car.ICE.NGas</t>
  </si>
  <si>
    <t>Eff_test_new.kgoe_per_100km.DK.Tr.Road.Passenger.Car.PHEV</t>
  </si>
  <si>
    <t>Eff_test_new.kgoe_per_100km.DK.Tr.Road.Passenger.Car.BEV</t>
  </si>
  <si>
    <t>Eff_test_new.kgoe_per_100km.DK.Tr.Road.Passenger.Bus</t>
  </si>
  <si>
    <t>Eff_test_new.kgoe_per_100km.DK.Tr.Road.Passenger.Bus.ICE.Gasoline</t>
  </si>
  <si>
    <t>Eff_test_new.kgoe_per_100km.DK.Tr.Road.Passenger.Bus.ICE.Diesel</t>
  </si>
  <si>
    <t>Eff_test_new.kgoe_per_100km.DK.Tr.Road.Passenger.Bus.ICE.LPG</t>
  </si>
  <si>
    <t>Eff_test_new.kgoe_per_100km.DK.Tr.Road.Passenger.Bus.ICE.NGas</t>
  </si>
  <si>
    <t>Eff_test_new.kgoe_per_100km.DK.Tr.Road.Passenger.Bus.ICE.BEV</t>
  </si>
  <si>
    <t>Eff_test_new.kgoe_per_100km.DK.Tr.Road.Freight.LCV</t>
  </si>
  <si>
    <t>Eff_test_new.kgoe_per_100km.DK.Tr.Road.Freight.LCV.ICE.Gasoline</t>
  </si>
  <si>
    <t>Eff_test_new.kgoe_per_100km.DK.Tr.Road.Freight.LCV.ICE.Diesel</t>
  </si>
  <si>
    <t>Eff_test_new.kgoe_per_100km.DK.Tr.Road.Freight.LCV.ICE.LPG</t>
  </si>
  <si>
    <t>Eff_test_new.kgoe_per_100km.DK.Tr.Road.Freight.LCV.ICE.NGas</t>
  </si>
  <si>
    <t>Eff_test_new.kgoe_per_100km.DK.Tr.Road.Freight.LCV.ICE.BEV</t>
  </si>
  <si>
    <t>Eff_test_new.kgoe_per_100km.DK.Tr.Road.Freight.HGV</t>
  </si>
  <si>
    <t>Eff_test_new.kgoe_per_100km.DK.Tr.Road.Freight.HGV.Domestic</t>
  </si>
  <si>
    <t>Eff_test_new.kgoe_per_100km.DK.Tr.Road.Freight.HGV.International</t>
  </si>
  <si>
    <t>EMIint_test_stock.gCO2_per_km.DK.Tr.Road.Passenger.P2W</t>
  </si>
  <si>
    <t>EMIint_test_stock.gCO2_per_km.DK.Tr.Road.Passenger.Car</t>
  </si>
  <si>
    <t>EMIint_test_stock.gCO2_per_km.DK.Tr.Road.Passenger.Car.ICE.Gasoline</t>
  </si>
  <si>
    <t>EMIint_test_stock.gCO2_per_km.DK.Tr.Road.Passenger.Car.ICE.Diesel</t>
  </si>
  <si>
    <t>EMIint_test_stock.gCO2_per_km.DK.Tr.Road.Passenger.Car.ICE.LPG</t>
  </si>
  <si>
    <t>EMIint_test_stock.gCO2_per_km.DK.Tr.Road.Passenger.Car.ICE.NGas</t>
  </si>
  <si>
    <t>EMIint_test_stock.gCO2_per_km.DK.Tr.Road.Passenger.Car.PHEV</t>
  </si>
  <si>
    <t>EMIint_test_stock.gCO2_per_km.DK.Tr.Road.Passenger.Car.BEV</t>
  </si>
  <si>
    <t>EMIint_test_stock.gCO2_per_km.DK.Tr.Road.Passenger.Bus</t>
  </si>
  <si>
    <t>EMIint_test_stock.gCO2_per_km.DK.Tr.Road.Passenger.Bus.ICE.Gasoline</t>
  </si>
  <si>
    <t>EMIint_test_stock.gCO2_per_km.DK.Tr.Road.Passenger.Bus.ICE.Diesel</t>
  </si>
  <si>
    <t>EMIint_test_stock.gCO2_per_km.DK.Tr.Road.Passenger.Bus.ICE.LPG</t>
  </si>
  <si>
    <t>EMIint_test_stock.gCO2_per_km.DK.Tr.Road.Passenger.Bus.ICE.NGas</t>
  </si>
  <si>
    <t>EMIint_test_stock.gCO2_per_km.DK.Tr.Road.Passenger.Bus.ICE.BEV</t>
  </si>
  <si>
    <t>EMIint_test_stock.gCO2_per_km.DK.Tr.Road.Freight.LCV</t>
  </si>
  <si>
    <t>EMIint_test_stock.gCO2_per_km.DK.Tr.Road.Freight.LCV.ICE.Gasoline</t>
  </si>
  <si>
    <t>EMIint_test_stock.gCO2_per_km.DK.Tr.Road.Freight.LCV.ICE.Diesel</t>
  </si>
  <si>
    <t>EMIint_test_stock.gCO2_per_km.DK.Tr.Road.Freight.LCV.ICE.LPG</t>
  </si>
  <si>
    <t>EMIint_test_stock.gCO2_per_km.DK.Tr.Road.Freight.LCV.ICE.NGas</t>
  </si>
  <si>
    <t>EMIint_test_stock.gCO2_per_km.DK.Tr.Road.Freight.LCV.ICE.BEV</t>
  </si>
  <si>
    <t>EMIint_test_stock.gCO2_per_km.DK.Tr.Road.Freight.HGV</t>
  </si>
  <si>
    <t>EMIint_test_stock.gCO2_per_km.DK.Tr.Road.Freight.HGV.Domestic</t>
  </si>
  <si>
    <t>EMIint_test_stock.gCO2_per_km.DK.Tr.Road.Freight.HGV.International</t>
  </si>
  <si>
    <t>EMIint_test_new.gCO2_per_km.DK.Tr.Road.Passenger.P2W</t>
  </si>
  <si>
    <t>EMIint_test_new.gCO2_per_km.DK.Tr.Road.Passenger.Car</t>
  </si>
  <si>
    <t>EMIint_test_new.gCO2_per_km.DK.Tr.Road.Passenger.Car.ICE.Gasoline</t>
  </si>
  <si>
    <t>EMIint_test_new.gCO2_per_km.DK.Tr.Road.Passenger.Car.ICE.Diesel</t>
  </si>
  <si>
    <t>EMIint_test_new.gCO2_per_km.DK.Tr.Road.Passenger.Car.ICE.LPG</t>
  </si>
  <si>
    <t>EMIint_test_new.gCO2_per_km.DK.Tr.Road.Passenger.Car.ICE.NGas</t>
  </si>
  <si>
    <t>EMIint_test_new.gCO2_per_km.DK.Tr.Road.Passenger.Car.PHEV</t>
  </si>
  <si>
    <t>EMIint_test_new.gCO2_per_km.DK.Tr.Road.Passenger.Car.BEV</t>
  </si>
  <si>
    <t>EMIint_test_new.gCO2_per_km.DK.Tr.Road.Passenger.Bus</t>
  </si>
  <si>
    <t>EMIint_test_new.gCO2_per_km.DK.Tr.Road.Passenger.Bus.ICE.Gasoline</t>
  </si>
  <si>
    <t>EMIint_test_new.gCO2_per_km.DK.Tr.Road.Passenger.Bus.ICE.Diesel</t>
  </si>
  <si>
    <t>EMIint_test_new.gCO2_per_km.DK.Tr.Road.Passenger.Bus.ICE.LPG</t>
  </si>
  <si>
    <t>EMIint_test_new.gCO2_per_km.DK.Tr.Road.Passenger.Bus.ICE.NGas</t>
  </si>
  <si>
    <t>EMIint_test_new.gCO2_per_km.DK.Tr.Road.Passenger.Bus.ICE.BEV</t>
  </si>
  <si>
    <t>EMIint_test_new.gCO2_per_km.DK.Tr.Road.Freight.LCV</t>
  </si>
  <si>
    <t>EMIint_test_new.gCO2_per_km.DK.Tr.Road.Freight.LCV.ICE.Gasoline</t>
  </si>
  <si>
    <t>EMIint_test_new.gCO2_per_km.DK.Tr.Road.Freight.LCV.ICE.Diesel</t>
  </si>
  <si>
    <t>EMIint_test_new.gCO2_per_km.DK.Tr.Road.Freight.LCV.ICE.LPG</t>
  </si>
  <si>
    <t>EMIint_test_new.gCO2_per_km.DK.Tr.Road.Freight.LCV.ICE.NGas</t>
  </si>
  <si>
    <t>EMIint_test_new.gCO2_per_km.DK.Tr.Road.Freight.LCV.ICE.BEV</t>
  </si>
  <si>
    <t>EMIint_test_new.gCO2_per_km.DK.Tr.Road.Freight.HGV</t>
  </si>
  <si>
    <t>EMIint_test_new.gCO2_per_km.DK.Tr.Road.Freight.HGV.Domestic</t>
  </si>
  <si>
    <t>EMIint_test_new.gCO2_per_km.DK.Tr.Road.Freight.HGV.International</t>
  </si>
  <si>
    <t>FEC.ktoe.DK.MBunk</t>
  </si>
  <si>
    <t>FEC.ktoe.DK.MBunk.IntraEEA</t>
  </si>
  <si>
    <t>FEC.ktoe.DK.MBunk.ExtraEEA</t>
  </si>
  <si>
    <t>EMI.ktCO2.DK.MBunk</t>
  </si>
  <si>
    <t>EMI.ktCO2.DK.MBunk.IntraEEA</t>
  </si>
  <si>
    <t>EMI.ktCO2.DK.MBunk.ExtraEEA</t>
  </si>
  <si>
    <t>International maritime bunkers - DK - Denmark</t>
  </si>
  <si>
    <t>VehicleKm.Mkm.DK.MBunk.Freight</t>
  </si>
  <si>
    <t>VehicleKm.Mkm.DK.MBunk.Freight.IntraEEA</t>
  </si>
  <si>
    <t>VehicleKm.Mkm.DK.MBunk.Freight.ExtraEEA</t>
  </si>
  <si>
    <t>Load.t_per_movement.DK.MBunk.Freight</t>
  </si>
  <si>
    <t>Load.t_per_movement.DK.MBunk.Freight.IntraEEA</t>
  </si>
  <si>
    <t>Load.t_per_movement.DK.MBunk.Freight.ExtraEEA</t>
  </si>
  <si>
    <t>International maritime bunkers / energy consumption - DK - Denmark</t>
  </si>
  <si>
    <t>FEC.ktoe.DK.ES.MBunk</t>
  </si>
  <si>
    <t>FEC.ktoe.DK.ES.MBunk.IntraEEA</t>
  </si>
  <si>
    <t>FEC.ktoe.DK.ES.MBunk.IntraEEA.Diesel</t>
  </si>
  <si>
    <t>FEC.ktoe.DK.ES.MBunk.IntraEEA.RFO_Other</t>
  </si>
  <si>
    <t>FEC.ktoe.DK.ES.MBunk.IntraEEA.LiqBio</t>
  </si>
  <si>
    <t>FEC.ktoe.DK.ES.MBunk.IntraEEA.NG</t>
  </si>
  <si>
    <t>FEC.ktoe.DK.ES.MBunk.IntraEEA.Biogas</t>
  </si>
  <si>
    <t>FEC.ktoe.DK.ES.MBunk.ExtraEEA</t>
  </si>
  <si>
    <t>FEC.ktoe.DK.ES.MBunk.ExtraEEA.Diesel</t>
  </si>
  <si>
    <t>FEC.ktoe.DK.ES.MBunk.ExtraEEA.RFO_Other</t>
  </si>
  <si>
    <t>FEC.ktoe.DK.ES.MBunk.ExtraEEA.LiqBio</t>
  </si>
  <si>
    <t>FEC.ktoe.DK.ES.MBunk.ExtraEEA.NG</t>
  </si>
  <si>
    <t>FEC.ktoe.DK.ES.MBunk.ExtraEEA.Biogas</t>
  </si>
  <si>
    <t>Eff.kgoe_per_100km.DK.MBunk.Freight</t>
  </si>
  <si>
    <t>Eff.kgoe_per_100km.DK.MBunk.Freight.IntraEEA</t>
  </si>
  <si>
    <t>Eff.kgoe_per_100km.DK.MBunk.Freight.ExtraEEA</t>
  </si>
  <si>
    <t>International maritime bunkers / CO2 emissions - DK - Denmark</t>
  </si>
  <si>
    <t>EMI.ktCO2.DK.ES.MBunk</t>
  </si>
  <si>
    <t>EMI.ktCO2.DK.ES.MBunk.IntraEEA</t>
  </si>
  <si>
    <t>EMI.ktCO2.DK.ES.MBunk.ExtraEEA</t>
  </si>
  <si>
    <t>EMIint.gCO2_per_km.DK.MBunk.Freight</t>
  </si>
  <si>
    <t>EMIint.gCO2_per_km.DK.MBunk.Freight.IntraEEA</t>
  </si>
  <si>
    <t>EMIint.gCO2_per_km.DK.MBunk.Freight.ExtraEEA</t>
  </si>
  <si>
    <t>FEC.ktoe.DK.Tr.DNavi</t>
  </si>
  <si>
    <t>FEC.ktoe.DK.Tr.Dnavi.DCS</t>
  </si>
  <si>
    <t>FEC.ktoe.DK.Tr.Dnavi.IWW</t>
  </si>
  <si>
    <t>EMI.ktCO2.DK.Tr.DNavi</t>
  </si>
  <si>
    <t>EMI.ktCO2.DK.Tr.Dnavi.DCS</t>
  </si>
  <si>
    <t>EMI.ktCO2.DK.Tr.Dnavi.IWW</t>
  </si>
  <si>
    <t>Domestic navigation - DK - Denmark</t>
  </si>
  <si>
    <t>VehicleKm.Mkm.DK.Tr.DNavi.Freight</t>
  </si>
  <si>
    <t>VehicleKm.Mkm.DK.Tr.DNavi.Freight.DCS</t>
  </si>
  <si>
    <t>VehicleKm.Mkm.DK.Tr.DNavi.Freight.IWW</t>
  </si>
  <si>
    <t>Load.t_per_movement.DK.Tr.DNavi.Freight</t>
  </si>
  <si>
    <t>Load.t_per_movement.DK.Tr.DNavi.Freight.DCS</t>
  </si>
  <si>
    <t>Load.t_per_movement.DK.Tr.DNavi.Freight.IWW</t>
  </si>
  <si>
    <t>Domestic navigation / energy consumption - DK - Denmark</t>
  </si>
  <si>
    <t>FEC.ktoe.DK.ES.Tr.DNavi</t>
  </si>
  <si>
    <t>FEC.ktoe.DK.ES.Tr.DNavi.DCS</t>
  </si>
  <si>
    <t>FEC.ktoe.DK.ES.Tr.DNavi.DCS.Diesel</t>
  </si>
  <si>
    <t>FEC.ktoe.DK.ES.Tr.DNavi.DCS.RFO_Other</t>
  </si>
  <si>
    <t>FEC.ktoe.DK.ES.Tr.DNavi.DCS.LiqBio</t>
  </si>
  <si>
    <t>FEC.ktoe.DK.ES.Tr.DNavi.DCS.NG</t>
  </si>
  <si>
    <t>FEC.ktoe.DK.ES.Tr.DNavi.DCS.Biogas</t>
  </si>
  <si>
    <t>FEC.ktoe.DK.ES.Tr.DNavi.IWW</t>
  </si>
  <si>
    <t>FEC.ktoe.DK.ES.Tr.DNavi.IWW.Diesel</t>
  </si>
  <si>
    <t>FEC.ktoe.DK.ES.Tr.DNavi.IWW.RFO_Other</t>
  </si>
  <si>
    <t>FEC.ktoe.DK.ES.Tr.DNavi.IWW.LiqBio</t>
  </si>
  <si>
    <t>FEC.ktoe.DK.ES.Tr.DNavi.IWW.NG</t>
  </si>
  <si>
    <t>FEC.ktoe.DK.ES.Tr.DNavi.IWW.Biogas</t>
  </si>
  <si>
    <t>Eff.kgoe_per_100km.DK.Tr.DNavi.Freight</t>
  </si>
  <si>
    <t>Eff.kgoe_per_100km.DK.Tr.DNavi.Freight.DCS</t>
  </si>
  <si>
    <t>Eff.kgoe_per_100km.DK.Tr.DNavi.Freight.IWW</t>
  </si>
  <si>
    <t>Domestic navigation / CO2 emissions - DK - Denmark</t>
  </si>
  <si>
    <t>EMI.ktCO2.DK.ES.Tr.DNavi</t>
  </si>
  <si>
    <t>EMI.ktCO2.DK.ES.Tr.DNavi.DCS</t>
  </si>
  <si>
    <t>EMI.ktCO2.DK.ES.Tr.DNavi.IWW</t>
  </si>
  <si>
    <t>EMIint.gCO2_per_km.DK.Tr.DNavi.Freight</t>
  </si>
  <si>
    <t>EMIint.gCO2_per_km.DK.Tr.DNavi.Freight.DCS</t>
  </si>
  <si>
    <t>EMIint.gCO2_per_km.DK.Tr.DNavi.Freight.IWW</t>
  </si>
  <si>
    <t>Rail, metro and tram - DK - Denmark</t>
  </si>
  <si>
    <t>Activity.Mpkm.DK.Tr.Rail.Passenger.CPT.Diesel</t>
  </si>
  <si>
    <t>Activity.Mpkm.DK.Tr.Rail.Passenger.CPT.Elc</t>
  </si>
  <si>
    <t>Activity.Mtkm.DK.Tr.Rail.Freight.Diesel</t>
  </si>
  <si>
    <t>Activity.Mtkm.DK.Tr.Rail.Freight.Elc</t>
  </si>
  <si>
    <t>VehicleKm.Mkm.DK.Tr.Rail</t>
  </si>
  <si>
    <t>VehicleKm.Mkm.DK.Tr.Rail.Passenger</t>
  </si>
  <si>
    <t>VehicleKm.Mkm.DK.Tr.Rail.Passenger.MTU</t>
  </si>
  <si>
    <t>VehicleKm.Mkm.DK.Tr.Rail.Passenger.CPT</t>
  </si>
  <si>
    <t>VehicleKm.Mkm.DK.Tr.Rail.Passenger.CPT.Diesel</t>
  </si>
  <si>
    <t>VehicleKm.Mkm.DK.Tr.Rail.Passenger.CPT.Elc</t>
  </si>
  <si>
    <t>VehicleKm.Mkm.DK.Tr.Rail.Passenger.HST</t>
  </si>
  <si>
    <t>VehicleKm.Mkm.DK.Tr.Rail.Freight</t>
  </si>
  <si>
    <t>VehicleKm.Mkm.DK.Tr.Rail.Freight.Diesel</t>
  </si>
  <si>
    <t>VehicleKm.Mkm.DK.Tr.Rail.Freight.Elc</t>
  </si>
  <si>
    <t>Stock.number.DK.Tr.Rail</t>
  </si>
  <si>
    <t>Stock.number.DK.Tr.Rail.Passenger</t>
  </si>
  <si>
    <t>Stock.number.DK.Tr.Rail.Passenger.MTU</t>
  </si>
  <si>
    <t>Stock.number.DK.Tr.Rail.Passenger.CPT</t>
  </si>
  <si>
    <t>Stock.number.DK.Tr.Rail.Passenger.CPT.Diesel</t>
  </si>
  <si>
    <t>Stock.number.DK.Tr.Rail.Passenger.CPT.Elc</t>
  </si>
  <si>
    <t>Stock.number.DK.Tr.Rail.Passenger.HST</t>
  </si>
  <si>
    <t>Stock.number.DK.Tr.Rail.Freight</t>
  </si>
  <si>
    <t>Stock.number.DK.Tr.Rail.Freight.Diesel</t>
  </si>
  <si>
    <t>Stock.number.DK.Tr.Rail.Freight.Elc</t>
  </si>
  <si>
    <t>StockNew.number.DK.Tr.Rail</t>
  </si>
  <si>
    <t>StockNew.number.DK.Tr.Rail.Passenger</t>
  </si>
  <si>
    <t>StockNew.number.DK.Tr.Rail.Passenger.MTU</t>
  </si>
  <si>
    <t>StockNew.number.DK.Tr.Rail.Passenger.CPT</t>
  </si>
  <si>
    <t>StockNew.number.DK.Tr.Rail.Passenger.CPT.Diesel</t>
  </si>
  <si>
    <t>StockNew.number.DK.Tr.Rail.Passenger.CPT.Elc</t>
  </si>
  <si>
    <t>StockNew.number.DK.Tr.Rail.Passenger.HST</t>
  </si>
  <si>
    <t>StockNew.number.DK.Tr.Rail.Freight</t>
  </si>
  <si>
    <t>StockNew.number.DK.Tr.Rail.Freight.Diesel</t>
  </si>
  <si>
    <t>StockNew.number.DK.Tr.Rail.Freight.Elc</t>
  </si>
  <si>
    <t>Load.passenger_per_movement.DK.Tr.Rail.Passenger</t>
  </si>
  <si>
    <t>Load.passenger_per_movement.DK.Tr.Rail.Passenger.MTU</t>
  </si>
  <si>
    <t>Load.passenger_per_movement.DK.Tr.Rail.Passenger.CPT</t>
  </si>
  <si>
    <t>Load.passenger_per_movement.DK.Tr.Rail.Passenger.CPT.Diesel</t>
  </si>
  <si>
    <t>Load.passenger_per_movement.DK.Tr.Rail.Passenger.CPT.Elc</t>
  </si>
  <si>
    <t>Load.passenger_per_movement.DK.Tr.Rail.Passenger.HST</t>
  </si>
  <si>
    <t>Load.t_per_movement.DK.Tr.Rail.Freight</t>
  </si>
  <si>
    <t>Load.t_per_movement.DK.Tr.Rail.Freight.Diesel</t>
  </si>
  <si>
    <t>Load.t_per_movement.DK.Tr.Rail.Freight.Elc</t>
  </si>
  <si>
    <t>TrCap.seats.DK.Tr.Rail.Passenger</t>
  </si>
  <si>
    <t>TrCap.seats.DK.Tr.Rail.Passenger.MTU</t>
  </si>
  <si>
    <t>TrCap.seats.DK.Tr.Rail.Passenger.CPT</t>
  </si>
  <si>
    <t>TrCap.seats.DK.Tr.Rail.Passenger.CPT.Diesel</t>
  </si>
  <si>
    <t>TrCap.seats.DK.Tr.Rail.Passenger.CPT.Elc</t>
  </si>
  <si>
    <t>TrCap.seats.DK.Tr.Rail.Passenger.HST</t>
  </si>
  <si>
    <t>TrCap.t.DK.Tr.Rail.Freight</t>
  </si>
  <si>
    <t>TrCap.t.DK.Tr.Rail.Freight.Diesel</t>
  </si>
  <si>
    <t>TrCap.t.DK.Tr.Rail.Freight.Elc</t>
  </si>
  <si>
    <t>VehicleKm_per_vehicle.km.DK.Tr.Rail</t>
  </si>
  <si>
    <t>VehicleKm_per_vehicle.km.DK.Tr.Rail.Passenger</t>
  </si>
  <si>
    <t>VehicleKm_per_vehicle.km.DK.Tr.Rail.Passenger.MTU</t>
  </si>
  <si>
    <t>VehicleKm_per_vehicle.km.DK.Tr.Rail.Passenger.CPT</t>
  </si>
  <si>
    <t>VehicleKm_per_vehicle.km.DK.Tr.Rail.Passenger.CPT.Diesel</t>
  </si>
  <si>
    <t>VehicleKm_per_vehicle.km.DK.Tr.Rail.Passenger.CPT.Elc</t>
  </si>
  <si>
    <t>VehicleKm_per_vehicle.km.DK.Tr.Rail.Passenger.HST</t>
  </si>
  <si>
    <t>VehicleKm_per_vehicle.km.DK.Tr.Rail.Freight</t>
  </si>
  <si>
    <t>VehicleKm_per_vehicle.km.DK.Tr.Rail.Freight.Diesel</t>
  </si>
  <si>
    <t>VehicleKm_per_vehicle.km.DK.Tr.Rail.Freight.Elc</t>
  </si>
  <si>
    <t>Activity_per_vehicle.pkm.DK.Tr.Rail.Passenger</t>
  </si>
  <si>
    <t>Activity_per_vehicle.pkm.DK.Tr.Rail.Passenger.MTU</t>
  </si>
  <si>
    <t>Activity_per_vehicle.pkm.DK.Tr.Rail.Passenger.CPT</t>
  </si>
  <si>
    <t>Activity_per_vehicle.pkm.DK.Tr.Rail.Passenger.CPT.Diesel</t>
  </si>
  <si>
    <t>Activity_per_vehicle.pkm.DK.Tr.Rail.Passenger.CPT.Elc</t>
  </si>
  <si>
    <t>Activity_per_vehicle.pkm.DK.Tr.Rail.Passenger.HST</t>
  </si>
  <si>
    <t>Activity_per_vehicle.tkm.DK.Tr.Rail.Freight</t>
  </si>
  <si>
    <t>Activity_per_vehicle.tkm.DK.Tr.Rail.Freight.Diesel</t>
  </si>
  <si>
    <t>Activity_per_vehicle.tkm.DK.Tr.Rail.Freight.Elc</t>
  </si>
  <si>
    <t>Rail, metro and tram / energy consumption - DK - Denmark</t>
  </si>
  <si>
    <t>FEC.ktoe.DK.ES.Tr.Rail</t>
  </si>
  <si>
    <t>FEC.ktoe.DK.ES.Tr.Rail.Diesel</t>
  </si>
  <si>
    <t>FEC.ktoe.DK.ES.Tr.Rail.LiqBio</t>
  </si>
  <si>
    <t>FEC.ktoe.DK.ES.Tr.Rail.Elec</t>
  </si>
  <si>
    <t>FEC.ktoe.DK.Tr.Rail</t>
  </si>
  <si>
    <t>FEC.ktoe.DK.Tr.Rail.Passenger.CPT.Diesel</t>
  </si>
  <si>
    <t>FEC.ktoe.DK.Tr.Rail.Passenger.CPT.Elc</t>
  </si>
  <si>
    <t>FEC.ktoe.DK.Tr.Rail.Freight.Diesel</t>
  </si>
  <si>
    <t>FEC.ktoe.DK.Tr.Rail.Freight.Elc</t>
  </si>
  <si>
    <t>Eff.kgoe_per_100km.DK.Tr.Rail</t>
  </si>
  <si>
    <t>Eff.kgoe_per_100km.DK.Tr.Rail.Passenger</t>
  </si>
  <si>
    <t>Eff.kgoe_per_100km.DK.Tr.Rail.Passenger.MTU</t>
  </si>
  <si>
    <t>Eff.kgoe_per_100km.DK.Tr.Rail.Passenger.CPT</t>
  </si>
  <si>
    <t>Eff.kgoe_per_100km.DK.Tr.Rail.Passenger.CPT.Diesel</t>
  </si>
  <si>
    <t>Eff.kgoe_per_100km.DK.Tr.Rail.Passenger.CPT.Elc</t>
  </si>
  <si>
    <t>Eff.kgoe_per_100km.DK.Tr.Rail.Passenger.HST</t>
  </si>
  <si>
    <t>Eff.kgoe_per_100km.DK.Tr.Rail.Freight</t>
  </si>
  <si>
    <t>Eff.kgoe_per_100km.DK.Tr.Rail.Freight.Diesel</t>
  </si>
  <si>
    <t>Eff.kgoe_per_100km.DK.Tr.Rail.Freight.Elc</t>
  </si>
  <si>
    <t>Eff.kgoe_per_kpkm.DK.Tr.Rail.Passenger.CPT.Diesel</t>
  </si>
  <si>
    <t>Eff.kgoe_per_kpkm.DK.Tr.Rail.Passenger.CPT.Elc</t>
  </si>
  <si>
    <t>Eff.kgoe_per_ktkm.DK.Tr.Rail.Freight.Diesel</t>
  </si>
  <si>
    <t>Eff.kgoe_per_ktkm.DK.Tr.Rail.Freight.Elc</t>
  </si>
  <si>
    <t>FEC_per_vehicle.kgoe.DK.Tr.Rail</t>
  </si>
  <si>
    <t>FEC_per_vehicle.kgoe.DK.Tr.Rail.Passenger</t>
  </si>
  <si>
    <t>FEC_per_vehicle.kgoe.DK.Tr.Rail.Passenger.MTU</t>
  </si>
  <si>
    <t>FEC_per_vehicle.kgoe.DK.Tr.Rail.Passenger.CPT</t>
  </si>
  <si>
    <t>FEC_per_vehicle.kgoe.DK.Tr.Rail.Passenger.CPT.Diesel</t>
  </si>
  <si>
    <t>FEC_per_vehicle.kgoe.DK.Tr.Rail.Passenger.CPT.Elc</t>
  </si>
  <si>
    <t>FEC_per_vehicle.kgoe.DK.Tr.Rail.Passenger.HST</t>
  </si>
  <si>
    <t>FEC_per_vehicle.kgoe.DK.Tr.Rail.Freight</t>
  </si>
  <si>
    <t>FEC_per_vehicle.kgoe.DK.Tr.Rail.Freight.Diesel</t>
  </si>
  <si>
    <t>FEC_per_vehicle.kgoe.DK.Tr.Rail.Freight.Elc</t>
  </si>
  <si>
    <t>Rail, metro and tram / CO2 emissions - DK - Denmark</t>
  </si>
  <si>
    <t>EMI.ktCO2.DK.ES.Tr.Rail</t>
  </si>
  <si>
    <t>EMI.ktCO2.DK.ES.Tr.Rail.Diesel</t>
  </si>
  <si>
    <t>EMI.ktCO2.DK.ES.Tr.Rail.Elec</t>
  </si>
  <si>
    <t>EMI.ktCO2.DK.Tr.Rail</t>
  </si>
  <si>
    <t>EMI.ktCO2.DK.Tr.Rail.Passenger.CPT.Diesel</t>
  </si>
  <si>
    <t>EMI.ktCO2.DK.Tr.Rail.Passenger.CPT.Elc</t>
  </si>
  <si>
    <t>EMI.ktCO2.DK.Tr.Rail.Freight.Diesel</t>
  </si>
  <si>
    <t>EMI.ktCO2.DK.Tr.Rail.Freight.Elc</t>
  </si>
  <si>
    <t>EMIint.gCO2_per_km.DK.Tr.Rail</t>
  </si>
  <si>
    <t>EMIint.gCO2_per_km.DK.Tr.Rail.Passenger</t>
  </si>
  <si>
    <t>EMIint.gCO2_per_km.DK.Tr.Rail.Passenger.MTU</t>
  </si>
  <si>
    <t>EMIint.gCO2_per_km.DK.Tr.Rail.Passenger.CPT</t>
  </si>
  <si>
    <t>EMIint.gCO2_per_km.DK.Tr.Rail.Passenger.CPT.Diesel</t>
  </si>
  <si>
    <t>EMIint.gCO2_per_km.DK.Tr.Rail.Passenger.CPT.Elc</t>
  </si>
  <si>
    <t>EMIint.gCO2_per_km.DK.Tr.Rail.Passenger.HST</t>
  </si>
  <si>
    <t>EMIint.gCO2_per_km.DK.Tr.Rail.Freight</t>
  </si>
  <si>
    <t>EMIint.gCO2_per_km.DK.Tr.Rail.Freight.Diesel</t>
  </si>
  <si>
    <t>EMIint.gCO2_per_km.DK.Tr.Rail.Freight.Elc</t>
  </si>
  <si>
    <t>EMIint.gCO2_per_pkm.DK.Tr.Rail.Passenger.CPT.Diesel</t>
  </si>
  <si>
    <t>EMIint.gCO2_per_pkm.DK.Tr.Rail.Passenger.CPT.Elc</t>
  </si>
  <si>
    <t>EMIint.gCO2_per_tkm.DK.Tr.Rail.Freight.Diesel</t>
  </si>
  <si>
    <t>EMIint.gCO2_per_tkm.DK.Tr.Rail.Freight.Elc</t>
  </si>
  <si>
    <t>EMI_per_vehicle.tCO2.DK.Tr.Rail</t>
  </si>
  <si>
    <t>EMI_per_vehicle.tCO2.DK.Tr.Rail.Passenger</t>
  </si>
  <si>
    <t>EMI_per_vehicle.tCO2.DK.Tr.Rail.Passenger.MTU</t>
  </si>
  <si>
    <t>EMI_per_vehicle.tCO2.DK.Tr.Rail.Passenger.CPT</t>
  </si>
  <si>
    <t>EMI_per_vehicle.tCO2.DK.Tr.Rail.Passenger.CPT.Diesel</t>
  </si>
  <si>
    <t>EMI_per_vehicle.tCO2.DK.Tr.Rail.Passenger.CPT.Elc</t>
  </si>
  <si>
    <t>EMI_per_vehicle.tCO2.DK.Tr.Rail.Passenger.HST</t>
  </si>
  <si>
    <t>EMI_per_vehicle.tCO2.DK.Tr.Rail.Freight</t>
  </si>
  <si>
    <t>EMI_per_vehicle.tCO2.DK.Tr.Rail.Freight.Diesel</t>
  </si>
  <si>
    <t>EMI_per_vehicle.tCO2.DK.Tr.Rail.Freight.Elc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</si>
</sst>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45432.78365740741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80919.581507835625</v>
      </c>
      <c r="C4" s="28">
        <f t="shared" si="0"/>
        <v>80579.96396374375</v>
      </c>
      <c r="D4" s="28">
        <f t="shared" si="0"/>
        <v>80402.728083107213</v>
      </c>
      <c r="E4" s="28">
        <f t="shared" si="0"/>
        <v>80277.971023660823</v>
      </c>
      <c r="F4" s="28">
        <f t="shared" si="0"/>
        <v>82886.694961819099</v>
      </c>
      <c r="G4" s="28">
        <f t="shared" si="0"/>
        <v>83444.354685175698</v>
      </c>
      <c r="H4" s="28">
        <f t="shared" si="0"/>
        <v>84016.094115133892</v>
      </c>
      <c r="I4" s="28">
        <f t="shared" si="0"/>
        <v>85003.082820169948</v>
      </c>
      <c r="J4" s="28">
        <f t="shared" si="0"/>
        <v>85215.981708547974</v>
      </c>
      <c r="K4" s="28">
        <f t="shared" si="0"/>
        <v>84399.565669406991</v>
      </c>
      <c r="L4" s="28">
        <f t="shared" si="0"/>
        <v>86427.264981181957</v>
      </c>
      <c r="M4" s="28">
        <f t="shared" si="0"/>
        <v>88126.695835555176</v>
      </c>
      <c r="N4" s="28">
        <f t="shared" si="0"/>
        <v>88953.706677609589</v>
      </c>
      <c r="O4" s="28">
        <f t="shared" si="0"/>
        <v>90280.063040474604</v>
      </c>
      <c r="P4" s="28">
        <f t="shared" si="0"/>
        <v>93375.023999704252</v>
      </c>
      <c r="Q4" s="28">
        <f t="shared" si="0"/>
        <v>96605.569306612801</v>
      </c>
      <c r="R4" s="28">
        <f t="shared" ref="R4:V4" si="1">R5+R9+R13</f>
        <v>101011.12372373854</v>
      </c>
      <c r="S4" s="28">
        <f t="shared" si="1"/>
        <v>103154.59012260375</v>
      </c>
      <c r="T4" s="28">
        <f t="shared" si="1"/>
        <v>105752.94982192415</v>
      </c>
      <c r="U4" s="28">
        <f t="shared" si="1"/>
        <v>106701.38943492602</v>
      </c>
      <c r="V4" s="28">
        <f t="shared" si="1"/>
        <v>75039.269380706683</v>
      </c>
      <c r="W4" s="28">
        <f t="shared" ref="W4" si="2">W5+W9+W13</f>
        <v>77844.91172551924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58651.062706545621</v>
      </c>
      <c r="C5" s="137">
        <f t="shared" si="3"/>
        <v>57538.673938765714</v>
      </c>
      <c r="D5" s="137">
        <f t="shared" si="3"/>
        <v>57358.878439561966</v>
      </c>
      <c r="E5" s="137">
        <f t="shared" si="3"/>
        <v>57583.2164668306</v>
      </c>
      <c r="F5" s="137">
        <f t="shared" si="3"/>
        <v>58472.64630201563</v>
      </c>
      <c r="G5" s="137">
        <f t="shared" si="3"/>
        <v>57558.849513423927</v>
      </c>
      <c r="H5" s="137">
        <f t="shared" si="3"/>
        <v>57367.74426072889</v>
      </c>
      <c r="I5" s="137">
        <f t="shared" si="3"/>
        <v>58290.090034796391</v>
      </c>
      <c r="J5" s="137">
        <f t="shared" si="3"/>
        <v>58910.46479061657</v>
      </c>
      <c r="K5" s="137">
        <f t="shared" si="3"/>
        <v>59316.377606143418</v>
      </c>
      <c r="L5" s="137">
        <f t="shared" si="3"/>
        <v>59198.811995750977</v>
      </c>
      <c r="M5" s="137">
        <f t="shared" si="3"/>
        <v>60311.669321103225</v>
      </c>
      <c r="N5" s="137">
        <f t="shared" si="3"/>
        <v>59813.953548350539</v>
      </c>
      <c r="O5" s="137">
        <f t="shared" si="3"/>
        <v>60061.823698539723</v>
      </c>
      <c r="P5" s="137">
        <f t="shared" si="3"/>
        <v>61666.5877501547</v>
      </c>
      <c r="Q5" s="137">
        <f t="shared" si="3"/>
        <v>64412.810214905207</v>
      </c>
      <c r="R5" s="137">
        <f t="shared" ref="R5:V5" si="4">R6+R7+R8</f>
        <v>66821.707315306645</v>
      </c>
      <c r="S5" s="137">
        <f t="shared" si="4"/>
        <v>68014.26693266767</v>
      </c>
      <c r="T5" s="137">
        <f t="shared" si="4"/>
        <v>68955.482530725712</v>
      </c>
      <c r="U5" s="137">
        <f t="shared" si="4"/>
        <v>70107.307906861024</v>
      </c>
      <c r="V5" s="137">
        <f t="shared" si="4"/>
        <v>63619.12828382678</v>
      </c>
      <c r="W5" s="137">
        <f t="shared" ref="W5" si="5">W6+W7+W8</f>
        <v>64357.248742507552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618.06270654561922</v>
      </c>
      <c r="C6" s="102">
        <f>TrRoad_act!C$5</f>
        <v>586.67393876571521</v>
      </c>
      <c r="D6" s="102">
        <f>TrRoad_act!D$5</f>
        <v>609.87843956196923</v>
      </c>
      <c r="E6" s="102">
        <f>TrRoad_act!E$5</f>
        <v>616.21646683060271</v>
      </c>
      <c r="F6" s="102">
        <f>TrRoad_act!F$5</f>
        <v>615.64630201562716</v>
      </c>
      <c r="G6" s="102">
        <f>TrRoad_act!G$5</f>
        <v>631.84951342392662</v>
      </c>
      <c r="H6" s="102">
        <f>TrRoad_act!H$5</f>
        <v>665.74426072888741</v>
      </c>
      <c r="I6" s="102">
        <f>TrRoad_act!I$5</f>
        <v>712.09003479639296</v>
      </c>
      <c r="J6" s="102">
        <f>TrRoad_act!J$5</f>
        <v>712.46479061656851</v>
      </c>
      <c r="K6" s="102">
        <f>TrRoad_act!K$5</f>
        <v>686.37760614342062</v>
      </c>
      <c r="L6" s="102">
        <f>TrRoad_act!L$5</f>
        <v>686.81199575097514</v>
      </c>
      <c r="M6" s="102">
        <f>TrRoad_act!M$5</f>
        <v>681.66932110322557</v>
      </c>
      <c r="N6" s="102">
        <f>TrRoad_act!N$5</f>
        <v>682.95354835054661</v>
      </c>
      <c r="O6" s="102">
        <f>TrRoad_act!O$5</f>
        <v>691.82369853973353</v>
      </c>
      <c r="P6" s="102">
        <f>TrRoad_act!P$5</f>
        <v>706.58775015468939</v>
      </c>
      <c r="Q6" s="102">
        <f>TrRoad_act!Q$5</f>
        <v>713.81021490519925</v>
      </c>
      <c r="R6" s="102">
        <f>TrRoad_act!R$5</f>
        <v>711.70731530665489</v>
      </c>
      <c r="S6" s="102">
        <f>TrRoad_act!S$5</f>
        <v>668.26693266766108</v>
      </c>
      <c r="T6" s="102">
        <f>TrRoad_act!T$5</f>
        <v>634.48253072571617</v>
      </c>
      <c r="U6" s="102">
        <f>TrRoad_act!U$5</f>
        <v>665.30790686102102</v>
      </c>
      <c r="V6" s="102">
        <f>TrRoad_act!V$5</f>
        <v>593.12828382677617</v>
      </c>
      <c r="W6" s="102">
        <f>TrRoad_act!W$5</f>
        <v>613.24874250755204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50615</v>
      </c>
      <c r="C7" s="102">
        <f>TrRoad_act!C$6</f>
        <v>49620</v>
      </c>
      <c r="D7" s="102">
        <f>TrRoad_act!D$6</f>
        <v>49454</v>
      </c>
      <c r="E7" s="102">
        <f>TrRoad_act!E$6</f>
        <v>49695</v>
      </c>
      <c r="F7" s="102">
        <f>TrRoad_act!F$6</f>
        <v>50557</v>
      </c>
      <c r="G7" s="102">
        <f>TrRoad_act!G$6</f>
        <v>49758</v>
      </c>
      <c r="H7" s="102">
        <f>TrRoad_act!H$6</f>
        <v>49648</v>
      </c>
      <c r="I7" s="102">
        <f>TrRoad_act!I$6</f>
        <v>50733</v>
      </c>
      <c r="J7" s="102">
        <f>TrRoad_act!J$6</f>
        <v>51459</v>
      </c>
      <c r="K7" s="102">
        <f>TrRoad_act!K$6</f>
        <v>51884</v>
      </c>
      <c r="L7" s="102">
        <f>TrRoad_act!L$6</f>
        <v>51691</v>
      </c>
      <c r="M7" s="102">
        <f>TrRoad_act!M$6</f>
        <v>52957</v>
      </c>
      <c r="N7" s="102">
        <f>TrRoad_act!N$6</f>
        <v>52664.999999999993</v>
      </c>
      <c r="O7" s="102">
        <f>TrRoad_act!O$6</f>
        <v>52903.999999999993</v>
      </c>
      <c r="P7" s="102">
        <f>TrRoad_act!P$6</f>
        <v>54402.000000000007</v>
      </c>
      <c r="Q7" s="102">
        <f>TrRoad_act!Q$6</f>
        <v>56844.000000000007</v>
      </c>
      <c r="R7" s="102">
        <f>TrRoad_act!R$6</f>
        <v>59041</v>
      </c>
      <c r="S7" s="102">
        <f>TrRoad_act!S$6</f>
        <v>60046</v>
      </c>
      <c r="T7" s="102">
        <f>TrRoad_act!T$6</f>
        <v>61213</v>
      </c>
      <c r="U7" s="102">
        <f>TrRoad_act!U$6</f>
        <v>62513</v>
      </c>
      <c r="V7" s="102">
        <f>TrRoad_act!V$6</f>
        <v>58479</v>
      </c>
      <c r="W7" s="102">
        <f>TrRoad_act!W$6</f>
        <v>58910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7418</v>
      </c>
      <c r="C8" s="102">
        <f>TrRoad_act!C$13</f>
        <v>7332</v>
      </c>
      <c r="D8" s="102">
        <f>TrRoad_act!D$13</f>
        <v>7295</v>
      </c>
      <c r="E8" s="102">
        <f>TrRoad_act!E$13</f>
        <v>7272</v>
      </c>
      <c r="F8" s="102">
        <f>TrRoad_act!F$13</f>
        <v>7300</v>
      </c>
      <c r="G8" s="102">
        <f>TrRoad_act!G$13</f>
        <v>7169</v>
      </c>
      <c r="H8" s="102">
        <f>TrRoad_act!H$13</f>
        <v>7054</v>
      </c>
      <c r="I8" s="102">
        <f>TrRoad_act!I$13</f>
        <v>6845</v>
      </c>
      <c r="J8" s="102">
        <f>TrRoad_act!J$13</f>
        <v>6739</v>
      </c>
      <c r="K8" s="102">
        <f>TrRoad_act!K$13</f>
        <v>6746.0000000000009</v>
      </c>
      <c r="L8" s="102">
        <f>TrRoad_act!L$13</f>
        <v>6821</v>
      </c>
      <c r="M8" s="102">
        <f>TrRoad_act!M$13</f>
        <v>6673</v>
      </c>
      <c r="N8" s="102">
        <f>TrRoad_act!N$13</f>
        <v>6466</v>
      </c>
      <c r="O8" s="102">
        <f>TrRoad_act!O$13</f>
        <v>6466</v>
      </c>
      <c r="P8" s="102">
        <f>TrRoad_act!P$13</f>
        <v>6558</v>
      </c>
      <c r="Q8" s="102">
        <f>TrRoad_act!Q$13</f>
        <v>6854.9999999999991</v>
      </c>
      <c r="R8" s="102">
        <f>TrRoad_act!R$13</f>
        <v>7069</v>
      </c>
      <c r="S8" s="102">
        <f>TrRoad_act!S$13</f>
        <v>7300</v>
      </c>
      <c r="T8" s="102">
        <f>TrRoad_act!T$13</f>
        <v>7107.9999999999991</v>
      </c>
      <c r="U8" s="102">
        <f>TrRoad_act!U$13</f>
        <v>6929</v>
      </c>
      <c r="V8" s="102">
        <f>TrRoad_act!V$13</f>
        <v>4547</v>
      </c>
      <c r="W8" s="102">
        <f>TrRoad_act!W$13</f>
        <v>4834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5537</v>
      </c>
      <c r="C9" s="110">
        <f t="shared" si="6"/>
        <v>5721</v>
      </c>
      <c r="D9" s="110">
        <f t="shared" si="6"/>
        <v>5754</v>
      </c>
      <c r="E9" s="110">
        <f t="shared" si="6"/>
        <v>5893</v>
      </c>
      <c r="F9" s="110">
        <f t="shared" si="6"/>
        <v>6074</v>
      </c>
      <c r="G9" s="110">
        <f t="shared" si="6"/>
        <v>6136</v>
      </c>
      <c r="H9" s="110">
        <f t="shared" si="6"/>
        <v>6274</v>
      </c>
      <c r="I9" s="110">
        <f t="shared" si="6"/>
        <v>6353</v>
      </c>
      <c r="J9" s="110">
        <f t="shared" si="6"/>
        <v>6475</v>
      </c>
      <c r="K9" s="110">
        <f t="shared" si="6"/>
        <v>6367</v>
      </c>
      <c r="L9" s="110">
        <f t="shared" si="6"/>
        <v>6577</v>
      </c>
      <c r="M9" s="110">
        <f t="shared" si="6"/>
        <v>6643</v>
      </c>
      <c r="N9" s="110">
        <f t="shared" si="6"/>
        <v>6791</v>
      </c>
      <c r="O9" s="110">
        <f t="shared" si="6"/>
        <v>6835</v>
      </c>
      <c r="P9" s="110">
        <f t="shared" si="6"/>
        <v>6808</v>
      </c>
      <c r="Q9" s="110">
        <f t="shared" si="6"/>
        <v>6808</v>
      </c>
      <c r="R9" s="110">
        <f t="shared" ref="R9:V9" si="7">R10+R11+R12</f>
        <v>6653</v>
      </c>
      <c r="S9" s="110">
        <f t="shared" si="7"/>
        <v>6621</v>
      </c>
      <c r="T9" s="110">
        <f t="shared" si="7"/>
        <v>6549</v>
      </c>
      <c r="U9" s="110">
        <f t="shared" si="7"/>
        <v>6574</v>
      </c>
      <c r="V9" s="110">
        <f t="shared" si="7"/>
        <v>4229</v>
      </c>
      <c r="W9" s="110">
        <f t="shared" ref="W9" si="8">W10+W11+W12</f>
        <v>4512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9</v>
      </c>
      <c r="E10" s="102">
        <f>TrRail_act!E$5</f>
        <v>67</v>
      </c>
      <c r="F10" s="102">
        <f>TrRail_act!F$5</f>
        <v>128</v>
      </c>
      <c r="G10" s="102">
        <f>TrRail_act!G$5</f>
        <v>162</v>
      </c>
      <c r="H10" s="102">
        <f>TrRail_act!H$5</f>
        <v>164</v>
      </c>
      <c r="I10" s="102">
        <f>TrRail_act!I$5</f>
        <v>177</v>
      </c>
      <c r="J10" s="102">
        <f>TrRail_act!J$5</f>
        <v>195</v>
      </c>
      <c r="K10" s="102">
        <f>TrRail_act!K$5</f>
        <v>215</v>
      </c>
      <c r="L10" s="102">
        <f>TrRail_act!L$5</f>
        <v>239</v>
      </c>
      <c r="M10" s="102">
        <f>TrRail_act!M$5</f>
        <v>278</v>
      </c>
      <c r="N10" s="102">
        <f>TrRail_act!N$5</f>
        <v>274</v>
      </c>
      <c r="O10" s="102">
        <f>TrRail_act!O$5</f>
        <v>284</v>
      </c>
      <c r="P10" s="102">
        <f>TrRail_act!P$5</f>
        <v>295</v>
      </c>
      <c r="Q10" s="102">
        <f>TrRail_act!Q$5</f>
        <v>302</v>
      </c>
      <c r="R10" s="102">
        <f>TrRail_act!R$5</f>
        <v>321</v>
      </c>
      <c r="S10" s="102">
        <f>TrRail_act!S$5</f>
        <v>341</v>
      </c>
      <c r="T10" s="102">
        <f>TrRail_act!T$5</f>
        <v>352</v>
      </c>
      <c r="U10" s="102">
        <f>TrRail_act!U$5</f>
        <v>400</v>
      </c>
      <c r="V10" s="102">
        <f>TrRail_act!V$5</f>
        <v>289</v>
      </c>
      <c r="W10" s="102">
        <f>TrRail_act!W$5</f>
        <v>331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5537</v>
      </c>
      <c r="C11" s="102">
        <f>TrRail_act!C$6</f>
        <v>5721</v>
      </c>
      <c r="D11" s="102">
        <f>TrRail_act!D$6</f>
        <v>5745</v>
      </c>
      <c r="E11" s="102">
        <f>TrRail_act!E$6</f>
        <v>5826</v>
      </c>
      <c r="F11" s="102">
        <f>TrRail_act!F$6</f>
        <v>5946</v>
      </c>
      <c r="G11" s="102">
        <f>TrRail_act!G$6</f>
        <v>5974</v>
      </c>
      <c r="H11" s="102">
        <f>TrRail_act!H$6</f>
        <v>6110</v>
      </c>
      <c r="I11" s="102">
        <f>TrRail_act!I$6</f>
        <v>6176</v>
      </c>
      <c r="J11" s="102">
        <f>TrRail_act!J$6</f>
        <v>6280</v>
      </c>
      <c r="K11" s="102">
        <f>TrRail_act!K$6</f>
        <v>6152</v>
      </c>
      <c r="L11" s="102">
        <f>TrRail_act!L$6</f>
        <v>6338</v>
      </c>
      <c r="M11" s="102">
        <f>TrRail_act!M$6</f>
        <v>6365</v>
      </c>
      <c r="N11" s="102">
        <f>TrRail_act!N$6</f>
        <v>6517</v>
      </c>
      <c r="O11" s="102">
        <f>TrRail_act!O$6</f>
        <v>6551</v>
      </c>
      <c r="P11" s="102">
        <f>TrRail_act!P$6</f>
        <v>6513</v>
      </c>
      <c r="Q11" s="102">
        <f>TrRail_act!Q$6</f>
        <v>6506</v>
      </c>
      <c r="R11" s="102">
        <f>TrRail_act!R$6</f>
        <v>6332</v>
      </c>
      <c r="S11" s="102">
        <f>TrRail_act!S$6</f>
        <v>6280</v>
      </c>
      <c r="T11" s="102">
        <f>TrRail_act!T$6</f>
        <v>6197</v>
      </c>
      <c r="U11" s="102">
        <f>TrRail_act!U$6</f>
        <v>6174</v>
      </c>
      <c r="V11" s="102">
        <f>TrRail_act!V$6</f>
        <v>3940</v>
      </c>
      <c r="W11" s="102">
        <f>TrRail_act!W$6</f>
        <v>4181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16731.518801289996</v>
      </c>
      <c r="C13" s="110">
        <f t="shared" ref="C13:V13" si="10">C14+C15+C16</f>
        <v>17320.29002497804</v>
      </c>
      <c r="D13" s="110">
        <f t="shared" si="10"/>
        <v>17289.84964354524</v>
      </c>
      <c r="E13" s="110">
        <f t="shared" si="10"/>
        <v>16801.754556830216</v>
      </c>
      <c r="F13" s="110">
        <f t="shared" si="10"/>
        <v>18340.048659803462</v>
      </c>
      <c r="G13" s="110">
        <f t="shared" si="10"/>
        <v>19749.505171751778</v>
      </c>
      <c r="H13" s="110">
        <f t="shared" si="10"/>
        <v>20374.349854404994</v>
      </c>
      <c r="I13" s="110">
        <f t="shared" si="10"/>
        <v>20359.992785373553</v>
      </c>
      <c r="J13" s="110">
        <f t="shared" si="10"/>
        <v>19830.516917931407</v>
      </c>
      <c r="K13" s="110">
        <f t="shared" si="10"/>
        <v>18716.188063263569</v>
      </c>
      <c r="L13" s="110">
        <f t="shared" si="10"/>
        <v>20651.45298543098</v>
      </c>
      <c r="M13" s="110">
        <f t="shared" si="10"/>
        <v>21172.026514451958</v>
      </c>
      <c r="N13" s="110">
        <f t="shared" si="10"/>
        <v>22348.753129259039</v>
      </c>
      <c r="O13" s="110">
        <f t="shared" si="10"/>
        <v>23383.239341934881</v>
      </c>
      <c r="P13" s="110">
        <f t="shared" si="10"/>
        <v>24900.436249549559</v>
      </c>
      <c r="Q13" s="110">
        <f t="shared" si="10"/>
        <v>25384.75909170759</v>
      </c>
      <c r="R13" s="110">
        <f t="shared" si="10"/>
        <v>27536.416408431891</v>
      </c>
      <c r="S13" s="110">
        <f t="shared" si="10"/>
        <v>28519.323189936091</v>
      </c>
      <c r="T13" s="110">
        <f t="shared" si="10"/>
        <v>30248.467291198445</v>
      </c>
      <c r="U13" s="110">
        <f t="shared" si="10"/>
        <v>30020.081528064999</v>
      </c>
      <c r="V13" s="110">
        <f t="shared" si="10"/>
        <v>7191.14109687991</v>
      </c>
      <c r="W13" s="110">
        <f t="shared" ref="W13" si="11">W14+W15+W16</f>
        <v>8975.6629830116872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291.40924396035859</v>
      </c>
      <c r="C14" s="102">
        <f>TrAvia_act!C$5</f>
        <v>299.46483133744471</v>
      </c>
      <c r="D14" s="102">
        <f>TrAvia_act!D$5</f>
        <v>270.63505047752295</v>
      </c>
      <c r="E14" s="102">
        <f>TrAvia_act!E$5</f>
        <v>294.26581108181898</v>
      </c>
      <c r="F14" s="102">
        <f>TrAvia_act!F$5</f>
        <v>369.96532619028915</v>
      </c>
      <c r="G14" s="102">
        <f>TrAvia_act!G$5</f>
        <v>371.63024424271703</v>
      </c>
      <c r="H14" s="102">
        <f>TrAvia_act!H$5</f>
        <v>403.57690740271437</v>
      </c>
      <c r="I14" s="102">
        <f>TrAvia_act!I$5</f>
        <v>446.8763170177379</v>
      </c>
      <c r="J14" s="102">
        <f>TrAvia_act!J$5</f>
        <v>458.44665437170937</v>
      </c>
      <c r="K14" s="102">
        <f>TrAvia_act!K$5</f>
        <v>464.32366596496422</v>
      </c>
      <c r="L14" s="102">
        <f>TrAvia_act!L$5</f>
        <v>563.06762945161995</v>
      </c>
      <c r="M14" s="102">
        <f>TrAvia_act!M$5</f>
        <v>519.51037812927541</v>
      </c>
      <c r="N14" s="102">
        <f>TrAvia_act!N$5</f>
        <v>405.46675317223634</v>
      </c>
      <c r="O14" s="102">
        <f>TrAvia_act!O$5</f>
        <v>408.17099991910067</v>
      </c>
      <c r="P14" s="102">
        <f>TrAvia_act!P$5</f>
        <v>421.85946758049505</v>
      </c>
      <c r="Q14" s="102">
        <f>TrAvia_act!Q$5</f>
        <v>412.07747383764882</v>
      </c>
      <c r="R14" s="102">
        <f>TrAvia_act!R$5</f>
        <v>437.606250558174</v>
      </c>
      <c r="S14" s="102">
        <f>TrAvia_act!S$5</f>
        <v>422.72749352524494</v>
      </c>
      <c r="T14" s="102">
        <f>TrAvia_act!T$5</f>
        <v>418.01654063879562</v>
      </c>
      <c r="U14" s="102">
        <f>TrAvia_act!U$5</f>
        <v>393.61794485666769</v>
      </c>
      <c r="V14" s="102">
        <f>TrAvia_act!V$5</f>
        <v>165.67190867400353</v>
      </c>
      <c r="W14" s="102">
        <f>TrAvia_act!W$5</f>
        <v>231.30369073079234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10186.297917202788</v>
      </c>
      <c r="C15" s="102">
        <f>TrAvia_act!C$6</f>
        <v>10566.784446657559</v>
      </c>
      <c r="D15" s="102">
        <f>TrAvia_act!D$6</f>
        <v>10520.060983530002</v>
      </c>
      <c r="E15" s="102">
        <f>TrAvia_act!E$6</f>
        <v>10218.513228038924</v>
      </c>
      <c r="F15" s="102">
        <f>TrAvia_act!F$6</f>
        <v>10696.838536596297</v>
      </c>
      <c r="G15" s="102">
        <f>TrAvia_act!G$6</f>
        <v>11149.757139233894</v>
      </c>
      <c r="H15" s="102">
        <f>TrAvia_act!H$6</f>
        <v>11392.01850836867</v>
      </c>
      <c r="I15" s="102">
        <f>TrAvia_act!I$6</f>
        <v>11336.021346299245</v>
      </c>
      <c r="J15" s="102">
        <f>TrAvia_act!J$6</f>
        <v>10757.313683987757</v>
      </c>
      <c r="K15" s="102">
        <f>TrAvia_act!K$6</f>
        <v>10035.434119026262</v>
      </c>
      <c r="L15" s="102">
        <f>TrAvia_act!L$6</f>
        <v>10883.842524756506</v>
      </c>
      <c r="M15" s="102">
        <f>TrAvia_act!M$6</f>
        <v>11526.969338168174</v>
      </c>
      <c r="N15" s="102">
        <f>TrAvia_act!N$6</f>
        <v>11914.287257611903</v>
      </c>
      <c r="O15" s="102">
        <f>TrAvia_act!O$6</f>
        <v>12547.638627097454</v>
      </c>
      <c r="P15" s="102">
        <f>TrAvia_act!P$6</f>
        <v>13032.859656212773</v>
      </c>
      <c r="Q15" s="102">
        <f>TrAvia_act!Q$6</f>
        <v>13353.18808062169</v>
      </c>
      <c r="R15" s="102">
        <f>TrAvia_act!R$6</f>
        <v>15101.974100752148</v>
      </c>
      <c r="S15" s="102">
        <f>TrAvia_act!S$6</f>
        <v>15751.286250439953</v>
      </c>
      <c r="T15" s="102">
        <f>TrAvia_act!T$6</f>
        <v>16295.38997882581</v>
      </c>
      <c r="U15" s="102">
        <f>TrAvia_act!U$6</f>
        <v>15686.817297998425</v>
      </c>
      <c r="V15" s="102">
        <f>TrAvia_act!V$6</f>
        <v>3816.1926543588661</v>
      </c>
      <c r="W15" s="102">
        <f>TrAvia_act!W$6</f>
        <v>5724.8426153984155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6253.811640126848</v>
      </c>
      <c r="C16" s="102">
        <f>TrAvia_act!C$7</f>
        <v>6454.0407469830343</v>
      </c>
      <c r="D16" s="102">
        <f>TrAvia_act!D$7</f>
        <v>6499.1536095377141</v>
      </c>
      <c r="E16" s="102">
        <f>TrAvia_act!E$7</f>
        <v>6288.9755177094721</v>
      </c>
      <c r="F16" s="102">
        <f>TrAvia_act!F$7</f>
        <v>7273.244797016876</v>
      </c>
      <c r="G16" s="102">
        <f>TrAvia_act!G$7</f>
        <v>8228.1177882751672</v>
      </c>
      <c r="H16" s="102">
        <f>TrAvia_act!H$7</f>
        <v>8578.7544386336103</v>
      </c>
      <c r="I16" s="102">
        <f>TrAvia_act!I$7</f>
        <v>8577.0951220565712</v>
      </c>
      <c r="J16" s="102">
        <f>TrAvia_act!J$7</f>
        <v>8614.7565795719402</v>
      </c>
      <c r="K16" s="102">
        <f>TrAvia_act!K$7</f>
        <v>8216.4302782723425</v>
      </c>
      <c r="L16" s="102">
        <f>TrAvia_act!L$7</f>
        <v>9204.542831222856</v>
      </c>
      <c r="M16" s="102">
        <f>TrAvia_act!M$7</f>
        <v>9125.5467981545098</v>
      </c>
      <c r="N16" s="102">
        <f>TrAvia_act!N$7</f>
        <v>10028.9991184749</v>
      </c>
      <c r="O16" s="102">
        <f>TrAvia_act!O$7</f>
        <v>10427.429714918328</v>
      </c>
      <c r="P16" s="102">
        <f>TrAvia_act!P$7</f>
        <v>11445.717125756293</v>
      </c>
      <c r="Q16" s="102">
        <f>TrAvia_act!Q$7</f>
        <v>11619.493537248251</v>
      </c>
      <c r="R16" s="102">
        <f>TrAvia_act!R$7</f>
        <v>11996.836057121571</v>
      </c>
      <c r="S16" s="102">
        <f>TrAvia_act!S$7</f>
        <v>12345.309445970895</v>
      </c>
      <c r="T16" s="102">
        <f>TrAvia_act!T$7</f>
        <v>13535.060771733841</v>
      </c>
      <c r="U16" s="102">
        <f>TrAvia_act!U$7</f>
        <v>13939.646285209907</v>
      </c>
      <c r="V16" s="102">
        <f>TrAvia_act!V$7</f>
        <v>3209.2765338470399</v>
      </c>
      <c r="W16" s="102">
        <f>TrAvia_act!W$7</f>
        <v>3019.5166768824793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19712.316089401364</v>
      </c>
      <c r="C17" s="28">
        <f t="shared" si="12"/>
        <v>20383.758591789669</v>
      </c>
      <c r="D17" s="28">
        <f t="shared" si="12"/>
        <v>20424.270377156496</v>
      </c>
      <c r="E17" s="28">
        <f t="shared" si="12"/>
        <v>20856.597485400685</v>
      </c>
      <c r="F17" s="28">
        <f t="shared" si="12"/>
        <v>21493.43421996279</v>
      </c>
      <c r="G17" s="28">
        <f t="shared" si="12"/>
        <v>22191.911525213505</v>
      </c>
      <c r="H17" s="28">
        <f t="shared" si="12"/>
        <v>23434.226241070144</v>
      </c>
      <c r="I17" s="28">
        <f t="shared" si="12"/>
        <v>24314.303729870022</v>
      </c>
      <c r="J17" s="28">
        <f t="shared" si="12"/>
        <v>25258.753809799458</v>
      </c>
      <c r="K17" s="28">
        <f t="shared" si="12"/>
        <v>22401.577599360433</v>
      </c>
      <c r="L17" s="28">
        <f t="shared" si="12"/>
        <v>23505.518622230491</v>
      </c>
      <c r="M17" s="28">
        <f t="shared" si="12"/>
        <v>24986.543598165321</v>
      </c>
      <c r="N17" s="28">
        <f t="shared" si="12"/>
        <v>24828.962634004114</v>
      </c>
      <c r="O17" s="28">
        <f t="shared" si="12"/>
        <v>25141.654896001113</v>
      </c>
      <c r="P17" s="28">
        <f t="shared" si="12"/>
        <v>25487.012860900941</v>
      </c>
      <c r="Q17" s="28">
        <f t="shared" si="12"/>
        <v>25325.079189292021</v>
      </c>
      <c r="R17" s="28">
        <f t="shared" ref="R17:V17" si="13">R18+R21+R22+R26</f>
        <v>26811.769634615488</v>
      </c>
      <c r="S17" s="28">
        <f t="shared" si="13"/>
        <v>26525.699220244231</v>
      </c>
      <c r="T17" s="28">
        <f t="shared" si="13"/>
        <v>25217.622894286167</v>
      </c>
      <c r="U17" s="28">
        <f t="shared" si="13"/>
        <v>25366.455085612411</v>
      </c>
      <c r="V17" s="28">
        <f t="shared" si="13"/>
        <v>25574.478145491736</v>
      </c>
      <c r="W17" s="28">
        <f t="shared" ref="W17" si="14">W18+W21+W22+W26</f>
        <v>25902.463039702339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16102.825803694617</v>
      </c>
      <c r="C18" s="137">
        <f t="shared" si="15"/>
        <v>16355.707153045834</v>
      </c>
      <c r="D18" s="137">
        <f t="shared" si="15"/>
        <v>16829.378201802039</v>
      </c>
      <c r="E18" s="137">
        <f t="shared" si="15"/>
        <v>16923.344719354514</v>
      </c>
      <c r="F18" s="137">
        <f t="shared" si="15"/>
        <v>17328.699423064456</v>
      </c>
      <c r="G18" s="137">
        <f t="shared" si="15"/>
        <v>18144.322437491363</v>
      </c>
      <c r="H18" s="137">
        <f t="shared" si="15"/>
        <v>19191.163695864903</v>
      </c>
      <c r="I18" s="137">
        <f t="shared" si="15"/>
        <v>20029.931318275878</v>
      </c>
      <c r="J18" s="137">
        <f t="shared" si="15"/>
        <v>20556.519011216318</v>
      </c>
      <c r="K18" s="137">
        <f t="shared" si="15"/>
        <v>18472.092585620561</v>
      </c>
      <c r="L18" s="137">
        <f t="shared" si="15"/>
        <v>18758.472985390181</v>
      </c>
      <c r="M18" s="137">
        <f t="shared" si="15"/>
        <v>19817.018828586704</v>
      </c>
      <c r="N18" s="137">
        <f t="shared" si="15"/>
        <v>19849.078278026496</v>
      </c>
      <c r="O18" s="137">
        <f t="shared" si="15"/>
        <v>20508.3929700796</v>
      </c>
      <c r="P18" s="137">
        <f t="shared" si="15"/>
        <v>20688.053561330256</v>
      </c>
      <c r="Q18" s="137">
        <f t="shared" si="15"/>
        <v>20318.062767255164</v>
      </c>
      <c r="R18" s="137">
        <f t="shared" ref="R18:V18" si="16">R19+R20</f>
        <v>21797.133025806252</v>
      </c>
      <c r="S18" s="137">
        <f t="shared" si="16"/>
        <v>21579.315571500047</v>
      </c>
      <c r="T18" s="137">
        <f t="shared" si="16"/>
        <v>20558.588921723807</v>
      </c>
      <c r="U18" s="137">
        <f t="shared" si="16"/>
        <v>20679.157322018225</v>
      </c>
      <c r="V18" s="137">
        <f t="shared" si="16"/>
        <v>21354.084442872299</v>
      </c>
      <c r="W18" s="137">
        <f t="shared" ref="W18" si="17">W19+W20</f>
        <v>21986.87928498839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967.69161960842871</v>
      </c>
      <c r="C19" s="102">
        <f>TrRoad_act!C$20</f>
        <v>1039.2803571428108</v>
      </c>
      <c r="D19" s="102">
        <f>TrRoad_act!D$20</f>
        <v>1081.8775655784996</v>
      </c>
      <c r="E19" s="102">
        <f>TrRoad_act!E$20</f>
        <v>1145.365920751447</v>
      </c>
      <c r="F19" s="102">
        <f>TrRoad_act!F$20</f>
        <v>1259.0690910860051</v>
      </c>
      <c r="G19" s="102">
        <f>TrRoad_act!G$20</f>
        <v>1357.8092139001092</v>
      </c>
      <c r="H19" s="102">
        <f>TrRoad_act!H$20</f>
        <v>1498.9049667236454</v>
      </c>
      <c r="I19" s="102">
        <f>TrRoad_act!I$20</f>
        <v>1642.3372972945608</v>
      </c>
      <c r="J19" s="102">
        <f>TrRoad_act!J$20</f>
        <v>1642.100932238998</v>
      </c>
      <c r="K19" s="102">
        <f>TrRoad_act!K$20</f>
        <v>1556.3443418001732</v>
      </c>
      <c r="L19" s="102">
        <f>TrRoad_act!L$20</f>
        <v>1514.7237158435612</v>
      </c>
      <c r="M19" s="102">
        <f>TrRoad_act!M$20</f>
        <v>1378.623661996241</v>
      </c>
      <c r="N19" s="102">
        <f>TrRoad_act!N$20</f>
        <v>1278.0406604003247</v>
      </c>
      <c r="O19" s="102">
        <f>TrRoad_act!O$20</f>
        <v>1211.6717668725753</v>
      </c>
      <c r="P19" s="102">
        <f>TrRoad_act!P$20</f>
        <v>1170.7877713172372</v>
      </c>
      <c r="Q19" s="102">
        <f>TrRoad_act!Q$20</f>
        <v>1189.4401413442174</v>
      </c>
      <c r="R19" s="102">
        <f>TrRoad_act!R$20</f>
        <v>1198.2699444678321</v>
      </c>
      <c r="S19" s="102">
        <f>TrRoad_act!S$20</f>
        <v>1227.2141511383193</v>
      </c>
      <c r="T19" s="102">
        <f>TrRoad_act!T$20</f>
        <v>1252.5889217238089</v>
      </c>
      <c r="U19" s="102">
        <f>TrRoad_act!U$20</f>
        <v>1218.1573220182254</v>
      </c>
      <c r="V19" s="102">
        <f>TrRoad_act!V$20</f>
        <v>1145.084442872298</v>
      </c>
      <c r="W19" s="102">
        <f>TrRoad_act!W$20</f>
        <v>1167.879284988391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15135.134184086188</v>
      </c>
      <c r="C20" s="102">
        <f>TrRoad_act!C$26</f>
        <v>15316.426795903024</v>
      </c>
      <c r="D20" s="102">
        <f>TrRoad_act!D$26</f>
        <v>15747.50063622354</v>
      </c>
      <c r="E20" s="102">
        <f>TrRoad_act!E$26</f>
        <v>15777.978798603068</v>
      </c>
      <c r="F20" s="102">
        <f>TrRoad_act!F$26</f>
        <v>16069.630331978449</v>
      </c>
      <c r="G20" s="102">
        <f>TrRoad_act!G$26</f>
        <v>16786.513223591253</v>
      </c>
      <c r="H20" s="102">
        <f>TrRoad_act!H$26</f>
        <v>17692.258729141256</v>
      </c>
      <c r="I20" s="102">
        <f>TrRoad_act!I$26</f>
        <v>18387.594020981316</v>
      </c>
      <c r="J20" s="102">
        <f>TrRoad_act!J$26</f>
        <v>18914.41807897732</v>
      </c>
      <c r="K20" s="102">
        <f>TrRoad_act!K$26</f>
        <v>16915.748243820388</v>
      </c>
      <c r="L20" s="102">
        <f>TrRoad_act!L$26</f>
        <v>17243.749269546621</v>
      </c>
      <c r="M20" s="102">
        <f>TrRoad_act!M$26</f>
        <v>18438.395166590464</v>
      </c>
      <c r="N20" s="102">
        <f>TrRoad_act!N$26</f>
        <v>18571.037617626171</v>
      </c>
      <c r="O20" s="102">
        <f>TrRoad_act!O$26</f>
        <v>19296.721203207024</v>
      </c>
      <c r="P20" s="102">
        <f>TrRoad_act!P$26</f>
        <v>19517.265790013018</v>
      </c>
      <c r="Q20" s="102">
        <f>TrRoad_act!Q$26</f>
        <v>19128.622625910946</v>
      </c>
      <c r="R20" s="102">
        <f>TrRoad_act!R$26</f>
        <v>20598.863081338419</v>
      </c>
      <c r="S20" s="102">
        <f>TrRoad_act!S$26</f>
        <v>20352.101420361727</v>
      </c>
      <c r="T20" s="102">
        <f>TrRoad_act!T$26</f>
        <v>19306</v>
      </c>
      <c r="U20" s="102">
        <f>TrRoad_act!U$26</f>
        <v>19461</v>
      </c>
      <c r="V20" s="102">
        <f>TrRoad_act!V$26</f>
        <v>20209</v>
      </c>
      <c r="W20" s="102">
        <f>TrRoad_act!W$26</f>
        <v>20819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2025</v>
      </c>
      <c r="C21" s="110">
        <f>TrRail_act!C$10</f>
        <v>2091</v>
      </c>
      <c r="D21" s="110">
        <f>TrRail_act!D$10</f>
        <v>1877</v>
      </c>
      <c r="E21" s="110">
        <f>TrRail_act!E$10</f>
        <v>1985</v>
      </c>
      <c r="F21" s="110">
        <f>TrRail_act!F$10</f>
        <v>2321</v>
      </c>
      <c r="G21" s="110">
        <f>TrRail_act!G$10</f>
        <v>1976</v>
      </c>
      <c r="H21" s="110">
        <f>TrRail_act!H$10</f>
        <v>1892</v>
      </c>
      <c r="I21" s="110">
        <f>TrRail_act!I$10</f>
        <v>1779</v>
      </c>
      <c r="J21" s="110">
        <f>TrRail_act!J$10</f>
        <v>1866</v>
      </c>
      <c r="K21" s="110">
        <f>TrRail_act!K$10</f>
        <v>1700</v>
      </c>
      <c r="L21" s="110">
        <f>TrRail_act!L$10</f>
        <v>2239</v>
      </c>
      <c r="M21" s="110">
        <f>TrRail_act!M$10</f>
        <v>2614</v>
      </c>
      <c r="N21" s="110">
        <f>TrRail_act!N$10</f>
        <v>2278</v>
      </c>
      <c r="O21" s="110">
        <f>TrRail_act!O$10</f>
        <v>2449</v>
      </c>
      <c r="P21" s="110">
        <f>TrRail_act!P$10</f>
        <v>2453</v>
      </c>
      <c r="Q21" s="110">
        <f>TrRail_act!Q$10</f>
        <v>2603</v>
      </c>
      <c r="R21" s="110">
        <f>TrRail_act!R$10</f>
        <v>2616</v>
      </c>
      <c r="S21" s="110">
        <f>TrRail_act!S$10</f>
        <v>2653</v>
      </c>
      <c r="T21" s="110">
        <f>TrRail_act!T$10</f>
        <v>2594</v>
      </c>
      <c r="U21" s="110">
        <f>TrRail_act!U$10</f>
        <v>2525</v>
      </c>
      <c r="V21" s="110">
        <f>TrRail_act!V$10</f>
        <v>2450</v>
      </c>
      <c r="W21" s="110">
        <f>TrRail_act!W$10</f>
        <v>1986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51.312285706745314</v>
      </c>
      <c r="C22" s="110">
        <f t="shared" ref="C22:V22" si="19">C23+C24+C25</f>
        <v>56.206438743833019</v>
      </c>
      <c r="D22" s="110">
        <f t="shared" si="19"/>
        <v>51.50917535445479</v>
      </c>
      <c r="E22" s="110">
        <f t="shared" si="19"/>
        <v>40.183766046170099</v>
      </c>
      <c r="F22" s="110">
        <f t="shared" si="19"/>
        <v>40.256796898335097</v>
      </c>
      <c r="G22" s="110">
        <f t="shared" si="19"/>
        <v>42.399087722145701</v>
      </c>
      <c r="H22" s="110">
        <f t="shared" si="19"/>
        <v>41.294545205241377</v>
      </c>
      <c r="I22" s="110">
        <f t="shared" si="19"/>
        <v>38.369411594142598</v>
      </c>
      <c r="J22" s="110">
        <f t="shared" si="19"/>
        <v>485.76879858313907</v>
      </c>
      <c r="K22" s="110">
        <f t="shared" si="19"/>
        <v>395.58801373987029</v>
      </c>
      <c r="L22" s="110">
        <f t="shared" si="19"/>
        <v>448.0196368403108</v>
      </c>
      <c r="M22" s="110">
        <f t="shared" si="19"/>
        <v>451.05076957861968</v>
      </c>
      <c r="N22" s="110">
        <f t="shared" si="19"/>
        <v>543.23935597761738</v>
      </c>
      <c r="O22" s="110">
        <f t="shared" si="19"/>
        <v>472.45792592151179</v>
      </c>
      <c r="P22" s="110">
        <f t="shared" si="19"/>
        <v>615.12629957068452</v>
      </c>
      <c r="Q22" s="110">
        <f t="shared" si="19"/>
        <v>565.67442203685664</v>
      </c>
      <c r="R22" s="110">
        <f t="shared" si="19"/>
        <v>506.40160880923469</v>
      </c>
      <c r="S22" s="110">
        <f t="shared" si="19"/>
        <v>556.71664874418116</v>
      </c>
      <c r="T22" s="110">
        <f t="shared" si="19"/>
        <v>453.51597256236096</v>
      </c>
      <c r="U22" s="110">
        <f t="shared" si="19"/>
        <v>525.22276359418697</v>
      </c>
      <c r="V22" s="110">
        <f t="shared" si="19"/>
        <v>300.97070261943816</v>
      </c>
      <c r="W22" s="110">
        <f t="shared" ref="W22" si="20">W23+W24+W25</f>
        <v>414.46275471394893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0.39172366016678484</v>
      </c>
      <c r="C23" s="102">
        <f>TrAvia_act!C$9</f>
        <v>0.41211957488556195</v>
      </c>
      <c r="D23" s="102">
        <f>TrAvia_act!D$9</f>
        <v>0.38472127495833575</v>
      </c>
      <c r="E23" s="102">
        <f>TrAvia_act!E$9</f>
        <v>0.28773505338378291</v>
      </c>
      <c r="F23" s="102">
        <f>TrAvia_act!F$9</f>
        <v>0.30105339581717916</v>
      </c>
      <c r="G23" s="102">
        <f>TrAvia_act!G$9</f>
        <v>0.33328109776836573</v>
      </c>
      <c r="H23" s="102">
        <f>TrAvia_act!H$9</f>
        <v>0.33346815466669566</v>
      </c>
      <c r="I23" s="102">
        <f>TrAvia_act!I$9</f>
        <v>0.2698273485077764</v>
      </c>
      <c r="J23" s="102">
        <f>TrAvia_act!J$9</f>
        <v>0.45761915652942836</v>
      </c>
      <c r="K23" s="102">
        <f>TrAvia_act!K$9</f>
        <v>0.33392210029788355</v>
      </c>
      <c r="L23" s="102">
        <f>TrAvia_act!L$9</f>
        <v>0.12517562277821262</v>
      </c>
      <c r="M23" s="102">
        <f>TrAvia_act!M$9</f>
        <v>7.1719848184202628E-2</v>
      </c>
      <c r="N23" s="102">
        <f>TrAvia_act!N$9</f>
        <v>5.7239893367400617E-2</v>
      </c>
      <c r="O23" s="102">
        <f>TrAvia_act!O$9</f>
        <v>7.1353982102432559E-2</v>
      </c>
      <c r="P23" s="102">
        <f>TrAvia_act!P$9</f>
        <v>8.6212950052164408E-2</v>
      </c>
      <c r="Q23" s="102">
        <f>TrAvia_act!Q$9</f>
        <v>8.4131859703813122E-2</v>
      </c>
      <c r="R23" s="102">
        <f>TrAvia_act!R$9</f>
        <v>2.4660009783207825E-2</v>
      </c>
      <c r="S23" s="102">
        <f>TrAvia_act!S$9</f>
        <v>4.0384429238605649E-2</v>
      </c>
      <c r="T23" s="102">
        <f>TrAvia_act!T$9</f>
        <v>5.6031012439184319E-2</v>
      </c>
      <c r="U23" s="102">
        <f>TrAvia_act!U$9</f>
        <v>6.3298350329026185E-2</v>
      </c>
      <c r="V23" s="102">
        <f>TrAvia_act!V$9</f>
        <v>7.7001122219437279E-2</v>
      </c>
      <c r="W23" s="102">
        <f>TrAvia_act!W$9</f>
        <v>0.13964973004104073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42.905083456148169</v>
      </c>
      <c r="C24" s="102">
        <f>TrAvia_act!C$10</f>
        <v>46.931066716378098</v>
      </c>
      <c r="D24" s="102">
        <f>TrAvia_act!D$10</f>
        <v>41.43212304203864</v>
      </c>
      <c r="E24" s="102">
        <f>TrAvia_act!E$10</f>
        <v>30.287155976302785</v>
      </c>
      <c r="F24" s="102">
        <f>TrAvia_act!F$10</f>
        <v>30.628589715144848</v>
      </c>
      <c r="G24" s="102">
        <f>TrAvia_act!G$10</f>
        <v>35.80812073868649</v>
      </c>
      <c r="H24" s="102">
        <f>TrAvia_act!H$10</f>
        <v>37.802768006542145</v>
      </c>
      <c r="I24" s="102">
        <f>TrAvia_act!I$10</f>
        <v>34.545832813210581</v>
      </c>
      <c r="J24" s="102">
        <f>TrAvia_act!J$10</f>
        <v>73.007463946440822</v>
      </c>
      <c r="K24" s="102">
        <f>TrAvia_act!K$10</f>
        <v>51.799427558787741</v>
      </c>
      <c r="L24" s="102">
        <f>TrAvia_act!L$10</f>
        <v>37.374545680705971</v>
      </c>
      <c r="M24" s="102">
        <f>TrAvia_act!M$10</f>
        <v>37.565584873698235</v>
      </c>
      <c r="N24" s="102">
        <f>TrAvia_act!N$10</f>
        <v>36.27117486315769</v>
      </c>
      <c r="O24" s="102">
        <f>TrAvia_act!O$10</f>
        <v>30.523839864007151</v>
      </c>
      <c r="P24" s="102">
        <f>TrAvia_act!P$10</f>
        <v>50.036327319758321</v>
      </c>
      <c r="Q24" s="102">
        <f>TrAvia_act!Q$10</f>
        <v>48.248824660922544</v>
      </c>
      <c r="R24" s="102">
        <f>TrAvia_act!R$10</f>
        <v>42.029275036124417</v>
      </c>
      <c r="S24" s="102">
        <f>TrAvia_act!S$10</f>
        <v>46.221980594383972</v>
      </c>
      <c r="T24" s="102">
        <f>TrAvia_act!T$10</f>
        <v>46.669987420462135</v>
      </c>
      <c r="U24" s="102">
        <f>TrAvia_act!U$10</f>
        <v>53.690768159436494</v>
      </c>
      <c r="V24" s="102">
        <f>TrAvia_act!V$10</f>
        <v>51.588895265861069</v>
      </c>
      <c r="W24" s="102">
        <f>TrAvia_act!W$10</f>
        <v>75.077321550225236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8.0154785904303658</v>
      </c>
      <c r="C25" s="102">
        <f>TrAvia_act!C$11</f>
        <v>8.8632524525693519</v>
      </c>
      <c r="D25" s="102">
        <f>TrAvia_act!D$11</f>
        <v>9.692331037457814</v>
      </c>
      <c r="E25" s="102">
        <f>TrAvia_act!E$11</f>
        <v>9.6088750164835321</v>
      </c>
      <c r="F25" s="102">
        <f>TrAvia_act!F$11</f>
        <v>9.3271537873730708</v>
      </c>
      <c r="G25" s="102">
        <f>TrAvia_act!G$11</f>
        <v>6.2576858856908482</v>
      </c>
      <c r="H25" s="102">
        <f>TrAvia_act!H$11</f>
        <v>3.1583090440325332</v>
      </c>
      <c r="I25" s="102">
        <f>TrAvia_act!I$11</f>
        <v>3.553751432424245</v>
      </c>
      <c r="J25" s="102">
        <f>TrAvia_act!J$11</f>
        <v>412.30371548016882</v>
      </c>
      <c r="K25" s="102">
        <f>TrAvia_act!K$11</f>
        <v>343.45466408078465</v>
      </c>
      <c r="L25" s="102">
        <f>TrAvia_act!L$11</f>
        <v>410.5199155368266</v>
      </c>
      <c r="M25" s="102">
        <f>TrAvia_act!M$11</f>
        <v>413.41346485673722</v>
      </c>
      <c r="N25" s="102">
        <f>TrAvia_act!N$11</f>
        <v>506.91094122109234</v>
      </c>
      <c r="O25" s="102">
        <f>TrAvia_act!O$11</f>
        <v>441.86273207540222</v>
      </c>
      <c r="P25" s="102">
        <f>TrAvia_act!P$11</f>
        <v>565.00375930087409</v>
      </c>
      <c r="Q25" s="102">
        <f>TrAvia_act!Q$11</f>
        <v>517.3414655162303</v>
      </c>
      <c r="R25" s="102">
        <f>TrAvia_act!R$11</f>
        <v>464.34767376332707</v>
      </c>
      <c r="S25" s="102">
        <f>TrAvia_act!S$11</f>
        <v>510.45428372055852</v>
      </c>
      <c r="T25" s="102">
        <f>TrAvia_act!T$11</f>
        <v>406.78995412945966</v>
      </c>
      <c r="U25" s="102">
        <f>TrAvia_act!U$11</f>
        <v>471.46869708442148</v>
      </c>
      <c r="V25" s="102">
        <f>TrAvia_act!V$11</f>
        <v>249.30480623135767</v>
      </c>
      <c r="W25" s="102">
        <f>TrAvia_act!W$11</f>
        <v>339.24578343368262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1533.1780000000001</v>
      </c>
      <c r="C26" s="110">
        <f t="shared" si="21"/>
        <v>1880.845</v>
      </c>
      <c r="D26" s="110">
        <f t="shared" si="21"/>
        <v>1666.383</v>
      </c>
      <c r="E26" s="110">
        <f t="shared" si="21"/>
        <v>1908.069</v>
      </c>
      <c r="F26" s="110">
        <f t="shared" si="21"/>
        <v>1803.4780000000001</v>
      </c>
      <c r="G26" s="110">
        <f t="shared" si="21"/>
        <v>2029.19</v>
      </c>
      <c r="H26" s="110">
        <f t="shared" si="21"/>
        <v>2309.768</v>
      </c>
      <c r="I26" s="110">
        <f t="shared" si="21"/>
        <v>2467.0030000000002</v>
      </c>
      <c r="J26" s="110">
        <f t="shared" si="21"/>
        <v>2350.4659999999999</v>
      </c>
      <c r="K26" s="110">
        <f t="shared" si="21"/>
        <v>1833.8969999999999</v>
      </c>
      <c r="L26" s="110">
        <f t="shared" si="21"/>
        <v>2060.0259999999998</v>
      </c>
      <c r="M26" s="110">
        <f t="shared" si="21"/>
        <v>2104.4740000000002</v>
      </c>
      <c r="N26" s="110">
        <f t="shared" si="21"/>
        <v>2158.645</v>
      </c>
      <c r="O26" s="110">
        <f t="shared" si="21"/>
        <v>1711.8040000000001</v>
      </c>
      <c r="P26" s="110">
        <f t="shared" si="21"/>
        <v>1730.8330000000001</v>
      </c>
      <c r="Q26" s="110">
        <f t="shared" si="21"/>
        <v>1838.3420000000001</v>
      </c>
      <c r="R26" s="110">
        <f t="shared" ref="R26:V26" si="22">R27+R28</f>
        <v>1892.2349999999999</v>
      </c>
      <c r="S26" s="110">
        <f t="shared" si="22"/>
        <v>1736.6669999999999</v>
      </c>
      <c r="T26" s="110">
        <f t="shared" si="22"/>
        <v>1611.518</v>
      </c>
      <c r="U26" s="110">
        <f t="shared" si="22"/>
        <v>1637.075</v>
      </c>
      <c r="V26" s="110">
        <f t="shared" si="22"/>
        <v>1469.423</v>
      </c>
      <c r="W26" s="110">
        <f t="shared" ref="W26" si="23">W27+W28</f>
        <v>1515.1210000000001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1533.1780000000001</v>
      </c>
      <c r="C27" s="102">
        <f>TrNavi_act!C4</f>
        <v>1880.845</v>
      </c>
      <c r="D27" s="102">
        <f>TrNavi_act!D4</f>
        <v>1666.383</v>
      </c>
      <c r="E27" s="102">
        <f>TrNavi_act!E4</f>
        <v>1908.069</v>
      </c>
      <c r="F27" s="102">
        <f>TrNavi_act!F4</f>
        <v>1803.4780000000001</v>
      </c>
      <c r="G27" s="102">
        <f>TrNavi_act!G4</f>
        <v>2029.19</v>
      </c>
      <c r="H27" s="102">
        <f>TrNavi_act!H4</f>
        <v>2309.768</v>
      </c>
      <c r="I27" s="102">
        <f>TrNavi_act!I4</f>
        <v>2467.0030000000002</v>
      </c>
      <c r="J27" s="102">
        <f>TrNavi_act!J4</f>
        <v>2350.4659999999999</v>
      </c>
      <c r="K27" s="102">
        <f>TrNavi_act!K4</f>
        <v>1833.8969999999999</v>
      </c>
      <c r="L27" s="102">
        <f>TrNavi_act!L4</f>
        <v>2060.0259999999998</v>
      </c>
      <c r="M27" s="102">
        <f>TrNavi_act!M4</f>
        <v>2104.4740000000002</v>
      </c>
      <c r="N27" s="102">
        <f>TrNavi_act!N4</f>
        <v>2158.645</v>
      </c>
      <c r="O27" s="102">
        <f>TrNavi_act!O4</f>
        <v>1711.8040000000001</v>
      </c>
      <c r="P27" s="102">
        <f>TrNavi_act!P4</f>
        <v>1730.8330000000001</v>
      </c>
      <c r="Q27" s="102">
        <f>TrNavi_act!Q4</f>
        <v>1838.3420000000001</v>
      </c>
      <c r="R27" s="102">
        <f>TrNavi_act!R4</f>
        <v>1892.2349999999999</v>
      </c>
      <c r="S27" s="102">
        <f>TrNavi_act!S4</f>
        <v>1736.6669999999999</v>
      </c>
      <c r="T27" s="102">
        <f>TrNavi_act!T4</f>
        <v>1611.518</v>
      </c>
      <c r="U27" s="102">
        <f>TrNavi_act!U4</f>
        <v>1637.075</v>
      </c>
      <c r="V27" s="102">
        <f>TrNavi_act!V4</f>
        <v>1469.423</v>
      </c>
      <c r="W27" s="102">
        <f>TrNavi_act!W4</f>
        <v>1515.1210000000001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81281.350474000006</v>
      </c>
      <c r="C29" s="28">
        <f t="shared" si="24"/>
        <v>83300.365844999993</v>
      </c>
      <c r="D29" s="28">
        <f t="shared" si="24"/>
        <v>80390.999364999996</v>
      </c>
      <c r="E29" s="28">
        <f t="shared" si="24"/>
        <v>96936.547609999994</v>
      </c>
      <c r="F29" s="28">
        <f t="shared" si="24"/>
        <v>84397.889385999995</v>
      </c>
      <c r="G29" s="28">
        <f t="shared" si="24"/>
        <v>80544.611833999996</v>
      </c>
      <c r="H29" s="28">
        <f t="shared" si="24"/>
        <v>96164.465186999994</v>
      </c>
      <c r="I29" s="28">
        <f t="shared" si="24"/>
        <v>87471.137751999995</v>
      </c>
      <c r="J29" s="28">
        <f t="shared" si="24"/>
        <v>86604.176517999993</v>
      </c>
      <c r="K29" s="28">
        <f t="shared" si="24"/>
        <v>75123.024361999996</v>
      </c>
      <c r="L29" s="28">
        <f t="shared" si="24"/>
        <v>66644.663419999997</v>
      </c>
      <c r="M29" s="28">
        <f t="shared" si="24"/>
        <v>78704.202202</v>
      </c>
      <c r="N29" s="28">
        <f t="shared" si="24"/>
        <v>62277.062085999991</v>
      </c>
      <c r="O29" s="28">
        <f t="shared" si="24"/>
        <v>67340.631108999994</v>
      </c>
      <c r="P29" s="28">
        <f t="shared" si="24"/>
        <v>68401.123592999997</v>
      </c>
      <c r="Q29" s="28">
        <f t="shared" si="24"/>
        <v>89668.039063000004</v>
      </c>
      <c r="R29" s="28">
        <f t="shared" si="24"/>
        <v>89956.077061999997</v>
      </c>
      <c r="S29" s="28">
        <f t="shared" si="24"/>
        <v>86380.848404999997</v>
      </c>
      <c r="T29" s="28">
        <f t="shared" si="24"/>
        <v>88343.023238999987</v>
      </c>
      <c r="U29" s="28">
        <f t="shared" si="24"/>
        <v>99468.827713999999</v>
      </c>
      <c r="V29" s="28">
        <f t="shared" si="24"/>
        <v>99880.737265999996</v>
      </c>
      <c r="W29" s="28">
        <f t="shared" si="24"/>
        <v>103585.604693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21870.693569999999</v>
      </c>
      <c r="C30" s="102">
        <f>MBunk_act!C$4</f>
        <v>21927.959705000001</v>
      </c>
      <c r="D30" s="102">
        <f>MBunk_act!D$4</f>
        <v>22405.536512999999</v>
      </c>
      <c r="E30" s="102">
        <f>MBunk_act!E$4</f>
        <v>23368.593140000001</v>
      </c>
      <c r="F30" s="102">
        <f>MBunk_act!F$4</f>
        <v>24548.212125999999</v>
      </c>
      <c r="G30" s="102">
        <f>MBunk_act!G$4</f>
        <v>24152.365811</v>
      </c>
      <c r="H30" s="102">
        <f>MBunk_act!H$4</f>
        <v>22890.939374999998</v>
      </c>
      <c r="I30" s="102">
        <f>MBunk_act!I$4</f>
        <v>22088.239190999997</v>
      </c>
      <c r="J30" s="102">
        <f>MBunk_act!J$4</f>
        <v>22084.949102999999</v>
      </c>
      <c r="K30" s="102">
        <f>MBunk_act!K$4</f>
        <v>19341.717707</v>
      </c>
      <c r="L30" s="102">
        <f>MBunk_act!L$4</f>
        <v>19327.646912</v>
      </c>
      <c r="M30" s="102">
        <f>MBunk_act!M$4</f>
        <v>18595.806786000001</v>
      </c>
      <c r="N30" s="102">
        <f>MBunk_act!N$4</f>
        <v>18788.972609</v>
      </c>
      <c r="O30" s="102">
        <f>MBunk_act!O$4</f>
        <v>22947.239063999998</v>
      </c>
      <c r="P30" s="102">
        <f>MBunk_act!P$4</f>
        <v>20381.48486</v>
      </c>
      <c r="Q30" s="102">
        <f>MBunk_act!Q$4</f>
        <v>21944.357226</v>
      </c>
      <c r="R30" s="102">
        <f>MBunk_act!R$4</f>
        <v>22296.179255000003</v>
      </c>
      <c r="S30" s="102">
        <f>MBunk_act!S$4</f>
        <v>21842.378266</v>
      </c>
      <c r="T30" s="102">
        <f>MBunk_act!T$4</f>
        <v>20966.236641</v>
      </c>
      <c r="U30" s="102">
        <f>MBunk_act!U$4</f>
        <v>22800.910378</v>
      </c>
      <c r="V30" s="102">
        <f>MBunk_act!V$4</f>
        <v>22236.496229</v>
      </c>
      <c r="W30" s="102">
        <f>MBunk_act!W$4</f>
        <v>22073.122051999999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59410.656904000003</v>
      </c>
      <c r="C31" s="86">
        <f>MBunk_act!C$5</f>
        <v>61372.406139999999</v>
      </c>
      <c r="D31" s="86">
        <f>MBunk_act!D$5</f>
        <v>57985.462852000004</v>
      </c>
      <c r="E31" s="86">
        <f>MBunk_act!E$5</f>
        <v>73567.954469999997</v>
      </c>
      <c r="F31" s="86">
        <f>MBunk_act!F$5</f>
        <v>59849.677259999997</v>
      </c>
      <c r="G31" s="86">
        <f>MBunk_act!G$5</f>
        <v>56392.246023</v>
      </c>
      <c r="H31" s="86">
        <f>MBunk_act!H$5</f>
        <v>73273.525811999993</v>
      </c>
      <c r="I31" s="86">
        <f>MBunk_act!I$5</f>
        <v>65382.898561000002</v>
      </c>
      <c r="J31" s="86">
        <f>MBunk_act!J$5</f>
        <v>64519.227415000001</v>
      </c>
      <c r="K31" s="86">
        <f>MBunk_act!K$5</f>
        <v>55781.306655</v>
      </c>
      <c r="L31" s="86">
        <f>MBunk_act!L$5</f>
        <v>47317.016508000001</v>
      </c>
      <c r="M31" s="86">
        <f>MBunk_act!M$5</f>
        <v>60108.395415999999</v>
      </c>
      <c r="N31" s="86">
        <f>MBunk_act!N$5</f>
        <v>43488.089476999994</v>
      </c>
      <c r="O31" s="86">
        <f>MBunk_act!O$5</f>
        <v>44393.392045000001</v>
      </c>
      <c r="P31" s="86">
        <f>MBunk_act!P$5</f>
        <v>48019.638733</v>
      </c>
      <c r="Q31" s="86">
        <f>MBunk_act!Q$5</f>
        <v>67723.681836999996</v>
      </c>
      <c r="R31" s="86">
        <f>MBunk_act!R$5</f>
        <v>67659.897807000001</v>
      </c>
      <c r="S31" s="86">
        <f>MBunk_act!S$5</f>
        <v>64538.470138999997</v>
      </c>
      <c r="T31" s="86">
        <f>MBunk_act!T$5</f>
        <v>67376.786597999991</v>
      </c>
      <c r="U31" s="86">
        <f>MBunk_act!U$5</f>
        <v>76667.917335999999</v>
      </c>
      <c r="V31" s="86">
        <f>MBunk_act!V$5</f>
        <v>77644.241037</v>
      </c>
      <c r="W31" s="86">
        <f>MBunk_act!W$5</f>
        <v>81512.482640999995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3307.4592606837687</v>
      </c>
      <c r="C34" s="28">
        <f t="shared" si="25"/>
        <v>3281.56517599782</v>
      </c>
      <c r="D34" s="28">
        <f t="shared" si="25"/>
        <v>3197.6932109806448</v>
      </c>
      <c r="E34" s="28">
        <f t="shared" si="25"/>
        <v>3270.3024438502162</v>
      </c>
      <c r="F34" s="28">
        <f t="shared" si="25"/>
        <v>3380.4604083627901</v>
      </c>
      <c r="G34" s="28">
        <f t="shared" si="25"/>
        <v>3434.6098467717829</v>
      </c>
      <c r="H34" s="28">
        <f t="shared" si="25"/>
        <v>3465.8079578876709</v>
      </c>
      <c r="I34" s="28">
        <f t="shared" si="25"/>
        <v>3602.8953676587375</v>
      </c>
      <c r="J34" s="28">
        <f t="shared" si="25"/>
        <v>3533.3298187129762</v>
      </c>
      <c r="K34" s="28">
        <f t="shared" si="25"/>
        <v>3413.9375633865429</v>
      </c>
      <c r="L34" s="28">
        <f t="shared" si="25"/>
        <v>3442.0068776652661</v>
      </c>
      <c r="M34" s="28">
        <f t="shared" si="25"/>
        <v>3528.2427335666998</v>
      </c>
      <c r="N34" s="28">
        <f t="shared" si="25"/>
        <v>3384.7279977934463</v>
      </c>
      <c r="O34" s="28">
        <f t="shared" si="25"/>
        <v>3362.509464909132</v>
      </c>
      <c r="P34" s="28">
        <f t="shared" si="25"/>
        <v>3464.6566212985749</v>
      </c>
      <c r="Q34" s="28">
        <f t="shared" si="25"/>
        <v>3642.8289093294211</v>
      </c>
      <c r="R34" s="28">
        <f t="shared" ref="R34:V34" si="26">R35+R39+R43</f>
        <v>3700.7503504743545</v>
      </c>
      <c r="S34" s="28">
        <f t="shared" si="26"/>
        <v>3709.3707655233907</v>
      </c>
      <c r="T34" s="28">
        <f t="shared" si="26"/>
        <v>3809.0980407910001</v>
      </c>
      <c r="U34" s="28">
        <f t="shared" si="26"/>
        <v>3808.594752157976</v>
      </c>
      <c r="V34" s="28">
        <f t="shared" si="26"/>
        <v>2862.9627879720811</v>
      </c>
      <c r="W34" s="28">
        <f t="shared" ref="W34" si="27">W35+W39+W43</f>
        <v>2976.300468774848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2394.184376909534</v>
      </c>
      <c r="C35" s="137">
        <f t="shared" si="28"/>
        <v>2359.5889540498811</v>
      </c>
      <c r="D35" s="137">
        <f t="shared" si="28"/>
        <v>2385.6475710642389</v>
      </c>
      <c r="E35" s="137">
        <f t="shared" si="28"/>
        <v>2430.4543157334897</v>
      </c>
      <c r="F35" s="137">
        <f t="shared" si="28"/>
        <v>2443.9265461525515</v>
      </c>
      <c r="G35" s="137">
        <f t="shared" si="28"/>
        <v>2449.0673602637389</v>
      </c>
      <c r="H35" s="137">
        <f t="shared" si="28"/>
        <v>2476.5229216852849</v>
      </c>
      <c r="I35" s="137">
        <f t="shared" si="28"/>
        <v>2587.0711792727279</v>
      </c>
      <c r="J35" s="137">
        <f t="shared" si="28"/>
        <v>2572.2868332319031</v>
      </c>
      <c r="K35" s="137">
        <f t="shared" si="28"/>
        <v>2544.250111574609</v>
      </c>
      <c r="L35" s="137">
        <f t="shared" si="28"/>
        <v>2538.1358809534977</v>
      </c>
      <c r="M35" s="137">
        <f t="shared" si="28"/>
        <v>2602.416029905979</v>
      </c>
      <c r="N35" s="137">
        <f t="shared" si="28"/>
        <v>2458.2165939601327</v>
      </c>
      <c r="O35" s="137">
        <f t="shared" si="28"/>
        <v>2438.8506062469141</v>
      </c>
      <c r="P35" s="137">
        <f t="shared" si="28"/>
        <v>2480.0986684620925</v>
      </c>
      <c r="Q35" s="137">
        <f t="shared" si="28"/>
        <v>2674.7332876158098</v>
      </c>
      <c r="R35" s="137">
        <f t="shared" ref="R35:V35" si="29">R36+R37+R38</f>
        <v>2652.6199148314463</v>
      </c>
      <c r="S35" s="137">
        <f t="shared" si="29"/>
        <v>2635.6594929597331</v>
      </c>
      <c r="T35" s="137">
        <f t="shared" si="29"/>
        <v>2686.7991209251531</v>
      </c>
      <c r="U35" s="137">
        <f t="shared" si="29"/>
        <v>2666.3344426529657</v>
      </c>
      <c r="V35" s="137">
        <f t="shared" si="29"/>
        <v>2453.8208111985145</v>
      </c>
      <c r="W35" s="137">
        <f t="shared" ref="W35" si="30">W36+W37+W38</f>
        <v>2483.6918582534449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23.705497959108364</v>
      </c>
      <c r="C36" s="102">
        <f>TrRoad_ene!C$19</f>
        <v>22.334039574026558</v>
      </c>
      <c r="D36" s="102">
        <f>TrRoad_ene!D$19</f>
        <v>23.087706824148658</v>
      </c>
      <c r="E36" s="102">
        <f>TrRoad_ene!E$19</f>
        <v>23.24693578374352</v>
      </c>
      <c r="F36" s="102">
        <f>TrRoad_ene!F$19</f>
        <v>23.012006130275079</v>
      </c>
      <c r="G36" s="102">
        <f>TrRoad_ene!G$19</f>
        <v>23.252000512665834</v>
      </c>
      <c r="H36" s="102">
        <f>TrRoad_ene!H$19</f>
        <v>24.150430160563218</v>
      </c>
      <c r="I36" s="102">
        <f>TrRoad_ene!I$19</f>
        <v>25.423038059012608</v>
      </c>
      <c r="J36" s="102">
        <f>TrRoad_ene!J$19</f>
        <v>25.140927795842163</v>
      </c>
      <c r="K36" s="102">
        <f>TrRoad_ene!K$19</f>
        <v>23.991412693672956</v>
      </c>
      <c r="L36" s="102">
        <f>TrRoad_ene!L$19</f>
        <v>23.846683998708187</v>
      </c>
      <c r="M36" s="102">
        <f>TrRoad_ene!M$19</f>
        <v>23.565411948061278</v>
      </c>
      <c r="N36" s="102">
        <f>TrRoad_ene!N$19</f>
        <v>23.657544590184635</v>
      </c>
      <c r="O36" s="102">
        <f>TrRoad_ene!O$19</f>
        <v>23.73716922156191</v>
      </c>
      <c r="P36" s="102">
        <f>TrRoad_ene!P$19</f>
        <v>24.077134049438857</v>
      </c>
      <c r="Q36" s="102">
        <f>TrRoad_ene!Q$19</f>
        <v>24.127106992693992</v>
      </c>
      <c r="R36" s="102">
        <f>TrRoad_ene!R$19</f>
        <v>23.947259301445957</v>
      </c>
      <c r="S36" s="102">
        <f>TrRoad_ene!S$19</f>
        <v>22.266519880538606</v>
      </c>
      <c r="T36" s="102">
        <f>TrRoad_ene!T$19</f>
        <v>20.998580957437749</v>
      </c>
      <c r="U36" s="102">
        <f>TrRoad_ene!U$19</f>
        <v>21.705878441535958</v>
      </c>
      <c r="V36" s="102">
        <f>TrRoad_ene!V$19</f>
        <v>19.244554543467839</v>
      </c>
      <c r="W36" s="102">
        <f>TrRoad_ene!W$19</f>
        <v>19.048650815689985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2026.7728999521639</v>
      </c>
      <c r="C37" s="102">
        <f>TrRoad_ene!C$21</f>
        <v>2003.1332475872264</v>
      </c>
      <c r="D37" s="102">
        <f>TrRoad_ene!D$21</f>
        <v>2036.7310887318481</v>
      </c>
      <c r="E37" s="102">
        <f>TrRoad_ene!E$21</f>
        <v>2077.201641119143</v>
      </c>
      <c r="F37" s="102">
        <f>TrRoad_ene!F$21</f>
        <v>2096.6248118199292</v>
      </c>
      <c r="G37" s="102">
        <f>TrRoad_ene!G$21</f>
        <v>2098.6091795134657</v>
      </c>
      <c r="H37" s="102">
        <f>TrRoad_ene!H$21</f>
        <v>2122.874232014975</v>
      </c>
      <c r="I37" s="102">
        <f>TrRoad_ene!I$21</f>
        <v>2235.8474003229649</v>
      </c>
      <c r="J37" s="102">
        <f>TrRoad_ene!J$21</f>
        <v>2216.557645206969</v>
      </c>
      <c r="K37" s="102">
        <f>TrRoad_ene!K$21</f>
        <v>2183.8480058636601</v>
      </c>
      <c r="L37" s="102">
        <f>TrRoad_ene!L$21</f>
        <v>2171.0737829216782</v>
      </c>
      <c r="M37" s="102">
        <f>TrRoad_ene!M$21</f>
        <v>2243.6821847062015</v>
      </c>
      <c r="N37" s="102">
        <f>TrRoad_ene!N$21</f>
        <v>2119.424596281784</v>
      </c>
      <c r="O37" s="102">
        <f>TrRoad_ene!O$21</f>
        <v>2112.6198675336072</v>
      </c>
      <c r="P37" s="102">
        <f>TrRoad_ene!P$21</f>
        <v>2142.0292683599741</v>
      </c>
      <c r="Q37" s="102">
        <f>TrRoad_ene!Q$21</f>
        <v>2328.5563196169101</v>
      </c>
      <c r="R37" s="102">
        <f>TrRoad_ene!R$21</f>
        <v>2294.9025519524903</v>
      </c>
      <c r="S37" s="102">
        <f>TrRoad_ene!S$21</f>
        <v>2263.6764088656632</v>
      </c>
      <c r="T37" s="102">
        <f>TrRoad_ene!T$21</f>
        <v>2316.4696960881852</v>
      </c>
      <c r="U37" s="102">
        <f>TrRoad_ene!U$21</f>
        <v>2303.0420911108231</v>
      </c>
      <c r="V37" s="102">
        <f>TrRoad_ene!V$21</f>
        <v>2094.8822673257055</v>
      </c>
      <c r="W37" s="102">
        <f>TrRoad_ene!W$21</f>
        <v>2124.5335855227499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343.70597899826163</v>
      </c>
      <c r="C38" s="102">
        <f>TrRoad_ene!C$33</f>
        <v>334.12166688862828</v>
      </c>
      <c r="D38" s="102">
        <f>TrRoad_ene!D$33</f>
        <v>325.82877550824202</v>
      </c>
      <c r="E38" s="102">
        <f>TrRoad_ene!E$33</f>
        <v>330.00573883060332</v>
      </c>
      <c r="F38" s="102">
        <f>TrRoad_ene!F$33</f>
        <v>324.28972820234748</v>
      </c>
      <c r="G38" s="102">
        <f>TrRoad_ene!G$33</f>
        <v>327.20618023760761</v>
      </c>
      <c r="H38" s="102">
        <f>TrRoad_ene!H$33</f>
        <v>329.49825950974667</v>
      </c>
      <c r="I38" s="102">
        <f>TrRoad_ene!I$33</f>
        <v>325.80074089075055</v>
      </c>
      <c r="J38" s="102">
        <f>TrRoad_ene!J$33</f>
        <v>330.58826022909153</v>
      </c>
      <c r="K38" s="102">
        <f>TrRoad_ene!K$33</f>
        <v>336.41069301727595</v>
      </c>
      <c r="L38" s="102">
        <f>TrRoad_ene!L$33</f>
        <v>343.21541403311147</v>
      </c>
      <c r="M38" s="102">
        <f>TrRoad_ene!M$33</f>
        <v>335.16843325171624</v>
      </c>
      <c r="N38" s="102">
        <f>TrRoad_ene!N$33</f>
        <v>315.13445308816449</v>
      </c>
      <c r="O38" s="102">
        <f>TrRoad_ene!O$33</f>
        <v>302.49356949174506</v>
      </c>
      <c r="P38" s="102">
        <f>TrRoad_ene!P$33</f>
        <v>313.99226605267944</v>
      </c>
      <c r="Q38" s="102">
        <f>TrRoad_ene!Q$33</f>
        <v>322.04986100620573</v>
      </c>
      <c r="R38" s="102">
        <f>TrRoad_ene!R$33</f>
        <v>333.77010357750976</v>
      </c>
      <c r="S38" s="102">
        <f>TrRoad_ene!S$33</f>
        <v>349.71656421353134</v>
      </c>
      <c r="T38" s="102">
        <f>TrRoad_ene!T$33</f>
        <v>349.33084387952999</v>
      </c>
      <c r="U38" s="102">
        <f>TrRoad_ene!U$33</f>
        <v>341.5864731006069</v>
      </c>
      <c r="V38" s="102">
        <f>TrRoad_ene!V$33</f>
        <v>339.69398932934126</v>
      </c>
      <c r="W38" s="102">
        <f>TrRoad_ene!W$33</f>
        <v>340.10962191500494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89.871730930969861</v>
      </c>
      <c r="C39" s="110">
        <f t="shared" si="31"/>
        <v>85.365321944193013</v>
      </c>
      <c r="D39" s="110">
        <f t="shared" si="31"/>
        <v>88.050167592038036</v>
      </c>
      <c r="E39" s="110">
        <f t="shared" si="31"/>
        <v>89.420555670870797</v>
      </c>
      <c r="F39" s="110">
        <f t="shared" si="31"/>
        <v>88.190394146718518</v>
      </c>
      <c r="G39" s="110">
        <f t="shared" si="31"/>
        <v>94.5972550970246</v>
      </c>
      <c r="H39" s="110">
        <f t="shared" si="31"/>
        <v>94.65594155864747</v>
      </c>
      <c r="I39" s="110">
        <f t="shared" si="31"/>
        <v>93.943689166180036</v>
      </c>
      <c r="J39" s="110">
        <f t="shared" si="31"/>
        <v>98.109124545659952</v>
      </c>
      <c r="K39" s="110">
        <f t="shared" si="31"/>
        <v>98.844950225850894</v>
      </c>
      <c r="L39" s="110">
        <f t="shared" si="31"/>
        <v>101.08013896893516</v>
      </c>
      <c r="M39" s="110">
        <f t="shared" si="31"/>
        <v>100.90098312181274</v>
      </c>
      <c r="N39" s="110">
        <f t="shared" si="31"/>
        <v>102.21614707348188</v>
      </c>
      <c r="O39" s="110">
        <f t="shared" si="31"/>
        <v>100.91060630818114</v>
      </c>
      <c r="P39" s="110">
        <f t="shared" si="31"/>
        <v>102.38360121407389</v>
      </c>
      <c r="Q39" s="110">
        <f t="shared" si="31"/>
        <v>101.02410794131255</v>
      </c>
      <c r="R39" s="110">
        <f t="shared" ref="R39:V39" si="32">R40+R41+R42</f>
        <v>104.04838941463289</v>
      </c>
      <c r="S39" s="110">
        <f t="shared" si="32"/>
        <v>101.67741444535758</v>
      </c>
      <c r="T39" s="110">
        <f t="shared" si="32"/>
        <v>95.738804103252818</v>
      </c>
      <c r="U39" s="110">
        <f t="shared" si="32"/>
        <v>97.534824762967077</v>
      </c>
      <c r="V39" s="110">
        <f t="shared" si="32"/>
        <v>88.956313713878302</v>
      </c>
      <c r="W39" s="110">
        <f t="shared" ref="W39" si="33">W40+W41+W42</f>
        <v>89.392958998558754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4.09618427296096E-2</v>
      </c>
      <c r="E40" s="102">
        <f>TrRail_ene!E$12</f>
        <v>0.31247756389811876</v>
      </c>
      <c r="F40" s="102">
        <f>TrRail_ene!F$12</f>
        <v>0.59371176122776581</v>
      </c>
      <c r="G40" s="102">
        <f>TrRail_ene!G$12</f>
        <v>0.75592416902596504</v>
      </c>
      <c r="H40" s="102">
        <f>TrRail_ene!H$12</f>
        <v>0.76062061087540023</v>
      </c>
      <c r="I40" s="102">
        <f>TrRail_ene!I$12</f>
        <v>0.81070194974420673</v>
      </c>
      <c r="J40" s="102">
        <f>TrRail_ene!J$12</f>
        <v>0.89186032652531155</v>
      </c>
      <c r="K40" s="102">
        <f>TrRail_ene!K$12</f>
        <v>0.98315725228874595</v>
      </c>
      <c r="L40" s="102">
        <f>TrRail_ene!L$12</f>
        <v>1.0817347674089566</v>
      </c>
      <c r="M40" s="102">
        <f>TrRail_ene!M$12</f>
        <v>1.2529292518905577</v>
      </c>
      <c r="N40" s="102">
        <f>TrRail_ene!N$12</f>
        <v>1.2188387591037089</v>
      </c>
      <c r="O40" s="102">
        <f>TrRail_ene!O$12</f>
        <v>1.259612978879036</v>
      </c>
      <c r="P40" s="102">
        <f>TrRail_ene!P$12</f>
        <v>1.3032468791469836</v>
      </c>
      <c r="Q40" s="102">
        <f>TrRail_ene!Q$12</f>
        <v>1.3215202821987322</v>
      </c>
      <c r="R40" s="102">
        <f>TrRail_ene!R$12</f>
        <v>1.4041380641794627</v>
      </c>
      <c r="S40" s="102">
        <f>TrRail_ene!S$12</f>
        <v>1.4818147242265765</v>
      </c>
      <c r="T40" s="102">
        <f>TrRail_ene!T$12</f>
        <v>1.5300035203189966</v>
      </c>
      <c r="U40" s="102">
        <f>TrRail_ene!U$12</f>
        <v>1.746122418115319</v>
      </c>
      <c r="V40" s="102">
        <f>TrRail_ene!V$12</f>
        <v>1.7440462392793343</v>
      </c>
      <c r="W40" s="102">
        <f>TrRail_ene!W$12</f>
        <v>1.7549455070421456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89.871730930969861</v>
      </c>
      <c r="C41" s="102">
        <f>TrRail_ene!C$13</f>
        <v>85.365321944193013</v>
      </c>
      <c r="D41" s="102">
        <f>TrRail_ene!D$13</f>
        <v>88.009205749308421</v>
      </c>
      <c r="E41" s="102">
        <f>TrRail_ene!E$13</f>
        <v>89.108078106972684</v>
      </c>
      <c r="F41" s="102">
        <f>TrRail_ene!F$13</f>
        <v>87.596682385490752</v>
      </c>
      <c r="G41" s="102">
        <f>TrRail_ene!G$13</f>
        <v>93.841330927998641</v>
      </c>
      <c r="H41" s="102">
        <f>TrRail_ene!H$13</f>
        <v>93.895320947772063</v>
      </c>
      <c r="I41" s="102">
        <f>TrRail_ene!I$13</f>
        <v>93.132987216435822</v>
      </c>
      <c r="J41" s="102">
        <f>TrRail_ene!J$13</f>
        <v>97.217264219134634</v>
      </c>
      <c r="K41" s="102">
        <f>TrRail_ene!K$13</f>
        <v>97.861792973562146</v>
      </c>
      <c r="L41" s="102">
        <f>TrRail_ene!L$13</f>
        <v>99.998404201526199</v>
      </c>
      <c r="M41" s="102">
        <f>TrRail_ene!M$13</f>
        <v>99.64805386992218</v>
      </c>
      <c r="N41" s="102">
        <f>TrRail_ene!N$13</f>
        <v>100.99730831437817</v>
      </c>
      <c r="O41" s="102">
        <f>TrRail_ene!O$13</f>
        <v>99.650993329302111</v>
      </c>
      <c r="P41" s="102">
        <f>TrRail_ene!P$13</f>
        <v>101.08035433492691</v>
      </c>
      <c r="Q41" s="102">
        <f>TrRail_ene!Q$13</f>
        <v>99.702587659113817</v>
      </c>
      <c r="R41" s="102">
        <f>TrRail_ene!R$13</f>
        <v>102.64425135045343</v>
      </c>
      <c r="S41" s="102">
        <f>TrRail_ene!S$13</f>
        <v>100.195599721131</v>
      </c>
      <c r="T41" s="102">
        <f>TrRail_ene!T$13</f>
        <v>94.208800582933819</v>
      </c>
      <c r="U41" s="102">
        <f>TrRail_ene!U$13</f>
        <v>95.788702344851757</v>
      </c>
      <c r="V41" s="102">
        <f>TrRail_ene!V$13</f>
        <v>87.212267474598974</v>
      </c>
      <c r="W41" s="102">
        <f>TrRail_ene!W$13</f>
        <v>87.638013491516602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823.40315284326448</v>
      </c>
      <c r="C43" s="110">
        <f t="shared" si="34"/>
        <v>836.61090000374611</v>
      </c>
      <c r="D43" s="110">
        <f t="shared" si="34"/>
        <v>723.99547232436794</v>
      </c>
      <c r="E43" s="110">
        <f t="shared" si="34"/>
        <v>750.4275724458555</v>
      </c>
      <c r="F43" s="110">
        <f t="shared" si="34"/>
        <v>848.34346806352028</v>
      </c>
      <c r="G43" s="110">
        <f t="shared" si="34"/>
        <v>890.94523141101922</v>
      </c>
      <c r="H43" s="110">
        <f t="shared" si="34"/>
        <v>894.62909464373831</v>
      </c>
      <c r="I43" s="110">
        <f t="shared" si="34"/>
        <v>921.88049921982986</v>
      </c>
      <c r="J43" s="110">
        <f t="shared" si="34"/>
        <v>862.93386093541301</v>
      </c>
      <c r="K43" s="110">
        <f t="shared" si="34"/>
        <v>770.84250158608302</v>
      </c>
      <c r="L43" s="110">
        <f t="shared" si="34"/>
        <v>802.79085774283362</v>
      </c>
      <c r="M43" s="110">
        <f t="shared" si="34"/>
        <v>824.92572053890819</v>
      </c>
      <c r="N43" s="110">
        <f t="shared" si="34"/>
        <v>824.29525675983177</v>
      </c>
      <c r="O43" s="110">
        <f t="shared" si="34"/>
        <v>822.74825235403671</v>
      </c>
      <c r="P43" s="110">
        <f t="shared" si="34"/>
        <v>882.17435162240872</v>
      </c>
      <c r="Q43" s="110">
        <f t="shared" si="34"/>
        <v>867.07151377229866</v>
      </c>
      <c r="R43" s="110">
        <f t="shared" ref="R43:V43" si="35">R44+R45+R46</f>
        <v>944.08204622827566</v>
      </c>
      <c r="S43" s="110">
        <f t="shared" si="35"/>
        <v>972.03385811830015</v>
      </c>
      <c r="T43" s="110">
        <f t="shared" si="35"/>
        <v>1026.5601157625943</v>
      </c>
      <c r="U43" s="110">
        <f t="shared" si="35"/>
        <v>1044.7254847420431</v>
      </c>
      <c r="V43" s="110">
        <f t="shared" si="35"/>
        <v>320.18566305968818</v>
      </c>
      <c r="W43" s="110">
        <f t="shared" ref="W43" si="36">W44+W45+W46</f>
        <v>403.21565152284427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46.518694134263129</v>
      </c>
      <c r="C44" s="102">
        <f>TrAvia_ene!C$7</f>
        <v>47.542946982934829</v>
      </c>
      <c r="D44" s="102">
        <f>TrAvia_ene!D$7</f>
        <v>39.302074620897528</v>
      </c>
      <c r="E44" s="102">
        <f>TrAvia_ene!E$7</f>
        <v>38.345082498809049</v>
      </c>
      <c r="F44" s="102">
        <f>TrAvia_ene!F$7</f>
        <v>32.145995717365345</v>
      </c>
      <c r="G44" s="102">
        <f>TrAvia_ene!G$7</f>
        <v>34.202785503090944</v>
      </c>
      <c r="H44" s="102">
        <f>TrAvia_ene!H$7</f>
        <v>36.257862173756955</v>
      </c>
      <c r="I44" s="102">
        <f>TrAvia_ene!I$7</f>
        <v>42.484730805414863</v>
      </c>
      <c r="J44" s="102">
        <f>TrAvia_ene!J$7</f>
        <v>44.435310698950808</v>
      </c>
      <c r="K44" s="102">
        <f>TrAvia_ene!K$7</f>
        <v>44.456889458139642</v>
      </c>
      <c r="L44" s="102">
        <f>TrAvia_ene!L$7</f>
        <v>46.660095618340186</v>
      </c>
      <c r="M44" s="102">
        <f>TrAvia_ene!M$7</f>
        <v>44.626663321550886</v>
      </c>
      <c r="N44" s="102">
        <f>TrAvia_ene!N$7</f>
        <v>38.393818155638776</v>
      </c>
      <c r="O44" s="102">
        <f>TrAvia_ene!O$7</f>
        <v>37.353395088861141</v>
      </c>
      <c r="P44" s="102">
        <f>TrAvia_ene!P$7</f>
        <v>36.318256640179207</v>
      </c>
      <c r="Q44" s="102">
        <f>TrAvia_ene!Q$7</f>
        <v>33.740119295318955</v>
      </c>
      <c r="R44" s="102">
        <f>TrAvia_ene!R$7</f>
        <v>35.058728458456578</v>
      </c>
      <c r="S44" s="102">
        <f>TrAvia_ene!S$7</f>
        <v>33.457683369515891</v>
      </c>
      <c r="T44" s="102">
        <f>TrAvia_ene!T$7</f>
        <v>31.661774931035541</v>
      </c>
      <c r="U44" s="102">
        <f>TrAvia_ene!U$7</f>
        <v>31.764557743491224</v>
      </c>
      <c r="V44" s="102">
        <f>TrAvia_ene!V$7</f>
        <v>17.041705069313146</v>
      </c>
      <c r="W44" s="102">
        <f>TrAvia_ene!W$7</f>
        <v>18.240787122025473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437.88959573977871</v>
      </c>
      <c r="C45" s="102">
        <f>TrAvia_ene!C$8</f>
        <v>444.7515106874983</v>
      </c>
      <c r="D45" s="102">
        <f>TrAvia_ene!D$8</f>
        <v>402.43666734145893</v>
      </c>
      <c r="E45" s="102">
        <f>TrAvia_ene!E$8</f>
        <v>424.01103517259531</v>
      </c>
      <c r="F45" s="102">
        <f>TrAvia_ene!F$8</f>
        <v>469.25399046303369</v>
      </c>
      <c r="G45" s="102">
        <f>TrAvia_ene!G$8</f>
        <v>490.36003615241128</v>
      </c>
      <c r="H45" s="102">
        <f>TrAvia_ene!H$8</f>
        <v>494.95945706970787</v>
      </c>
      <c r="I45" s="102">
        <f>TrAvia_ene!I$8</f>
        <v>512.92330564860617</v>
      </c>
      <c r="J45" s="102">
        <f>TrAvia_ene!J$8</f>
        <v>476.53297891364605</v>
      </c>
      <c r="K45" s="102">
        <f>TrAvia_ene!K$8</f>
        <v>408.8696623318595</v>
      </c>
      <c r="L45" s="102">
        <f>TrAvia_ene!L$8</f>
        <v>423.06013518215968</v>
      </c>
      <c r="M45" s="102">
        <f>TrAvia_ene!M$8</f>
        <v>438.47827678723405</v>
      </c>
      <c r="N45" s="102">
        <f>TrAvia_ene!N$8</f>
        <v>438.00948312880394</v>
      </c>
      <c r="O45" s="102">
        <f>TrAvia_ene!O$8</f>
        <v>439.04688135298278</v>
      </c>
      <c r="P45" s="102">
        <f>TrAvia_ene!P$8</f>
        <v>474.3282022564689</v>
      </c>
      <c r="Q45" s="102">
        <f>TrAvia_ene!Q$8</f>
        <v>470.62805171809333</v>
      </c>
      <c r="R45" s="102">
        <f>TrAvia_ene!R$8</f>
        <v>528.47211404824156</v>
      </c>
      <c r="S45" s="102">
        <f>TrAvia_ene!S$8</f>
        <v>549.1639114984614</v>
      </c>
      <c r="T45" s="102">
        <f>TrAvia_ene!T$8</f>
        <v>577.22782990725375</v>
      </c>
      <c r="U45" s="102">
        <f>TrAvia_ene!U$8</f>
        <v>576.86913357685387</v>
      </c>
      <c r="V45" s="102">
        <f>TrAvia_ene!V$8</f>
        <v>150.71755051577895</v>
      </c>
      <c r="W45" s="102">
        <f>TrAvia_ene!W$8</f>
        <v>204.52316394970336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338.99486296922271</v>
      </c>
      <c r="C46" s="102">
        <f>TrAvia_ene!C$9</f>
        <v>344.31644233331292</v>
      </c>
      <c r="D46" s="102">
        <f>TrAvia_ene!D$9</f>
        <v>282.25673036201141</v>
      </c>
      <c r="E46" s="102">
        <f>TrAvia_ene!E$9</f>
        <v>288.07145477445107</v>
      </c>
      <c r="F46" s="102">
        <f>TrAvia_ene!F$9</f>
        <v>346.94348188312119</v>
      </c>
      <c r="G46" s="102">
        <f>TrAvia_ene!G$9</f>
        <v>366.38240975551702</v>
      </c>
      <c r="H46" s="102">
        <f>TrAvia_ene!H$9</f>
        <v>363.41177540027354</v>
      </c>
      <c r="I46" s="102">
        <f>TrAvia_ene!I$9</f>
        <v>366.47246276580881</v>
      </c>
      <c r="J46" s="102">
        <f>TrAvia_ene!J$9</f>
        <v>341.96557132281612</v>
      </c>
      <c r="K46" s="102">
        <f>TrAvia_ene!K$9</f>
        <v>317.51594979608387</v>
      </c>
      <c r="L46" s="102">
        <f>TrAvia_ene!L$9</f>
        <v>333.07062694233372</v>
      </c>
      <c r="M46" s="102">
        <f>TrAvia_ene!M$9</f>
        <v>341.82078043012325</v>
      </c>
      <c r="N46" s="102">
        <f>TrAvia_ene!N$9</f>
        <v>347.89195547538901</v>
      </c>
      <c r="O46" s="102">
        <f>TrAvia_ene!O$9</f>
        <v>346.34797591219279</v>
      </c>
      <c r="P46" s="102">
        <f>TrAvia_ene!P$9</f>
        <v>371.52789272576069</v>
      </c>
      <c r="Q46" s="102">
        <f>TrAvia_ene!Q$9</f>
        <v>362.70334275888632</v>
      </c>
      <c r="R46" s="102">
        <f>TrAvia_ene!R$9</f>
        <v>380.55120372157756</v>
      </c>
      <c r="S46" s="102">
        <f>TrAvia_ene!S$9</f>
        <v>389.41226325032289</v>
      </c>
      <c r="T46" s="102">
        <f>TrAvia_ene!T$9</f>
        <v>417.67051092430506</v>
      </c>
      <c r="U46" s="102">
        <f>TrAvia_ene!U$9</f>
        <v>436.09179342169813</v>
      </c>
      <c r="V46" s="102">
        <f>TrAvia_ene!V$9</f>
        <v>152.42640747459606</v>
      </c>
      <c r="W46" s="102">
        <f>TrAvia_ene!W$9</f>
        <v>180.45170045111544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1481.8392775793443</v>
      </c>
      <c r="C47" s="28">
        <f t="shared" si="37"/>
        <v>1549.192175678877</v>
      </c>
      <c r="D47" s="28">
        <f t="shared" si="37"/>
        <v>1577.9146995954511</v>
      </c>
      <c r="E47" s="28">
        <f t="shared" si="37"/>
        <v>1685.5958364593275</v>
      </c>
      <c r="F47" s="28">
        <f t="shared" si="37"/>
        <v>1776.0900645520844</v>
      </c>
      <c r="G47" s="28">
        <f t="shared" si="37"/>
        <v>1831.0655616547006</v>
      </c>
      <c r="H47" s="28">
        <f t="shared" si="37"/>
        <v>1899.9081212180897</v>
      </c>
      <c r="I47" s="28">
        <f t="shared" si="37"/>
        <v>1963.1514939061803</v>
      </c>
      <c r="J47" s="28">
        <f t="shared" si="37"/>
        <v>1978.3473094039634</v>
      </c>
      <c r="K47" s="28">
        <f t="shared" si="37"/>
        <v>1748.7890116288029</v>
      </c>
      <c r="L47" s="28">
        <f t="shared" si="37"/>
        <v>1716.892326450444</v>
      </c>
      <c r="M47" s="28">
        <f t="shared" si="37"/>
        <v>1641.7323244387139</v>
      </c>
      <c r="N47" s="28">
        <f t="shared" si="37"/>
        <v>1517.6582271689415</v>
      </c>
      <c r="O47" s="28">
        <f t="shared" si="37"/>
        <v>1463.8374326886403</v>
      </c>
      <c r="P47" s="28">
        <f t="shared" si="37"/>
        <v>1464.9424708477777</v>
      </c>
      <c r="Q47" s="28">
        <f t="shared" si="37"/>
        <v>1421.1417871966523</v>
      </c>
      <c r="R47" s="28">
        <f t="shared" ref="R47:V47" si="38">R48+R51+R52+R56</f>
        <v>1483.3143059870099</v>
      </c>
      <c r="S47" s="28">
        <f t="shared" si="38"/>
        <v>1494.8161283877296</v>
      </c>
      <c r="T47" s="28">
        <f t="shared" si="38"/>
        <v>1520.5650794721764</v>
      </c>
      <c r="U47" s="28">
        <f t="shared" si="38"/>
        <v>1473.5548031215928</v>
      </c>
      <c r="V47" s="28">
        <f t="shared" si="38"/>
        <v>1407.5898289701486</v>
      </c>
      <c r="W47" s="28">
        <f t="shared" ref="W47" si="39">W48+W51+W52+W56</f>
        <v>1482.6813204769985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1297.1550899864249</v>
      </c>
      <c r="C48" s="137">
        <f t="shared" si="40"/>
        <v>1358.6827570421215</v>
      </c>
      <c r="D48" s="137">
        <f t="shared" si="40"/>
        <v>1369.6286112229491</v>
      </c>
      <c r="E48" s="137">
        <f t="shared" si="40"/>
        <v>1480.8359680154344</v>
      </c>
      <c r="F48" s="137">
        <f t="shared" si="40"/>
        <v>1591.1050101673104</v>
      </c>
      <c r="G48" s="137">
        <f t="shared" si="40"/>
        <v>1619.0634221954185</v>
      </c>
      <c r="H48" s="137">
        <f t="shared" si="40"/>
        <v>1705.6544643852221</v>
      </c>
      <c r="I48" s="137">
        <f t="shared" si="40"/>
        <v>1792.3355275200493</v>
      </c>
      <c r="J48" s="137">
        <f t="shared" si="40"/>
        <v>1704.196399786154</v>
      </c>
      <c r="K48" s="137">
        <f t="shared" si="40"/>
        <v>1510.1836861406509</v>
      </c>
      <c r="L48" s="137">
        <f t="shared" si="40"/>
        <v>1497.5401933255835</v>
      </c>
      <c r="M48" s="137">
        <f t="shared" si="40"/>
        <v>1427.0721837314213</v>
      </c>
      <c r="N48" s="137">
        <f t="shared" si="40"/>
        <v>1306.5513162989018</v>
      </c>
      <c r="O48" s="137">
        <f t="shared" si="40"/>
        <v>1258.3427229931626</v>
      </c>
      <c r="P48" s="137">
        <f t="shared" si="40"/>
        <v>1281.1259610875277</v>
      </c>
      <c r="Q48" s="137">
        <f t="shared" si="40"/>
        <v>1226.7681913694205</v>
      </c>
      <c r="R48" s="137">
        <f t="shared" ref="R48:V48" si="41">R49+R50</f>
        <v>1315.9345094717073</v>
      </c>
      <c r="S48" s="137">
        <f t="shared" si="41"/>
        <v>1332.7663519402097</v>
      </c>
      <c r="T48" s="137">
        <f t="shared" si="41"/>
        <v>1364.6658909975245</v>
      </c>
      <c r="U48" s="137">
        <f t="shared" si="41"/>
        <v>1309.4421977512811</v>
      </c>
      <c r="V48" s="137">
        <f t="shared" si="41"/>
        <v>1249.7676612897167</v>
      </c>
      <c r="W48" s="137">
        <f t="shared" ref="W48" si="42">W49+W50</f>
        <v>1293.5585466475845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610.91696728133172</v>
      </c>
      <c r="C49" s="102">
        <f>TrRoad_ene!C$43</f>
        <v>633.2874265401133</v>
      </c>
      <c r="D49" s="102">
        <f>TrRoad_ene!D$43</f>
        <v>629.26736741611239</v>
      </c>
      <c r="E49" s="102">
        <f>TrRoad_ene!E$43</f>
        <v>639.48831766263686</v>
      </c>
      <c r="F49" s="102">
        <f>TrRoad_ene!F$43</f>
        <v>678.28833225621963</v>
      </c>
      <c r="G49" s="102">
        <f>TrRoad_ene!G$43</f>
        <v>705.61659959780843</v>
      </c>
      <c r="H49" s="102">
        <f>TrRoad_ene!H$43</f>
        <v>759.68930982578593</v>
      </c>
      <c r="I49" s="102">
        <f>TrRoad_ene!I$43</f>
        <v>819.99695557687153</v>
      </c>
      <c r="J49" s="102">
        <f>TrRoad_ene!J$43</f>
        <v>801.94304775994067</v>
      </c>
      <c r="K49" s="102">
        <f>TrRoad_ene!K$43</f>
        <v>741.68812321722476</v>
      </c>
      <c r="L49" s="102">
        <f>TrRoad_ene!L$43</f>
        <v>714.7294049155206</v>
      </c>
      <c r="M49" s="102">
        <f>TrRoad_ene!M$43</f>
        <v>646.8909233461236</v>
      </c>
      <c r="N49" s="102">
        <f>TrRoad_ene!N$43</f>
        <v>595.22615113830466</v>
      </c>
      <c r="O49" s="102">
        <f>TrRoad_ene!O$43</f>
        <v>560.77008009540475</v>
      </c>
      <c r="P49" s="102">
        <f>TrRoad_ene!P$43</f>
        <v>533.79225275448198</v>
      </c>
      <c r="Q49" s="102">
        <f>TrRoad_ene!Q$43</f>
        <v>534.6252761628981</v>
      </c>
      <c r="R49" s="102">
        <f>TrRoad_ene!R$43</f>
        <v>532.06429673578918</v>
      </c>
      <c r="S49" s="102">
        <f>TrRoad_ene!S$43</f>
        <v>540.18574833511025</v>
      </c>
      <c r="T49" s="102">
        <f>TrRoad_ene!T$43</f>
        <v>543.7833973002837</v>
      </c>
      <c r="U49" s="102">
        <f>TrRoad_ene!U$43</f>
        <v>515.64896607661763</v>
      </c>
      <c r="V49" s="102">
        <f>TrRoad_ene!V$43</f>
        <v>477.69802114168817</v>
      </c>
      <c r="W49" s="102">
        <f>TrRoad_ene!W$43</f>
        <v>491.37265897169306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686.23812270509313</v>
      </c>
      <c r="C50" s="102">
        <f>TrRoad_ene!C$52</f>
        <v>725.39533050200816</v>
      </c>
      <c r="D50" s="102">
        <f>TrRoad_ene!D$52</f>
        <v>740.3612438068368</v>
      </c>
      <c r="E50" s="102">
        <f>TrRoad_ene!E$52</f>
        <v>841.34765035279747</v>
      </c>
      <c r="F50" s="102">
        <f>TrRoad_ene!F$52</f>
        <v>912.81667791109066</v>
      </c>
      <c r="G50" s="102">
        <f>TrRoad_ene!G$52</f>
        <v>913.44682259761009</v>
      </c>
      <c r="H50" s="102">
        <f>TrRoad_ene!H$52</f>
        <v>945.96515455943609</v>
      </c>
      <c r="I50" s="102">
        <f>TrRoad_ene!I$52</f>
        <v>972.33857194317761</v>
      </c>
      <c r="J50" s="102">
        <f>TrRoad_ene!J$52</f>
        <v>902.25335202621341</v>
      </c>
      <c r="K50" s="102">
        <f>TrRoad_ene!K$52</f>
        <v>768.49556292342618</v>
      </c>
      <c r="L50" s="102">
        <f>TrRoad_ene!L$52</f>
        <v>782.81078841006286</v>
      </c>
      <c r="M50" s="102">
        <f>TrRoad_ene!M$52</f>
        <v>780.18126038529783</v>
      </c>
      <c r="N50" s="102">
        <f>TrRoad_ene!N$52</f>
        <v>711.32516516059707</v>
      </c>
      <c r="O50" s="102">
        <f>TrRoad_ene!O$52</f>
        <v>697.57264289775787</v>
      </c>
      <c r="P50" s="102">
        <f>TrRoad_ene!P$52</f>
        <v>747.33370833304559</v>
      </c>
      <c r="Q50" s="102">
        <f>TrRoad_ene!Q$52</f>
        <v>692.1429152065225</v>
      </c>
      <c r="R50" s="102">
        <f>TrRoad_ene!R$52</f>
        <v>783.87021273591813</v>
      </c>
      <c r="S50" s="102">
        <f>TrRoad_ene!S$52</f>
        <v>792.58060360509944</v>
      </c>
      <c r="T50" s="102">
        <f>TrRoad_ene!T$52</f>
        <v>820.88249369724088</v>
      </c>
      <c r="U50" s="102">
        <f>TrRoad_ene!U$52</f>
        <v>793.7932316746635</v>
      </c>
      <c r="V50" s="102">
        <f>TrRoad_ene!V$52</f>
        <v>772.06964014802861</v>
      </c>
      <c r="W50" s="102">
        <f>TrRoad_ene!W$52</f>
        <v>802.18588767589154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13.481665457680165</v>
      </c>
      <c r="C51" s="110">
        <f>TrRail_ene!C$17</f>
        <v>12.888676336116518</v>
      </c>
      <c r="D51" s="110">
        <f>TrRail_ene!D$17</f>
        <v>11.5795830528459</v>
      </c>
      <c r="E51" s="110">
        <f>TrRail_ene!E$17</f>
        <v>11.303176057418106</v>
      </c>
      <c r="F51" s="110">
        <f>TrRail_ene!F$17</f>
        <v>12.975212044167115</v>
      </c>
      <c r="G51" s="110">
        <f>TrRail_ene!G$17</f>
        <v>12.097585831608232</v>
      </c>
      <c r="H51" s="110">
        <f>TrRail_ene!H$17</f>
        <v>11.105021468007729</v>
      </c>
      <c r="I51" s="110">
        <f>TrRail_ene!I$17</f>
        <v>10.097583404757184</v>
      </c>
      <c r="J51" s="110">
        <f>TrRail_ene!J$17</f>
        <v>10.88339480085768</v>
      </c>
      <c r="K51" s="110">
        <f>TrRail_ene!K$17</f>
        <v>9.569581158499922</v>
      </c>
      <c r="L51" s="110">
        <f>TrRail_ene!L$17</f>
        <v>12.187788804065702</v>
      </c>
      <c r="M51" s="110">
        <f>TrRail_ene!M$17</f>
        <v>13.8047778412139</v>
      </c>
      <c r="N51" s="110">
        <f>TrRail_ene!N$17</f>
        <v>11.457799616113981</v>
      </c>
      <c r="O51" s="110">
        <f>TrRail_ene!O$17</f>
        <v>11.829462479437082</v>
      </c>
      <c r="P51" s="110">
        <f>TrRail_ene!P$17</f>
        <v>12.310207900285507</v>
      </c>
      <c r="Q51" s="110">
        <f>TrRail_ene!Q$17</f>
        <v>13.256373572015043</v>
      </c>
      <c r="R51" s="110">
        <f>TrRail_ene!R$17</f>
        <v>13.623321677370544</v>
      </c>
      <c r="S51" s="110">
        <f>TrRail_ene!S$17</f>
        <v>12.064975924375878</v>
      </c>
      <c r="T51" s="110">
        <f>TrRail_ene!T$17</f>
        <v>11.234282741115184</v>
      </c>
      <c r="U51" s="110">
        <f>TrRail_ene!U$17</f>
        <v>10.059930181142985</v>
      </c>
      <c r="V51" s="110">
        <f>TrRail_ene!V$17</f>
        <v>10.890719820085573</v>
      </c>
      <c r="W51" s="110">
        <f>TrRail_ene!W$17</f>
        <v>9.0975827039348136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7.794869512711303</v>
      </c>
      <c r="C52" s="110">
        <f t="shared" si="43"/>
        <v>8.0938291450070441</v>
      </c>
      <c r="D52" s="110">
        <f t="shared" si="43"/>
        <v>7.4677262998796001</v>
      </c>
      <c r="E52" s="110">
        <f t="shared" si="43"/>
        <v>5.9638291018661524</v>
      </c>
      <c r="F52" s="110">
        <f t="shared" si="43"/>
        <v>6.7583376114580407</v>
      </c>
      <c r="G52" s="110">
        <f t="shared" si="43"/>
        <v>7.7936335932800871</v>
      </c>
      <c r="H52" s="110">
        <f t="shared" si="43"/>
        <v>9.2974745738024929</v>
      </c>
      <c r="I52" s="110">
        <f t="shared" si="43"/>
        <v>9.0595695677883974</v>
      </c>
      <c r="J52" s="110">
        <f t="shared" si="43"/>
        <v>69.045244825550071</v>
      </c>
      <c r="K52" s="110">
        <f t="shared" si="43"/>
        <v>48.926801939282242</v>
      </c>
      <c r="L52" s="110">
        <f t="shared" si="43"/>
        <v>51.25763752801744</v>
      </c>
      <c r="M52" s="110">
        <f t="shared" si="43"/>
        <v>48.863359426697883</v>
      </c>
      <c r="N52" s="110">
        <f t="shared" si="43"/>
        <v>51.571811167941178</v>
      </c>
      <c r="O52" s="110">
        <f t="shared" si="43"/>
        <v>43.767998720769825</v>
      </c>
      <c r="P52" s="110">
        <f t="shared" si="43"/>
        <v>51.875519400806894</v>
      </c>
      <c r="Q52" s="110">
        <f t="shared" si="43"/>
        <v>46.420661636128116</v>
      </c>
      <c r="R52" s="110">
        <f t="shared" si="43"/>
        <v>36.754841131999328</v>
      </c>
      <c r="S52" s="110">
        <f t="shared" si="43"/>
        <v>37.391937238535291</v>
      </c>
      <c r="T52" s="110">
        <f t="shared" si="43"/>
        <v>27.847106937319936</v>
      </c>
      <c r="U52" s="110">
        <f t="shared" si="43"/>
        <v>32.562735378334636</v>
      </c>
      <c r="V52" s="110">
        <f t="shared" si="43"/>
        <v>29.609779760604169</v>
      </c>
      <c r="W52" s="110">
        <f t="shared" ref="W52" si="44">W53+W54+W55</f>
        <v>42.427856645685317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0.24966356135164591</v>
      </c>
      <c r="C53" s="102">
        <f>TrAvia_ene!C$11</f>
        <v>0.26436170150196214</v>
      </c>
      <c r="D53" s="102">
        <f>TrAvia_ene!D$11</f>
        <v>0.19345418391760336</v>
      </c>
      <c r="E53" s="102">
        <f>TrAvia_ene!E$11</f>
        <v>0.11140933266128164</v>
      </c>
      <c r="F53" s="102">
        <f>TrAvia_ene!F$11</f>
        <v>7.6704196650124179E-2</v>
      </c>
      <c r="G53" s="102">
        <f>TrAvia_ene!G$11</f>
        <v>9.7816388568565907E-2</v>
      </c>
      <c r="H53" s="102">
        <f>TrAvia_ene!H$11</f>
        <v>0.12072768006935068</v>
      </c>
      <c r="I53" s="102">
        <f>TrAvia_ene!I$11</f>
        <v>0.12773695038909577</v>
      </c>
      <c r="J53" s="102">
        <f>TrAvia_ene!J$11</f>
        <v>0.25514501901994752</v>
      </c>
      <c r="K53" s="102">
        <f>TrAvia_ene!K$11</f>
        <v>0.23356625983111692</v>
      </c>
      <c r="L53" s="102">
        <f>TrAvia_ene!L$11</f>
        <v>0.101211346406161</v>
      </c>
      <c r="M53" s="102">
        <f>TrAvia_ene!M$11</f>
        <v>5.6655681028634747E-2</v>
      </c>
      <c r="N53" s="102">
        <f>TrAvia_ene!N$11</f>
        <v>5.5622944963113263E-2</v>
      </c>
      <c r="O53" s="102">
        <f>TrAvia_ene!O$11</f>
        <v>5.7095022918738761E-2</v>
      </c>
      <c r="P53" s="102">
        <f>TrAvia_ene!P$11</f>
        <v>5.3196498255871957E-2</v>
      </c>
      <c r="Q53" s="102">
        <f>TrAvia_ene!Q$11</f>
        <v>4.3715614397300998E-2</v>
      </c>
      <c r="R53" s="102">
        <f>TrAvia_ene!R$11</f>
        <v>1.0403097863274934E-2</v>
      </c>
      <c r="S53" s="102">
        <f>TrAvia_ene!S$11</f>
        <v>1.7123165307833105E-2</v>
      </c>
      <c r="T53" s="102">
        <f>TrAvia_ene!T$11</f>
        <v>2.163005606678119E-2</v>
      </c>
      <c r="U53" s="102">
        <f>TrAvia_ene!U$11</f>
        <v>1.8159367428811767E-2</v>
      </c>
      <c r="V53" s="102">
        <f>TrAvia_ene!V$11</f>
        <v>2.2611353730703474E-2</v>
      </c>
      <c r="W53" s="102">
        <f>TrAvia_ene!W$11</f>
        <v>3.8146669891982142E-2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6.8414114543649456</v>
      </c>
      <c r="C54" s="102">
        <f>TrAvia_ene!C$12</f>
        <v>7.0874821645859054</v>
      </c>
      <c r="D54" s="102">
        <f>TrAvia_ene!D$12</f>
        <v>6.4416363067228524</v>
      </c>
      <c r="E54" s="102">
        <f>TrAvia_ene!E$12</f>
        <v>4.8921433365473135</v>
      </c>
      <c r="F54" s="102">
        <f>TrAvia_ene!F$12</f>
        <v>5.6795200187307504</v>
      </c>
      <c r="G54" s="102">
        <f>TrAvia_ene!G$12</f>
        <v>7.0042210299989032</v>
      </c>
      <c r="H54" s="102">
        <f>TrAvia_ene!H$12</f>
        <v>8.8281281540045509</v>
      </c>
      <c r="I54" s="102">
        <f>TrAvia_ene!I$12</f>
        <v>8.4959428782666215</v>
      </c>
      <c r="J54" s="102">
        <f>TrAvia_ene!J$12</f>
        <v>17.63846816531035</v>
      </c>
      <c r="K54" s="102">
        <f>TrAvia_ene!K$12</f>
        <v>11.315934721266441</v>
      </c>
      <c r="L54" s="102">
        <f>TrAvia_ene!L$12</f>
        <v>7.6678594377559897</v>
      </c>
      <c r="M54" s="102">
        <f>TrAvia_ene!M$12</f>
        <v>7.4527124338619322</v>
      </c>
      <c r="N54" s="102">
        <f>TrAvia_ene!N$12</f>
        <v>6.6009079273362765</v>
      </c>
      <c r="O54" s="102">
        <f>TrAvia_ene!O$12</f>
        <v>5.4324125954521447</v>
      </c>
      <c r="P54" s="102">
        <f>TrAvia_ene!P$12</f>
        <v>9.04529982432447</v>
      </c>
      <c r="Q54" s="102">
        <f>TrAvia_ene!Q$12</f>
        <v>8.8892946506736639</v>
      </c>
      <c r="R54" s="102">
        <f>TrAvia_ene!R$12</f>
        <v>7.2405867961278076</v>
      </c>
      <c r="S54" s="102">
        <f>TrAvia_ene!S$12</f>
        <v>8.9145579074591215</v>
      </c>
      <c r="T54" s="102">
        <f>TrAvia_ene!T$12</f>
        <v>9.0762230459739328</v>
      </c>
      <c r="U54" s="102">
        <f>TrAvia_ene!U$12</f>
        <v>10.500219155249365</v>
      </c>
      <c r="V54" s="102">
        <f>TrAvia_ene!V$12</f>
        <v>10.010536055282149</v>
      </c>
      <c r="W54" s="102">
        <f>TrAvia_ene!W$12</f>
        <v>14.589206152015743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0.7037944969947113</v>
      </c>
      <c r="C55" s="102">
        <f>TrAvia_ene!C$13</f>
        <v>0.74198527891917709</v>
      </c>
      <c r="D55" s="102">
        <f>TrAvia_ene!D$13</f>
        <v>0.83263580923914449</v>
      </c>
      <c r="E55" s="102">
        <f>TrAvia_ene!E$13</f>
        <v>0.96027643265755713</v>
      </c>
      <c r="F55" s="102">
        <f>TrAvia_ene!F$13</f>
        <v>1.0021133960771662</v>
      </c>
      <c r="G55" s="102">
        <f>TrAvia_ene!G$13</f>
        <v>0.69159617471261825</v>
      </c>
      <c r="H55" s="102">
        <f>TrAvia_ene!H$13</f>
        <v>0.34861873972859136</v>
      </c>
      <c r="I55" s="102">
        <f>TrAvia_ene!I$13</f>
        <v>0.43588973913268064</v>
      </c>
      <c r="J55" s="102">
        <f>TrAvia_ene!J$13</f>
        <v>51.15163164121978</v>
      </c>
      <c r="K55" s="102">
        <f>TrAvia_ene!K$13</f>
        <v>37.377300958184684</v>
      </c>
      <c r="L55" s="102">
        <f>TrAvia_ene!L$13</f>
        <v>43.488566743855287</v>
      </c>
      <c r="M55" s="102">
        <f>TrAvia_ene!M$13</f>
        <v>41.353991311807313</v>
      </c>
      <c r="N55" s="102">
        <f>TrAvia_ene!N$13</f>
        <v>44.915280295641786</v>
      </c>
      <c r="O55" s="102">
        <f>TrAvia_ene!O$13</f>
        <v>38.278491102398945</v>
      </c>
      <c r="P55" s="102">
        <f>TrAvia_ene!P$13</f>
        <v>42.777023078226549</v>
      </c>
      <c r="Q55" s="102">
        <f>TrAvia_ene!Q$13</f>
        <v>37.487651371057147</v>
      </c>
      <c r="R55" s="102">
        <f>TrAvia_ene!R$13</f>
        <v>29.503851238008245</v>
      </c>
      <c r="S55" s="102">
        <f>TrAvia_ene!S$13</f>
        <v>28.460256165768339</v>
      </c>
      <c r="T55" s="102">
        <f>TrAvia_ene!T$13</f>
        <v>18.749253835279223</v>
      </c>
      <c r="U55" s="102">
        <f>TrAvia_ene!U$13</f>
        <v>22.04435685565646</v>
      </c>
      <c r="V55" s="102">
        <f>TrAvia_ene!V$13</f>
        <v>19.576632351591318</v>
      </c>
      <c r="W55" s="102">
        <f>TrAvia_ene!W$13</f>
        <v>27.800503823777589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163.40765262252793</v>
      </c>
      <c r="C56" s="110">
        <f t="shared" si="45"/>
        <v>169.526913155632</v>
      </c>
      <c r="D56" s="110">
        <f t="shared" si="45"/>
        <v>189.23877901977642</v>
      </c>
      <c r="E56" s="110">
        <f t="shared" si="45"/>
        <v>187.49286328460869</v>
      </c>
      <c r="F56" s="110">
        <f t="shared" si="45"/>
        <v>165.25150472914871</v>
      </c>
      <c r="G56" s="110">
        <f t="shared" si="45"/>
        <v>192.11092003439381</v>
      </c>
      <c r="H56" s="110">
        <f t="shared" si="45"/>
        <v>173.85116079105759</v>
      </c>
      <c r="I56" s="110">
        <f t="shared" si="45"/>
        <v>151.65881341358551</v>
      </c>
      <c r="J56" s="110">
        <f t="shared" si="45"/>
        <v>194.22226999140156</v>
      </c>
      <c r="K56" s="110">
        <f t="shared" si="45"/>
        <v>180.10894239036972</v>
      </c>
      <c r="L56" s="110">
        <f t="shared" si="45"/>
        <v>155.90670679277724</v>
      </c>
      <c r="M56" s="110">
        <f t="shared" si="45"/>
        <v>151.99200343938091</v>
      </c>
      <c r="N56" s="110">
        <f t="shared" si="45"/>
        <v>148.07730008598455</v>
      </c>
      <c r="O56" s="110">
        <f t="shared" si="45"/>
        <v>149.89724849527084</v>
      </c>
      <c r="P56" s="110">
        <f t="shared" si="45"/>
        <v>119.63078245915736</v>
      </c>
      <c r="Q56" s="110">
        <f t="shared" si="45"/>
        <v>134.69656061908853</v>
      </c>
      <c r="R56" s="110">
        <f t="shared" ref="R56:V56" si="46">R57+R58</f>
        <v>117.00163370593292</v>
      </c>
      <c r="S56" s="110">
        <f t="shared" si="46"/>
        <v>112.5928632846088</v>
      </c>
      <c r="T56" s="110">
        <f t="shared" si="46"/>
        <v>116.81779879621666</v>
      </c>
      <c r="U56" s="110">
        <f t="shared" si="46"/>
        <v>121.48993981083403</v>
      </c>
      <c r="V56" s="110">
        <f t="shared" si="46"/>
        <v>117.32166809974208</v>
      </c>
      <c r="W56" s="110">
        <f t="shared" ref="W56" si="47">W57+W58</f>
        <v>137.59733447979366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163.40765262252793</v>
      </c>
      <c r="C57" s="102">
        <f>TrNavi_ene!C4</f>
        <v>169.526913155632</v>
      </c>
      <c r="D57" s="102">
        <f>TrNavi_ene!D4</f>
        <v>189.23877901977642</v>
      </c>
      <c r="E57" s="102">
        <f>TrNavi_ene!E4</f>
        <v>187.49286328460869</v>
      </c>
      <c r="F57" s="102">
        <f>TrNavi_ene!F4</f>
        <v>165.25150472914871</v>
      </c>
      <c r="G57" s="102">
        <f>TrNavi_ene!G4</f>
        <v>192.11092003439381</v>
      </c>
      <c r="H57" s="102">
        <f>TrNavi_ene!H4</f>
        <v>173.85116079105759</v>
      </c>
      <c r="I57" s="102">
        <f>TrNavi_ene!I4</f>
        <v>151.65881341358551</v>
      </c>
      <c r="J57" s="102">
        <f>TrNavi_ene!J4</f>
        <v>194.22226999140156</v>
      </c>
      <c r="K57" s="102">
        <f>TrNavi_ene!K4</f>
        <v>180.10894239036972</v>
      </c>
      <c r="L57" s="102">
        <f>TrNavi_ene!L4</f>
        <v>155.90670679277724</v>
      </c>
      <c r="M57" s="102">
        <f>TrNavi_ene!M4</f>
        <v>151.99200343938091</v>
      </c>
      <c r="N57" s="102">
        <f>TrNavi_ene!N4</f>
        <v>148.07730008598455</v>
      </c>
      <c r="O57" s="102">
        <f>TrNavi_ene!O4</f>
        <v>149.89724849527084</v>
      </c>
      <c r="P57" s="102">
        <f>TrNavi_ene!P4</f>
        <v>119.63078245915736</v>
      </c>
      <c r="Q57" s="102">
        <f>TrNavi_ene!Q4</f>
        <v>134.69656061908853</v>
      </c>
      <c r="R57" s="102">
        <f>TrNavi_ene!R4</f>
        <v>117.00163370593292</v>
      </c>
      <c r="S57" s="102">
        <f>TrNavi_ene!S4</f>
        <v>112.5928632846088</v>
      </c>
      <c r="T57" s="102">
        <f>TrNavi_ene!T4</f>
        <v>116.81779879621666</v>
      </c>
      <c r="U57" s="102">
        <f>TrNavi_ene!U4</f>
        <v>121.48993981083403</v>
      </c>
      <c r="V57" s="102">
        <f>TrNavi_ene!V4</f>
        <v>117.32166809974208</v>
      </c>
      <c r="W57" s="102">
        <f>TrNavi_ene!W4</f>
        <v>137.59733447979366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1294.9818572656918</v>
      </c>
      <c r="C59" s="28">
        <f t="shared" ref="C59:W59" si="48">C60+C61</f>
        <v>1077.2857265692176</v>
      </c>
      <c r="D59" s="28">
        <f t="shared" si="48"/>
        <v>888.5163370593292</v>
      </c>
      <c r="E59" s="28">
        <f t="shared" si="48"/>
        <v>932.99294926913149</v>
      </c>
      <c r="F59" s="28">
        <f t="shared" si="48"/>
        <v>758.28555460017185</v>
      </c>
      <c r="G59" s="28">
        <f t="shared" si="48"/>
        <v>771.65735167669823</v>
      </c>
      <c r="H59" s="28">
        <f t="shared" si="48"/>
        <v>1015.4748065348238</v>
      </c>
      <c r="I59" s="28">
        <f t="shared" si="48"/>
        <v>1062.0319002579533</v>
      </c>
      <c r="J59" s="28">
        <f t="shared" si="48"/>
        <v>914.80601891659478</v>
      </c>
      <c r="K59" s="28">
        <f t="shared" si="48"/>
        <v>514.27824591573517</v>
      </c>
      <c r="L59" s="28">
        <f t="shared" si="48"/>
        <v>691.27024935511599</v>
      </c>
      <c r="M59" s="28">
        <f t="shared" si="48"/>
        <v>699.54617368873596</v>
      </c>
      <c r="N59" s="28">
        <f t="shared" si="48"/>
        <v>518.13800515907133</v>
      </c>
      <c r="O59" s="28">
        <f t="shared" si="48"/>
        <v>631.11444539982801</v>
      </c>
      <c r="P59" s="28">
        <f t="shared" si="48"/>
        <v>740.20017196904553</v>
      </c>
      <c r="Q59" s="28">
        <f t="shared" si="48"/>
        <v>768.95150472914861</v>
      </c>
      <c r="R59" s="28">
        <f t="shared" si="48"/>
        <v>671.16173688736012</v>
      </c>
      <c r="S59" s="28">
        <f t="shared" si="48"/>
        <v>534.74290627687014</v>
      </c>
      <c r="T59" s="28">
        <f t="shared" si="48"/>
        <v>594.15391229578654</v>
      </c>
      <c r="U59" s="28">
        <f t="shared" si="48"/>
        <v>740.19174548581236</v>
      </c>
      <c r="V59" s="28">
        <f t="shared" si="48"/>
        <v>556.52708512467757</v>
      </c>
      <c r="W59" s="28">
        <f t="shared" si="48"/>
        <v>475.67050730868436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555.44662747090285</v>
      </c>
      <c r="C60" s="102">
        <f>MBunk_ene!C$4</f>
        <v>461.8613886534896</v>
      </c>
      <c r="D60" s="102">
        <f>MBunk_ene!D$4</f>
        <v>388.95499884919633</v>
      </c>
      <c r="E60" s="102">
        <f>MBunk_ene!E$4</f>
        <v>389.45358411968101</v>
      </c>
      <c r="F60" s="102">
        <f>MBunk_ene!F$4</f>
        <v>339.57197949155193</v>
      </c>
      <c r="G60" s="102">
        <f>MBunk_ene!G$4</f>
        <v>350.31005626880835</v>
      </c>
      <c r="H60" s="102">
        <f>MBunk_ene!H$4</f>
        <v>415.60442731919244</v>
      </c>
      <c r="I60" s="102">
        <f>MBunk_ene!I$4</f>
        <v>447.2547095845992</v>
      </c>
      <c r="J60" s="102">
        <f>MBunk_ene!J$4</f>
        <v>389.56577137980833</v>
      </c>
      <c r="K60" s="102">
        <f>MBunk_ene!K$4</f>
        <v>220.47502854757224</v>
      </c>
      <c r="L60" s="102">
        <f>MBunk_ene!L$4</f>
        <v>312.30524643988582</v>
      </c>
      <c r="M60" s="102">
        <f>MBunk_ene!M$4</f>
        <v>287.23382984679279</v>
      </c>
      <c r="N60" s="102">
        <f>MBunk_ene!N$4</f>
        <v>236.83039084110521</v>
      </c>
      <c r="O60" s="102">
        <f>MBunk_ene!O$4</f>
        <v>303.71836258693696</v>
      </c>
      <c r="P60" s="102">
        <f>MBunk_ene!P$4</f>
        <v>338.03227821441754</v>
      </c>
      <c r="Q60" s="102">
        <f>MBunk_ene!Q$4</f>
        <v>331.73590741977296</v>
      </c>
      <c r="R60" s="102">
        <f>MBunk_ene!R$4</f>
        <v>288.23677776345932</v>
      </c>
      <c r="S60" s="102">
        <f>MBunk_ene!S$4</f>
        <v>231.7767869965281</v>
      </c>
      <c r="T60" s="102">
        <f>MBunk_ene!T$4</f>
        <v>252.52008576454233</v>
      </c>
      <c r="U60" s="102">
        <f>MBunk_ene!U$4</f>
        <v>310.24048452268119</v>
      </c>
      <c r="V60" s="102">
        <f>MBunk_ene!V$4</f>
        <v>209.1841930866521</v>
      </c>
      <c r="W60" s="102">
        <f>MBunk_ene!W$4</f>
        <v>174.90838170365132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739.53522979478907</v>
      </c>
      <c r="C61" s="86">
        <f>MBunk_ene!C$10</f>
        <v>615.42433791572796</v>
      </c>
      <c r="D61" s="86">
        <f>MBunk_ene!D$10</f>
        <v>499.56133821013287</v>
      </c>
      <c r="E61" s="86">
        <f>MBunk_ene!E$10</f>
        <v>543.53936514945042</v>
      </c>
      <c r="F61" s="86">
        <f>MBunk_ene!F$10</f>
        <v>418.71357510861992</v>
      </c>
      <c r="G61" s="86">
        <f>MBunk_ene!G$10</f>
        <v>421.34729540788993</v>
      </c>
      <c r="H61" s="86">
        <f>MBunk_ene!H$10</f>
        <v>599.87037921563137</v>
      </c>
      <c r="I61" s="86">
        <f>MBunk_ene!I$10</f>
        <v>614.7771906733542</v>
      </c>
      <c r="J61" s="86">
        <f>MBunk_ene!J$10</f>
        <v>525.24024753678646</v>
      </c>
      <c r="K61" s="86">
        <f>MBunk_ene!K$10</f>
        <v>293.8032173681629</v>
      </c>
      <c r="L61" s="86">
        <f>MBunk_ene!L$10</f>
        <v>378.96500291523023</v>
      </c>
      <c r="M61" s="86">
        <f>MBunk_ene!M$10</f>
        <v>412.31234384194317</v>
      </c>
      <c r="N61" s="86">
        <f>MBunk_ene!N$10</f>
        <v>281.30761431796606</v>
      </c>
      <c r="O61" s="86">
        <f>MBunk_ene!O$10</f>
        <v>327.39608281289105</v>
      </c>
      <c r="P61" s="86">
        <f>MBunk_ene!P$10</f>
        <v>402.16789375462798</v>
      </c>
      <c r="Q61" s="86">
        <f>MBunk_ene!Q$10</f>
        <v>437.21559730937571</v>
      </c>
      <c r="R61" s="86">
        <f>MBunk_ene!R$10</f>
        <v>382.92495912390081</v>
      </c>
      <c r="S61" s="86">
        <f>MBunk_ene!S$10</f>
        <v>302.96611928034201</v>
      </c>
      <c r="T61" s="86">
        <f>MBunk_ene!T$10</f>
        <v>341.63382653124421</v>
      </c>
      <c r="U61" s="86">
        <f>MBunk_ene!U$10</f>
        <v>429.95126096313118</v>
      </c>
      <c r="V61" s="86">
        <f>MBunk_ene!V$10</f>
        <v>347.34289203802547</v>
      </c>
      <c r="W61" s="86">
        <f>MBunk_ene!W$10</f>
        <v>300.76212560503302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9718.3773113822681</v>
      </c>
      <c r="C64" s="28">
        <f t="shared" si="49"/>
        <v>9644.2103716513302</v>
      </c>
      <c r="D64" s="28">
        <f t="shared" si="49"/>
        <v>9386.2443189591704</v>
      </c>
      <c r="E64" s="28">
        <f t="shared" si="49"/>
        <v>9611.2698553486771</v>
      </c>
      <c r="F64" s="28">
        <f t="shared" si="49"/>
        <v>9946.6086208991001</v>
      </c>
      <c r="G64" s="28">
        <f t="shared" si="49"/>
        <v>10120.899242200054</v>
      </c>
      <c r="H64" s="28">
        <f t="shared" si="49"/>
        <v>10210.068954379556</v>
      </c>
      <c r="I64" s="28">
        <f t="shared" si="49"/>
        <v>10634.637991285088</v>
      </c>
      <c r="J64" s="28">
        <f t="shared" si="49"/>
        <v>10439.038433972695</v>
      </c>
      <c r="K64" s="28">
        <f t="shared" si="49"/>
        <v>10080.894964773055</v>
      </c>
      <c r="L64" s="28">
        <f t="shared" si="49"/>
        <v>10128.15349942903</v>
      </c>
      <c r="M64" s="28">
        <f t="shared" si="49"/>
        <v>10225.30719743382</v>
      </c>
      <c r="N64" s="28">
        <f t="shared" si="49"/>
        <v>9691.7390499786161</v>
      </c>
      <c r="O64" s="28">
        <f t="shared" si="49"/>
        <v>9627.4059838877693</v>
      </c>
      <c r="P64" s="28">
        <f t="shared" si="49"/>
        <v>9929.8727343749615</v>
      </c>
      <c r="Q64" s="28">
        <f t="shared" si="49"/>
        <v>10440.77260936634</v>
      </c>
      <c r="R64" s="28">
        <f t="shared" ref="R64:V64" si="50">R65+R69+R73</f>
        <v>10618.757245483153</v>
      </c>
      <c r="S64" s="28">
        <f t="shared" si="50"/>
        <v>10652.544722427421</v>
      </c>
      <c r="T64" s="28">
        <f t="shared" si="50"/>
        <v>10956.353375274131</v>
      </c>
      <c r="U64" s="28">
        <f t="shared" si="50"/>
        <v>10911.50342968847</v>
      </c>
      <c r="V64" s="28">
        <f t="shared" si="50"/>
        <v>7972.8384043486512</v>
      </c>
      <c r="W64" s="28">
        <f t="shared" ref="W64" si="51">W65+W69+W73</f>
        <v>8235.1564351820125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7042.2819134753654</v>
      </c>
      <c r="C65" s="137">
        <f t="shared" si="52"/>
        <v>6942.2965736640672</v>
      </c>
      <c r="D65" s="137">
        <f t="shared" si="52"/>
        <v>7020.2259500395094</v>
      </c>
      <c r="E65" s="137">
        <f t="shared" si="52"/>
        <v>7157.5245812663798</v>
      </c>
      <c r="F65" s="137">
        <f t="shared" si="52"/>
        <v>7204.3506260299346</v>
      </c>
      <c r="G65" s="137">
        <f t="shared" si="52"/>
        <v>7232.0410366819242</v>
      </c>
      <c r="H65" s="137">
        <f t="shared" si="52"/>
        <v>7312.8328119131493</v>
      </c>
      <c r="I65" s="137">
        <f t="shared" si="52"/>
        <v>7652.9913603710111</v>
      </c>
      <c r="J65" s="137">
        <f t="shared" si="52"/>
        <v>7624.9043657059356</v>
      </c>
      <c r="K65" s="137">
        <f t="shared" si="52"/>
        <v>7549.2761080238834</v>
      </c>
      <c r="L65" s="137">
        <f t="shared" si="52"/>
        <v>7493.5134052584835</v>
      </c>
      <c r="M65" s="137">
        <f t="shared" si="52"/>
        <v>7521.5611524911774</v>
      </c>
      <c r="N65" s="137">
        <f t="shared" si="52"/>
        <v>6984.2659893924456</v>
      </c>
      <c r="O65" s="137">
        <f t="shared" si="52"/>
        <v>6928.8160305144456</v>
      </c>
      <c r="P65" s="137">
        <f t="shared" si="52"/>
        <v>7048.4856326447743</v>
      </c>
      <c r="Q65" s="137">
        <f t="shared" si="52"/>
        <v>7610.6627823679783</v>
      </c>
      <c r="R65" s="137">
        <f t="shared" ref="R65:V65" si="53">R66+R67+R68</f>
        <v>7551.2780368548192</v>
      </c>
      <c r="S65" s="137">
        <f t="shared" si="53"/>
        <v>7508.4812932546465</v>
      </c>
      <c r="T65" s="137">
        <f t="shared" si="53"/>
        <v>7665.4780932086733</v>
      </c>
      <c r="U65" s="137">
        <f t="shared" si="53"/>
        <v>7564.641080817114</v>
      </c>
      <c r="V65" s="137">
        <f t="shared" si="53"/>
        <v>6832.7853678869124</v>
      </c>
      <c r="W65" s="137">
        <f t="shared" ref="W65" si="54">W66+W67+W68</f>
        <v>6853.0297228195022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68.780373946650073</v>
      </c>
      <c r="C66" s="102">
        <f>TrRoad_emi!C$19</f>
        <v>64.801152723754342</v>
      </c>
      <c r="D66" s="102">
        <f>TrRoad_emi!D$19</f>
        <v>66.987882375422501</v>
      </c>
      <c r="E66" s="102">
        <f>TrRoad_emi!E$19</f>
        <v>67.449877622388527</v>
      </c>
      <c r="F66" s="102">
        <f>TrRoad_emi!F$19</f>
        <v>66.768240415501339</v>
      </c>
      <c r="G66" s="102">
        <f>TrRoad_emi!G$19</f>
        <v>67.464572692275524</v>
      </c>
      <c r="H66" s="102">
        <f>TrRoad_emi!H$19</f>
        <v>69.929544337882547</v>
      </c>
      <c r="I66" s="102">
        <f>TrRoad_emi!I$19</f>
        <v>73.538090425707622</v>
      </c>
      <c r="J66" s="102">
        <f>TrRoad_emi!J$19</f>
        <v>72.736794935352236</v>
      </c>
      <c r="K66" s="102">
        <f>TrRoad_emi!K$19</f>
        <v>69.400766619868577</v>
      </c>
      <c r="L66" s="102">
        <f>TrRoad_emi!L$19</f>
        <v>68.032661342074519</v>
      </c>
      <c r="M66" s="102">
        <f>TrRoad_emi!M$19</f>
        <v>66.342237910043337</v>
      </c>
      <c r="N66" s="102">
        <f>TrRoad_emi!N$19</f>
        <v>66.226912098767329</v>
      </c>
      <c r="O66" s="102">
        <f>TrRoad_emi!O$19</f>
        <v>66.583785955967372</v>
      </c>
      <c r="P66" s="102">
        <f>TrRoad_emi!P$19</f>
        <v>67.575574502892877</v>
      </c>
      <c r="Q66" s="102">
        <f>TrRoad_emi!Q$19</f>
        <v>67.854679088762637</v>
      </c>
      <c r="R66" s="102">
        <f>TrRoad_emi!R$19</f>
        <v>67.336236283475699</v>
      </c>
      <c r="S66" s="102">
        <f>TrRoad_emi!S$19</f>
        <v>62.527792249369682</v>
      </c>
      <c r="T66" s="102">
        <f>TrRoad_emi!T$19</f>
        <v>59.002111659735434</v>
      </c>
      <c r="U66" s="102">
        <f>TrRoad_emi!U$19</f>
        <v>60.956996898405016</v>
      </c>
      <c r="V66" s="102">
        <f>TrRoad_emi!V$19</f>
        <v>52.289507716053102</v>
      </c>
      <c r="W66" s="102">
        <f>TrRoad_emi!W$19</f>
        <v>51.756883057326938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5910.1088653621609</v>
      </c>
      <c r="C67" s="102">
        <f>TrRoad_emi!C$20</f>
        <v>5843.8802201583803</v>
      </c>
      <c r="D67" s="102">
        <f>TrRoad_emi!D$20</f>
        <v>5945.3350273522983</v>
      </c>
      <c r="E67" s="102">
        <f>TrRoad_emi!E$20</f>
        <v>6068.1375846491719</v>
      </c>
      <c r="F67" s="102">
        <f>TrRoad_emi!F$20</f>
        <v>6133.0447097356746</v>
      </c>
      <c r="G67" s="102">
        <f>TrRoad_emi!G$20</f>
        <v>6150.8979981928769</v>
      </c>
      <c r="H67" s="102">
        <f>TrRoad_emi!H$20</f>
        <v>6222.1341059186971</v>
      </c>
      <c r="I67" s="102">
        <f>TrRoad_emi!I$20</f>
        <v>6570.1057268646291</v>
      </c>
      <c r="J67" s="102">
        <f>TrRoad_emi!J$20</f>
        <v>6527.9427865858133</v>
      </c>
      <c r="K67" s="102">
        <f>TrRoad_emi!K$20</f>
        <v>6439.0618501839044</v>
      </c>
      <c r="L67" s="102">
        <f>TrRoad_emi!L$20</f>
        <v>6362.1593831394875</v>
      </c>
      <c r="M67" s="102">
        <f>TrRoad_emi!M$20</f>
        <v>6451.8886741321621</v>
      </c>
      <c r="N67" s="102">
        <f>TrRoad_emi!N$20</f>
        <v>6006.2060662948879</v>
      </c>
      <c r="O67" s="102">
        <f>TrRoad_emi!O$20</f>
        <v>5989.9413040583877</v>
      </c>
      <c r="P67" s="102">
        <f>TrRoad_emi!P$20</f>
        <v>6075.7931573562209</v>
      </c>
      <c r="Q67" s="102">
        <f>TrRoad_emi!Q$20</f>
        <v>6613.8237247150892</v>
      </c>
      <c r="R67" s="102">
        <f>TrRoad_emi!R$20</f>
        <v>6521.3227476549446</v>
      </c>
      <c r="S67" s="102">
        <f>TrRoad_emi!S$20</f>
        <v>6437.3337937150791</v>
      </c>
      <c r="T67" s="102">
        <f>TrRoad_emi!T$20</f>
        <v>6596.5200034692662</v>
      </c>
      <c r="U67" s="102">
        <f>TrRoad_emi!U$20</f>
        <v>6529.6182657453764</v>
      </c>
      <c r="V67" s="102">
        <f>TrRoad_emi!V$20</f>
        <v>5810.3524644413164</v>
      </c>
      <c r="W67" s="102">
        <f>TrRoad_emi!W$20</f>
        <v>5841.9154528574918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1063.3926741665543</v>
      </c>
      <c r="C68" s="102">
        <f>TrRoad_emi!C$27</f>
        <v>1033.6152007819326</v>
      </c>
      <c r="D68" s="102">
        <f>TrRoad_emi!D$27</f>
        <v>1007.9030403117886</v>
      </c>
      <c r="E68" s="102">
        <f>TrRoad_emi!E$27</f>
        <v>1021.9371189948192</v>
      </c>
      <c r="F68" s="102">
        <f>TrRoad_emi!F$27</f>
        <v>1004.5376758787592</v>
      </c>
      <c r="G68" s="102">
        <f>TrRoad_emi!G$27</f>
        <v>1013.6784657967717</v>
      </c>
      <c r="H68" s="102">
        <f>TrRoad_emi!H$27</f>
        <v>1020.7691616565697</v>
      </c>
      <c r="I68" s="102">
        <f>TrRoad_emi!I$27</f>
        <v>1009.3475430806744</v>
      </c>
      <c r="J68" s="102">
        <f>TrRoad_emi!J$27</f>
        <v>1024.2247841847704</v>
      </c>
      <c r="K68" s="102">
        <f>TrRoad_emi!K$27</f>
        <v>1040.8134912201099</v>
      </c>
      <c r="L68" s="102">
        <f>TrRoad_emi!L$27</f>
        <v>1063.3213607769208</v>
      </c>
      <c r="M68" s="102">
        <f>TrRoad_emi!M$27</f>
        <v>1003.3302404489723</v>
      </c>
      <c r="N68" s="102">
        <f>TrRoad_emi!N$27</f>
        <v>911.83301099878997</v>
      </c>
      <c r="O68" s="102">
        <f>TrRoad_emi!O$27</f>
        <v>872.29094050009076</v>
      </c>
      <c r="P68" s="102">
        <f>TrRoad_emi!P$27</f>
        <v>905.11690078566085</v>
      </c>
      <c r="Q68" s="102">
        <f>TrRoad_emi!Q$27</f>
        <v>928.98437856412636</v>
      </c>
      <c r="R68" s="102">
        <f>TrRoad_emi!R$27</f>
        <v>962.61905291639846</v>
      </c>
      <c r="S68" s="102">
        <f>TrRoad_emi!S$27</f>
        <v>1008.6197072901973</v>
      </c>
      <c r="T68" s="102">
        <f>TrRoad_emi!T$27</f>
        <v>1009.9559780796715</v>
      </c>
      <c r="U68" s="102">
        <f>TrRoad_emi!U$27</f>
        <v>974.06581817333267</v>
      </c>
      <c r="V68" s="102">
        <f>TrRoad_emi!V$27</f>
        <v>970.14339572954316</v>
      </c>
      <c r="W68" s="102">
        <f>TrRoad_emi!W$27</f>
        <v>959.35738690468327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197.56286081920211</v>
      </c>
      <c r="C69" s="110">
        <f t="shared" si="55"/>
        <v>183.62182624938225</v>
      </c>
      <c r="D69" s="110">
        <f t="shared" si="55"/>
        <v>186.81610772024646</v>
      </c>
      <c r="E69" s="110">
        <f t="shared" si="55"/>
        <v>194.89220436100666</v>
      </c>
      <c r="F69" s="110">
        <f t="shared" si="55"/>
        <v>188.73043625241783</v>
      </c>
      <c r="G69" s="110">
        <f t="shared" si="55"/>
        <v>207.08602316702863</v>
      </c>
      <c r="H69" s="110">
        <f t="shared" si="55"/>
        <v>204.29183364473175</v>
      </c>
      <c r="I69" s="110">
        <f t="shared" si="55"/>
        <v>206.66722161122414</v>
      </c>
      <c r="J69" s="110">
        <f t="shared" si="55"/>
        <v>216.60181520158139</v>
      </c>
      <c r="K69" s="110">
        <f t="shared" si="55"/>
        <v>211.31015033813617</v>
      </c>
      <c r="L69" s="110">
        <f t="shared" si="55"/>
        <v>218.07443158301263</v>
      </c>
      <c r="M69" s="110">
        <f t="shared" si="55"/>
        <v>220.54767584704081</v>
      </c>
      <c r="N69" s="110">
        <f t="shared" si="55"/>
        <v>226.17256753204401</v>
      </c>
      <c r="O69" s="110">
        <f t="shared" si="55"/>
        <v>221.94641529613014</v>
      </c>
      <c r="P69" s="110">
        <f t="shared" si="55"/>
        <v>225.85263559719826</v>
      </c>
      <c r="Q69" s="110">
        <f t="shared" si="55"/>
        <v>220.05759206394896</v>
      </c>
      <c r="R69" s="110">
        <f t="shared" ref="R69:V69" si="56">R70+R71+R72</f>
        <v>225.5908121120963</v>
      </c>
      <c r="S69" s="110">
        <f t="shared" si="56"/>
        <v>218.00011709372512</v>
      </c>
      <c r="T69" s="110">
        <f t="shared" si="56"/>
        <v>200.70550661846889</v>
      </c>
      <c r="U69" s="110">
        <f t="shared" si="56"/>
        <v>201.99273834507969</v>
      </c>
      <c r="V69" s="110">
        <f t="shared" si="56"/>
        <v>176.28058134472019</v>
      </c>
      <c r="W69" s="110">
        <f t="shared" ref="W69" si="57">W70+W71+W72</f>
        <v>168.373089255764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197.56286081920211</v>
      </c>
      <c r="C71" s="102">
        <f>TrRail_emi!C$11</f>
        <v>183.62182624938225</v>
      </c>
      <c r="D71" s="102">
        <f>TrRail_emi!D$11</f>
        <v>186.81610772024646</v>
      </c>
      <c r="E71" s="102">
        <f>TrRail_emi!E$11</f>
        <v>194.89220436100666</v>
      </c>
      <c r="F71" s="102">
        <f>TrRail_emi!F$11</f>
        <v>188.73043625241783</v>
      </c>
      <c r="G71" s="102">
        <f>TrRail_emi!G$11</f>
        <v>207.08602316702863</v>
      </c>
      <c r="H71" s="102">
        <f>TrRail_emi!H$11</f>
        <v>204.29183364473175</v>
      </c>
      <c r="I71" s="102">
        <f>TrRail_emi!I$11</f>
        <v>206.66722161122414</v>
      </c>
      <c r="J71" s="102">
        <f>TrRail_emi!J$11</f>
        <v>216.60181520158139</v>
      </c>
      <c r="K71" s="102">
        <f>TrRail_emi!K$11</f>
        <v>211.31015033813617</v>
      </c>
      <c r="L71" s="102">
        <f>TrRail_emi!L$11</f>
        <v>218.07443158301263</v>
      </c>
      <c r="M71" s="102">
        <f>TrRail_emi!M$11</f>
        <v>220.54767584704081</v>
      </c>
      <c r="N71" s="102">
        <f>TrRail_emi!N$11</f>
        <v>226.17256753204401</v>
      </c>
      <c r="O71" s="102">
        <f>TrRail_emi!O$11</f>
        <v>221.94641529613014</v>
      </c>
      <c r="P71" s="102">
        <f>TrRail_emi!P$11</f>
        <v>225.85263559719826</v>
      </c>
      <c r="Q71" s="102">
        <f>TrRail_emi!Q$11</f>
        <v>220.05759206394896</v>
      </c>
      <c r="R71" s="102">
        <f>TrRail_emi!R$11</f>
        <v>225.5908121120963</v>
      </c>
      <c r="S71" s="102">
        <f>TrRail_emi!S$11</f>
        <v>218.00011709372512</v>
      </c>
      <c r="T71" s="102">
        <f>TrRail_emi!T$11</f>
        <v>200.70550661846889</v>
      </c>
      <c r="U71" s="102">
        <f>TrRail_emi!U$11</f>
        <v>201.99273834507969</v>
      </c>
      <c r="V71" s="102">
        <f>TrRail_emi!V$11</f>
        <v>176.28058134472019</v>
      </c>
      <c r="W71" s="102">
        <f>TrRail_emi!W$11</f>
        <v>168.373089255764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2478.5325370876999</v>
      </c>
      <c r="C73" s="110">
        <f t="shared" si="58"/>
        <v>2518.2919717378804</v>
      </c>
      <c r="D73" s="110">
        <f t="shared" si="58"/>
        <v>2179.2022611994144</v>
      </c>
      <c r="E73" s="110">
        <f t="shared" si="58"/>
        <v>2258.8530697212905</v>
      </c>
      <c r="F73" s="110">
        <f t="shared" si="58"/>
        <v>2553.5275586167472</v>
      </c>
      <c r="G73" s="110">
        <f t="shared" si="58"/>
        <v>2681.7721823511006</v>
      </c>
      <c r="H73" s="110">
        <f t="shared" si="58"/>
        <v>2692.9443088216744</v>
      </c>
      <c r="I73" s="110">
        <f t="shared" si="58"/>
        <v>2774.9794093028531</v>
      </c>
      <c r="J73" s="110">
        <f t="shared" si="58"/>
        <v>2597.5322530651792</v>
      </c>
      <c r="K73" s="110">
        <f t="shared" si="58"/>
        <v>2320.308706411035</v>
      </c>
      <c r="L73" s="110">
        <f t="shared" si="58"/>
        <v>2416.5656625875354</v>
      </c>
      <c r="M73" s="110">
        <f t="shared" si="58"/>
        <v>2483.1983690956013</v>
      </c>
      <c r="N73" s="110">
        <f t="shared" si="58"/>
        <v>2481.3004930541274</v>
      </c>
      <c r="O73" s="110">
        <f t="shared" si="58"/>
        <v>2476.6435380771932</v>
      </c>
      <c r="P73" s="110">
        <f t="shared" si="58"/>
        <v>2655.5344661329891</v>
      </c>
      <c r="Q73" s="110">
        <f t="shared" si="58"/>
        <v>2610.0522349344146</v>
      </c>
      <c r="R73" s="110">
        <f t="shared" ref="R73:V73" si="59">R74+R75+R76</f>
        <v>2841.8883965162368</v>
      </c>
      <c r="S73" s="110">
        <f t="shared" si="59"/>
        <v>2926.063312079049</v>
      </c>
      <c r="T73" s="110">
        <f t="shared" si="59"/>
        <v>3090.1697754469892</v>
      </c>
      <c r="U73" s="110">
        <f t="shared" si="59"/>
        <v>3144.8696105262761</v>
      </c>
      <c r="V73" s="110">
        <f t="shared" si="59"/>
        <v>963.77245511701904</v>
      </c>
      <c r="W73" s="110">
        <f t="shared" ref="W73" si="60">W74+W75+W76</f>
        <v>1213.753623106747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139.87010369897237</v>
      </c>
      <c r="C74" s="102">
        <f>TrAvia_emi!C$7</f>
        <v>142.95345333416441</v>
      </c>
      <c r="D74" s="102">
        <f>TrAvia_emi!D$7</f>
        <v>118.14577432375066</v>
      </c>
      <c r="E74" s="102">
        <f>TrAvia_emi!E$7</f>
        <v>115.26459907478927</v>
      </c>
      <c r="F74" s="102">
        <f>TrAvia_emi!F$7</f>
        <v>96.60334512611486</v>
      </c>
      <c r="G74" s="102">
        <f>TrAvia_emi!G$7</f>
        <v>102.79499678263707</v>
      </c>
      <c r="H74" s="102">
        <f>TrAvia_emi!H$7</f>
        <v>108.98149070195034</v>
      </c>
      <c r="I74" s="102">
        <f>TrAvia_emi!I$7</f>
        <v>127.72623720387037</v>
      </c>
      <c r="J74" s="102">
        <f>TrAvia_emi!J$7</f>
        <v>133.59853710169531</v>
      </c>
      <c r="K74" s="102">
        <f>TrAvia_emi!K$7</f>
        <v>133.66341547465481</v>
      </c>
      <c r="L74" s="102">
        <f>TrAvia_emi!L$7</f>
        <v>140.37827296116072</v>
      </c>
      <c r="M74" s="102">
        <f>TrAvia_emi!M$7</f>
        <v>134.25693840286388</v>
      </c>
      <c r="N74" s="102">
        <f>TrAvia_emi!N$7</f>
        <v>115.49416213068984</v>
      </c>
      <c r="O74" s="102">
        <f>TrAvia_emi!O$7</f>
        <v>112.36217361914836</v>
      </c>
      <c r="P74" s="102">
        <f>TrAvia_emi!P$7</f>
        <v>109.246081531909</v>
      </c>
      <c r="Q74" s="102">
        <f>TrAvia_emi!Q$7</f>
        <v>101.48017216667321</v>
      </c>
      <c r="R74" s="102">
        <f>TrAvia_emi!R$7</f>
        <v>105.44834310810397</v>
      </c>
      <c r="S74" s="102">
        <f>TrAvia_emi!S$7</f>
        <v>100.65881833197425</v>
      </c>
      <c r="T74" s="102">
        <f>TrAvia_emi!T$7</f>
        <v>95.218146977011926</v>
      </c>
      <c r="U74" s="102">
        <f>TrAvia_emi!U$7</f>
        <v>95.544012742005549</v>
      </c>
      <c r="V74" s="102">
        <f>TrAvia_emi!V$7</f>
        <v>51.215409454179579</v>
      </c>
      <c r="W74" s="102">
        <f>TrAvia_emi!W$7</f>
        <v>54.860247032209166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1318.1830786397368</v>
      </c>
      <c r="C75" s="102">
        <f>TrAvia_emi!C$8</f>
        <v>1338.8395643364747</v>
      </c>
      <c r="D75" s="102">
        <f>TrAvia_emi!D$8</f>
        <v>1211.4104014479728</v>
      </c>
      <c r="E75" s="102">
        <f>TrAvia_emi!E$8</f>
        <v>1276.4043200815872</v>
      </c>
      <c r="F75" s="102">
        <f>TrAvia_emi!F$8</f>
        <v>1412.5521463962191</v>
      </c>
      <c r="G75" s="102">
        <f>TrAvia_emi!G$8</f>
        <v>1476.0881195881611</v>
      </c>
      <c r="H75" s="102">
        <f>TrAvia_emi!H$8</f>
        <v>1489.9810072439468</v>
      </c>
      <c r="I75" s="102">
        <f>TrAvia_emi!I$8</f>
        <v>1544.0577458884109</v>
      </c>
      <c r="J75" s="102">
        <f>TrAvia_emi!J$8</f>
        <v>1434.5116105271547</v>
      </c>
      <c r="K75" s="102">
        <f>TrAvia_emi!K$8</f>
        <v>1230.8241061184904</v>
      </c>
      <c r="L75" s="102">
        <f>TrAvia_emi!L$8</f>
        <v>1273.5418170920991</v>
      </c>
      <c r="M75" s="102">
        <f>TrAvia_emi!M$8</f>
        <v>1319.9551906127574</v>
      </c>
      <c r="N75" s="102">
        <f>TrAvia_emi!N$8</f>
        <v>1318.5439767498835</v>
      </c>
      <c r="O75" s="102">
        <f>TrAvia_emi!O$8</f>
        <v>1321.6668661681927</v>
      </c>
      <c r="P75" s="102">
        <f>TrAvia_emi!P$8</f>
        <v>1427.8745510721094</v>
      </c>
      <c r="Q75" s="102">
        <f>TrAvia_emi!Q$8</f>
        <v>1416.7285551935774</v>
      </c>
      <c r="R75" s="102">
        <f>TrAvia_emi!R$8</f>
        <v>1590.8637674320532</v>
      </c>
      <c r="S75" s="102">
        <f>TrAvia_emi!S$8</f>
        <v>1653.153175091805</v>
      </c>
      <c r="T75" s="102">
        <f>TrAvia_emi!T$8</f>
        <v>1737.6342468658413</v>
      </c>
      <c r="U75" s="102">
        <f>TrAvia_emi!U$8</f>
        <v>1736.5544600024325</v>
      </c>
      <c r="V75" s="102">
        <f>TrAvia_emi!V$8</f>
        <v>453.70642891911416</v>
      </c>
      <c r="W75" s="102">
        <f>TrAvia_emi!W$8</f>
        <v>615.67796205090053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1020.4793547489905</v>
      </c>
      <c r="C76" s="102">
        <f>TrAvia_emi!C$9</f>
        <v>1036.4989540672414</v>
      </c>
      <c r="D76" s="102">
        <f>TrAvia_emi!D$9</f>
        <v>849.64608542769099</v>
      </c>
      <c r="E76" s="102">
        <f>TrAvia_emi!E$9</f>
        <v>867.18415056491403</v>
      </c>
      <c r="F76" s="102">
        <f>TrAvia_emi!F$9</f>
        <v>1044.3720670944133</v>
      </c>
      <c r="G76" s="102">
        <f>TrAvia_emi!G$9</f>
        <v>1102.8890659803023</v>
      </c>
      <c r="H76" s="102">
        <f>TrAvia_emi!H$9</f>
        <v>1093.9818108757772</v>
      </c>
      <c r="I76" s="102">
        <f>TrAvia_emi!I$9</f>
        <v>1103.1954262105719</v>
      </c>
      <c r="J76" s="102">
        <f>TrAvia_emi!J$9</f>
        <v>1029.4221054363293</v>
      </c>
      <c r="K76" s="102">
        <f>TrAvia_emi!K$9</f>
        <v>955.82118481788962</v>
      </c>
      <c r="L76" s="102">
        <f>TrAvia_emi!L$9</f>
        <v>1002.6455725342753</v>
      </c>
      <c r="M76" s="102">
        <f>TrAvia_emi!M$9</f>
        <v>1028.98624007998</v>
      </c>
      <c r="N76" s="102">
        <f>TrAvia_emi!N$9</f>
        <v>1047.2623541735541</v>
      </c>
      <c r="O76" s="102">
        <f>TrAvia_emi!O$9</f>
        <v>1042.6144982898522</v>
      </c>
      <c r="P76" s="102">
        <f>TrAvia_emi!P$9</f>
        <v>1118.4138335289706</v>
      </c>
      <c r="Q76" s="102">
        <f>TrAvia_emi!Q$9</f>
        <v>1091.8435075741638</v>
      </c>
      <c r="R76" s="102">
        <f>TrAvia_emi!R$9</f>
        <v>1145.5762859760798</v>
      </c>
      <c r="S76" s="102">
        <f>TrAvia_emi!S$9</f>
        <v>1172.2513186552694</v>
      </c>
      <c r="T76" s="102">
        <f>TrAvia_emi!T$9</f>
        <v>1257.317381604136</v>
      </c>
      <c r="U76" s="102">
        <f>TrAvia_emi!U$9</f>
        <v>1312.7711377818378</v>
      </c>
      <c r="V76" s="102">
        <f>TrAvia_emi!V$9</f>
        <v>458.85061674372537</v>
      </c>
      <c r="W76" s="102">
        <f>TrAvia_emi!W$9</f>
        <v>543.21541402363721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4565.1184406577349</v>
      </c>
      <c r="C77" s="28">
        <f t="shared" si="61"/>
        <v>4771.6241279086698</v>
      </c>
      <c r="D77" s="28">
        <f t="shared" si="61"/>
        <v>4864.2628532408307</v>
      </c>
      <c r="E77" s="28">
        <f t="shared" si="61"/>
        <v>5198.4509582113224</v>
      </c>
      <c r="F77" s="28">
        <f t="shared" si="61"/>
        <v>5476.7139482209004</v>
      </c>
      <c r="G77" s="28">
        <f t="shared" si="61"/>
        <v>5647.1720680399476</v>
      </c>
      <c r="H77" s="28">
        <f t="shared" si="61"/>
        <v>5863.0138095404454</v>
      </c>
      <c r="I77" s="28">
        <f t="shared" si="61"/>
        <v>6060.0654792349114</v>
      </c>
      <c r="J77" s="28">
        <f t="shared" si="61"/>
        <v>6101.8324897473058</v>
      </c>
      <c r="K77" s="28">
        <f t="shared" si="61"/>
        <v>5389.8196531469484</v>
      </c>
      <c r="L77" s="28">
        <f t="shared" si="61"/>
        <v>5293.6563658909699</v>
      </c>
      <c r="M77" s="28">
        <f t="shared" si="61"/>
        <v>4915.2747744061817</v>
      </c>
      <c r="N77" s="28">
        <f t="shared" si="61"/>
        <v>4417.9771787813825</v>
      </c>
      <c r="O77" s="28">
        <f t="shared" si="61"/>
        <v>4250.8480231122276</v>
      </c>
      <c r="P77" s="28">
        <f t="shared" si="61"/>
        <v>4247.4929617050384</v>
      </c>
      <c r="Q77" s="28">
        <f t="shared" si="61"/>
        <v>4125.6245958736563</v>
      </c>
      <c r="R77" s="28">
        <f t="shared" ref="R77:V77" si="62">R78+R81+R82+R86+R92</f>
        <v>4302.1930092768471</v>
      </c>
      <c r="S77" s="28">
        <f t="shared" si="62"/>
        <v>4346.1262962925803</v>
      </c>
      <c r="T77" s="28">
        <f t="shared" si="62"/>
        <v>4429.9253846458678</v>
      </c>
      <c r="U77" s="28">
        <f t="shared" si="62"/>
        <v>4271.315926271528</v>
      </c>
      <c r="V77" s="28">
        <f t="shared" si="62"/>
        <v>4072.4277219313476</v>
      </c>
      <c r="W77" s="28">
        <f t="shared" ref="W77" si="63">W78+W81+W82+W86+W92</f>
        <v>4292.6526326979892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3999.4818400446366</v>
      </c>
      <c r="C78" s="137">
        <f t="shared" si="64"/>
        <v>4187.982523295932</v>
      </c>
      <c r="D78" s="137">
        <f t="shared" si="64"/>
        <v>4222.6685737204898</v>
      </c>
      <c r="E78" s="137">
        <f t="shared" si="64"/>
        <v>4569.3518472936194</v>
      </c>
      <c r="F78" s="137">
        <f t="shared" si="64"/>
        <v>4911.7645759300658</v>
      </c>
      <c r="G78" s="137">
        <f t="shared" si="64"/>
        <v>4999.2515155180772</v>
      </c>
      <c r="H78" s="137">
        <f t="shared" si="64"/>
        <v>5267.853136606851</v>
      </c>
      <c r="I78" s="137">
        <f t="shared" si="64"/>
        <v>5537.5169852289882</v>
      </c>
      <c r="J78" s="137">
        <f t="shared" si="64"/>
        <v>5266.8574618540661</v>
      </c>
      <c r="K78" s="137">
        <f t="shared" si="64"/>
        <v>4660.6290994161191</v>
      </c>
      <c r="L78" s="137">
        <f t="shared" si="64"/>
        <v>4627.3085090615186</v>
      </c>
      <c r="M78" s="137">
        <f t="shared" si="64"/>
        <v>4264.8245371488247</v>
      </c>
      <c r="N78" s="137">
        <f t="shared" si="64"/>
        <v>3777.5435841275539</v>
      </c>
      <c r="O78" s="137">
        <f t="shared" si="64"/>
        <v>3626.664688125551</v>
      </c>
      <c r="P78" s="137">
        <f t="shared" si="64"/>
        <v>3691.1807861952257</v>
      </c>
      <c r="Q78" s="137">
        <f t="shared" si="64"/>
        <v>3539.2866321520196</v>
      </c>
      <c r="R78" s="137">
        <f t="shared" ref="R78:V78" si="65">R79+R80</f>
        <v>3800.3166494651805</v>
      </c>
      <c r="S78" s="137">
        <f t="shared" si="65"/>
        <v>3857.9669455453541</v>
      </c>
      <c r="T78" s="137">
        <f t="shared" si="65"/>
        <v>3960.0186421113249</v>
      </c>
      <c r="U78" s="137">
        <f t="shared" si="65"/>
        <v>3773.7583894228846</v>
      </c>
      <c r="V78" s="137">
        <f t="shared" si="65"/>
        <v>3597.4910835930868</v>
      </c>
      <c r="W78" s="137">
        <f t="shared" ref="W78" si="66">W79+W80</f>
        <v>3718.8925075804991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1870.4837868876482</v>
      </c>
      <c r="C79" s="102">
        <f>TrRoad_emi!C$34</f>
        <v>1937.5024125142877</v>
      </c>
      <c r="D79" s="102">
        <f>TrRoad_emi!D$34</f>
        <v>1925.7579321427756</v>
      </c>
      <c r="E79" s="102">
        <f>TrRoad_emi!E$34</f>
        <v>1959.1390795032733</v>
      </c>
      <c r="F79" s="102">
        <f>TrRoad_emi!F$34</f>
        <v>2079.8249534251531</v>
      </c>
      <c r="G79" s="102">
        <f>TrRoad_emi!G$34</f>
        <v>2165.3569202909871</v>
      </c>
      <c r="H79" s="102">
        <f>TrRoad_emi!H$34</f>
        <v>2333.0730569567509</v>
      </c>
      <c r="I79" s="102">
        <f>TrRoad_emi!I$34</f>
        <v>2520.9155196673219</v>
      </c>
      <c r="J79" s="102">
        <f>TrRoad_emi!J$34</f>
        <v>2467.6897001649227</v>
      </c>
      <c r="K79" s="102">
        <f>TrRoad_emi!K$34</f>
        <v>2280.0636652639737</v>
      </c>
      <c r="L79" s="102">
        <f>TrRoad_emi!L$34</f>
        <v>2198.7016022553175</v>
      </c>
      <c r="M79" s="102">
        <f>TrRoad_emi!M$34</f>
        <v>1926.9635731811454</v>
      </c>
      <c r="N79" s="102">
        <f>TrRoad_emi!N$34</f>
        <v>1718.1807468073735</v>
      </c>
      <c r="O79" s="102">
        <f>TrRoad_emi!O$34</f>
        <v>1614.0515709333692</v>
      </c>
      <c r="P79" s="102">
        <f>TrRoad_emi!P$34</f>
        <v>1535.9788249463829</v>
      </c>
      <c r="Q79" s="102">
        <f>TrRoad_emi!Q$34</f>
        <v>1540.3792572361642</v>
      </c>
      <c r="R79" s="102">
        <f>TrRoad_emi!R$34</f>
        <v>1534.4079450829806</v>
      </c>
      <c r="S79" s="102">
        <f>TrRoad_emi!S$34</f>
        <v>1561.3403670619234</v>
      </c>
      <c r="T79" s="102">
        <f>TrRoad_emi!T$34</f>
        <v>1575.7048212114339</v>
      </c>
      <c r="U79" s="102">
        <f>TrRoad_emi!U$34</f>
        <v>1484.1537465193662</v>
      </c>
      <c r="V79" s="102">
        <f>TrRoad_emi!V$34</f>
        <v>1371.5893830635371</v>
      </c>
      <c r="W79" s="102">
        <f>TrRoad_emi!W$34</f>
        <v>1407.9079992781244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2128.9980531569881</v>
      </c>
      <c r="C80" s="102">
        <f>TrRoad_emi!C$40</f>
        <v>2250.4801107816438</v>
      </c>
      <c r="D80" s="102">
        <f>TrRoad_emi!D$40</f>
        <v>2296.9106415777142</v>
      </c>
      <c r="E80" s="102">
        <f>TrRoad_emi!E$40</f>
        <v>2610.2127677903459</v>
      </c>
      <c r="F80" s="102">
        <f>TrRoad_emi!F$40</f>
        <v>2831.9396225049127</v>
      </c>
      <c r="G80" s="102">
        <f>TrRoad_emi!G$40</f>
        <v>2833.8945952270906</v>
      </c>
      <c r="H80" s="102">
        <f>TrRoad_emi!H$40</f>
        <v>2934.7800796501001</v>
      </c>
      <c r="I80" s="102">
        <f>TrRoad_emi!I$40</f>
        <v>3016.6014655616664</v>
      </c>
      <c r="J80" s="102">
        <f>TrRoad_emi!J$40</f>
        <v>2799.1677616891429</v>
      </c>
      <c r="K80" s="102">
        <f>TrRoad_emi!K$40</f>
        <v>2380.5654341521458</v>
      </c>
      <c r="L80" s="102">
        <f>TrRoad_emi!L$40</f>
        <v>2428.6069068062011</v>
      </c>
      <c r="M80" s="102">
        <f>TrRoad_emi!M$40</f>
        <v>2337.8609639676788</v>
      </c>
      <c r="N80" s="102">
        <f>TrRoad_emi!N$40</f>
        <v>2059.3628373201805</v>
      </c>
      <c r="O80" s="102">
        <f>TrRoad_emi!O$40</f>
        <v>2012.6131171921816</v>
      </c>
      <c r="P80" s="102">
        <f>TrRoad_emi!P$40</f>
        <v>2155.2019612488425</v>
      </c>
      <c r="Q80" s="102">
        <f>TrRoad_emi!Q$40</f>
        <v>1998.9073749158556</v>
      </c>
      <c r="R80" s="102">
        <f>TrRoad_emi!R$40</f>
        <v>2265.9087043822001</v>
      </c>
      <c r="S80" s="102">
        <f>TrRoad_emi!S$40</f>
        <v>2296.6265784834309</v>
      </c>
      <c r="T80" s="102">
        <f>TrRoad_emi!T$40</f>
        <v>2384.3138208998907</v>
      </c>
      <c r="U80" s="102">
        <f>TrRoad_emi!U$40</f>
        <v>2289.6046429035187</v>
      </c>
      <c r="V80" s="102">
        <f>TrRoad_emi!V$40</f>
        <v>2225.90170052955</v>
      </c>
      <c r="W80" s="102">
        <f>TrRoad_emi!W$40</f>
        <v>2310.9845083023747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30.250179180797815</v>
      </c>
      <c r="C81" s="110">
        <f>TrRail_emi!C$15</f>
        <v>28.370745190617718</v>
      </c>
      <c r="D81" s="110">
        <f>TrRail_emi!D$15</f>
        <v>25.176463719753563</v>
      </c>
      <c r="E81" s="110">
        <f>TrRail_emi!E$15</f>
        <v>23.428714558993356</v>
      </c>
      <c r="F81" s="110">
        <f>TrRail_emi!F$15</f>
        <v>26.426442307582164</v>
      </c>
      <c r="G81" s="110">
        <f>TrRail_emi!G$15</f>
        <v>23.891057192971385</v>
      </c>
      <c r="H81" s="110">
        <f>TrRail_emi!H$15</f>
        <v>23.521206355268244</v>
      </c>
      <c r="I81" s="110">
        <f>TrRail_emi!I$15</f>
        <v>21.145818388775826</v>
      </c>
      <c r="J81" s="110">
        <f>TrRail_emi!J$15</f>
        <v>20.70334587841861</v>
      </c>
      <c r="K81" s="110">
        <f>TrRail_emi!K$15</f>
        <v>19.666930021863838</v>
      </c>
      <c r="L81" s="110">
        <f>TrRail_emi!L$15</f>
        <v>25.559076976987388</v>
      </c>
      <c r="M81" s="110">
        <f>TrRail_emi!M$15</f>
        <v>29.41391343295918</v>
      </c>
      <c r="N81" s="110">
        <f>TrRail_emi!N$15</f>
        <v>23.789021747955982</v>
      </c>
      <c r="O81" s="110">
        <f>TrRail_emi!O$15</f>
        <v>24.851133623869863</v>
      </c>
      <c r="P81" s="110">
        <f>TrRail_emi!P$15</f>
        <v>27.272994042801724</v>
      </c>
      <c r="Q81" s="110">
        <f>TrRail_emi!Q$15</f>
        <v>28.584602256051046</v>
      </c>
      <c r="R81" s="110">
        <f>TrRail_emi!R$15</f>
        <v>28.237196607903705</v>
      </c>
      <c r="S81" s="110">
        <f>TrRail_emi!S$15</f>
        <v>26.287872546274865</v>
      </c>
      <c r="T81" s="110">
        <f>TrRail_emi!T$15</f>
        <v>23.64564090153112</v>
      </c>
      <c r="U81" s="110">
        <f>TrRail_emi!U$15</f>
        <v>21.947065254920282</v>
      </c>
      <c r="V81" s="110">
        <f>TrRail_emi!V$15</f>
        <v>20.40088517527979</v>
      </c>
      <c r="W81" s="110">
        <f>TrRail_emi!W$15</f>
        <v>16.38648730423602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23.464078912300351</v>
      </c>
      <c r="C82" s="110">
        <f t="shared" si="67"/>
        <v>24.364007982119421</v>
      </c>
      <c r="D82" s="110">
        <f t="shared" si="67"/>
        <v>22.478475080586538</v>
      </c>
      <c r="E82" s="110">
        <f t="shared" si="67"/>
        <v>17.952487438710047</v>
      </c>
      <c r="F82" s="110">
        <f t="shared" si="67"/>
        <v>20.343613943252173</v>
      </c>
      <c r="G82" s="110">
        <f t="shared" si="67"/>
        <v>23.460031368899688</v>
      </c>
      <c r="H82" s="110">
        <f t="shared" si="67"/>
        <v>27.987720898325975</v>
      </c>
      <c r="I82" s="110">
        <f t="shared" si="67"/>
        <v>27.271606697146879</v>
      </c>
      <c r="J82" s="110">
        <f t="shared" si="67"/>
        <v>207.84658549482052</v>
      </c>
      <c r="K82" s="110">
        <f t="shared" si="67"/>
        <v>147.28393214896516</v>
      </c>
      <c r="L82" s="110">
        <f t="shared" si="67"/>
        <v>154.30115769246467</v>
      </c>
      <c r="M82" s="110">
        <f t="shared" si="67"/>
        <v>147.09371490439869</v>
      </c>
      <c r="N82" s="110">
        <f t="shared" si="67"/>
        <v>155.24697722587271</v>
      </c>
      <c r="O82" s="110">
        <f t="shared" si="67"/>
        <v>131.75508220280682</v>
      </c>
      <c r="P82" s="110">
        <f t="shared" si="67"/>
        <v>156.16123158701109</v>
      </c>
      <c r="Q82" s="110">
        <f t="shared" si="67"/>
        <v>139.73970166558561</v>
      </c>
      <c r="R82" s="110">
        <f t="shared" si="67"/>
        <v>110.6433612837628</v>
      </c>
      <c r="S82" s="110">
        <f t="shared" si="67"/>
        <v>112.56126240095189</v>
      </c>
      <c r="T82" s="110">
        <f t="shared" si="67"/>
        <v>83.828338273011781</v>
      </c>
      <c r="U82" s="110">
        <f t="shared" si="67"/>
        <v>98.023857793723607</v>
      </c>
      <c r="V82" s="110">
        <f t="shared" si="67"/>
        <v>89.134479122980977</v>
      </c>
      <c r="W82" s="110">
        <f t="shared" ref="W82" si="68">W83+W84+W85</f>
        <v>127.72086229325333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0.75067602102761866</v>
      </c>
      <c r="C83" s="102">
        <f>TrAvia_emi!C$11</f>
        <v>0.79489010583559294</v>
      </c>
      <c r="D83" s="102">
        <f>TrAvia_emi!D$11</f>
        <v>0.58154167624936859</v>
      </c>
      <c r="E83" s="102">
        <f>TrAvia_emi!E$11</f>
        <v>0.33489436521074889</v>
      </c>
      <c r="F83" s="102">
        <f>TrAvia_emi!F$11</f>
        <v>0.23050715388512583</v>
      </c>
      <c r="G83" s="102">
        <f>TrAvia_emi!G$11</f>
        <v>0.29398293736298831</v>
      </c>
      <c r="H83" s="102">
        <f>TrAvia_emi!H$11</f>
        <v>0.36287529804967178</v>
      </c>
      <c r="I83" s="102">
        <f>TrAvia_emi!I$11</f>
        <v>0.38402879612967217</v>
      </c>
      <c r="J83" s="102">
        <f>TrAvia_emi!J$11</f>
        <v>0.76711517830467335</v>
      </c>
      <c r="K83" s="102">
        <f>TrAvia_emi!K$11</f>
        <v>0.70223680534517929</v>
      </c>
      <c r="L83" s="102">
        <f>TrAvia_emi!L$11</f>
        <v>0.30449731883931513</v>
      </c>
      <c r="M83" s="102">
        <f>TrAvia_emi!M$11</f>
        <v>0.17044559713610641</v>
      </c>
      <c r="N83" s="102">
        <f>TrAvia_emi!N$11</f>
        <v>0.16732186931017046</v>
      </c>
      <c r="O83" s="102">
        <f>TrAvia_emi!O$11</f>
        <v>0.17174666085165688</v>
      </c>
      <c r="P83" s="102">
        <f>TrAvia_emi!P$11</f>
        <v>0.16001618809102525</v>
      </c>
      <c r="Q83" s="102">
        <f>TrAvia_emi!Q$11</f>
        <v>0.13148347332682619</v>
      </c>
      <c r="R83" s="102">
        <f>TrAvia_emi!R$11</f>
        <v>3.1290051896026246E-2</v>
      </c>
      <c r="S83" s="102">
        <f>TrAvia_emi!S$11</f>
        <v>5.1515748025756862E-2</v>
      </c>
      <c r="T83" s="102">
        <f>TrAvia_emi!T$11</f>
        <v>6.5049222988094138E-2</v>
      </c>
      <c r="U83" s="102">
        <f>TrAvia_emi!U$11</f>
        <v>5.4621217994469611E-2</v>
      </c>
      <c r="V83" s="102">
        <f>TrAvia_emi!V$11</f>
        <v>6.7953865820419568E-2</v>
      </c>
      <c r="W83" s="102">
        <f>TrAvia_emi!W$11</f>
        <v>0.11472836779084654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20.594763842060178</v>
      </c>
      <c r="C84" s="102">
        <f>TrAvia_emi!C$12</f>
        <v>21.335512764888865</v>
      </c>
      <c r="D84" s="102">
        <f>TrAvia_emi!D$12</f>
        <v>19.390542307835716</v>
      </c>
      <c r="E84" s="102">
        <f>TrAvia_emi!E$12</f>
        <v>14.726864093727073</v>
      </c>
      <c r="F84" s="102">
        <f>TrAvia_emi!F$12</f>
        <v>17.096536962940146</v>
      </c>
      <c r="G84" s="102">
        <f>TrAvia_emi!G$12</f>
        <v>21.084196686325114</v>
      </c>
      <c r="H84" s="102">
        <f>TrAvia_emi!H$12</f>
        <v>26.57539540077892</v>
      </c>
      <c r="I84" s="102">
        <f>TrAvia_emi!I$12</f>
        <v>25.575415009120498</v>
      </c>
      <c r="J84" s="102">
        <f>TrAvia_emi!J$12</f>
        <v>53.09724299194086</v>
      </c>
      <c r="K84" s="102">
        <f>TrAvia_emi!K$12</f>
        <v>34.064462398027807</v>
      </c>
      <c r="L84" s="102">
        <f>TrAvia_emi!L$12</f>
        <v>23.082627809783695</v>
      </c>
      <c r="M84" s="102">
        <f>TrAvia_emi!M$12</f>
        <v>22.434968804608967</v>
      </c>
      <c r="N84" s="102">
        <f>TrAvia_emi!N$12</f>
        <v>19.870773862013326</v>
      </c>
      <c r="O84" s="102">
        <f>TrAvia_emi!O$12</f>
        <v>16.353241614285469</v>
      </c>
      <c r="P84" s="102">
        <f>TrAvia_emi!P$12</f>
        <v>27.229149277922335</v>
      </c>
      <c r="Q84" s="102">
        <f>TrAvia_emi!Q$12</f>
        <v>26.75938572119485</v>
      </c>
      <c r="R84" s="102">
        <f>TrAvia_emi!R$12</f>
        <v>21.796395462893191</v>
      </c>
      <c r="S84" s="102">
        <f>TrAvia_emi!S$12</f>
        <v>26.835575682756946</v>
      </c>
      <c r="T84" s="102">
        <f>TrAvia_emi!T$12</f>
        <v>27.322237736547354</v>
      </c>
      <c r="U84" s="102">
        <f>TrAvia_emi!U$12</f>
        <v>31.608906325063408</v>
      </c>
      <c r="V84" s="102">
        <f>TrAvia_emi!V$12</f>
        <v>30.134808784147562</v>
      </c>
      <c r="W84" s="102">
        <f>TrAvia_emi!W$12</f>
        <v>43.918021500109603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2.1186390492125522</v>
      </c>
      <c r="C85" s="102">
        <f>TrAvia_emi!C$13</f>
        <v>2.2336051113949651</v>
      </c>
      <c r="D85" s="102">
        <f>TrAvia_emi!D$13</f>
        <v>2.5063910965014533</v>
      </c>
      <c r="E85" s="102">
        <f>TrAvia_emi!E$13</f>
        <v>2.8907289797722249</v>
      </c>
      <c r="F85" s="102">
        <f>TrAvia_emi!F$13</f>
        <v>3.0165698264269039</v>
      </c>
      <c r="G85" s="102">
        <f>TrAvia_emi!G$13</f>
        <v>2.0818517452115861</v>
      </c>
      <c r="H85" s="102">
        <f>TrAvia_emi!H$13</f>
        <v>1.0494501994973842</v>
      </c>
      <c r="I85" s="102">
        <f>TrAvia_emi!I$13</f>
        <v>1.3121628918967088</v>
      </c>
      <c r="J85" s="102">
        <f>TrAvia_emi!J$13</f>
        <v>153.98222732457498</v>
      </c>
      <c r="K85" s="102">
        <f>TrAvia_emi!K$13</f>
        <v>112.51723294559218</v>
      </c>
      <c r="L85" s="102">
        <f>TrAvia_emi!L$13</f>
        <v>130.91403256384166</v>
      </c>
      <c r="M85" s="102">
        <f>TrAvia_emi!M$13</f>
        <v>124.48830050265362</v>
      </c>
      <c r="N85" s="102">
        <f>TrAvia_emi!N$13</f>
        <v>135.20888149454922</v>
      </c>
      <c r="O85" s="102">
        <f>TrAvia_emi!O$13</f>
        <v>115.23009392766969</v>
      </c>
      <c r="P85" s="102">
        <f>TrAvia_emi!P$13</f>
        <v>128.77206612099772</v>
      </c>
      <c r="Q85" s="102">
        <f>TrAvia_emi!Q$13</f>
        <v>112.84883247106394</v>
      </c>
      <c r="R85" s="102">
        <f>TrAvia_emi!R$13</f>
        <v>88.815675768973577</v>
      </c>
      <c r="S85" s="102">
        <f>TrAvia_emi!S$13</f>
        <v>85.674170970169186</v>
      </c>
      <c r="T85" s="102">
        <f>TrAvia_emi!T$13</f>
        <v>56.441051313476336</v>
      </c>
      <c r="U85" s="102">
        <f>TrAvia_emi!U$13</f>
        <v>66.360330250665726</v>
      </c>
      <c r="V85" s="102">
        <f>TrAvia_emi!V$13</f>
        <v>58.93171647301299</v>
      </c>
      <c r="W85" s="102">
        <f>TrAvia_emi!W$13</f>
        <v>83.688112425352884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511.92234252000003</v>
      </c>
      <c r="C86" s="110">
        <f t="shared" si="69"/>
        <v>530.90685144000008</v>
      </c>
      <c r="D86" s="110">
        <f t="shared" si="69"/>
        <v>593.93934072000002</v>
      </c>
      <c r="E86" s="110">
        <f t="shared" si="69"/>
        <v>587.71790891999979</v>
      </c>
      <c r="F86" s="110">
        <f t="shared" si="69"/>
        <v>518.17931603999989</v>
      </c>
      <c r="G86" s="110">
        <f t="shared" si="69"/>
        <v>600.56946396000001</v>
      </c>
      <c r="H86" s="110">
        <f t="shared" si="69"/>
        <v>543.65174567999998</v>
      </c>
      <c r="I86" s="110">
        <f t="shared" si="69"/>
        <v>474.13106891999985</v>
      </c>
      <c r="J86" s="110">
        <f t="shared" si="69"/>
        <v>606.42509652000012</v>
      </c>
      <c r="K86" s="110">
        <f t="shared" si="69"/>
        <v>562.23969155999998</v>
      </c>
      <c r="L86" s="110">
        <f t="shared" si="69"/>
        <v>486.48762215999983</v>
      </c>
      <c r="M86" s="110">
        <f t="shared" si="69"/>
        <v>473.94260892</v>
      </c>
      <c r="N86" s="110">
        <f t="shared" si="69"/>
        <v>461.39759568000011</v>
      </c>
      <c r="O86" s="110">
        <f t="shared" si="69"/>
        <v>467.57711916000011</v>
      </c>
      <c r="P86" s="110">
        <f t="shared" si="69"/>
        <v>372.87794988000007</v>
      </c>
      <c r="Q86" s="110">
        <f t="shared" si="69"/>
        <v>418.01365979999991</v>
      </c>
      <c r="R86" s="110">
        <f t="shared" ref="R86:V86" si="70">R87+R88</f>
        <v>362.99580191999996</v>
      </c>
      <c r="S86" s="110">
        <f t="shared" si="70"/>
        <v>349.31021580000009</v>
      </c>
      <c r="T86" s="110">
        <f t="shared" si="70"/>
        <v>362.43276335999991</v>
      </c>
      <c r="U86" s="110">
        <f t="shared" si="70"/>
        <v>377.58661380000001</v>
      </c>
      <c r="V86" s="110">
        <f t="shared" si="70"/>
        <v>365.40127404000015</v>
      </c>
      <c r="W86" s="110">
        <f t="shared" ref="W86" si="71">W87+W88</f>
        <v>429.65277552000009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511.92234252000003</v>
      </c>
      <c r="C87" s="102">
        <f>TrNavi_emi!C$4</f>
        <v>530.90685144000008</v>
      </c>
      <c r="D87" s="102">
        <f>TrNavi_emi!D$4</f>
        <v>593.93934072000002</v>
      </c>
      <c r="E87" s="102">
        <f>TrNavi_emi!E$4</f>
        <v>587.71790891999979</v>
      </c>
      <c r="F87" s="102">
        <f>TrNavi_emi!F$4</f>
        <v>518.17931603999989</v>
      </c>
      <c r="G87" s="102">
        <f>TrNavi_emi!G$4</f>
        <v>600.56946396000001</v>
      </c>
      <c r="H87" s="102">
        <f>TrNavi_emi!H$4</f>
        <v>543.65174567999998</v>
      </c>
      <c r="I87" s="102">
        <f>TrNavi_emi!I$4</f>
        <v>474.13106891999985</v>
      </c>
      <c r="J87" s="102">
        <f>TrNavi_emi!J$4</f>
        <v>606.42509652000012</v>
      </c>
      <c r="K87" s="102">
        <f>TrNavi_emi!K$4</f>
        <v>562.23969155999998</v>
      </c>
      <c r="L87" s="102">
        <f>TrNavi_emi!L$4</f>
        <v>486.48762215999983</v>
      </c>
      <c r="M87" s="102">
        <f>TrNavi_emi!M$4</f>
        <v>473.94260892</v>
      </c>
      <c r="N87" s="102">
        <f>TrNavi_emi!N$4</f>
        <v>461.39759568000011</v>
      </c>
      <c r="O87" s="102">
        <f>TrNavi_emi!O$4</f>
        <v>467.57711916000011</v>
      </c>
      <c r="P87" s="102">
        <f>TrNavi_emi!P$4</f>
        <v>372.87794988000007</v>
      </c>
      <c r="Q87" s="102">
        <f>TrNavi_emi!Q$4</f>
        <v>418.01365979999991</v>
      </c>
      <c r="R87" s="102">
        <f>TrNavi_emi!R$4</f>
        <v>362.99580191999996</v>
      </c>
      <c r="S87" s="102">
        <f>TrNavi_emi!S$4</f>
        <v>349.31021580000009</v>
      </c>
      <c r="T87" s="102">
        <f>TrNavi_emi!T$4</f>
        <v>362.43276335999991</v>
      </c>
      <c r="U87" s="102">
        <f>TrNavi_emi!U$4</f>
        <v>377.58661380000001</v>
      </c>
      <c r="V87" s="102">
        <f>TrNavi_emi!V$4</f>
        <v>365.40127404000015</v>
      </c>
      <c r="W87" s="102">
        <f>TrNavi_emi!W$4</f>
        <v>429.65277552000009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4126.9042983600002</v>
      </c>
      <c r="C89" s="28">
        <f t="shared" si="72"/>
        <v>3427.6419158400004</v>
      </c>
      <c r="D89" s="28">
        <f t="shared" si="72"/>
        <v>2814.3998672399998</v>
      </c>
      <c r="E89" s="28">
        <f t="shared" si="72"/>
        <v>2961.9427564799998</v>
      </c>
      <c r="F89" s="28">
        <f t="shared" si="72"/>
        <v>2409.5980897199997</v>
      </c>
      <c r="G89" s="28">
        <f t="shared" si="72"/>
        <v>2461.94874936</v>
      </c>
      <c r="H89" s="28">
        <f t="shared" si="72"/>
        <v>3254.4240858000003</v>
      </c>
      <c r="I89" s="28">
        <f t="shared" si="72"/>
        <v>3411.1044079200001</v>
      </c>
      <c r="J89" s="28">
        <f t="shared" si="72"/>
        <v>2927.1021055200008</v>
      </c>
      <c r="K89" s="28">
        <f t="shared" si="72"/>
        <v>1631.8358218799999</v>
      </c>
      <c r="L89" s="28">
        <f t="shared" si="72"/>
        <v>2201.8703821200002</v>
      </c>
      <c r="M89" s="28">
        <f t="shared" si="72"/>
        <v>2232.2119561199997</v>
      </c>
      <c r="N89" s="28">
        <f t="shared" si="72"/>
        <v>1644.3436928400001</v>
      </c>
      <c r="O89" s="28">
        <f t="shared" si="72"/>
        <v>2007.7759584000003</v>
      </c>
      <c r="P89" s="28">
        <f t="shared" si="72"/>
        <v>2356.20457128</v>
      </c>
      <c r="Q89" s="28">
        <f t="shared" si="72"/>
        <v>2430.12655872</v>
      </c>
      <c r="R89" s="28">
        <f t="shared" si="72"/>
        <v>2116.59969348</v>
      </c>
      <c r="S89" s="28">
        <f t="shared" si="72"/>
        <v>1677.5625614400001</v>
      </c>
      <c r="T89" s="28">
        <f t="shared" si="72"/>
        <v>1872.8212456799995</v>
      </c>
      <c r="U89" s="28">
        <f t="shared" si="72"/>
        <v>2346.8330091600001</v>
      </c>
      <c r="V89" s="28">
        <f t="shared" si="72"/>
        <v>1755.4771148400005</v>
      </c>
      <c r="W89" s="28">
        <f t="shared" si="72"/>
        <v>1490.5241481599996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1744.3630709975846</v>
      </c>
      <c r="C90" s="102">
        <f>MBunk_emi!C$4</f>
        <v>1445.8565305220143</v>
      </c>
      <c r="D90" s="102">
        <f>MBunk_emi!D$4</f>
        <v>1209.6438668512246</v>
      </c>
      <c r="E90" s="102">
        <f>MBunk_emi!E$4</f>
        <v>1212.7953672769199</v>
      </c>
      <c r="F90" s="102">
        <f>MBunk_emi!F$4</f>
        <v>1061.3541740042217</v>
      </c>
      <c r="G90" s="102">
        <f>MBunk_emi!G$4</f>
        <v>1103.360765971529</v>
      </c>
      <c r="H90" s="102">
        <f>MBunk_emi!H$4</f>
        <v>1318.1216390453769</v>
      </c>
      <c r="I90" s="102">
        <f>MBunk_emi!I$4</f>
        <v>1424.9329672358438</v>
      </c>
      <c r="J90" s="102">
        <f>MBunk_emi!J$4</f>
        <v>1232.2732062485213</v>
      </c>
      <c r="K90" s="102">
        <f>MBunk_emi!K$4</f>
        <v>686.63849329090976</v>
      </c>
      <c r="L90" s="102">
        <f>MBunk_emi!L$4</f>
        <v>980.60650463093896</v>
      </c>
      <c r="M90" s="102">
        <f>MBunk_emi!M$4</f>
        <v>903.27529081436705</v>
      </c>
      <c r="N90" s="102">
        <f>MBunk_emi!N$4</f>
        <v>738.85801885415435</v>
      </c>
      <c r="O90" s="102">
        <f>MBunk_emi!O$4</f>
        <v>952.84317605821002</v>
      </c>
      <c r="P90" s="102">
        <f>MBunk_emi!P$4</f>
        <v>1060.2967444995263</v>
      </c>
      <c r="Q90" s="102">
        <f>MBunk_emi!Q$4</f>
        <v>1029.6730658722463</v>
      </c>
      <c r="R90" s="102">
        <f>MBunk_emi!R$4</f>
        <v>894.23119818477824</v>
      </c>
      <c r="S90" s="102">
        <f>MBunk_emi!S$4</f>
        <v>719.06866138162434</v>
      </c>
      <c r="T90" s="102">
        <f>MBunk_emi!T$4</f>
        <v>783.42306145352859</v>
      </c>
      <c r="U90" s="102">
        <f>MBunk_emi!U$4</f>
        <v>965.23066441031403</v>
      </c>
      <c r="V90" s="102">
        <f>MBunk_emi!V$4</f>
        <v>648.97697329485959</v>
      </c>
      <c r="W90" s="102">
        <f>MBunk_emi!W$4</f>
        <v>542.63905167498388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2382.5412273624156</v>
      </c>
      <c r="C91" s="86">
        <f>MBunk_emi!C$5</f>
        <v>1981.7853853179863</v>
      </c>
      <c r="D91" s="86">
        <f>MBunk_emi!D$5</f>
        <v>1604.7560003887752</v>
      </c>
      <c r="E91" s="86">
        <f>MBunk_emi!E$5</f>
        <v>1749.1473892030801</v>
      </c>
      <c r="F91" s="86">
        <f>MBunk_emi!F$5</f>
        <v>1348.243915715778</v>
      </c>
      <c r="G91" s="86">
        <f>MBunk_emi!G$5</f>
        <v>1358.5879833884712</v>
      </c>
      <c r="H91" s="86">
        <f>MBunk_emi!H$5</f>
        <v>1936.3024467546234</v>
      </c>
      <c r="I91" s="86">
        <f>MBunk_emi!I$5</f>
        <v>1986.1714406841563</v>
      </c>
      <c r="J91" s="86">
        <f>MBunk_emi!J$5</f>
        <v>1694.8288992714793</v>
      </c>
      <c r="K91" s="86">
        <f>MBunk_emi!K$5</f>
        <v>945.19732858909026</v>
      </c>
      <c r="L91" s="86">
        <f>MBunk_emi!L$5</f>
        <v>1221.2638774890613</v>
      </c>
      <c r="M91" s="86">
        <f>MBunk_emi!M$5</f>
        <v>1328.9366653056327</v>
      </c>
      <c r="N91" s="86">
        <f>MBunk_emi!N$5</f>
        <v>905.48567398584578</v>
      </c>
      <c r="O91" s="86">
        <f>MBunk_emi!O$5</f>
        <v>1054.9327823417902</v>
      </c>
      <c r="P91" s="86">
        <f>MBunk_emi!P$5</f>
        <v>1295.9078267804737</v>
      </c>
      <c r="Q91" s="86">
        <f>MBunk_emi!Q$5</f>
        <v>1400.4534928477538</v>
      </c>
      <c r="R91" s="86">
        <f>MBunk_emi!R$5</f>
        <v>1222.3684952952219</v>
      </c>
      <c r="S91" s="86">
        <f>MBunk_emi!S$5</f>
        <v>958.49390005837586</v>
      </c>
      <c r="T91" s="86">
        <f>MBunk_emi!T$5</f>
        <v>1089.3981842264709</v>
      </c>
      <c r="U91" s="86">
        <f>MBunk_emi!U$5</f>
        <v>1381.6023447496859</v>
      </c>
      <c r="V91" s="86">
        <f>MBunk_emi!V$5</f>
        <v>1106.5001415451409</v>
      </c>
      <c r="W91" s="86">
        <f>MBunk_emi!W$5</f>
        <v>947.88509648501565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0.72480679723814823</v>
      </c>
      <c r="C97" s="139">
        <f t="shared" si="76"/>
        <v>0.71405683383843077</v>
      </c>
      <c r="D97" s="139">
        <f t="shared" si="76"/>
        <v>0.71339467959686298</v>
      </c>
      <c r="E97" s="139">
        <f t="shared" si="76"/>
        <v>0.71729785559551251</v>
      </c>
      <c r="F97" s="139">
        <f t="shared" si="76"/>
        <v>0.70545274279485326</v>
      </c>
      <c r="G97" s="139">
        <f t="shared" si="76"/>
        <v>0.68978722084418664</v>
      </c>
      <c r="H97" s="139">
        <f t="shared" si="76"/>
        <v>0.6828185107262108</v>
      </c>
      <c r="I97" s="139">
        <f t="shared" si="76"/>
        <v>0.68574089434042307</v>
      </c>
      <c r="J97" s="139">
        <f t="shared" si="76"/>
        <v>0.69130770554400933</v>
      </c>
      <c r="K97" s="139">
        <f t="shared" si="76"/>
        <v>0.70280429923639187</v>
      </c>
      <c r="L97" s="139">
        <f t="shared" si="76"/>
        <v>0.68495528591169108</v>
      </c>
      <c r="M97" s="139">
        <f t="shared" si="76"/>
        <v>0.68437456719862821</v>
      </c>
      <c r="N97" s="139">
        <f t="shared" si="76"/>
        <v>0.67241665111417137</v>
      </c>
      <c r="O97" s="139">
        <f t="shared" si="76"/>
        <v>0.66528336019894718</v>
      </c>
      <c r="P97" s="139">
        <f t="shared" si="76"/>
        <v>0.66041844069941036</v>
      </c>
      <c r="Q97" s="139">
        <f t="shared" si="76"/>
        <v>0.66676083663942598</v>
      </c>
      <c r="R97" s="139">
        <f t="shared" ref="R97:V97" si="77">IF(R5=0,0,R5/R$4)</f>
        <v>0.66152820453776351</v>
      </c>
      <c r="S97" s="139">
        <f t="shared" si="77"/>
        <v>0.65934309711113903</v>
      </c>
      <c r="T97" s="139">
        <f t="shared" si="77"/>
        <v>0.65204311224262623</v>
      </c>
      <c r="U97" s="139">
        <f t="shared" si="77"/>
        <v>0.65704212736252487</v>
      </c>
      <c r="V97" s="139">
        <f t="shared" si="77"/>
        <v>0.8478111368736736</v>
      </c>
      <c r="W97" s="139">
        <f t="shared" ref="W97" si="78">IF(W5=0,0,W5/W$4)</f>
        <v>0.82673674253021034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7.637986937509938E-3</v>
      </c>
      <c r="C98" s="140">
        <f t="shared" si="79"/>
        <v>7.2806428534726575E-3</v>
      </c>
      <c r="D98" s="140">
        <f t="shared" si="79"/>
        <v>7.585295351316643E-3</v>
      </c>
      <c r="E98" s="140">
        <f t="shared" si="79"/>
        <v>7.6760343961481221E-3</v>
      </c>
      <c r="F98" s="140">
        <f t="shared" si="79"/>
        <v>7.4275648498135713E-3</v>
      </c>
      <c r="G98" s="140">
        <f t="shared" si="79"/>
        <v>7.5721061755203174E-3</v>
      </c>
      <c r="H98" s="140">
        <f t="shared" si="79"/>
        <v>7.9240087002445687E-3</v>
      </c>
      <c r="I98" s="140">
        <f t="shared" si="79"/>
        <v>8.3772259919427852E-3</v>
      </c>
      <c r="J98" s="140">
        <f t="shared" si="79"/>
        <v>8.3606945121316549E-3</v>
      </c>
      <c r="K98" s="140">
        <f t="shared" si="79"/>
        <v>8.1324779422676293E-3</v>
      </c>
      <c r="L98" s="140">
        <f t="shared" si="79"/>
        <v>7.9467051965663449E-3</v>
      </c>
      <c r="M98" s="140">
        <f t="shared" si="79"/>
        <v>7.7351058568588989E-3</v>
      </c>
      <c r="N98" s="140">
        <f t="shared" si="79"/>
        <v>7.6776288910111474E-3</v>
      </c>
      <c r="O98" s="140">
        <f t="shared" si="79"/>
        <v>7.6630839106699919E-3</v>
      </c>
      <c r="P98" s="140">
        <f t="shared" si="79"/>
        <v>7.5672028759738511E-3</v>
      </c>
      <c r="Q98" s="140">
        <f t="shared" si="79"/>
        <v>7.3889137037189204E-3</v>
      </c>
      <c r="R98" s="140">
        <f t="shared" ref="R98:V98" si="80">IF(R6=0,0,R6/R$4)</f>
        <v>7.0458310834472697E-3</v>
      </c>
      <c r="S98" s="140">
        <f t="shared" si="80"/>
        <v>6.4783053461159269E-3</v>
      </c>
      <c r="T98" s="140">
        <f t="shared" si="80"/>
        <v>5.9996674494102722E-3</v>
      </c>
      <c r="U98" s="140">
        <f t="shared" si="80"/>
        <v>6.2352318970201638E-3</v>
      </c>
      <c r="V98" s="140">
        <f t="shared" si="80"/>
        <v>7.904238523666585E-3</v>
      </c>
      <c r="W98" s="140">
        <f t="shared" ref="W98" si="81">IF(W6=0,0,W6/W$4)</f>
        <v>7.8778269371010904E-3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0.62549755024497788</v>
      </c>
      <c r="C99" s="140">
        <f t="shared" si="82"/>
        <v>0.61578583011437038</v>
      </c>
      <c r="D99" s="140">
        <f t="shared" si="82"/>
        <v>0.61507863201958179</v>
      </c>
      <c r="E99" s="140">
        <f t="shared" si="82"/>
        <v>0.6190365721295209</v>
      </c>
      <c r="F99" s="140">
        <f t="shared" si="82"/>
        <v>0.60995314173509463</v>
      </c>
      <c r="G99" s="140">
        <f t="shared" si="82"/>
        <v>0.59630157351842705</v>
      </c>
      <c r="H99" s="140">
        <f t="shared" si="82"/>
        <v>0.59093439802097225</v>
      </c>
      <c r="I99" s="140">
        <f t="shared" si="82"/>
        <v>0.59683717715661277</v>
      </c>
      <c r="J99" s="140">
        <f t="shared" si="82"/>
        <v>0.60386560089160102</v>
      </c>
      <c r="K99" s="140">
        <f t="shared" si="82"/>
        <v>0.61474250001747133</v>
      </c>
      <c r="L99" s="140">
        <f t="shared" si="82"/>
        <v>0.59808672658165019</v>
      </c>
      <c r="M99" s="140">
        <f t="shared" si="82"/>
        <v>0.60091893265597984</v>
      </c>
      <c r="N99" s="140">
        <f t="shared" si="82"/>
        <v>0.59204952741172534</v>
      </c>
      <c r="O99" s="140">
        <f t="shared" si="82"/>
        <v>0.58599870467837323</v>
      </c>
      <c r="P99" s="140">
        <f t="shared" si="82"/>
        <v>0.58261832414813963</v>
      </c>
      <c r="Q99" s="140">
        <f t="shared" si="82"/>
        <v>0.58841328101473078</v>
      </c>
      <c r="R99" s="140">
        <f t="shared" ref="R99:V99" si="83">IF(R7=0,0,R7/R$4)</f>
        <v>0.58449998201658282</v>
      </c>
      <c r="S99" s="140">
        <f t="shared" si="83"/>
        <v>0.58209721863692832</v>
      </c>
      <c r="T99" s="140">
        <f t="shared" si="83"/>
        <v>0.57883018963608746</v>
      </c>
      <c r="U99" s="140">
        <f t="shared" si="83"/>
        <v>0.58586865954660139</v>
      </c>
      <c r="V99" s="140">
        <f t="shared" si="83"/>
        <v>0.77931195869339731</v>
      </c>
      <c r="W99" s="140">
        <f t="shared" ref="W99" si="84">IF(W7=0,0,W7/W$4)</f>
        <v>0.75676108680958309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9.16712600556603E-2</v>
      </c>
      <c r="C100" s="140">
        <f t="shared" si="85"/>
        <v>9.0990360870587747E-2</v>
      </c>
      <c r="D100" s="140">
        <f t="shared" si="85"/>
        <v>9.0730752225964523E-2</v>
      </c>
      <c r="E100" s="140">
        <f t="shared" si="85"/>
        <v>9.0585249069843568E-2</v>
      </c>
      <c r="F100" s="140">
        <f t="shared" si="85"/>
        <v>8.8072036209945026E-2</v>
      </c>
      <c r="G100" s="140">
        <f t="shared" si="85"/>
        <v>8.5913541150239234E-2</v>
      </c>
      <c r="H100" s="140">
        <f t="shared" si="85"/>
        <v>8.396010400499393E-2</v>
      </c>
      <c r="I100" s="140">
        <f t="shared" si="85"/>
        <v>8.0526491191867514E-2</v>
      </c>
      <c r="J100" s="140">
        <f t="shared" si="85"/>
        <v>7.9081410140276712E-2</v>
      </c>
      <c r="K100" s="140">
        <f t="shared" si="85"/>
        <v>7.9929321276652962E-2</v>
      </c>
      <c r="L100" s="140">
        <f t="shared" si="85"/>
        <v>7.8921854133474606E-2</v>
      </c>
      <c r="M100" s="140">
        <f t="shared" si="85"/>
        <v>7.5720528685789476E-2</v>
      </c>
      <c r="N100" s="140">
        <f t="shared" si="85"/>
        <v>7.2689494811434857E-2</v>
      </c>
      <c r="O100" s="140">
        <f t="shared" si="85"/>
        <v>7.1621571609904011E-2</v>
      </c>
      <c r="P100" s="140">
        <f t="shared" si="85"/>
        <v>7.023291367529684E-2</v>
      </c>
      <c r="Q100" s="140">
        <f t="shared" si="85"/>
        <v>7.0958641920976326E-2</v>
      </c>
      <c r="R100" s="140">
        <f t="shared" ref="R100:V100" si="86">IF(R8=0,0,R8/R$4)</f>
        <v>6.9982391437733507E-2</v>
      </c>
      <c r="S100" s="140">
        <f t="shared" si="86"/>
        <v>7.076757312809473E-2</v>
      </c>
      <c r="T100" s="140">
        <f t="shared" si="86"/>
        <v>6.7213255157128546E-2</v>
      </c>
      <c r="U100" s="140">
        <f t="shared" si="86"/>
        <v>6.4938235918903284E-2</v>
      </c>
      <c r="V100" s="140">
        <f t="shared" si="86"/>
        <v>6.0594939656609684E-2</v>
      </c>
      <c r="W100" s="140">
        <f t="shared" ref="W100" si="87">IF(W8=0,0,W8/W$4)</f>
        <v>6.2097828783526141E-2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6.8425959413344714E-2</v>
      </c>
      <c r="C101" s="124">
        <f t="shared" si="88"/>
        <v>7.0997797946076441E-2</v>
      </c>
      <c r="D101" s="124">
        <f t="shared" si="88"/>
        <v>7.1564735888718284E-2</v>
      </c>
      <c r="E101" s="124">
        <f t="shared" si="88"/>
        <v>7.3407435749255789E-2</v>
      </c>
      <c r="F101" s="124">
        <f t="shared" si="88"/>
        <v>7.3280759991672065E-2</v>
      </c>
      <c r="G101" s="124">
        <f t="shared" si="88"/>
        <v>7.3534033825898723E-2</v>
      </c>
      <c r="H101" s="124">
        <f t="shared" si="88"/>
        <v>7.4676168489840072E-2</v>
      </c>
      <c r="I101" s="124">
        <f t="shared" si="88"/>
        <v>7.4738465820589378E-2</v>
      </c>
      <c r="J101" s="124">
        <f t="shared" si="88"/>
        <v>7.5983399711869959E-2</v>
      </c>
      <c r="K101" s="124">
        <f t="shared" si="88"/>
        <v>7.5438776840861158E-2</v>
      </c>
      <c r="L101" s="124">
        <f t="shared" si="88"/>
        <v>7.6098670962595288E-2</v>
      </c>
      <c r="M101" s="124">
        <f t="shared" si="88"/>
        <v>7.5380109704735423E-2</v>
      </c>
      <c r="N101" s="124">
        <f t="shared" si="88"/>
        <v>7.6343080616216225E-2</v>
      </c>
      <c r="O101" s="124">
        <f t="shared" si="88"/>
        <v>7.5708852761165152E-2</v>
      </c>
      <c r="P101" s="124">
        <f t="shared" si="88"/>
        <v>7.2910289158496636E-2</v>
      </c>
      <c r="Q101" s="124">
        <f t="shared" si="88"/>
        <v>7.0472127527061543E-2</v>
      </c>
      <c r="R101" s="124">
        <f t="shared" ref="R101:V101" si="89">IF(R9=0,0,R9/R$4)</f>
        <v>6.5864033135555389E-2</v>
      </c>
      <c r="S101" s="124">
        <f t="shared" si="89"/>
        <v>6.4185219408371949E-2</v>
      </c>
      <c r="T101" s="124">
        <f t="shared" si="89"/>
        <v>6.1927350594264893E-2</v>
      </c>
      <c r="U101" s="124">
        <f t="shared" si="89"/>
        <v>6.1611193957406572E-2</v>
      </c>
      <c r="V101" s="124">
        <f t="shared" si="89"/>
        <v>5.6357158523818417E-2</v>
      </c>
      <c r="W101" s="124">
        <f t="shared" ref="W101" si="90">IF(W9=0,0,W9/W$4)</f>
        <v>5.7961399145897791E-2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1.1193650034731743E-4</v>
      </c>
      <c r="E102" s="140">
        <f t="shared" si="91"/>
        <v>8.3460006706264007E-4</v>
      </c>
      <c r="F102" s="140">
        <f t="shared" si="91"/>
        <v>1.5442767992976663E-3</v>
      </c>
      <c r="G102" s="140">
        <f t="shared" si="91"/>
        <v>1.9414135397320066E-3</v>
      </c>
      <c r="H102" s="140">
        <f t="shared" si="91"/>
        <v>1.9520069544682456E-3</v>
      </c>
      <c r="I102" s="140">
        <f t="shared" si="91"/>
        <v>2.0822774201549378E-3</v>
      </c>
      <c r="J102" s="140">
        <f t="shared" si="91"/>
        <v>2.2883031573458909E-3</v>
      </c>
      <c r="K102" s="140">
        <f t="shared" si="91"/>
        <v>2.5474064741299114E-3</v>
      </c>
      <c r="L102" s="140">
        <f t="shared" si="91"/>
        <v>2.7653310567219511E-3</v>
      </c>
      <c r="M102" s="140">
        <f t="shared" si="91"/>
        <v>3.1545492244342086E-3</v>
      </c>
      <c r="N102" s="140">
        <f t="shared" si="91"/>
        <v>3.0802538784925997E-3</v>
      </c>
      <c r="O102" s="140">
        <f t="shared" si="91"/>
        <v>3.1457665229218585E-3</v>
      </c>
      <c r="P102" s="140">
        <f t="shared" si="91"/>
        <v>3.1593030701757502E-3</v>
      </c>
      <c r="Q102" s="140">
        <f t="shared" si="91"/>
        <v>3.1261137651546105E-3</v>
      </c>
      <c r="R102" s="140">
        <f t="shared" ref="R102:V102" si="92">IF(R10=0,0,R10/R$4)</f>
        <v>3.1778678245172522E-3</v>
      </c>
      <c r="S102" s="140">
        <f t="shared" si="92"/>
        <v>3.3057181420110006E-3</v>
      </c>
      <c r="T102" s="140">
        <f t="shared" si="92"/>
        <v>3.3285123544329275E-3</v>
      </c>
      <c r="U102" s="140">
        <f t="shared" si="92"/>
        <v>3.7487796749258642E-3</v>
      </c>
      <c r="V102" s="140">
        <f t="shared" si="92"/>
        <v>3.8513168156499226E-3</v>
      </c>
      <c r="W102" s="140">
        <f t="shared" ref="W102" si="93">IF(W10=0,0,W10/W$4)</f>
        <v>4.2520441306055342E-3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6.8425959413344714E-2</v>
      </c>
      <c r="C103" s="140">
        <f t="shared" si="94"/>
        <v>7.0997797946076441E-2</v>
      </c>
      <c r="D103" s="140">
        <f t="shared" si="94"/>
        <v>7.1452799388370958E-2</v>
      </c>
      <c r="E103" s="140">
        <f t="shared" si="94"/>
        <v>7.2572835682193151E-2</v>
      </c>
      <c r="F103" s="140">
        <f t="shared" si="94"/>
        <v>7.1736483192374398E-2</v>
      </c>
      <c r="G103" s="140">
        <f t="shared" si="94"/>
        <v>7.1592620286166711E-2</v>
      </c>
      <c r="H103" s="140">
        <f t="shared" si="94"/>
        <v>7.272416153537184E-2</v>
      </c>
      <c r="I103" s="140">
        <f t="shared" si="94"/>
        <v>7.2656188400434446E-2</v>
      </c>
      <c r="J103" s="140">
        <f t="shared" si="94"/>
        <v>7.3695096554524067E-2</v>
      </c>
      <c r="K103" s="140">
        <f t="shared" si="94"/>
        <v>7.289137036673124E-2</v>
      </c>
      <c r="L103" s="140">
        <f t="shared" si="94"/>
        <v>7.3333339905873332E-2</v>
      </c>
      <c r="M103" s="140">
        <f t="shared" si="94"/>
        <v>7.2225560480301224E-2</v>
      </c>
      <c r="N103" s="140">
        <f t="shared" si="94"/>
        <v>7.3262826737723621E-2</v>
      </c>
      <c r="O103" s="140">
        <f t="shared" si="94"/>
        <v>7.2563086238243299E-2</v>
      </c>
      <c r="P103" s="140">
        <f t="shared" si="94"/>
        <v>6.9750986088320879E-2</v>
      </c>
      <c r="Q103" s="140">
        <f t="shared" si="94"/>
        <v>6.7346013761906937E-2</v>
      </c>
      <c r="R103" s="140">
        <f t="shared" ref="R103:V103" si="95">IF(R11=0,0,R11/R$4)</f>
        <v>6.2686165311038142E-2</v>
      </c>
      <c r="S103" s="140">
        <f t="shared" si="95"/>
        <v>6.087950126636095E-2</v>
      </c>
      <c r="T103" s="140">
        <f t="shared" si="95"/>
        <v>5.8598838239831967E-2</v>
      </c>
      <c r="U103" s="140">
        <f t="shared" si="95"/>
        <v>5.7862414282480713E-2</v>
      </c>
      <c r="V103" s="140">
        <f t="shared" si="95"/>
        <v>5.2505841708168494E-2</v>
      </c>
      <c r="W103" s="140">
        <f t="shared" ref="W103" si="96">IF(W11=0,0,W11/W$4)</f>
        <v>5.3709355015292261E-2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0.20676724334850702</v>
      </c>
      <c r="C105" s="124">
        <f t="shared" si="100"/>
        <v>0.21494536821549279</v>
      </c>
      <c r="D105" s="124">
        <f t="shared" si="100"/>
        <v>0.21504058451441865</v>
      </c>
      <c r="E105" s="124">
        <f t="shared" si="100"/>
        <v>0.20929470865523159</v>
      </c>
      <c r="F105" s="124">
        <f t="shared" si="100"/>
        <v>0.22126649721347458</v>
      </c>
      <c r="G105" s="124">
        <f t="shared" si="100"/>
        <v>0.23667874532991476</v>
      </c>
      <c r="H105" s="124">
        <f t="shared" si="100"/>
        <v>0.24250532078394901</v>
      </c>
      <c r="I105" s="124">
        <f t="shared" si="100"/>
        <v>0.23952063983898753</v>
      </c>
      <c r="J105" s="124">
        <f t="shared" si="100"/>
        <v>0.23270889474412071</v>
      </c>
      <c r="K105" s="124">
        <f t="shared" si="100"/>
        <v>0.22175692392274693</v>
      </c>
      <c r="L105" s="124">
        <f t="shared" si="100"/>
        <v>0.2389460431257136</v>
      </c>
      <c r="M105" s="124">
        <f t="shared" si="100"/>
        <v>0.24024532309663643</v>
      </c>
      <c r="N105" s="124">
        <f t="shared" si="100"/>
        <v>0.25124026826961232</v>
      </c>
      <c r="O105" s="124">
        <f t="shared" si="100"/>
        <v>0.25900778703988769</v>
      </c>
      <c r="P105" s="124">
        <f t="shared" si="100"/>
        <v>0.26667127014209308</v>
      </c>
      <c r="Q105" s="124">
        <f t="shared" si="100"/>
        <v>0.26276703583351241</v>
      </c>
      <c r="R105" s="124">
        <f t="shared" ref="R105:V105" si="101">IF(R13=0,0,R13/R$4)</f>
        <v>0.27260776232668105</v>
      </c>
      <c r="S105" s="124">
        <f t="shared" si="101"/>
        <v>0.27647168348048906</v>
      </c>
      <c r="T105" s="124">
        <f t="shared" si="101"/>
        <v>0.28602953716310892</v>
      </c>
      <c r="U105" s="124">
        <f t="shared" si="101"/>
        <v>0.28134667868006863</v>
      </c>
      <c r="V105" s="124">
        <f t="shared" si="101"/>
        <v>9.5831704602508047E-2</v>
      </c>
      <c r="W105" s="124">
        <f t="shared" ref="W105" si="102">IF(W13=0,0,W13/W$4)</f>
        <v>0.11530185832389185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3.6012203539651376E-3</v>
      </c>
      <c r="C106" s="140">
        <f t="shared" si="103"/>
        <v>3.7163683949050447E-3</v>
      </c>
      <c r="D106" s="140">
        <f t="shared" si="103"/>
        <v>3.3659933801970577E-3</v>
      </c>
      <c r="E106" s="140">
        <f t="shared" si="103"/>
        <v>3.6655860546735567E-3</v>
      </c>
      <c r="F106" s="140">
        <f t="shared" si="103"/>
        <v>4.463506795158256E-3</v>
      </c>
      <c r="G106" s="140">
        <f t="shared" si="103"/>
        <v>4.4536295552266882E-3</v>
      </c>
      <c r="H106" s="140">
        <f t="shared" si="103"/>
        <v>4.8035666458102781E-3</v>
      </c>
      <c r="I106" s="140">
        <f t="shared" si="103"/>
        <v>5.2571777656951158E-3</v>
      </c>
      <c r="J106" s="140">
        <f t="shared" si="103"/>
        <v>5.3798201367868861E-3</v>
      </c>
      <c r="K106" s="140">
        <f t="shared" si="103"/>
        <v>5.5014935477715552E-3</v>
      </c>
      <c r="L106" s="140">
        <f t="shared" si="103"/>
        <v>6.5149305554701772E-3</v>
      </c>
      <c r="M106" s="140">
        <f t="shared" si="103"/>
        <v>5.8950397856590946E-3</v>
      </c>
      <c r="N106" s="140">
        <f t="shared" si="103"/>
        <v>4.5581771498488417E-3</v>
      </c>
      <c r="O106" s="140">
        <f t="shared" si="103"/>
        <v>4.5211643210318576E-3</v>
      </c>
      <c r="P106" s="140">
        <f t="shared" si="103"/>
        <v>4.5179047834229338E-3</v>
      </c>
      <c r="Q106" s="140">
        <f t="shared" si="103"/>
        <v>4.2655664346821619E-3</v>
      </c>
      <c r="R106" s="140">
        <f t="shared" ref="R106:V106" si="104">IF(R14=0,0,R14/R$4)</f>
        <v>4.3322580169983058E-3</v>
      </c>
      <c r="S106" s="140">
        <f t="shared" si="104"/>
        <v>4.0979998371649265E-3</v>
      </c>
      <c r="T106" s="140">
        <f t="shared" si="104"/>
        <v>3.9527648291862076E-3</v>
      </c>
      <c r="U106" s="140">
        <f t="shared" si="104"/>
        <v>3.6889673784119134E-3</v>
      </c>
      <c r="V106" s="140">
        <f t="shared" si="104"/>
        <v>2.2078027950069483E-3</v>
      </c>
      <c r="W106" s="140">
        <f t="shared" ref="W106" si="105">IF(W14=0,0,W14/W$4)</f>
        <v>2.9713398808436957E-3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0.12588174243358422</v>
      </c>
      <c r="C107" s="140">
        <f t="shared" si="106"/>
        <v>0.13113414212262481</v>
      </c>
      <c r="D107" s="140">
        <f t="shared" si="106"/>
        <v>0.1308420899929674</v>
      </c>
      <c r="E107" s="140">
        <f t="shared" si="106"/>
        <v>0.12728913172241435</v>
      </c>
      <c r="F107" s="140">
        <f t="shared" si="106"/>
        <v>0.12905374670233485</v>
      </c>
      <c r="G107" s="140">
        <f t="shared" si="106"/>
        <v>0.13361907083229807</v>
      </c>
      <c r="H107" s="140">
        <f t="shared" si="106"/>
        <v>0.13559328874247936</v>
      </c>
      <c r="I107" s="140">
        <f t="shared" si="106"/>
        <v>0.13336012024741975</v>
      </c>
      <c r="J107" s="140">
        <f t="shared" si="106"/>
        <v>0.12623587111604789</v>
      </c>
      <c r="K107" s="140">
        <f t="shared" si="106"/>
        <v>0.11890385974656607</v>
      </c>
      <c r="L107" s="140">
        <f t="shared" si="106"/>
        <v>0.12593066004259507</v>
      </c>
      <c r="M107" s="140">
        <f t="shared" si="106"/>
        <v>0.13079997189135006</v>
      </c>
      <c r="N107" s="140">
        <f t="shared" si="106"/>
        <v>0.13393806399537964</v>
      </c>
      <c r="O107" s="140">
        <f t="shared" si="106"/>
        <v>0.13898570962973367</v>
      </c>
      <c r="P107" s="140">
        <f t="shared" si="106"/>
        <v>0.13957543567811082</v>
      </c>
      <c r="Q107" s="140">
        <f t="shared" si="106"/>
        <v>0.13822379161433754</v>
      </c>
      <c r="R107" s="140">
        <f t="shared" ref="R107:V107" si="107">IF(R15=0,0,R15/R$4)</f>
        <v>0.14950802984882591</v>
      </c>
      <c r="S107" s="140">
        <f t="shared" si="107"/>
        <v>0.15269593172459761</v>
      </c>
      <c r="T107" s="140">
        <f t="shared" si="107"/>
        <v>0.1540892240477961</v>
      </c>
      <c r="U107" s="140">
        <f t="shared" si="107"/>
        <v>0.1470160546275299</v>
      </c>
      <c r="V107" s="140">
        <f t="shared" si="107"/>
        <v>5.0855940974020811E-2</v>
      </c>
      <c r="W107" s="140">
        <f t="shared" ref="W107" si="108">IF(W15=0,0,W15/W$4)</f>
        <v>7.3541641817055192E-2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7.7284280560957638E-2</v>
      </c>
      <c r="C108" s="140">
        <f t="shared" si="109"/>
        <v>8.0094857697962901E-2</v>
      </c>
      <c r="D108" s="140">
        <f t="shared" si="109"/>
        <v>8.083250114125419E-2</v>
      </c>
      <c r="E108" s="140">
        <f t="shared" si="109"/>
        <v>7.8339990878143681E-2</v>
      </c>
      <c r="F108" s="140">
        <f t="shared" si="109"/>
        <v>8.7749243715981445E-2</v>
      </c>
      <c r="G108" s="140">
        <f t="shared" si="109"/>
        <v>9.8606044942390003E-2</v>
      </c>
      <c r="H108" s="140">
        <f t="shared" si="109"/>
        <v>0.10210846539565938</v>
      </c>
      <c r="I108" s="140">
        <f t="shared" si="109"/>
        <v>0.10090334182587266</v>
      </c>
      <c r="J108" s="140">
        <f t="shared" si="109"/>
        <v>0.10109320349128594</v>
      </c>
      <c r="K108" s="140">
        <f t="shared" si="109"/>
        <v>9.7351570628409281E-2</v>
      </c>
      <c r="L108" s="140">
        <f t="shared" si="109"/>
        <v>0.10650045252764838</v>
      </c>
      <c r="M108" s="140">
        <f t="shared" si="109"/>
        <v>0.10355031141962728</v>
      </c>
      <c r="N108" s="140">
        <f t="shared" si="109"/>
        <v>0.11274402712438385</v>
      </c>
      <c r="O108" s="140">
        <f t="shared" si="109"/>
        <v>0.11550091308912216</v>
      </c>
      <c r="P108" s="140">
        <f t="shared" si="109"/>
        <v>0.12257792968055939</v>
      </c>
      <c r="Q108" s="140">
        <f t="shared" si="109"/>
        <v>0.12027767778449268</v>
      </c>
      <c r="R108" s="140">
        <f t="shared" ref="R108:V108" si="110">IF(R16=0,0,R16/R$4)</f>
        <v>0.11876747446085688</v>
      </c>
      <c r="S108" s="140">
        <f t="shared" si="110"/>
        <v>0.11967775191872658</v>
      </c>
      <c r="T108" s="140">
        <f t="shared" si="110"/>
        <v>0.1279875482861266</v>
      </c>
      <c r="U108" s="140">
        <f t="shared" si="110"/>
        <v>0.1306416566741268</v>
      </c>
      <c r="V108" s="140">
        <f t="shared" si="110"/>
        <v>4.2767960833480285E-2</v>
      </c>
      <c r="W108" s="140">
        <f t="shared" ref="W108" si="111">IF(W16=0,0,W16/W$4)</f>
        <v>3.8788876625992973E-2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0.81689161895859386</v>
      </c>
      <c r="C110" s="139">
        <f t="shared" si="115"/>
        <v>0.80238917074075411</v>
      </c>
      <c r="D110" s="139">
        <f t="shared" si="115"/>
        <v>0.82398919966437778</v>
      </c>
      <c r="E110" s="139">
        <f t="shared" si="115"/>
        <v>0.81141445680200763</v>
      </c>
      <c r="F110" s="139">
        <f t="shared" si="115"/>
        <v>0.80623223100242447</v>
      </c>
      <c r="G110" s="139">
        <f t="shared" si="115"/>
        <v>0.81760971410130923</v>
      </c>
      <c r="H110" s="139">
        <f t="shared" si="115"/>
        <v>0.81893737384130172</v>
      </c>
      <c r="I110" s="139">
        <f t="shared" si="115"/>
        <v>0.82379209953148647</v>
      </c>
      <c r="J110" s="139">
        <f t="shared" si="115"/>
        <v>0.81383741913827723</v>
      </c>
      <c r="K110" s="139">
        <f t="shared" si="115"/>
        <v>0.82458891583367511</v>
      </c>
      <c r="L110" s="139">
        <f t="shared" si="115"/>
        <v>0.7980454839932456</v>
      </c>
      <c r="M110" s="139">
        <f t="shared" si="115"/>
        <v>0.7931076481519358</v>
      </c>
      <c r="N110" s="139">
        <f t="shared" si="115"/>
        <v>0.7994324439009185</v>
      </c>
      <c r="O110" s="139">
        <f t="shared" si="115"/>
        <v>0.81571372508742634</v>
      </c>
      <c r="P110" s="139">
        <f t="shared" si="115"/>
        <v>0.81170962145459336</v>
      </c>
      <c r="Q110" s="139">
        <f t="shared" si="115"/>
        <v>0.80229019681984137</v>
      </c>
      <c r="R110" s="139">
        <f t="shared" ref="R110:V110" si="116">IF(R18=0,0,R18/R$17)</f>
        <v>0.81296883133237652</v>
      </c>
      <c r="S110" s="139">
        <f t="shared" si="116"/>
        <v>0.81352485347609094</v>
      </c>
      <c r="T110" s="139">
        <f t="shared" si="116"/>
        <v>0.81524690126054633</v>
      </c>
      <c r="U110" s="139">
        <f t="shared" si="116"/>
        <v>0.81521668093651867</v>
      </c>
      <c r="V110" s="139">
        <f t="shared" si="116"/>
        <v>0.83497635108681945</v>
      </c>
      <c r="W110" s="139">
        <f t="shared" ref="W110" si="117">IF(W18=0,0,W18/W$17)</f>
        <v>0.84883353568684616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4.9090711371492429E-2</v>
      </c>
      <c r="C111" s="140">
        <f t="shared" si="118"/>
        <v>5.0985707687954095E-2</v>
      </c>
      <c r="D111" s="140">
        <f t="shared" si="118"/>
        <v>5.2970194068157478E-2</v>
      </c>
      <c r="E111" s="140">
        <f t="shared" si="118"/>
        <v>5.4916240367259637E-2</v>
      </c>
      <c r="F111" s="140">
        <f t="shared" si="118"/>
        <v>5.8579242302591178E-2</v>
      </c>
      <c r="G111" s="140">
        <f t="shared" si="118"/>
        <v>6.1184869647548122E-2</v>
      </c>
      <c r="H111" s="140">
        <f t="shared" si="118"/>
        <v>6.396221284646933E-2</v>
      </c>
      <c r="I111" s="140">
        <f t="shared" si="118"/>
        <v>6.7546137267215103E-2</v>
      </c>
      <c r="J111" s="140">
        <f t="shared" si="118"/>
        <v>6.5011161857158759E-2</v>
      </c>
      <c r="K111" s="140">
        <f t="shared" si="118"/>
        <v>6.9474765109605804E-2</v>
      </c>
      <c r="L111" s="140">
        <f t="shared" si="118"/>
        <v>6.4441195286412525E-2</v>
      </c>
      <c r="M111" s="140">
        <f t="shared" si="118"/>
        <v>5.5174644567385016E-2</v>
      </c>
      <c r="N111" s="140">
        <f t="shared" si="118"/>
        <v>5.147378403357071E-2</v>
      </c>
      <c r="O111" s="140">
        <f t="shared" si="118"/>
        <v>4.8193795193064111E-2</v>
      </c>
      <c r="P111" s="140">
        <f t="shared" si="118"/>
        <v>4.5936641445860321E-2</v>
      </c>
      <c r="Q111" s="140">
        <f t="shared" si="118"/>
        <v>4.6966887347271863E-2</v>
      </c>
      <c r="R111" s="140">
        <f t="shared" ref="R111:V111" si="119">IF(R19=0,0,R19/R$17)</f>
        <v>4.4691937936121862E-2</v>
      </c>
      <c r="S111" s="140">
        <f t="shared" si="119"/>
        <v>4.6265100910204013E-2</v>
      </c>
      <c r="T111" s="140">
        <f t="shared" si="119"/>
        <v>4.9671173487474969E-2</v>
      </c>
      <c r="U111" s="140">
        <f t="shared" si="119"/>
        <v>4.8022371194828536E-2</v>
      </c>
      <c r="V111" s="140">
        <f t="shared" si="119"/>
        <v>4.477449887180409E-2</v>
      </c>
      <c r="W111" s="140">
        <f t="shared" ref="W111" si="120">IF(W19=0,0,W19/W$17)</f>
        <v>4.5087576544296529E-2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0.7678009075871014</v>
      </c>
      <c r="C112" s="140">
        <f t="shared" si="121"/>
        <v>0.75140346305280004</v>
      </c>
      <c r="D112" s="140">
        <f t="shared" si="121"/>
        <v>0.77101900559622027</v>
      </c>
      <c r="E112" s="140">
        <f t="shared" si="121"/>
        <v>0.75649821643474802</v>
      </c>
      <c r="F112" s="140">
        <f t="shared" si="121"/>
        <v>0.74765298869983321</v>
      </c>
      <c r="G112" s="140">
        <f t="shared" si="121"/>
        <v>0.75642484445376112</v>
      </c>
      <c r="H112" s="140">
        <f t="shared" si="121"/>
        <v>0.75497516099483231</v>
      </c>
      <c r="I112" s="140">
        <f t="shared" si="121"/>
        <v>0.75624596226427132</v>
      </c>
      <c r="J112" s="140">
        <f t="shared" si="121"/>
        <v>0.7488262572811184</v>
      </c>
      <c r="K112" s="140">
        <f t="shared" si="121"/>
        <v>0.75511415072406929</v>
      </c>
      <c r="L112" s="140">
        <f t="shared" si="121"/>
        <v>0.73360428870683314</v>
      </c>
      <c r="M112" s="140">
        <f t="shared" si="121"/>
        <v>0.73793300358455083</v>
      </c>
      <c r="N112" s="140">
        <f t="shared" si="121"/>
        <v>0.74795865986734777</v>
      </c>
      <c r="O112" s="140">
        <f t="shared" si="121"/>
        <v>0.76751992989436224</v>
      </c>
      <c r="P112" s="140">
        <f t="shared" si="121"/>
        <v>0.76577298000873306</v>
      </c>
      <c r="Q112" s="140">
        <f t="shared" si="121"/>
        <v>0.75532330947256954</v>
      </c>
      <c r="R112" s="140">
        <f t="shared" ref="R112:V112" si="122">IF(R20=0,0,R20/R$17)</f>
        <v>0.7682768933962546</v>
      </c>
      <c r="S112" s="140">
        <f t="shared" si="122"/>
        <v>0.76725975256588685</v>
      </c>
      <c r="T112" s="140">
        <f t="shared" si="122"/>
        <v>0.76557572777307137</v>
      </c>
      <c r="U112" s="140">
        <f t="shared" si="122"/>
        <v>0.76719430974169012</v>
      </c>
      <c r="V112" s="140">
        <f t="shared" si="122"/>
        <v>0.79020185221501538</v>
      </c>
      <c r="W112" s="140">
        <f t="shared" ref="W112" si="123">IF(W20=0,0,W20/W$17)</f>
        <v>0.80374595914254965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0.10272765467112072</v>
      </c>
      <c r="C113" s="124">
        <f t="shared" si="124"/>
        <v>0.10258167013625394</v>
      </c>
      <c r="D113" s="124">
        <f t="shared" si="124"/>
        <v>9.1900467695498617E-2</v>
      </c>
      <c r="E113" s="124">
        <f t="shared" si="124"/>
        <v>9.517372147539746E-2</v>
      </c>
      <c r="F113" s="124">
        <f t="shared" si="124"/>
        <v>0.1079864658317045</v>
      </c>
      <c r="G113" s="124">
        <f t="shared" si="124"/>
        <v>8.9041450879747464E-2</v>
      </c>
      <c r="H113" s="124">
        <f t="shared" si="124"/>
        <v>8.0736610653870694E-2</v>
      </c>
      <c r="I113" s="124">
        <f t="shared" si="124"/>
        <v>7.3166808301999856E-2</v>
      </c>
      <c r="J113" s="124">
        <f t="shared" si="124"/>
        <v>7.3875378573746625E-2</v>
      </c>
      <c r="K113" s="124">
        <f t="shared" si="124"/>
        <v>7.5887512495929538E-2</v>
      </c>
      <c r="L113" s="124">
        <f t="shared" si="124"/>
        <v>9.5254226719441615E-2</v>
      </c>
      <c r="M113" s="124">
        <f t="shared" si="124"/>
        <v>0.104616310364429</v>
      </c>
      <c r="N113" s="124">
        <f t="shared" si="124"/>
        <v>9.1747691338509685E-2</v>
      </c>
      <c r="O113" s="124">
        <f t="shared" si="124"/>
        <v>9.7408066817014652E-2</v>
      </c>
      <c r="P113" s="124">
        <f t="shared" si="124"/>
        <v>9.6245096017630719E-2</v>
      </c>
      <c r="Q113" s="124">
        <f t="shared" si="124"/>
        <v>0.10278348906804617</v>
      </c>
      <c r="R113" s="124">
        <f t="shared" ref="R113:V113" si="125">IF(R21=0,0,R21/R$17)</f>
        <v>9.7569091322588355E-2</v>
      </c>
      <c r="S113" s="124">
        <f t="shared" si="125"/>
        <v>0.10001621363388033</v>
      </c>
      <c r="T113" s="124">
        <f t="shared" si="125"/>
        <v>0.10286457255999934</v>
      </c>
      <c r="U113" s="124">
        <f t="shared" si="125"/>
        <v>9.9540909105275563E-2</v>
      </c>
      <c r="V113" s="124">
        <f t="shared" si="125"/>
        <v>9.5798631200296289E-2</v>
      </c>
      <c r="W113" s="124">
        <f t="shared" ref="W113" si="126">IF(W21=0,0,W21/W$17)</f>
        <v>7.6672245297905936E-2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2.6030571686263783E-3</v>
      </c>
      <c r="C114" s="124">
        <f t="shared" si="127"/>
        <v>2.7574128927563089E-3</v>
      </c>
      <c r="D114" s="124">
        <f t="shared" si="127"/>
        <v>2.5219591399487725E-3</v>
      </c>
      <c r="E114" s="124">
        <f t="shared" si="127"/>
        <v>1.9266692984940689E-3</v>
      </c>
      <c r="F114" s="124">
        <f t="shared" si="127"/>
        <v>1.8729811386281475E-3</v>
      </c>
      <c r="G114" s="124">
        <f t="shared" si="127"/>
        <v>1.910564922448148E-3</v>
      </c>
      <c r="H114" s="124">
        <f t="shared" si="127"/>
        <v>1.7621467327506534E-3</v>
      </c>
      <c r="I114" s="124">
        <f t="shared" si="127"/>
        <v>1.5780592370821598E-3</v>
      </c>
      <c r="J114" s="124">
        <f t="shared" si="127"/>
        <v>1.9231700908169065E-2</v>
      </c>
      <c r="K114" s="124">
        <f t="shared" si="127"/>
        <v>1.7658935491720207E-2</v>
      </c>
      <c r="L114" s="124">
        <f t="shared" si="127"/>
        <v>1.9060189398101321E-2</v>
      </c>
      <c r="M114" s="124">
        <f t="shared" si="127"/>
        <v>1.8051747245735054E-2</v>
      </c>
      <c r="N114" s="124">
        <f t="shared" si="127"/>
        <v>2.1879261086551902E-2</v>
      </c>
      <c r="O114" s="124">
        <f t="shared" si="127"/>
        <v>1.879183879803625E-2</v>
      </c>
      <c r="P114" s="124">
        <f t="shared" si="127"/>
        <v>2.4134891873277785E-2</v>
      </c>
      <c r="Q114" s="124">
        <f t="shared" si="127"/>
        <v>2.233653122301137E-2</v>
      </c>
      <c r="R114" s="124">
        <f t="shared" ref="R114:V114" si="128">IF(R22=0,0,R22/R$17)</f>
        <v>1.888728777362916E-2</v>
      </c>
      <c r="S114" s="124">
        <f t="shared" si="128"/>
        <v>2.0987821814676195E-2</v>
      </c>
      <c r="T114" s="124">
        <f t="shared" si="128"/>
        <v>1.7984088923191845E-2</v>
      </c>
      <c r="U114" s="124">
        <f t="shared" si="128"/>
        <v>2.070540648354479E-2</v>
      </c>
      <c r="V114" s="124">
        <f t="shared" si="128"/>
        <v>1.1768400547891267E-2</v>
      </c>
      <c r="W114" s="124">
        <f t="shared" ref="W114" si="129">IF(W22=0,0,W22/W$17)</f>
        <v>1.600090130728787E-2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1.9872026117590575E-5</v>
      </c>
      <c r="C115" s="140">
        <f t="shared" si="130"/>
        <v>2.0218036483789536E-5</v>
      </c>
      <c r="D115" s="140">
        <f t="shared" si="130"/>
        <v>1.8836475813041864E-5</v>
      </c>
      <c r="E115" s="140">
        <f t="shared" si="130"/>
        <v>1.379587699216966E-5</v>
      </c>
      <c r="F115" s="140">
        <f t="shared" si="130"/>
        <v>1.4006760982736074E-5</v>
      </c>
      <c r="G115" s="140">
        <f t="shared" si="130"/>
        <v>1.5018133854296685E-5</v>
      </c>
      <c r="H115" s="140">
        <f t="shared" si="130"/>
        <v>1.4229962245660539E-5</v>
      </c>
      <c r="I115" s="140">
        <f t="shared" si="130"/>
        <v>1.1097473795899597E-5</v>
      </c>
      <c r="J115" s="140">
        <f t="shared" si="130"/>
        <v>1.811724996313512E-5</v>
      </c>
      <c r="K115" s="140">
        <f t="shared" si="130"/>
        <v>1.4906186799425103E-5</v>
      </c>
      <c r="L115" s="140">
        <f t="shared" si="130"/>
        <v>5.3253716622881485E-6</v>
      </c>
      <c r="M115" s="140">
        <f t="shared" si="130"/>
        <v>2.870338904716248E-6</v>
      </c>
      <c r="N115" s="140">
        <f t="shared" si="130"/>
        <v>2.3053678968048638E-6</v>
      </c>
      <c r="O115" s="140">
        <f t="shared" si="130"/>
        <v>2.8380781773351645E-6</v>
      </c>
      <c r="P115" s="140">
        <f t="shared" si="130"/>
        <v>3.3826227703765856E-6</v>
      </c>
      <c r="Q115" s="140">
        <f t="shared" si="130"/>
        <v>3.3220768659782059E-6</v>
      </c>
      <c r="R115" s="140">
        <f t="shared" ref="R115:V116" si="131">IF(R23=0,0,R23/R$17)</f>
        <v>9.1974569822390164E-7</v>
      </c>
      <c r="S115" s="140">
        <f t="shared" si="131"/>
        <v>1.5224642677009823E-6</v>
      </c>
      <c r="T115" s="140">
        <f t="shared" si="131"/>
        <v>2.2218990534543952E-6</v>
      </c>
      <c r="U115" s="140">
        <f t="shared" si="131"/>
        <v>2.4953565689566274E-6</v>
      </c>
      <c r="V115" s="140">
        <f t="shared" si="131"/>
        <v>3.0108580038811477E-6</v>
      </c>
      <c r="W115" s="140">
        <f t="shared" ref="W115" si="132">IF(W23=0,0,W23/W$17)</f>
        <v>5.3913687600669782E-6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2.1765622700833597E-3</v>
      </c>
      <c r="C116" s="140">
        <f t="shared" si="133"/>
        <v>2.3023755165193804E-3</v>
      </c>
      <c r="D116" s="140">
        <f t="shared" si="133"/>
        <v>2.0285729809167798E-3</v>
      </c>
      <c r="E116" s="140">
        <f t="shared" si="133"/>
        <v>1.4521618877433556E-3</v>
      </c>
      <c r="F116" s="140">
        <f t="shared" si="133"/>
        <v>1.4250207482756506E-3</v>
      </c>
      <c r="G116" s="140">
        <f t="shared" si="133"/>
        <v>1.6135663076163056E-3</v>
      </c>
      <c r="H116" s="140">
        <f t="shared" si="133"/>
        <v>1.6131434261008419E-3</v>
      </c>
      <c r="I116" s="140">
        <f t="shared" si="133"/>
        <v>1.4208028819995026E-3</v>
      </c>
      <c r="J116" s="140">
        <f t="shared" si="133"/>
        <v>2.8903826568877139E-3</v>
      </c>
      <c r="K116" s="140">
        <f t="shared" si="133"/>
        <v>2.3123115918526477E-3</v>
      </c>
      <c r="L116" s="140">
        <f t="shared" si="133"/>
        <v>1.5900328038437222E-3</v>
      </c>
      <c r="M116" s="140">
        <f t="shared" si="133"/>
        <v>1.5034326266901738E-3</v>
      </c>
      <c r="N116" s="140">
        <f t="shared" si="133"/>
        <v>1.4608413326734431E-3</v>
      </c>
      <c r="O116" s="140">
        <f t="shared" si="133"/>
        <v>1.2140744111821412E-3</v>
      </c>
      <c r="P116" s="140">
        <f t="shared" si="133"/>
        <v>1.9632087758906396E-3</v>
      </c>
      <c r="Q116" s="140">
        <f t="shared" si="133"/>
        <v>1.9051796166277405E-3</v>
      </c>
      <c r="R116" s="140">
        <f t="shared" si="131"/>
        <v>1.5675681094120054E-3</v>
      </c>
      <c r="S116" s="140">
        <f t="shared" si="131"/>
        <v>1.7425358031319181E-3</v>
      </c>
      <c r="T116" s="140">
        <f t="shared" si="131"/>
        <v>1.85068940145967E-3</v>
      </c>
      <c r="U116" s="140">
        <f t="shared" si="131"/>
        <v>2.1166050982775807E-3</v>
      </c>
      <c r="V116" s="140">
        <f t="shared" si="131"/>
        <v>2.017202265961198E-3</v>
      </c>
      <c r="W116" s="140">
        <f t="shared" ref="W116" si="134">IF(W24=0,0,W24/W$17)</f>
        <v>2.89846264562368E-3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4.0662287242542816E-4</v>
      </c>
      <c r="C117" s="140">
        <f t="shared" si="135"/>
        <v>4.3481933975313868E-4</v>
      </c>
      <c r="D117" s="140">
        <f t="shared" si="135"/>
        <v>4.7454968321895071E-4</v>
      </c>
      <c r="E117" s="140">
        <f t="shared" si="135"/>
        <v>4.6071153375854354E-4</v>
      </c>
      <c r="F117" s="140">
        <f t="shared" si="135"/>
        <v>4.33953629369761E-4</v>
      </c>
      <c r="G117" s="140">
        <f t="shared" si="135"/>
        <v>2.8198048097754591E-4</v>
      </c>
      <c r="H117" s="140">
        <f t="shared" si="135"/>
        <v>1.3477334440415074E-4</v>
      </c>
      <c r="I117" s="140">
        <f t="shared" si="135"/>
        <v>1.4615888128675781E-4</v>
      </c>
      <c r="J117" s="140">
        <f t="shared" si="135"/>
        <v>1.6323201001318215E-2</v>
      </c>
      <c r="K117" s="140">
        <f t="shared" si="135"/>
        <v>1.5331717713068132E-2</v>
      </c>
      <c r="L117" s="140">
        <f t="shared" si="135"/>
        <v>1.746483122259531E-2</v>
      </c>
      <c r="M117" s="140">
        <f t="shared" si="135"/>
        <v>1.6545444280140164E-2</v>
      </c>
      <c r="N117" s="140">
        <f t="shared" si="135"/>
        <v>2.0416114385981655E-2</v>
      </c>
      <c r="O117" s="140">
        <f t="shared" si="135"/>
        <v>1.7574926308676776E-2</v>
      </c>
      <c r="P117" s="140">
        <f t="shared" si="135"/>
        <v>2.2168300474616771E-2</v>
      </c>
      <c r="Q117" s="140">
        <f t="shared" si="135"/>
        <v>2.0428029529517649E-2</v>
      </c>
      <c r="R117" s="140">
        <f t="shared" ref="R117:V117" si="136">IF(R25=0,0,R25/R$17)</f>
        <v>1.731879991851893E-2</v>
      </c>
      <c r="S117" s="140">
        <f t="shared" si="136"/>
        <v>1.9243763547276572E-2</v>
      </c>
      <c r="T117" s="140">
        <f t="shared" si="136"/>
        <v>1.6131177622678721E-2</v>
      </c>
      <c r="U117" s="140">
        <f t="shared" si="136"/>
        <v>1.8586306028698256E-2</v>
      </c>
      <c r="V117" s="140">
        <f t="shared" si="136"/>
        <v>9.7481874239261877E-3</v>
      </c>
      <c r="W117" s="140">
        <f t="shared" ref="W117" si="137">IF(W25=0,0,W25/W$17)</f>
        <v>1.3097047292904123E-2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7.777766920165903E-2</v>
      </c>
      <c r="C118" s="124">
        <f t="shared" si="138"/>
        <v>9.2271746230235555E-2</v>
      </c>
      <c r="D118" s="124">
        <f t="shared" si="138"/>
        <v>8.1588373500174796E-2</v>
      </c>
      <c r="E118" s="124">
        <f t="shared" si="138"/>
        <v>9.1485152424100838E-2</v>
      </c>
      <c r="F118" s="124">
        <f t="shared" si="138"/>
        <v>8.3908322027242896E-2</v>
      </c>
      <c r="G118" s="124">
        <f t="shared" si="138"/>
        <v>9.1438270096495328E-2</v>
      </c>
      <c r="H118" s="124">
        <f t="shared" si="138"/>
        <v>9.8563868772076957E-2</v>
      </c>
      <c r="I118" s="124">
        <f t="shared" si="138"/>
        <v>0.10146303292943146</v>
      </c>
      <c r="J118" s="124">
        <f t="shared" si="138"/>
        <v>9.3055501379807046E-2</v>
      </c>
      <c r="K118" s="124">
        <f t="shared" si="138"/>
        <v>8.1864636178675107E-2</v>
      </c>
      <c r="L118" s="124">
        <f t="shared" si="138"/>
        <v>8.764009988921144E-2</v>
      </c>
      <c r="M118" s="124">
        <f t="shared" si="138"/>
        <v>8.4224294237900302E-2</v>
      </c>
      <c r="N118" s="124">
        <f t="shared" si="138"/>
        <v>8.6940603674019859E-2</v>
      </c>
      <c r="O118" s="124">
        <f t="shared" si="138"/>
        <v>6.8086369297522639E-2</v>
      </c>
      <c r="P118" s="124">
        <f t="shared" si="138"/>
        <v>6.7910390654498096E-2</v>
      </c>
      <c r="Q118" s="124">
        <f t="shared" si="138"/>
        <v>7.258978288910109E-2</v>
      </c>
      <c r="R118" s="124">
        <f t="shared" ref="R118:V118" si="139">IF(R26=0,0,R26/R$17)</f>
        <v>7.0574789571405949E-2</v>
      </c>
      <c r="S118" s="124">
        <f t="shared" si="139"/>
        <v>6.5471111075352445E-2</v>
      </c>
      <c r="T118" s="124">
        <f t="shared" si="139"/>
        <v>6.3904437256262533E-2</v>
      </c>
      <c r="U118" s="124">
        <f t="shared" si="139"/>
        <v>6.4537003474660987E-2</v>
      </c>
      <c r="V118" s="124">
        <f t="shared" si="139"/>
        <v>5.7456617164993048E-2</v>
      </c>
      <c r="W118" s="124">
        <f t="shared" ref="W118" si="140">IF(W26=0,0,W26/W$17)</f>
        <v>5.8493317707959992E-2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7.777766920165903E-2</v>
      </c>
      <c r="C119" s="140">
        <f t="shared" si="141"/>
        <v>9.2271746230235555E-2</v>
      </c>
      <c r="D119" s="140">
        <f t="shared" si="141"/>
        <v>8.1588373500174796E-2</v>
      </c>
      <c r="E119" s="140">
        <f t="shared" si="141"/>
        <v>9.1485152424100838E-2</v>
      </c>
      <c r="F119" s="140">
        <f t="shared" si="141"/>
        <v>8.3908322027242896E-2</v>
      </c>
      <c r="G119" s="140">
        <f t="shared" si="141"/>
        <v>9.1438270096495328E-2</v>
      </c>
      <c r="H119" s="140">
        <f t="shared" si="141"/>
        <v>9.8563868772076957E-2</v>
      </c>
      <c r="I119" s="140">
        <f t="shared" si="141"/>
        <v>0.10146303292943146</v>
      </c>
      <c r="J119" s="140">
        <f t="shared" si="141"/>
        <v>9.3055501379807046E-2</v>
      </c>
      <c r="K119" s="140">
        <f t="shared" si="141"/>
        <v>8.1864636178675107E-2</v>
      </c>
      <c r="L119" s="140">
        <f t="shared" si="141"/>
        <v>8.764009988921144E-2</v>
      </c>
      <c r="M119" s="140">
        <f t="shared" si="141"/>
        <v>8.4224294237900302E-2</v>
      </c>
      <c r="N119" s="140">
        <f t="shared" si="141"/>
        <v>8.6940603674019859E-2</v>
      </c>
      <c r="O119" s="140">
        <f t="shared" si="141"/>
        <v>6.8086369297522639E-2</v>
      </c>
      <c r="P119" s="140">
        <f t="shared" si="141"/>
        <v>6.7910390654498096E-2</v>
      </c>
      <c r="Q119" s="140">
        <f t="shared" si="141"/>
        <v>7.258978288910109E-2</v>
      </c>
      <c r="R119" s="140">
        <f t="shared" ref="R119:V119" si="142">IF(R27=0,0,R27/R$17)</f>
        <v>7.0574789571405949E-2</v>
      </c>
      <c r="S119" s="140">
        <f t="shared" si="142"/>
        <v>6.5471111075352445E-2</v>
      </c>
      <c r="T119" s="140">
        <f t="shared" si="142"/>
        <v>6.3904437256262533E-2</v>
      </c>
      <c r="U119" s="140">
        <f t="shared" si="142"/>
        <v>6.4537003474660987E-2</v>
      </c>
      <c r="V119" s="140">
        <f t="shared" si="142"/>
        <v>5.7456617164993048E-2</v>
      </c>
      <c r="W119" s="140">
        <f t="shared" ref="W119" si="143">IF(W27=0,0,W27/W$17)</f>
        <v>5.8493317707959992E-2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0.26907394429914056</v>
      </c>
      <c r="C122" s="140">
        <f>IF(C30=0,0,C30/C$29)</f>
        <v>0.26323965666371923</v>
      </c>
      <c r="D122" s="140">
        <f t="shared" ref="D122:W122" si="150">IF(D30=0,0,D30/D$29)</f>
        <v>0.27870702802526354</v>
      </c>
      <c r="E122" s="140">
        <f t="shared" si="150"/>
        <v>0.24107102755523854</v>
      </c>
      <c r="F122" s="140">
        <f t="shared" si="150"/>
        <v>0.29086286759763547</v>
      </c>
      <c r="G122" s="140">
        <f t="shared" si="150"/>
        <v>0.29986320948168815</v>
      </c>
      <c r="H122" s="140">
        <f t="shared" si="150"/>
        <v>0.23803948090894717</v>
      </c>
      <c r="I122" s="140">
        <f t="shared" si="150"/>
        <v>0.25252031422782034</v>
      </c>
      <c r="J122" s="140">
        <f t="shared" si="150"/>
        <v>0.25501020840963506</v>
      </c>
      <c r="K122" s="140">
        <f t="shared" si="150"/>
        <v>0.25746723952162603</v>
      </c>
      <c r="L122" s="140">
        <f t="shared" si="150"/>
        <v>0.29001042124251758</v>
      </c>
      <c r="M122" s="140">
        <f t="shared" si="150"/>
        <v>0.23627463675030369</v>
      </c>
      <c r="N122" s="140">
        <f t="shared" si="150"/>
        <v>0.30169972666748196</v>
      </c>
      <c r="O122" s="140">
        <f t="shared" si="150"/>
        <v>0.34076364723782826</v>
      </c>
      <c r="P122" s="140">
        <f t="shared" si="150"/>
        <v>0.29797003016023249</v>
      </c>
      <c r="Q122" s="140">
        <f t="shared" si="150"/>
        <v>0.24472886276214964</v>
      </c>
      <c r="R122" s="140">
        <f t="shared" si="150"/>
        <v>0.24785628701474957</v>
      </c>
      <c r="S122" s="140">
        <f t="shared" si="150"/>
        <v>0.25286135375275726</v>
      </c>
      <c r="T122" s="140">
        <f t="shared" si="150"/>
        <v>0.23732758821575201</v>
      </c>
      <c r="U122" s="140">
        <f t="shared" si="150"/>
        <v>0.22922669244236832</v>
      </c>
      <c r="V122" s="140">
        <f t="shared" si="150"/>
        <v>0.22263047748416487</v>
      </c>
      <c r="W122" s="140">
        <f t="shared" si="150"/>
        <v>0.21309063279032664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0.73092605570085944</v>
      </c>
      <c r="C123" s="127">
        <f>IF(C31=0,0,C31/C$29)</f>
        <v>0.73676034333628082</v>
      </c>
      <c r="D123" s="127">
        <f t="shared" ref="D123:W123" si="152">IF(D31=0,0,D31/D$29)</f>
        <v>0.72129297197473652</v>
      </c>
      <c r="E123" s="127">
        <f t="shared" si="152"/>
        <v>0.75892897244476154</v>
      </c>
      <c r="F123" s="127">
        <f t="shared" si="152"/>
        <v>0.70913713240236453</v>
      </c>
      <c r="G123" s="127">
        <f t="shared" si="152"/>
        <v>0.7001367905183119</v>
      </c>
      <c r="H123" s="127">
        <f t="shared" si="152"/>
        <v>0.76196051909105278</v>
      </c>
      <c r="I123" s="127">
        <f t="shared" si="152"/>
        <v>0.74747968577217971</v>
      </c>
      <c r="J123" s="127">
        <f t="shared" si="152"/>
        <v>0.74498979159036505</v>
      </c>
      <c r="K123" s="127">
        <f t="shared" si="152"/>
        <v>0.74253276047837402</v>
      </c>
      <c r="L123" s="127">
        <f t="shared" si="152"/>
        <v>0.70998957875748248</v>
      </c>
      <c r="M123" s="127">
        <f t="shared" si="152"/>
        <v>0.76372536324969631</v>
      </c>
      <c r="N123" s="127">
        <f t="shared" si="152"/>
        <v>0.6983002733325181</v>
      </c>
      <c r="O123" s="127">
        <f t="shared" si="152"/>
        <v>0.65923635276217185</v>
      </c>
      <c r="P123" s="127">
        <f t="shared" si="152"/>
        <v>0.70202996983976751</v>
      </c>
      <c r="Q123" s="127">
        <f t="shared" si="152"/>
        <v>0.75527113723785033</v>
      </c>
      <c r="R123" s="127">
        <f t="shared" si="152"/>
        <v>0.75214371298525051</v>
      </c>
      <c r="S123" s="127">
        <f t="shared" si="152"/>
        <v>0.7471386462472428</v>
      </c>
      <c r="T123" s="127">
        <f t="shared" si="152"/>
        <v>0.76267241178424805</v>
      </c>
      <c r="U123" s="127">
        <f t="shared" si="152"/>
        <v>0.77077330755763163</v>
      </c>
      <c r="V123" s="127">
        <f t="shared" si="152"/>
        <v>0.77736952251583513</v>
      </c>
      <c r="W123" s="127">
        <f t="shared" si="152"/>
        <v>0.7869093672096733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0.7238741850487892</v>
      </c>
      <c r="C127" s="139">
        <f t="shared" ref="C127:W127" si="155">IF(C35=0,0,C35/C$34)</f>
        <v>0.7190437573230295</v>
      </c>
      <c r="D127" s="139">
        <f t="shared" si="155"/>
        <v>0.74605267411898657</v>
      </c>
      <c r="E127" s="139">
        <f t="shared" si="155"/>
        <v>0.74318946258439922</v>
      </c>
      <c r="F127" s="139">
        <f t="shared" si="155"/>
        <v>0.72295671326503819</v>
      </c>
      <c r="G127" s="139">
        <f t="shared" si="155"/>
        <v>0.71305547632015231</v>
      </c>
      <c r="H127" s="139">
        <f t="shared" si="155"/>
        <v>0.71455861137634058</v>
      </c>
      <c r="I127" s="139">
        <f t="shared" si="155"/>
        <v>0.71805337520913892</v>
      </c>
      <c r="J127" s="139">
        <f t="shared" si="155"/>
        <v>0.72800643166928147</v>
      </c>
      <c r="K127" s="139">
        <f t="shared" si="155"/>
        <v>0.74525384964884211</v>
      </c>
      <c r="L127" s="139">
        <f t="shared" si="155"/>
        <v>0.7374000027202533</v>
      </c>
      <c r="M127" s="139">
        <f t="shared" si="155"/>
        <v>0.73759551891011688</v>
      </c>
      <c r="N127" s="139">
        <f t="shared" si="155"/>
        <v>0.72626710198358035</v>
      </c>
      <c r="O127" s="139">
        <f t="shared" si="155"/>
        <v>0.72530668885799587</v>
      </c>
      <c r="P127" s="139">
        <f t="shared" si="155"/>
        <v>0.71582812946482877</v>
      </c>
      <c r="Q127" s="139">
        <f t="shared" si="155"/>
        <v>0.73424620101309668</v>
      </c>
      <c r="R127" s="139">
        <f t="shared" si="155"/>
        <v>0.71677894038203338</v>
      </c>
      <c r="S127" s="139">
        <f t="shared" si="155"/>
        <v>0.71054085977513293</v>
      </c>
      <c r="T127" s="139">
        <f t="shared" si="155"/>
        <v>0.70536360370687923</v>
      </c>
      <c r="U127" s="139">
        <f t="shared" si="155"/>
        <v>0.70008352585745759</v>
      </c>
      <c r="V127" s="139">
        <f t="shared" si="155"/>
        <v>0.85709140946838025</v>
      </c>
      <c r="W127" s="139">
        <f t="shared" si="155"/>
        <v>0.83448962371592195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7.1672834313936794E-3</v>
      </c>
      <c r="C128" s="140">
        <f t="shared" ref="C128:W128" si="156">IF(C36=0,0,C36/C$34)</f>
        <v>6.8059107091284522E-3</v>
      </c>
      <c r="D128" s="140">
        <f t="shared" si="156"/>
        <v>7.220113156842926E-3</v>
      </c>
      <c r="E128" s="140">
        <f t="shared" si="156"/>
        <v>7.1084972056511906E-3</v>
      </c>
      <c r="F128" s="140">
        <f t="shared" si="156"/>
        <v>6.8073585696630462E-3</v>
      </c>
      <c r="G128" s="140">
        <f t="shared" si="156"/>
        <v>6.769910280936443E-3</v>
      </c>
      <c r="H128" s="140">
        <f t="shared" si="156"/>
        <v>6.9681962918921626E-3</v>
      </c>
      <c r="I128" s="140">
        <f t="shared" si="156"/>
        <v>7.0562798706900031E-3</v>
      </c>
      <c r="J128" s="140">
        <f t="shared" si="156"/>
        <v>7.1153640010316972E-3</v>
      </c>
      <c r="K128" s="140">
        <f t="shared" si="156"/>
        <v>7.0274901776100612E-3</v>
      </c>
      <c r="L128" s="140">
        <f t="shared" si="156"/>
        <v>6.9281337447191669E-3</v>
      </c>
      <c r="M128" s="140">
        <f t="shared" si="156"/>
        <v>6.679078999828056E-3</v>
      </c>
      <c r="N128" s="140">
        <f t="shared" si="156"/>
        <v>6.9894965284085855E-3</v>
      </c>
      <c r="O128" s="140">
        <f t="shared" si="156"/>
        <v>7.0593613101408411E-3</v>
      </c>
      <c r="P128" s="140">
        <f t="shared" si="156"/>
        <v>6.9493565109533416E-3</v>
      </c>
      <c r="Q128" s="140">
        <f t="shared" si="156"/>
        <v>6.6231787419122456E-3</v>
      </c>
      <c r="R128" s="140">
        <f t="shared" si="156"/>
        <v>6.4709199577259909E-3</v>
      </c>
      <c r="S128" s="140">
        <f t="shared" si="156"/>
        <v>6.0027754808157632E-3</v>
      </c>
      <c r="T128" s="140">
        <f t="shared" si="156"/>
        <v>5.5127436292181043E-3</v>
      </c>
      <c r="U128" s="140">
        <f t="shared" si="156"/>
        <v>5.6991829937373248E-3</v>
      </c>
      <c r="V128" s="140">
        <f t="shared" si="156"/>
        <v>6.7219017391068892E-3</v>
      </c>
      <c r="W128" s="140">
        <f t="shared" si="156"/>
        <v>6.4001101419478299E-3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0.61278847000315229</v>
      </c>
      <c r="C129" s="140">
        <f t="shared" ref="C129:W129" si="157">IF(C37=0,0,C37/C$34)</f>
        <v>0.61042007095840689</v>
      </c>
      <c r="D129" s="140">
        <f t="shared" si="157"/>
        <v>0.63693761544661709</v>
      </c>
      <c r="E129" s="140">
        <f t="shared" si="157"/>
        <v>0.63517111239216062</v>
      </c>
      <c r="F129" s="140">
        <f t="shared" si="157"/>
        <v>0.62021871536586271</v>
      </c>
      <c r="G129" s="140">
        <f t="shared" si="157"/>
        <v>0.61101821550007063</v>
      </c>
      <c r="H129" s="140">
        <f t="shared" si="157"/>
        <v>0.6125192906847664</v>
      </c>
      <c r="I129" s="140">
        <f t="shared" si="157"/>
        <v>0.62056961753398943</v>
      </c>
      <c r="J129" s="140">
        <f t="shared" si="157"/>
        <v>0.62732825944178494</v>
      </c>
      <c r="K129" s="140">
        <f t="shared" si="157"/>
        <v>0.63968598292036016</v>
      </c>
      <c r="L129" s="140">
        <f t="shared" si="157"/>
        <v>0.63075811876190402</v>
      </c>
      <c r="M129" s="140">
        <f t="shared" si="157"/>
        <v>0.63592058544057817</v>
      </c>
      <c r="N129" s="140">
        <f t="shared" si="157"/>
        <v>0.62617279665115422</v>
      </c>
      <c r="O129" s="140">
        <f t="shared" si="157"/>
        <v>0.62828666791297738</v>
      </c>
      <c r="P129" s="140">
        <f t="shared" si="157"/>
        <v>0.61825153326655735</v>
      </c>
      <c r="Q129" s="140">
        <f t="shared" si="157"/>
        <v>0.63921649288919125</v>
      </c>
      <c r="R129" s="140">
        <f t="shared" si="157"/>
        <v>0.62011817459081897</v>
      </c>
      <c r="S129" s="140">
        <f t="shared" si="157"/>
        <v>0.61025886921450934</v>
      </c>
      <c r="T129" s="140">
        <f t="shared" si="157"/>
        <v>0.60814126370114263</v>
      </c>
      <c r="U129" s="140">
        <f t="shared" si="157"/>
        <v>0.60469602070577433</v>
      </c>
      <c r="V129" s="140">
        <f t="shared" si="157"/>
        <v>0.7317183010993904</v>
      </c>
      <c r="W129" s="140">
        <f t="shared" si="157"/>
        <v>0.71381690384146068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0.10391843161424322</v>
      </c>
      <c r="C130" s="140">
        <f t="shared" ref="C130:W130" si="158">IF(C38=0,0,C38/C$34)</f>
        <v>0.10181777565549417</v>
      </c>
      <c r="D130" s="140">
        <f t="shared" si="158"/>
        <v>0.10189494551552657</v>
      </c>
      <c r="E130" s="140">
        <f t="shared" si="158"/>
        <v>0.10090985298658756</v>
      </c>
      <c r="F130" s="140">
        <f t="shared" si="158"/>
        <v>9.593063932951254E-2</v>
      </c>
      <c r="G130" s="140">
        <f t="shared" si="158"/>
        <v>9.5267350539145312E-2</v>
      </c>
      <c r="H130" s="140">
        <f t="shared" si="158"/>
        <v>9.5071124399682017E-2</v>
      </c>
      <c r="I130" s="140">
        <f t="shared" si="158"/>
        <v>9.0427477804459533E-2</v>
      </c>
      <c r="J130" s="140">
        <f t="shared" si="158"/>
        <v>9.3562808226464719E-2</v>
      </c>
      <c r="K130" s="140">
        <f t="shared" si="158"/>
        <v>9.8540376550871875E-2</v>
      </c>
      <c r="L130" s="140">
        <f t="shared" si="158"/>
        <v>9.9713750213630173E-2</v>
      </c>
      <c r="M130" s="140">
        <f t="shared" si="158"/>
        <v>9.4995854469710636E-2</v>
      </c>
      <c r="N130" s="140">
        <f t="shared" si="158"/>
        <v>9.3104808804017711E-2</v>
      </c>
      <c r="O130" s="140">
        <f t="shared" si="158"/>
        <v>8.9960659634877663E-2</v>
      </c>
      <c r="P130" s="140">
        <f t="shared" si="158"/>
        <v>9.0627239687318034E-2</v>
      </c>
      <c r="Q130" s="140">
        <f t="shared" si="158"/>
        <v>8.8406529381993212E-2</v>
      </c>
      <c r="R130" s="140">
        <f t="shared" si="158"/>
        <v>9.0189845833488283E-2</v>
      </c>
      <c r="S130" s="140">
        <f t="shared" si="158"/>
        <v>9.4279215079807882E-2</v>
      </c>
      <c r="T130" s="140">
        <f t="shared" si="158"/>
        <v>9.1709596376518487E-2</v>
      </c>
      <c r="U130" s="140">
        <f t="shared" si="158"/>
        <v>8.9688322157945963E-2</v>
      </c>
      <c r="V130" s="140">
        <f t="shared" si="158"/>
        <v>0.11865120662988299</v>
      </c>
      <c r="W130" s="140">
        <f t="shared" si="158"/>
        <v>0.11427260973251341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2.7172437767953098E-2</v>
      </c>
      <c r="C131" s="124">
        <f t="shared" ref="C131:W131" si="159">IF(C39=0,0,C39/C$34)</f>
        <v>2.6013599415478962E-2</v>
      </c>
      <c r="D131" s="124">
        <f t="shared" si="159"/>
        <v>2.7535526951015875E-2</v>
      </c>
      <c r="E131" s="124">
        <f t="shared" si="159"/>
        <v>2.7343206693015688E-2</v>
      </c>
      <c r="F131" s="124">
        <f t="shared" si="159"/>
        <v>2.6088278960033882E-2</v>
      </c>
      <c r="G131" s="124">
        <f t="shared" si="159"/>
        <v>2.7542358322281441E-2</v>
      </c>
      <c r="H131" s="124">
        <f t="shared" si="159"/>
        <v>2.7311363672999949E-2</v>
      </c>
      <c r="I131" s="124">
        <f t="shared" si="159"/>
        <v>2.6074498307517402E-2</v>
      </c>
      <c r="J131" s="124">
        <f t="shared" si="159"/>
        <v>2.7766760981683968E-2</v>
      </c>
      <c r="K131" s="124">
        <f t="shared" si="159"/>
        <v>2.895335617321575E-2</v>
      </c>
      <c r="L131" s="124">
        <f t="shared" si="159"/>
        <v>2.9366628993344263E-2</v>
      </c>
      <c r="M131" s="124">
        <f t="shared" si="159"/>
        <v>2.8598084298982446E-2</v>
      </c>
      <c r="N131" s="124">
        <f t="shared" si="159"/>
        <v>3.0199220480971612E-2</v>
      </c>
      <c r="O131" s="124">
        <f t="shared" si="159"/>
        <v>3.0010504761778606E-2</v>
      </c>
      <c r="P131" s="124">
        <f t="shared" si="159"/>
        <v>2.9550865325204977E-2</v>
      </c>
      <c r="Q131" s="124">
        <f t="shared" si="159"/>
        <v>2.7732322998367018E-2</v>
      </c>
      <c r="R131" s="124">
        <f t="shared" si="159"/>
        <v>2.8115484580389538E-2</v>
      </c>
      <c r="S131" s="124">
        <f t="shared" si="159"/>
        <v>2.7410960206619019E-2</v>
      </c>
      <c r="T131" s="124">
        <f t="shared" si="159"/>
        <v>2.5134245188231392E-2</v>
      </c>
      <c r="U131" s="124">
        <f t="shared" si="159"/>
        <v>2.5609136994085069E-2</v>
      </c>
      <c r="V131" s="124">
        <f t="shared" si="159"/>
        <v>3.1071418073473675E-2</v>
      </c>
      <c r="W131" s="124">
        <f t="shared" si="159"/>
        <v>3.003492420755358E-2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1.2809810080888819E-5</v>
      </c>
      <c r="E132" s="140">
        <f t="shared" si="160"/>
        <v>9.5550050572763051E-5</v>
      </c>
      <c r="F132" s="140">
        <f t="shared" si="160"/>
        <v>1.7563044363986789E-4</v>
      </c>
      <c r="G132" s="140">
        <f t="shared" si="160"/>
        <v>2.2009025850096604E-4</v>
      </c>
      <c r="H132" s="140">
        <f t="shared" si="160"/>
        <v>2.194641538473992E-4</v>
      </c>
      <c r="I132" s="140">
        <f t="shared" si="160"/>
        <v>2.2501401429013011E-4</v>
      </c>
      <c r="J132" s="140">
        <f t="shared" si="160"/>
        <v>2.5241355103673105E-4</v>
      </c>
      <c r="K132" s="140">
        <f t="shared" si="160"/>
        <v>2.8798337228917503E-4</v>
      </c>
      <c r="L132" s="140">
        <f t="shared" si="160"/>
        <v>3.1427443519308238E-4</v>
      </c>
      <c r="M132" s="140">
        <f t="shared" si="160"/>
        <v>3.5511424425835119E-4</v>
      </c>
      <c r="N132" s="140">
        <f t="shared" si="160"/>
        <v>3.600994702966642E-4</v>
      </c>
      <c r="O132" s="140">
        <f t="shared" si="160"/>
        <v>3.7460503591863511E-4</v>
      </c>
      <c r="P132" s="140">
        <f t="shared" si="160"/>
        <v>3.7615470206641099E-4</v>
      </c>
      <c r="Q132" s="140">
        <f t="shared" si="160"/>
        <v>3.6277308517407151E-4</v>
      </c>
      <c r="R132" s="140">
        <f t="shared" si="160"/>
        <v>3.794198287381053E-4</v>
      </c>
      <c r="S132" s="140">
        <f t="shared" si="160"/>
        <v>3.9947873046265649E-4</v>
      </c>
      <c r="T132" s="140">
        <f t="shared" si="160"/>
        <v>4.0167081653830965E-4</v>
      </c>
      <c r="U132" s="140">
        <f t="shared" si="160"/>
        <v>4.5846894504225058E-4</v>
      </c>
      <c r="V132" s="140">
        <f t="shared" si="160"/>
        <v>6.0917530839256647E-4</v>
      </c>
      <c r="W132" s="140">
        <f t="shared" si="160"/>
        <v>5.8963989874468022E-4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2.7172437767953098E-2</v>
      </c>
      <c r="C133" s="140">
        <f t="shared" ref="C133:W133" si="161">IF(C41=0,0,C41/C$34)</f>
        <v>2.6013599415478962E-2</v>
      </c>
      <c r="D133" s="140">
        <f t="shared" si="161"/>
        <v>2.7522717140934985E-2</v>
      </c>
      <c r="E133" s="140">
        <f t="shared" si="161"/>
        <v>2.7247656642442927E-2</v>
      </c>
      <c r="F133" s="140">
        <f t="shared" si="161"/>
        <v>2.5912648516394014E-2</v>
      </c>
      <c r="G133" s="140">
        <f t="shared" si="161"/>
        <v>2.7322268063780478E-2</v>
      </c>
      <c r="H133" s="140">
        <f t="shared" si="161"/>
        <v>2.7091899519152546E-2</v>
      </c>
      <c r="I133" s="140">
        <f t="shared" si="161"/>
        <v>2.5849484293227268E-2</v>
      </c>
      <c r="J133" s="140">
        <f t="shared" si="161"/>
        <v>2.7514347430647235E-2</v>
      </c>
      <c r="K133" s="140">
        <f t="shared" si="161"/>
        <v>2.8665372800926573E-2</v>
      </c>
      <c r="L133" s="140">
        <f t="shared" si="161"/>
        <v>2.9052354558151177E-2</v>
      </c>
      <c r="M133" s="140">
        <f t="shared" si="161"/>
        <v>2.8242970054724092E-2</v>
      </c>
      <c r="N133" s="140">
        <f t="shared" si="161"/>
        <v>2.9839121010674947E-2</v>
      </c>
      <c r="O133" s="140">
        <f t="shared" si="161"/>
        <v>2.9635899725859973E-2</v>
      </c>
      <c r="P133" s="140">
        <f t="shared" si="161"/>
        <v>2.9174710623138568E-2</v>
      </c>
      <c r="Q133" s="140">
        <f t="shared" si="161"/>
        <v>2.7369549913192948E-2</v>
      </c>
      <c r="R133" s="140">
        <f t="shared" si="161"/>
        <v>2.7736064751651433E-2</v>
      </c>
      <c r="S133" s="140">
        <f t="shared" si="161"/>
        <v>2.7011481476156361E-2</v>
      </c>
      <c r="T133" s="140">
        <f t="shared" si="161"/>
        <v>2.4732574371693083E-2</v>
      </c>
      <c r="U133" s="140">
        <f t="shared" si="161"/>
        <v>2.5150668049042819E-2</v>
      </c>
      <c r="V133" s="140">
        <f t="shared" si="161"/>
        <v>3.046224276508111E-2</v>
      </c>
      <c r="W133" s="140">
        <f t="shared" si="161"/>
        <v>2.9445284308808897E-2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0.24895337718325758</v>
      </c>
      <c r="C135" s="124">
        <f t="shared" ref="C135:W135" si="163">IF(C43=0,0,C43/C$34)</f>
        <v>0.25494264326149157</v>
      </c>
      <c r="D135" s="124">
        <f t="shared" si="163"/>
        <v>0.22641179892999752</v>
      </c>
      <c r="E135" s="124">
        <f t="shared" si="163"/>
        <v>0.22946733072258499</v>
      </c>
      <c r="F135" s="124">
        <f t="shared" si="163"/>
        <v>0.25095500777492802</v>
      </c>
      <c r="G135" s="124">
        <f t="shared" si="163"/>
        <v>0.25940216535756622</v>
      </c>
      <c r="H135" s="124">
        <f t="shared" si="163"/>
        <v>0.2581300249506594</v>
      </c>
      <c r="I135" s="124">
        <f t="shared" si="163"/>
        <v>0.25587212648334379</v>
      </c>
      <c r="J135" s="124">
        <f t="shared" si="163"/>
        <v>0.24422680734903449</v>
      </c>
      <c r="K135" s="124">
        <f t="shared" si="163"/>
        <v>0.22579279417794215</v>
      </c>
      <c r="L135" s="124">
        <f t="shared" si="163"/>
        <v>0.23323336828640256</v>
      </c>
      <c r="M135" s="124">
        <f t="shared" si="163"/>
        <v>0.23380639679090076</v>
      </c>
      <c r="N135" s="124">
        <f t="shared" si="163"/>
        <v>0.24353367753544802</v>
      </c>
      <c r="O135" s="124">
        <f t="shared" si="163"/>
        <v>0.24468280638022546</v>
      </c>
      <c r="P135" s="124">
        <f t="shared" si="163"/>
        <v>0.25462100520996633</v>
      </c>
      <c r="Q135" s="124">
        <f t="shared" si="163"/>
        <v>0.23802147598853629</v>
      </c>
      <c r="R135" s="124">
        <f t="shared" si="163"/>
        <v>0.25510557503757725</v>
      </c>
      <c r="S135" s="124">
        <f t="shared" si="163"/>
        <v>0.26204818001824809</v>
      </c>
      <c r="T135" s="124">
        <f t="shared" si="163"/>
        <v>0.2695021511048894</v>
      </c>
      <c r="U135" s="124">
        <f t="shared" si="163"/>
        <v>0.27430733714845729</v>
      </c>
      <c r="V135" s="124">
        <f t="shared" si="163"/>
        <v>0.11183717245814602</v>
      </c>
      <c r="W135" s="124">
        <f t="shared" si="163"/>
        <v>0.13547545207652448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1.4064782199205704E-2</v>
      </c>
      <c r="C136" s="140">
        <f t="shared" ref="C136:W136" si="164">IF(C44=0,0,C44/C$34)</f>
        <v>1.4487887466223651E-2</v>
      </c>
      <c r="D136" s="140">
        <f t="shared" si="164"/>
        <v>1.2290758377300573E-2</v>
      </c>
      <c r="E136" s="140">
        <f t="shared" si="164"/>
        <v>1.1725240450135352E-2</v>
      </c>
      <c r="F136" s="140">
        <f t="shared" si="164"/>
        <v>9.5093542991483079E-3</v>
      </c>
      <c r="G136" s="140">
        <f t="shared" si="164"/>
        <v>9.9582738735924884E-3</v>
      </c>
      <c r="H136" s="140">
        <f t="shared" si="164"/>
        <v>1.0461590086444166E-2</v>
      </c>
      <c r="I136" s="140">
        <f t="shared" si="164"/>
        <v>1.1791830311470476E-2</v>
      </c>
      <c r="J136" s="140">
        <f t="shared" si="164"/>
        <v>1.2576043839331273E-2</v>
      </c>
      <c r="K136" s="140">
        <f t="shared" si="164"/>
        <v>1.3022174141357023E-2</v>
      </c>
      <c r="L136" s="140">
        <f t="shared" si="164"/>
        <v>1.3556072743814507E-2</v>
      </c>
      <c r="M136" s="140">
        <f t="shared" si="164"/>
        <v>1.2648410750480822E-2</v>
      </c>
      <c r="N136" s="140">
        <f t="shared" si="164"/>
        <v>1.1343250677947612E-2</v>
      </c>
      <c r="O136" s="140">
        <f t="shared" si="164"/>
        <v>1.1108785113819917E-2</v>
      </c>
      <c r="P136" s="140">
        <f t="shared" si="164"/>
        <v>1.0482498154915825E-2</v>
      </c>
      <c r="Q136" s="140">
        <f t="shared" si="164"/>
        <v>9.2620653165756007E-3</v>
      </c>
      <c r="R136" s="140">
        <f t="shared" si="164"/>
        <v>9.4734108324715342E-3</v>
      </c>
      <c r="S136" s="140">
        <f t="shared" si="164"/>
        <v>9.0197732942975378E-3</v>
      </c>
      <c r="T136" s="140">
        <f t="shared" si="164"/>
        <v>8.3121449203918708E-3</v>
      </c>
      <c r="U136" s="140">
        <f t="shared" si="164"/>
        <v>8.3402304026946438E-3</v>
      </c>
      <c r="V136" s="140">
        <f t="shared" si="164"/>
        <v>5.9524717334465517E-3</v>
      </c>
      <c r="W136" s="140">
        <f t="shared" si="164"/>
        <v>6.1286779723332286E-3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0.13239455461932173</v>
      </c>
      <c r="C137" s="140">
        <f t="shared" ref="C137:W137" si="165">IF(C45=0,0,C45/C$34)</f>
        <v>0.13553029936462055</v>
      </c>
      <c r="D137" s="140">
        <f t="shared" si="165"/>
        <v>0.12585218180390814</v>
      </c>
      <c r="E137" s="140">
        <f t="shared" si="165"/>
        <v>0.12965499138159087</v>
      </c>
      <c r="F137" s="140">
        <f t="shared" si="165"/>
        <v>0.13881363298980354</v>
      </c>
      <c r="G137" s="140">
        <f t="shared" si="165"/>
        <v>0.14277022952499382</v>
      </c>
      <c r="H137" s="140">
        <f t="shared" si="165"/>
        <v>0.14281214166620301</v>
      </c>
      <c r="I137" s="140">
        <f t="shared" si="165"/>
        <v>0.14236419693251268</v>
      </c>
      <c r="J137" s="140">
        <f t="shared" si="165"/>
        <v>0.13486795837452398</v>
      </c>
      <c r="K137" s="140">
        <f t="shared" si="165"/>
        <v>0.11976483305285489</v>
      </c>
      <c r="L137" s="140">
        <f t="shared" si="165"/>
        <v>0.12291089187745143</v>
      </c>
      <c r="M137" s="140">
        <f t="shared" si="165"/>
        <v>0.12427667535900412</v>
      </c>
      <c r="N137" s="140">
        <f t="shared" si="165"/>
        <v>0.12940758708361461</v>
      </c>
      <c r="O137" s="140">
        <f t="shared" si="165"/>
        <v>0.13057119569025435</v>
      </c>
      <c r="P137" s="140">
        <f t="shared" si="165"/>
        <v>0.13690482321988023</v>
      </c>
      <c r="Q137" s="140">
        <f t="shared" si="165"/>
        <v>0.1291930154921076</v>
      </c>
      <c r="R137" s="140">
        <f t="shared" si="165"/>
        <v>0.14280134134973549</v>
      </c>
      <c r="S137" s="140">
        <f t="shared" si="165"/>
        <v>0.14804772728642956</v>
      </c>
      <c r="T137" s="140">
        <f t="shared" si="165"/>
        <v>0.15153924202680438</v>
      </c>
      <c r="U137" s="140">
        <f t="shared" si="165"/>
        <v>0.15146508649942236</v>
      </c>
      <c r="V137" s="140">
        <f t="shared" si="165"/>
        <v>5.2643908313784453E-2</v>
      </c>
      <c r="W137" s="140">
        <f t="shared" si="165"/>
        <v>6.8717243469001113E-2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0.10249404036473014</v>
      </c>
      <c r="C138" s="140">
        <f t="shared" ref="C138:W138" si="166">IF(C46=0,0,C46/C$34)</f>
        <v>0.10492445643064736</v>
      </c>
      <c r="D138" s="140">
        <f t="shared" si="166"/>
        <v>8.8268858748788787E-2</v>
      </c>
      <c r="E138" s="140">
        <f t="shared" si="166"/>
        <v>8.8087098890858764E-2</v>
      </c>
      <c r="F138" s="140">
        <f t="shared" si="166"/>
        <v>0.10263202048597615</v>
      </c>
      <c r="G138" s="140">
        <f t="shared" si="166"/>
        <v>0.10667366195897993</v>
      </c>
      <c r="H138" s="140">
        <f t="shared" si="166"/>
        <v>0.10485629319801221</v>
      </c>
      <c r="I138" s="140">
        <f t="shared" si="166"/>
        <v>0.10171609923936062</v>
      </c>
      <c r="J138" s="140">
        <f t="shared" si="166"/>
        <v>9.6782805135179228E-2</v>
      </c>
      <c r="K138" s="140">
        <f t="shared" si="166"/>
        <v>9.3005786983730243E-2</v>
      </c>
      <c r="L138" s="140">
        <f t="shared" si="166"/>
        <v>9.6766403665136641E-2</v>
      </c>
      <c r="M138" s="140">
        <f t="shared" si="166"/>
        <v>9.6881310681415811E-2</v>
      </c>
      <c r="N138" s="140">
        <f t="shared" si="166"/>
        <v>0.10278283977388578</v>
      </c>
      <c r="O138" s="140">
        <f t="shared" si="166"/>
        <v>0.10300282557615119</v>
      </c>
      <c r="P138" s="140">
        <f t="shared" si="166"/>
        <v>0.10723368383517029</v>
      </c>
      <c r="Q138" s="140">
        <f t="shared" si="166"/>
        <v>9.9566395179853079E-2</v>
      </c>
      <c r="R138" s="140">
        <f t="shared" si="166"/>
        <v>0.10283082285537021</v>
      </c>
      <c r="S138" s="140">
        <f t="shared" si="166"/>
        <v>0.10498067943752099</v>
      </c>
      <c r="T138" s="140">
        <f t="shared" si="166"/>
        <v>0.10965076415769316</v>
      </c>
      <c r="U138" s="140">
        <f t="shared" si="166"/>
        <v>0.11450202024634033</v>
      </c>
      <c r="V138" s="140">
        <f t="shared" si="166"/>
        <v>5.3240792410915012E-2</v>
      </c>
      <c r="W138" s="140">
        <f t="shared" si="166"/>
        <v>6.0629530635190144E-2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0.87536827347793755</v>
      </c>
      <c r="C140" s="139">
        <f t="shared" ref="C140:W140" si="169">IF(C48=0,0,C48/C$47)</f>
        <v>0.8770266067518242</v>
      </c>
      <c r="D140" s="139">
        <f t="shared" si="169"/>
        <v>0.86799914569152381</v>
      </c>
      <c r="E140" s="139">
        <f t="shared" si="169"/>
        <v>0.87852374571949543</v>
      </c>
      <c r="F140" s="139">
        <f t="shared" si="169"/>
        <v>0.89584703046496361</v>
      </c>
      <c r="G140" s="139">
        <f t="shared" si="169"/>
        <v>0.88421925249486999</v>
      </c>
      <c r="H140" s="139">
        <f t="shared" si="169"/>
        <v>0.89775628902079452</v>
      </c>
      <c r="I140" s="139">
        <f t="shared" si="169"/>
        <v>0.9129889023254899</v>
      </c>
      <c r="J140" s="139">
        <f t="shared" si="169"/>
        <v>0.86142427655920251</v>
      </c>
      <c r="K140" s="139">
        <f t="shared" si="169"/>
        <v>0.86355968392898486</v>
      </c>
      <c r="L140" s="139">
        <f t="shared" si="169"/>
        <v>0.87223885287066549</v>
      </c>
      <c r="M140" s="139">
        <f t="shared" si="169"/>
        <v>0.8692477832641311</v>
      </c>
      <c r="N140" s="139">
        <f t="shared" si="169"/>
        <v>0.86089957073942724</v>
      </c>
      <c r="O140" s="139">
        <f t="shared" si="169"/>
        <v>0.85961917279431488</v>
      </c>
      <c r="P140" s="139">
        <f t="shared" si="169"/>
        <v>0.87452305232582039</v>
      </c>
      <c r="Q140" s="139">
        <f t="shared" si="169"/>
        <v>0.86322716172419811</v>
      </c>
      <c r="R140" s="139">
        <f t="shared" si="169"/>
        <v>0.88715824027334067</v>
      </c>
      <c r="S140" s="139">
        <f t="shared" si="169"/>
        <v>0.89159216751139647</v>
      </c>
      <c r="T140" s="139">
        <f t="shared" si="169"/>
        <v>0.89747286020222938</v>
      </c>
      <c r="U140" s="139">
        <f t="shared" si="169"/>
        <v>0.88862809511892327</v>
      </c>
      <c r="V140" s="139">
        <f t="shared" si="169"/>
        <v>0.88787772941219589</v>
      </c>
      <c r="W140" s="139">
        <f t="shared" si="169"/>
        <v>0.87244543300203536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0.41226938476033242</v>
      </c>
      <c r="C141" s="140">
        <f t="shared" ref="C141:W141" si="170">IF(C49=0,0,C49/C$47)</f>
        <v>0.40878558288780292</v>
      </c>
      <c r="D141" s="140">
        <f t="shared" si="170"/>
        <v>0.39879682189249216</v>
      </c>
      <c r="E141" s="140">
        <f t="shared" si="170"/>
        <v>0.37938413457754605</v>
      </c>
      <c r="F141" s="140">
        <f t="shared" si="170"/>
        <v>0.38189973909193536</v>
      </c>
      <c r="G141" s="140">
        <f t="shared" si="170"/>
        <v>0.38535845705063426</v>
      </c>
      <c r="H141" s="140">
        <f t="shared" si="170"/>
        <v>0.39985581478473059</v>
      </c>
      <c r="I141" s="140">
        <f t="shared" si="170"/>
        <v>0.41769418107681683</v>
      </c>
      <c r="J141" s="140">
        <f t="shared" si="170"/>
        <v>0.40536009220825342</v>
      </c>
      <c r="K141" s="140">
        <f t="shared" si="170"/>
        <v>0.42411526964389179</v>
      </c>
      <c r="L141" s="140">
        <f t="shared" si="170"/>
        <v>0.41629250355680381</v>
      </c>
      <c r="M141" s="140">
        <f t="shared" si="170"/>
        <v>0.39402947345103095</v>
      </c>
      <c r="N141" s="140">
        <f t="shared" si="170"/>
        <v>0.39220039168413229</v>
      </c>
      <c r="O141" s="140">
        <f t="shared" si="170"/>
        <v>0.38308221088829136</v>
      </c>
      <c r="P141" s="140">
        <f t="shared" si="170"/>
        <v>0.36437762122192469</v>
      </c>
      <c r="Q141" s="140">
        <f t="shared" si="170"/>
        <v>0.3761941848304251</v>
      </c>
      <c r="R141" s="140">
        <f t="shared" si="170"/>
        <v>0.35869963269972582</v>
      </c>
      <c r="S141" s="140">
        <f t="shared" si="170"/>
        <v>0.36137270536259253</v>
      </c>
      <c r="T141" s="140">
        <f t="shared" si="170"/>
        <v>0.35761928551525307</v>
      </c>
      <c r="U141" s="140">
        <f t="shared" si="170"/>
        <v>0.34993538413655323</v>
      </c>
      <c r="V141" s="140">
        <f t="shared" si="170"/>
        <v>0.339373027077918</v>
      </c>
      <c r="W141" s="140">
        <f t="shared" si="170"/>
        <v>0.33140814022908971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0.46309888871760513</v>
      </c>
      <c r="C142" s="140">
        <f t="shared" ref="C142:W142" si="171">IF(C50=0,0,C50/C$47)</f>
        <v>0.46824102386402133</v>
      </c>
      <c r="D142" s="140">
        <f t="shared" si="171"/>
        <v>0.46920232379903176</v>
      </c>
      <c r="E142" s="140">
        <f t="shared" si="171"/>
        <v>0.49913961114194927</v>
      </c>
      <c r="F142" s="140">
        <f t="shared" si="171"/>
        <v>0.51394729137302819</v>
      </c>
      <c r="G142" s="140">
        <f t="shared" si="171"/>
        <v>0.49886079544423567</v>
      </c>
      <c r="H142" s="140">
        <f t="shared" si="171"/>
        <v>0.49790047423606393</v>
      </c>
      <c r="I142" s="140">
        <f t="shared" si="171"/>
        <v>0.49529472124867302</v>
      </c>
      <c r="J142" s="140">
        <f t="shared" si="171"/>
        <v>0.45606418435094914</v>
      </c>
      <c r="K142" s="140">
        <f t="shared" si="171"/>
        <v>0.43944441428509312</v>
      </c>
      <c r="L142" s="140">
        <f t="shared" si="171"/>
        <v>0.45594634931386174</v>
      </c>
      <c r="M142" s="140">
        <f t="shared" si="171"/>
        <v>0.47521830981310015</v>
      </c>
      <c r="N142" s="140">
        <f t="shared" si="171"/>
        <v>0.46869917905529485</v>
      </c>
      <c r="O142" s="140">
        <f t="shared" si="171"/>
        <v>0.47653696190602352</v>
      </c>
      <c r="P142" s="140">
        <f t="shared" si="171"/>
        <v>0.51014543110389565</v>
      </c>
      <c r="Q142" s="140">
        <f t="shared" si="171"/>
        <v>0.48703297689377306</v>
      </c>
      <c r="R142" s="140">
        <f t="shared" si="171"/>
        <v>0.52845860757361485</v>
      </c>
      <c r="S142" s="140">
        <f t="shared" si="171"/>
        <v>0.530219462148804</v>
      </c>
      <c r="T142" s="140">
        <f t="shared" si="171"/>
        <v>0.53985357468697648</v>
      </c>
      <c r="U142" s="140">
        <f t="shared" si="171"/>
        <v>0.53869271098237015</v>
      </c>
      <c r="V142" s="140">
        <f t="shared" si="171"/>
        <v>0.54850470233427795</v>
      </c>
      <c r="W142" s="140">
        <f t="shared" si="171"/>
        <v>0.54103729277294565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9.0979269220769435E-3</v>
      </c>
      <c r="C143" s="124">
        <f t="shared" ref="C143:W143" si="172">IF(C51=0,0,C51/C$47)</f>
        <v>8.3196110453298191E-3</v>
      </c>
      <c r="D143" s="124">
        <f t="shared" si="172"/>
        <v>7.3385355088045612E-3</v>
      </c>
      <c r="E143" s="124">
        <f t="shared" si="172"/>
        <v>6.7057451216544018E-3</v>
      </c>
      <c r="F143" s="124">
        <f t="shared" si="172"/>
        <v>7.3054921611981202E-3</v>
      </c>
      <c r="G143" s="124">
        <f t="shared" si="172"/>
        <v>6.6068556391153267E-3</v>
      </c>
      <c r="H143" s="124">
        <f t="shared" si="172"/>
        <v>5.8450307906931613E-3</v>
      </c>
      <c r="I143" s="124">
        <f t="shared" si="172"/>
        <v>5.14355791496535E-3</v>
      </c>
      <c r="J143" s="124">
        <f t="shared" si="172"/>
        <v>5.5012558963353254E-3</v>
      </c>
      <c r="K143" s="124">
        <f t="shared" si="172"/>
        <v>5.4721187603911804E-3</v>
      </c>
      <c r="L143" s="124">
        <f t="shared" si="172"/>
        <v>7.0987496515073321E-3</v>
      </c>
      <c r="M143" s="124">
        <f t="shared" si="172"/>
        <v>8.4086654296299888E-3</v>
      </c>
      <c r="N143" s="124">
        <f t="shared" si="172"/>
        <v>7.5496573675138323E-3</v>
      </c>
      <c r="O143" s="124">
        <f t="shared" si="172"/>
        <v>8.0811312890870859E-3</v>
      </c>
      <c r="P143" s="124">
        <f t="shared" si="172"/>
        <v>8.4032022726199338E-3</v>
      </c>
      <c r="Q143" s="124">
        <f t="shared" si="172"/>
        <v>9.3279739512583029E-3</v>
      </c>
      <c r="R143" s="124">
        <f t="shared" si="172"/>
        <v>9.1843796169049086E-3</v>
      </c>
      <c r="S143" s="124">
        <f t="shared" si="172"/>
        <v>8.0712106962538936E-3</v>
      </c>
      <c r="T143" s="124">
        <f t="shared" si="172"/>
        <v>7.3882288188644087E-3</v>
      </c>
      <c r="U143" s="124">
        <f t="shared" si="172"/>
        <v>6.8269806863185071E-3</v>
      </c>
      <c r="V143" s="124">
        <f t="shared" si="172"/>
        <v>7.7371401781538007E-3</v>
      </c>
      <c r="W143" s="124">
        <f t="shared" si="172"/>
        <v>6.1358989138731437E-3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5.260266501671218E-3</v>
      </c>
      <c r="C144" s="124">
        <f t="shared" ref="C144:W144" si="173">IF(C52=0,0,C52/C$47)</f>
        <v>5.2245481690870394E-3</v>
      </c>
      <c r="D144" s="124">
        <f t="shared" si="173"/>
        <v>4.7326552581037429E-3</v>
      </c>
      <c r="E144" s="124">
        <f t="shared" si="173"/>
        <v>3.5381133323118862E-3</v>
      </c>
      <c r="F144" s="124">
        <f t="shared" si="173"/>
        <v>3.8051773084843187E-3</v>
      </c>
      <c r="G144" s="124">
        <f t="shared" si="173"/>
        <v>4.2563378158000644E-3</v>
      </c>
      <c r="H144" s="124">
        <f t="shared" si="173"/>
        <v>4.8936443136216477E-3</v>
      </c>
      <c r="I144" s="124">
        <f t="shared" si="173"/>
        <v>4.6148091962898491E-3</v>
      </c>
      <c r="J144" s="124">
        <f t="shared" si="173"/>
        <v>3.4900466918698934E-2</v>
      </c>
      <c r="K144" s="124">
        <f t="shared" si="173"/>
        <v>2.7977532803521197E-2</v>
      </c>
      <c r="L144" s="124">
        <f t="shared" si="173"/>
        <v>2.9854893483034581E-2</v>
      </c>
      <c r="M144" s="124">
        <f t="shared" si="173"/>
        <v>2.9763292529069015E-2</v>
      </c>
      <c r="N144" s="124">
        <f t="shared" si="173"/>
        <v>3.3981175896330672E-2</v>
      </c>
      <c r="O144" s="124">
        <f t="shared" si="173"/>
        <v>2.9899494126462416E-2</v>
      </c>
      <c r="P144" s="124">
        <f t="shared" si="173"/>
        <v>3.54113014218135E-2</v>
      </c>
      <c r="Q144" s="124">
        <f t="shared" si="173"/>
        <v>3.2664342189034933E-2</v>
      </c>
      <c r="R144" s="124">
        <f t="shared" si="173"/>
        <v>2.4778862432357076E-2</v>
      </c>
      <c r="S144" s="124">
        <f t="shared" si="173"/>
        <v>2.5014405804455214E-2</v>
      </c>
      <c r="T144" s="124">
        <f t="shared" si="173"/>
        <v>1.8313656753834118E-2</v>
      </c>
      <c r="U144" s="124">
        <f t="shared" si="173"/>
        <v>2.2098082344377976E-2</v>
      </c>
      <c r="V144" s="124">
        <f t="shared" si="173"/>
        <v>2.103580116252184E-2</v>
      </c>
      <c r="W144" s="124">
        <f t="shared" si="173"/>
        <v>2.8615627687300804E-2</v>
      </c>
      <c r="DA144" s="176"/>
    </row>
    <row r="145" spans="1:105" ht="11.45" customHeight="1" x14ac:dyDescent="0.25">
      <c r="A145" s="128" t="s">
        <v>27</v>
      </c>
      <c r="B145" s="140">
        <f t="shared" si="167"/>
        <v>1.6848221337437035E-4</v>
      </c>
      <c r="C145" s="140">
        <f t="shared" ref="C145:W145" si="174">IF(C53=0,0,C53/C$47)</f>
        <v>1.7064487263248362E-4</v>
      </c>
      <c r="D145" s="140">
        <f t="shared" si="174"/>
        <v>1.2260116720327248E-4</v>
      </c>
      <c r="E145" s="140">
        <f t="shared" si="174"/>
        <v>6.6094926346817594E-5</v>
      </c>
      <c r="F145" s="140">
        <f t="shared" si="174"/>
        <v>4.3187109809923048E-5</v>
      </c>
      <c r="G145" s="140">
        <f t="shared" si="174"/>
        <v>5.3420473093367026E-5</v>
      </c>
      <c r="H145" s="140">
        <f t="shared" si="174"/>
        <v>6.3543957058275239E-5</v>
      </c>
      <c r="I145" s="140">
        <f t="shared" si="174"/>
        <v>6.5067291437061338E-5</v>
      </c>
      <c r="J145" s="140">
        <f t="shared" si="174"/>
        <v>1.2896876994607061E-4</v>
      </c>
      <c r="K145" s="140">
        <f t="shared" si="174"/>
        <v>1.3355885603007984E-4</v>
      </c>
      <c r="L145" s="140">
        <f t="shared" si="174"/>
        <v>5.8950316712876489E-5</v>
      </c>
      <c r="M145" s="140">
        <f t="shared" si="174"/>
        <v>3.4509694537448154E-5</v>
      </c>
      <c r="N145" s="140">
        <f t="shared" si="174"/>
        <v>3.6650507978250802E-5</v>
      </c>
      <c r="O145" s="140">
        <f t="shared" si="174"/>
        <v>3.9003663688167845E-5</v>
      </c>
      <c r="P145" s="140">
        <f t="shared" si="174"/>
        <v>3.6313028883029502E-5</v>
      </c>
      <c r="Q145" s="140">
        <f t="shared" si="174"/>
        <v>3.0760909848083861E-5</v>
      </c>
      <c r="R145" s="140">
        <f t="shared" si="174"/>
        <v>7.0134143662510049E-6</v>
      </c>
      <c r="S145" s="140">
        <f t="shared" si="174"/>
        <v>1.1455031145738113E-5</v>
      </c>
      <c r="T145" s="140">
        <f t="shared" si="174"/>
        <v>1.4225011713598926E-5</v>
      </c>
      <c r="U145" s="140">
        <f t="shared" si="174"/>
        <v>1.2323510052251051E-5</v>
      </c>
      <c r="V145" s="140">
        <f t="shared" si="174"/>
        <v>1.6063879736362461E-5</v>
      </c>
      <c r="W145" s="140">
        <f t="shared" si="174"/>
        <v>2.5728165159395039E-5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4.6168377082977038E-3</v>
      </c>
      <c r="C146" s="140">
        <f t="shared" ref="C146:W146" si="175">IF(C54=0,0,C54/C$47)</f>
        <v>4.5749534988969815E-3</v>
      </c>
      <c r="D146" s="140">
        <f t="shared" si="175"/>
        <v>4.0823729624765975E-3</v>
      </c>
      <c r="E146" s="140">
        <f t="shared" si="175"/>
        <v>2.9023228645506673E-3</v>
      </c>
      <c r="F146" s="140">
        <f t="shared" si="175"/>
        <v>3.1977657733044521E-3</v>
      </c>
      <c r="G146" s="140">
        <f t="shared" si="175"/>
        <v>3.8252158615605858E-3</v>
      </c>
      <c r="H146" s="140">
        <f t="shared" si="175"/>
        <v>4.6466079361482835E-3</v>
      </c>
      <c r="I146" s="140">
        <f t="shared" si="175"/>
        <v>4.3277061931485585E-3</v>
      </c>
      <c r="J146" s="140">
        <f t="shared" si="175"/>
        <v>8.9157591700238254E-3</v>
      </c>
      <c r="K146" s="140">
        <f t="shared" si="175"/>
        <v>6.4707261116233247E-3</v>
      </c>
      <c r="L146" s="140">
        <f t="shared" si="175"/>
        <v>4.466127152894182E-3</v>
      </c>
      <c r="M146" s="140">
        <f t="shared" si="175"/>
        <v>4.539541752891973E-3</v>
      </c>
      <c r="N146" s="140">
        <f t="shared" si="175"/>
        <v>4.3494034487920859E-3</v>
      </c>
      <c r="O146" s="140">
        <f t="shared" si="175"/>
        <v>3.7110764311269148E-3</v>
      </c>
      <c r="P146" s="140">
        <f t="shared" si="175"/>
        <v>6.174508558748972E-3</v>
      </c>
      <c r="Q146" s="140">
        <f t="shared" si="175"/>
        <v>6.2550371333522656E-3</v>
      </c>
      <c r="R146" s="140">
        <f t="shared" si="175"/>
        <v>4.8813570845390453E-3</v>
      </c>
      <c r="S146" s="140">
        <f t="shared" si="175"/>
        <v>5.9636484636235061E-3</v>
      </c>
      <c r="T146" s="140">
        <f t="shared" si="175"/>
        <v>5.96898032744807E-3</v>
      </c>
      <c r="U146" s="140">
        <f t="shared" si="175"/>
        <v>7.1257744421894583E-3</v>
      </c>
      <c r="V146" s="140">
        <f t="shared" si="175"/>
        <v>7.1118275006336711E-3</v>
      </c>
      <c r="W146" s="140">
        <f t="shared" si="175"/>
        <v>9.839745028501606E-3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4.7494657999914367E-4</v>
      </c>
      <c r="C147" s="140">
        <f t="shared" ref="C147:W147" si="176">IF(C55=0,0,C55/C$47)</f>
        <v>4.7894979755757489E-4</v>
      </c>
      <c r="D147" s="140">
        <f t="shared" si="176"/>
        <v>5.2768112842387321E-4</v>
      </c>
      <c r="E147" s="140">
        <f t="shared" si="176"/>
        <v>5.6969554141440121E-4</v>
      </c>
      <c r="F147" s="140">
        <f t="shared" si="176"/>
        <v>5.642244253699438E-4</v>
      </c>
      <c r="G147" s="140">
        <f t="shared" si="176"/>
        <v>3.7770148114611219E-4</v>
      </c>
      <c r="H147" s="140">
        <f t="shared" si="176"/>
        <v>1.8349242041508889E-4</v>
      </c>
      <c r="I147" s="140">
        <f t="shared" si="176"/>
        <v>2.2203571170422977E-4</v>
      </c>
      <c r="J147" s="140">
        <f t="shared" si="176"/>
        <v>2.5855738978729042E-2</v>
      </c>
      <c r="K147" s="140">
        <f t="shared" si="176"/>
        <v>2.137324783586779E-2</v>
      </c>
      <c r="L147" s="140">
        <f t="shared" si="176"/>
        <v>2.5329816013427521E-2</v>
      </c>
      <c r="M147" s="140">
        <f t="shared" si="176"/>
        <v>2.5189241081639592E-2</v>
      </c>
      <c r="N147" s="140">
        <f t="shared" si="176"/>
        <v>2.9595121939560338E-2</v>
      </c>
      <c r="O147" s="140">
        <f t="shared" si="176"/>
        <v>2.6149414031647337E-2</v>
      </c>
      <c r="P147" s="140">
        <f t="shared" si="176"/>
        <v>2.9200479834181496E-2</v>
      </c>
      <c r="Q147" s="140">
        <f t="shared" si="176"/>
        <v>2.6378544145834581E-2</v>
      </c>
      <c r="R147" s="140">
        <f t="shared" si="176"/>
        <v>1.9890491933451781E-2</v>
      </c>
      <c r="S147" s="140">
        <f t="shared" si="176"/>
        <v>1.9039302309685969E-2</v>
      </c>
      <c r="T147" s="140">
        <f t="shared" si="176"/>
        <v>1.233045141467245E-2</v>
      </c>
      <c r="U147" s="140">
        <f t="shared" si="176"/>
        <v>1.4959984392136269E-2</v>
      </c>
      <c r="V147" s="140">
        <f t="shared" si="176"/>
        <v>1.3907909782151806E-2</v>
      </c>
      <c r="W147" s="140">
        <f t="shared" si="176"/>
        <v>1.8750154493639801E-2</v>
      </c>
      <c r="DA147" s="175"/>
    </row>
    <row r="148" spans="1:105" ht="11.45" customHeight="1" x14ac:dyDescent="0.25">
      <c r="A148" s="109" t="s">
        <v>142</v>
      </c>
      <c r="B148" s="124">
        <f t="shared" si="167"/>
        <v>0.11027353309831427</v>
      </c>
      <c r="C148" s="124">
        <f t="shared" ref="C148:W148" si="177">IF(C56=0,0,C56/C$47)</f>
        <v>0.10942923403375893</v>
      </c>
      <c r="D148" s="124">
        <f t="shared" si="177"/>
        <v>0.11992966354156775</v>
      </c>
      <c r="E148" s="124">
        <f t="shared" si="177"/>
        <v>0.11123239582653821</v>
      </c>
      <c r="F148" s="124">
        <f t="shared" si="177"/>
        <v>9.3042300065353842E-2</v>
      </c>
      <c r="G148" s="124">
        <f t="shared" si="177"/>
        <v>0.10491755405021472</v>
      </c>
      <c r="H148" s="124">
        <f t="shared" si="177"/>
        <v>9.1505035874890756E-2</v>
      </c>
      <c r="I148" s="124">
        <f t="shared" si="177"/>
        <v>7.7252730563254907E-2</v>
      </c>
      <c r="J148" s="124">
        <f t="shared" si="177"/>
        <v>9.8174000625763161E-2</v>
      </c>
      <c r="K148" s="124">
        <f t="shared" si="177"/>
        <v>0.10299066450710267</v>
      </c>
      <c r="L148" s="124">
        <f t="shared" si="177"/>
        <v>9.0807503994792482E-2</v>
      </c>
      <c r="M148" s="124">
        <f t="shared" si="177"/>
        <v>9.258025877716998E-2</v>
      </c>
      <c r="N148" s="124">
        <f t="shared" si="177"/>
        <v>9.756959599672832E-2</v>
      </c>
      <c r="O148" s="124">
        <f t="shared" si="177"/>
        <v>0.10240020179013562</v>
      </c>
      <c r="P148" s="124">
        <f t="shared" si="177"/>
        <v>8.1662443979746022E-2</v>
      </c>
      <c r="Q148" s="124">
        <f t="shared" si="177"/>
        <v>9.4780522135508583E-2</v>
      </c>
      <c r="R148" s="124">
        <f t="shared" si="177"/>
        <v>7.8878517677397467E-2</v>
      </c>
      <c r="S148" s="124">
        <f t="shared" si="177"/>
        <v>7.53222159878945E-2</v>
      </c>
      <c r="T148" s="124">
        <f t="shared" si="177"/>
        <v>7.6825254225071929E-2</v>
      </c>
      <c r="U148" s="124">
        <f t="shared" si="177"/>
        <v>8.2446841850380162E-2</v>
      </c>
      <c r="V148" s="124">
        <f t="shared" si="177"/>
        <v>8.3349329247128415E-2</v>
      </c>
      <c r="W148" s="124">
        <f t="shared" si="177"/>
        <v>9.2803040396790562E-2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0.11027353309831427</v>
      </c>
      <c r="C149" s="140">
        <f t="shared" ref="C149:W149" si="178">IF(C57=0,0,C57/C$47)</f>
        <v>0.10942923403375893</v>
      </c>
      <c r="D149" s="140">
        <f t="shared" si="178"/>
        <v>0.11992966354156775</v>
      </c>
      <c r="E149" s="140">
        <f t="shared" si="178"/>
        <v>0.11123239582653821</v>
      </c>
      <c r="F149" s="140">
        <f t="shared" si="178"/>
        <v>9.3042300065353842E-2</v>
      </c>
      <c r="G149" s="140">
        <f t="shared" si="178"/>
        <v>0.10491755405021472</v>
      </c>
      <c r="H149" s="140">
        <f t="shared" si="178"/>
        <v>9.1505035874890756E-2</v>
      </c>
      <c r="I149" s="140">
        <f t="shared" si="178"/>
        <v>7.7252730563254907E-2</v>
      </c>
      <c r="J149" s="140">
        <f t="shared" si="178"/>
        <v>9.8174000625763161E-2</v>
      </c>
      <c r="K149" s="140">
        <f t="shared" si="178"/>
        <v>0.10299066450710267</v>
      </c>
      <c r="L149" s="140">
        <f t="shared" si="178"/>
        <v>9.0807503994792482E-2</v>
      </c>
      <c r="M149" s="140">
        <f t="shared" si="178"/>
        <v>9.258025877716998E-2</v>
      </c>
      <c r="N149" s="140">
        <f t="shared" si="178"/>
        <v>9.756959599672832E-2</v>
      </c>
      <c r="O149" s="140">
        <f t="shared" si="178"/>
        <v>0.10240020179013562</v>
      </c>
      <c r="P149" s="140">
        <f t="shared" si="178"/>
        <v>8.1662443979746022E-2</v>
      </c>
      <c r="Q149" s="140">
        <f t="shared" si="178"/>
        <v>9.4780522135508583E-2</v>
      </c>
      <c r="R149" s="140">
        <f t="shared" si="178"/>
        <v>7.8878517677397467E-2</v>
      </c>
      <c r="S149" s="140">
        <f t="shared" si="178"/>
        <v>7.53222159878945E-2</v>
      </c>
      <c r="T149" s="140">
        <f t="shared" si="178"/>
        <v>7.6825254225071929E-2</v>
      </c>
      <c r="U149" s="140">
        <f t="shared" si="178"/>
        <v>8.2446841850380162E-2</v>
      </c>
      <c r="V149" s="140">
        <f t="shared" si="178"/>
        <v>8.3349329247128415E-2</v>
      </c>
      <c r="W149" s="140">
        <f t="shared" si="178"/>
        <v>9.2803040396790562E-2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0.42892232377966183</v>
      </c>
      <c r="C152" s="140">
        <f t="shared" ref="C152:W152" si="181">IF(C60=0,0,C60/C$59)</f>
        <v>0.42872691734657842</v>
      </c>
      <c r="D152" s="140">
        <f t="shared" si="181"/>
        <v>0.43775784712805399</v>
      </c>
      <c r="E152" s="140">
        <f t="shared" si="181"/>
        <v>0.41742393061465577</v>
      </c>
      <c r="F152" s="140">
        <f t="shared" si="181"/>
        <v>0.44781544028041143</v>
      </c>
      <c r="G152" s="140">
        <f t="shared" si="181"/>
        <v>0.45397099568563171</v>
      </c>
      <c r="H152" s="140">
        <f t="shared" si="181"/>
        <v>0.40927103719824298</v>
      </c>
      <c r="I152" s="140">
        <f t="shared" si="181"/>
        <v>0.42113114443734412</v>
      </c>
      <c r="J152" s="140">
        <f t="shared" si="181"/>
        <v>0.42584522108979045</v>
      </c>
      <c r="K152" s="140">
        <f t="shared" si="181"/>
        <v>0.42870767001818161</v>
      </c>
      <c r="L152" s="140">
        <f t="shared" si="181"/>
        <v>0.45178459037002455</v>
      </c>
      <c r="M152" s="140">
        <f t="shared" si="181"/>
        <v>0.41060024434441106</v>
      </c>
      <c r="N152" s="140">
        <f t="shared" si="181"/>
        <v>0.45707975188655953</v>
      </c>
      <c r="O152" s="140">
        <f t="shared" si="181"/>
        <v>0.48124134188455026</v>
      </c>
      <c r="P152" s="140">
        <f t="shared" si="181"/>
        <v>0.4566768436640592</v>
      </c>
      <c r="Q152" s="140">
        <f t="shared" si="181"/>
        <v>0.43141330159256513</v>
      </c>
      <c r="R152" s="140">
        <f t="shared" si="181"/>
        <v>0.42945949079310158</v>
      </c>
      <c r="S152" s="140">
        <f t="shared" si="181"/>
        <v>0.43343592645345469</v>
      </c>
      <c r="T152" s="140">
        <f t="shared" si="181"/>
        <v>0.42500786503082172</v>
      </c>
      <c r="U152" s="140">
        <f t="shared" si="181"/>
        <v>0.41913529354351292</v>
      </c>
      <c r="V152" s="140">
        <f t="shared" si="181"/>
        <v>0.37587423627331457</v>
      </c>
      <c r="W152" s="140">
        <f t="shared" si="181"/>
        <v>0.36770911590309141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0.57107767622033834</v>
      </c>
      <c r="C153" s="127">
        <f t="shared" ref="C153:W153" si="182">IF(C61=0,0,C61/C$59)</f>
        <v>0.57127308265342158</v>
      </c>
      <c r="D153" s="127">
        <f t="shared" si="182"/>
        <v>0.56224215287194601</v>
      </c>
      <c r="E153" s="127">
        <f t="shared" si="182"/>
        <v>0.58257606938534412</v>
      </c>
      <c r="F153" s="127">
        <f t="shared" si="182"/>
        <v>0.55218455971958857</v>
      </c>
      <c r="G153" s="127">
        <f t="shared" si="182"/>
        <v>0.5460290043143684</v>
      </c>
      <c r="H153" s="127">
        <f t="shared" si="182"/>
        <v>0.59072896280175713</v>
      </c>
      <c r="I153" s="127">
        <f t="shared" si="182"/>
        <v>0.57886885556265588</v>
      </c>
      <c r="J153" s="127">
        <f t="shared" si="182"/>
        <v>0.57415477891020961</v>
      </c>
      <c r="K153" s="127">
        <f t="shared" si="182"/>
        <v>0.57129232998181834</v>
      </c>
      <c r="L153" s="127">
        <f t="shared" si="182"/>
        <v>0.5482154096299755</v>
      </c>
      <c r="M153" s="127">
        <f t="shared" si="182"/>
        <v>0.589399755655589</v>
      </c>
      <c r="N153" s="127">
        <f t="shared" si="182"/>
        <v>0.54292024811344042</v>
      </c>
      <c r="O153" s="127">
        <f t="shared" si="182"/>
        <v>0.51875865811544974</v>
      </c>
      <c r="P153" s="127">
        <f t="shared" si="182"/>
        <v>0.54332315633594075</v>
      </c>
      <c r="Q153" s="127">
        <f t="shared" si="182"/>
        <v>0.56858669840743492</v>
      </c>
      <c r="R153" s="127">
        <f t="shared" si="182"/>
        <v>0.57054050920689836</v>
      </c>
      <c r="S153" s="127">
        <f t="shared" si="182"/>
        <v>0.56656407354654525</v>
      </c>
      <c r="T153" s="127">
        <f t="shared" si="182"/>
        <v>0.57499213496917834</v>
      </c>
      <c r="U153" s="127">
        <f t="shared" si="182"/>
        <v>0.58086470645648702</v>
      </c>
      <c r="V153" s="127">
        <f t="shared" si="182"/>
        <v>0.62412576372668549</v>
      </c>
      <c r="W153" s="127">
        <f t="shared" si="182"/>
        <v>0.63229088409690848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0.72463557318641758</v>
      </c>
      <c r="C157" s="139">
        <f t="shared" ref="C157:W157" si="185">IF(C65=0,0,C65/C$64)</f>
        <v>0.71984084814974569</v>
      </c>
      <c r="D157" s="139">
        <f t="shared" si="185"/>
        <v>0.74792704211411087</v>
      </c>
      <c r="E157" s="139">
        <f t="shared" si="185"/>
        <v>0.74470124020950401</v>
      </c>
      <c r="F157" s="139">
        <f t="shared" si="185"/>
        <v>0.72430221200145251</v>
      </c>
      <c r="G157" s="139">
        <f t="shared" si="185"/>
        <v>0.71456506616795867</v>
      </c>
      <c r="H157" s="139">
        <f t="shared" si="185"/>
        <v>0.71623735790504606</v>
      </c>
      <c r="I157" s="139">
        <f t="shared" si="185"/>
        <v>0.71962876090775374</v>
      </c>
      <c r="J157" s="139">
        <f t="shared" si="185"/>
        <v>0.73042209911705358</v>
      </c>
      <c r="K157" s="139">
        <f t="shared" si="185"/>
        <v>0.74886963254793082</v>
      </c>
      <c r="L157" s="139">
        <f t="shared" si="185"/>
        <v>0.73986965202303923</v>
      </c>
      <c r="M157" s="139">
        <f t="shared" si="185"/>
        <v>0.73558290301330165</v>
      </c>
      <c r="N157" s="139">
        <f t="shared" si="185"/>
        <v>0.72064115153903729</v>
      </c>
      <c r="O157" s="139">
        <f t="shared" si="185"/>
        <v>0.71969708581006875</v>
      </c>
      <c r="P157" s="139">
        <f t="shared" si="185"/>
        <v>0.70982638158538724</v>
      </c>
      <c r="Q157" s="139">
        <f t="shared" si="185"/>
        <v>0.72893674320045132</v>
      </c>
      <c r="R157" s="139">
        <f t="shared" si="185"/>
        <v>0.71112634579407752</v>
      </c>
      <c r="S157" s="139">
        <f t="shared" si="185"/>
        <v>0.70485329927285867</v>
      </c>
      <c r="T157" s="139">
        <f t="shared" si="185"/>
        <v>0.69963771983731593</v>
      </c>
      <c r="U157" s="139">
        <f t="shared" si="185"/>
        <v>0.69327211685925205</v>
      </c>
      <c r="V157" s="139">
        <f t="shared" si="185"/>
        <v>0.85700788368670355</v>
      </c>
      <c r="W157" s="139">
        <f t="shared" si="185"/>
        <v>0.83216752186299392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7.0773516753762748E-3</v>
      </c>
      <c r="C158" s="140">
        <f t="shared" ref="C158:W158" si="186">IF(C66=0,0,C66/C$64)</f>
        <v>6.7191766071625792E-3</v>
      </c>
      <c r="D158" s="140">
        <f t="shared" si="186"/>
        <v>7.1368142676740713E-3</v>
      </c>
      <c r="E158" s="140">
        <f t="shared" si="186"/>
        <v>7.0177904311835163E-3</v>
      </c>
      <c r="F158" s="140">
        <f t="shared" si="186"/>
        <v>6.712663879748189E-3</v>
      </c>
      <c r="G158" s="140">
        <f t="shared" si="186"/>
        <v>6.6658674370529804E-3</v>
      </c>
      <c r="H158" s="140">
        <f t="shared" si="186"/>
        <v>6.849076597850657E-3</v>
      </c>
      <c r="I158" s="140">
        <f t="shared" si="186"/>
        <v>6.9149594453493278E-3</v>
      </c>
      <c r="J158" s="140">
        <f t="shared" si="186"/>
        <v>6.9677677111177581E-3</v>
      </c>
      <c r="K158" s="140">
        <f t="shared" si="186"/>
        <v>6.8843854501395409E-3</v>
      </c>
      <c r="L158" s="140">
        <f t="shared" si="186"/>
        <v>6.7171830823762524E-3</v>
      </c>
      <c r="M158" s="140">
        <f t="shared" si="186"/>
        <v>6.488043501196015E-3</v>
      </c>
      <c r="N158" s="140">
        <f t="shared" si="186"/>
        <v>6.8333362833281662E-3</v>
      </c>
      <c r="O158" s="140">
        <f t="shared" si="186"/>
        <v>6.9160671179132405E-3</v>
      </c>
      <c r="P158" s="140">
        <f t="shared" si="186"/>
        <v>6.8052810253007171E-3</v>
      </c>
      <c r="Q158" s="140">
        <f t="shared" si="186"/>
        <v>6.4990093767477233E-3</v>
      </c>
      <c r="R158" s="140">
        <f t="shared" si="186"/>
        <v>6.3412539459001358E-3</v>
      </c>
      <c r="S158" s="140">
        <f t="shared" si="186"/>
        <v>5.8697516770548066E-3</v>
      </c>
      <c r="T158" s="140">
        <f t="shared" si="186"/>
        <v>5.3851961176141954E-3</v>
      </c>
      <c r="U158" s="140">
        <f t="shared" si="186"/>
        <v>5.5864892763128043E-3</v>
      </c>
      <c r="V158" s="140">
        <f t="shared" si="186"/>
        <v>6.5584557298355205E-3</v>
      </c>
      <c r="W158" s="140">
        <f t="shared" si="186"/>
        <v>6.2848694453711386E-3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0.608137415949078</v>
      </c>
      <c r="C159" s="140">
        <f t="shared" ref="C159:W159" si="187">IF(C67=0,0,C67/C$64)</f>
        <v>0.60594698735898289</v>
      </c>
      <c r="D159" s="140">
        <f t="shared" si="187"/>
        <v>0.6334093621815684</v>
      </c>
      <c r="E159" s="140">
        <f t="shared" si="187"/>
        <v>0.63135648836997849</v>
      </c>
      <c r="F159" s="140">
        <f t="shared" si="187"/>
        <v>0.61659656506936056</v>
      </c>
      <c r="G159" s="140">
        <f t="shared" si="187"/>
        <v>0.6077422421662021</v>
      </c>
      <c r="H159" s="140">
        <f t="shared" si="187"/>
        <v>0.60941156555556319</v>
      </c>
      <c r="I159" s="140">
        <f t="shared" si="187"/>
        <v>0.61780248018303241</v>
      </c>
      <c r="J159" s="140">
        <f t="shared" si="187"/>
        <v>0.62533947239252863</v>
      </c>
      <c r="K159" s="140">
        <f t="shared" si="187"/>
        <v>0.63873910726029104</v>
      </c>
      <c r="L159" s="140">
        <f t="shared" si="187"/>
        <v>0.62816577409674434</v>
      </c>
      <c r="M159" s="140">
        <f t="shared" si="187"/>
        <v>0.63097260058371174</v>
      </c>
      <c r="N159" s="140">
        <f t="shared" si="187"/>
        <v>0.61972428635582588</v>
      </c>
      <c r="O159" s="140">
        <f t="shared" si="187"/>
        <v>0.62217603725063964</v>
      </c>
      <c r="P159" s="140">
        <f t="shared" si="187"/>
        <v>0.61187019409858157</v>
      </c>
      <c r="Q159" s="140">
        <f t="shared" si="187"/>
        <v>0.6334611404889593</v>
      </c>
      <c r="R159" s="140">
        <f t="shared" si="187"/>
        <v>0.61413238827254346</v>
      </c>
      <c r="S159" s="140">
        <f t="shared" si="187"/>
        <v>0.60430009555953201</v>
      </c>
      <c r="T159" s="140">
        <f t="shared" si="187"/>
        <v>0.60207258542390885</v>
      </c>
      <c r="U159" s="140">
        <f t="shared" si="187"/>
        <v>0.59841600269118933</v>
      </c>
      <c r="V159" s="140">
        <f t="shared" si="187"/>
        <v>0.7287683720357554</v>
      </c>
      <c r="W159" s="140">
        <f t="shared" si="187"/>
        <v>0.70938730779901382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0.10942080556196325</v>
      </c>
      <c r="C160" s="140">
        <f t="shared" ref="C160:W160" si="188">IF(C68=0,0,C68/C$64)</f>
        <v>0.10717468418360017</v>
      </c>
      <c r="D160" s="140">
        <f t="shared" si="188"/>
        <v>0.10738086566486837</v>
      </c>
      <c r="E160" s="140">
        <f t="shared" si="188"/>
        <v>0.10632696140834197</v>
      </c>
      <c r="F160" s="140">
        <f t="shared" si="188"/>
        <v>0.10099298305234376</v>
      </c>
      <c r="G160" s="140">
        <f t="shared" si="188"/>
        <v>0.10015695656470353</v>
      </c>
      <c r="H160" s="140">
        <f t="shared" si="188"/>
        <v>9.9976715751632222E-2</v>
      </c>
      <c r="I160" s="140">
        <f t="shared" si="188"/>
        <v>9.4911321279372018E-2</v>
      </c>
      <c r="J160" s="140">
        <f t="shared" si="188"/>
        <v>9.8114859013407232E-2</v>
      </c>
      <c r="K160" s="140">
        <f t="shared" si="188"/>
        <v>0.10324613983750014</v>
      </c>
      <c r="L160" s="140">
        <f t="shared" si="188"/>
        <v>0.10498669484391848</v>
      </c>
      <c r="M160" s="140">
        <f t="shared" si="188"/>
        <v>9.8122258928394018E-2</v>
      </c>
      <c r="N160" s="140">
        <f t="shared" si="188"/>
        <v>9.4083528899883237E-2</v>
      </c>
      <c r="O160" s="140">
        <f t="shared" si="188"/>
        <v>9.0604981441515936E-2</v>
      </c>
      <c r="P160" s="140">
        <f t="shared" si="188"/>
        <v>9.1150906461504991E-2</v>
      </c>
      <c r="Q160" s="140">
        <f t="shared" si="188"/>
        <v>8.8976593334744336E-2</v>
      </c>
      <c r="R160" s="140">
        <f t="shared" si="188"/>
        <v>9.0652703575633847E-2</v>
      </c>
      <c r="S160" s="140">
        <f t="shared" si="188"/>
        <v>9.468345203627182E-2</v>
      </c>
      <c r="T160" s="140">
        <f t="shared" si="188"/>
        <v>9.2179938295792879E-2</v>
      </c>
      <c r="U160" s="140">
        <f t="shared" si="188"/>
        <v>8.9269624891749944E-2</v>
      </c>
      <c r="V160" s="140">
        <f t="shared" si="188"/>
        <v>0.1216810559211127</v>
      </c>
      <c r="W160" s="140">
        <f t="shared" si="188"/>
        <v>0.1164953446186089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2.0328790958529092E-2</v>
      </c>
      <c r="C161" s="124">
        <f t="shared" ref="C161:W161" si="189">IF(C69=0,0,C69/C$64)</f>
        <v>1.9039591544905466E-2</v>
      </c>
      <c r="D161" s="124">
        <f t="shared" si="189"/>
        <v>1.990317973536004E-2</v>
      </c>
      <c r="E161" s="124">
        <f t="shared" si="189"/>
        <v>2.0277466692140481E-2</v>
      </c>
      <c r="F161" s="124">
        <f t="shared" si="189"/>
        <v>1.8974350298238435E-2</v>
      </c>
      <c r="G161" s="124">
        <f t="shared" si="189"/>
        <v>2.0461227625265126E-2</v>
      </c>
      <c r="H161" s="124">
        <f t="shared" si="189"/>
        <v>2.0008859348310457E-2</v>
      </c>
      <c r="I161" s="124">
        <f t="shared" si="189"/>
        <v>1.9433404482652305E-2</v>
      </c>
      <c r="J161" s="124">
        <f t="shared" si="189"/>
        <v>2.0749211392562247E-2</v>
      </c>
      <c r="K161" s="124">
        <f t="shared" si="189"/>
        <v>2.0961447478278855E-2</v>
      </c>
      <c r="L161" s="124">
        <f t="shared" si="189"/>
        <v>2.1531509331420229E-2</v>
      </c>
      <c r="M161" s="124">
        <f t="shared" si="189"/>
        <v>2.1568806842535766E-2</v>
      </c>
      <c r="N161" s="124">
        <f t="shared" si="189"/>
        <v>2.333663405150627E-2</v>
      </c>
      <c r="O161" s="124">
        <f t="shared" si="189"/>
        <v>2.305360505909641E-2</v>
      </c>
      <c r="P161" s="124">
        <f t="shared" si="189"/>
        <v>2.2744766387120731E-2</v>
      </c>
      <c r="Q161" s="124">
        <f t="shared" si="189"/>
        <v>2.1076753636654906E-2</v>
      </c>
      <c r="R161" s="124">
        <f t="shared" si="189"/>
        <v>2.124455874608629E-2</v>
      </c>
      <c r="S161" s="124">
        <f t="shared" si="189"/>
        <v>2.0464604728178876E-2</v>
      </c>
      <c r="T161" s="124">
        <f t="shared" si="189"/>
        <v>1.8318641225228569E-2</v>
      </c>
      <c r="U161" s="124">
        <f t="shared" si="189"/>
        <v>1.8511907148880097E-2</v>
      </c>
      <c r="V161" s="124">
        <f t="shared" si="189"/>
        <v>2.2110141006817709E-2</v>
      </c>
      <c r="W161" s="124">
        <f t="shared" si="189"/>
        <v>2.0445645517606081E-2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2.0328790958529092E-2</v>
      </c>
      <c r="C163" s="140">
        <f t="shared" ref="C163:W163" si="191">IF(C71=0,0,C71/C$64)</f>
        <v>1.9039591544905466E-2</v>
      </c>
      <c r="D163" s="140">
        <f t="shared" si="191"/>
        <v>1.990317973536004E-2</v>
      </c>
      <c r="E163" s="140">
        <f t="shared" si="191"/>
        <v>2.0277466692140481E-2</v>
      </c>
      <c r="F163" s="140">
        <f t="shared" si="191"/>
        <v>1.8974350298238435E-2</v>
      </c>
      <c r="G163" s="140">
        <f t="shared" si="191"/>
        <v>2.0461227625265126E-2</v>
      </c>
      <c r="H163" s="140">
        <f t="shared" si="191"/>
        <v>2.0008859348310457E-2</v>
      </c>
      <c r="I163" s="140">
        <f t="shared" si="191"/>
        <v>1.9433404482652305E-2</v>
      </c>
      <c r="J163" s="140">
        <f t="shared" si="191"/>
        <v>2.0749211392562247E-2</v>
      </c>
      <c r="K163" s="140">
        <f t="shared" si="191"/>
        <v>2.0961447478278855E-2</v>
      </c>
      <c r="L163" s="140">
        <f t="shared" si="191"/>
        <v>2.1531509331420229E-2</v>
      </c>
      <c r="M163" s="140">
        <f t="shared" si="191"/>
        <v>2.1568806842535766E-2</v>
      </c>
      <c r="N163" s="140">
        <f t="shared" si="191"/>
        <v>2.333663405150627E-2</v>
      </c>
      <c r="O163" s="140">
        <f t="shared" si="191"/>
        <v>2.305360505909641E-2</v>
      </c>
      <c r="P163" s="140">
        <f t="shared" si="191"/>
        <v>2.2744766387120731E-2</v>
      </c>
      <c r="Q163" s="140">
        <f t="shared" si="191"/>
        <v>2.1076753636654906E-2</v>
      </c>
      <c r="R163" s="140">
        <f t="shared" si="191"/>
        <v>2.124455874608629E-2</v>
      </c>
      <c r="S163" s="140">
        <f t="shared" si="191"/>
        <v>2.0464604728178876E-2</v>
      </c>
      <c r="T163" s="140">
        <f t="shared" si="191"/>
        <v>1.8318641225228569E-2</v>
      </c>
      <c r="U163" s="140">
        <f t="shared" si="191"/>
        <v>1.8511907148880097E-2</v>
      </c>
      <c r="V163" s="140">
        <f t="shared" si="191"/>
        <v>2.2110141006817709E-2</v>
      </c>
      <c r="W163" s="140">
        <f t="shared" si="191"/>
        <v>2.0445645517606081E-2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0.25503563585505329</v>
      </c>
      <c r="C165" s="124">
        <f t="shared" ref="C165:W165" si="193">IF(C73=0,0,C73/C$64)</f>
        <v>0.26111956030534883</v>
      </c>
      <c r="D165" s="124">
        <f t="shared" si="193"/>
        <v>0.23216977815052905</v>
      </c>
      <c r="E165" s="124">
        <f t="shared" si="193"/>
        <v>0.23502129309835551</v>
      </c>
      <c r="F165" s="124">
        <f t="shared" si="193"/>
        <v>0.25672343770030909</v>
      </c>
      <c r="G165" s="124">
        <f t="shared" si="193"/>
        <v>0.26497370620677618</v>
      </c>
      <c r="H165" s="124">
        <f t="shared" si="193"/>
        <v>0.26375378274664346</v>
      </c>
      <c r="I165" s="124">
        <f t="shared" si="193"/>
        <v>0.26093783460959397</v>
      </c>
      <c r="J165" s="124">
        <f t="shared" si="193"/>
        <v>0.24882868949038428</v>
      </c>
      <c r="K165" s="124">
        <f t="shared" si="193"/>
        <v>0.2301689199737903</v>
      </c>
      <c r="L165" s="124">
        <f t="shared" si="193"/>
        <v>0.23859883864554068</v>
      </c>
      <c r="M165" s="124">
        <f t="shared" si="193"/>
        <v>0.24284829014416248</v>
      </c>
      <c r="N165" s="124">
        <f t="shared" si="193"/>
        <v>0.25602221440945649</v>
      </c>
      <c r="O165" s="124">
        <f t="shared" si="193"/>
        <v>0.25724930913083477</v>
      </c>
      <c r="P165" s="124">
        <f t="shared" si="193"/>
        <v>0.267428852027492</v>
      </c>
      <c r="Q165" s="124">
        <f t="shared" si="193"/>
        <v>0.24998650316289389</v>
      </c>
      <c r="R165" s="124">
        <f t="shared" si="193"/>
        <v>0.26762909545983604</v>
      </c>
      <c r="S165" s="124">
        <f t="shared" si="193"/>
        <v>0.27468209599896237</v>
      </c>
      <c r="T165" s="124">
        <f t="shared" si="193"/>
        <v>0.28204363893745554</v>
      </c>
      <c r="U165" s="124">
        <f t="shared" si="193"/>
        <v>0.28821597599186788</v>
      </c>
      <c r="V165" s="124">
        <f t="shared" si="193"/>
        <v>0.12088197530647875</v>
      </c>
      <c r="W165" s="124">
        <f t="shared" si="193"/>
        <v>0.14738683261940011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1.4392331066952401E-2</v>
      </c>
      <c r="C166" s="140">
        <f t="shared" ref="C166:W166" si="194">IF(C74=0,0,C74/C$64)</f>
        <v>1.4822722423638629E-2</v>
      </c>
      <c r="D166" s="140">
        <f t="shared" si="194"/>
        <v>1.2587119012564943E-2</v>
      </c>
      <c r="E166" s="140">
        <f t="shared" si="194"/>
        <v>1.1992650379142612E-2</v>
      </c>
      <c r="F166" s="140">
        <f t="shared" si="194"/>
        <v>9.7121892303210604E-3</v>
      </c>
      <c r="G166" s="140">
        <f t="shared" si="194"/>
        <v>1.0156705873923094E-2</v>
      </c>
      <c r="H166" s="140">
        <f t="shared" si="194"/>
        <v>1.0673923084055499E-2</v>
      </c>
      <c r="I166" s="140">
        <f t="shared" si="194"/>
        <v>1.201039822028168E-2</v>
      </c>
      <c r="J166" s="140">
        <f t="shared" si="194"/>
        <v>1.2797973486419367E-2</v>
      </c>
      <c r="K166" s="140">
        <f t="shared" si="194"/>
        <v>1.325908224832535E-2</v>
      </c>
      <c r="L166" s="140">
        <f t="shared" si="194"/>
        <v>1.3860203932441828E-2</v>
      </c>
      <c r="M166" s="140">
        <f t="shared" si="194"/>
        <v>1.3129868453884445E-2</v>
      </c>
      <c r="N166" s="140">
        <f t="shared" si="194"/>
        <v>1.1916763496737428E-2</v>
      </c>
      <c r="O166" s="140">
        <f t="shared" si="194"/>
        <v>1.1671074618354664E-2</v>
      </c>
      <c r="P166" s="140">
        <f t="shared" si="194"/>
        <v>1.1001760491221998E-2</v>
      </c>
      <c r="Q166" s="140">
        <f t="shared" si="194"/>
        <v>9.7196037078363436E-3</v>
      </c>
      <c r="R166" s="140">
        <f t="shared" si="194"/>
        <v>9.9303845704692036E-3</v>
      </c>
      <c r="S166" s="140">
        <f t="shared" si="194"/>
        <v>9.4492744179755835E-3</v>
      </c>
      <c r="T166" s="140">
        <f t="shared" si="194"/>
        <v>8.6906787062834712E-3</v>
      </c>
      <c r="U166" s="140">
        <f t="shared" si="194"/>
        <v>8.756264740021568E-3</v>
      </c>
      <c r="V166" s="140">
        <f t="shared" si="194"/>
        <v>6.4237360469070826E-3</v>
      </c>
      <c r="W166" s="140">
        <f t="shared" si="194"/>
        <v>6.6617127997516479E-3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0.13563818695286367</v>
      </c>
      <c r="C167" s="140">
        <f t="shared" ref="C167:W167" si="195">IF(C75=0,0,C75/C$64)</f>
        <v>0.13882313976392779</v>
      </c>
      <c r="D167" s="140">
        <f t="shared" si="195"/>
        <v>0.12906231292116044</v>
      </c>
      <c r="E167" s="140">
        <f t="shared" si="195"/>
        <v>0.13280288029487253</v>
      </c>
      <c r="F167" s="140">
        <f t="shared" si="195"/>
        <v>0.1420134440022367</v>
      </c>
      <c r="G167" s="140">
        <f t="shared" si="195"/>
        <v>0.14584555030777019</v>
      </c>
      <c r="H167" s="140">
        <f t="shared" si="195"/>
        <v>0.14593251170990645</v>
      </c>
      <c r="I167" s="140">
        <f t="shared" si="195"/>
        <v>0.14519137813188759</v>
      </c>
      <c r="J167" s="140">
        <f t="shared" si="195"/>
        <v>0.13741798342831035</v>
      </c>
      <c r="K167" s="140">
        <f t="shared" si="195"/>
        <v>0.12209472575793266</v>
      </c>
      <c r="L167" s="140">
        <f t="shared" si="195"/>
        <v>0.12574274443647546</v>
      </c>
      <c r="M167" s="140">
        <f t="shared" si="195"/>
        <v>0.12908709392555151</v>
      </c>
      <c r="N167" s="140">
        <f t="shared" si="195"/>
        <v>0.13604823344400641</v>
      </c>
      <c r="O167" s="140">
        <f t="shared" si="195"/>
        <v>0.13728172140866474</v>
      </c>
      <c r="P167" s="140">
        <f t="shared" si="195"/>
        <v>0.14379585612705109</v>
      </c>
      <c r="Q167" s="140">
        <f t="shared" si="195"/>
        <v>0.13569192704404276</v>
      </c>
      <c r="R167" s="140">
        <f t="shared" si="195"/>
        <v>0.14981637970005868</v>
      </c>
      <c r="S167" s="140">
        <f t="shared" si="195"/>
        <v>0.1551885693200917</v>
      </c>
      <c r="T167" s="140">
        <f t="shared" si="195"/>
        <v>0.1585960389692492</v>
      </c>
      <c r="U167" s="140">
        <f t="shared" si="195"/>
        <v>0.15914896340292972</v>
      </c>
      <c r="V167" s="140">
        <f t="shared" si="195"/>
        <v>5.6906512575452123E-2</v>
      </c>
      <c r="W167" s="140">
        <f t="shared" si="195"/>
        <v>7.4762145309179295E-2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0.10500511783523718</v>
      </c>
      <c r="C168" s="140">
        <f t="shared" ref="C168:W168" si="196">IF(C76=0,0,C76/C$64)</f>
        <v>0.10747369811778243</v>
      </c>
      <c r="D168" s="140">
        <f t="shared" si="196"/>
        <v>9.0520346216803702E-2</v>
      </c>
      <c r="E168" s="140">
        <f t="shared" si="196"/>
        <v>9.0225762424340383E-2</v>
      </c>
      <c r="F168" s="140">
        <f t="shared" si="196"/>
        <v>0.10499780446775132</v>
      </c>
      <c r="G168" s="140">
        <f t="shared" si="196"/>
        <v>0.10897145002508288</v>
      </c>
      <c r="H168" s="140">
        <f t="shared" si="196"/>
        <v>0.10714734795268149</v>
      </c>
      <c r="I168" s="140">
        <f t="shared" si="196"/>
        <v>0.1037360582574247</v>
      </c>
      <c r="J168" s="140">
        <f t="shared" si="196"/>
        <v>9.8612732575654574E-2</v>
      </c>
      <c r="K168" s="140">
        <f t="shared" si="196"/>
        <v>9.4815111967532284E-2</v>
      </c>
      <c r="L168" s="140">
        <f t="shared" si="196"/>
        <v>9.8995890276623366E-2</v>
      </c>
      <c r="M168" s="140">
        <f t="shared" si="196"/>
        <v>0.10063132776472654</v>
      </c>
      <c r="N168" s="140">
        <f t="shared" si="196"/>
        <v>0.10805721746871268</v>
      </c>
      <c r="O168" s="140">
        <f t="shared" si="196"/>
        <v>0.10829651310381536</v>
      </c>
      <c r="P168" s="140">
        <f t="shared" si="196"/>
        <v>0.11263123540921892</v>
      </c>
      <c r="Q168" s="140">
        <f t="shared" si="196"/>
        <v>0.10457497241101478</v>
      </c>
      <c r="R168" s="140">
        <f t="shared" si="196"/>
        <v>0.10788233118930822</v>
      </c>
      <c r="S168" s="140">
        <f t="shared" si="196"/>
        <v>0.11004425226089505</v>
      </c>
      <c r="T168" s="140">
        <f t="shared" si="196"/>
        <v>0.11475692126192284</v>
      </c>
      <c r="U168" s="140">
        <f t="shared" si="196"/>
        <v>0.12031074784891656</v>
      </c>
      <c r="V168" s="140">
        <f t="shared" si="196"/>
        <v>5.7551726684119543E-2</v>
      </c>
      <c r="W168" s="140">
        <f t="shared" si="196"/>
        <v>6.5962974510469161E-2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0.87609596378147803</v>
      </c>
      <c r="C170" s="139">
        <f t="shared" ref="C170:W170" si="199">IF(C78=0,0,C78/C$77)</f>
        <v>0.87768491629525336</v>
      </c>
      <c r="D170" s="139">
        <f t="shared" si="199"/>
        <v>0.86810040927519438</v>
      </c>
      <c r="E170" s="139">
        <f t="shared" si="199"/>
        <v>0.87898335177636022</v>
      </c>
      <c r="F170" s="139">
        <f t="shared" si="199"/>
        <v>0.89684519264067875</v>
      </c>
      <c r="G170" s="139">
        <f t="shared" si="199"/>
        <v>0.88526636965982264</v>
      </c>
      <c r="H170" s="139">
        <f t="shared" si="199"/>
        <v>0.89848895256478267</v>
      </c>
      <c r="I170" s="139">
        <f t="shared" si="199"/>
        <v>0.91377180728550556</v>
      </c>
      <c r="J170" s="139">
        <f t="shared" si="199"/>
        <v>0.86315995575161741</v>
      </c>
      <c r="K170" s="139">
        <f t="shared" si="199"/>
        <v>0.86470965623031981</v>
      </c>
      <c r="L170" s="139">
        <f t="shared" si="199"/>
        <v>0.87412332596369824</v>
      </c>
      <c r="M170" s="139">
        <f t="shared" si="199"/>
        <v>0.86766757361272073</v>
      </c>
      <c r="N170" s="139">
        <f t="shared" si="199"/>
        <v>0.85503917998270862</v>
      </c>
      <c r="O170" s="139">
        <f t="shared" si="199"/>
        <v>0.85316263211647703</v>
      </c>
      <c r="P170" s="139">
        <f t="shared" si="199"/>
        <v>0.86902575695228546</v>
      </c>
      <c r="Q170" s="139">
        <f t="shared" si="199"/>
        <v>0.85787898290404885</v>
      </c>
      <c r="R170" s="139">
        <f t="shared" si="199"/>
        <v>0.88334406226557771</v>
      </c>
      <c r="S170" s="139">
        <f t="shared" si="199"/>
        <v>0.8876794373960909</v>
      </c>
      <c r="T170" s="139">
        <f t="shared" si="199"/>
        <v>0.893924456569124</v>
      </c>
      <c r="U170" s="139">
        <f t="shared" si="199"/>
        <v>0.88351188592997243</v>
      </c>
      <c r="V170" s="139">
        <f t="shared" si="199"/>
        <v>0.88337751563261091</v>
      </c>
      <c r="W170" s="139">
        <f t="shared" si="199"/>
        <v>0.8663390275870344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0.40973390092769463</v>
      </c>
      <c r="C171" s="140">
        <f t="shared" ref="C171:W171" si="200">IF(C79=0,0,C79/C$77)</f>
        <v>0.4060467380869468</v>
      </c>
      <c r="D171" s="140">
        <f t="shared" si="200"/>
        <v>0.39589923288371087</v>
      </c>
      <c r="E171" s="140">
        <f t="shared" si="200"/>
        <v>0.37686978202779309</v>
      </c>
      <c r="F171" s="140">
        <f t="shared" si="200"/>
        <v>0.37975782067288361</v>
      </c>
      <c r="G171" s="140">
        <f t="shared" si="200"/>
        <v>0.38344093188620537</v>
      </c>
      <c r="H171" s="140">
        <f t="shared" si="200"/>
        <v>0.39793067742059807</v>
      </c>
      <c r="I171" s="140">
        <f t="shared" si="200"/>
        <v>0.41598816519480736</v>
      </c>
      <c r="J171" s="140">
        <f t="shared" si="200"/>
        <v>0.40441780470232425</v>
      </c>
      <c r="K171" s="140">
        <f t="shared" si="200"/>
        <v>0.42303153203516103</v>
      </c>
      <c r="L171" s="140">
        <f t="shared" si="200"/>
        <v>0.41534649215660907</v>
      </c>
      <c r="M171" s="140">
        <f t="shared" si="200"/>
        <v>0.39203577859265121</v>
      </c>
      <c r="N171" s="140">
        <f t="shared" si="200"/>
        <v>0.38890665960418153</v>
      </c>
      <c r="O171" s="140">
        <f t="shared" si="200"/>
        <v>0.37970107662227198</v>
      </c>
      <c r="P171" s="140">
        <f t="shared" si="200"/>
        <v>0.3616200989135499</v>
      </c>
      <c r="Q171" s="140">
        <f t="shared" si="200"/>
        <v>0.37336874003922021</v>
      </c>
      <c r="R171" s="140">
        <f t="shared" si="200"/>
        <v>0.35665716107443962</v>
      </c>
      <c r="S171" s="140">
        <f t="shared" si="200"/>
        <v>0.35924873338214058</v>
      </c>
      <c r="T171" s="140">
        <f t="shared" si="200"/>
        <v>0.35569556694404619</v>
      </c>
      <c r="U171" s="140">
        <f t="shared" si="200"/>
        <v>0.34746990673080413</v>
      </c>
      <c r="V171" s="140">
        <f t="shared" si="200"/>
        <v>0.33679895058102127</v>
      </c>
      <c r="W171" s="140">
        <f t="shared" si="200"/>
        <v>0.32798088262577063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0.4663620628537834</v>
      </c>
      <c r="C172" s="140">
        <f t="shared" ref="C172:W172" si="201">IF(C80=0,0,C80/C$77)</f>
        <v>0.47163817820830639</v>
      </c>
      <c r="D172" s="140">
        <f t="shared" si="201"/>
        <v>0.47220117639148346</v>
      </c>
      <c r="E172" s="140">
        <f t="shared" si="201"/>
        <v>0.50211356974856702</v>
      </c>
      <c r="F172" s="140">
        <f t="shared" si="201"/>
        <v>0.5170873719677952</v>
      </c>
      <c r="G172" s="140">
        <f t="shared" si="201"/>
        <v>0.50182543777361732</v>
      </c>
      <c r="H172" s="140">
        <f t="shared" si="201"/>
        <v>0.50055827514418461</v>
      </c>
      <c r="I172" s="140">
        <f t="shared" si="201"/>
        <v>0.49778364209069814</v>
      </c>
      <c r="J172" s="140">
        <f t="shared" si="201"/>
        <v>0.45874215104929311</v>
      </c>
      <c r="K172" s="140">
        <f t="shared" si="201"/>
        <v>0.44167812419515884</v>
      </c>
      <c r="L172" s="140">
        <f t="shared" si="201"/>
        <v>0.45877683380708917</v>
      </c>
      <c r="M172" s="140">
        <f t="shared" si="201"/>
        <v>0.47563179502006936</v>
      </c>
      <c r="N172" s="140">
        <f t="shared" si="201"/>
        <v>0.46613252037852709</v>
      </c>
      <c r="O172" s="140">
        <f t="shared" si="201"/>
        <v>0.47346155549420499</v>
      </c>
      <c r="P172" s="140">
        <f t="shared" si="201"/>
        <v>0.5074056580387355</v>
      </c>
      <c r="Q172" s="140">
        <f t="shared" si="201"/>
        <v>0.48451024286482863</v>
      </c>
      <c r="R172" s="140">
        <f t="shared" si="201"/>
        <v>0.52668690119113815</v>
      </c>
      <c r="S172" s="140">
        <f t="shared" si="201"/>
        <v>0.52843070401395043</v>
      </c>
      <c r="T172" s="140">
        <f t="shared" si="201"/>
        <v>0.53822888962507776</v>
      </c>
      <c r="U172" s="140">
        <f t="shared" si="201"/>
        <v>0.53604197919916829</v>
      </c>
      <c r="V172" s="140">
        <f t="shared" si="201"/>
        <v>0.54657856505158964</v>
      </c>
      <c r="W172" s="140">
        <f t="shared" si="201"/>
        <v>0.53835814496126377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6.6263733513208514E-3</v>
      </c>
      <c r="C173" s="124">
        <f t="shared" ref="C173:W173" si="202">IF(C81=0,0,C81/C$77)</f>
        <v>5.945720876185649E-3</v>
      </c>
      <c r="D173" s="124">
        <f t="shared" si="202"/>
        <v>5.1758024760071636E-3</v>
      </c>
      <c r="E173" s="124">
        <f t="shared" si="202"/>
        <v>4.5068645924197931E-3</v>
      </c>
      <c r="F173" s="124">
        <f t="shared" si="202"/>
        <v>4.8252369134902037E-3</v>
      </c>
      <c r="G173" s="124">
        <f t="shared" si="202"/>
        <v>4.2306232048749367E-3</v>
      </c>
      <c r="H173" s="124">
        <f t="shared" si="202"/>
        <v>4.0117944660123328E-3</v>
      </c>
      <c r="I173" s="124">
        <f t="shared" si="202"/>
        <v>3.4893712718505978E-3</v>
      </c>
      <c r="J173" s="124">
        <f t="shared" si="202"/>
        <v>3.3929718511948193E-3</v>
      </c>
      <c r="K173" s="124">
        <f t="shared" si="202"/>
        <v>3.6489031706990285E-3</v>
      </c>
      <c r="L173" s="124">
        <f t="shared" si="202"/>
        <v>4.8282463405963007E-3</v>
      </c>
      <c r="M173" s="124">
        <f t="shared" si="202"/>
        <v>5.9841849709231561E-3</v>
      </c>
      <c r="N173" s="124">
        <f t="shared" si="202"/>
        <v>5.3845958875047301E-3</v>
      </c>
      <c r="O173" s="124">
        <f t="shared" si="202"/>
        <v>5.8461590460896521E-3</v>
      </c>
      <c r="P173" s="124">
        <f t="shared" si="202"/>
        <v>6.4209627393599575E-3</v>
      </c>
      <c r="Q173" s="124">
        <f t="shared" si="202"/>
        <v>6.9285514451898093E-3</v>
      </c>
      <c r="R173" s="124">
        <f t="shared" si="202"/>
        <v>6.5634425389599332E-3</v>
      </c>
      <c r="S173" s="124">
        <f t="shared" si="202"/>
        <v>6.0485753873971574E-3</v>
      </c>
      <c r="T173" s="124">
        <f t="shared" si="202"/>
        <v>5.3377063603569867E-3</v>
      </c>
      <c r="U173" s="124">
        <f t="shared" si="202"/>
        <v>5.1382444271871226E-3</v>
      </c>
      <c r="V173" s="124">
        <f t="shared" si="202"/>
        <v>5.0095143654519366E-3</v>
      </c>
      <c r="W173" s="124">
        <f t="shared" si="202"/>
        <v>3.8173336410723957E-3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5.1398620248984568E-3</v>
      </c>
      <c r="C174" s="124">
        <f t="shared" ref="C174:W174" si="203">IF(C82=0,0,C82/C$77)</f>
        <v>5.106019948138244E-3</v>
      </c>
      <c r="D174" s="124">
        <f t="shared" si="203"/>
        <v>4.6211472855769258E-3</v>
      </c>
      <c r="E174" s="124">
        <f t="shared" si="203"/>
        <v>3.4534301819954304E-3</v>
      </c>
      <c r="F174" s="124">
        <f t="shared" si="203"/>
        <v>3.7145657296672862E-3</v>
      </c>
      <c r="G174" s="124">
        <f t="shared" si="203"/>
        <v>4.1542972458146346E-3</v>
      </c>
      <c r="H174" s="124">
        <f t="shared" si="203"/>
        <v>4.7736065115152283E-3</v>
      </c>
      <c r="I174" s="124">
        <f t="shared" si="203"/>
        <v>4.5002165060087675E-3</v>
      </c>
      <c r="J174" s="124">
        <f t="shared" si="203"/>
        <v>3.4062977940488834E-2</v>
      </c>
      <c r="K174" s="124">
        <f t="shared" si="203"/>
        <v>2.7326319177112104E-2</v>
      </c>
      <c r="L174" s="124">
        <f t="shared" si="203"/>
        <v>2.9148313949255451E-2</v>
      </c>
      <c r="M174" s="124">
        <f t="shared" si="203"/>
        <v>2.9925837650077093E-2</v>
      </c>
      <c r="N174" s="124">
        <f t="shared" si="203"/>
        <v>3.5139832313188797E-2</v>
      </c>
      <c r="O174" s="124">
        <f t="shared" si="203"/>
        <v>3.0995011227511089E-2</v>
      </c>
      <c r="P174" s="124">
        <f t="shared" si="203"/>
        <v>3.6765506851911177E-2</v>
      </c>
      <c r="Q174" s="124">
        <f t="shared" si="203"/>
        <v>3.3871162636888892E-2</v>
      </c>
      <c r="R174" s="124">
        <f t="shared" si="203"/>
        <v>2.5717898068538952E-2</v>
      </c>
      <c r="S174" s="124">
        <f t="shared" si="203"/>
        <v>2.589921569857994E-2</v>
      </c>
      <c r="T174" s="124">
        <f t="shared" si="203"/>
        <v>1.8923194183712667E-2</v>
      </c>
      <c r="U174" s="124">
        <f t="shared" si="203"/>
        <v>2.2949334464072189E-2</v>
      </c>
      <c r="V174" s="124">
        <f t="shared" si="203"/>
        <v>2.1887307819599307E-2</v>
      </c>
      <c r="W174" s="124">
        <f t="shared" si="203"/>
        <v>2.9753365394716104E-2</v>
      </c>
      <c r="DA174" s="176"/>
    </row>
    <row r="175" spans="1:105" ht="11.45" customHeight="1" x14ac:dyDescent="0.25">
      <c r="A175" s="128" t="s">
        <v>27</v>
      </c>
      <c r="B175" s="140">
        <f t="shared" si="197"/>
        <v>1.6443735924614092E-4</v>
      </c>
      <c r="C175" s="140">
        <f t="shared" ref="C175:W175" si="204">IF(C83=0,0,C83/C$77)</f>
        <v>1.6658690720972215E-4</v>
      </c>
      <c r="D175" s="140">
        <f t="shared" si="204"/>
        <v>1.1955391675881877E-4</v>
      </c>
      <c r="E175" s="140">
        <f t="shared" si="204"/>
        <v>6.4421953367042821E-5</v>
      </c>
      <c r="F175" s="140">
        <f t="shared" si="204"/>
        <v>4.2088587438459449E-5</v>
      </c>
      <c r="G175" s="140">
        <f t="shared" si="204"/>
        <v>5.2058434526331965E-5</v>
      </c>
      <c r="H175" s="140">
        <f t="shared" si="204"/>
        <v>6.1892280973173191E-5</v>
      </c>
      <c r="I175" s="140">
        <f t="shared" si="204"/>
        <v>6.337040374325397E-5</v>
      </c>
      <c r="J175" s="140">
        <f t="shared" si="204"/>
        <v>1.2571881964862686E-4</v>
      </c>
      <c r="K175" s="140">
        <f t="shared" si="204"/>
        <v>1.3028948100984511E-4</v>
      </c>
      <c r="L175" s="140">
        <f t="shared" si="204"/>
        <v>5.7521172095964995E-5</v>
      </c>
      <c r="M175" s="140">
        <f t="shared" si="204"/>
        <v>3.4676717977927916E-5</v>
      </c>
      <c r="N175" s="140">
        <f t="shared" si="204"/>
        <v>3.7872959170948707E-5</v>
      </c>
      <c r="O175" s="140">
        <f t="shared" si="204"/>
        <v>4.0402917233892027E-5</v>
      </c>
      <c r="P175" s="140">
        <f t="shared" si="204"/>
        <v>3.7673090817033672E-5</v>
      </c>
      <c r="Q175" s="140">
        <f t="shared" si="204"/>
        <v>3.1869955753689417E-5</v>
      </c>
      <c r="R175" s="140">
        <f t="shared" si="204"/>
        <v>7.2730469852364367E-6</v>
      </c>
      <c r="S175" s="140">
        <f t="shared" si="204"/>
        <v>1.1853256098356336E-5</v>
      </c>
      <c r="T175" s="140">
        <f t="shared" si="204"/>
        <v>1.4684044840474042E-5</v>
      </c>
      <c r="U175" s="140">
        <f t="shared" si="204"/>
        <v>1.2787913359091887E-5</v>
      </c>
      <c r="V175" s="140">
        <f t="shared" si="204"/>
        <v>1.6686328269122103E-5</v>
      </c>
      <c r="W175" s="140">
        <f t="shared" si="204"/>
        <v>2.6726683383821399E-5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4.5113317671321837E-3</v>
      </c>
      <c r="C176" s="140">
        <f t="shared" ref="C176:W176" si="205">IF(C84=0,0,C84/C$77)</f>
        <v>4.4713313942940213E-3</v>
      </c>
      <c r="D176" s="140">
        <f t="shared" si="205"/>
        <v>3.9863269919545377E-3</v>
      </c>
      <c r="E176" s="140">
        <f t="shared" si="205"/>
        <v>2.8329331587643326E-3</v>
      </c>
      <c r="F176" s="140">
        <f t="shared" si="205"/>
        <v>3.1216779120797284E-3</v>
      </c>
      <c r="G176" s="140">
        <f t="shared" si="205"/>
        <v>3.733584957619883E-3</v>
      </c>
      <c r="H176" s="140">
        <f t="shared" si="205"/>
        <v>4.5327192232661566E-3</v>
      </c>
      <c r="I176" s="140">
        <f t="shared" si="205"/>
        <v>4.2203199118484467E-3</v>
      </c>
      <c r="J176" s="140">
        <f t="shared" si="205"/>
        <v>8.7018519569585506E-3</v>
      </c>
      <c r="K176" s="140">
        <f t="shared" si="205"/>
        <v>6.3201488343192754E-3</v>
      </c>
      <c r="L176" s="140">
        <f t="shared" si="205"/>
        <v>4.3604318479215608E-3</v>
      </c>
      <c r="M176" s="140">
        <f t="shared" si="205"/>
        <v>4.564336651417286E-3</v>
      </c>
      <c r="N176" s="140">
        <f t="shared" si="205"/>
        <v>4.4977085797202583E-3</v>
      </c>
      <c r="O176" s="140">
        <f t="shared" si="205"/>
        <v>3.8470539349728531E-3</v>
      </c>
      <c r="P176" s="140">
        <f t="shared" si="205"/>
        <v>6.4106402349380113E-3</v>
      </c>
      <c r="Q176" s="140">
        <f t="shared" si="205"/>
        <v>6.4861416979040938E-3</v>
      </c>
      <c r="R176" s="140">
        <f t="shared" si="205"/>
        <v>5.066345330368368E-3</v>
      </c>
      <c r="S176" s="140">
        <f t="shared" si="205"/>
        <v>6.1745963769273722E-3</v>
      </c>
      <c r="T176" s="140">
        <f t="shared" si="205"/>
        <v>6.1676519047581023E-3</v>
      </c>
      <c r="U176" s="140">
        <f t="shared" si="205"/>
        <v>7.4002735622169542E-3</v>
      </c>
      <c r="V176" s="140">
        <f t="shared" si="205"/>
        <v>7.3997160518925404E-3</v>
      </c>
      <c r="W176" s="140">
        <f t="shared" si="205"/>
        <v>1.0230974937402876E-2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4.6409289852013171E-4</v>
      </c>
      <c r="C177" s="140">
        <f t="shared" ref="C177:W177" si="206">IF(C85=0,0,C85/C$77)</f>
        <v>4.6810164663450138E-4</v>
      </c>
      <c r="D177" s="140">
        <f t="shared" si="206"/>
        <v>5.1526637686356987E-4</v>
      </c>
      <c r="E177" s="140">
        <f t="shared" si="206"/>
        <v>5.5607506986405503E-4</v>
      </c>
      <c r="F177" s="140">
        <f t="shared" si="206"/>
        <v>5.5079923014909893E-4</v>
      </c>
      <c r="G177" s="140">
        <f t="shared" si="206"/>
        <v>3.6865385366841974E-4</v>
      </c>
      <c r="H177" s="140">
        <f t="shared" si="206"/>
        <v>1.789950072758983E-4</v>
      </c>
      <c r="I177" s="140">
        <f t="shared" si="206"/>
        <v>2.1652619041706632E-4</v>
      </c>
      <c r="J177" s="140">
        <f t="shared" si="206"/>
        <v>2.5235407163881653E-2</v>
      </c>
      <c r="K177" s="140">
        <f t="shared" si="206"/>
        <v>2.0875880861782985E-2</v>
      </c>
      <c r="L177" s="140">
        <f t="shared" si="206"/>
        <v>2.4730360929237923E-2</v>
      </c>
      <c r="M177" s="140">
        <f t="shared" si="206"/>
        <v>2.5326824280681875E-2</v>
      </c>
      <c r="N177" s="140">
        <f t="shared" si="206"/>
        <v>3.0604250774297591E-2</v>
      </c>
      <c r="O177" s="140">
        <f t="shared" si="206"/>
        <v>2.7107554375304346E-2</v>
      </c>
      <c r="P177" s="140">
        <f t="shared" si="206"/>
        <v>3.0317193526156132E-2</v>
      </c>
      <c r="Q177" s="140">
        <f t="shared" si="206"/>
        <v>2.7353150983231107E-2</v>
      </c>
      <c r="R177" s="140">
        <f t="shared" si="206"/>
        <v>2.0644279691185343E-2</v>
      </c>
      <c r="S177" s="140">
        <f t="shared" si="206"/>
        <v>1.9712766065554211E-2</v>
      </c>
      <c r="T177" s="140">
        <f t="shared" si="206"/>
        <v>1.2740858234114092E-2</v>
      </c>
      <c r="U177" s="140">
        <f t="shared" si="206"/>
        <v>1.5536272988496143E-2</v>
      </c>
      <c r="V177" s="140">
        <f t="shared" si="206"/>
        <v>1.4470905439437643E-2</v>
      </c>
      <c r="W177" s="140">
        <f t="shared" si="206"/>
        <v>1.9495663773929407E-2</v>
      </c>
      <c r="DA177" s="175"/>
    </row>
    <row r="178" spans="1:105" ht="11.45" customHeight="1" x14ac:dyDescent="0.25">
      <c r="A178" s="109" t="s">
        <v>142</v>
      </c>
      <c r="B178" s="124">
        <f t="shared" si="197"/>
        <v>0.11213780084230258</v>
      </c>
      <c r="C178" s="124">
        <f t="shared" ref="C178:W178" si="207">IF(C86=0,0,C86/C$77)</f>
        <v>0.11126334288042267</v>
      </c>
      <c r="D178" s="124">
        <f t="shared" si="207"/>
        <v>0.12210264096322139</v>
      </c>
      <c r="E178" s="124">
        <f t="shared" si="207"/>
        <v>0.11305635344922464</v>
      </c>
      <c r="F178" s="124">
        <f t="shared" si="207"/>
        <v>9.4615004716163673E-2</v>
      </c>
      <c r="G178" s="124">
        <f t="shared" si="207"/>
        <v>0.10634870988948794</v>
      </c>
      <c r="H178" s="124">
        <f t="shared" si="207"/>
        <v>9.2725646457689728E-2</v>
      </c>
      <c r="I178" s="124">
        <f t="shared" si="207"/>
        <v>7.8238604936634995E-2</v>
      </c>
      <c r="J178" s="124">
        <f t="shared" si="207"/>
        <v>9.9384094456698852E-2</v>
      </c>
      <c r="K178" s="124">
        <f t="shared" si="207"/>
        <v>0.10431512142186904</v>
      </c>
      <c r="L178" s="124">
        <f t="shared" si="207"/>
        <v>9.1900113746450102E-2</v>
      </c>
      <c r="M178" s="124">
        <f t="shared" si="207"/>
        <v>9.6422403766279252E-2</v>
      </c>
      <c r="N178" s="124">
        <f t="shared" si="207"/>
        <v>0.10443639181659786</v>
      </c>
      <c r="O178" s="124">
        <f t="shared" si="207"/>
        <v>0.1099961976099223</v>
      </c>
      <c r="P178" s="124">
        <f t="shared" si="207"/>
        <v>8.778777345644348E-2</v>
      </c>
      <c r="Q178" s="124">
        <f t="shared" si="207"/>
        <v>0.10132130301387247</v>
      </c>
      <c r="R178" s="124">
        <f t="shared" si="207"/>
        <v>8.4374597126923342E-2</v>
      </c>
      <c r="S178" s="124">
        <f t="shared" si="207"/>
        <v>8.0372771517932123E-2</v>
      </c>
      <c r="T178" s="124">
        <f t="shared" si="207"/>
        <v>8.1814642886806344E-2</v>
      </c>
      <c r="U178" s="124">
        <f t="shared" si="207"/>
        <v>8.8400535178768419E-2</v>
      </c>
      <c r="V178" s="124">
        <f t="shared" si="207"/>
        <v>8.9725662182337934E-2</v>
      </c>
      <c r="W178" s="124">
        <f t="shared" si="207"/>
        <v>0.10009027337717695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0.11213780084230258</v>
      </c>
      <c r="C179" s="140">
        <f t="shared" ref="C179:W179" si="208">IF(C87=0,0,C87/C$77)</f>
        <v>0.11126334288042267</v>
      </c>
      <c r="D179" s="140">
        <f t="shared" si="208"/>
        <v>0.12210264096322139</v>
      </c>
      <c r="E179" s="140">
        <f t="shared" si="208"/>
        <v>0.11305635344922464</v>
      </c>
      <c r="F179" s="140">
        <f t="shared" si="208"/>
        <v>9.4615004716163673E-2</v>
      </c>
      <c r="G179" s="140">
        <f t="shared" si="208"/>
        <v>0.10634870988948794</v>
      </c>
      <c r="H179" s="140">
        <f t="shared" si="208"/>
        <v>9.2725646457689728E-2</v>
      </c>
      <c r="I179" s="140">
        <f t="shared" si="208"/>
        <v>7.8238604936634995E-2</v>
      </c>
      <c r="J179" s="140">
        <f t="shared" si="208"/>
        <v>9.9384094456698852E-2</v>
      </c>
      <c r="K179" s="140">
        <f t="shared" si="208"/>
        <v>0.10431512142186904</v>
      </c>
      <c r="L179" s="140">
        <f t="shared" si="208"/>
        <v>9.1900113746450102E-2</v>
      </c>
      <c r="M179" s="140">
        <f t="shared" si="208"/>
        <v>9.6422403766279252E-2</v>
      </c>
      <c r="N179" s="140">
        <f t="shared" si="208"/>
        <v>0.10443639181659786</v>
      </c>
      <c r="O179" s="140">
        <f t="shared" si="208"/>
        <v>0.1099961976099223</v>
      </c>
      <c r="P179" s="140">
        <f t="shared" si="208"/>
        <v>8.778777345644348E-2</v>
      </c>
      <c r="Q179" s="140">
        <f t="shared" si="208"/>
        <v>0.10132130301387247</v>
      </c>
      <c r="R179" s="140">
        <f t="shared" si="208"/>
        <v>8.4374597126923342E-2</v>
      </c>
      <c r="S179" s="140">
        <f t="shared" si="208"/>
        <v>8.0372771517932123E-2</v>
      </c>
      <c r="T179" s="140">
        <f t="shared" si="208"/>
        <v>8.1814642886806344E-2</v>
      </c>
      <c r="U179" s="140">
        <f t="shared" si="208"/>
        <v>8.8400535178768419E-2</v>
      </c>
      <c r="V179" s="140">
        <f t="shared" si="208"/>
        <v>8.9725662182337934E-2</v>
      </c>
      <c r="W179" s="140">
        <f t="shared" si="208"/>
        <v>0.10009027337717695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0.42268076623215639</v>
      </c>
      <c r="C182" s="140">
        <f t="shared" ref="C182:W182" si="211">IF(C90=0,0,C90/C$89)</f>
        <v>0.42182251414313304</v>
      </c>
      <c r="D182" s="140">
        <f t="shared" si="211"/>
        <v>0.42980526005975378</v>
      </c>
      <c r="E182" s="140">
        <f t="shared" si="211"/>
        <v>0.4094594213961843</v>
      </c>
      <c r="F182" s="140">
        <f t="shared" si="211"/>
        <v>0.44046937891105037</v>
      </c>
      <c r="G182" s="140">
        <f t="shared" si="211"/>
        <v>0.44816561118843556</v>
      </c>
      <c r="H182" s="140">
        <f t="shared" si="211"/>
        <v>0.40502454636957896</v>
      </c>
      <c r="I182" s="140">
        <f t="shared" si="211"/>
        <v>0.41773361258816749</v>
      </c>
      <c r="J182" s="140">
        <f t="shared" si="211"/>
        <v>0.42098743461140981</v>
      </c>
      <c r="K182" s="140">
        <f t="shared" si="211"/>
        <v>0.42077670074667783</v>
      </c>
      <c r="L182" s="140">
        <f t="shared" si="211"/>
        <v>0.44535160316148742</v>
      </c>
      <c r="M182" s="140">
        <f t="shared" si="211"/>
        <v>0.40465480365243978</v>
      </c>
      <c r="N182" s="140">
        <f t="shared" si="211"/>
        <v>0.44933308168564706</v>
      </c>
      <c r="O182" s="140">
        <f t="shared" si="211"/>
        <v>0.47457644468336607</v>
      </c>
      <c r="P182" s="140">
        <f t="shared" si="211"/>
        <v>0.45000198939582048</v>
      </c>
      <c r="Q182" s="140">
        <f t="shared" si="211"/>
        <v>0.42371170430506189</v>
      </c>
      <c r="R182" s="140">
        <f t="shared" si="211"/>
        <v>0.42248480000227684</v>
      </c>
      <c r="S182" s="140">
        <f t="shared" si="211"/>
        <v>0.42863895386672446</v>
      </c>
      <c r="T182" s="140">
        <f t="shared" si="211"/>
        <v>0.41831171194828948</v>
      </c>
      <c r="U182" s="140">
        <f t="shared" si="211"/>
        <v>0.41129073122923143</v>
      </c>
      <c r="V182" s="140">
        <f t="shared" si="211"/>
        <v>0.3696869459639805</v>
      </c>
      <c r="W182" s="140">
        <f t="shared" si="211"/>
        <v>0.36405921523972151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0.57731923376784366</v>
      </c>
      <c r="C183" s="127">
        <f t="shared" ref="C183:W183" si="212">IF(C91=0,0,C91/C$89)</f>
        <v>0.57817748585686701</v>
      </c>
      <c r="D183" s="127">
        <f t="shared" si="212"/>
        <v>0.57019473994024628</v>
      </c>
      <c r="E183" s="127">
        <f t="shared" si="212"/>
        <v>0.59054057860381581</v>
      </c>
      <c r="F183" s="127">
        <f t="shared" si="212"/>
        <v>0.55953062108894969</v>
      </c>
      <c r="G183" s="127">
        <f t="shared" si="212"/>
        <v>0.55183438881156455</v>
      </c>
      <c r="H183" s="127">
        <f t="shared" si="212"/>
        <v>0.59497545363042104</v>
      </c>
      <c r="I183" s="127">
        <f t="shared" si="212"/>
        <v>0.58226638741183256</v>
      </c>
      <c r="J183" s="127">
        <f t="shared" si="212"/>
        <v>0.57901256538859014</v>
      </c>
      <c r="K183" s="127">
        <f t="shared" si="212"/>
        <v>0.57922329925332228</v>
      </c>
      <c r="L183" s="127">
        <f t="shared" si="212"/>
        <v>0.55464839683851264</v>
      </c>
      <c r="M183" s="127">
        <f t="shared" si="212"/>
        <v>0.59534519634756022</v>
      </c>
      <c r="N183" s="127">
        <f t="shared" si="212"/>
        <v>0.55066691831435288</v>
      </c>
      <c r="O183" s="127">
        <f t="shared" si="212"/>
        <v>0.52542355531663398</v>
      </c>
      <c r="P183" s="127">
        <f t="shared" si="212"/>
        <v>0.54999801060417952</v>
      </c>
      <c r="Q183" s="127">
        <f t="shared" si="212"/>
        <v>0.57628829569493811</v>
      </c>
      <c r="R183" s="127">
        <f t="shared" si="212"/>
        <v>0.57751519999772327</v>
      </c>
      <c r="S183" s="127">
        <f t="shared" si="212"/>
        <v>0.57136104613327554</v>
      </c>
      <c r="T183" s="127">
        <f t="shared" si="212"/>
        <v>0.58168828805171058</v>
      </c>
      <c r="U183" s="127">
        <f t="shared" si="212"/>
        <v>0.58870926877076857</v>
      </c>
      <c r="V183" s="127">
        <f t="shared" si="212"/>
        <v>0.63031305403601956</v>
      </c>
      <c r="W183" s="127">
        <f t="shared" si="212"/>
        <v>0.63594078476027838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40.873410354494972</v>
      </c>
      <c r="C186" s="32">
        <f t="shared" si="213"/>
        <v>40.72433163998847</v>
      </c>
      <c r="D186" s="32">
        <f t="shared" si="213"/>
        <v>39.770954135727735</v>
      </c>
      <c r="E186" s="32">
        <f t="shared" si="213"/>
        <v>40.737233417201587</v>
      </c>
      <c r="F186" s="32">
        <f t="shared" si="213"/>
        <v>40.784113902960719</v>
      </c>
      <c r="G186" s="32">
        <f t="shared" si="213"/>
        <v>41.160481853207486</v>
      </c>
      <c r="H186" s="32">
        <f t="shared" si="213"/>
        <v>41.251714857610501</v>
      </c>
      <c r="I186" s="32">
        <f t="shared" si="213"/>
        <v>42.385467069246396</v>
      </c>
      <c r="J186" s="32">
        <f t="shared" si="213"/>
        <v>41.463229641565576</v>
      </c>
      <c r="K186" s="32">
        <f t="shared" si="213"/>
        <v>40.449705354633373</v>
      </c>
      <c r="L186" s="32">
        <f t="shared" si="213"/>
        <v>39.825474963423908</v>
      </c>
      <c r="M186" s="32">
        <f t="shared" si="213"/>
        <v>40.036026542404556</v>
      </c>
      <c r="N186" s="32">
        <f t="shared" si="213"/>
        <v>38.050443587028305</v>
      </c>
      <c r="O186" s="32">
        <f t="shared" si="213"/>
        <v>37.245315872250139</v>
      </c>
      <c r="P186" s="32">
        <f t="shared" si="213"/>
        <v>37.104746782282469</v>
      </c>
      <c r="Q186" s="32">
        <f t="shared" si="213"/>
        <v>37.708270190588934</v>
      </c>
      <c r="R186" s="32">
        <f t="shared" si="213"/>
        <v>36.637057524434255</v>
      </c>
      <c r="S186" s="32">
        <f t="shared" si="213"/>
        <v>35.959337932656616</v>
      </c>
      <c r="T186" s="32">
        <f t="shared" si="213"/>
        <v>36.018834909145184</v>
      </c>
      <c r="U186" s="32">
        <f t="shared" si="213"/>
        <v>35.693956492297822</v>
      </c>
      <c r="V186" s="32">
        <f t="shared" si="213"/>
        <v>38.15286065016214</v>
      </c>
      <c r="W186" s="32">
        <f t="shared" ref="W186" si="214">IF(W34=0,0,W34/W4*1000)</f>
        <v>38.233718849464026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40.82081835223655</v>
      </c>
      <c r="C187" s="141">
        <f t="shared" si="215"/>
        <v>41.008747552316244</v>
      </c>
      <c r="D187" s="141">
        <f t="shared" si="215"/>
        <v>41.591600741948845</v>
      </c>
      <c r="E187" s="141">
        <f t="shared" si="215"/>
        <v>42.207685934555137</v>
      </c>
      <c r="F187" s="141">
        <f t="shared" si="215"/>
        <v>41.796065352156056</v>
      </c>
      <c r="G187" s="141">
        <f t="shared" si="215"/>
        <v>42.548928287605278</v>
      </c>
      <c r="H187" s="141">
        <f t="shared" si="215"/>
        <v>43.169257456416837</v>
      </c>
      <c r="I187" s="141">
        <f t="shared" si="215"/>
        <v>44.382693142665772</v>
      </c>
      <c r="J187" s="141">
        <f t="shared" si="215"/>
        <v>43.664344567208786</v>
      </c>
      <c r="K187" s="141">
        <f t="shared" si="215"/>
        <v>42.892877384864107</v>
      </c>
      <c r="L187" s="141">
        <f t="shared" si="215"/>
        <v>42.874777303566049</v>
      </c>
      <c r="M187" s="141">
        <f t="shared" si="215"/>
        <v>43.149461110926111</v>
      </c>
      <c r="N187" s="141">
        <f t="shared" si="215"/>
        <v>41.097711288604863</v>
      </c>
      <c r="O187" s="141">
        <f t="shared" si="215"/>
        <v>40.605670225531455</v>
      </c>
      <c r="P187" s="141">
        <f t="shared" si="215"/>
        <v>40.217867713231321</v>
      </c>
      <c r="Q187" s="141">
        <f t="shared" si="215"/>
        <v>41.524865608128259</v>
      </c>
      <c r="R187" s="141">
        <f t="shared" si="215"/>
        <v>39.696979041776423</v>
      </c>
      <c r="S187" s="141">
        <f t="shared" si="215"/>
        <v>38.751568043348414</v>
      </c>
      <c r="T187" s="141">
        <f t="shared" si="215"/>
        <v>38.964256681518378</v>
      </c>
      <c r="U187" s="141">
        <f t="shared" si="215"/>
        <v>38.032189828130967</v>
      </c>
      <c r="V187" s="141">
        <f t="shared" si="215"/>
        <v>38.570487798122244</v>
      </c>
      <c r="W187" s="141">
        <f t="shared" ref="W187" si="216">IF(W35=0,0,W35/W5*1000)</f>
        <v>38.592262826378125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38.354519222813934</v>
      </c>
      <c r="C188" s="97">
        <f t="shared" si="217"/>
        <v>38.068913749628017</v>
      </c>
      <c r="D188" s="97">
        <f t="shared" si="217"/>
        <v>37.856243681496359</v>
      </c>
      <c r="E188" s="97">
        <f t="shared" si="217"/>
        <v>37.725275183426866</v>
      </c>
      <c r="F188" s="97">
        <f t="shared" si="217"/>
        <v>37.378615050449795</v>
      </c>
      <c r="G188" s="97">
        <f t="shared" si="217"/>
        <v>36.799902537972478</v>
      </c>
      <c r="H188" s="97">
        <f t="shared" si="217"/>
        <v>36.275836811754438</v>
      </c>
      <c r="I188" s="97">
        <f t="shared" si="217"/>
        <v>35.70199948982826</v>
      </c>
      <c r="J188" s="97">
        <f t="shared" si="217"/>
        <v>35.287256474927204</v>
      </c>
      <c r="K188" s="97">
        <f t="shared" si="217"/>
        <v>34.953664686810711</v>
      </c>
      <c r="L188" s="97">
        <f t="shared" si="217"/>
        <v>34.720832114520228</v>
      </c>
      <c r="M188" s="97">
        <f t="shared" si="217"/>
        <v>34.570151858855262</v>
      </c>
      <c r="N188" s="97">
        <f t="shared" si="217"/>
        <v>34.640049308363331</v>
      </c>
      <c r="O188" s="97">
        <f t="shared" si="217"/>
        <v>34.311009107761308</v>
      </c>
      <c r="P188" s="97">
        <f t="shared" si="217"/>
        <v>34.075221434517914</v>
      </c>
      <c r="Q188" s="97">
        <f t="shared" si="217"/>
        <v>33.800450720501807</v>
      </c>
      <c r="R188" s="97">
        <f t="shared" si="217"/>
        <v>33.647622816870651</v>
      </c>
      <c r="S188" s="97">
        <f t="shared" si="217"/>
        <v>33.319799008537913</v>
      </c>
      <c r="T188" s="97">
        <f t="shared" si="217"/>
        <v>33.095601439837495</v>
      </c>
      <c r="U188" s="97">
        <f t="shared" si="217"/>
        <v>32.625312607430338</v>
      </c>
      <c r="V188" s="97">
        <f t="shared" si="217"/>
        <v>32.445855421536827</v>
      </c>
      <c r="W188" s="97">
        <f t="shared" ref="W188" si="218">IF(W36=0,0,W36/W6*1000)</f>
        <v>31.061866898904245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40.042929960528774</v>
      </c>
      <c r="C189" s="97">
        <f t="shared" si="219"/>
        <v>40.369472946135154</v>
      </c>
      <c r="D189" s="97">
        <f t="shared" si="219"/>
        <v>41.184354930477781</v>
      </c>
      <c r="E189" s="97">
        <f t="shared" si="219"/>
        <v>41.799006763641074</v>
      </c>
      <c r="F189" s="97">
        <f t="shared" si="219"/>
        <v>41.470514702611489</v>
      </c>
      <c r="G189" s="97">
        <f t="shared" si="219"/>
        <v>42.176316964376895</v>
      </c>
      <c r="H189" s="97">
        <f t="shared" si="219"/>
        <v>42.758504512064434</v>
      </c>
      <c r="I189" s="97">
        <f t="shared" si="219"/>
        <v>44.070869065952436</v>
      </c>
      <c r="J189" s="97">
        <f t="shared" si="219"/>
        <v>43.074246394352187</v>
      </c>
      <c r="K189" s="97">
        <f t="shared" si="219"/>
        <v>42.090972281698797</v>
      </c>
      <c r="L189" s="97">
        <f t="shared" si="219"/>
        <v>42.001001778291737</v>
      </c>
      <c r="M189" s="97">
        <f t="shared" si="219"/>
        <v>42.368000164401337</v>
      </c>
      <c r="N189" s="97">
        <f t="shared" si="219"/>
        <v>40.243512698790177</v>
      </c>
      <c r="O189" s="97">
        <f t="shared" si="219"/>
        <v>39.933083841176618</v>
      </c>
      <c r="P189" s="97">
        <f t="shared" si="219"/>
        <v>39.374090444468472</v>
      </c>
      <c r="Q189" s="97">
        <f t="shared" si="219"/>
        <v>40.963977194020643</v>
      </c>
      <c r="R189" s="97">
        <f t="shared" si="219"/>
        <v>38.869642315551744</v>
      </c>
      <c r="S189" s="97">
        <f t="shared" si="219"/>
        <v>37.69903755230429</v>
      </c>
      <c r="T189" s="97">
        <f t="shared" si="219"/>
        <v>37.842773529939478</v>
      </c>
      <c r="U189" s="97">
        <f t="shared" si="219"/>
        <v>36.841010527583428</v>
      </c>
      <c r="V189" s="97">
        <f t="shared" si="219"/>
        <v>35.822812758865666</v>
      </c>
      <c r="W189" s="97">
        <f t="shared" ref="W189" si="220">IF(W37=0,0,W37/W7*1000)</f>
        <v>36.064056790404855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46.334049474017476</v>
      </c>
      <c r="C190" s="97">
        <f t="shared" si="221"/>
        <v>45.57033099954014</v>
      </c>
      <c r="D190" s="97">
        <f t="shared" si="221"/>
        <v>44.664671077209327</v>
      </c>
      <c r="E190" s="97">
        <f t="shared" si="221"/>
        <v>45.380327121920146</v>
      </c>
      <c r="F190" s="97">
        <f t="shared" si="221"/>
        <v>44.423250438677741</v>
      </c>
      <c r="G190" s="97">
        <f t="shared" si="221"/>
        <v>45.641816186024215</v>
      </c>
      <c r="H190" s="97">
        <f t="shared" si="221"/>
        <v>46.71083917064739</v>
      </c>
      <c r="I190" s="97">
        <f t="shared" si="221"/>
        <v>47.596894213404028</v>
      </c>
      <c r="J190" s="97">
        <f t="shared" si="221"/>
        <v>49.055981633638751</v>
      </c>
      <c r="K190" s="97">
        <f t="shared" si="221"/>
        <v>49.868172697491239</v>
      </c>
      <c r="L190" s="97">
        <f t="shared" si="221"/>
        <v>50.317462840215725</v>
      </c>
      <c r="M190" s="97">
        <f t="shared" si="221"/>
        <v>50.227548816381876</v>
      </c>
      <c r="N190" s="97">
        <f t="shared" si="221"/>
        <v>48.737156369960481</v>
      </c>
      <c r="O190" s="97">
        <f t="shared" si="221"/>
        <v>46.782179012023676</v>
      </c>
      <c r="P190" s="97">
        <f t="shared" si="221"/>
        <v>47.879272042189605</v>
      </c>
      <c r="Q190" s="97">
        <f t="shared" si="221"/>
        <v>46.980286069468384</v>
      </c>
      <c r="R190" s="97">
        <f t="shared" si="221"/>
        <v>47.216028232778299</v>
      </c>
      <c r="S190" s="97">
        <f t="shared" si="221"/>
        <v>47.906378659387855</v>
      </c>
      <c r="T190" s="97">
        <f t="shared" si="221"/>
        <v>49.146151361779687</v>
      </c>
      <c r="U190" s="97">
        <f t="shared" si="221"/>
        <v>49.298091081051652</v>
      </c>
      <c r="V190" s="97">
        <f t="shared" si="221"/>
        <v>74.707277178214483</v>
      </c>
      <c r="W190" s="97">
        <f t="shared" ref="W190" si="222">IF(W38=0,0,W38/W8*1000)</f>
        <v>70.357803457799946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16.231123520131817</v>
      </c>
      <c r="C191" s="130">
        <f t="shared" si="223"/>
        <v>14.921398696765079</v>
      </c>
      <c r="D191" s="130">
        <f t="shared" si="223"/>
        <v>15.302427457775119</v>
      </c>
      <c r="E191" s="130">
        <f t="shared" si="223"/>
        <v>15.174029470706058</v>
      </c>
      <c r="F191" s="130">
        <f t="shared" si="223"/>
        <v>14.519327320829523</v>
      </c>
      <c r="G191" s="130">
        <f t="shared" si="223"/>
        <v>15.41676256470414</v>
      </c>
      <c r="H191" s="130">
        <f t="shared" si="223"/>
        <v>15.087016506000554</v>
      </c>
      <c r="I191" s="130">
        <f t="shared" si="223"/>
        <v>14.787295634531723</v>
      </c>
      <c r="J191" s="130">
        <f t="shared" si="223"/>
        <v>15.151988346820069</v>
      </c>
      <c r="K191" s="130">
        <f t="shared" si="223"/>
        <v>15.524572047408654</v>
      </c>
      <c r="L191" s="130">
        <f t="shared" si="223"/>
        <v>15.368730267437305</v>
      </c>
      <c r="M191" s="130">
        <f t="shared" si="223"/>
        <v>15.189068662022089</v>
      </c>
      <c r="N191" s="130">
        <f t="shared" si="223"/>
        <v>15.051707712189939</v>
      </c>
      <c r="O191" s="130">
        <f t="shared" si="223"/>
        <v>14.763804873179392</v>
      </c>
      <c r="P191" s="130">
        <f t="shared" si="223"/>
        <v>15.038719332267023</v>
      </c>
      <c r="Q191" s="130">
        <f t="shared" si="223"/>
        <v>14.839028781038859</v>
      </c>
      <c r="R191" s="130">
        <f t="shared" si="223"/>
        <v>15.639319016178099</v>
      </c>
      <c r="S191" s="130">
        <f t="shared" si="223"/>
        <v>15.356806289889381</v>
      </c>
      <c r="T191" s="130">
        <f t="shared" si="223"/>
        <v>14.618843197931412</v>
      </c>
      <c r="U191" s="130">
        <f t="shared" si="223"/>
        <v>14.836450374652735</v>
      </c>
      <c r="V191" s="130">
        <f t="shared" si="223"/>
        <v>21.034834172115939</v>
      </c>
      <c r="W191" s="130">
        <f t="shared" ref="W191" si="224">IF(W39=0,0,W39/W9*1000)</f>
        <v>19.812269281595469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4.5513158588455118</v>
      </c>
      <c r="E192" s="97">
        <f t="shared" si="225"/>
        <v>4.663844237285355</v>
      </c>
      <c r="F192" s="97">
        <f t="shared" si="225"/>
        <v>4.6383731345919204</v>
      </c>
      <c r="G192" s="97">
        <f t="shared" si="225"/>
        <v>4.6661985742343521</v>
      </c>
      <c r="H192" s="97">
        <f t="shared" si="225"/>
        <v>4.6379305541182942</v>
      </c>
      <c r="I192" s="97">
        <f t="shared" si="225"/>
        <v>4.5802370042045579</v>
      </c>
      <c r="J192" s="97">
        <f t="shared" si="225"/>
        <v>4.5736427001298035</v>
      </c>
      <c r="K192" s="97">
        <f t="shared" si="225"/>
        <v>4.5728244292499811</v>
      </c>
      <c r="L192" s="97">
        <f t="shared" si="225"/>
        <v>4.5260868929245044</v>
      </c>
      <c r="M192" s="97">
        <f t="shared" si="225"/>
        <v>4.5069397550020058</v>
      </c>
      <c r="N192" s="97">
        <f t="shared" si="225"/>
        <v>4.4483166390646307</v>
      </c>
      <c r="O192" s="97">
        <f t="shared" si="225"/>
        <v>4.4352569678839293</v>
      </c>
      <c r="P192" s="97">
        <f t="shared" si="225"/>
        <v>4.4177860310067238</v>
      </c>
      <c r="Q192" s="97">
        <f t="shared" si="225"/>
        <v>4.3758949741679878</v>
      </c>
      <c r="R192" s="97">
        <f t="shared" si="225"/>
        <v>4.3742618821790122</v>
      </c>
      <c r="S192" s="97">
        <f t="shared" si="225"/>
        <v>4.3454977250046234</v>
      </c>
      <c r="T192" s="97">
        <f t="shared" si="225"/>
        <v>4.3466009099971492</v>
      </c>
      <c r="U192" s="97">
        <f t="shared" si="225"/>
        <v>4.3653060452882979</v>
      </c>
      <c r="V192" s="97">
        <f t="shared" si="225"/>
        <v>6.0347620736309144</v>
      </c>
      <c r="W192" s="97">
        <f t="shared" ref="W192" si="226">IF(W40=0,0,W40/W10*1000)</f>
        <v>5.3019501723327656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16.231123520131817</v>
      </c>
      <c r="C193" s="97">
        <f t="shared" si="227"/>
        <v>14.921398696765079</v>
      </c>
      <c r="D193" s="97">
        <f t="shared" si="227"/>
        <v>15.31926993025386</v>
      </c>
      <c r="E193" s="97">
        <f t="shared" si="227"/>
        <v>15.294898404904341</v>
      </c>
      <c r="F193" s="97">
        <f t="shared" si="227"/>
        <v>14.732035382692693</v>
      </c>
      <c r="G193" s="97">
        <f t="shared" si="227"/>
        <v>15.708291082691437</v>
      </c>
      <c r="H193" s="97">
        <f t="shared" si="227"/>
        <v>15.367482970175461</v>
      </c>
      <c r="I193" s="97">
        <f t="shared" si="227"/>
        <v>15.079823059656059</v>
      </c>
      <c r="J193" s="97">
        <f t="shared" si="227"/>
        <v>15.480456085849465</v>
      </c>
      <c r="K193" s="97">
        <f t="shared" si="227"/>
        <v>15.907313552269528</v>
      </c>
      <c r="L193" s="97">
        <f t="shared" si="227"/>
        <v>15.777596118890218</v>
      </c>
      <c r="M193" s="97">
        <f t="shared" si="227"/>
        <v>15.655625117034122</v>
      </c>
      <c r="N193" s="97">
        <f t="shared" si="227"/>
        <v>15.497515469445784</v>
      </c>
      <c r="O193" s="97">
        <f t="shared" si="227"/>
        <v>15.211569734285163</v>
      </c>
      <c r="P193" s="97">
        <f t="shared" si="227"/>
        <v>15.519784175483942</v>
      </c>
      <c r="Q193" s="97">
        <f t="shared" si="227"/>
        <v>15.324713750248051</v>
      </c>
      <c r="R193" s="97">
        <f t="shared" si="227"/>
        <v>16.21039977107603</v>
      </c>
      <c r="S193" s="97">
        <f t="shared" si="227"/>
        <v>15.954713331390286</v>
      </c>
      <c r="T193" s="97">
        <f t="shared" si="227"/>
        <v>15.202323799085658</v>
      </c>
      <c r="U193" s="97">
        <f t="shared" si="227"/>
        <v>15.514852987504334</v>
      </c>
      <c r="V193" s="97">
        <f t="shared" si="227"/>
        <v>22.135093267664715</v>
      </c>
      <c r="W193" s="97">
        <f t="shared" ref="W193" si="228">IF(W41=0,0,W41/W11*1000)</f>
        <v>20.961017338320161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49.212696266389173</v>
      </c>
      <c r="C195" s="130">
        <f t="shared" si="231"/>
        <v>48.30236091874027</v>
      </c>
      <c r="D195" s="130">
        <f t="shared" si="231"/>
        <v>41.874017834195264</v>
      </c>
      <c r="E195" s="130">
        <f t="shared" si="231"/>
        <v>44.663643306275603</v>
      </c>
      <c r="F195" s="130">
        <f t="shared" si="231"/>
        <v>46.256336817844158</v>
      </c>
      <c r="G195" s="130">
        <f t="shared" si="231"/>
        <v>45.112281227448726</v>
      </c>
      <c r="H195" s="130">
        <f t="shared" si="231"/>
        <v>43.909577534338688</v>
      </c>
      <c r="I195" s="130">
        <f t="shared" si="231"/>
        <v>45.279018953390839</v>
      </c>
      <c r="J195" s="130">
        <f t="shared" si="231"/>
        <v>43.515449673181223</v>
      </c>
      <c r="K195" s="130">
        <f t="shared" si="231"/>
        <v>41.185870700834904</v>
      </c>
      <c r="L195" s="130">
        <f t="shared" si="231"/>
        <v>38.873335368178701</v>
      </c>
      <c r="M195" s="130">
        <f t="shared" si="231"/>
        <v>38.963002430391654</v>
      </c>
      <c r="N195" s="130">
        <f t="shared" si="231"/>
        <v>36.883277200850301</v>
      </c>
      <c r="O195" s="130">
        <f t="shared" si="231"/>
        <v>35.185383869314535</v>
      </c>
      <c r="P195" s="130">
        <f t="shared" si="231"/>
        <v>35.428068118218896</v>
      </c>
      <c r="Q195" s="130">
        <f t="shared" si="231"/>
        <v>34.157169293583884</v>
      </c>
      <c r="R195" s="130">
        <f t="shared" si="231"/>
        <v>34.284855088812122</v>
      </c>
      <c r="S195" s="130">
        <f t="shared" si="231"/>
        <v>34.083342428733083</v>
      </c>
      <c r="T195" s="130">
        <f t="shared" si="231"/>
        <v>33.937591147347092</v>
      </c>
      <c r="U195" s="130">
        <f t="shared" si="231"/>
        <v>34.800887657995077</v>
      </c>
      <c r="V195" s="130">
        <f t="shared" si="231"/>
        <v>44.525014701576396</v>
      </c>
      <c r="W195" s="130">
        <f t="shared" ref="W195" si="232">IF(W43=0,0,W43/W13*1000)</f>
        <v>44.923216511806864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159.6335569251579</v>
      </c>
      <c r="C196" s="97">
        <f t="shared" si="233"/>
        <v>158.75970066535862</v>
      </c>
      <c r="D196" s="97">
        <f t="shared" si="233"/>
        <v>145.22167232792222</v>
      </c>
      <c r="E196" s="97">
        <f t="shared" si="233"/>
        <v>130.30763702327422</v>
      </c>
      <c r="F196" s="97">
        <f t="shared" si="233"/>
        <v>86.889212155063603</v>
      </c>
      <c r="G196" s="97">
        <f t="shared" si="233"/>
        <v>92.034450997891909</v>
      </c>
      <c r="H196" s="97">
        <f t="shared" si="233"/>
        <v>89.841270669078654</v>
      </c>
      <c r="I196" s="97">
        <f t="shared" si="233"/>
        <v>95.070446088841422</v>
      </c>
      <c r="J196" s="97">
        <f t="shared" si="233"/>
        <v>96.925804289810742</v>
      </c>
      <c r="K196" s="97">
        <f t="shared" si="233"/>
        <v>95.74547393734214</v>
      </c>
      <c r="L196" s="97">
        <f t="shared" si="233"/>
        <v>82.86765776925084</v>
      </c>
      <c r="M196" s="97">
        <f t="shared" si="233"/>
        <v>85.901389462610396</v>
      </c>
      <c r="N196" s="97">
        <f t="shared" si="233"/>
        <v>94.690422470543822</v>
      </c>
      <c r="O196" s="97">
        <f t="shared" si="233"/>
        <v>91.514083793960296</v>
      </c>
      <c r="P196" s="97">
        <f t="shared" si="233"/>
        <v>86.090889102185002</v>
      </c>
      <c r="Q196" s="97">
        <f t="shared" si="233"/>
        <v>81.87809680810642</v>
      </c>
      <c r="R196" s="97">
        <f t="shared" si="233"/>
        <v>80.114779927705769</v>
      </c>
      <c r="S196" s="97">
        <f t="shared" si="233"/>
        <v>79.147166630925156</v>
      </c>
      <c r="T196" s="97">
        <f t="shared" si="233"/>
        <v>75.742875826519509</v>
      </c>
      <c r="U196" s="97">
        <f t="shared" si="233"/>
        <v>80.698957348242828</v>
      </c>
      <c r="V196" s="97">
        <f t="shared" si="233"/>
        <v>102.86418020840519</v>
      </c>
      <c r="W196" s="97">
        <f t="shared" ref="W196" si="234">IF(W44=0,0,W44/W14*1000)</f>
        <v>78.860769857993304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42.988100220420961</v>
      </c>
      <c r="C197" s="97">
        <f t="shared" si="235"/>
        <v>42.089579183966435</v>
      </c>
      <c r="D197" s="97">
        <f t="shared" si="235"/>
        <v>38.254214302702785</v>
      </c>
      <c r="E197" s="97">
        <f t="shared" si="235"/>
        <v>41.494396074091981</v>
      </c>
      <c r="F197" s="97">
        <f t="shared" si="235"/>
        <v>43.868474676663574</v>
      </c>
      <c r="G197" s="97">
        <f t="shared" si="235"/>
        <v>43.979436505116929</v>
      </c>
      <c r="H197" s="97">
        <f t="shared" si="235"/>
        <v>43.447915459942998</v>
      </c>
      <c r="I197" s="97">
        <f t="shared" si="235"/>
        <v>45.247207109049327</v>
      </c>
      <c r="J197" s="97">
        <f t="shared" si="235"/>
        <v>44.298511032820819</v>
      </c>
      <c r="K197" s="97">
        <f t="shared" si="235"/>
        <v>40.742598424982944</v>
      </c>
      <c r="L197" s="97">
        <f t="shared" si="235"/>
        <v>38.870475589835351</v>
      </c>
      <c r="M197" s="97">
        <f t="shared" si="235"/>
        <v>38.039337480957983</v>
      </c>
      <c r="N197" s="97">
        <f t="shared" si="235"/>
        <v>36.763381111947311</v>
      </c>
      <c r="O197" s="97">
        <f t="shared" si="235"/>
        <v>34.99039894286021</v>
      </c>
      <c r="P197" s="97">
        <f t="shared" si="235"/>
        <v>36.394790918381169</v>
      </c>
      <c r="Q197" s="97">
        <f t="shared" si="235"/>
        <v>35.244620900762605</v>
      </c>
      <c r="R197" s="97">
        <f t="shared" si="235"/>
        <v>34.993578357542091</v>
      </c>
      <c r="S197" s="97">
        <f t="shared" si="235"/>
        <v>34.864702651386487</v>
      </c>
      <c r="T197" s="97">
        <f t="shared" si="235"/>
        <v>35.422768688402186</v>
      </c>
      <c r="U197" s="97">
        <f t="shared" si="235"/>
        <v>36.774134779427818</v>
      </c>
      <c r="V197" s="97">
        <f t="shared" si="235"/>
        <v>39.494219544610502</v>
      </c>
      <c r="W197" s="97">
        <f t="shared" ref="W197" si="236">IF(W45=0,0,W45/W15*1000)</f>
        <v>35.725552244805208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54.206119799659774</v>
      </c>
      <c r="C198" s="97">
        <f t="shared" si="237"/>
        <v>53.348972501338004</v>
      </c>
      <c r="D198" s="97">
        <f t="shared" si="237"/>
        <v>43.42976752354194</v>
      </c>
      <c r="E198" s="97">
        <f t="shared" si="237"/>
        <v>45.805784100010378</v>
      </c>
      <c r="F198" s="97">
        <f t="shared" si="237"/>
        <v>47.701334351542819</v>
      </c>
      <c r="G198" s="97">
        <f t="shared" si="237"/>
        <v>44.528094903745973</v>
      </c>
      <c r="H198" s="97">
        <f t="shared" si="237"/>
        <v>42.361834459753609</v>
      </c>
      <c r="I198" s="97">
        <f t="shared" si="237"/>
        <v>42.726874023280963</v>
      </c>
      <c r="J198" s="97">
        <f t="shared" si="237"/>
        <v>39.69532605642214</v>
      </c>
      <c r="K198" s="97">
        <f t="shared" si="237"/>
        <v>38.644026547115971</v>
      </c>
      <c r="L198" s="97">
        <f t="shared" si="237"/>
        <v>36.185461141266053</v>
      </c>
      <c r="M198" s="97">
        <f t="shared" si="237"/>
        <v>37.457566981000063</v>
      </c>
      <c r="N198" s="97">
        <f t="shared" si="237"/>
        <v>34.688601660610431</v>
      </c>
      <c r="O198" s="97">
        <f t="shared" si="237"/>
        <v>33.215086112417445</v>
      </c>
      <c r="P198" s="97">
        <f t="shared" si="237"/>
        <v>32.459992558239243</v>
      </c>
      <c r="Q198" s="97">
        <f t="shared" si="237"/>
        <v>31.215073324511042</v>
      </c>
      <c r="R198" s="97">
        <f t="shared" si="237"/>
        <v>31.72096391995575</v>
      </c>
      <c r="S198" s="97">
        <f t="shared" si="237"/>
        <v>31.543337569186189</v>
      </c>
      <c r="T198" s="97">
        <f t="shared" si="237"/>
        <v>30.858414156259563</v>
      </c>
      <c r="U198" s="97">
        <f t="shared" si="237"/>
        <v>31.284279708330587</v>
      </c>
      <c r="V198" s="97">
        <f t="shared" si="237"/>
        <v>47.495566638465625</v>
      </c>
      <c r="W198" s="97">
        <f t="shared" ref="W198" si="238">IF(W46=0,0,W46/W16*1000)</f>
        <v>59.761783014036546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75.17327090630809</v>
      </c>
      <c r="C199" s="32">
        <f t="shared" si="239"/>
        <v>76.001301168415182</v>
      </c>
      <c r="D199" s="32">
        <f t="shared" si="239"/>
        <v>77.256845432298434</v>
      </c>
      <c r="E199" s="32">
        <f t="shared" si="239"/>
        <v>80.81835196940537</v>
      </c>
      <c r="F199" s="32">
        <f t="shared" si="239"/>
        <v>82.63407542860125</v>
      </c>
      <c r="G199" s="32">
        <f t="shared" si="239"/>
        <v>82.510493049430266</v>
      </c>
      <c r="H199" s="32">
        <f t="shared" si="239"/>
        <v>81.074070962427001</v>
      </c>
      <c r="I199" s="32">
        <f t="shared" si="239"/>
        <v>80.740600911983208</v>
      </c>
      <c r="J199" s="32">
        <f t="shared" si="239"/>
        <v>78.323234958505282</v>
      </c>
      <c r="K199" s="32">
        <f t="shared" si="239"/>
        <v>78.065439983955898</v>
      </c>
      <c r="L199" s="32">
        <f t="shared" si="239"/>
        <v>73.042095094497611</v>
      </c>
      <c r="M199" s="32">
        <f t="shared" si="239"/>
        <v>65.704658909256295</v>
      </c>
      <c r="N199" s="32">
        <f t="shared" si="239"/>
        <v>61.124512108711968</v>
      </c>
      <c r="O199" s="32">
        <f t="shared" si="239"/>
        <v>58.22359103821244</v>
      </c>
      <c r="P199" s="32">
        <f t="shared" si="239"/>
        <v>57.477997866714041</v>
      </c>
      <c r="Q199" s="32">
        <f t="shared" si="239"/>
        <v>56.115985919504695</v>
      </c>
      <c r="R199" s="32">
        <f t="shared" si="239"/>
        <v>55.323252668558233</v>
      </c>
      <c r="S199" s="32">
        <f t="shared" si="239"/>
        <v>56.353505179116873</v>
      </c>
      <c r="T199" s="32">
        <f t="shared" si="239"/>
        <v>60.297716634374268</v>
      </c>
      <c r="U199" s="32">
        <f t="shared" si="239"/>
        <v>58.090687017492549</v>
      </c>
      <c r="V199" s="32">
        <f t="shared" si="239"/>
        <v>55.038848533387501</v>
      </c>
      <c r="W199" s="32">
        <f t="shared" ref="W199" si="240">IF(W47=0,0,W47/W17*1000)</f>
        <v>57.240939527812444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80.554500545414001</v>
      </c>
      <c r="C200" s="141">
        <f t="shared" si="241"/>
        <v>83.070865987540103</v>
      </c>
      <c r="D200" s="141">
        <f t="shared" si="241"/>
        <v>81.383197572700183</v>
      </c>
      <c r="E200" s="141">
        <f t="shared" si="241"/>
        <v>87.502558895574879</v>
      </c>
      <c r="F200" s="141">
        <f t="shared" si="241"/>
        <v>91.819066816379404</v>
      </c>
      <c r="G200" s="141">
        <f t="shared" si="241"/>
        <v>89.232509385413593</v>
      </c>
      <c r="H200" s="141">
        <f t="shared" si="241"/>
        <v>88.877073397729248</v>
      </c>
      <c r="I200" s="141">
        <f t="shared" si="241"/>
        <v>89.482859378787367</v>
      </c>
      <c r="J200" s="141">
        <f t="shared" si="241"/>
        <v>82.902966151822099</v>
      </c>
      <c r="K200" s="141">
        <f t="shared" si="241"/>
        <v>81.754878562932291</v>
      </c>
      <c r="L200" s="141">
        <f t="shared" si="241"/>
        <v>79.832734492403802</v>
      </c>
      <c r="M200" s="141">
        <f t="shared" si="241"/>
        <v>72.012455358463029</v>
      </c>
      <c r="N200" s="141">
        <f t="shared" si="241"/>
        <v>65.824281510607562</v>
      </c>
      <c r="O200" s="141">
        <f t="shared" si="241"/>
        <v>61.357451304400207</v>
      </c>
      <c r="P200" s="141">
        <f t="shared" si="241"/>
        <v>61.925881876204421</v>
      </c>
      <c r="Q200" s="141">
        <f t="shared" si="241"/>
        <v>60.378206594897179</v>
      </c>
      <c r="R200" s="141">
        <f t="shared" si="241"/>
        <v>60.371907989630316</v>
      </c>
      <c r="S200" s="141">
        <f t="shared" si="241"/>
        <v>61.761289301519994</v>
      </c>
      <c r="T200" s="141">
        <f t="shared" si="241"/>
        <v>66.379355907812922</v>
      </c>
      <c r="U200" s="141">
        <f t="shared" si="241"/>
        <v>63.321835477166509</v>
      </c>
      <c r="V200" s="141">
        <f t="shared" si="241"/>
        <v>58.52593046698717</v>
      </c>
      <c r="W200" s="141">
        <f t="shared" ref="W200" si="242">IF(W48=0,0,W48/W18*1000)</f>
        <v>58.833203652087434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631.31369012840685</v>
      </c>
      <c r="C201" s="97">
        <f t="shared" si="243"/>
        <v>609.35186755684174</v>
      </c>
      <c r="D201" s="97">
        <f t="shared" si="243"/>
        <v>581.64378986787813</v>
      </c>
      <c r="E201" s="97">
        <f t="shared" si="243"/>
        <v>558.32665009194955</v>
      </c>
      <c r="F201" s="97">
        <f t="shared" si="243"/>
        <v>538.72209004127376</v>
      </c>
      <c r="G201" s="97">
        <f t="shared" si="243"/>
        <v>519.67286152892393</v>
      </c>
      <c r="H201" s="97">
        <f t="shared" si="243"/>
        <v>506.82953668926666</v>
      </c>
      <c r="I201" s="97">
        <f t="shared" si="243"/>
        <v>499.28656977324999</v>
      </c>
      <c r="J201" s="97">
        <f t="shared" si="243"/>
        <v>488.36404146394005</v>
      </c>
      <c r="K201" s="97">
        <f t="shared" si="243"/>
        <v>476.55785631561332</v>
      </c>
      <c r="L201" s="97">
        <f t="shared" si="243"/>
        <v>471.85463424099248</v>
      </c>
      <c r="M201" s="97">
        <f t="shared" si="243"/>
        <v>469.22952302256903</v>
      </c>
      <c r="N201" s="97">
        <f t="shared" si="243"/>
        <v>465.73334447110636</v>
      </c>
      <c r="O201" s="97">
        <f t="shared" si="243"/>
        <v>462.8069213354691</v>
      </c>
      <c r="P201" s="97">
        <f t="shared" si="243"/>
        <v>455.92571585704184</v>
      </c>
      <c r="Q201" s="97">
        <f t="shared" si="243"/>
        <v>449.47640287194616</v>
      </c>
      <c r="R201" s="97">
        <f t="shared" si="243"/>
        <v>444.02707352564545</v>
      </c>
      <c r="S201" s="97">
        <f t="shared" si="243"/>
        <v>440.17235935069158</v>
      </c>
      <c r="T201" s="97">
        <f t="shared" si="243"/>
        <v>434.12757998205086</v>
      </c>
      <c r="U201" s="97">
        <f t="shared" si="243"/>
        <v>423.30243947661694</v>
      </c>
      <c r="V201" s="97">
        <f t="shared" si="243"/>
        <v>417.17274574392411</v>
      </c>
      <c r="W201" s="97">
        <f t="shared" ref="W201" si="244">IF(W49=0,0,W49/W19*1000)</f>
        <v>420.73925386610262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45.340735956383995</v>
      </c>
      <c r="C202" s="97">
        <f t="shared" si="245"/>
        <v>47.360610941975281</v>
      </c>
      <c r="D202" s="97">
        <f t="shared" si="245"/>
        <v>47.014523822517226</v>
      </c>
      <c r="E202" s="97">
        <f t="shared" si="245"/>
        <v>53.324171688409649</v>
      </c>
      <c r="F202" s="97">
        <f t="shared" si="245"/>
        <v>56.803837988394292</v>
      </c>
      <c r="G202" s="97">
        <f t="shared" si="245"/>
        <v>54.41551860298658</v>
      </c>
      <c r="H202" s="97">
        <f t="shared" si="245"/>
        <v>53.467743663578631</v>
      </c>
      <c r="I202" s="97">
        <f t="shared" si="245"/>
        <v>52.880141405867604</v>
      </c>
      <c r="J202" s="97">
        <f t="shared" si="245"/>
        <v>47.701882672723343</v>
      </c>
      <c r="K202" s="97">
        <f t="shared" si="245"/>
        <v>45.430775620828399</v>
      </c>
      <c r="L202" s="97">
        <f t="shared" si="245"/>
        <v>45.396785593058254</v>
      </c>
      <c r="M202" s="97">
        <f t="shared" si="245"/>
        <v>42.312861468494333</v>
      </c>
      <c r="N202" s="97">
        <f t="shared" si="245"/>
        <v>38.302930606605585</v>
      </c>
      <c r="O202" s="97">
        <f t="shared" si="245"/>
        <v>36.149801593331027</v>
      </c>
      <c r="P202" s="97">
        <f t="shared" si="245"/>
        <v>38.290901828854338</v>
      </c>
      <c r="Q202" s="97">
        <f t="shared" si="245"/>
        <v>36.183625383929659</v>
      </c>
      <c r="R202" s="97">
        <f t="shared" si="245"/>
        <v>38.054052286316079</v>
      </c>
      <c r="S202" s="97">
        <f t="shared" si="245"/>
        <v>38.943428358319011</v>
      </c>
      <c r="T202" s="97">
        <f t="shared" si="245"/>
        <v>42.519553180215524</v>
      </c>
      <c r="U202" s="97">
        <f t="shared" si="245"/>
        <v>40.788923060205718</v>
      </c>
      <c r="V202" s="97">
        <f t="shared" si="245"/>
        <v>38.204247619774783</v>
      </c>
      <c r="W202" s="97">
        <f t="shared" ref="W202" si="246">IF(W50=0,0,W50/W20*1000)</f>
        <v>38.531432233819665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6.6576125716939085</v>
      </c>
      <c r="C203" s="130">
        <f t="shared" si="247"/>
        <v>6.1638815572054124</v>
      </c>
      <c r="D203" s="130">
        <f t="shared" si="247"/>
        <v>6.1691971512231749</v>
      </c>
      <c r="E203" s="130">
        <f t="shared" si="247"/>
        <v>5.6942952430317924</v>
      </c>
      <c r="F203" s="130">
        <f t="shared" si="247"/>
        <v>5.5903541767199973</v>
      </c>
      <c r="G203" s="130">
        <f t="shared" si="247"/>
        <v>6.1222600362389832</v>
      </c>
      <c r="H203" s="130">
        <f t="shared" si="247"/>
        <v>5.8694616638518653</v>
      </c>
      <c r="I203" s="130">
        <f t="shared" si="247"/>
        <v>5.6759884231350108</v>
      </c>
      <c r="J203" s="130">
        <f t="shared" si="247"/>
        <v>5.8324730979944697</v>
      </c>
      <c r="K203" s="130">
        <f t="shared" si="247"/>
        <v>5.629165387352896</v>
      </c>
      <c r="L203" s="130">
        <f t="shared" si="247"/>
        <v>5.44340723718879</v>
      </c>
      <c r="M203" s="130">
        <f t="shared" si="247"/>
        <v>5.2810932827903212</v>
      </c>
      <c r="N203" s="130">
        <f t="shared" si="247"/>
        <v>5.029762781437217</v>
      </c>
      <c r="O203" s="130">
        <f t="shared" si="247"/>
        <v>4.8303235930735333</v>
      </c>
      <c r="P203" s="130">
        <f t="shared" si="247"/>
        <v>5.0184296372953554</v>
      </c>
      <c r="Q203" s="130">
        <f t="shared" si="247"/>
        <v>5.0927289942431972</v>
      </c>
      <c r="R203" s="130">
        <f t="shared" si="247"/>
        <v>5.2076917726951626</v>
      </c>
      <c r="S203" s="130">
        <f t="shared" si="247"/>
        <v>4.5476727947138622</v>
      </c>
      <c r="T203" s="130">
        <f t="shared" si="247"/>
        <v>4.330872298039778</v>
      </c>
      <c r="U203" s="130">
        <f t="shared" si="247"/>
        <v>3.9841307648091031</v>
      </c>
      <c r="V203" s="130">
        <f t="shared" si="247"/>
        <v>4.445191763300234</v>
      </c>
      <c r="W203" s="130">
        <f t="shared" ref="W203" si="248">IF(W51=0,0,W51/W21*1000)</f>
        <v>4.5808573534414974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151.91039349250076</v>
      </c>
      <c r="C204" s="130">
        <f t="shared" si="249"/>
        <v>144.00181413192809</v>
      </c>
      <c r="D204" s="130">
        <f t="shared" si="249"/>
        <v>144.97856446916987</v>
      </c>
      <c r="E204" s="130">
        <f t="shared" si="249"/>
        <v>148.41389169481698</v>
      </c>
      <c r="F204" s="130">
        <f t="shared" si="249"/>
        <v>167.88065947038984</v>
      </c>
      <c r="G204" s="130">
        <f t="shared" si="249"/>
        <v>183.81606803321267</v>
      </c>
      <c r="H204" s="130">
        <f t="shared" si="249"/>
        <v>225.150186970031</v>
      </c>
      <c r="I204" s="130">
        <f t="shared" si="249"/>
        <v>236.11437317874885</v>
      </c>
      <c r="J204" s="130">
        <f t="shared" si="249"/>
        <v>142.13602237718243</v>
      </c>
      <c r="K204" s="130">
        <f t="shared" si="249"/>
        <v>123.68120428303827</v>
      </c>
      <c r="L204" s="130">
        <f t="shared" si="249"/>
        <v>114.40935466470944</v>
      </c>
      <c r="M204" s="130">
        <f t="shared" si="249"/>
        <v>108.33228257729606</v>
      </c>
      <c r="N204" s="130">
        <f t="shared" si="249"/>
        <v>94.933864051753361</v>
      </c>
      <c r="O204" s="130">
        <f t="shared" si="249"/>
        <v>92.638934219172967</v>
      </c>
      <c r="P204" s="130">
        <f t="shared" si="249"/>
        <v>84.333118965995126</v>
      </c>
      <c r="Q204" s="130">
        <f t="shared" si="249"/>
        <v>82.062507738954423</v>
      </c>
      <c r="R204" s="130">
        <f t="shared" si="249"/>
        <v>72.580419360091625</v>
      </c>
      <c r="S204" s="130">
        <f t="shared" si="249"/>
        <v>67.165114107656933</v>
      </c>
      <c r="T204" s="130">
        <f t="shared" si="249"/>
        <v>61.402703812137077</v>
      </c>
      <c r="U204" s="130">
        <f t="shared" si="249"/>
        <v>61.997951413039317</v>
      </c>
      <c r="V204" s="130">
        <f t="shared" si="249"/>
        <v>98.380937090890868</v>
      </c>
      <c r="W204" s="130">
        <f t="shared" ref="W204" si="250">IF(W52=0,0,W52/W22*1000)</f>
        <v>102.36832179279386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637.34613642011368</v>
      </c>
      <c r="C205" s="97">
        <f t="shared" si="251"/>
        <v>641.46844171469058</v>
      </c>
      <c r="D205" s="97">
        <f t="shared" si="251"/>
        <v>502.84243817437425</v>
      </c>
      <c r="E205" s="97">
        <f t="shared" si="251"/>
        <v>387.19416126433208</v>
      </c>
      <c r="F205" s="97">
        <f t="shared" si="251"/>
        <v>254.78602040650745</v>
      </c>
      <c r="G205" s="97">
        <f t="shared" si="251"/>
        <v>293.49515836193456</v>
      </c>
      <c r="H205" s="97">
        <f t="shared" si="251"/>
        <v>362.0366094328229</v>
      </c>
      <c r="I205" s="97">
        <f t="shared" si="251"/>
        <v>473.40253349231727</v>
      </c>
      <c r="J205" s="97">
        <f t="shared" si="251"/>
        <v>557.54881625795701</v>
      </c>
      <c r="K205" s="97">
        <f t="shared" si="251"/>
        <v>699.46331681179026</v>
      </c>
      <c r="L205" s="97">
        <f t="shared" si="251"/>
        <v>808.55476617430736</v>
      </c>
      <c r="M205" s="97">
        <f t="shared" si="251"/>
        <v>789.95818400399253</v>
      </c>
      <c r="N205" s="97">
        <f t="shared" si="251"/>
        <v>971.75137287715074</v>
      </c>
      <c r="O205" s="97">
        <f t="shared" si="251"/>
        <v>800.16589455057624</v>
      </c>
      <c r="P205" s="97">
        <f t="shared" si="251"/>
        <v>617.03605112323191</v>
      </c>
      <c r="Q205" s="97">
        <f t="shared" si="251"/>
        <v>519.60832140406933</v>
      </c>
      <c r="R205" s="97">
        <f t="shared" si="251"/>
        <v>421.86105985890157</v>
      </c>
      <c r="S205" s="97">
        <f t="shared" si="251"/>
        <v>424.00414294983153</v>
      </c>
      <c r="T205" s="97">
        <f t="shared" si="251"/>
        <v>386.03721626944201</v>
      </c>
      <c r="U205" s="97">
        <f t="shared" si="251"/>
        <v>286.88531903942174</v>
      </c>
      <c r="V205" s="97">
        <f t="shared" si="251"/>
        <v>293.64966482262156</v>
      </c>
      <c r="W205" s="97">
        <f t="shared" ref="W205" si="252">IF(W53=0,0,W53/W23*1000)</f>
        <v>273.15963934030856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159.45456582918246</v>
      </c>
      <c r="C206" s="97">
        <f t="shared" si="253"/>
        <v>151.01898721838558</v>
      </c>
      <c r="D206" s="97">
        <f t="shared" si="253"/>
        <v>155.47444431430458</v>
      </c>
      <c r="E206" s="97">
        <f t="shared" si="253"/>
        <v>161.52534560772278</v>
      </c>
      <c r="F206" s="97">
        <f t="shared" si="253"/>
        <v>185.43197945292309</v>
      </c>
      <c r="G206" s="97">
        <f t="shared" si="253"/>
        <v>195.60426198048592</v>
      </c>
      <c r="H206" s="97">
        <f t="shared" si="253"/>
        <v>233.53126290849272</v>
      </c>
      <c r="I206" s="97">
        <f t="shared" si="253"/>
        <v>245.93249565596551</v>
      </c>
      <c r="J206" s="97">
        <f t="shared" si="253"/>
        <v>241.5981491734893</v>
      </c>
      <c r="K206" s="97">
        <f t="shared" si="253"/>
        <v>218.4567524114791</v>
      </c>
      <c r="L206" s="97">
        <f t="shared" si="253"/>
        <v>205.1626126311524</v>
      </c>
      <c r="M206" s="97">
        <f t="shared" si="253"/>
        <v>198.3920244798316</v>
      </c>
      <c r="N206" s="97">
        <f t="shared" si="253"/>
        <v>181.98770655320359</v>
      </c>
      <c r="O206" s="97">
        <f t="shared" si="253"/>
        <v>177.97277864302688</v>
      </c>
      <c r="P206" s="97">
        <f t="shared" si="253"/>
        <v>180.77465531233477</v>
      </c>
      <c r="Q206" s="97">
        <f t="shared" si="253"/>
        <v>184.23857395791111</v>
      </c>
      <c r="R206" s="97">
        <f t="shared" si="253"/>
        <v>172.27484390117314</v>
      </c>
      <c r="S206" s="97">
        <f t="shared" si="253"/>
        <v>192.86403985341667</v>
      </c>
      <c r="T206" s="97">
        <f t="shared" si="253"/>
        <v>194.47665507607411</v>
      </c>
      <c r="U206" s="97">
        <f t="shared" si="253"/>
        <v>195.56842852515391</v>
      </c>
      <c r="V206" s="97">
        <f t="shared" si="253"/>
        <v>194.04439664182181</v>
      </c>
      <c r="W206" s="97">
        <f t="shared" ref="W206" si="254">IF(W54=0,0,W54/W24*1000)</f>
        <v>194.32241122581675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87.804426030775943</v>
      </c>
      <c r="C207" s="97">
        <f t="shared" si="255"/>
        <v>83.714785615080189</v>
      </c>
      <c r="D207" s="97">
        <f t="shared" si="255"/>
        <v>85.906662290141426</v>
      </c>
      <c r="E207" s="97">
        <f t="shared" si="255"/>
        <v>99.936405771773721</v>
      </c>
      <c r="F207" s="97">
        <f t="shared" si="255"/>
        <v>107.4404281222219</v>
      </c>
      <c r="G207" s="97">
        <f t="shared" si="255"/>
        <v>110.51947754265811</v>
      </c>
      <c r="H207" s="97">
        <f t="shared" si="255"/>
        <v>110.38145250139121</v>
      </c>
      <c r="I207" s="97">
        <f t="shared" si="255"/>
        <v>122.65622608144315</v>
      </c>
      <c r="J207" s="97">
        <f t="shared" si="255"/>
        <v>124.06298978326838</v>
      </c>
      <c r="K207" s="97">
        <f t="shared" si="255"/>
        <v>108.82746652522702</v>
      </c>
      <c r="L207" s="97">
        <f t="shared" si="255"/>
        <v>105.93533979219103</v>
      </c>
      <c r="M207" s="97">
        <f t="shared" si="255"/>
        <v>100.03058639161154</v>
      </c>
      <c r="N207" s="97">
        <f t="shared" si="255"/>
        <v>88.605860799622619</v>
      </c>
      <c r="O207" s="97">
        <f t="shared" si="255"/>
        <v>86.629824883866576</v>
      </c>
      <c r="P207" s="97">
        <f t="shared" si="255"/>
        <v>75.71104151795042</v>
      </c>
      <c r="Q207" s="97">
        <f t="shared" si="255"/>
        <v>72.462104566951766</v>
      </c>
      <c r="R207" s="97">
        <f t="shared" si="255"/>
        <v>63.538277254396313</v>
      </c>
      <c r="S207" s="97">
        <f t="shared" si="255"/>
        <v>55.754760168392536</v>
      </c>
      <c r="T207" s="97">
        <f t="shared" si="255"/>
        <v>46.090749402607742</v>
      </c>
      <c r="U207" s="97">
        <f t="shared" si="255"/>
        <v>46.756777262158693</v>
      </c>
      <c r="V207" s="97">
        <f t="shared" si="255"/>
        <v>78.524889461713713</v>
      </c>
      <c r="W207" s="97">
        <f t="shared" ref="W207" si="256">IF(W55=0,0,W55/W25*1000)</f>
        <v>81.947971592732159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106.58100535132118</v>
      </c>
      <c r="C208" s="130">
        <f t="shared" si="257"/>
        <v>90.133377899631284</v>
      </c>
      <c r="D208" s="130">
        <f t="shared" si="257"/>
        <v>113.56259576566517</v>
      </c>
      <c r="E208" s="130">
        <f t="shared" si="257"/>
        <v>98.263146293246578</v>
      </c>
      <c r="F208" s="130">
        <f t="shared" si="257"/>
        <v>91.62934326293346</v>
      </c>
      <c r="G208" s="130">
        <f t="shared" si="257"/>
        <v>94.673697403591476</v>
      </c>
      <c r="H208" s="130">
        <f t="shared" si="257"/>
        <v>75.267802130368764</v>
      </c>
      <c r="I208" s="130">
        <f t="shared" si="257"/>
        <v>61.474920546746596</v>
      </c>
      <c r="J208" s="130">
        <f t="shared" si="257"/>
        <v>82.631388835831515</v>
      </c>
      <c r="K208" s="130">
        <f t="shared" si="257"/>
        <v>98.211045871371027</v>
      </c>
      <c r="L208" s="130">
        <f t="shared" si="257"/>
        <v>75.681912166534431</v>
      </c>
      <c r="M208" s="130">
        <f t="shared" si="257"/>
        <v>72.223274528162804</v>
      </c>
      <c r="N208" s="130">
        <f t="shared" si="257"/>
        <v>68.597337721572814</v>
      </c>
      <c r="O208" s="130">
        <f t="shared" si="257"/>
        <v>87.566829201982728</v>
      </c>
      <c r="P208" s="130">
        <f t="shared" si="257"/>
        <v>69.117461048614956</v>
      </c>
      <c r="Q208" s="130">
        <f t="shared" si="257"/>
        <v>73.270675760597612</v>
      </c>
      <c r="R208" s="130">
        <f t="shared" si="257"/>
        <v>61.832506906347746</v>
      </c>
      <c r="S208" s="130">
        <f t="shared" si="257"/>
        <v>64.832730330344745</v>
      </c>
      <c r="T208" s="130">
        <f t="shared" si="257"/>
        <v>72.489291957158827</v>
      </c>
      <c r="U208" s="130">
        <f t="shared" si="257"/>
        <v>74.211590679006164</v>
      </c>
      <c r="V208" s="130">
        <f t="shared" si="257"/>
        <v>79.841997913291195</v>
      </c>
      <c r="W208" s="130">
        <f t="shared" ref="W208" si="258">IF(W56=0,0,W56/W26*1000)</f>
        <v>90.81606979230942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106.58100535132118</v>
      </c>
      <c r="C209" s="97">
        <f t="shared" si="259"/>
        <v>90.133377899631284</v>
      </c>
      <c r="D209" s="97">
        <f t="shared" si="259"/>
        <v>113.56259576566517</v>
      </c>
      <c r="E209" s="97">
        <f t="shared" si="259"/>
        <v>98.263146293246578</v>
      </c>
      <c r="F209" s="97">
        <f t="shared" si="259"/>
        <v>91.62934326293346</v>
      </c>
      <c r="G209" s="97">
        <f t="shared" si="259"/>
        <v>94.673697403591476</v>
      </c>
      <c r="H209" s="97">
        <f t="shared" si="259"/>
        <v>75.267802130368764</v>
      </c>
      <c r="I209" s="97">
        <f t="shared" si="259"/>
        <v>61.474920546746596</v>
      </c>
      <c r="J209" s="97">
        <f t="shared" si="259"/>
        <v>82.631388835831515</v>
      </c>
      <c r="K209" s="97">
        <f t="shared" si="259"/>
        <v>98.211045871371027</v>
      </c>
      <c r="L209" s="97">
        <f t="shared" si="259"/>
        <v>75.681912166534431</v>
      </c>
      <c r="M209" s="97">
        <f t="shared" si="259"/>
        <v>72.223274528162804</v>
      </c>
      <c r="N209" s="97">
        <f t="shared" si="259"/>
        <v>68.597337721572814</v>
      </c>
      <c r="O209" s="97">
        <f t="shared" si="259"/>
        <v>87.566829201982728</v>
      </c>
      <c r="P209" s="97">
        <f t="shared" si="259"/>
        <v>69.117461048614956</v>
      </c>
      <c r="Q209" s="97">
        <f t="shared" si="259"/>
        <v>73.270675760597612</v>
      </c>
      <c r="R209" s="97">
        <f t="shared" si="259"/>
        <v>61.832506906347746</v>
      </c>
      <c r="S209" s="97">
        <f t="shared" si="259"/>
        <v>64.832730330344745</v>
      </c>
      <c r="T209" s="97">
        <f t="shared" si="259"/>
        <v>72.489291957158827</v>
      </c>
      <c r="U209" s="97">
        <f t="shared" si="259"/>
        <v>74.211590679006164</v>
      </c>
      <c r="V209" s="97">
        <f t="shared" si="259"/>
        <v>79.841997913291195</v>
      </c>
      <c r="W209" s="97">
        <f t="shared" ref="W209" si="260">IF(W57=0,0,W57/W27*1000)</f>
        <v>90.81606979230942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15.932090814361237</v>
      </c>
      <c r="C211" s="32">
        <f t="shared" si="263"/>
        <v>12.932544961132129</v>
      </c>
      <c r="D211" s="32">
        <f t="shared" si="263"/>
        <v>11.052435522354813</v>
      </c>
      <c r="E211" s="32">
        <f t="shared" si="263"/>
        <v>9.6247800470756992</v>
      </c>
      <c r="F211" s="32">
        <f t="shared" si="263"/>
        <v>8.9846506840010747</v>
      </c>
      <c r="G211" s="32">
        <f t="shared" si="263"/>
        <v>9.5804962505382818</v>
      </c>
      <c r="H211" s="32">
        <f t="shared" si="263"/>
        <v>10.559771788468291</v>
      </c>
      <c r="I211" s="32">
        <f t="shared" si="263"/>
        <v>12.141512361129319</v>
      </c>
      <c r="J211" s="32">
        <f t="shared" si="263"/>
        <v>10.563070462617464</v>
      </c>
      <c r="K211" s="32">
        <f t="shared" si="263"/>
        <v>6.8458139203441881</v>
      </c>
      <c r="L211" s="32">
        <f t="shared" si="263"/>
        <v>10.372477162930144</v>
      </c>
      <c r="M211" s="32">
        <f t="shared" si="263"/>
        <v>8.888295086116246</v>
      </c>
      <c r="N211" s="32">
        <f t="shared" si="263"/>
        <v>8.3198851680504973</v>
      </c>
      <c r="O211" s="32">
        <f t="shared" si="263"/>
        <v>9.3719710523396085</v>
      </c>
      <c r="P211" s="32">
        <f t="shared" si="263"/>
        <v>10.821462179091979</v>
      </c>
      <c r="Q211" s="32">
        <f t="shared" si="263"/>
        <v>8.5755360858163705</v>
      </c>
      <c r="R211" s="32">
        <f t="shared" si="263"/>
        <v>7.460993840636009</v>
      </c>
      <c r="S211" s="32">
        <f t="shared" si="263"/>
        <v>6.1905262121264082</v>
      </c>
      <c r="T211" s="32">
        <f t="shared" si="263"/>
        <v>6.7255329341444909</v>
      </c>
      <c r="U211" s="32">
        <f t="shared" si="263"/>
        <v>7.4414443448963272</v>
      </c>
      <c r="V211" s="32">
        <f t="shared" si="263"/>
        <v>5.5719160706888653</v>
      </c>
      <c r="W211" s="32">
        <f t="shared" si="262"/>
        <v>4.5920522327252362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25.396845586680808</v>
      </c>
      <c r="C212" s="97">
        <f t="shared" si="264"/>
        <v>21.062670438425524</v>
      </c>
      <c r="D212" s="97">
        <f t="shared" si="264"/>
        <v>17.359771707475932</v>
      </c>
      <c r="E212" s="97">
        <f t="shared" si="264"/>
        <v>16.66568379989695</v>
      </c>
      <c r="F212" s="97">
        <f t="shared" si="264"/>
        <v>13.832859914547406</v>
      </c>
      <c r="G212" s="97">
        <f t="shared" si="264"/>
        <v>14.504171517196152</v>
      </c>
      <c r="H212" s="97">
        <f t="shared" si="264"/>
        <v>18.155848500175079</v>
      </c>
      <c r="I212" s="97">
        <f t="shared" si="264"/>
        <v>20.248545197157959</v>
      </c>
      <c r="J212" s="97">
        <f t="shared" si="264"/>
        <v>17.639423553251024</v>
      </c>
      <c r="K212" s="97">
        <f t="shared" si="264"/>
        <v>11.39893735848392</v>
      </c>
      <c r="L212" s="97">
        <f t="shared" si="264"/>
        <v>16.158472257995573</v>
      </c>
      <c r="M212" s="97">
        <f t="shared" si="264"/>
        <v>15.446161231522314</v>
      </c>
      <c r="N212" s="97">
        <f t="shared" si="264"/>
        <v>12.604754702109812</v>
      </c>
      <c r="O212" s="97">
        <f t="shared" si="264"/>
        <v>13.235507842135801</v>
      </c>
      <c r="P212" s="97">
        <f t="shared" si="264"/>
        <v>16.585262582012756</v>
      </c>
      <c r="Q212" s="97">
        <f t="shared" si="264"/>
        <v>15.11713940870081</v>
      </c>
      <c r="R212" s="97">
        <f t="shared" si="264"/>
        <v>12.927630984076393</v>
      </c>
      <c r="S212" s="97">
        <f t="shared" si="264"/>
        <v>10.611334726187463</v>
      </c>
      <c r="T212" s="97">
        <f t="shared" si="264"/>
        <v>12.044130288538906</v>
      </c>
      <c r="U212" s="97">
        <f t="shared" si="264"/>
        <v>13.606495503005183</v>
      </c>
      <c r="V212" s="97">
        <f t="shared" si="264"/>
        <v>9.4072461296236938</v>
      </c>
      <c r="W212" s="97">
        <f t="shared" si="262"/>
        <v>7.9240436079500238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12.447854784534416</v>
      </c>
      <c r="C213" s="98">
        <f t="shared" si="265"/>
        <v>10.027704250536459</v>
      </c>
      <c r="D213" s="98">
        <f t="shared" si="265"/>
        <v>8.6152858602714808</v>
      </c>
      <c r="E213" s="98">
        <f t="shared" si="265"/>
        <v>7.3882625807014701</v>
      </c>
      <c r="F213" s="98">
        <f t="shared" si="265"/>
        <v>6.9960874356872003</v>
      </c>
      <c r="G213" s="98">
        <f t="shared" si="265"/>
        <v>7.4717239536095139</v>
      </c>
      <c r="H213" s="98">
        <f t="shared" si="265"/>
        <v>8.1867273693739833</v>
      </c>
      <c r="I213" s="98">
        <f t="shared" si="265"/>
        <v>9.402721570989824</v>
      </c>
      <c r="J213" s="98">
        <f t="shared" si="265"/>
        <v>8.1408328738709272</v>
      </c>
      <c r="K213" s="98">
        <f t="shared" si="265"/>
        <v>5.267055129871677</v>
      </c>
      <c r="L213" s="98">
        <f t="shared" si="265"/>
        <v>8.0090637762665722</v>
      </c>
      <c r="M213" s="98">
        <f t="shared" si="265"/>
        <v>6.8594801273332857</v>
      </c>
      <c r="N213" s="98">
        <f t="shared" si="265"/>
        <v>6.4686128478176581</v>
      </c>
      <c r="O213" s="98">
        <f t="shared" si="265"/>
        <v>7.3748832366993105</v>
      </c>
      <c r="P213" s="98">
        <f t="shared" si="265"/>
        <v>8.3750712076526028</v>
      </c>
      <c r="Q213" s="98">
        <f t="shared" si="265"/>
        <v>6.4558745988099595</v>
      </c>
      <c r="R213" s="98">
        <f t="shared" si="265"/>
        <v>5.6595556826910238</v>
      </c>
      <c r="S213" s="98">
        <f t="shared" si="265"/>
        <v>4.6943492559992119</v>
      </c>
      <c r="T213" s="98">
        <f t="shared" si="265"/>
        <v>5.0704974781534808</v>
      </c>
      <c r="U213" s="98">
        <f t="shared" si="265"/>
        <v>5.6079684423779739</v>
      </c>
      <c r="V213" s="98">
        <f t="shared" si="265"/>
        <v>4.4735177702684394</v>
      </c>
      <c r="W213" s="98">
        <f t="shared" si="262"/>
        <v>3.6897677001160623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120.09920380570945</v>
      </c>
      <c r="C216" s="32">
        <f t="shared" si="266"/>
        <v>119.68496754342877</v>
      </c>
      <c r="D216" s="32">
        <f t="shared" si="266"/>
        <v>116.74037116324216</v>
      </c>
      <c r="E216" s="32">
        <f t="shared" si="266"/>
        <v>119.72487262434532</v>
      </c>
      <c r="F216" s="32">
        <f t="shared" si="266"/>
        <v>120.00247597616122</v>
      </c>
      <c r="G216" s="32">
        <f t="shared" si="266"/>
        <v>121.28920261154686</v>
      </c>
      <c r="H216" s="32">
        <f t="shared" si="266"/>
        <v>121.52515612530014</v>
      </c>
      <c r="I216" s="32">
        <f t="shared" si="266"/>
        <v>125.10885062584634</v>
      </c>
      <c r="J216" s="32">
        <f t="shared" si="266"/>
        <v>122.50094670828113</v>
      </c>
      <c r="K216" s="32">
        <f t="shared" si="266"/>
        <v>119.44249813156516</v>
      </c>
      <c r="L216" s="32">
        <f t="shared" si="266"/>
        <v>117.18701849045277</v>
      </c>
      <c r="M216" s="32">
        <f t="shared" si="266"/>
        <v>116.02962190383593</v>
      </c>
      <c r="N216" s="32">
        <f t="shared" si="266"/>
        <v>108.95261605122197</v>
      </c>
      <c r="O216" s="32">
        <f t="shared" si="266"/>
        <v>106.63933607990043</v>
      </c>
      <c r="P216" s="32">
        <f t="shared" si="266"/>
        <v>106.34399124123827</v>
      </c>
      <c r="Q216" s="32">
        <f t="shared" si="266"/>
        <v>108.07630123506402</v>
      </c>
      <c r="R216" s="32">
        <f t="shared" si="266"/>
        <v>105.12463235757122</v>
      </c>
      <c r="S216" s="32">
        <f t="shared" si="266"/>
        <v>103.26777228009344</v>
      </c>
      <c r="T216" s="32">
        <f t="shared" si="266"/>
        <v>103.60328854867288</v>
      </c>
      <c r="U216" s="32">
        <f t="shared" si="266"/>
        <v>102.26205570024997</v>
      </c>
      <c r="V216" s="32">
        <f t="shared" si="266"/>
        <v>106.24888102120228</v>
      </c>
      <c r="W216" s="32">
        <f t="shared" ref="W216" si="267">IF(W4=0,0,W64/W4*1000)</f>
        <v>105.78927064904553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120.07083228330707</v>
      </c>
      <c r="C217" s="141">
        <f t="shared" si="268"/>
        <v>120.65444158571079</v>
      </c>
      <c r="D217" s="141">
        <f t="shared" si="268"/>
        <v>122.39126951264568</v>
      </c>
      <c r="E217" s="141">
        <f t="shared" si="268"/>
        <v>124.29879781705658</v>
      </c>
      <c r="F217" s="141">
        <f t="shared" si="268"/>
        <v>123.20890333608163</v>
      </c>
      <c r="G217" s="141">
        <f t="shared" si="268"/>
        <v>125.64603180602596</v>
      </c>
      <c r="H217" s="141">
        <f t="shared" si="268"/>
        <v>127.47290147364487</v>
      </c>
      <c r="I217" s="141">
        <f t="shared" si="268"/>
        <v>131.29146576720919</v>
      </c>
      <c r="J217" s="141">
        <f t="shared" si="268"/>
        <v>129.43208635013949</v>
      </c>
      <c r="K217" s="141">
        <f t="shared" si="268"/>
        <v>127.27136100843087</v>
      </c>
      <c r="L217" s="141">
        <f t="shared" si="268"/>
        <v>126.58215853717358</v>
      </c>
      <c r="M217" s="141">
        <f t="shared" si="268"/>
        <v>124.71153985882731</v>
      </c>
      <c r="N217" s="141">
        <f t="shared" si="268"/>
        <v>116.76649970556991</v>
      </c>
      <c r="O217" s="141">
        <f t="shared" si="268"/>
        <v>115.36139936894565</v>
      </c>
      <c r="P217" s="141">
        <f t="shared" si="268"/>
        <v>114.29991328857162</v>
      </c>
      <c r="Q217" s="141">
        <f t="shared" si="268"/>
        <v>118.15449065140868</v>
      </c>
      <c r="R217" s="141">
        <f t="shared" si="268"/>
        <v>113.00636185817825</v>
      </c>
      <c r="S217" s="141">
        <f t="shared" si="268"/>
        <v>110.39568066929024</v>
      </c>
      <c r="T217" s="141">
        <f t="shared" si="268"/>
        <v>111.16560731473426</v>
      </c>
      <c r="U217" s="141">
        <f t="shared" si="268"/>
        <v>107.90089231306517</v>
      </c>
      <c r="V217" s="141">
        <f t="shared" si="268"/>
        <v>107.40143023342776</v>
      </c>
      <c r="W217" s="141">
        <f t="shared" ref="W217" si="269">IF(W5=0,0,W65/W5*1000)</f>
        <v>106.48419341601095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111.28381184987967</v>
      </c>
      <c r="C218" s="97">
        <f t="shared" si="270"/>
        <v>110.4551411642512</v>
      </c>
      <c r="D218" s="97">
        <f t="shared" si="270"/>
        <v>109.83808908466246</v>
      </c>
      <c r="E218" s="97">
        <f t="shared" si="270"/>
        <v>109.45809022161433</v>
      </c>
      <c r="F218" s="97">
        <f t="shared" si="270"/>
        <v>108.45227234680367</v>
      </c>
      <c r="G218" s="97">
        <f t="shared" si="270"/>
        <v>106.77316553856636</v>
      </c>
      <c r="H218" s="97">
        <f t="shared" si="270"/>
        <v>105.0396503025358</v>
      </c>
      <c r="I218" s="97">
        <f t="shared" si="270"/>
        <v>103.27077593036992</v>
      </c>
      <c r="J218" s="97">
        <f t="shared" si="270"/>
        <v>102.09177477023906</v>
      </c>
      <c r="K218" s="97">
        <f t="shared" si="270"/>
        <v>101.11164175331076</v>
      </c>
      <c r="L218" s="97">
        <f t="shared" si="270"/>
        <v>99.055726695172424</v>
      </c>
      <c r="M218" s="97">
        <f t="shared" si="270"/>
        <v>97.323197415828986</v>
      </c>
      <c r="N218" s="97">
        <f t="shared" si="270"/>
        <v>96.971327345347305</v>
      </c>
      <c r="O218" s="97">
        <f t="shared" si="270"/>
        <v>96.243864002503898</v>
      </c>
      <c r="P218" s="97">
        <f t="shared" si="270"/>
        <v>95.63649311511405</v>
      </c>
      <c r="Q218" s="97">
        <f t="shared" si="270"/>
        <v>95.059831971968052</v>
      </c>
      <c r="R218" s="97">
        <f t="shared" si="270"/>
        <v>94.612258206819732</v>
      </c>
      <c r="S218" s="97">
        <f t="shared" si="270"/>
        <v>93.567090024587031</v>
      </c>
      <c r="T218" s="97">
        <f t="shared" si="270"/>
        <v>92.992491995404947</v>
      </c>
      <c r="U218" s="97">
        <f t="shared" si="270"/>
        <v>91.622234261434357</v>
      </c>
      <c r="V218" s="97">
        <f t="shared" si="270"/>
        <v>88.158850525031312</v>
      </c>
      <c r="W218" s="97">
        <f t="shared" ref="W218" si="271">IF(W6=0,0,W66/W6*1000)</f>
        <v>84.397862514474795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116.76595604785462</v>
      </c>
      <c r="C219" s="97">
        <f t="shared" si="272"/>
        <v>117.77267674644055</v>
      </c>
      <c r="D219" s="97">
        <f t="shared" si="272"/>
        <v>120.21949745930154</v>
      </c>
      <c r="E219" s="97">
        <f t="shared" si="272"/>
        <v>122.10760810240814</v>
      </c>
      <c r="F219" s="97">
        <f t="shared" si="272"/>
        <v>121.30950629459174</v>
      </c>
      <c r="G219" s="97">
        <f t="shared" si="272"/>
        <v>123.61626267520553</v>
      </c>
      <c r="H219" s="97">
        <f t="shared" si="272"/>
        <v>125.32496990651582</v>
      </c>
      <c r="I219" s="97">
        <f t="shared" si="272"/>
        <v>129.50359188032698</v>
      </c>
      <c r="J219" s="97">
        <f t="shared" si="272"/>
        <v>126.85716369509345</v>
      </c>
      <c r="K219" s="97">
        <f t="shared" si="272"/>
        <v>124.10496203422836</v>
      </c>
      <c r="L219" s="97">
        <f t="shared" si="272"/>
        <v>123.0806017128608</v>
      </c>
      <c r="M219" s="97">
        <f t="shared" si="272"/>
        <v>121.83259388054765</v>
      </c>
      <c r="N219" s="97">
        <f t="shared" si="272"/>
        <v>114.04549636940831</v>
      </c>
      <c r="O219" s="97">
        <f t="shared" si="272"/>
        <v>113.22284333998164</v>
      </c>
      <c r="P219" s="97">
        <f t="shared" si="272"/>
        <v>111.68326821359913</v>
      </c>
      <c r="Q219" s="97">
        <f t="shared" si="272"/>
        <v>116.35042792053845</v>
      </c>
      <c r="R219" s="97">
        <f t="shared" si="272"/>
        <v>110.4541377628249</v>
      </c>
      <c r="S219" s="97">
        <f t="shared" si="272"/>
        <v>107.2067047549392</v>
      </c>
      <c r="T219" s="97">
        <f t="shared" si="272"/>
        <v>107.7633836516633</v>
      </c>
      <c r="U219" s="97">
        <f t="shared" si="272"/>
        <v>104.45216620135614</v>
      </c>
      <c r="V219" s="97">
        <f t="shared" si="272"/>
        <v>99.357931299121333</v>
      </c>
      <c r="W219" s="97">
        <f t="shared" ref="W219" si="273">IF(W7=0,0,W67/W7*1000)</f>
        <v>99.166787520921602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143.3530161993198</v>
      </c>
      <c r="C220" s="97">
        <f t="shared" si="274"/>
        <v>140.97315886278403</v>
      </c>
      <c r="D220" s="97">
        <f t="shared" si="274"/>
        <v>138.16354219489904</v>
      </c>
      <c r="E220" s="97">
        <f t="shared" si="274"/>
        <v>140.53040690247789</v>
      </c>
      <c r="F220" s="97">
        <f t="shared" si="274"/>
        <v>137.60790080530947</v>
      </c>
      <c r="G220" s="97">
        <f t="shared" si="274"/>
        <v>141.39747046962918</v>
      </c>
      <c r="H220" s="97">
        <f t="shared" si="274"/>
        <v>144.70784826432799</v>
      </c>
      <c r="I220" s="97">
        <f t="shared" si="274"/>
        <v>147.45763960272816</v>
      </c>
      <c r="J220" s="97">
        <f t="shared" si="274"/>
        <v>151.98468380839449</v>
      </c>
      <c r="K220" s="97">
        <f t="shared" si="274"/>
        <v>154.28602004448709</v>
      </c>
      <c r="L220" s="97">
        <f t="shared" si="274"/>
        <v>155.88936530962042</v>
      </c>
      <c r="M220" s="97">
        <f t="shared" si="274"/>
        <v>150.35669720500107</v>
      </c>
      <c r="N220" s="97">
        <f t="shared" si="274"/>
        <v>141.0196429011429</v>
      </c>
      <c r="O220" s="97">
        <f t="shared" si="274"/>
        <v>134.90425927932117</v>
      </c>
      <c r="P220" s="97">
        <f t="shared" si="274"/>
        <v>138.01721573431851</v>
      </c>
      <c r="Q220" s="97">
        <f t="shared" si="274"/>
        <v>135.51923830257135</v>
      </c>
      <c r="R220" s="97">
        <f t="shared" si="274"/>
        <v>136.17471395054443</v>
      </c>
      <c r="S220" s="97">
        <f t="shared" si="274"/>
        <v>138.16708319043801</v>
      </c>
      <c r="T220" s="97">
        <f t="shared" si="274"/>
        <v>142.0872225773314</v>
      </c>
      <c r="U220" s="97">
        <f t="shared" si="274"/>
        <v>140.57812356376573</v>
      </c>
      <c r="V220" s="97">
        <f t="shared" si="274"/>
        <v>213.35900499879989</v>
      </c>
      <c r="W220" s="97">
        <f t="shared" ref="W220" si="275">IF(W8=0,0,W68/W8*1000)</f>
        <v>198.46036137870982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35.680487776630329</v>
      </c>
      <c r="C221" s="130">
        <f t="shared" si="276"/>
        <v>32.096106668306632</v>
      </c>
      <c r="D221" s="130">
        <f t="shared" si="276"/>
        <v>32.467172005604176</v>
      </c>
      <c r="E221" s="130">
        <f t="shared" si="276"/>
        <v>33.071814756661581</v>
      </c>
      <c r="F221" s="130">
        <f t="shared" si="276"/>
        <v>31.071853186107642</v>
      </c>
      <c r="G221" s="130">
        <f t="shared" si="276"/>
        <v>33.749351885108972</v>
      </c>
      <c r="H221" s="130">
        <f t="shared" si="276"/>
        <v>32.561656621729639</v>
      </c>
      <c r="I221" s="130">
        <f t="shared" si="276"/>
        <v>32.530650340189538</v>
      </c>
      <c r="J221" s="130">
        <f t="shared" si="276"/>
        <v>33.452017791750023</v>
      </c>
      <c r="K221" s="130">
        <f t="shared" si="276"/>
        <v>33.18833836000254</v>
      </c>
      <c r="L221" s="130">
        <f t="shared" si="276"/>
        <v>33.157128110538643</v>
      </c>
      <c r="M221" s="130">
        <f t="shared" si="276"/>
        <v>33.200011417588563</v>
      </c>
      <c r="N221" s="130">
        <f t="shared" si="276"/>
        <v>33.30475151406921</v>
      </c>
      <c r="O221" s="130">
        <f t="shared" si="276"/>
        <v>32.472043203530376</v>
      </c>
      <c r="P221" s="130">
        <f t="shared" si="276"/>
        <v>33.174593947884588</v>
      </c>
      <c r="Q221" s="130">
        <f t="shared" si="276"/>
        <v>32.32338308812411</v>
      </c>
      <c r="R221" s="130">
        <f t="shared" si="276"/>
        <v>33.908133490469908</v>
      </c>
      <c r="S221" s="130">
        <f t="shared" si="276"/>
        <v>32.925557633850644</v>
      </c>
      <c r="T221" s="130">
        <f t="shared" si="276"/>
        <v>30.646740970906841</v>
      </c>
      <c r="U221" s="130">
        <f t="shared" si="276"/>
        <v>30.726002182093048</v>
      </c>
      <c r="V221" s="130">
        <f t="shared" si="276"/>
        <v>41.683750613554075</v>
      </c>
      <c r="W221" s="130">
        <f t="shared" ref="W221" si="277">IF(W9=0,0,W69/W9*1000)</f>
        <v>37.316730774770392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35.680487776630329</v>
      </c>
      <c r="C223" s="97">
        <f t="shared" si="280"/>
        <v>32.096106668306632</v>
      </c>
      <c r="D223" s="97">
        <f t="shared" si="280"/>
        <v>32.518034416056828</v>
      </c>
      <c r="E223" s="97">
        <f t="shared" si="280"/>
        <v>33.45214630295343</v>
      </c>
      <c r="F223" s="97">
        <f t="shared" si="280"/>
        <v>31.740739363003332</v>
      </c>
      <c r="G223" s="97">
        <f t="shared" si="280"/>
        <v>34.664550245568904</v>
      </c>
      <c r="H223" s="97">
        <f t="shared" si="280"/>
        <v>33.435651987681133</v>
      </c>
      <c r="I223" s="97">
        <f t="shared" si="280"/>
        <v>33.462956867102349</v>
      </c>
      <c r="J223" s="97">
        <f t="shared" si="280"/>
        <v>34.490734904710415</v>
      </c>
      <c r="K223" s="97">
        <f t="shared" si="280"/>
        <v>34.348203891114458</v>
      </c>
      <c r="L223" s="97">
        <f t="shared" si="280"/>
        <v>34.407452127329222</v>
      </c>
      <c r="M223" s="97">
        <f t="shared" si="280"/>
        <v>34.650066904484021</v>
      </c>
      <c r="N223" s="97">
        <f t="shared" si="280"/>
        <v>34.705012664116005</v>
      </c>
      <c r="O223" s="97">
        <f t="shared" si="280"/>
        <v>33.879776415223652</v>
      </c>
      <c r="P223" s="97">
        <f t="shared" si="280"/>
        <v>34.677204912820244</v>
      </c>
      <c r="Q223" s="97">
        <f t="shared" si="280"/>
        <v>33.823792201652161</v>
      </c>
      <c r="R223" s="97">
        <f t="shared" si="280"/>
        <v>35.627102355037323</v>
      </c>
      <c r="S223" s="97">
        <f t="shared" si="280"/>
        <v>34.713394441675973</v>
      </c>
      <c r="T223" s="97">
        <f t="shared" si="280"/>
        <v>32.38752729037742</v>
      </c>
      <c r="U223" s="97">
        <f t="shared" si="280"/>
        <v>32.716672877401962</v>
      </c>
      <c r="V223" s="97">
        <f t="shared" si="280"/>
        <v>44.741264300690403</v>
      </c>
      <c r="W223" s="97">
        <f t="shared" ref="W223" si="281">IF(W11=0,0,W71/W11*1000)</f>
        <v>40.271009149907677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148.13553787457749</v>
      </c>
      <c r="C225" s="130">
        <f t="shared" si="284"/>
        <v>145.39548518565141</v>
      </c>
      <c r="D225" s="130">
        <f t="shared" si="284"/>
        <v>126.03939919240237</v>
      </c>
      <c r="E225" s="130">
        <f t="shared" si="284"/>
        <v>134.4414990756442</v>
      </c>
      <c r="F225" s="130">
        <f t="shared" si="284"/>
        <v>139.23232189745519</v>
      </c>
      <c r="G225" s="130">
        <f t="shared" si="284"/>
        <v>135.78933543038374</v>
      </c>
      <c r="H225" s="130">
        <f t="shared" si="284"/>
        <v>132.17326334658242</v>
      </c>
      <c r="I225" s="130">
        <f t="shared" si="284"/>
        <v>136.29569708376198</v>
      </c>
      <c r="J225" s="130">
        <f t="shared" si="284"/>
        <v>130.98661340070288</v>
      </c>
      <c r="K225" s="130">
        <f t="shared" si="284"/>
        <v>123.97335924217248</v>
      </c>
      <c r="L225" s="130">
        <f t="shared" si="284"/>
        <v>117.01673796475021</v>
      </c>
      <c r="M225" s="130">
        <f t="shared" si="284"/>
        <v>117.28675889389133</v>
      </c>
      <c r="N225" s="130">
        <f t="shared" si="284"/>
        <v>111.02635027121951</v>
      </c>
      <c r="O225" s="130">
        <f t="shared" si="284"/>
        <v>105.91533114215046</v>
      </c>
      <c r="P225" s="130">
        <f t="shared" si="284"/>
        <v>106.64610208108411</v>
      </c>
      <c r="Q225" s="130">
        <f t="shared" si="284"/>
        <v>102.81965747656189</v>
      </c>
      <c r="R225" s="130">
        <f t="shared" si="284"/>
        <v>103.20472912539287</v>
      </c>
      <c r="S225" s="130">
        <f t="shared" si="284"/>
        <v>102.59932511692982</v>
      </c>
      <c r="T225" s="130">
        <f t="shared" si="284"/>
        <v>102.15954896816051</v>
      </c>
      <c r="U225" s="130">
        <f t="shared" si="284"/>
        <v>104.75886308257421</v>
      </c>
      <c r="V225" s="130">
        <f t="shared" si="284"/>
        <v>134.02218676187292</v>
      </c>
      <c r="W225" s="130">
        <f t="shared" ref="W225" si="285">IF(W13=0,0,W73/W13*1000)</f>
        <v>135.22718326256552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479.9782662968625</v>
      </c>
      <c r="C226" s="97">
        <f t="shared" si="286"/>
        <v>477.36307697874804</v>
      </c>
      <c r="D226" s="97">
        <f t="shared" si="286"/>
        <v>436.55015902518147</v>
      </c>
      <c r="E226" s="97">
        <f t="shared" si="286"/>
        <v>391.70231380614104</v>
      </c>
      <c r="F226" s="97">
        <f t="shared" si="286"/>
        <v>261.1145917940093</v>
      </c>
      <c r="G226" s="97">
        <f t="shared" si="286"/>
        <v>276.60557334913835</v>
      </c>
      <c r="H226" s="97">
        <f t="shared" si="286"/>
        <v>270.03896581526101</v>
      </c>
      <c r="I226" s="97">
        <f t="shared" si="286"/>
        <v>285.82010802510376</v>
      </c>
      <c r="J226" s="97">
        <f t="shared" si="286"/>
        <v>291.41566598362255</v>
      </c>
      <c r="K226" s="97">
        <f t="shared" si="286"/>
        <v>287.86690249111803</v>
      </c>
      <c r="L226" s="97">
        <f t="shared" si="286"/>
        <v>249.30979090003316</v>
      </c>
      <c r="M226" s="97">
        <f t="shared" si="286"/>
        <v>258.42975242634185</v>
      </c>
      <c r="N226" s="97">
        <f t="shared" si="286"/>
        <v>284.84249627645704</v>
      </c>
      <c r="O226" s="97">
        <f t="shared" si="286"/>
        <v>275.28210882551309</v>
      </c>
      <c r="P226" s="97">
        <f t="shared" si="286"/>
        <v>258.96320914277862</v>
      </c>
      <c r="Q226" s="97">
        <f t="shared" si="286"/>
        <v>246.26478904948488</v>
      </c>
      <c r="R226" s="97">
        <f t="shared" si="286"/>
        <v>240.96626356137023</v>
      </c>
      <c r="S226" s="97">
        <f t="shared" si="286"/>
        <v>238.11751039079977</v>
      </c>
      <c r="T226" s="97">
        <f t="shared" si="286"/>
        <v>227.78559631038399</v>
      </c>
      <c r="U226" s="97">
        <f t="shared" si="286"/>
        <v>242.73286823037759</v>
      </c>
      <c r="V226" s="97">
        <f t="shared" si="286"/>
        <v>309.13755907138926</v>
      </c>
      <c r="W226" s="97">
        <f t="shared" ref="W226" si="287">IF(W14=0,0,W74/W14*1000)</f>
        <v>237.17843350826345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129.40747358405525</v>
      </c>
      <c r="C227" s="97">
        <f t="shared" si="288"/>
        <v>126.70264744162269</v>
      </c>
      <c r="D227" s="97">
        <f t="shared" si="288"/>
        <v>115.15241245697462</v>
      </c>
      <c r="E227" s="97">
        <f t="shared" si="288"/>
        <v>124.91096225028296</v>
      </c>
      <c r="F227" s="97">
        <f t="shared" si="288"/>
        <v>132.05323624952922</v>
      </c>
      <c r="G227" s="97">
        <f t="shared" si="288"/>
        <v>132.38746827893544</v>
      </c>
      <c r="H227" s="97">
        <f t="shared" si="288"/>
        <v>130.79165962988864</v>
      </c>
      <c r="I227" s="97">
        <f t="shared" si="288"/>
        <v>136.20808383467659</v>
      </c>
      <c r="J227" s="97">
        <f t="shared" si="288"/>
        <v>133.35221530840201</v>
      </c>
      <c r="K227" s="97">
        <f t="shared" si="288"/>
        <v>122.6478188706317</v>
      </c>
      <c r="L227" s="97">
        <f t="shared" si="288"/>
        <v>117.01215027645678</v>
      </c>
      <c r="M227" s="97">
        <f t="shared" si="288"/>
        <v>114.51016758083267</v>
      </c>
      <c r="N227" s="97">
        <f t="shared" si="288"/>
        <v>110.66914438440125</v>
      </c>
      <c r="O227" s="97">
        <f t="shared" si="288"/>
        <v>105.33191984936239</v>
      </c>
      <c r="P227" s="97">
        <f t="shared" si="288"/>
        <v>109.55957393367929</v>
      </c>
      <c r="Q227" s="97">
        <f t="shared" si="288"/>
        <v>106.0966524727942</v>
      </c>
      <c r="R227" s="97">
        <f t="shared" si="288"/>
        <v>105.34144455676301</v>
      </c>
      <c r="S227" s="97">
        <f t="shared" si="288"/>
        <v>104.9535351467332</v>
      </c>
      <c r="T227" s="97">
        <f t="shared" si="288"/>
        <v>106.63348647216907</v>
      </c>
      <c r="U227" s="97">
        <f t="shared" si="288"/>
        <v>110.70151624855157</v>
      </c>
      <c r="V227" s="97">
        <f t="shared" si="288"/>
        <v>118.88981244196081</v>
      </c>
      <c r="W227" s="97">
        <f t="shared" ref="W227" si="289">IF(W15=0,0,W75/W15*1000)</f>
        <v>107.54495859761778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163.17718112921801</v>
      </c>
      <c r="C228" s="97">
        <f t="shared" si="290"/>
        <v>160.59690273132483</v>
      </c>
      <c r="D228" s="97">
        <f t="shared" si="290"/>
        <v>130.73180547399409</v>
      </c>
      <c r="E228" s="97">
        <f t="shared" si="290"/>
        <v>137.88957328947495</v>
      </c>
      <c r="F228" s="97">
        <f t="shared" si="290"/>
        <v>143.59094135299321</v>
      </c>
      <c r="G228" s="97">
        <f t="shared" si="290"/>
        <v>134.03904688285914</v>
      </c>
      <c r="H228" s="97">
        <f t="shared" si="290"/>
        <v>127.52222000307334</v>
      </c>
      <c r="I228" s="97">
        <f t="shared" si="290"/>
        <v>128.62110195952371</v>
      </c>
      <c r="J228" s="97">
        <f t="shared" si="290"/>
        <v>119.49520522464726</v>
      </c>
      <c r="K228" s="97">
        <f t="shared" si="290"/>
        <v>116.33046863982746</v>
      </c>
      <c r="L228" s="97">
        <f t="shared" si="290"/>
        <v>108.92942657979573</v>
      </c>
      <c r="M228" s="97">
        <f t="shared" si="290"/>
        <v>112.75885849252073</v>
      </c>
      <c r="N228" s="97">
        <f t="shared" si="290"/>
        <v>104.4234167140709</v>
      </c>
      <c r="O228" s="97">
        <f t="shared" si="290"/>
        <v>99.987679303002466</v>
      </c>
      <c r="P228" s="97">
        <f t="shared" si="290"/>
        <v>97.714614229999128</v>
      </c>
      <c r="Q228" s="97">
        <f t="shared" si="290"/>
        <v>93.966531680066339</v>
      </c>
      <c r="R228" s="97">
        <f t="shared" si="290"/>
        <v>95.489867538536714</v>
      </c>
      <c r="S228" s="97">
        <f t="shared" si="290"/>
        <v>94.955199283226861</v>
      </c>
      <c r="T228" s="97">
        <f t="shared" si="290"/>
        <v>92.893368031998406</v>
      </c>
      <c r="U228" s="97">
        <f t="shared" si="290"/>
        <v>94.175355021360915</v>
      </c>
      <c r="V228" s="97">
        <f t="shared" si="290"/>
        <v>142.97634121098616</v>
      </c>
      <c r="W228" s="97">
        <f t="shared" ref="W228" si="291">IF(W16=0,0,W76/W16*1000)</f>
        <v>179.90144521555803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231.58711639735944</v>
      </c>
      <c r="C229" s="32">
        <f t="shared" si="292"/>
        <v>234.08951329666073</v>
      </c>
      <c r="D229" s="32">
        <f t="shared" si="292"/>
        <v>238.16091167110969</v>
      </c>
      <c r="E229" s="32">
        <f t="shared" si="292"/>
        <v>249.24731667522289</v>
      </c>
      <c r="F229" s="32">
        <f t="shared" si="292"/>
        <v>254.80869609632734</v>
      </c>
      <c r="G229" s="32">
        <f t="shared" si="292"/>
        <v>254.46983517503079</v>
      </c>
      <c r="H229" s="32">
        <f t="shared" si="292"/>
        <v>250.19020253654023</v>
      </c>
      <c r="I229" s="32">
        <f t="shared" si="292"/>
        <v>249.23870107742982</v>
      </c>
      <c r="J229" s="32">
        <f t="shared" si="292"/>
        <v>241.57298240818284</v>
      </c>
      <c r="K229" s="32">
        <f t="shared" si="292"/>
        <v>240.60000369352684</v>
      </c>
      <c r="L229" s="32">
        <f t="shared" si="292"/>
        <v>225.20908604349879</v>
      </c>
      <c r="M229" s="32">
        <f t="shared" si="292"/>
        <v>196.71687502896933</v>
      </c>
      <c r="N229" s="32">
        <f t="shared" si="292"/>
        <v>177.9364383403925</v>
      </c>
      <c r="O229" s="32">
        <f t="shared" si="292"/>
        <v>169.07590374205412</v>
      </c>
      <c r="P229" s="32">
        <f t="shared" si="292"/>
        <v>166.65322785711868</v>
      </c>
      <c r="Q229" s="32">
        <f t="shared" si="292"/>
        <v>162.90668096382726</v>
      </c>
      <c r="R229" s="32">
        <f t="shared" si="292"/>
        <v>160.45912179263527</v>
      </c>
      <c r="S229" s="32">
        <f t="shared" si="292"/>
        <v>163.84587113826754</v>
      </c>
      <c r="T229" s="32">
        <f t="shared" si="292"/>
        <v>175.66784162077403</v>
      </c>
      <c r="U229" s="32">
        <f t="shared" si="292"/>
        <v>168.38442391164753</v>
      </c>
      <c r="V229" s="32">
        <f t="shared" si="292"/>
        <v>159.23795976455671</v>
      </c>
      <c r="W229" s="32">
        <f t="shared" ref="W229" si="293">IF(W17=0,0,W77/W17*1000)</f>
        <v>165.7237238836465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248.37142802147181</v>
      </c>
      <c r="C230" s="141">
        <f t="shared" si="294"/>
        <v>256.056340707716</v>
      </c>
      <c r="D230" s="141">
        <f t="shared" si="294"/>
        <v>250.91055195778651</v>
      </c>
      <c r="E230" s="141">
        <f t="shared" si="294"/>
        <v>270.00288199931572</v>
      </c>
      <c r="F230" s="141">
        <f t="shared" si="294"/>
        <v>283.44681017390832</v>
      </c>
      <c r="G230" s="141">
        <f t="shared" si="294"/>
        <v>275.52704339006857</v>
      </c>
      <c r="H230" s="141">
        <f t="shared" si="294"/>
        <v>274.49367949177093</v>
      </c>
      <c r="I230" s="141">
        <f t="shared" si="294"/>
        <v>276.46210549790555</v>
      </c>
      <c r="J230" s="141">
        <f t="shared" si="294"/>
        <v>256.21348920896065</v>
      </c>
      <c r="K230" s="141">
        <f t="shared" si="294"/>
        <v>252.30650386865995</v>
      </c>
      <c r="L230" s="141">
        <f t="shared" si="294"/>
        <v>246.67831505610528</v>
      </c>
      <c r="M230" s="141">
        <f t="shared" si="294"/>
        <v>215.21019755992128</v>
      </c>
      <c r="N230" s="141">
        <f t="shared" si="294"/>
        <v>190.31329975202948</v>
      </c>
      <c r="O230" s="141">
        <f t="shared" si="294"/>
        <v>176.83807275473103</v>
      </c>
      <c r="P230" s="141">
        <f t="shared" si="294"/>
        <v>178.42088310785869</v>
      </c>
      <c r="Q230" s="141">
        <f t="shared" si="294"/>
        <v>174.19409875315361</v>
      </c>
      <c r="R230" s="141">
        <f t="shared" si="294"/>
        <v>174.34938094683721</v>
      </c>
      <c r="S230" s="141">
        <f t="shared" si="294"/>
        <v>178.78078351292095</v>
      </c>
      <c r="T230" s="141">
        <f t="shared" si="294"/>
        <v>192.62113062277638</v>
      </c>
      <c r="U230" s="141">
        <f t="shared" si="294"/>
        <v>182.4909173356285</v>
      </c>
      <c r="V230" s="141">
        <f t="shared" si="294"/>
        <v>168.4685238188182</v>
      </c>
      <c r="W230" s="141">
        <f t="shared" ref="W230" si="295">IF(W18=0,0,W78/W18*1000)</f>
        <v>169.14144383007482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1932.933745612605</v>
      </c>
      <c r="C231" s="97">
        <f t="shared" si="296"/>
        <v>1864.2730993597038</v>
      </c>
      <c r="D231" s="97">
        <f t="shared" si="296"/>
        <v>1780.0146647028753</v>
      </c>
      <c r="E231" s="97">
        <f t="shared" si="296"/>
        <v>1710.4918559283913</v>
      </c>
      <c r="F231" s="97">
        <f t="shared" si="296"/>
        <v>1651.8751577256244</v>
      </c>
      <c r="G231" s="97">
        <f t="shared" si="296"/>
        <v>1594.7431333679897</v>
      </c>
      <c r="H231" s="97">
        <f t="shared" si="296"/>
        <v>1556.5183308828823</v>
      </c>
      <c r="I231" s="97">
        <f t="shared" si="296"/>
        <v>1534.9560189737224</v>
      </c>
      <c r="J231" s="97">
        <f t="shared" si="296"/>
        <v>1502.7637167224782</v>
      </c>
      <c r="K231" s="97">
        <f t="shared" si="296"/>
        <v>1465.0123395100968</v>
      </c>
      <c r="L231" s="97">
        <f t="shared" si="296"/>
        <v>1451.5528998836887</v>
      </c>
      <c r="M231" s="97">
        <f t="shared" si="296"/>
        <v>1397.7444507160938</v>
      </c>
      <c r="N231" s="97">
        <f t="shared" si="296"/>
        <v>1344.3866068151401</v>
      </c>
      <c r="O231" s="97">
        <f t="shared" si="296"/>
        <v>1332.0864734674551</v>
      </c>
      <c r="P231" s="97">
        <f t="shared" si="296"/>
        <v>1311.9190877935753</v>
      </c>
      <c r="Q231" s="97">
        <f t="shared" si="296"/>
        <v>1295.0456300351032</v>
      </c>
      <c r="R231" s="97">
        <f t="shared" si="296"/>
        <v>1280.5194290043148</v>
      </c>
      <c r="S231" s="97">
        <f t="shared" si="296"/>
        <v>1272.2639855592283</v>
      </c>
      <c r="T231" s="97">
        <f t="shared" si="296"/>
        <v>1257.9584521975128</v>
      </c>
      <c r="U231" s="97">
        <f t="shared" si="296"/>
        <v>1218.359664793084</v>
      </c>
      <c r="V231" s="97">
        <f t="shared" si="296"/>
        <v>1197.8063203994636</v>
      </c>
      <c r="W231" s="97">
        <f t="shared" ref="W231" si="297">IF(W19=0,0,W79/W19*1000)</f>
        <v>1205.5252776335692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140.6659516369217</v>
      </c>
      <c r="C232" s="97">
        <f t="shared" si="298"/>
        <v>146.93244976586982</v>
      </c>
      <c r="D232" s="97">
        <f t="shared" si="298"/>
        <v>145.85874258002531</v>
      </c>
      <c r="E232" s="97">
        <f t="shared" si="298"/>
        <v>165.43391274054989</v>
      </c>
      <c r="F232" s="97">
        <f t="shared" si="298"/>
        <v>176.22929488734866</v>
      </c>
      <c r="G232" s="97">
        <f t="shared" si="298"/>
        <v>168.81972792565531</v>
      </c>
      <c r="H232" s="97">
        <f t="shared" si="298"/>
        <v>165.87933313546722</v>
      </c>
      <c r="I232" s="97">
        <f t="shared" si="298"/>
        <v>164.05634484422205</v>
      </c>
      <c r="J232" s="97">
        <f t="shared" si="298"/>
        <v>147.99121759925117</v>
      </c>
      <c r="K232" s="97">
        <f t="shared" si="298"/>
        <v>140.73072026369314</v>
      </c>
      <c r="L232" s="97">
        <f t="shared" si="298"/>
        <v>140.83984108347309</v>
      </c>
      <c r="M232" s="97">
        <f t="shared" si="298"/>
        <v>126.79308274094139</v>
      </c>
      <c r="N232" s="97">
        <f t="shared" si="298"/>
        <v>110.89110257175911</v>
      </c>
      <c r="O232" s="97">
        <f t="shared" si="298"/>
        <v>104.29819117963392</v>
      </c>
      <c r="P232" s="97">
        <f t="shared" si="298"/>
        <v>110.42540407230909</v>
      </c>
      <c r="Q232" s="97">
        <f t="shared" si="298"/>
        <v>104.49823879154829</v>
      </c>
      <c r="R232" s="97">
        <f t="shared" si="298"/>
        <v>110.00163918925237</v>
      </c>
      <c r="S232" s="97">
        <f t="shared" si="298"/>
        <v>112.8446901402387</v>
      </c>
      <c r="T232" s="97">
        <f t="shared" si="298"/>
        <v>123.50118206256556</v>
      </c>
      <c r="U232" s="97">
        <f t="shared" si="298"/>
        <v>117.65092456212521</v>
      </c>
      <c r="V232" s="97">
        <f t="shared" si="298"/>
        <v>110.14407939678114</v>
      </c>
      <c r="W232" s="97">
        <f t="shared" ref="W232" si="299">IF(W20=0,0,W80/W20*1000)</f>
        <v>111.00362689381693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14.938360089282872</v>
      </c>
      <c r="C233" s="130">
        <f t="shared" si="300"/>
        <v>13.568027350845394</v>
      </c>
      <c r="D233" s="130">
        <f t="shared" si="300"/>
        <v>13.413139967902804</v>
      </c>
      <c r="E233" s="130">
        <f t="shared" si="300"/>
        <v>11.802878871029399</v>
      </c>
      <c r="F233" s="130">
        <f t="shared" si="300"/>
        <v>11.385800218691152</v>
      </c>
      <c r="G233" s="130">
        <f t="shared" si="300"/>
        <v>12.090615988345842</v>
      </c>
      <c r="H233" s="130">
        <f t="shared" si="300"/>
        <v>12.431927249084696</v>
      </c>
      <c r="I233" s="130">
        <f t="shared" si="300"/>
        <v>11.886350977389448</v>
      </c>
      <c r="J233" s="130">
        <f t="shared" si="300"/>
        <v>11.095040663675569</v>
      </c>
      <c r="K233" s="130">
        <f t="shared" si="300"/>
        <v>11.568782365802258</v>
      </c>
      <c r="L233" s="130">
        <f t="shared" si="300"/>
        <v>11.415398381861271</v>
      </c>
      <c r="M233" s="130">
        <f t="shared" si="300"/>
        <v>11.252453493863497</v>
      </c>
      <c r="N233" s="130">
        <f t="shared" si="300"/>
        <v>10.442941943791038</v>
      </c>
      <c r="O233" s="130">
        <f t="shared" si="300"/>
        <v>10.147461667566297</v>
      </c>
      <c r="P233" s="130">
        <f t="shared" si="300"/>
        <v>11.118220156054514</v>
      </c>
      <c r="Q233" s="130">
        <f t="shared" si="300"/>
        <v>10.981406936631213</v>
      </c>
      <c r="R233" s="130">
        <f t="shared" si="300"/>
        <v>10.794035400574812</v>
      </c>
      <c r="S233" s="130">
        <f t="shared" si="300"/>
        <v>9.9087344690067329</v>
      </c>
      <c r="T233" s="130">
        <f t="shared" si="300"/>
        <v>9.1155130692101469</v>
      </c>
      <c r="U233" s="130">
        <f t="shared" si="300"/>
        <v>8.6919070316515974</v>
      </c>
      <c r="V233" s="130">
        <f t="shared" si="300"/>
        <v>8.3268919082774655</v>
      </c>
      <c r="W233" s="130">
        <f t="shared" ref="W233" si="301">IF(W21=0,0,W81/W21*1000)</f>
        <v>8.251000656715016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457.27993966980614</v>
      </c>
      <c r="C234" s="130">
        <f t="shared" si="302"/>
        <v>433.47361132700559</v>
      </c>
      <c r="D234" s="130">
        <f t="shared" si="302"/>
        <v>436.39749473571175</v>
      </c>
      <c r="E234" s="130">
        <f t="shared" si="302"/>
        <v>446.7597043563091</v>
      </c>
      <c r="F234" s="130">
        <f t="shared" si="302"/>
        <v>505.346066022792</v>
      </c>
      <c r="G234" s="130">
        <f t="shared" si="302"/>
        <v>553.31453173333614</v>
      </c>
      <c r="H234" s="130">
        <f t="shared" si="302"/>
        <v>677.75830340840241</v>
      </c>
      <c r="I234" s="130">
        <f t="shared" si="302"/>
        <v>710.76426674497429</v>
      </c>
      <c r="J234" s="130">
        <f t="shared" si="302"/>
        <v>427.87141969812552</v>
      </c>
      <c r="K234" s="130">
        <f t="shared" si="302"/>
        <v>372.31646822801798</v>
      </c>
      <c r="L234" s="130">
        <f t="shared" si="302"/>
        <v>344.40713085855828</v>
      </c>
      <c r="M234" s="130">
        <f t="shared" si="302"/>
        <v>326.11343295526683</v>
      </c>
      <c r="N234" s="130">
        <f t="shared" si="302"/>
        <v>285.78006272481701</v>
      </c>
      <c r="O234" s="130">
        <f t="shared" si="302"/>
        <v>278.87156712594754</v>
      </c>
      <c r="P234" s="130">
        <f t="shared" si="302"/>
        <v>253.86856600994102</v>
      </c>
      <c r="Q234" s="130">
        <f t="shared" si="302"/>
        <v>247.03203153930272</v>
      </c>
      <c r="R234" s="130">
        <f t="shared" si="302"/>
        <v>218.48935579792558</v>
      </c>
      <c r="S234" s="130">
        <f t="shared" si="302"/>
        <v>202.1877065377208</v>
      </c>
      <c r="T234" s="130">
        <f t="shared" si="302"/>
        <v>184.84098321693605</v>
      </c>
      <c r="U234" s="130">
        <f t="shared" si="302"/>
        <v>186.6329195690796</v>
      </c>
      <c r="V234" s="130">
        <f t="shared" si="302"/>
        <v>296.1566635796006</v>
      </c>
      <c r="W234" s="130">
        <f t="shared" ref="W234" si="303">IF(W22=0,0,W82/W22*1000)</f>
        <v>308.16004777414281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1916.3407712161222</v>
      </c>
      <c r="C235" s="97">
        <f t="shared" si="304"/>
        <v>1928.7851251819798</v>
      </c>
      <c r="D235" s="97">
        <f t="shared" si="304"/>
        <v>1511.5921944071015</v>
      </c>
      <c r="E235" s="97">
        <f t="shared" si="304"/>
        <v>1163.8983894119588</v>
      </c>
      <c r="F235" s="97">
        <f t="shared" si="304"/>
        <v>765.6686723610519</v>
      </c>
      <c r="G235" s="97">
        <f t="shared" si="304"/>
        <v>882.08704103378193</v>
      </c>
      <c r="H235" s="97">
        <f t="shared" si="304"/>
        <v>1088.1857621828053</v>
      </c>
      <c r="I235" s="97">
        <f t="shared" si="304"/>
        <v>1423.2389646693077</v>
      </c>
      <c r="J235" s="97">
        <f t="shared" si="304"/>
        <v>1676.3178887056536</v>
      </c>
      <c r="K235" s="97">
        <f t="shared" si="304"/>
        <v>2102.9958925112514</v>
      </c>
      <c r="L235" s="97">
        <f t="shared" si="304"/>
        <v>2432.5608459630066</v>
      </c>
      <c r="M235" s="97">
        <f t="shared" si="304"/>
        <v>2376.5470989054547</v>
      </c>
      <c r="N235" s="97">
        <f t="shared" si="304"/>
        <v>2923.1687808395527</v>
      </c>
      <c r="O235" s="97">
        <f t="shared" si="304"/>
        <v>2406.9667282914234</v>
      </c>
      <c r="P235" s="97">
        <f t="shared" si="304"/>
        <v>1856.0574483787541</v>
      </c>
      <c r="Q235" s="97">
        <f t="shared" si="304"/>
        <v>1562.8261848687857</v>
      </c>
      <c r="R235" s="97">
        <f t="shared" si="304"/>
        <v>1268.8580487641627</v>
      </c>
      <c r="S235" s="97">
        <f t="shared" si="304"/>
        <v>1275.6339261694998</v>
      </c>
      <c r="T235" s="97">
        <f t="shared" si="304"/>
        <v>1160.9503408259509</v>
      </c>
      <c r="U235" s="97">
        <f t="shared" si="304"/>
        <v>862.91692770107511</v>
      </c>
      <c r="V235" s="97">
        <f t="shared" si="304"/>
        <v>882.50487605576836</v>
      </c>
      <c r="W235" s="97">
        <f t="shared" ref="W235" si="305">IF(W23=0,0,W83/W23*1000)</f>
        <v>821.54378499070344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480.00754649759364</v>
      </c>
      <c r="C236" s="97">
        <f t="shared" si="306"/>
        <v>454.61384659818856</v>
      </c>
      <c r="D236" s="97">
        <f t="shared" si="306"/>
        <v>468.00745132373061</v>
      </c>
      <c r="E236" s="97">
        <f t="shared" si="306"/>
        <v>486.24123391610743</v>
      </c>
      <c r="F236" s="97">
        <f t="shared" si="306"/>
        <v>558.1888399675961</v>
      </c>
      <c r="G236" s="97">
        <f t="shared" si="306"/>
        <v>588.81047794128176</v>
      </c>
      <c r="H236" s="97">
        <f t="shared" si="306"/>
        <v>703.0013092210545</v>
      </c>
      <c r="I236" s="97">
        <f t="shared" si="306"/>
        <v>740.33285425211318</v>
      </c>
      <c r="J236" s="97">
        <f t="shared" si="306"/>
        <v>727.28513115992712</v>
      </c>
      <c r="K236" s="97">
        <f t="shared" si="306"/>
        <v>657.62237158639778</v>
      </c>
      <c r="L236" s="97">
        <f t="shared" si="306"/>
        <v>617.60290029959469</v>
      </c>
      <c r="M236" s="97">
        <f t="shared" si="306"/>
        <v>597.22133649826242</v>
      </c>
      <c r="N236" s="97">
        <f t="shared" si="306"/>
        <v>547.83926732400914</v>
      </c>
      <c r="O236" s="97">
        <f t="shared" si="306"/>
        <v>535.75309289866732</v>
      </c>
      <c r="P236" s="97">
        <f t="shared" si="306"/>
        <v>544.18760801355029</v>
      </c>
      <c r="Q236" s="97">
        <f t="shared" si="306"/>
        <v>554.61217779399476</v>
      </c>
      <c r="R236" s="97">
        <f t="shared" si="306"/>
        <v>518.60031951916983</v>
      </c>
      <c r="S236" s="97">
        <f t="shared" si="306"/>
        <v>580.58039351990692</v>
      </c>
      <c r="T236" s="97">
        <f t="shared" si="306"/>
        <v>585.43486396073263</v>
      </c>
      <c r="U236" s="97">
        <f t="shared" si="306"/>
        <v>588.72143961881352</v>
      </c>
      <c r="V236" s="97">
        <f t="shared" si="306"/>
        <v>584.13363241932541</v>
      </c>
      <c r="W236" s="97">
        <f t="shared" ref="W236" si="307">IF(W24=0,0,W84/W24*1000)</f>
        <v>584.97054227925958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264.31847148116441</v>
      </c>
      <c r="C237" s="97">
        <f t="shared" si="308"/>
        <v>252.00738931310363</v>
      </c>
      <c r="D237" s="97">
        <f t="shared" si="308"/>
        <v>258.59528392241651</v>
      </c>
      <c r="E237" s="97">
        <f t="shared" si="308"/>
        <v>300.83948170970353</v>
      </c>
      <c r="F237" s="97">
        <f t="shared" si="308"/>
        <v>323.41804318812461</v>
      </c>
      <c r="G237" s="97">
        <f t="shared" si="308"/>
        <v>332.68715995669533</v>
      </c>
      <c r="H237" s="97">
        <f t="shared" si="308"/>
        <v>332.28230197430105</v>
      </c>
      <c r="I237" s="97">
        <f t="shared" si="308"/>
        <v>369.23316581024835</v>
      </c>
      <c r="J237" s="97">
        <f t="shared" si="308"/>
        <v>373.46795952407882</v>
      </c>
      <c r="K237" s="97">
        <f t="shared" si="308"/>
        <v>327.60432369358301</v>
      </c>
      <c r="L237" s="97">
        <f t="shared" si="308"/>
        <v>318.89812798155884</v>
      </c>
      <c r="M237" s="97">
        <f t="shared" si="308"/>
        <v>301.12299449606303</v>
      </c>
      <c r="N237" s="97">
        <f t="shared" si="308"/>
        <v>266.73103793902334</v>
      </c>
      <c r="O237" s="97">
        <f t="shared" si="308"/>
        <v>260.78255884229247</v>
      </c>
      <c r="P237" s="97">
        <f t="shared" si="308"/>
        <v>227.91364482306815</v>
      </c>
      <c r="Q237" s="97">
        <f t="shared" si="308"/>
        <v>218.13220086361622</v>
      </c>
      <c r="R237" s="97">
        <f t="shared" si="308"/>
        <v>191.26977647839354</v>
      </c>
      <c r="S237" s="97">
        <f t="shared" si="308"/>
        <v>167.83906747870566</v>
      </c>
      <c r="T237" s="97">
        <f t="shared" si="308"/>
        <v>138.74740696156459</v>
      </c>
      <c r="U237" s="97">
        <f t="shared" si="308"/>
        <v>140.75235675462713</v>
      </c>
      <c r="V237" s="97">
        <f t="shared" si="308"/>
        <v>236.38419717557991</v>
      </c>
      <c r="W237" s="97">
        <f t="shared" ref="W237" si="309">IF(W25=0,0,W85/W25*1000)</f>
        <v>246.68873280694035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333.89622243470751</v>
      </c>
      <c r="C238" s="130">
        <f t="shared" si="310"/>
        <v>282.27038987263711</v>
      </c>
      <c r="D238" s="130">
        <f t="shared" si="310"/>
        <v>356.42426784238677</v>
      </c>
      <c r="E238" s="130">
        <f t="shared" si="310"/>
        <v>308.01711516721872</v>
      </c>
      <c r="F238" s="130">
        <f t="shared" si="310"/>
        <v>287.32222740726519</v>
      </c>
      <c r="G238" s="130">
        <f t="shared" si="310"/>
        <v>295.9651210384439</v>
      </c>
      <c r="H238" s="130">
        <f t="shared" si="310"/>
        <v>235.37071501553402</v>
      </c>
      <c r="I238" s="130">
        <f t="shared" si="310"/>
        <v>192.18909296826953</v>
      </c>
      <c r="J238" s="130">
        <f t="shared" si="310"/>
        <v>258.002071299904</v>
      </c>
      <c r="K238" s="130">
        <f t="shared" si="310"/>
        <v>306.58193538677472</v>
      </c>
      <c r="L238" s="130">
        <f t="shared" si="310"/>
        <v>236.15605927303824</v>
      </c>
      <c r="M238" s="130">
        <f t="shared" si="310"/>
        <v>225.20715814022884</v>
      </c>
      <c r="N238" s="130">
        <f t="shared" si="310"/>
        <v>213.74408282973815</v>
      </c>
      <c r="O238" s="130">
        <f t="shared" si="310"/>
        <v>273.14874784730029</v>
      </c>
      <c r="P238" s="130">
        <f t="shared" si="310"/>
        <v>215.43265576748308</v>
      </c>
      <c r="Q238" s="130">
        <f t="shared" si="310"/>
        <v>227.38623161522713</v>
      </c>
      <c r="R238" s="130">
        <f t="shared" si="310"/>
        <v>191.83441904414619</v>
      </c>
      <c r="S238" s="130">
        <f t="shared" si="310"/>
        <v>201.13828143219172</v>
      </c>
      <c r="T238" s="130">
        <f t="shared" si="310"/>
        <v>224.90146765968478</v>
      </c>
      <c r="U238" s="130">
        <f t="shared" si="310"/>
        <v>230.6471076768016</v>
      </c>
      <c r="V238" s="130">
        <f t="shared" si="310"/>
        <v>248.66990243109041</v>
      </c>
      <c r="W238" s="130">
        <f t="shared" ref="W238" si="311">IF(W26=0,0,W86/W26*1000)</f>
        <v>283.57654307477759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333.89622243470751</v>
      </c>
      <c r="C239" s="97">
        <f t="shared" si="312"/>
        <v>282.27038987263711</v>
      </c>
      <c r="D239" s="97">
        <f t="shared" si="312"/>
        <v>356.42426784238677</v>
      </c>
      <c r="E239" s="97">
        <f t="shared" si="312"/>
        <v>308.01711516721872</v>
      </c>
      <c r="F239" s="97">
        <f t="shared" si="312"/>
        <v>287.32222740726519</v>
      </c>
      <c r="G239" s="97">
        <f t="shared" si="312"/>
        <v>295.9651210384439</v>
      </c>
      <c r="H239" s="97">
        <f t="shared" si="312"/>
        <v>235.37071501553402</v>
      </c>
      <c r="I239" s="97">
        <f t="shared" si="312"/>
        <v>192.18909296826953</v>
      </c>
      <c r="J239" s="97">
        <f t="shared" si="312"/>
        <v>258.002071299904</v>
      </c>
      <c r="K239" s="97">
        <f t="shared" si="312"/>
        <v>306.58193538677472</v>
      </c>
      <c r="L239" s="97">
        <f t="shared" si="312"/>
        <v>236.15605927303824</v>
      </c>
      <c r="M239" s="97">
        <f t="shared" si="312"/>
        <v>225.20715814022884</v>
      </c>
      <c r="N239" s="97">
        <f t="shared" si="312"/>
        <v>213.74408282973815</v>
      </c>
      <c r="O239" s="97">
        <f t="shared" si="312"/>
        <v>273.14874784730029</v>
      </c>
      <c r="P239" s="97">
        <f t="shared" si="312"/>
        <v>215.43265576748308</v>
      </c>
      <c r="Q239" s="97">
        <f t="shared" si="312"/>
        <v>227.38623161522713</v>
      </c>
      <c r="R239" s="97">
        <f t="shared" si="312"/>
        <v>191.83441904414619</v>
      </c>
      <c r="S239" s="97">
        <f t="shared" si="312"/>
        <v>201.13828143219172</v>
      </c>
      <c r="T239" s="97">
        <f t="shared" si="312"/>
        <v>224.90146765968478</v>
      </c>
      <c r="U239" s="97">
        <f t="shared" si="312"/>
        <v>230.6471076768016</v>
      </c>
      <c r="V239" s="97">
        <f t="shared" si="312"/>
        <v>248.66990243109041</v>
      </c>
      <c r="W239" s="97">
        <f t="shared" ref="W239" si="313">IF(W27=0,0,W87/W27*1000)</f>
        <v>283.57654307477759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50.773077394673706</v>
      </c>
      <c r="C241" s="32">
        <f t="shared" si="316"/>
        <v>41.147981537295259</v>
      </c>
      <c r="D241" s="32">
        <f t="shared" si="316"/>
        <v>35.008892655529188</v>
      </c>
      <c r="E241" s="32">
        <f t="shared" si="316"/>
        <v>30.555480151785861</v>
      </c>
      <c r="F241" s="32">
        <f t="shared" si="316"/>
        <v>28.550454368586454</v>
      </c>
      <c r="G241" s="32">
        <f t="shared" si="316"/>
        <v>30.566274928905258</v>
      </c>
      <c r="H241" s="32">
        <f t="shared" si="316"/>
        <v>33.842273021240175</v>
      </c>
      <c r="I241" s="32">
        <f t="shared" si="316"/>
        <v>38.996913674442361</v>
      </c>
      <c r="J241" s="32">
        <f t="shared" si="316"/>
        <v>33.798625230408213</v>
      </c>
      <c r="K241" s="32">
        <f t="shared" si="316"/>
        <v>21.72217952803086</v>
      </c>
      <c r="L241" s="32">
        <f t="shared" si="316"/>
        <v>33.038960197662597</v>
      </c>
      <c r="M241" s="32">
        <f t="shared" si="316"/>
        <v>28.362042860060601</v>
      </c>
      <c r="N241" s="32">
        <f t="shared" si="316"/>
        <v>26.403681191146813</v>
      </c>
      <c r="O241" s="32">
        <f t="shared" si="316"/>
        <v>29.815223370124659</v>
      </c>
      <c r="P241" s="32">
        <f t="shared" si="316"/>
        <v>34.446869400857743</v>
      </c>
      <c r="Q241" s="32">
        <f t="shared" si="316"/>
        <v>27.10136838180005</v>
      </c>
      <c r="R241" s="32">
        <f t="shared" si="316"/>
        <v>23.529257417719386</v>
      </c>
      <c r="S241" s="32">
        <f t="shared" si="316"/>
        <v>19.420538144921686</v>
      </c>
      <c r="T241" s="32">
        <f t="shared" si="316"/>
        <v>21.199424436871912</v>
      </c>
      <c r="U241" s="32">
        <f t="shared" si="316"/>
        <v>23.593653037791746</v>
      </c>
      <c r="V241" s="32">
        <f t="shared" si="316"/>
        <v>17.575732447437343</v>
      </c>
      <c r="W241" s="32">
        <f t="shared" si="315"/>
        <v>14.389298132472307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79.758013407966402</v>
      </c>
      <c r="C242" s="97">
        <f t="shared" si="317"/>
        <v>65.936664877778426</v>
      </c>
      <c r="D242" s="97">
        <f t="shared" si="317"/>
        <v>53.988614204769107</v>
      </c>
      <c r="E242" s="97">
        <f t="shared" si="317"/>
        <v>51.898518666105709</v>
      </c>
      <c r="F242" s="97">
        <f t="shared" si="317"/>
        <v>43.235497907405602</v>
      </c>
      <c r="G242" s="97">
        <f t="shared" si="317"/>
        <v>45.683341110584387</v>
      </c>
      <c r="H242" s="97">
        <f t="shared" si="317"/>
        <v>57.582680092410016</v>
      </c>
      <c r="I242" s="97">
        <f t="shared" si="317"/>
        <v>64.510935204669565</v>
      </c>
      <c r="J242" s="97">
        <f t="shared" si="317"/>
        <v>55.796968356206463</v>
      </c>
      <c r="K242" s="97">
        <f t="shared" si="317"/>
        <v>35.500388522494418</v>
      </c>
      <c r="L242" s="97">
        <f t="shared" si="317"/>
        <v>50.735948824794995</v>
      </c>
      <c r="M242" s="97">
        <f t="shared" si="317"/>
        <v>48.574138310277824</v>
      </c>
      <c r="N242" s="97">
        <f t="shared" si="317"/>
        <v>39.324024481266108</v>
      </c>
      <c r="O242" s="97">
        <f t="shared" si="317"/>
        <v>41.523216514227457</v>
      </c>
      <c r="P242" s="97">
        <f t="shared" si="317"/>
        <v>52.022546530965862</v>
      </c>
      <c r="Q242" s="97">
        <f t="shared" si="317"/>
        <v>46.921997088721938</v>
      </c>
      <c r="R242" s="97">
        <f t="shared" si="317"/>
        <v>40.106925404461109</v>
      </c>
      <c r="S242" s="97">
        <f t="shared" si="317"/>
        <v>32.920804347616837</v>
      </c>
      <c r="T242" s="97">
        <f t="shared" si="317"/>
        <v>37.365936236812537</v>
      </c>
      <c r="U242" s="97">
        <f t="shared" si="317"/>
        <v>42.332987955675655</v>
      </c>
      <c r="V242" s="97">
        <f t="shared" si="317"/>
        <v>29.185217248771789</v>
      </c>
      <c r="W242" s="97">
        <f t="shared" si="315"/>
        <v>24.583701861323984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40.102926840420167</v>
      </c>
      <c r="C243" s="98">
        <f t="shared" si="318"/>
        <v>32.291146949611615</v>
      </c>
      <c r="D243" s="98">
        <f t="shared" si="318"/>
        <v>27.675143414560583</v>
      </c>
      <c r="E243" s="98">
        <f t="shared" si="318"/>
        <v>23.775941601262794</v>
      </c>
      <c r="F243" s="98">
        <f t="shared" si="318"/>
        <v>22.52717102982383</v>
      </c>
      <c r="G243" s="98">
        <f t="shared" si="318"/>
        <v>24.091751600643128</v>
      </c>
      <c r="H243" s="98">
        <f t="shared" si="318"/>
        <v>26.425675921787231</v>
      </c>
      <c r="I243" s="98">
        <f t="shared" si="318"/>
        <v>30.377537313233773</v>
      </c>
      <c r="J243" s="98">
        <f t="shared" si="318"/>
        <v>26.2685863916196</v>
      </c>
      <c r="K243" s="98">
        <f t="shared" si="318"/>
        <v>16.944696803805808</v>
      </c>
      <c r="L243" s="98">
        <f t="shared" si="318"/>
        <v>25.810246875615654</v>
      </c>
      <c r="M243" s="98">
        <f t="shared" si="318"/>
        <v>22.109002513014826</v>
      </c>
      <c r="N243" s="98">
        <f t="shared" si="318"/>
        <v>20.821463643849878</v>
      </c>
      <c r="O243" s="98">
        <f t="shared" si="318"/>
        <v>23.763283987680921</v>
      </c>
      <c r="P243" s="98">
        <f t="shared" si="318"/>
        <v>26.987038240458514</v>
      </c>
      <c r="Q243" s="98">
        <f t="shared" si="318"/>
        <v>20.678933201216378</v>
      </c>
      <c r="R243" s="98">
        <f t="shared" si="318"/>
        <v>18.066366265908805</v>
      </c>
      <c r="S243" s="98">
        <f t="shared" si="318"/>
        <v>14.851512562879405</v>
      </c>
      <c r="T243" s="98">
        <f t="shared" si="318"/>
        <v>16.168746525807279</v>
      </c>
      <c r="U243" s="98">
        <f t="shared" si="318"/>
        <v>18.020606177350068</v>
      </c>
      <c r="V243" s="98">
        <f t="shared" si="318"/>
        <v>14.250897771257209</v>
      </c>
      <c r="W243" s="98">
        <f t="shared" si="315"/>
        <v>11.628710913636663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58651.062706545621</v>
      </c>
      <c r="C4" s="29">
        <f t="shared" si="0"/>
        <v>57538.673938765714</v>
      </c>
      <c r="D4" s="29">
        <f t="shared" si="0"/>
        <v>57358.878439561966</v>
      </c>
      <c r="E4" s="29">
        <f t="shared" si="0"/>
        <v>57583.2164668306</v>
      </c>
      <c r="F4" s="29">
        <f t="shared" si="0"/>
        <v>58472.64630201563</v>
      </c>
      <c r="G4" s="29">
        <f t="shared" si="0"/>
        <v>57558.849513423927</v>
      </c>
      <c r="H4" s="29">
        <f t="shared" si="0"/>
        <v>57367.74426072889</v>
      </c>
      <c r="I4" s="29">
        <f t="shared" si="0"/>
        <v>58290.090034796391</v>
      </c>
      <c r="J4" s="29">
        <f t="shared" si="0"/>
        <v>58910.46479061657</v>
      </c>
      <c r="K4" s="29">
        <f t="shared" si="0"/>
        <v>59316.377606143418</v>
      </c>
      <c r="L4" s="29">
        <f t="shared" ref="L4" si="1">L5+L6+L13</f>
        <v>59198.811995750977</v>
      </c>
      <c r="M4" s="29">
        <f t="shared" ref="M4:V4" si="2">M5+M6+M13</f>
        <v>60311.669321103225</v>
      </c>
      <c r="N4" s="29">
        <f t="shared" si="2"/>
        <v>59813.953548350539</v>
      </c>
      <c r="O4" s="29">
        <f t="shared" si="2"/>
        <v>60061.823698539723</v>
      </c>
      <c r="P4" s="29">
        <f t="shared" si="2"/>
        <v>61666.5877501547</v>
      </c>
      <c r="Q4" s="29">
        <f t="shared" si="2"/>
        <v>64412.810214905207</v>
      </c>
      <c r="R4" s="29">
        <f t="shared" si="2"/>
        <v>66821.707315306645</v>
      </c>
      <c r="S4" s="29">
        <f t="shared" si="2"/>
        <v>68014.26693266767</v>
      </c>
      <c r="T4" s="29">
        <f t="shared" si="2"/>
        <v>68955.482530725712</v>
      </c>
      <c r="U4" s="29">
        <f t="shared" si="2"/>
        <v>70107.307906861024</v>
      </c>
      <c r="V4" s="29">
        <f t="shared" si="2"/>
        <v>63619.12828382678</v>
      </c>
      <c r="W4" s="29">
        <f t="shared" ref="W4" si="3">W5+W6+W13</f>
        <v>64357.248742507552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618.06270654561922</v>
      </c>
      <c r="C5" s="152">
        <f t="shared" si="4"/>
        <v>586.67393876571521</v>
      </c>
      <c r="D5" s="152">
        <f t="shared" si="4"/>
        <v>609.87843956196923</v>
      </c>
      <c r="E5" s="152">
        <f t="shared" si="4"/>
        <v>616.21646683060271</v>
      </c>
      <c r="F5" s="152">
        <f t="shared" si="4"/>
        <v>615.64630201562716</v>
      </c>
      <c r="G5" s="152">
        <f t="shared" si="4"/>
        <v>631.84951342392662</v>
      </c>
      <c r="H5" s="152">
        <f t="shared" si="4"/>
        <v>665.74426072888741</v>
      </c>
      <c r="I5" s="152">
        <f t="shared" si="4"/>
        <v>712.09003479639296</v>
      </c>
      <c r="J5" s="152">
        <f t="shared" si="4"/>
        <v>712.46479061656851</v>
      </c>
      <c r="K5" s="152">
        <f t="shared" si="4"/>
        <v>686.37760614342062</v>
      </c>
      <c r="L5" s="152">
        <f t="shared" ref="L5:L7" si="5">IF(L32=0,0,L32*L142)</f>
        <v>686.81199575097514</v>
      </c>
      <c r="M5" s="152">
        <f t="shared" ref="M5:V5" si="6">IF(M32=0,0,M32*M142)</f>
        <v>681.66932110322557</v>
      </c>
      <c r="N5" s="152">
        <f t="shared" si="6"/>
        <v>682.95354835054661</v>
      </c>
      <c r="O5" s="152">
        <f t="shared" si="6"/>
        <v>691.82369853973353</v>
      </c>
      <c r="P5" s="152">
        <f t="shared" si="6"/>
        <v>706.58775015468939</v>
      </c>
      <c r="Q5" s="152">
        <f t="shared" si="6"/>
        <v>713.81021490519925</v>
      </c>
      <c r="R5" s="152">
        <f t="shared" si="6"/>
        <v>711.70731530665489</v>
      </c>
      <c r="S5" s="152">
        <f t="shared" si="6"/>
        <v>668.26693266766108</v>
      </c>
      <c r="T5" s="152">
        <f t="shared" si="6"/>
        <v>634.48253072571617</v>
      </c>
      <c r="U5" s="152">
        <f t="shared" si="6"/>
        <v>665.30790686102102</v>
      </c>
      <c r="V5" s="152">
        <f t="shared" si="6"/>
        <v>593.12828382677617</v>
      </c>
      <c r="W5" s="152">
        <f t="shared" ref="W5" si="7">IF(W32=0,0,W32*W142)</f>
        <v>613.24874250755204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50615</v>
      </c>
      <c r="C6" s="116">
        <f t="shared" si="8"/>
        <v>49620</v>
      </c>
      <c r="D6" s="116">
        <f t="shared" si="8"/>
        <v>49454</v>
      </c>
      <c r="E6" s="116">
        <f t="shared" si="8"/>
        <v>49695</v>
      </c>
      <c r="F6" s="116">
        <f t="shared" si="8"/>
        <v>50557</v>
      </c>
      <c r="G6" s="116">
        <f t="shared" si="8"/>
        <v>49758</v>
      </c>
      <c r="H6" s="116">
        <f t="shared" si="8"/>
        <v>49648</v>
      </c>
      <c r="I6" s="116">
        <f t="shared" si="8"/>
        <v>50733</v>
      </c>
      <c r="J6" s="116">
        <f t="shared" si="8"/>
        <v>51459</v>
      </c>
      <c r="K6" s="116">
        <f t="shared" si="8"/>
        <v>51884</v>
      </c>
      <c r="L6" s="116">
        <f t="shared" ref="L6" si="9">SUM(L7:L12)</f>
        <v>51691</v>
      </c>
      <c r="M6" s="116">
        <f t="shared" ref="M6:V6" si="10">SUM(M7:M12)</f>
        <v>52957</v>
      </c>
      <c r="N6" s="116">
        <f t="shared" si="10"/>
        <v>52664.999999999993</v>
      </c>
      <c r="O6" s="116">
        <f t="shared" si="10"/>
        <v>52903.999999999993</v>
      </c>
      <c r="P6" s="116">
        <f t="shared" si="10"/>
        <v>54402.000000000007</v>
      </c>
      <c r="Q6" s="116">
        <f t="shared" si="10"/>
        <v>56844.000000000007</v>
      </c>
      <c r="R6" s="116">
        <f t="shared" si="10"/>
        <v>59041</v>
      </c>
      <c r="S6" s="116">
        <f t="shared" si="10"/>
        <v>60046</v>
      </c>
      <c r="T6" s="116">
        <f t="shared" si="10"/>
        <v>61213</v>
      </c>
      <c r="U6" s="116">
        <f t="shared" si="10"/>
        <v>62513</v>
      </c>
      <c r="V6" s="116">
        <f t="shared" si="10"/>
        <v>58479</v>
      </c>
      <c r="W6" s="116">
        <f t="shared" ref="W6" si="11">SUM(W7:W12)</f>
        <v>58910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45644.180190236548</v>
      </c>
      <c r="C7" s="87">
        <f t="shared" si="12"/>
        <v>44062.984799181046</v>
      </c>
      <c r="D7" s="87">
        <f t="shared" si="12"/>
        <v>43372.942235184171</v>
      </c>
      <c r="E7" s="87">
        <f t="shared" si="12"/>
        <v>43239.268965554773</v>
      </c>
      <c r="F7" s="87">
        <f t="shared" si="12"/>
        <v>43135.368982138447</v>
      </c>
      <c r="G7" s="87">
        <f t="shared" si="12"/>
        <v>40875.844244146028</v>
      </c>
      <c r="H7" s="87">
        <f t="shared" si="12"/>
        <v>39549.230363173017</v>
      </c>
      <c r="I7" s="87">
        <f t="shared" si="12"/>
        <v>37804.64022500829</v>
      </c>
      <c r="J7" s="87">
        <f t="shared" si="12"/>
        <v>36494.751714846578</v>
      </c>
      <c r="K7" s="87">
        <f t="shared" si="12"/>
        <v>35485.07569305697</v>
      </c>
      <c r="L7" s="87">
        <f t="shared" si="5"/>
        <v>33517.891380407316</v>
      </c>
      <c r="M7" s="87">
        <f t="shared" ref="M7:V7" si="13">IF(M34=0,0,M34*M144)</f>
        <v>33090.088974434046</v>
      </c>
      <c r="N7" s="87">
        <f t="shared" si="13"/>
        <v>31258.546121359002</v>
      </c>
      <c r="O7" s="87">
        <f t="shared" si="13"/>
        <v>30507.295349969954</v>
      </c>
      <c r="P7" s="87">
        <f t="shared" si="13"/>
        <v>31150.766224254461</v>
      </c>
      <c r="Q7" s="87">
        <f t="shared" si="13"/>
        <v>30683.430010267319</v>
      </c>
      <c r="R7" s="87">
        <f t="shared" si="13"/>
        <v>33421.446774336167</v>
      </c>
      <c r="S7" s="87">
        <f t="shared" si="13"/>
        <v>33117.476065981326</v>
      </c>
      <c r="T7" s="87">
        <f t="shared" si="13"/>
        <v>33678.579790939351</v>
      </c>
      <c r="U7" s="87">
        <f t="shared" si="13"/>
        <v>34721.26168569443</v>
      </c>
      <c r="V7" s="87">
        <f t="shared" si="13"/>
        <v>32834.821708824893</v>
      </c>
      <c r="W7" s="87">
        <f t="shared" ref="W7" si="14">IF(W34=0,0,W34*W144)</f>
        <v>33254.798683129062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4717.5986499090213</v>
      </c>
      <c r="C8" s="87">
        <f t="shared" si="15"/>
        <v>5313.0316083745429</v>
      </c>
      <c r="D8" s="87">
        <f t="shared" si="15"/>
        <v>5861.9833437862762</v>
      </c>
      <c r="E8" s="87">
        <f t="shared" si="15"/>
        <v>6269.8443898811602</v>
      </c>
      <c r="F8" s="87">
        <f t="shared" si="15"/>
        <v>7254.9917128209636</v>
      </c>
      <c r="G8" s="87">
        <f t="shared" si="15"/>
        <v>8745.8657877249934</v>
      </c>
      <c r="H8" s="87">
        <f t="shared" si="15"/>
        <v>9985.1851972638469</v>
      </c>
      <c r="I8" s="87">
        <f t="shared" si="15"/>
        <v>12832.939974799068</v>
      </c>
      <c r="J8" s="87">
        <f t="shared" si="15"/>
        <v>14888.170877444594</v>
      </c>
      <c r="K8" s="87">
        <f t="shared" si="15"/>
        <v>16344.044282756338</v>
      </c>
      <c r="L8" s="87">
        <f t="shared" ref="L8" si="16">IF(L35=0,0,L35*L145)</f>
        <v>18172.127400166239</v>
      </c>
      <c r="M8" s="87">
        <f t="shared" ref="M8:V8" si="17">IF(M35=0,0,M35*M145)</f>
        <v>19858.241156270902</v>
      </c>
      <c r="N8" s="87">
        <f t="shared" si="17"/>
        <v>21388.00397338768</v>
      </c>
      <c r="O8" s="87">
        <f t="shared" si="17"/>
        <v>22369.162371868617</v>
      </c>
      <c r="P8" s="87">
        <f t="shared" si="17"/>
        <v>23193.318405649374</v>
      </c>
      <c r="Q8" s="87">
        <f t="shared" si="17"/>
        <v>25867.796365871247</v>
      </c>
      <c r="R8" s="87">
        <f t="shared" si="17"/>
        <v>25445.352862222586</v>
      </c>
      <c r="S8" s="87">
        <f t="shared" si="17"/>
        <v>26729.1351834694</v>
      </c>
      <c r="T8" s="87">
        <f t="shared" si="17"/>
        <v>27244.250523790222</v>
      </c>
      <c r="U8" s="87">
        <f t="shared" si="17"/>
        <v>27324.898319035012</v>
      </c>
      <c r="V8" s="87">
        <f t="shared" si="17"/>
        <v>24650.82624378179</v>
      </c>
      <c r="W8" s="87">
        <f t="shared" ref="W8" si="18">IF(W35=0,0,W35*W145)</f>
        <v>23329.187846563633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253.22115985442997</v>
      </c>
      <c r="C9" s="87">
        <f t="shared" si="19"/>
        <v>243.98359244441309</v>
      </c>
      <c r="D9" s="87">
        <f t="shared" si="19"/>
        <v>219.07442102955162</v>
      </c>
      <c r="E9" s="87">
        <f t="shared" si="19"/>
        <v>185.88664456406426</v>
      </c>
      <c r="F9" s="87">
        <f t="shared" si="19"/>
        <v>166.63930504058999</v>
      </c>
      <c r="G9" s="87">
        <f t="shared" si="19"/>
        <v>136.28996812898038</v>
      </c>
      <c r="H9" s="87">
        <f t="shared" si="19"/>
        <v>113.58443956313388</v>
      </c>
      <c r="I9" s="87">
        <f t="shared" si="19"/>
        <v>95.419800192642285</v>
      </c>
      <c r="J9" s="87">
        <f t="shared" si="19"/>
        <v>76.077407708830094</v>
      </c>
      <c r="K9" s="87">
        <f t="shared" si="19"/>
        <v>54.272934369684144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0</v>
      </c>
      <c r="S9" s="87">
        <f t="shared" si="21"/>
        <v>0</v>
      </c>
      <c r="T9" s="87">
        <f t="shared" si="21"/>
        <v>0</v>
      </c>
      <c r="U9" s="87">
        <f t="shared" si="21"/>
        <v>0</v>
      </c>
      <c r="V9" s="87">
        <f t="shared" si="21"/>
        <v>0</v>
      </c>
      <c r="W9" s="87">
        <f t="shared" ref="W9" si="22">IF(W36=0,0,W36*W146)</f>
        <v>0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1.1500363666789526</v>
      </c>
      <c r="R10" s="87">
        <f t="shared" si="25"/>
        <v>3.105939330448916</v>
      </c>
      <c r="S10" s="87">
        <f t="shared" si="25"/>
        <v>5.6048851595465949</v>
      </c>
      <c r="T10" s="87">
        <f t="shared" si="25"/>
        <v>9.6247390823099526</v>
      </c>
      <c r="U10" s="87">
        <f t="shared" si="25"/>
        <v>13.614408996893925</v>
      </c>
      <c r="V10" s="87">
        <f t="shared" si="25"/>
        <v>15.661091807797048</v>
      </c>
      <c r="W10" s="87">
        <f t="shared" ref="W10" si="26">IF(W37=0,0,W37*W147)</f>
        <v>19.070493624360228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0.65160498111879706</v>
      </c>
      <c r="O11" s="87">
        <f t="shared" si="29"/>
        <v>0.85900872701605013</v>
      </c>
      <c r="P11" s="87">
        <f t="shared" si="29"/>
        <v>2.8978228870919565</v>
      </c>
      <c r="Q11" s="87">
        <f t="shared" si="29"/>
        <v>159.01037229771157</v>
      </c>
      <c r="R11" s="87">
        <f t="shared" si="29"/>
        <v>16.110482277500186</v>
      </c>
      <c r="S11" s="87">
        <f t="shared" si="29"/>
        <v>24.230439511947257</v>
      </c>
      <c r="T11" s="87">
        <f t="shared" si="29"/>
        <v>87.126814445313272</v>
      </c>
      <c r="U11" s="87">
        <f t="shared" si="29"/>
        <v>162.47266386537743</v>
      </c>
      <c r="V11" s="87">
        <f t="shared" si="29"/>
        <v>470.58000963683668</v>
      </c>
      <c r="W11" s="87">
        <f t="shared" ref="W11" si="30">IF(W38=0,0,W38*W148)</f>
        <v>1229.7055003536718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0.60708981700626885</v>
      </c>
      <c r="L12" s="87">
        <f t="shared" ref="L12" si="32">IF(L39=0,0,L39*L149)</f>
        <v>0.98121942644599203</v>
      </c>
      <c r="M12" s="87">
        <f t="shared" ref="M12:V12" si="33">IF(M39=0,0,M39*M149)</f>
        <v>8.6698692950504341</v>
      </c>
      <c r="N12" s="87">
        <f t="shared" si="33"/>
        <v>17.798300272198642</v>
      </c>
      <c r="O12" s="87">
        <f t="shared" si="33"/>
        <v>26.683269434412669</v>
      </c>
      <c r="P12" s="87">
        <f t="shared" si="33"/>
        <v>55.017547209077023</v>
      </c>
      <c r="Q12" s="87">
        <f t="shared" si="33"/>
        <v>132.61321519704867</v>
      </c>
      <c r="R12" s="87">
        <f t="shared" si="33"/>
        <v>154.98394183329972</v>
      </c>
      <c r="S12" s="87">
        <f t="shared" si="33"/>
        <v>169.55342587777676</v>
      </c>
      <c r="T12" s="87">
        <f t="shared" si="33"/>
        <v>193.41813174279932</v>
      </c>
      <c r="U12" s="87">
        <f t="shared" si="33"/>
        <v>290.75292240828321</v>
      </c>
      <c r="V12" s="87">
        <f t="shared" si="33"/>
        <v>507.11094594867973</v>
      </c>
      <c r="W12" s="87">
        <f t="shared" ref="W12" si="34">IF(W39=0,0,W39*W149)</f>
        <v>1077.2374763292667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7418</v>
      </c>
      <c r="C13" s="116">
        <f t="shared" si="35"/>
        <v>7332</v>
      </c>
      <c r="D13" s="116">
        <f t="shared" si="35"/>
        <v>7295</v>
      </c>
      <c r="E13" s="116">
        <f t="shared" si="35"/>
        <v>7272</v>
      </c>
      <c r="F13" s="116">
        <f t="shared" si="35"/>
        <v>7300</v>
      </c>
      <c r="G13" s="116">
        <f t="shared" si="35"/>
        <v>7169</v>
      </c>
      <c r="H13" s="116">
        <f t="shared" si="35"/>
        <v>7054</v>
      </c>
      <c r="I13" s="116">
        <f t="shared" si="35"/>
        <v>6845</v>
      </c>
      <c r="J13" s="116">
        <f t="shared" si="35"/>
        <v>6739</v>
      </c>
      <c r="K13" s="116">
        <f t="shared" si="35"/>
        <v>6746.0000000000009</v>
      </c>
      <c r="L13" s="116">
        <f t="shared" ref="L13" si="36">SUM(L14:L18)</f>
        <v>6821</v>
      </c>
      <c r="M13" s="116">
        <f t="shared" ref="M13:V13" si="37">SUM(M14:M18)</f>
        <v>6673</v>
      </c>
      <c r="N13" s="116">
        <f t="shared" si="37"/>
        <v>6466</v>
      </c>
      <c r="O13" s="116">
        <f t="shared" si="37"/>
        <v>6466</v>
      </c>
      <c r="P13" s="116">
        <f t="shared" si="37"/>
        <v>6558</v>
      </c>
      <c r="Q13" s="116">
        <f t="shared" si="37"/>
        <v>6854.9999999999991</v>
      </c>
      <c r="R13" s="116">
        <f t="shared" si="37"/>
        <v>7069</v>
      </c>
      <c r="S13" s="116">
        <f t="shared" si="37"/>
        <v>7300</v>
      </c>
      <c r="T13" s="116">
        <f t="shared" si="37"/>
        <v>7107.9999999999991</v>
      </c>
      <c r="U13" s="116">
        <f t="shared" si="37"/>
        <v>6929</v>
      </c>
      <c r="V13" s="116">
        <f t="shared" si="37"/>
        <v>4547</v>
      </c>
      <c r="W13" s="116">
        <f t="shared" ref="W13" si="38">SUM(W14:W18)</f>
        <v>4834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459.87218448460743</v>
      </c>
      <c r="C14" s="101">
        <f t="shared" si="39"/>
        <v>466.44277414372124</v>
      </c>
      <c r="D14" s="101">
        <f t="shared" si="39"/>
        <v>464.27040926084157</v>
      </c>
      <c r="E14" s="101">
        <f t="shared" si="39"/>
        <v>295.39096057471215</v>
      </c>
      <c r="F14" s="101">
        <f t="shared" si="39"/>
        <v>243.21376666625264</v>
      </c>
      <c r="G14" s="101">
        <f t="shared" si="39"/>
        <v>229.44860523951854</v>
      </c>
      <c r="H14" s="101">
        <f t="shared" si="39"/>
        <v>231.14955727898587</v>
      </c>
      <c r="I14" s="101">
        <f t="shared" si="39"/>
        <v>225.65532161677936</v>
      </c>
      <c r="J14" s="101">
        <f t="shared" si="39"/>
        <v>227.95302539251097</v>
      </c>
      <c r="K14" s="101">
        <f t="shared" si="39"/>
        <v>219.55023165461913</v>
      </c>
      <c r="L14" s="101">
        <f t="shared" ref="L14" si="40">IF(L41=0,0,L41*L151)</f>
        <v>212.31598458786223</v>
      </c>
      <c r="M14" s="101">
        <f t="shared" ref="M14:V14" si="41">IF(M41=0,0,M41*M151)</f>
        <v>206.27684924669597</v>
      </c>
      <c r="N14" s="101">
        <f t="shared" si="41"/>
        <v>201.03498184849295</v>
      </c>
      <c r="O14" s="101">
        <f t="shared" si="41"/>
        <v>214.60261563057284</v>
      </c>
      <c r="P14" s="101">
        <f t="shared" si="41"/>
        <v>193.0425636045006</v>
      </c>
      <c r="Q14" s="101">
        <f t="shared" si="41"/>
        <v>172.15408722934561</v>
      </c>
      <c r="R14" s="101">
        <f t="shared" si="41"/>
        <v>157.29354219656531</v>
      </c>
      <c r="S14" s="101">
        <f t="shared" si="41"/>
        <v>145.36882583498576</v>
      </c>
      <c r="T14" s="101">
        <f t="shared" si="41"/>
        <v>130.9960984947042</v>
      </c>
      <c r="U14" s="101">
        <f t="shared" si="41"/>
        <v>115.71222196131335</v>
      </c>
      <c r="V14" s="101">
        <f t="shared" si="41"/>
        <v>105.71107232519375</v>
      </c>
      <c r="W14" s="101">
        <f t="shared" ref="W14" si="42">IF(W41=0,0,W41*W151)</f>
        <v>101.16845471277983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6958.1278155153923</v>
      </c>
      <c r="C15" s="101">
        <f t="shared" si="43"/>
        <v>6865.5572258562788</v>
      </c>
      <c r="D15" s="101">
        <f t="shared" si="43"/>
        <v>6830.7295907391581</v>
      </c>
      <c r="E15" s="101">
        <f t="shared" si="43"/>
        <v>6976.6090394252878</v>
      </c>
      <c r="F15" s="101">
        <f t="shared" si="43"/>
        <v>7056.7862333337471</v>
      </c>
      <c r="G15" s="101">
        <f t="shared" si="43"/>
        <v>6939.5513947604813</v>
      </c>
      <c r="H15" s="101">
        <f t="shared" si="43"/>
        <v>6822.8504427210137</v>
      </c>
      <c r="I15" s="101">
        <f t="shared" si="43"/>
        <v>6619.3446783832205</v>
      </c>
      <c r="J15" s="101">
        <f t="shared" si="43"/>
        <v>6511.0469746074887</v>
      </c>
      <c r="K15" s="101">
        <f t="shared" si="43"/>
        <v>6526.4497683453819</v>
      </c>
      <c r="L15" s="101">
        <f t="shared" ref="L15" si="44">IF(L42=0,0,L42*L152)</f>
        <v>6608.6840154121373</v>
      </c>
      <c r="M15" s="101">
        <f t="shared" ref="M15:V15" si="45">IF(M42=0,0,M42*M152)</f>
        <v>6466.7231507533043</v>
      </c>
      <c r="N15" s="101">
        <f t="shared" si="45"/>
        <v>6264.9650181515071</v>
      </c>
      <c r="O15" s="101">
        <f t="shared" si="45"/>
        <v>6251.3973843694275</v>
      </c>
      <c r="P15" s="101">
        <f t="shared" si="45"/>
        <v>6364.9574363954998</v>
      </c>
      <c r="Q15" s="101">
        <f t="shared" si="45"/>
        <v>6658.941593391839</v>
      </c>
      <c r="R15" s="101">
        <f t="shared" si="45"/>
        <v>6854.1103716415782</v>
      </c>
      <c r="S15" s="101">
        <f t="shared" si="45"/>
        <v>7032.9886283559581</v>
      </c>
      <c r="T15" s="101">
        <f t="shared" si="45"/>
        <v>6854.8793960011863</v>
      </c>
      <c r="U15" s="101">
        <f t="shared" si="45"/>
        <v>6641.9045148540281</v>
      </c>
      <c r="V15" s="101">
        <f t="shared" si="45"/>
        <v>4317.9788543540744</v>
      </c>
      <c r="W15" s="101">
        <f t="shared" ref="W15" si="46">IF(W42=0,0,W42*W152)</f>
        <v>4517.6811699235159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23.904319378815028</v>
      </c>
      <c r="R17" s="101">
        <f t="shared" si="53"/>
        <v>54.447381081192248</v>
      </c>
      <c r="S17" s="101">
        <f t="shared" si="53"/>
        <v>117.48253309380854</v>
      </c>
      <c r="T17" s="101">
        <f t="shared" si="53"/>
        <v>117.02650725737871</v>
      </c>
      <c r="U17" s="101">
        <f t="shared" si="53"/>
        <v>115.27733543468355</v>
      </c>
      <c r="V17" s="101">
        <f t="shared" si="53"/>
        <v>87.077309226735196</v>
      </c>
      <c r="W17" s="101">
        <f t="shared" ref="W17" si="54">IF(W44=0,0,W44*W154)</f>
        <v>96.18493121291624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0</v>
      </c>
      <c r="Q18" s="101">
        <f t="shared" si="57"/>
        <v>0</v>
      </c>
      <c r="R18" s="101">
        <f t="shared" si="57"/>
        <v>3.1487050806644548</v>
      </c>
      <c r="S18" s="101">
        <f t="shared" si="57"/>
        <v>4.1600127152476354</v>
      </c>
      <c r="T18" s="101">
        <f t="shared" si="57"/>
        <v>5.09799824673083</v>
      </c>
      <c r="U18" s="101">
        <f t="shared" si="57"/>
        <v>56.105927749975081</v>
      </c>
      <c r="V18" s="101">
        <f t="shared" si="57"/>
        <v>36.232764093996401</v>
      </c>
      <c r="W18" s="101">
        <f t="shared" ref="W18" si="58">IF(W45=0,0,W45*W155)</f>
        <v>118.96544415078826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16102.825803694617</v>
      </c>
      <c r="C19" s="29">
        <f t="shared" si="59"/>
        <v>16355.707153045834</v>
      </c>
      <c r="D19" s="29">
        <f t="shared" si="59"/>
        <v>16829.378201802039</v>
      </c>
      <c r="E19" s="29">
        <f t="shared" si="59"/>
        <v>16923.344719354514</v>
      </c>
      <c r="F19" s="29">
        <f t="shared" si="59"/>
        <v>17328.699423064456</v>
      </c>
      <c r="G19" s="29">
        <f t="shared" si="59"/>
        <v>18144.322437491363</v>
      </c>
      <c r="H19" s="29">
        <f t="shared" si="59"/>
        <v>19191.163695864903</v>
      </c>
      <c r="I19" s="29">
        <f t="shared" si="59"/>
        <v>20029.931318275878</v>
      </c>
      <c r="J19" s="29">
        <f t="shared" si="59"/>
        <v>20556.519011216318</v>
      </c>
      <c r="K19" s="29">
        <f t="shared" si="59"/>
        <v>18472.092585620561</v>
      </c>
      <c r="L19" s="29">
        <f t="shared" ref="L19" si="60">L20+L26</f>
        <v>18758.472985390181</v>
      </c>
      <c r="M19" s="29">
        <f t="shared" ref="M19:V19" si="61">M20+M26</f>
        <v>19817.018828586704</v>
      </c>
      <c r="N19" s="29">
        <f t="shared" si="61"/>
        <v>19849.078278026496</v>
      </c>
      <c r="O19" s="29">
        <f t="shared" si="61"/>
        <v>20508.3929700796</v>
      </c>
      <c r="P19" s="29">
        <f t="shared" si="61"/>
        <v>20688.053561330256</v>
      </c>
      <c r="Q19" s="29">
        <f t="shared" si="61"/>
        <v>20318.062767255164</v>
      </c>
      <c r="R19" s="29">
        <f t="shared" si="61"/>
        <v>21797.133025806252</v>
      </c>
      <c r="S19" s="29">
        <f t="shared" si="61"/>
        <v>21579.315571500047</v>
      </c>
      <c r="T19" s="29">
        <f t="shared" si="61"/>
        <v>20558.588921723807</v>
      </c>
      <c r="U19" s="29">
        <f t="shared" si="61"/>
        <v>20679.157322018225</v>
      </c>
      <c r="V19" s="29">
        <f t="shared" si="61"/>
        <v>21354.084442872299</v>
      </c>
      <c r="W19" s="29">
        <f t="shared" ref="W19" si="62">W20+W26</f>
        <v>21986.87928498839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967.69161960842871</v>
      </c>
      <c r="C20" s="152">
        <f t="shared" si="63"/>
        <v>1039.2803571428108</v>
      </c>
      <c r="D20" s="152">
        <f t="shared" si="63"/>
        <v>1081.8775655784996</v>
      </c>
      <c r="E20" s="152">
        <f t="shared" si="63"/>
        <v>1145.365920751447</v>
      </c>
      <c r="F20" s="152">
        <f t="shared" si="63"/>
        <v>1259.0690910860051</v>
      </c>
      <c r="G20" s="152">
        <f t="shared" si="63"/>
        <v>1357.8092139001092</v>
      </c>
      <c r="H20" s="152">
        <f t="shared" si="63"/>
        <v>1498.9049667236454</v>
      </c>
      <c r="I20" s="152">
        <f t="shared" si="63"/>
        <v>1642.3372972945608</v>
      </c>
      <c r="J20" s="152">
        <f t="shared" si="63"/>
        <v>1642.100932238998</v>
      </c>
      <c r="K20" s="152">
        <f t="shared" si="63"/>
        <v>1556.3443418001732</v>
      </c>
      <c r="L20" s="152">
        <f t="shared" ref="L20" si="64">SUM(L21:L25)</f>
        <v>1514.7237158435612</v>
      </c>
      <c r="M20" s="152">
        <f t="shared" ref="M20:V20" si="65">SUM(M21:M25)</f>
        <v>1378.623661996241</v>
      </c>
      <c r="N20" s="152">
        <f t="shared" si="65"/>
        <v>1278.0406604003247</v>
      </c>
      <c r="O20" s="152">
        <f t="shared" si="65"/>
        <v>1211.6717668725753</v>
      </c>
      <c r="P20" s="152">
        <f t="shared" si="65"/>
        <v>1170.7877713172372</v>
      </c>
      <c r="Q20" s="152">
        <f t="shared" si="65"/>
        <v>1189.4401413442174</v>
      </c>
      <c r="R20" s="152">
        <f t="shared" si="65"/>
        <v>1198.2699444678321</v>
      </c>
      <c r="S20" s="152">
        <f t="shared" si="65"/>
        <v>1227.2141511383193</v>
      </c>
      <c r="T20" s="152">
        <f t="shared" si="65"/>
        <v>1252.5889217238089</v>
      </c>
      <c r="U20" s="152">
        <f t="shared" si="65"/>
        <v>1218.1573220182254</v>
      </c>
      <c r="V20" s="152">
        <f t="shared" si="65"/>
        <v>1145.084442872298</v>
      </c>
      <c r="W20" s="152">
        <f t="shared" ref="W20" si="66">SUM(W21:W25)</f>
        <v>1167.879284988391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137.56583836802795</v>
      </c>
      <c r="C21" s="87">
        <f t="shared" si="67"/>
        <v>151.39679791528943</v>
      </c>
      <c r="D21" s="87">
        <f t="shared" si="67"/>
        <v>151.20676204330428</v>
      </c>
      <c r="E21" s="87">
        <f t="shared" si="67"/>
        <v>146.10713255461266</v>
      </c>
      <c r="F21" s="87">
        <f t="shared" si="67"/>
        <v>146.98885742413941</v>
      </c>
      <c r="G21" s="87">
        <f t="shared" si="67"/>
        <v>145.52686918886201</v>
      </c>
      <c r="H21" s="87">
        <f t="shared" si="67"/>
        <v>144.5853224864718</v>
      </c>
      <c r="I21" s="87">
        <f t="shared" si="67"/>
        <v>137.84876131996654</v>
      </c>
      <c r="J21" s="87">
        <f t="shared" si="67"/>
        <v>124.51911437182336</v>
      </c>
      <c r="K21" s="87">
        <f t="shared" si="67"/>
        <v>112.5470187005312</v>
      </c>
      <c r="L21" s="87">
        <f t="shared" ref="L21" si="68">IF(L48=0,0,L48*L158)</f>
        <v>100.86524689576949</v>
      </c>
      <c r="M21" s="87">
        <f t="shared" ref="M21:V21" si="69">IF(M48=0,0,M48*M158)</f>
        <v>87.281199465615302</v>
      </c>
      <c r="N21" s="87">
        <f t="shared" si="69"/>
        <v>74.326225167976531</v>
      </c>
      <c r="O21" s="87">
        <f t="shared" si="69"/>
        <v>68.157411541265773</v>
      </c>
      <c r="P21" s="87">
        <f t="shared" si="69"/>
        <v>63.182029919098703</v>
      </c>
      <c r="Q21" s="87">
        <f t="shared" si="69"/>
        <v>59.928602647537971</v>
      </c>
      <c r="R21" s="87">
        <f t="shared" si="69"/>
        <v>58.553584001353045</v>
      </c>
      <c r="S21" s="87">
        <f t="shared" si="69"/>
        <v>57.186776450235286</v>
      </c>
      <c r="T21" s="87">
        <f t="shared" si="69"/>
        <v>53.685367587430157</v>
      </c>
      <c r="U21" s="87">
        <f t="shared" si="69"/>
        <v>51.260013414093223</v>
      </c>
      <c r="V21" s="87">
        <f t="shared" si="69"/>
        <v>48.103260296359338</v>
      </c>
      <c r="W21" s="87">
        <f t="shared" ref="W21" si="70">IF(W48=0,0,W48*W158)</f>
        <v>50.867334473575802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830.12578124040078</v>
      </c>
      <c r="C22" s="87">
        <f t="shared" si="71"/>
        <v>887.88355922752135</v>
      </c>
      <c r="D22" s="87">
        <f t="shared" si="71"/>
        <v>930.6708035351952</v>
      </c>
      <c r="E22" s="87">
        <f t="shared" si="71"/>
        <v>999.2587881968343</v>
      </c>
      <c r="F22" s="87">
        <f t="shared" si="71"/>
        <v>1112.0802336618656</v>
      </c>
      <c r="G22" s="87">
        <f t="shared" si="71"/>
        <v>1212.2823447112471</v>
      </c>
      <c r="H22" s="87">
        <f t="shared" si="71"/>
        <v>1354.3196442371736</v>
      </c>
      <c r="I22" s="87">
        <f t="shared" si="71"/>
        <v>1504.4885359745942</v>
      </c>
      <c r="J22" s="87">
        <f t="shared" si="71"/>
        <v>1517.5818178671745</v>
      </c>
      <c r="K22" s="87">
        <f t="shared" si="71"/>
        <v>1443.797323099642</v>
      </c>
      <c r="L22" s="87">
        <f t="shared" ref="L22" si="72">IF(L49=0,0,L49*L159)</f>
        <v>1413.8584689477916</v>
      </c>
      <c r="M22" s="87">
        <f t="shared" ref="M22:V22" si="73">IF(M49=0,0,M49*M159)</f>
        <v>1291.3424625306257</v>
      </c>
      <c r="N22" s="87">
        <f t="shared" si="73"/>
        <v>1203.6768617334926</v>
      </c>
      <c r="O22" s="87">
        <f t="shared" si="73"/>
        <v>1143.3893521845475</v>
      </c>
      <c r="P22" s="87">
        <f t="shared" si="73"/>
        <v>1107.5090297171841</v>
      </c>
      <c r="Q22" s="87">
        <f t="shared" si="73"/>
        <v>1127.6880347389961</v>
      </c>
      <c r="R22" s="87">
        <f t="shared" si="73"/>
        <v>1137.7694504682627</v>
      </c>
      <c r="S22" s="87">
        <f t="shared" si="73"/>
        <v>1167.7874482326799</v>
      </c>
      <c r="T22" s="87">
        <f t="shared" si="73"/>
        <v>1196.628195464287</v>
      </c>
      <c r="U22" s="87">
        <f t="shared" si="73"/>
        <v>1164.150899396788</v>
      </c>
      <c r="V22" s="87">
        <f t="shared" si="73"/>
        <v>1093.195396144115</v>
      </c>
      <c r="W22" s="87">
        <f t="shared" ref="W22" si="74">IF(W49=0,0,W49*W159)</f>
        <v>1109.2451373370798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0.68397953409355516</v>
      </c>
      <c r="R24" s="87">
        <f t="shared" si="81"/>
        <v>0.72101300648858324</v>
      </c>
      <c r="S24" s="87">
        <f t="shared" si="81"/>
        <v>0.77185390068943061</v>
      </c>
      <c r="T24" s="87">
        <f t="shared" si="81"/>
        <v>0.76284706838749294</v>
      </c>
      <c r="U24" s="87">
        <f t="shared" si="81"/>
        <v>0.73212324126974726</v>
      </c>
      <c r="V24" s="87">
        <f t="shared" si="81"/>
        <v>0.67709997450390191</v>
      </c>
      <c r="W24" s="87">
        <f t="shared" ref="W24" si="82">IF(W51=0,0,W51*W161)</f>
        <v>0.66095892680792945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3.7573498855570799E-2</v>
      </c>
      <c r="O25" s="87">
        <f t="shared" si="85"/>
        <v>0.12500314676215271</v>
      </c>
      <c r="P25" s="87">
        <f t="shared" si="85"/>
        <v>9.6711680954299301E-2</v>
      </c>
      <c r="Q25" s="87">
        <f t="shared" si="85"/>
        <v>1.1395244235897988</v>
      </c>
      <c r="R25" s="87">
        <f t="shared" si="85"/>
        <v>1.2258969917277662</v>
      </c>
      <c r="S25" s="87">
        <f t="shared" si="85"/>
        <v>1.4680725547145863</v>
      </c>
      <c r="T25" s="87">
        <f t="shared" si="85"/>
        <v>1.5125116037041717</v>
      </c>
      <c r="U25" s="87">
        <f t="shared" si="85"/>
        <v>2.0142859660744374</v>
      </c>
      <c r="V25" s="87">
        <f t="shared" si="85"/>
        <v>3.1086864573199091</v>
      </c>
      <c r="W25" s="87">
        <f t="shared" ref="W25" si="86">IF(W52=0,0,W52*W162)</f>
        <v>7.1058542509273721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15135.134184086188</v>
      </c>
      <c r="C26" s="116">
        <f t="shared" si="87"/>
        <v>15316.426795903024</v>
      </c>
      <c r="D26" s="116">
        <f t="shared" si="87"/>
        <v>15747.50063622354</v>
      </c>
      <c r="E26" s="116">
        <f t="shared" si="87"/>
        <v>15777.978798603068</v>
      </c>
      <c r="F26" s="116">
        <f t="shared" si="87"/>
        <v>16069.630331978449</v>
      </c>
      <c r="G26" s="116">
        <f t="shared" si="87"/>
        <v>16786.513223591253</v>
      </c>
      <c r="H26" s="116">
        <f t="shared" si="87"/>
        <v>17692.258729141256</v>
      </c>
      <c r="I26" s="116">
        <f t="shared" si="87"/>
        <v>18387.594020981316</v>
      </c>
      <c r="J26" s="116">
        <f t="shared" si="87"/>
        <v>18914.41807897732</v>
      </c>
      <c r="K26" s="116">
        <f t="shared" si="87"/>
        <v>16915.748243820388</v>
      </c>
      <c r="L26" s="116">
        <f t="shared" ref="L26" si="88">SUM(L27:L28)</f>
        <v>17243.749269546621</v>
      </c>
      <c r="M26" s="116">
        <f t="shared" ref="M26:V26" si="89">SUM(M27:M28)</f>
        <v>18438.395166590464</v>
      </c>
      <c r="N26" s="116">
        <f t="shared" si="89"/>
        <v>18571.037617626171</v>
      </c>
      <c r="O26" s="116">
        <f t="shared" si="89"/>
        <v>19296.721203207024</v>
      </c>
      <c r="P26" s="116">
        <f t="shared" si="89"/>
        <v>19517.265790013018</v>
      </c>
      <c r="Q26" s="116">
        <f t="shared" si="89"/>
        <v>19128.622625910946</v>
      </c>
      <c r="R26" s="116">
        <f t="shared" si="89"/>
        <v>20598.863081338419</v>
      </c>
      <c r="S26" s="116">
        <f t="shared" si="89"/>
        <v>20352.101420361727</v>
      </c>
      <c r="T26" s="116">
        <f t="shared" si="89"/>
        <v>19306</v>
      </c>
      <c r="U26" s="116">
        <f t="shared" si="89"/>
        <v>19461</v>
      </c>
      <c r="V26" s="116">
        <f t="shared" si="89"/>
        <v>20209</v>
      </c>
      <c r="W26" s="116">
        <f t="shared" ref="W26" si="90">SUM(W27:W28)</f>
        <v>20819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11000</v>
      </c>
      <c r="C27" s="101">
        <f t="shared" si="91"/>
        <v>10887</v>
      </c>
      <c r="D27" s="101">
        <f t="shared" si="91"/>
        <v>11057</v>
      </c>
      <c r="E27" s="101">
        <f t="shared" si="91"/>
        <v>11012</v>
      </c>
      <c r="F27" s="101">
        <f t="shared" si="91"/>
        <v>10538</v>
      </c>
      <c r="G27" s="101">
        <f t="shared" si="91"/>
        <v>11058</v>
      </c>
      <c r="H27" s="101">
        <f t="shared" si="91"/>
        <v>11495</v>
      </c>
      <c r="I27" s="101">
        <f t="shared" si="91"/>
        <v>11800</v>
      </c>
      <c r="J27" s="101">
        <f t="shared" si="91"/>
        <v>10718</v>
      </c>
      <c r="K27" s="101">
        <f t="shared" si="91"/>
        <v>10002</v>
      </c>
      <c r="L27" s="101">
        <f t="shared" ref="L27:V27" si="92">IF(L54=0,0,L54*L164)</f>
        <v>10573</v>
      </c>
      <c r="M27" s="101">
        <f t="shared" si="92"/>
        <v>12025</v>
      </c>
      <c r="N27" s="101">
        <f t="shared" si="92"/>
        <v>12292</v>
      </c>
      <c r="O27" s="101">
        <f t="shared" si="92"/>
        <v>12217</v>
      </c>
      <c r="P27" s="101">
        <f t="shared" si="92"/>
        <v>12943</v>
      </c>
      <c r="Q27" s="101">
        <f t="shared" si="92"/>
        <v>12532.000000000002</v>
      </c>
      <c r="R27" s="101">
        <f t="shared" si="92"/>
        <v>13037</v>
      </c>
      <c r="S27" s="101">
        <f t="shared" si="92"/>
        <v>12577.000000000002</v>
      </c>
      <c r="T27" s="101">
        <f t="shared" si="92"/>
        <v>12075</v>
      </c>
      <c r="U27" s="101">
        <f t="shared" si="92"/>
        <v>12165</v>
      </c>
      <c r="V27" s="101">
        <f t="shared" si="92"/>
        <v>12407</v>
      </c>
      <c r="W27" s="101">
        <f t="shared" ref="W27" si="93">IF(W54=0,0,W54*W164)</f>
        <v>12863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4135.1341840861878</v>
      </c>
      <c r="C28" s="88">
        <f t="shared" si="94"/>
        <v>4429.426795903024</v>
      </c>
      <c r="D28" s="88">
        <f t="shared" si="94"/>
        <v>4690.5006362235399</v>
      </c>
      <c r="E28" s="88">
        <f t="shared" si="94"/>
        <v>4765.9787986030678</v>
      </c>
      <c r="F28" s="88">
        <f t="shared" si="94"/>
        <v>5531.6303319784492</v>
      </c>
      <c r="G28" s="88">
        <f t="shared" si="94"/>
        <v>5728.5132235912533</v>
      </c>
      <c r="H28" s="88">
        <f t="shared" si="94"/>
        <v>6197.2587291412565</v>
      </c>
      <c r="I28" s="88">
        <f t="shared" si="94"/>
        <v>6587.5940209813161</v>
      </c>
      <c r="J28" s="88">
        <f t="shared" si="94"/>
        <v>8196.41807897732</v>
      </c>
      <c r="K28" s="88">
        <f t="shared" si="94"/>
        <v>6913.7482438203879</v>
      </c>
      <c r="L28" s="88">
        <f t="shared" ref="L28:V28" si="95">IF(L55=0,0,L55*L165)</f>
        <v>6670.7492695466208</v>
      </c>
      <c r="M28" s="88">
        <f t="shared" si="95"/>
        <v>6413.3951665904642</v>
      </c>
      <c r="N28" s="88">
        <f t="shared" si="95"/>
        <v>6279.0376176261707</v>
      </c>
      <c r="O28" s="88">
        <f t="shared" si="95"/>
        <v>7079.7212032070238</v>
      </c>
      <c r="P28" s="88">
        <f t="shared" si="95"/>
        <v>6574.265790013018</v>
      </c>
      <c r="Q28" s="88">
        <f t="shared" si="95"/>
        <v>6596.6226259109426</v>
      </c>
      <c r="R28" s="88">
        <f t="shared" si="95"/>
        <v>7561.8630813384189</v>
      </c>
      <c r="S28" s="88">
        <f t="shared" si="95"/>
        <v>7775.1014203617242</v>
      </c>
      <c r="T28" s="88">
        <f t="shared" si="95"/>
        <v>7231</v>
      </c>
      <c r="U28" s="88">
        <f t="shared" si="95"/>
        <v>7296</v>
      </c>
      <c r="V28" s="88">
        <f t="shared" si="95"/>
        <v>7802</v>
      </c>
      <c r="W28" s="88">
        <f t="shared" ref="W28" si="96">IF(W55=0,0,W55*W165)</f>
        <v>7956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32297.136701020012</v>
      </c>
      <c r="C30" s="62">
        <f t="shared" ref="C30:V30" si="98">C31+C46</f>
        <v>33015.122530277607</v>
      </c>
      <c r="D30" s="62">
        <f t="shared" si="98"/>
        <v>33912.746778479719</v>
      </c>
      <c r="E30" s="62">
        <f t="shared" si="98"/>
        <v>35023.071370013356</v>
      </c>
      <c r="F30" s="62">
        <f t="shared" si="98"/>
        <v>36141.955668586386</v>
      </c>
      <c r="G30" s="62">
        <f t="shared" si="98"/>
        <v>37186.171368134317</v>
      </c>
      <c r="H30" s="62">
        <f t="shared" si="98"/>
        <v>38770.640538816268</v>
      </c>
      <c r="I30" s="62">
        <f t="shared" si="98"/>
        <v>41839.787970976999</v>
      </c>
      <c r="J30" s="62">
        <f t="shared" si="98"/>
        <v>42432.548846037127</v>
      </c>
      <c r="K30" s="62">
        <f t="shared" si="98"/>
        <v>41704.085736001522</v>
      </c>
      <c r="L30" s="62">
        <f t="shared" si="98"/>
        <v>41945.783622713476</v>
      </c>
      <c r="M30" s="62">
        <f t="shared" si="98"/>
        <v>42931.203282253569</v>
      </c>
      <c r="N30" s="62">
        <f t="shared" si="98"/>
        <v>41498.16949381907</v>
      </c>
      <c r="O30" s="62">
        <f t="shared" si="98"/>
        <v>41940.138115842565</v>
      </c>
      <c r="P30" s="62">
        <f t="shared" si="98"/>
        <v>42796.640266152644</v>
      </c>
      <c r="Q30" s="62">
        <f t="shared" si="98"/>
        <v>46230.052034750035</v>
      </c>
      <c r="R30" s="62">
        <f t="shared" si="98"/>
        <v>47409.568717696879</v>
      </c>
      <c r="S30" s="62">
        <f t="shared" si="98"/>
        <v>47760.30477637687</v>
      </c>
      <c r="T30" s="62">
        <f t="shared" si="98"/>
        <v>49041.032494934792</v>
      </c>
      <c r="U30" s="62">
        <f t="shared" si="98"/>
        <v>49580.763341555023</v>
      </c>
      <c r="V30" s="62">
        <f t="shared" si="98"/>
        <v>46625.804948703313</v>
      </c>
      <c r="W30" s="62">
        <f t="shared" ref="W30" si="99">W31+W46</f>
        <v>48568.886749220183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25235.748326094694</v>
      </c>
      <c r="C31" s="29">
        <f t="shared" ref="C31:V31" si="101">C32+C33+C40</f>
        <v>25416.49352348383</v>
      </c>
      <c r="D31" s="29">
        <f t="shared" si="101"/>
        <v>26066.518076190714</v>
      </c>
      <c r="E31" s="29">
        <f t="shared" si="101"/>
        <v>26695.262276644731</v>
      </c>
      <c r="F31" s="29">
        <f t="shared" si="101"/>
        <v>27141.986021635337</v>
      </c>
      <c r="G31" s="29">
        <f t="shared" si="101"/>
        <v>27644.774350071348</v>
      </c>
      <c r="H31" s="29">
        <f t="shared" si="101"/>
        <v>28342.894748048588</v>
      </c>
      <c r="I31" s="29">
        <f t="shared" si="101"/>
        <v>30481.424557955324</v>
      </c>
      <c r="J31" s="29">
        <f t="shared" si="101"/>
        <v>31026.57655244373</v>
      </c>
      <c r="K31" s="29">
        <f t="shared" si="101"/>
        <v>31112.656027385736</v>
      </c>
      <c r="L31" s="29">
        <f t="shared" si="101"/>
        <v>31580.806101337865</v>
      </c>
      <c r="M31" s="29">
        <f t="shared" si="101"/>
        <v>33421.704732927465</v>
      </c>
      <c r="N31" s="29">
        <f t="shared" si="101"/>
        <v>32645.399096870035</v>
      </c>
      <c r="O31" s="29">
        <f t="shared" si="101"/>
        <v>33453.81554711589</v>
      </c>
      <c r="P31" s="29">
        <f t="shared" si="101"/>
        <v>34583.923763363004</v>
      </c>
      <c r="Q31" s="29">
        <f t="shared" si="101"/>
        <v>37958.489467686413</v>
      </c>
      <c r="R31" s="29">
        <f t="shared" si="101"/>
        <v>39019.395057636211</v>
      </c>
      <c r="S31" s="29">
        <f t="shared" si="101"/>
        <v>39226.886461905771</v>
      </c>
      <c r="T31" s="29">
        <f t="shared" si="101"/>
        <v>40388.02537787069</v>
      </c>
      <c r="U31" s="29">
        <f t="shared" si="101"/>
        <v>41099.390767119228</v>
      </c>
      <c r="V31" s="29">
        <f t="shared" si="101"/>
        <v>38563.423243004712</v>
      </c>
      <c r="W31" s="29">
        <f t="shared" ref="W31" si="102">W32+W33+W40</f>
        <v>40298.422450119462</v>
      </c>
      <c r="DA31" s="173" t="s">
        <v>474</v>
      </c>
    </row>
    <row r="32" spans="1:105" ht="11.45" customHeight="1" x14ac:dyDescent="0.25">
      <c r="A32" s="136" t="s">
        <v>180</v>
      </c>
      <c r="B32" s="152">
        <v>559.46837012763615</v>
      </c>
      <c r="C32" s="152">
        <v>531.06554464837575</v>
      </c>
      <c r="D32" s="152">
        <v>552.16653306202056</v>
      </c>
      <c r="E32" s="152">
        <v>557.67059740140985</v>
      </c>
      <c r="F32" s="152">
        <v>557.08000000000004</v>
      </c>
      <c r="G32" s="152">
        <v>572.26</v>
      </c>
      <c r="H32" s="152">
        <v>602.79</v>
      </c>
      <c r="I32" s="152">
        <v>643.72</v>
      </c>
      <c r="J32" s="152">
        <v>643.72</v>
      </c>
      <c r="K32" s="152">
        <v>619.85247216486562</v>
      </c>
      <c r="L32" s="152">
        <v>621.31216882815522</v>
      </c>
      <c r="M32" s="152">
        <v>617.20060942527437</v>
      </c>
      <c r="N32" s="152">
        <v>622.2034951645411</v>
      </c>
      <c r="O32" s="152">
        <v>630.60903728296751</v>
      </c>
      <c r="P32" s="152">
        <v>642.67130297911376</v>
      </c>
      <c r="Q32" s="152">
        <v>648.12027629476131</v>
      </c>
      <c r="R32" s="152">
        <v>645.72947458035719</v>
      </c>
      <c r="S32" s="152">
        <v>607.14006129374491</v>
      </c>
      <c r="T32" s="152">
        <v>577.11362466211403</v>
      </c>
      <c r="U32" s="152">
        <v>604.70269174215878</v>
      </c>
      <c r="V32" s="152">
        <v>539.76303490398004</v>
      </c>
      <c r="W32" s="152">
        <v>558.08492347805407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24047.279955967057</v>
      </c>
      <c r="C33" s="116">
        <f t="shared" ref="C33:V33" si="104">SUM(C34:C39)</f>
        <v>24260.427978835454</v>
      </c>
      <c r="D33" s="116">
        <f t="shared" si="104"/>
        <v>24898.551995441077</v>
      </c>
      <c r="E33" s="116">
        <f t="shared" si="104"/>
        <v>25527.247504522689</v>
      </c>
      <c r="F33" s="116">
        <f t="shared" si="104"/>
        <v>25983.906021635335</v>
      </c>
      <c r="G33" s="116">
        <f t="shared" si="104"/>
        <v>26460.514350071349</v>
      </c>
      <c r="H33" s="116">
        <f t="shared" si="104"/>
        <v>27116.104748048587</v>
      </c>
      <c r="I33" s="116">
        <f t="shared" si="104"/>
        <v>29217.704557955323</v>
      </c>
      <c r="J33" s="116">
        <f t="shared" si="104"/>
        <v>29753.856552443729</v>
      </c>
      <c r="K33" s="116">
        <f t="shared" si="104"/>
        <v>29853.628228732319</v>
      </c>
      <c r="L33" s="116">
        <f t="shared" si="104"/>
        <v>30308.344070831241</v>
      </c>
      <c r="M33" s="116">
        <f t="shared" si="104"/>
        <v>32168.976860102161</v>
      </c>
      <c r="N33" s="116">
        <f t="shared" si="104"/>
        <v>31424.801514205472</v>
      </c>
      <c r="O33" s="116">
        <f t="shared" si="104"/>
        <v>32246.36289104653</v>
      </c>
      <c r="P33" s="116">
        <f t="shared" si="104"/>
        <v>33346.207543877237</v>
      </c>
      <c r="Q33" s="116">
        <f t="shared" si="104"/>
        <v>36704.369191391655</v>
      </c>
      <c r="R33" s="116">
        <f t="shared" si="104"/>
        <v>37749.665583055852</v>
      </c>
      <c r="S33" s="116">
        <f t="shared" si="104"/>
        <v>37971.746400612028</v>
      </c>
      <c r="T33" s="116">
        <f t="shared" si="104"/>
        <v>39168.911753208573</v>
      </c>
      <c r="U33" s="116">
        <f t="shared" si="104"/>
        <v>39870.449670015099</v>
      </c>
      <c r="V33" s="116">
        <f t="shared" si="104"/>
        <v>37402.045862683575</v>
      </c>
      <c r="W33" s="116">
        <f t="shared" ref="W33" si="105">SUM(W34:W39)</f>
        <v>39118.342595712216</v>
      </c>
      <c r="DA33" s="176" t="s">
        <v>476</v>
      </c>
    </row>
    <row r="34" spans="1:105" ht="11.45" customHeight="1" x14ac:dyDescent="0.25">
      <c r="A34" s="111" t="s">
        <v>110</v>
      </c>
      <c r="B34" s="87">
        <v>21819.399194291374</v>
      </c>
      <c r="C34" s="87">
        <v>21696.356526245087</v>
      </c>
      <c r="D34" s="87">
        <v>22008.655232747209</v>
      </c>
      <c r="E34" s="87">
        <v>22397.079476881067</v>
      </c>
      <c r="F34" s="87">
        <v>22380.967590906039</v>
      </c>
      <c r="G34" s="87">
        <v>21991.603671762059</v>
      </c>
      <c r="H34" s="87">
        <v>21890.300961369314</v>
      </c>
      <c r="I34" s="87">
        <v>22140.75805508046</v>
      </c>
      <c r="J34" s="87">
        <v>21511.019060952276</v>
      </c>
      <c r="K34" s="87">
        <v>20849.872870238927</v>
      </c>
      <c r="L34" s="87">
        <v>20117.629427041302</v>
      </c>
      <c r="M34" s="87">
        <v>20608.011907493819</v>
      </c>
      <c r="N34" s="87">
        <v>19161.914468487488</v>
      </c>
      <c r="O34" s="87">
        <v>19124.510731614875</v>
      </c>
      <c r="P34" s="87">
        <v>19640.340030039697</v>
      </c>
      <c r="Q34" s="87">
        <v>20411.665352138843</v>
      </c>
      <c r="R34" s="87">
        <v>21979.279137636844</v>
      </c>
      <c r="S34" s="87">
        <v>21560.553675235464</v>
      </c>
      <c r="T34" s="87">
        <v>22183.64220335619</v>
      </c>
      <c r="U34" s="87">
        <v>22775.407315566288</v>
      </c>
      <c r="V34" s="87">
        <v>21552.750524303257</v>
      </c>
      <c r="W34" s="87">
        <v>22563.703521770905</v>
      </c>
      <c r="DA34" s="171" t="s">
        <v>477</v>
      </c>
    </row>
    <row r="35" spans="1:105" ht="11.45" customHeight="1" x14ac:dyDescent="0.25">
      <c r="A35" s="111" t="s">
        <v>111</v>
      </c>
      <c r="B35" s="87">
        <v>2106.9125903519425</v>
      </c>
      <c r="C35" s="87">
        <v>2444.1251892003966</v>
      </c>
      <c r="D35" s="87">
        <v>2778.9923713876888</v>
      </c>
      <c r="E35" s="87">
        <v>3034.1563881345842</v>
      </c>
      <c r="F35" s="87">
        <v>3516.8222043731921</v>
      </c>
      <c r="G35" s="87">
        <v>4396.034823879967</v>
      </c>
      <c r="H35" s="87">
        <v>5163.4261684966286</v>
      </c>
      <c r="I35" s="87">
        <v>7021.6906285313889</v>
      </c>
      <c r="J35" s="87">
        <v>8198.6069728440634</v>
      </c>
      <c r="K35" s="87">
        <v>8971.9192618698689</v>
      </c>
      <c r="L35" s="87">
        <v>10189.996593156333</v>
      </c>
      <c r="M35" s="87">
        <v>11554.391885276564</v>
      </c>
      <c r="N35" s="87">
        <v>12249.222686183832</v>
      </c>
      <c r="O35" s="87">
        <v>13101.001601781576</v>
      </c>
      <c r="P35" s="87">
        <v>13661.906541394315</v>
      </c>
      <c r="Q35" s="87">
        <v>16076.892861817765</v>
      </c>
      <c r="R35" s="87">
        <v>15633.809923357407</v>
      </c>
      <c r="S35" s="87">
        <v>16257.573899878995</v>
      </c>
      <c r="T35" s="87">
        <v>16765.715760035921</v>
      </c>
      <c r="U35" s="87">
        <v>16745.470724195708</v>
      </c>
      <c r="V35" s="87">
        <v>15117.071636474635</v>
      </c>
      <c r="W35" s="87">
        <v>14788.490025643952</v>
      </c>
      <c r="DA35" s="171" t="s">
        <v>478</v>
      </c>
    </row>
    <row r="36" spans="1:105" ht="11.45" customHeight="1" x14ac:dyDescent="0.25">
      <c r="A36" s="111" t="s">
        <v>112</v>
      </c>
      <c r="B36" s="87">
        <v>120.96817132374026</v>
      </c>
      <c r="C36" s="87">
        <v>119.94626338997227</v>
      </c>
      <c r="D36" s="87">
        <v>110.90439130618017</v>
      </c>
      <c r="E36" s="87">
        <v>96.011639507039888</v>
      </c>
      <c r="F36" s="87">
        <v>86.116226356105017</v>
      </c>
      <c r="G36" s="87">
        <v>72.875854429322061</v>
      </c>
      <c r="H36" s="87">
        <v>62.377618182644291</v>
      </c>
      <c r="I36" s="87">
        <v>55.255874343473799</v>
      </c>
      <c r="J36" s="87">
        <v>44.230518647387839</v>
      </c>
      <c r="K36" s="87">
        <v>31.400124947845253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0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0.76554896464897138</v>
      </c>
      <c r="R37" s="87">
        <v>2.0472960000661251</v>
      </c>
      <c r="S37" s="87">
        <v>3.6540246615542724</v>
      </c>
      <c r="T37" s="87">
        <v>6.3491424613607306</v>
      </c>
      <c r="U37" s="87">
        <v>8.9517480767738018</v>
      </c>
      <c r="V37" s="87">
        <v>10.326323398758586</v>
      </c>
      <c r="W37" s="87">
        <v>13.055142705316149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0.40963699334899034</v>
      </c>
      <c r="O38" s="87">
        <v>0.55163793360259405</v>
      </c>
      <c r="P38" s="87">
        <v>1.8714048059303832</v>
      </c>
      <c r="Q38" s="87">
        <v>108.17400464811261</v>
      </c>
      <c r="R38" s="87">
        <v>10.852561734580242</v>
      </c>
      <c r="S38" s="87">
        <v>16.143663672017741</v>
      </c>
      <c r="T38" s="87">
        <v>58.737302283020661</v>
      </c>
      <c r="U38" s="87">
        <v>109.17555622708198</v>
      </c>
      <c r="V38" s="87">
        <v>317.09778962925014</v>
      </c>
      <c r="W38" s="87">
        <v>860.3137385163509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0.43597167567710227</v>
      </c>
      <c r="L39" s="87">
        <v>0.71805063360663857</v>
      </c>
      <c r="M39" s="87">
        <v>6.5730673317780646</v>
      </c>
      <c r="N39" s="87">
        <v>13.254722540801161</v>
      </c>
      <c r="O39" s="87">
        <v>20.298919716475346</v>
      </c>
      <c r="P39" s="87">
        <v>42.089567637286443</v>
      </c>
      <c r="Q39" s="87">
        <v>106.87142382228548</v>
      </c>
      <c r="R39" s="87">
        <v>123.67666432695351</v>
      </c>
      <c r="S39" s="87">
        <v>133.82113716399834</v>
      </c>
      <c r="T39" s="87">
        <v>154.46734507208021</v>
      </c>
      <c r="U39" s="87">
        <v>231.44432594923961</v>
      </c>
      <c r="V39" s="87">
        <v>404.79958887767452</v>
      </c>
      <c r="W39" s="87">
        <v>892.78016707569805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629</v>
      </c>
      <c r="C40" s="116">
        <f t="shared" ref="C40:V40" si="107">SUM(C41:C45)</f>
        <v>625</v>
      </c>
      <c r="D40" s="116">
        <f t="shared" si="107"/>
        <v>615.7995476876182</v>
      </c>
      <c r="E40" s="116">
        <f t="shared" si="107"/>
        <v>610.34417472063046</v>
      </c>
      <c r="F40" s="116">
        <f t="shared" si="107"/>
        <v>601</v>
      </c>
      <c r="G40" s="116">
        <f t="shared" si="107"/>
        <v>612</v>
      </c>
      <c r="H40" s="116">
        <f t="shared" si="107"/>
        <v>624</v>
      </c>
      <c r="I40" s="116">
        <f t="shared" si="107"/>
        <v>620</v>
      </c>
      <c r="J40" s="116">
        <f t="shared" si="107"/>
        <v>629</v>
      </c>
      <c r="K40" s="116">
        <f t="shared" si="107"/>
        <v>639.17532648855058</v>
      </c>
      <c r="L40" s="116">
        <f t="shared" si="107"/>
        <v>651.14986167847155</v>
      </c>
      <c r="M40" s="116">
        <f t="shared" si="107"/>
        <v>635.52726340002619</v>
      </c>
      <c r="N40" s="116">
        <f t="shared" si="107"/>
        <v>598.39408750002099</v>
      </c>
      <c r="O40" s="116">
        <f t="shared" si="107"/>
        <v>576.84361878639095</v>
      </c>
      <c r="P40" s="116">
        <f t="shared" si="107"/>
        <v>595.04491650665477</v>
      </c>
      <c r="Q40" s="116">
        <f t="shared" si="107"/>
        <v>606</v>
      </c>
      <c r="R40" s="116">
        <f t="shared" si="107"/>
        <v>624</v>
      </c>
      <c r="S40" s="116">
        <f t="shared" si="107"/>
        <v>648</v>
      </c>
      <c r="T40" s="116">
        <f t="shared" si="107"/>
        <v>642</v>
      </c>
      <c r="U40" s="116">
        <f t="shared" si="107"/>
        <v>624.23840536196656</v>
      </c>
      <c r="V40" s="116">
        <f t="shared" si="107"/>
        <v>621.61434541715153</v>
      </c>
      <c r="W40" s="116">
        <f t="shared" ref="W40" si="108">SUM(W41:W45)</f>
        <v>621.99493092919079</v>
      </c>
      <c r="DA40" s="176" t="s">
        <v>483</v>
      </c>
    </row>
    <row r="41" spans="1:105" ht="11.45" customHeight="1" x14ac:dyDescent="0.25">
      <c r="A41" s="111" t="s">
        <v>110</v>
      </c>
      <c r="B41" s="101">
        <v>71.258358805606008</v>
      </c>
      <c r="C41" s="101">
        <v>72.303257400750439</v>
      </c>
      <c r="D41" s="101">
        <v>71.917131062968792</v>
      </c>
      <c r="E41" s="101">
        <v>45.738521113365813</v>
      </c>
      <c r="F41" s="101">
        <v>37.607448522867159</v>
      </c>
      <c r="G41" s="101">
        <v>35.570446571752214</v>
      </c>
      <c r="H41" s="101">
        <v>35.92186073769868</v>
      </c>
      <c r="I41" s="101">
        <v>35.123485583570542</v>
      </c>
      <c r="J41" s="101">
        <v>35.550611533802432</v>
      </c>
      <c r="K41" s="101">
        <v>34.272958457172777</v>
      </c>
      <c r="L41" s="101">
        <v>33.159364166805688</v>
      </c>
      <c r="M41" s="101">
        <v>32.211410922070002</v>
      </c>
      <c r="N41" s="101">
        <v>31.335338277460171</v>
      </c>
      <c r="O41" s="101">
        <v>33.369368621281609</v>
      </c>
      <c r="P41" s="101">
        <v>30.050749007334272</v>
      </c>
      <c r="Q41" s="101">
        <v>26.752471110705773</v>
      </c>
      <c r="R41" s="101">
        <v>24.440734665195674</v>
      </c>
      <c r="S41" s="101">
        <v>22.596357324314866</v>
      </c>
      <c r="T41" s="101">
        <v>20.385855641185927</v>
      </c>
      <c r="U41" s="101">
        <v>18.00430344922966</v>
      </c>
      <c r="V41" s="101">
        <v>16.829383888634922</v>
      </c>
      <c r="W41" s="101">
        <v>16.061253184298288</v>
      </c>
      <c r="DA41" s="175" t="s">
        <v>484</v>
      </c>
    </row>
    <row r="42" spans="1:105" ht="11.45" customHeight="1" x14ac:dyDescent="0.25">
      <c r="A42" s="111" t="s">
        <v>111</v>
      </c>
      <c r="B42" s="101">
        <v>557.74164119439399</v>
      </c>
      <c r="C42" s="101">
        <v>552.69674259924955</v>
      </c>
      <c r="D42" s="101">
        <v>543.88241662464941</v>
      </c>
      <c r="E42" s="101">
        <v>564.60565360726468</v>
      </c>
      <c r="F42" s="101">
        <v>563.39255147713288</v>
      </c>
      <c r="G42" s="101">
        <v>576.4295534282478</v>
      </c>
      <c r="H42" s="101">
        <v>588.07813926230131</v>
      </c>
      <c r="I42" s="101">
        <v>584.87651441642947</v>
      </c>
      <c r="J42" s="101">
        <v>593.44938846619755</v>
      </c>
      <c r="K42" s="101">
        <v>604.90236803137782</v>
      </c>
      <c r="L42" s="101">
        <v>617.99049751166581</v>
      </c>
      <c r="M42" s="101">
        <v>603.31585247795624</v>
      </c>
      <c r="N42" s="101">
        <v>567.05874922256078</v>
      </c>
      <c r="O42" s="101">
        <v>543.47425016510931</v>
      </c>
      <c r="P42" s="101">
        <v>564.9941674993205</v>
      </c>
      <c r="Q42" s="101">
        <v>577.17557958645318</v>
      </c>
      <c r="R42" s="101">
        <v>594.56306543595372</v>
      </c>
      <c r="S42" s="101">
        <v>614.77057307343466</v>
      </c>
      <c r="T42" s="101">
        <v>610.73349686801907</v>
      </c>
      <c r="U42" s="101">
        <v>590.98472715793469</v>
      </c>
      <c r="V42" s="101">
        <v>587.99342214348485</v>
      </c>
      <c r="W42" s="101">
        <v>578.38846364528274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2.0719493028410136</v>
      </c>
      <c r="R44" s="101">
        <v>4.7230639784459632</v>
      </c>
      <c r="S44" s="101">
        <v>10.269432813384601</v>
      </c>
      <c r="T44" s="101">
        <v>10.426442811706201</v>
      </c>
      <c r="U44" s="101">
        <v>10.257170135011709</v>
      </c>
      <c r="V44" s="101">
        <v>11.857604395548529</v>
      </c>
      <c r="W44" s="101">
        <v>12.314338373508477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0.27313592040468498</v>
      </c>
      <c r="S45" s="101">
        <v>0.36363678886587336</v>
      </c>
      <c r="T45" s="101">
        <v>0.45420467908877143</v>
      </c>
      <c r="U45" s="101">
        <v>4.9922046197905239</v>
      </c>
      <c r="V45" s="101">
        <v>4.9339349894832871</v>
      </c>
      <c r="W45" s="101">
        <v>15.230875726101322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7061.3883749253182</v>
      </c>
      <c r="C46" s="29">
        <f t="shared" ref="C46:V46" si="110">C47+C53</f>
        <v>7598.6290067937798</v>
      </c>
      <c r="D46" s="29">
        <f t="shared" si="110"/>
        <v>7846.228702289005</v>
      </c>
      <c r="E46" s="29">
        <f t="shared" si="110"/>
        <v>8327.8090933686271</v>
      </c>
      <c r="F46" s="29">
        <f t="shared" si="110"/>
        <v>8999.9696469510473</v>
      </c>
      <c r="G46" s="29">
        <f t="shared" si="110"/>
        <v>9541.3970180629694</v>
      </c>
      <c r="H46" s="29">
        <f t="shared" si="110"/>
        <v>10427.745790767676</v>
      </c>
      <c r="I46" s="29">
        <f t="shared" si="110"/>
        <v>11358.363413021674</v>
      </c>
      <c r="J46" s="29">
        <f t="shared" si="110"/>
        <v>11405.972293593397</v>
      </c>
      <c r="K46" s="29">
        <f t="shared" si="110"/>
        <v>10591.429708615788</v>
      </c>
      <c r="L46" s="29">
        <f t="shared" si="110"/>
        <v>10364.977521375611</v>
      </c>
      <c r="M46" s="29">
        <f t="shared" si="110"/>
        <v>9509.4985493261029</v>
      </c>
      <c r="N46" s="29">
        <f t="shared" si="110"/>
        <v>8852.770396949034</v>
      </c>
      <c r="O46" s="29">
        <f t="shared" si="110"/>
        <v>8486.3225687266749</v>
      </c>
      <c r="P46" s="29">
        <f t="shared" si="110"/>
        <v>8212.7165027896426</v>
      </c>
      <c r="Q46" s="29">
        <f t="shared" si="110"/>
        <v>8271.5625670636218</v>
      </c>
      <c r="R46" s="29">
        <f t="shared" si="110"/>
        <v>8390.1736600606673</v>
      </c>
      <c r="S46" s="29">
        <f t="shared" si="110"/>
        <v>8533.4183144711005</v>
      </c>
      <c r="T46" s="29">
        <f t="shared" si="110"/>
        <v>8653.007117064104</v>
      </c>
      <c r="U46" s="29">
        <f t="shared" si="110"/>
        <v>8481.3725744357907</v>
      </c>
      <c r="V46" s="29">
        <f t="shared" si="110"/>
        <v>8062.3817056986027</v>
      </c>
      <c r="W46" s="29">
        <f t="shared" ref="W46" si="111">W47+W53</f>
        <v>8270.4642991007222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5375.3545811447739</v>
      </c>
      <c r="C47" s="152">
        <f t="shared" ref="C47:V47" si="113">SUM(C48:C52)</f>
        <v>5853.6842092845336</v>
      </c>
      <c r="D47" s="152">
        <f t="shared" si="113"/>
        <v>6105.1047550939193</v>
      </c>
      <c r="E47" s="152">
        <f t="shared" si="113"/>
        <v>6481.4518735661068</v>
      </c>
      <c r="F47" s="152">
        <f t="shared" si="113"/>
        <v>7162.6594335052851</v>
      </c>
      <c r="G47" s="152">
        <f t="shared" si="113"/>
        <v>7705.2000736441969</v>
      </c>
      <c r="H47" s="152">
        <f t="shared" si="113"/>
        <v>8490.8760254491153</v>
      </c>
      <c r="I47" s="152">
        <f t="shared" si="113"/>
        <v>9354.6633274845808</v>
      </c>
      <c r="J47" s="152">
        <f t="shared" si="113"/>
        <v>9342.9565413663277</v>
      </c>
      <c r="K47" s="152">
        <f t="shared" si="113"/>
        <v>8812.945281192593</v>
      </c>
      <c r="L47" s="152">
        <f t="shared" si="113"/>
        <v>8598.5007369328396</v>
      </c>
      <c r="M47" s="152">
        <f t="shared" si="113"/>
        <v>7698.7164263105951</v>
      </c>
      <c r="N47" s="152">
        <f t="shared" si="113"/>
        <v>7025.0194635992411</v>
      </c>
      <c r="O47" s="152">
        <f t="shared" si="113"/>
        <v>6619.3985879668908</v>
      </c>
      <c r="P47" s="152">
        <f t="shared" si="113"/>
        <v>6349.716686037521</v>
      </c>
      <c r="Q47" s="152">
        <f t="shared" si="113"/>
        <v>6448.5621672040443</v>
      </c>
      <c r="R47" s="152">
        <f t="shared" si="113"/>
        <v>6498.3670620268422</v>
      </c>
      <c r="S47" s="152">
        <f t="shared" si="113"/>
        <v>6695.0169618340997</v>
      </c>
      <c r="T47" s="152">
        <f t="shared" si="113"/>
        <v>6885.1979534012453</v>
      </c>
      <c r="U47" s="152">
        <f t="shared" si="113"/>
        <v>6687.0003339469631</v>
      </c>
      <c r="V47" s="152">
        <f t="shared" si="113"/>
        <v>6204.5528099018738</v>
      </c>
      <c r="W47" s="152">
        <f t="shared" ref="W47" si="114">SUM(W48:W52)</f>
        <v>6376.8288975171035</v>
      </c>
      <c r="DA47" s="174" t="s">
        <v>490</v>
      </c>
    </row>
    <row r="48" spans="1:105" ht="11.45" customHeight="1" x14ac:dyDescent="0.25">
      <c r="A48" s="111" t="s">
        <v>110</v>
      </c>
      <c r="B48" s="87">
        <v>932.07525379964147</v>
      </c>
      <c r="C48" s="87">
        <v>1050.6512729031647</v>
      </c>
      <c r="D48" s="87">
        <v>1049.0030371379244</v>
      </c>
      <c r="E48" s="87">
        <v>1004.9603337842561</v>
      </c>
      <c r="F48" s="87">
        <v>1012.4894955940056</v>
      </c>
      <c r="G48" s="87">
        <v>999.34711805492816</v>
      </c>
      <c r="H48" s="87">
        <v>985.62316673726059</v>
      </c>
      <c r="I48" s="87">
        <v>951.14017483416899</v>
      </c>
      <c r="J48" s="87">
        <v>852.09924076831635</v>
      </c>
      <c r="K48" s="87">
        <v>765.55008823197841</v>
      </c>
      <c r="L48" s="87">
        <v>685.04194550927241</v>
      </c>
      <c r="M48" s="87">
        <v>580.53510937416081</v>
      </c>
      <c r="N48" s="87">
        <v>485.96645947398724</v>
      </c>
      <c r="O48" s="87">
        <v>447.28746513808824</v>
      </c>
      <c r="P48" s="87">
        <v>418.50378232866314</v>
      </c>
      <c r="Q48" s="87">
        <v>403.78402378323386</v>
      </c>
      <c r="R48" s="87">
        <v>397.22854419009946</v>
      </c>
      <c r="S48" s="87">
        <v>391.97360240181098</v>
      </c>
      <c r="T48" s="87">
        <v>369.19177273397349</v>
      </c>
      <c r="U48" s="87">
        <v>355.4161644075848</v>
      </c>
      <c r="V48" s="87">
        <v>331.47192399864667</v>
      </c>
      <c r="W48" s="87">
        <v>357.68208187773041</v>
      </c>
      <c r="DA48" s="171" t="s">
        <v>491</v>
      </c>
    </row>
    <row r="49" spans="1:105" ht="11.45" customHeight="1" x14ac:dyDescent="0.25">
      <c r="A49" s="111" t="s">
        <v>111</v>
      </c>
      <c r="B49" s="87">
        <v>4441.3942200334322</v>
      </c>
      <c r="C49" s="87">
        <v>4800.9155788991793</v>
      </c>
      <c r="D49" s="87">
        <v>5053.8417745216038</v>
      </c>
      <c r="E49" s="87">
        <v>5474.3915665747791</v>
      </c>
      <c r="F49" s="87">
        <v>6148.14994106209</v>
      </c>
      <c r="G49" s="87">
        <v>6704.135013951106</v>
      </c>
      <c r="H49" s="87">
        <v>7503.8143138071191</v>
      </c>
      <c r="I49" s="87">
        <v>8402.2996379726719</v>
      </c>
      <c r="J49" s="87">
        <v>8489.8416552084345</v>
      </c>
      <c r="K49" s="87">
        <v>8046.6001676556834</v>
      </c>
      <c r="L49" s="87">
        <v>7913.4587914235672</v>
      </c>
      <c r="M49" s="87">
        <v>7118.1813169364341</v>
      </c>
      <c r="N49" s="87">
        <v>6538.8536960645552</v>
      </c>
      <c r="O49" s="87">
        <v>6171.4473262255151</v>
      </c>
      <c r="P49" s="87">
        <v>5930.6993267733997</v>
      </c>
      <c r="Q49" s="87">
        <v>6034.1180543520522</v>
      </c>
      <c r="R49" s="87">
        <v>6089.7626003058413</v>
      </c>
      <c r="S49" s="87">
        <v>6290.0613783517083</v>
      </c>
      <c r="T49" s="87">
        <v>6502.8537876572909</v>
      </c>
      <c r="U49" s="87">
        <v>6315.9837216946889</v>
      </c>
      <c r="V49" s="87">
        <v>5852.1773651156409</v>
      </c>
      <c r="W49" s="87">
        <v>5977.0035233046374</v>
      </c>
      <c r="DA49" s="171" t="s">
        <v>492</v>
      </c>
    </row>
    <row r="50" spans="1:105" ht="11.45" customHeight="1" x14ac:dyDescent="0.25">
      <c r="A50" s="111" t="s">
        <v>112</v>
      </c>
      <c r="B50" s="87">
        <v>1.8851073117006643</v>
      </c>
      <c r="C50" s="87">
        <v>2.1173574821897128</v>
      </c>
      <c r="D50" s="87">
        <v>2.2599434343911504</v>
      </c>
      <c r="E50" s="87">
        <v>2.0999732070715482</v>
      </c>
      <c r="F50" s="87">
        <v>2.0199968491900986</v>
      </c>
      <c r="G50" s="87">
        <v>1.7179416381626036</v>
      </c>
      <c r="H50" s="87">
        <v>1.4385449047341028</v>
      </c>
      <c r="I50" s="87">
        <v>1.2235146777396206</v>
      </c>
      <c r="J50" s="87">
        <v>1.0156453895757789</v>
      </c>
      <c r="K50" s="87">
        <v>0.795025304932091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4.6084840336757544</v>
      </c>
      <c r="R51" s="87">
        <v>4.8668399319014295</v>
      </c>
      <c r="S51" s="87">
        <v>5.1878949850715221</v>
      </c>
      <c r="T51" s="87">
        <v>5.1228200657046736</v>
      </c>
      <c r="U51" s="87">
        <v>4.9071247065961963</v>
      </c>
      <c r="V51" s="87">
        <v>4.4942032079056373</v>
      </c>
      <c r="W51" s="87">
        <v>4.4257513255796761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0.19930806069940152</v>
      </c>
      <c r="O52" s="87">
        <v>0.6637966032875311</v>
      </c>
      <c r="P52" s="87">
        <v>0.5135769354579901</v>
      </c>
      <c r="Q52" s="87">
        <v>6.0516050350812822</v>
      </c>
      <c r="R52" s="87">
        <v>6.5090775990005483</v>
      </c>
      <c r="S52" s="87">
        <v>7.7940860955082876</v>
      </c>
      <c r="T52" s="87">
        <v>8.0295729442755484</v>
      </c>
      <c r="U52" s="87">
        <v>10.693323138093724</v>
      </c>
      <c r="V52" s="87">
        <v>16.409317579681048</v>
      </c>
      <c r="W52" s="87">
        <v>37.717541009155539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1686.0337937805443</v>
      </c>
      <c r="C53" s="116">
        <f t="shared" ref="C53:V53" si="116">SUM(C54:C55)</f>
        <v>1744.9447975092462</v>
      </c>
      <c r="D53" s="116">
        <f t="shared" si="116"/>
        <v>1741.1239471950853</v>
      </c>
      <c r="E53" s="116">
        <f t="shared" si="116"/>
        <v>1846.3572198025211</v>
      </c>
      <c r="F53" s="116">
        <f t="shared" si="116"/>
        <v>1837.3102134457617</v>
      </c>
      <c r="G53" s="116">
        <f t="shared" si="116"/>
        <v>1836.1969444187723</v>
      </c>
      <c r="H53" s="116">
        <f t="shared" si="116"/>
        <v>1936.8697653185602</v>
      </c>
      <c r="I53" s="116">
        <f t="shared" si="116"/>
        <v>2003.7000855370943</v>
      </c>
      <c r="J53" s="116">
        <f t="shared" si="116"/>
        <v>2063.0157522270702</v>
      </c>
      <c r="K53" s="116">
        <f t="shared" si="116"/>
        <v>1778.4844274231941</v>
      </c>
      <c r="L53" s="116">
        <f t="shared" si="116"/>
        <v>1766.4767844427708</v>
      </c>
      <c r="M53" s="116">
        <f t="shared" si="116"/>
        <v>1810.7821230155082</v>
      </c>
      <c r="N53" s="116">
        <f t="shared" si="116"/>
        <v>1827.7509333497924</v>
      </c>
      <c r="O53" s="116">
        <f t="shared" si="116"/>
        <v>1866.9239807597837</v>
      </c>
      <c r="P53" s="116">
        <f t="shared" si="116"/>
        <v>1862.9998167521214</v>
      </c>
      <c r="Q53" s="116">
        <f t="shared" si="116"/>
        <v>1823.0003998595785</v>
      </c>
      <c r="R53" s="116">
        <f t="shared" si="116"/>
        <v>1891.8065980338254</v>
      </c>
      <c r="S53" s="116">
        <f t="shared" si="116"/>
        <v>1838.4013526370006</v>
      </c>
      <c r="T53" s="116">
        <f t="shared" si="116"/>
        <v>1767.8091636628587</v>
      </c>
      <c r="U53" s="116">
        <f t="shared" si="116"/>
        <v>1794.3722404888267</v>
      </c>
      <c r="V53" s="116">
        <f t="shared" si="116"/>
        <v>1857.8288957967293</v>
      </c>
      <c r="W53" s="116">
        <f t="shared" ref="W53" si="117">SUM(W54:W55)</f>
        <v>1893.6354015836191</v>
      </c>
      <c r="DA53" s="176" t="s">
        <v>496</v>
      </c>
    </row>
    <row r="54" spans="1:105" ht="11.45" customHeight="1" x14ac:dyDescent="0.25">
      <c r="A54" s="128" t="s">
        <v>27</v>
      </c>
      <c r="B54" s="101">
        <v>1396</v>
      </c>
      <c r="C54" s="101">
        <v>1434</v>
      </c>
      <c r="D54" s="101">
        <v>1414</v>
      </c>
      <c r="E54" s="101">
        <v>1512</v>
      </c>
      <c r="F54" s="101">
        <v>1442</v>
      </c>
      <c r="G54" s="101">
        <v>1427</v>
      </c>
      <c r="H54" s="101">
        <v>1497</v>
      </c>
      <c r="I54" s="101">
        <v>1537</v>
      </c>
      <c r="J54" s="101">
        <v>1474</v>
      </c>
      <c r="K54" s="101">
        <v>1275</v>
      </c>
      <c r="L54" s="101">
        <v>1296</v>
      </c>
      <c r="M54" s="101">
        <v>1357</v>
      </c>
      <c r="N54" s="101">
        <v>1382</v>
      </c>
      <c r="O54" s="101">
        <v>1365</v>
      </c>
      <c r="P54" s="101">
        <v>1398</v>
      </c>
      <c r="Q54" s="101">
        <v>1352</v>
      </c>
      <c r="R54" s="101">
        <v>1349</v>
      </c>
      <c r="S54" s="101">
        <v>1285</v>
      </c>
      <c r="T54" s="101">
        <v>1257</v>
      </c>
      <c r="U54" s="101">
        <v>1277</v>
      </c>
      <c r="V54" s="101">
        <v>1296</v>
      </c>
      <c r="W54" s="101">
        <v>1327</v>
      </c>
      <c r="DA54" s="175" t="s">
        <v>497</v>
      </c>
    </row>
    <row r="55" spans="1:105" ht="11.45" customHeight="1" x14ac:dyDescent="0.25">
      <c r="A55" s="138" t="s">
        <v>116</v>
      </c>
      <c r="B55" s="88">
        <v>290.03379378054439</v>
      </c>
      <c r="C55" s="88">
        <v>310.94479750924609</v>
      </c>
      <c r="D55" s="88">
        <v>327.12394719508535</v>
      </c>
      <c r="E55" s="88">
        <v>334.35721980252106</v>
      </c>
      <c r="F55" s="88">
        <v>395.31021344576163</v>
      </c>
      <c r="G55" s="88">
        <v>409.19694441877226</v>
      </c>
      <c r="H55" s="88">
        <v>439.86976531856016</v>
      </c>
      <c r="I55" s="88">
        <v>466.7000855370942</v>
      </c>
      <c r="J55" s="88">
        <v>589.01575222707027</v>
      </c>
      <c r="K55" s="88">
        <v>503.48442742319412</v>
      </c>
      <c r="L55" s="88">
        <v>470.47678444277091</v>
      </c>
      <c r="M55" s="88">
        <v>453.78212301550815</v>
      </c>
      <c r="N55" s="88">
        <v>445.75093334979226</v>
      </c>
      <c r="O55" s="88">
        <v>501.92398075978383</v>
      </c>
      <c r="P55" s="88">
        <v>464.99981675212149</v>
      </c>
      <c r="Q55" s="88">
        <v>471.00039985957852</v>
      </c>
      <c r="R55" s="88">
        <v>542.80659803382537</v>
      </c>
      <c r="S55" s="88">
        <v>553.40135263700063</v>
      </c>
      <c r="T55" s="88">
        <v>510.80916366285874</v>
      </c>
      <c r="U55" s="88">
        <v>517.37224048882661</v>
      </c>
      <c r="V55" s="88">
        <v>561.82889579672928</v>
      </c>
      <c r="W55" s="88">
        <v>566.635401583619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2384364</v>
      </c>
      <c r="C57" s="54">
        <f t="shared" si="118"/>
        <v>2419553</v>
      </c>
      <c r="D57" s="54">
        <f t="shared" si="118"/>
        <v>2449909</v>
      </c>
      <c r="E57" s="54">
        <f t="shared" si="118"/>
        <v>2472138</v>
      </c>
      <c r="F57" s="54">
        <f t="shared" si="118"/>
        <v>2523216</v>
      </c>
      <c r="G57" s="54">
        <f t="shared" si="118"/>
        <v>2616030</v>
      </c>
      <c r="H57" s="54">
        <f t="shared" si="118"/>
        <v>2724787</v>
      </c>
      <c r="I57" s="54">
        <f t="shared" si="118"/>
        <v>2814541</v>
      </c>
      <c r="J57" s="54">
        <f t="shared" si="118"/>
        <v>2849275</v>
      </c>
      <c r="K57" s="54">
        <f t="shared" si="118"/>
        <v>2847696</v>
      </c>
      <c r="L57" s="54">
        <f t="shared" ref="L57" si="119">L58+L73</f>
        <v>2870057</v>
      </c>
      <c r="M57" s="54">
        <f t="shared" ref="M57:V57" si="120">M58+M73</f>
        <v>2884803</v>
      </c>
      <c r="N57" s="54">
        <f t="shared" si="120"/>
        <v>2912330</v>
      </c>
      <c r="O57" s="54">
        <f t="shared" si="120"/>
        <v>2937785</v>
      </c>
      <c r="P57" s="54">
        <f t="shared" si="120"/>
        <v>2983624</v>
      </c>
      <c r="Q57" s="54">
        <f t="shared" si="120"/>
        <v>3021872</v>
      </c>
      <c r="R57" s="54">
        <f t="shared" si="120"/>
        <v>3020802</v>
      </c>
      <c r="S57" s="54">
        <f t="shared" si="120"/>
        <v>3135747</v>
      </c>
      <c r="T57" s="54">
        <f t="shared" si="120"/>
        <v>3248161</v>
      </c>
      <c r="U57" s="54">
        <f t="shared" si="120"/>
        <v>3296103</v>
      </c>
      <c r="V57" s="54">
        <f t="shared" si="120"/>
        <v>3385558</v>
      </c>
      <c r="W57" s="54">
        <f t="shared" ref="W57" si="121">W58+W73</f>
        <v>3418588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2006338</v>
      </c>
      <c r="C58" s="28">
        <f t="shared" si="122"/>
        <v>2032950</v>
      </c>
      <c r="D58" s="28">
        <f t="shared" si="122"/>
        <v>2053598</v>
      </c>
      <c r="E58" s="28">
        <f t="shared" si="122"/>
        <v>2064891</v>
      </c>
      <c r="F58" s="28">
        <f t="shared" si="122"/>
        <v>2092493</v>
      </c>
      <c r="G58" s="28">
        <f t="shared" si="122"/>
        <v>2151381</v>
      </c>
      <c r="H58" s="28">
        <f t="shared" si="122"/>
        <v>2219046</v>
      </c>
      <c r="I58" s="28">
        <f t="shared" si="122"/>
        <v>2280676</v>
      </c>
      <c r="J58" s="28">
        <f t="shared" si="122"/>
        <v>2318898</v>
      </c>
      <c r="K58" s="28">
        <f t="shared" si="122"/>
        <v>2340695</v>
      </c>
      <c r="L58" s="28">
        <f t="shared" ref="L58" si="123">L59+L60+L67</f>
        <v>2383952</v>
      </c>
      <c r="M58" s="28">
        <f t="shared" ref="M58:V58" si="124">M59+M60+M67</f>
        <v>2414111</v>
      </c>
      <c r="N58" s="28">
        <f t="shared" si="124"/>
        <v>2451074</v>
      </c>
      <c r="O58" s="28">
        <f t="shared" si="124"/>
        <v>2490322</v>
      </c>
      <c r="P58" s="28">
        <f t="shared" si="124"/>
        <v>2541065</v>
      </c>
      <c r="Q58" s="28">
        <f t="shared" si="124"/>
        <v>2581495</v>
      </c>
      <c r="R58" s="28">
        <f t="shared" si="124"/>
        <v>2577512</v>
      </c>
      <c r="S58" s="28">
        <f t="shared" si="124"/>
        <v>2693334</v>
      </c>
      <c r="T58" s="28">
        <f t="shared" si="124"/>
        <v>2812035</v>
      </c>
      <c r="U58" s="28">
        <f t="shared" si="124"/>
        <v>2868836</v>
      </c>
      <c r="V58" s="28">
        <f t="shared" si="124"/>
        <v>2961459</v>
      </c>
      <c r="W58" s="28">
        <f t="shared" ref="W58" si="125">W59+W60+W67</f>
        <v>2996425</v>
      </c>
      <c r="DA58" s="173" t="s">
        <v>500</v>
      </c>
    </row>
    <row r="59" spans="1:105" ht="11.45" customHeight="1" x14ac:dyDescent="0.25">
      <c r="A59" s="136" t="s">
        <v>180</v>
      </c>
      <c r="B59" s="137">
        <v>138310</v>
      </c>
      <c r="C59" s="137">
        <v>146365</v>
      </c>
      <c r="D59" s="137">
        <v>151322</v>
      </c>
      <c r="E59" s="137">
        <v>155740</v>
      </c>
      <c r="F59" s="137">
        <v>162128</v>
      </c>
      <c r="G59" s="137">
        <v>171917</v>
      </c>
      <c r="H59" s="137">
        <v>184036</v>
      </c>
      <c r="I59" s="137">
        <v>197177</v>
      </c>
      <c r="J59" s="137">
        <v>204770</v>
      </c>
      <c r="K59" s="137">
        <v>205239</v>
      </c>
      <c r="L59" s="137">
        <v>203608</v>
      </c>
      <c r="M59" s="137">
        <v>200597</v>
      </c>
      <c r="N59" s="137">
        <v>199243</v>
      </c>
      <c r="O59" s="137">
        <v>198076</v>
      </c>
      <c r="P59" s="137">
        <v>197512</v>
      </c>
      <c r="Q59" s="137">
        <v>198035</v>
      </c>
      <c r="R59" s="137">
        <v>197500</v>
      </c>
      <c r="S59" s="137">
        <v>198000</v>
      </c>
      <c r="T59" s="137">
        <v>199227</v>
      </c>
      <c r="U59" s="137">
        <v>194254</v>
      </c>
      <c r="V59" s="137">
        <v>195856</v>
      </c>
      <c r="W59" s="137">
        <v>196938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1854060</v>
      </c>
      <c r="C60" s="110">
        <f t="shared" si="126"/>
        <v>1872631</v>
      </c>
      <c r="D60" s="110">
        <f t="shared" si="126"/>
        <v>1888290</v>
      </c>
      <c r="E60" s="110">
        <f t="shared" si="126"/>
        <v>1895019</v>
      </c>
      <c r="F60" s="110">
        <f t="shared" si="126"/>
        <v>1916174</v>
      </c>
      <c r="G60" s="110">
        <f t="shared" si="126"/>
        <v>1965062.0000000002</v>
      </c>
      <c r="H60" s="110">
        <f t="shared" si="126"/>
        <v>2020457.9999999998</v>
      </c>
      <c r="I60" s="110">
        <f t="shared" si="126"/>
        <v>2069016.9999999998</v>
      </c>
      <c r="J60" s="110">
        <f t="shared" si="126"/>
        <v>2099676</v>
      </c>
      <c r="K60" s="110">
        <f t="shared" si="126"/>
        <v>2120946</v>
      </c>
      <c r="L60" s="110">
        <f t="shared" ref="L60" si="127">SUM(L61:L66)</f>
        <v>2165848</v>
      </c>
      <c r="M60" s="110">
        <f t="shared" ref="M60:V60" si="128">SUM(M61:M66)</f>
        <v>2199500</v>
      </c>
      <c r="N60" s="110">
        <f t="shared" si="128"/>
        <v>2238346</v>
      </c>
      <c r="O60" s="110">
        <f t="shared" si="128"/>
        <v>2278976</v>
      </c>
      <c r="P60" s="110">
        <f t="shared" si="128"/>
        <v>2330145</v>
      </c>
      <c r="Q60" s="110">
        <f t="shared" si="128"/>
        <v>2370077</v>
      </c>
      <c r="R60" s="110">
        <f t="shared" si="128"/>
        <v>2366635</v>
      </c>
      <c r="S60" s="110">
        <f t="shared" si="128"/>
        <v>2481852</v>
      </c>
      <c r="T60" s="110">
        <f t="shared" si="128"/>
        <v>2599650</v>
      </c>
      <c r="U60" s="110">
        <f t="shared" si="128"/>
        <v>2661579</v>
      </c>
      <c r="V60" s="110">
        <f t="shared" si="128"/>
        <v>2753305</v>
      </c>
      <c r="W60" s="110">
        <f t="shared" ref="W60" si="129">SUM(W61:W66)</f>
        <v>2787564</v>
      </c>
      <c r="DA60" s="176" t="s">
        <v>502</v>
      </c>
    </row>
    <row r="61" spans="1:105" ht="11.45" customHeight="1" x14ac:dyDescent="0.25">
      <c r="A61" s="111" t="s">
        <v>110</v>
      </c>
      <c r="B61" s="84">
        <v>1730094</v>
      </c>
      <c r="C61" s="84">
        <v>1730499</v>
      </c>
      <c r="D61" s="84">
        <v>1731299</v>
      </c>
      <c r="E61" s="84">
        <v>1731699</v>
      </c>
      <c r="F61" s="84">
        <v>1731701</v>
      </c>
      <c r="G61" s="84">
        <v>1731953.0000000002</v>
      </c>
      <c r="H61" s="84">
        <v>1747295.9999999998</v>
      </c>
      <c r="I61" s="84">
        <v>1711180.9999999998</v>
      </c>
      <c r="J61" s="84">
        <v>1680820</v>
      </c>
      <c r="K61" s="84">
        <v>1654583</v>
      </c>
      <c r="L61" s="84">
        <v>1632782</v>
      </c>
      <c r="M61" s="84">
        <v>1612286</v>
      </c>
      <c r="N61" s="84">
        <v>1587898</v>
      </c>
      <c r="O61" s="84">
        <v>1563578</v>
      </c>
      <c r="P61" s="84">
        <v>1538209</v>
      </c>
      <c r="Q61" s="84">
        <v>1496991</v>
      </c>
      <c r="R61" s="84">
        <v>1598304</v>
      </c>
      <c r="S61" s="84">
        <v>1683628</v>
      </c>
      <c r="T61" s="84">
        <v>1767014</v>
      </c>
      <c r="U61" s="84">
        <v>1809468</v>
      </c>
      <c r="V61" s="84">
        <v>1861499</v>
      </c>
      <c r="W61" s="84">
        <v>1864745</v>
      </c>
      <c r="DA61" s="171" t="s">
        <v>503</v>
      </c>
    </row>
    <row r="62" spans="1:105" ht="11.45" customHeight="1" x14ac:dyDescent="0.25">
      <c r="A62" s="111" t="s">
        <v>111</v>
      </c>
      <c r="B62" s="84">
        <v>116561</v>
      </c>
      <c r="C62" s="84">
        <v>134693</v>
      </c>
      <c r="D62" s="84">
        <v>149921</v>
      </c>
      <c r="E62" s="84">
        <v>157150</v>
      </c>
      <c r="F62" s="84">
        <v>178770</v>
      </c>
      <c r="G62" s="84">
        <v>227940</v>
      </c>
      <c r="H62" s="84">
        <v>268503</v>
      </c>
      <c r="I62" s="84">
        <v>353639</v>
      </c>
      <c r="J62" s="84">
        <v>415308</v>
      </c>
      <c r="K62" s="84">
        <v>463634</v>
      </c>
      <c r="L62" s="84">
        <v>533015</v>
      </c>
      <c r="M62" s="84">
        <v>586748</v>
      </c>
      <c r="N62" s="84">
        <v>649478</v>
      </c>
      <c r="O62" s="84">
        <v>713920</v>
      </c>
      <c r="P62" s="84">
        <v>788825</v>
      </c>
      <c r="Q62" s="84">
        <v>858072</v>
      </c>
      <c r="R62" s="84">
        <v>758782</v>
      </c>
      <c r="S62" s="84">
        <v>787394</v>
      </c>
      <c r="T62" s="84">
        <v>816903</v>
      </c>
      <c r="U62" s="84">
        <v>826922</v>
      </c>
      <c r="V62" s="84">
        <v>833963</v>
      </c>
      <c r="W62" s="84">
        <v>789786</v>
      </c>
      <c r="DA62" s="171" t="s">
        <v>504</v>
      </c>
    </row>
    <row r="63" spans="1:105" ht="11.45" customHeight="1" x14ac:dyDescent="0.25">
      <c r="A63" s="111" t="s">
        <v>112</v>
      </c>
      <c r="B63" s="84">
        <v>7405</v>
      </c>
      <c r="C63" s="84">
        <v>7439</v>
      </c>
      <c r="D63" s="84">
        <v>7070</v>
      </c>
      <c r="E63" s="84">
        <v>6170</v>
      </c>
      <c r="F63" s="84">
        <v>5703</v>
      </c>
      <c r="G63" s="84">
        <v>5169</v>
      </c>
      <c r="H63" s="84">
        <v>4659</v>
      </c>
      <c r="I63" s="84">
        <v>4197</v>
      </c>
      <c r="J63" s="84">
        <v>3548</v>
      </c>
      <c r="K63" s="84">
        <v>2698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36</v>
      </c>
      <c r="R64" s="84">
        <v>93</v>
      </c>
      <c r="S64" s="84">
        <v>175</v>
      </c>
      <c r="T64" s="84">
        <v>309</v>
      </c>
      <c r="U64" s="84">
        <v>446</v>
      </c>
      <c r="V64" s="84">
        <v>578</v>
      </c>
      <c r="W64" s="84">
        <v>708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33</v>
      </c>
      <c r="O65" s="84">
        <v>44</v>
      </c>
      <c r="P65" s="84">
        <v>144</v>
      </c>
      <c r="Q65" s="84">
        <v>7487</v>
      </c>
      <c r="R65" s="84">
        <v>770</v>
      </c>
      <c r="S65" s="84">
        <v>1223</v>
      </c>
      <c r="T65" s="84">
        <v>4526</v>
      </c>
      <c r="U65" s="84">
        <v>8412</v>
      </c>
      <c r="V65" s="84">
        <v>26749</v>
      </c>
      <c r="W65" s="84">
        <v>69205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31</v>
      </c>
      <c r="L66" s="84">
        <v>51</v>
      </c>
      <c r="M66" s="84">
        <v>466</v>
      </c>
      <c r="N66" s="84">
        <v>937</v>
      </c>
      <c r="O66" s="84">
        <v>1434</v>
      </c>
      <c r="P66" s="84">
        <v>2967</v>
      </c>
      <c r="Q66" s="84">
        <v>7491</v>
      </c>
      <c r="R66" s="84">
        <v>8686</v>
      </c>
      <c r="S66" s="84">
        <v>9432</v>
      </c>
      <c r="T66" s="84">
        <v>10898</v>
      </c>
      <c r="U66" s="84">
        <v>16331</v>
      </c>
      <c r="V66" s="84">
        <v>30516</v>
      </c>
      <c r="W66" s="84">
        <v>63120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13968</v>
      </c>
      <c r="C67" s="110">
        <f t="shared" si="130"/>
        <v>13954</v>
      </c>
      <c r="D67" s="110">
        <f t="shared" si="130"/>
        <v>13986</v>
      </c>
      <c r="E67" s="110">
        <f t="shared" si="130"/>
        <v>14132</v>
      </c>
      <c r="F67" s="110">
        <f t="shared" si="130"/>
        <v>14191</v>
      </c>
      <c r="G67" s="110">
        <f t="shared" si="130"/>
        <v>14402</v>
      </c>
      <c r="H67" s="110">
        <f t="shared" si="130"/>
        <v>14552</v>
      </c>
      <c r="I67" s="110">
        <f t="shared" si="130"/>
        <v>14482</v>
      </c>
      <c r="J67" s="110">
        <f t="shared" si="130"/>
        <v>14452</v>
      </c>
      <c r="K67" s="110">
        <f t="shared" si="130"/>
        <v>14510</v>
      </c>
      <c r="L67" s="110">
        <f t="shared" ref="L67" si="131">SUM(L68:L72)</f>
        <v>14496</v>
      </c>
      <c r="M67" s="110">
        <f t="shared" ref="M67:V67" si="132">SUM(M68:M72)</f>
        <v>14014</v>
      </c>
      <c r="N67" s="110">
        <f t="shared" si="132"/>
        <v>13485</v>
      </c>
      <c r="O67" s="110">
        <f t="shared" si="132"/>
        <v>13270</v>
      </c>
      <c r="P67" s="110">
        <f t="shared" si="132"/>
        <v>13408</v>
      </c>
      <c r="Q67" s="110">
        <f t="shared" si="132"/>
        <v>13383</v>
      </c>
      <c r="R67" s="110">
        <f t="shared" si="132"/>
        <v>13377</v>
      </c>
      <c r="S67" s="110">
        <f t="shared" si="132"/>
        <v>13482</v>
      </c>
      <c r="T67" s="110">
        <f t="shared" si="132"/>
        <v>13158</v>
      </c>
      <c r="U67" s="110">
        <f t="shared" si="132"/>
        <v>13003</v>
      </c>
      <c r="V67" s="110">
        <f t="shared" si="132"/>
        <v>12298</v>
      </c>
      <c r="W67" s="110">
        <f t="shared" ref="W67" si="133">SUM(W68:W72)</f>
        <v>11923</v>
      </c>
      <c r="DA67" s="176" t="s">
        <v>509</v>
      </c>
    </row>
    <row r="68" spans="1:105" ht="11.45" customHeight="1" x14ac:dyDescent="0.25">
      <c r="A68" s="111" t="s">
        <v>110</v>
      </c>
      <c r="B68" s="102">
        <v>1589</v>
      </c>
      <c r="C68" s="102">
        <v>1589</v>
      </c>
      <c r="D68" s="102">
        <v>1577</v>
      </c>
      <c r="E68" s="102">
        <v>1003</v>
      </c>
      <c r="F68" s="102">
        <v>825</v>
      </c>
      <c r="G68" s="102">
        <v>762</v>
      </c>
      <c r="H68" s="102">
        <v>747</v>
      </c>
      <c r="I68" s="102">
        <v>717</v>
      </c>
      <c r="J68" s="102">
        <v>699</v>
      </c>
      <c r="K68" s="102">
        <v>679</v>
      </c>
      <c r="L68" s="102">
        <v>657</v>
      </c>
      <c r="M68" s="102">
        <v>639</v>
      </c>
      <c r="N68" s="102">
        <v>622</v>
      </c>
      <c r="O68" s="102">
        <v>662</v>
      </c>
      <c r="P68" s="102">
        <v>595</v>
      </c>
      <c r="Q68" s="102">
        <v>529</v>
      </c>
      <c r="R68" s="102">
        <v>478</v>
      </c>
      <c r="S68" s="102">
        <v>437</v>
      </c>
      <c r="T68" s="102">
        <v>396</v>
      </c>
      <c r="U68" s="102">
        <v>363</v>
      </c>
      <c r="V68" s="102">
        <v>328</v>
      </c>
      <c r="W68" s="102">
        <v>309</v>
      </c>
      <c r="DA68" s="175" t="s">
        <v>510</v>
      </c>
    </row>
    <row r="69" spans="1:105" ht="11.45" customHeight="1" x14ac:dyDescent="0.25">
      <c r="A69" s="111" t="s">
        <v>111</v>
      </c>
      <c r="B69" s="102">
        <v>12379</v>
      </c>
      <c r="C69" s="102">
        <v>12365</v>
      </c>
      <c r="D69" s="102">
        <v>12409</v>
      </c>
      <c r="E69" s="102">
        <v>13129</v>
      </c>
      <c r="F69" s="102">
        <v>13366</v>
      </c>
      <c r="G69" s="102">
        <v>13640</v>
      </c>
      <c r="H69" s="102">
        <v>13805</v>
      </c>
      <c r="I69" s="102">
        <v>13765</v>
      </c>
      <c r="J69" s="102">
        <v>13753</v>
      </c>
      <c r="K69" s="102">
        <v>13831</v>
      </c>
      <c r="L69" s="102">
        <v>13839</v>
      </c>
      <c r="M69" s="102">
        <v>13375</v>
      </c>
      <c r="N69" s="102">
        <v>12863</v>
      </c>
      <c r="O69" s="102">
        <v>12608</v>
      </c>
      <c r="P69" s="102">
        <v>12813</v>
      </c>
      <c r="Q69" s="102">
        <v>12821</v>
      </c>
      <c r="R69" s="102">
        <v>12820</v>
      </c>
      <c r="S69" s="102">
        <v>12883</v>
      </c>
      <c r="T69" s="102">
        <v>12598</v>
      </c>
      <c r="U69" s="102">
        <v>12376</v>
      </c>
      <c r="V69" s="102">
        <v>11688</v>
      </c>
      <c r="W69" s="102">
        <v>11107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33</v>
      </c>
      <c r="R71" s="102">
        <v>73</v>
      </c>
      <c r="S71" s="102">
        <v>154</v>
      </c>
      <c r="T71" s="102">
        <v>154</v>
      </c>
      <c r="U71" s="102">
        <v>154</v>
      </c>
      <c r="V71" s="102">
        <v>169</v>
      </c>
      <c r="W71" s="102">
        <v>170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6</v>
      </c>
      <c r="S72" s="102">
        <v>8</v>
      </c>
      <c r="T72" s="102">
        <v>10</v>
      </c>
      <c r="U72" s="102">
        <v>110</v>
      </c>
      <c r="V72" s="102">
        <v>113</v>
      </c>
      <c r="W72" s="102">
        <v>337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378026</v>
      </c>
      <c r="C73" s="28">
        <f t="shared" si="134"/>
        <v>386603</v>
      </c>
      <c r="D73" s="28">
        <f t="shared" si="134"/>
        <v>396311</v>
      </c>
      <c r="E73" s="28">
        <f t="shared" si="134"/>
        <v>407247</v>
      </c>
      <c r="F73" s="28">
        <f t="shared" si="134"/>
        <v>430723</v>
      </c>
      <c r="G73" s="28">
        <f t="shared" si="134"/>
        <v>464649</v>
      </c>
      <c r="H73" s="28">
        <f t="shared" si="134"/>
        <v>505741</v>
      </c>
      <c r="I73" s="28">
        <f t="shared" si="134"/>
        <v>533865</v>
      </c>
      <c r="J73" s="28">
        <f t="shared" si="134"/>
        <v>530377</v>
      </c>
      <c r="K73" s="28">
        <f t="shared" si="134"/>
        <v>507001</v>
      </c>
      <c r="L73" s="28">
        <f t="shared" ref="L73" si="135">L74+L80</f>
        <v>486105</v>
      </c>
      <c r="M73" s="28">
        <f t="shared" ref="M73:V73" si="136">M74+M80</f>
        <v>470692</v>
      </c>
      <c r="N73" s="28">
        <f t="shared" si="136"/>
        <v>461256</v>
      </c>
      <c r="O73" s="28">
        <f t="shared" si="136"/>
        <v>447463</v>
      </c>
      <c r="P73" s="28">
        <f t="shared" si="136"/>
        <v>442559</v>
      </c>
      <c r="Q73" s="28">
        <f t="shared" si="136"/>
        <v>440377</v>
      </c>
      <c r="R73" s="28">
        <f t="shared" si="136"/>
        <v>443290</v>
      </c>
      <c r="S73" s="28">
        <f t="shared" si="136"/>
        <v>442413</v>
      </c>
      <c r="T73" s="28">
        <f t="shared" si="136"/>
        <v>436126</v>
      </c>
      <c r="U73" s="28">
        <f t="shared" si="136"/>
        <v>427267</v>
      </c>
      <c r="V73" s="28">
        <f t="shared" si="136"/>
        <v>424099</v>
      </c>
      <c r="W73" s="28">
        <f t="shared" ref="W73" si="137">W74+W80</f>
        <v>422163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338279</v>
      </c>
      <c r="C74" s="137">
        <f t="shared" si="138"/>
        <v>345061</v>
      </c>
      <c r="D74" s="137">
        <f t="shared" si="138"/>
        <v>353421</v>
      </c>
      <c r="E74" s="137">
        <f t="shared" si="138"/>
        <v>363707</v>
      </c>
      <c r="F74" s="137">
        <f t="shared" si="138"/>
        <v>385132</v>
      </c>
      <c r="G74" s="137">
        <f t="shared" si="138"/>
        <v>413192</v>
      </c>
      <c r="H74" s="137">
        <f t="shared" si="138"/>
        <v>452034</v>
      </c>
      <c r="I74" s="137">
        <f t="shared" si="138"/>
        <v>474292</v>
      </c>
      <c r="J74" s="137">
        <f t="shared" si="138"/>
        <v>470672</v>
      </c>
      <c r="K74" s="137">
        <f t="shared" si="138"/>
        <v>452138</v>
      </c>
      <c r="L74" s="137">
        <f t="shared" ref="L74" si="139">SUM(L75:L79)</f>
        <v>431723</v>
      </c>
      <c r="M74" s="137">
        <f t="shared" ref="M74:V74" si="140">SUM(M75:M79)</f>
        <v>417607</v>
      </c>
      <c r="N74" s="137">
        <f t="shared" si="140"/>
        <v>408998</v>
      </c>
      <c r="O74" s="137">
        <f t="shared" si="140"/>
        <v>395568</v>
      </c>
      <c r="P74" s="137">
        <f t="shared" si="140"/>
        <v>391228</v>
      </c>
      <c r="Q74" s="137">
        <f t="shared" si="140"/>
        <v>395654</v>
      </c>
      <c r="R74" s="137">
        <f t="shared" si="140"/>
        <v>397001</v>
      </c>
      <c r="S74" s="137">
        <f t="shared" si="140"/>
        <v>395548</v>
      </c>
      <c r="T74" s="137">
        <f t="shared" si="140"/>
        <v>389461</v>
      </c>
      <c r="U74" s="137">
        <f t="shared" si="140"/>
        <v>380175</v>
      </c>
      <c r="V74" s="137">
        <f t="shared" si="140"/>
        <v>376435</v>
      </c>
      <c r="W74" s="137">
        <f t="shared" ref="W74" si="141">SUM(W75:W79)</f>
        <v>373470</v>
      </c>
      <c r="DA74" s="174" t="s">
        <v>516</v>
      </c>
    </row>
    <row r="75" spans="1:105" ht="11.45" customHeight="1" x14ac:dyDescent="0.25">
      <c r="A75" s="111" t="s">
        <v>110</v>
      </c>
      <c r="B75" s="84">
        <v>70493</v>
      </c>
      <c r="C75" s="84">
        <v>70493</v>
      </c>
      <c r="D75" s="84">
        <v>70493</v>
      </c>
      <c r="E75" s="84">
        <v>70495</v>
      </c>
      <c r="F75" s="84">
        <v>70511</v>
      </c>
      <c r="G75" s="84">
        <v>70672</v>
      </c>
      <c r="H75" s="84">
        <v>72306</v>
      </c>
      <c r="I75" s="84">
        <v>65680</v>
      </c>
      <c r="J75" s="84">
        <v>61322</v>
      </c>
      <c r="K75" s="84">
        <v>56777</v>
      </c>
      <c r="L75" s="84">
        <v>51196</v>
      </c>
      <c r="M75" s="84">
        <v>48160</v>
      </c>
      <c r="N75" s="84">
        <v>43922</v>
      </c>
      <c r="O75" s="84">
        <v>39684</v>
      </c>
      <c r="P75" s="84">
        <v>35446</v>
      </c>
      <c r="Q75" s="84">
        <v>31403</v>
      </c>
      <c r="R75" s="84">
        <v>29854</v>
      </c>
      <c r="S75" s="84">
        <v>27980</v>
      </c>
      <c r="T75" s="84">
        <v>25922</v>
      </c>
      <c r="U75" s="84">
        <v>23952</v>
      </c>
      <c r="V75" s="84">
        <v>23040</v>
      </c>
      <c r="W75" s="84">
        <v>22470</v>
      </c>
      <c r="DA75" s="171" t="s">
        <v>517</v>
      </c>
    </row>
    <row r="76" spans="1:105" ht="11.45" customHeight="1" x14ac:dyDescent="0.25">
      <c r="A76" s="111" t="s">
        <v>111</v>
      </c>
      <c r="B76" s="84">
        <v>267586</v>
      </c>
      <c r="C76" s="84">
        <v>274350</v>
      </c>
      <c r="D76" s="84">
        <v>282693</v>
      </c>
      <c r="E76" s="84">
        <v>293000</v>
      </c>
      <c r="F76" s="84">
        <v>314430</v>
      </c>
      <c r="G76" s="84">
        <v>342349</v>
      </c>
      <c r="H76" s="84">
        <v>379576</v>
      </c>
      <c r="I76" s="84">
        <v>408482</v>
      </c>
      <c r="J76" s="84">
        <v>409245</v>
      </c>
      <c r="K76" s="84">
        <v>395278</v>
      </c>
      <c r="L76" s="84">
        <v>380527</v>
      </c>
      <c r="M76" s="84">
        <v>369447</v>
      </c>
      <c r="N76" s="84">
        <v>365060</v>
      </c>
      <c r="O76" s="84">
        <v>355831</v>
      </c>
      <c r="P76" s="84">
        <v>355741</v>
      </c>
      <c r="Q76" s="84">
        <v>363338</v>
      </c>
      <c r="R76" s="84">
        <v>366177</v>
      </c>
      <c r="S76" s="84">
        <v>366455</v>
      </c>
      <c r="T76" s="84">
        <v>362411</v>
      </c>
      <c r="U76" s="84">
        <v>354898</v>
      </c>
      <c r="V76" s="84">
        <v>351593</v>
      </c>
      <c r="W76" s="84">
        <v>347556</v>
      </c>
      <c r="DA76" s="171" t="s">
        <v>518</v>
      </c>
    </row>
    <row r="77" spans="1:105" ht="11.45" customHeight="1" x14ac:dyDescent="0.25">
      <c r="A77" s="111" t="s">
        <v>112</v>
      </c>
      <c r="B77" s="84">
        <v>200</v>
      </c>
      <c r="C77" s="84">
        <v>218</v>
      </c>
      <c r="D77" s="84">
        <v>235</v>
      </c>
      <c r="E77" s="84">
        <v>212</v>
      </c>
      <c r="F77" s="84">
        <v>191</v>
      </c>
      <c r="G77" s="84">
        <v>171</v>
      </c>
      <c r="H77" s="84">
        <v>152</v>
      </c>
      <c r="I77" s="84">
        <v>130</v>
      </c>
      <c r="J77" s="84">
        <v>105</v>
      </c>
      <c r="K77" s="84">
        <v>83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430</v>
      </c>
      <c r="R78" s="84">
        <v>450</v>
      </c>
      <c r="S78" s="84">
        <v>490</v>
      </c>
      <c r="T78" s="84">
        <v>486</v>
      </c>
      <c r="U78" s="84">
        <v>470</v>
      </c>
      <c r="V78" s="84">
        <v>452</v>
      </c>
      <c r="W78" s="84">
        <v>426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16</v>
      </c>
      <c r="O79" s="84">
        <v>53</v>
      </c>
      <c r="P79" s="84">
        <v>41</v>
      </c>
      <c r="Q79" s="84">
        <v>483</v>
      </c>
      <c r="R79" s="84">
        <v>520</v>
      </c>
      <c r="S79" s="84">
        <v>623</v>
      </c>
      <c r="T79" s="84">
        <v>642</v>
      </c>
      <c r="U79" s="84">
        <v>855</v>
      </c>
      <c r="V79" s="84">
        <v>1350</v>
      </c>
      <c r="W79" s="84">
        <v>3018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39747</v>
      </c>
      <c r="C80" s="110">
        <f t="shared" si="142"/>
        <v>41542</v>
      </c>
      <c r="D80" s="110">
        <f t="shared" si="142"/>
        <v>42890</v>
      </c>
      <c r="E80" s="110">
        <f t="shared" si="142"/>
        <v>43540</v>
      </c>
      <c r="F80" s="110">
        <f t="shared" si="142"/>
        <v>45591</v>
      </c>
      <c r="G80" s="110">
        <f t="shared" si="142"/>
        <v>51457</v>
      </c>
      <c r="H80" s="110">
        <f t="shared" si="142"/>
        <v>53707</v>
      </c>
      <c r="I80" s="110">
        <f t="shared" si="142"/>
        <v>59573</v>
      </c>
      <c r="J80" s="110">
        <f t="shared" si="142"/>
        <v>59705</v>
      </c>
      <c r="K80" s="110">
        <f t="shared" si="142"/>
        <v>54863</v>
      </c>
      <c r="L80" s="110">
        <f t="shared" ref="L80" si="143">SUM(L81:L82)</f>
        <v>54382</v>
      </c>
      <c r="M80" s="110">
        <f t="shared" ref="M80:V80" si="144">SUM(M81:M82)</f>
        <v>53085</v>
      </c>
      <c r="N80" s="110">
        <f t="shared" si="144"/>
        <v>52258</v>
      </c>
      <c r="O80" s="110">
        <f t="shared" si="144"/>
        <v>51895</v>
      </c>
      <c r="P80" s="110">
        <f t="shared" si="144"/>
        <v>51331</v>
      </c>
      <c r="Q80" s="110">
        <f t="shared" si="144"/>
        <v>44723</v>
      </c>
      <c r="R80" s="110">
        <f t="shared" si="144"/>
        <v>46289</v>
      </c>
      <c r="S80" s="110">
        <f t="shared" si="144"/>
        <v>46865</v>
      </c>
      <c r="T80" s="110">
        <f t="shared" si="144"/>
        <v>46665</v>
      </c>
      <c r="U80" s="110">
        <f t="shared" si="144"/>
        <v>47092</v>
      </c>
      <c r="V80" s="110">
        <f t="shared" si="144"/>
        <v>47664</v>
      </c>
      <c r="W80" s="110">
        <f t="shared" ref="W80" si="145">SUM(W81:W82)</f>
        <v>48693</v>
      </c>
      <c r="DA80" s="176" t="s">
        <v>522</v>
      </c>
    </row>
    <row r="81" spans="1:105" ht="11.45" customHeight="1" x14ac:dyDescent="0.25">
      <c r="A81" s="128" t="s">
        <v>27</v>
      </c>
      <c r="B81" s="102">
        <v>36335</v>
      </c>
      <c r="C81" s="102">
        <v>37884</v>
      </c>
      <c r="D81" s="102">
        <v>39041</v>
      </c>
      <c r="E81" s="102">
        <v>39606</v>
      </c>
      <c r="F81" s="102">
        <v>40940</v>
      </c>
      <c r="G81" s="102">
        <v>46643</v>
      </c>
      <c r="H81" s="102">
        <v>48532</v>
      </c>
      <c r="I81" s="102">
        <v>54082</v>
      </c>
      <c r="J81" s="102">
        <v>52775</v>
      </c>
      <c r="K81" s="102">
        <v>48940</v>
      </c>
      <c r="L81" s="102">
        <v>48847</v>
      </c>
      <c r="M81" s="102">
        <v>47746</v>
      </c>
      <c r="N81" s="102">
        <v>47014</v>
      </c>
      <c r="O81" s="102">
        <v>45990</v>
      </c>
      <c r="P81" s="102">
        <v>45860</v>
      </c>
      <c r="Q81" s="102">
        <v>39182</v>
      </c>
      <c r="R81" s="102">
        <v>39903</v>
      </c>
      <c r="S81" s="102">
        <v>40354</v>
      </c>
      <c r="T81" s="102">
        <v>40655</v>
      </c>
      <c r="U81" s="102">
        <v>41005</v>
      </c>
      <c r="V81" s="102">
        <v>41054</v>
      </c>
      <c r="W81" s="102">
        <v>42027</v>
      </c>
      <c r="DA81" s="175" t="s">
        <v>523</v>
      </c>
    </row>
    <row r="82" spans="1:105" ht="11.45" customHeight="1" x14ac:dyDescent="0.25">
      <c r="A82" s="138" t="s">
        <v>116</v>
      </c>
      <c r="B82" s="86">
        <v>3412</v>
      </c>
      <c r="C82" s="86">
        <v>3658</v>
      </c>
      <c r="D82" s="86">
        <v>3849</v>
      </c>
      <c r="E82" s="86">
        <v>3934</v>
      </c>
      <c r="F82" s="86">
        <v>4651</v>
      </c>
      <c r="G82" s="86">
        <v>4814</v>
      </c>
      <c r="H82" s="86">
        <v>5175</v>
      </c>
      <c r="I82" s="86">
        <v>5491</v>
      </c>
      <c r="J82" s="86">
        <v>6930</v>
      </c>
      <c r="K82" s="86">
        <v>5923</v>
      </c>
      <c r="L82" s="86">
        <v>5535</v>
      </c>
      <c r="M82" s="86">
        <v>5339</v>
      </c>
      <c r="N82" s="86">
        <v>5244</v>
      </c>
      <c r="O82" s="86">
        <v>5905</v>
      </c>
      <c r="P82" s="86">
        <v>5471</v>
      </c>
      <c r="Q82" s="86">
        <v>5541</v>
      </c>
      <c r="R82" s="86">
        <v>6386</v>
      </c>
      <c r="S82" s="86">
        <v>6511</v>
      </c>
      <c r="T82" s="86">
        <v>6010</v>
      </c>
      <c r="U82" s="86">
        <v>6087</v>
      </c>
      <c r="V82" s="86">
        <v>6610</v>
      </c>
      <c r="W82" s="86">
        <v>6666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2384364</v>
      </c>
      <c r="C84" s="54">
        <f t="shared" si="146"/>
        <v>2419553</v>
      </c>
      <c r="D84" s="54">
        <f t="shared" ref="D84:V84" si="147">D85+D100</f>
        <v>2449909</v>
      </c>
      <c r="E84" s="54">
        <f t="shared" si="147"/>
        <v>2472138</v>
      </c>
      <c r="F84" s="54">
        <f t="shared" si="147"/>
        <v>2523216</v>
      </c>
      <c r="G84" s="54">
        <f t="shared" si="147"/>
        <v>2616030</v>
      </c>
      <c r="H84" s="54">
        <f t="shared" si="147"/>
        <v>2724787</v>
      </c>
      <c r="I84" s="54">
        <f t="shared" si="147"/>
        <v>2814541</v>
      </c>
      <c r="J84" s="54">
        <f t="shared" si="147"/>
        <v>2849275</v>
      </c>
      <c r="K84" s="54">
        <f t="shared" si="147"/>
        <v>2847696</v>
      </c>
      <c r="L84" s="54">
        <f t="shared" si="147"/>
        <v>2870057</v>
      </c>
      <c r="M84" s="54">
        <f t="shared" si="147"/>
        <v>2884803</v>
      </c>
      <c r="N84" s="54">
        <f t="shared" si="147"/>
        <v>2912330</v>
      </c>
      <c r="O84" s="54">
        <f t="shared" si="147"/>
        <v>2937785</v>
      </c>
      <c r="P84" s="54">
        <f t="shared" si="147"/>
        <v>2983624</v>
      </c>
      <c r="Q84" s="54">
        <f t="shared" si="147"/>
        <v>3021872</v>
      </c>
      <c r="R84" s="54">
        <f t="shared" si="147"/>
        <v>3020802</v>
      </c>
      <c r="S84" s="54">
        <f t="shared" si="147"/>
        <v>3135747</v>
      </c>
      <c r="T84" s="54">
        <f t="shared" si="147"/>
        <v>3248161</v>
      </c>
      <c r="U84" s="54">
        <f t="shared" si="147"/>
        <v>3296103</v>
      </c>
      <c r="V84" s="54">
        <f t="shared" si="147"/>
        <v>3385558</v>
      </c>
      <c r="W84" s="54">
        <f t="shared" ref="W84" si="148">W85+W100</f>
        <v>3418588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2006338</v>
      </c>
      <c r="C85" s="28">
        <f t="shared" si="149"/>
        <v>2032950</v>
      </c>
      <c r="D85" s="28">
        <f t="shared" ref="D85:V85" si="150">D86+D87+D94</f>
        <v>2053598</v>
      </c>
      <c r="E85" s="28">
        <f t="shared" si="150"/>
        <v>2064891</v>
      </c>
      <c r="F85" s="28">
        <f t="shared" si="150"/>
        <v>2092493</v>
      </c>
      <c r="G85" s="28">
        <f t="shared" si="150"/>
        <v>2151381</v>
      </c>
      <c r="H85" s="28">
        <f t="shared" si="150"/>
        <v>2219046</v>
      </c>
      <c r="I85" s="28">
        <f t="shared" si="150"/>
        <v>2280676</v>
      </c>
      <c r="J85" s="28">
        <f t="shared" si="150"/>
        <v>2318898</v>
      </c>
      <c r="K85" s="28">
        <f t="shared" si="150"/>
        <v>2340695</v>
      </c>
      <c r="L85" s="28">
        <f t="shared" si="150"/>
        <v>2383952</v>
      </c>
      <c r="M85" s="28">
        <f t="shared" si="150"/>
        <v>2414111</v>
      </c>
      <c r="N85" s="28">
        <f t="shared" si="150"/>
        <v>2451074</v>
      </c>
      <c r="O85" s="28">
        <f t="shared" si="150"/>
        <v>2490322</v>
      </c>
      <c r="P85" s="28">
        <f t="shared" si="150"/>
        <v>2541065</v>
      </c>
      <c r="Q85" s="28">
        <f t="shared" si="150"/>
        <v>2581495</v>
      </c>
      <c r="R85" s="28">
        <f t="shared" si="150"/>
        <v>2577512</v>
      </c>
      <c r="S85" s="28">
        <f t="shared" si="150"/>
        <v>2693334</v>
      </c>
      <c r="T85" s="28">
        <f t="shared" si="150"/>
        <v>2812035</v>
      </c>
      <c r="U85" s="28">
        <f t="shared" si="150"/>
        <v>2868836</v>
      </c>
      <c r="V85" s="28">
        <f t="shared" si="150"/>
        <v>2961459</v>
      </c>
      <c r="W85" s="28">
        <f t="shared" ref="W85" si="151">W86+W87+W94</f>
        <v>2996425</v>
      </c>
      <c r="DA85" s="173"/>
    </row>
    <row r="86" spans="1:105" ht="11.45" hidden="1" customHeight="1" x14ac:dyDescent="0.25">
      <c r="A86" s="136" t="s">
        <v>180</v>
      </c>
      <c r="B86" s="137">
        <v>138310</v>
      </c>
      <c r="C86" s="137">
        <v>146365</v>
      </c>
      <c r="D86" s="137">
        <v>151322</v>
      </c>
      <c r="E86" s="137">
        <v>155740</v>
      </c>
      <c r="F86" s="137">
        <v>162128</v>
      </c>
      <c r="G86" s="137">
        <v>171917</v>
      </c>
      <c r="H86" s="137">
        <v>184036</v>
      </c>
      <c r="I86" s="137">
        <v>197177</v>
      </c>
      <c r="J86" s="137">
        <v>204770</v>
      </c>
      <c r="K86" s="137">
        <v>205239</v>
      </c>
      <c r="L86" s="137">
        <v>203608</v>
      </c>
      <c r="M86" s="137">
        <v>200597</v>
      </c>
      <c r="N86" s="137">
        <v>199243</v>
      </c>
      <c r="O86" s="137">
        <v>198076</v>
      </c>
      <c r="P86" s="137">
        <v>197512</v>
      </c>
      <c r="Q86" s="137">
        <v>198035</v>
      </c>
      <c r="R86" s="137">
        <v>197500</v>
      </c>
      <c r="S86" s="137">
        <v>198000</v>
      </c>
      <c r="T86" s="137">
        <v>199227</v>
      </c>
      <c r="U86" s="137">
        <v>194254</v>
      </c>
      <c r="V86" s="137">
        <v>195856</v>
      </c>
      <c r="W86" s="137">
        <v>196938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1854060</v>
      </c>
      <c r="C87" s="110">
        <f t="shared" si="152"/>
        <v>1872631</v>
      </c>
      <c r="D87" s="110">
        <f t="shared" ref="D87:V87" si="153">SUM(D88:D93)</f>
        <v>1888290</v>
      </c>
      <c r="E87" s="110">
        <f t="shared" si="153"/>
        <v>1895019</v>
      </c>
      <c r="F87" s="110">
        <f t="shared" si="153"/>
        <v>1916174</v>
      </c>
      <c r="G87" s="110">
        <f t="shared" si="153"/>
        <v>1965062.0000000002</v>
      </c>
      <c r="H87" s="110">
        <f t="shared" si="153"/>
        <v>2020457.9999999998</v>
      </c>
      <c r="I87" s="110">
        <f t="shared" si="153"/>
        <v>2069016.9999999998</v>
      </c>
      <c r="J87" s="110">
        <f t="shared" si="153"/>
        <v>2099676</v>
      </c>
      <c r="K87" s="110">
        <f t="shared" si="153"/>
        <v>2120946</v>
      </c>
      <c r="L87" s="110">
        <f t="shared" si="153"/>
        <v>2165848</v>
      </c>
      <c r="M87" s="110">
        <f t="shared" si="153"/>
        <v>2199500</v>
      </c>
      <c r="N87" s="110">
        <f t="shared" si="153"/>
        <v>2238346</v>
      </c>
      <c r="O87" s="110">
        <f t="shared" si="153"/>
        <v>2278976</v>
      </c>
      <c r="P87" s="110">
        <f t="shared" si="153"/>
        <v>2330145</v>
      </c>
      <c r="Q87" s="110">
        <f t="shared" si="153"/>
        <v>2370077</v>
      </c>
      <c r="R87" s="110">
        <f t="shared" si="153"/>
        <v>2366635</v>
      </c>
      <c r="S87" s="110">
        <f t="shared" si="153"/>
        <v>2481852</v>
      </c>
      <c r="T87" s="110">
        <f t="shared" si="153"/>
        <v>2599650</v>
      </c>
      <c r="U87" s="110">
        <f t="shared" si="153"/>
        <v>2661579</v>
      </c>
      <c r="V87" s="110">
        <f t="shared" si="153"/>
        <v>2753305</v>
      </c>
      <c r="W87" s="110">
        <f t="shared" ref="W87" si="154">SUM(W88:W93)</f>
        <v>2787564</v>
      </c>
      <c r="DA87" s="176"/>
    </row>
    <row r="88" spans="1:105" ht="11.45" hidden="1" customHeight="1" x14ac:dyDescent="0.25">
      <c r="A88" s="111" t="s">
        <v>110</v>
      </c>
      <c r="B88" s="84">
        <v>1730094</v>
      </c>
      <c r="C88" s="84">
        <v>1730499</v>
      </c>
      <c r="D88" s="84">
        <v>1731299</v>
      </c>
      <c r="E88" s="84">
        <v>1731699</v>
      </c>
      <c r="F88" s="84">
        <v>1731701</v>
      </c>
      <c r="G88" s="84">
        <v>1731953.0000000002</v>
      </c>
      <c r="H88" s="84">
        <v>1747295.9999999998</v>
      </c>
      <c r="I88" s="84">
        <v>1711180.9999999998</v>
      </c>
      <c r="J88" s="84">
        <v>1680820</v>
      </c>
      <c r="K88" s="84">
        <v>1654583</v>
      </c>
      <c r="L88" s="84">
        <v>1632782</v>
      </c>
      <c r="M88" s="84">
        <v>1612286</v>
      </c>
      <c r="N88" s="84">
        <v>1587898</v>
      </c>
      <c r="O88" s="84">
        <v>1563578</v>
      </c>
      <c r="P88" s="84">
        <v>1538209</v>
      </c>
      <c r="Q88" s="84">
        <v>1496991</v>
      </c>
      <c r="R88" s="84">
        <v>1598304</v>
      </c>
      <c r="S88" s="84">
        <v>1683628</v>
      </c>
      <c r="T88" s="84">
        <v>1767014</v>
      </c>
      <c r="U88" s="84">
        <v>1809468</v>
      </c>
      <c r="V88" s="84">
        <v>1861499</v>
      </c>
      <c r="W88" s="84">
        <v>1864745</v>
      </c>
      <c r="DA88" s="171"/>
    </row>
    <row r="89" spans="1:105" ht="11.45" hidden="1" customHeight="1" x14ac:dyDescent="0.25">
      <c r="A89" s="111" t="s">
        <v>111</v>
      </c>
      <c r="B89" s="84">
        <v>116561</v>
      </c>
      <c r="C89" s="84">
        <v>134693</v>
      </c>
      <c r="D89" s="84">
        <v>149921</v>
      </c>
      <c r="E89" s="84">
        <v>157150</v>
      </c>
      <c r="F89" s="84">
        <v>178770</v>
      </c>
      <c r="G89" s="84">
        <v>227940</v>
      </c>
      <c r="H89" s="84">
        <v>268503</v>
      </c>
      <c r="I89" s="84">
        <v>353639</v>
      </c>
      <c r="J89" s="84">
        <v>415308</v>
      </c>
      <c r="K89" s="84">
        <v>463634</v>
      </c>
      <c r="L89" s="84">
        <v>533015</v>
      </c>
      <c r="M89" s="84">
        <v>586748</v>
      </c>
      <c r="N89" s="84">
        <v>649478</v>
      </c>
      <c r="O89" s="84">
        <v>713920</v>
      </c>
      <c r="P89" s="84">
        <v>788825</v>
      </c>
      <c r="Q89" s="84">
        <v>858072</v>
      </c>
      <c r="R89" s="84">
        <v>758782</v>
      </c>
      <c r="S89" s="84">
        <v>787394</v>
      </c>
      <c r="T89" s="84">
        <v>816903</v>
      </c>
      <c r="U89" s="84">
        <v>826922</v>
      </c>
      <c r="V89" s="84">
        <v>833963</v>
      </c>
      <c r="W89" s="84">
        <v>789786</v>
      </c>
      <c r="DA89" s="171"/>
    </row>
    <row r="90" spans="1:105" ht="11.45" hidden="1" customHeight="1" x14ac:dyDescent="0.25">
      <c r="A90" s="111" t="s">
        <v>112</v>
      </c>
      <c r="B90" s="84">
        <v>7405</v>
      </c>
      <c r="C90" s="84">
        <v>7439</v>
      </c>
      <c r="D90" s="84">
        <v>7070</v>
      </c>
      <c r="E90" s="84">
        <v>6170</v>
      </c>
      <c r="F90" s="84">
        <v>5703</v>
      </c>
      <c r="G90" s="84">
        <v>5169</v>
      </c>
      <c r="H90" s="84">
        <v>4659</v>
      </c>
      <c r="I90" s="84">
        <v>4197</v>
      </c>
      <c r="J90" s="84">
        <v>3548</v>
      </c>
      <c r="K90" s="84">
        <v>2698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0</v>
      </c>
      <c r="U90" s="84">
        <v>0</v>
      </c>
      <c r="V90" s="84">
        <v>0</v>
      </c>
      <c r="W90" s="84">
        <v>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36</v>
      </c>
      <c r="R91" s="84">
        <v>93</v>
      </c>
      <c r="S91" s="84">
        <v>175</v>
      </c>
      <c r="T91" s="84">
        <v>309</v>
      </c>
      <c r="U91" s="84">
        <v>446</v>
      </c>
      <c r="V91" s="84">
        <v>578</v>
      </c>
      <c r="W91" s="84">
        <v>708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33</v>
      </c>
      <c r="O92" s="84">
        <v>44</v>
      </c>
      <c r="P92" s="84">
        <v>144</v>
      </c>
      <c r="Q92" s="84">
        <v>7487</v>
      </c>
      <c r="R92" s="84">
        <v>770</v>
      </c>
      <c r="S92" s="84">
        <v>1223</v>
      </c>
      <c r="T92" s="84">
        <v>4526</v>
      </c>
      <c r="U92" s="84">
        <v>8412</v>
      </c>
      <c r="V92" s="84">
        <v>26749</v>
      </c>
      <c r="W92" s="84">
        <v>69205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31</v>
      </c>
      <c r="L93" s="84">
        <v>51</v>
      </c>
      <c r="M93" s="84">
        <v>466</v>
      </c>
      <c r="N93" s="84">
        <v>937</v>
      </c>
      <c r="O93" s="84">
        <v>1434</v>
      </c>
      <c r="P93" s="84">
        <v>2967</v>
      </c>
      <c r="Q93" s="84">
        <v>7491</v>
      </c>
      <c r="R93" s="84">
        <v>8686</v>
      </c>
      <c r="S93" s="84">
        <v>9432</v>
      </c>
      <c r="T93" s="84">
        <v>10898</v>
      </c>
      <c r="U93" s="84">
        <v>16331</v>
      </c>
      <c r="V93" s="84">
        <v>30516</v>
      </c>
      <c r="W93" s="84">
        <v>63120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13968</v>
      </c>
      <c r="C94" s="110">
        <f t="shared" si="155"/>
        <v>13954</v>
      </c>
      <c r="D94" s="110">
        <f t="shared" ref="D94:V94" si="156">SUM(D95:D99)</f>
        <v>13986</v>
      </c>
      <c r="E94" s="110">
        <f t="shared" si="156"/>
        <v>14132</v>
      </c>
      <c r="F94" s="110">
        <f t="shared" si="156"/>
        <v>14191</v>
      </c>
      <c r="G94" s="110">
        <f t="shared" si="156"/>
        <v>14402</v>
      </c>
      <c r="H94" s="110">
        <f t="shared" si="156"/>
        <v>14552</v>
      </c>
      <c r="I94" s="110">
        <f t="shared" si="156"/>
        <v>14482</v>
      </c>
      <c r="J94" s="110">
        <f t="shared" si="156"/>
        <v>14452</v>
      </c>
      <c r="K94" s="110">
        <f t="shared" si="156"/>
        <v>14510</v>
      </c>
      <c r="L94" s="110">
        <f t="shared" si="156"/>
        <v>14496</v>
      </c>
      <c r="M94" s="110">
        <f t="shared" si="156"/>
        <v>14014</v>
      </c>
      <c r="N94" s="110">
        <f t="shared" si="156"/>
        <v>13485</v>
      </c>
      <c r="O94" s="110">
        <f t="shared" si="156"/>
        <v>13270</v>
      </c>
      <c r="P94" s="110">
        <f t="shared" si="156"/>
        <v>13408</v>
      </c>
      <c r="Q94" s="110">
        <f t="shared" si="156"/>
        <v>13383</v>
      </c>
      <c r="R94" s="110">
        <f t="shared" si="156"/>
        <v>13377</v>
      </c>
      <c r="S94" s="110">
        <f t="shared" si="156"/>
        <v>13482</v>
      </c>
      <c r="T94" s="110">
        <f t="shared" si="156"/>
        <v>13158</v>
      </c>
      <c r="U94" s="110">
        <f t="shared" si="156"/>
        <v>13003</v>
      </c>
      <c r="V94" s="110">
        <f t="shared" si="156"/>
        <v>12298</v>
      </c>
      <c r="W94" s="110">
        <f t="shared" ref="W94" si="157">SUM(W95:W99)</f>
        <v>11923</v>
      </c>
      <c r="DA94" s="176"/>
    </row>
    <row r="95" spans="1:105" ht="11.45" hidden="1" customHeight="1" x14ac:dyDescent="0.25">
      <c r="A95" s="111" t="s">
        <v>110</v>
      </c>
      <c r="B95" s="102">
        <v>1589</v>
      </c>
      <c r="C95" s="102">
        <v>1589</v>
      </c>
      <c r="D95" s="102">
        <v>1577</v>
      </c>
      <c r="E95" s="102">
        <v>1003</v>
      </c>
      <c r="F95" s="102">
        <v>825</v>
      </c>
      <c r="G95" s="102">
        <v>762</v>
      </c>
      <c r="H95" s="102">
        <v>747</v>
      </c>
      <c r="I95" s="102">
        <v>717</v>
      </c>
      <c r="J95" s="102">
        <v>699</v>
      </c>
      <c r="K95" s="102">
        <v>679</v>
      </c>
      <c r="L95" s="102">
        <v>657</v>
      </c>
      <c r="M95" s="102">
        <v>639</v>
      </c>
      <c r="N95" s="102">
        <v>622</v>
      </c>
      <c r="O95" s="102">
        <v>662</v>
      </c>
      <c r="P95" s="102">
        <v>595</v>
      </c>
      <c r="Q95" s="102">
        <v>529</v>
      </c>
      <c r="R95" s="102">
        <v>478</v>
      </c>
      <c r="S95" s="102">
        <v>437</v>
      </c>
      <c r="T95" s="102">
        <v>396</v>
      </c>
      <c r="U95" s="102">
        <v>363</v>
      </c>
      <c r="V95" s="102">
        <v>328</v>
      </c>
      <c r="W95" s="102">
        <v>309</v>
      </c>
      <c r="DA95" s="175"/>
    </row>
    <row r="96" spans="1:105" ht="11.45" hidden="1" customHeight="1" x14ac:dyDescent="0.25">
      <c r="A96" s="111" t="s">
        <v>111</v>
      </c>
      <c r="B96" s="102">
        <v>12379</v>
      </c>
      <c r="C96" s="102">
        <v>12365</v>
      </c>
      <c r="D96" s="102">
        <v>12409</v>
      </c>
      <c r="E96" s="102">
        <v>13129</v>
      </c>
      <c r="F96" s="102">
        <v>13366</v>
      </c>
      <c r="G96" s="102">
        <v>13640</v>
      </c>
      <c r="H96" s="102">
        <v>13805</v>
      </c>
      <c r="I96" s="102">
        <v>13765</v>
      </c>
      <c r="J96" s="102">
        <v>13753</v>
      </c>
      <c r="K96" s="102">
        <v>13831</v>
      </c>
      <c r="L96" s="102">
        <v>13839</v>
      </c>
      <c r="M96" s="102">
        <v>13375</v>
      </c>
      <c r="N96" s="102">
        <v>12863</v>
      </c>
      <c r="O96" s="102">
        <v>12608</v>
      </c>
      <c r="P96" s="102">
        <v>12813</v>
      </c>
      <c r="Q96" s="102">
        <v>12821</v>
      </c>
      <c r="R96" s="102">
        <v>12820</v>
      </c>
      <c r="S96" s="102">
        <v>12883</v>
      </c>
      <c r="T96" s="102">
        <v>12598</v>
      </c>
      <c r="U96" s="102">
        <v>12376</v>
      </c>
      <c r="V96" s="102">
        <v>11688</v>
      </c>
      <c r="W96" s="102">
        <v>11107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33</v>
      </c>
      <c r="R98" s="102">
        <v>73</v>
      </c>
      <c r="S98" s="102">
        <v>154</v>
      </c>
      <c r="T98" s="102">
        <v>154</v>
      </c>
      <c r="U98" s="102">
        <v>154</v>
      </c>
      <c r="V98" s="102">
        <v>169</v>
      </c>
      <c r="W98" s="102">
        <v>170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0</v>
      </c>
      <c r="R99" s="102">
        <v>6</v>
      </c>
      <c r="S99" s="102">
        <v>8</v>
      </c>
      <c r="T99" s="102">
        <v>10</v>
      </c>
      <c r="U99" s="102">
        <v>110</v>
      </c>
      <c r="V99" s="102">
        <v>113</v>
      </c>
      <c r="W99" s="102">
        <v>337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378026</v>
      </c>
      <c r="C100" s="28">
        <f t="shared" si="158"/>
        <v>386603</v>
      </c>
      <c r="D100" s="28">
        <f t="shared" ref="D100:V100" si="159">D101+D107</f>
        <v>396311</v>
      </c>
      <c r="E100" s="28">
        <f t="shared" si="159"/>
        <v>407247</v>
      </c>
      <c r="F100" s="28">
        <f t="shared" si="159"/>
        <v>430723</v>
      </c>
      <c r="G100" s="28">
        <f t="shared" si="159"/>
        <v>464649</v>
      </c>
      <c r="H100" s="28">
        <f t="shared" si="159"/>
        <v>505741</v>
      </c>
      <c r="I100" s="28">
        <f t="shared" si="159"/>
        <v>533865</v>
      </c>
      <c r="J100" s="28">
        <f t="shared" si="159"/>
        <v>530377</v>
      </c>
      <c r="K100" s="28">
        <f t="shared" si="159"/>
        <v>507001</v>
      </c>
      <c r="L100" s="28">
        <f t="shared" si="159"/>
        <v>486105</v>
      </c>
      <c r="M100" s="28">
        <f t="shared" si="159"/>
        <v>470692</v>
      </c>
      <c r="N100" s="28">
        <f t="shared" si="159"/>
        <v>461256</v>
      </c>
      <c r="O100" s="28">
        <f t="shared" si="159"/>
        <v>447463</v>
      </c>
      <c r="P100" s="28">
        <f t="shared" si="159"/>
        <v>442559</v>
      </c>
      <c r="Q100" s="28">
        <f t="shared" si="159"/>
        <v>440377</v>
      </c>
      <c r="R100" s="28">
        <f t="shared" si="159"/>
        <v>443290</v>
      </c>
      <c r="S100" s="28">
        <f t="shared" si="159"/>
        <v>442413</v>
      </c>
      <c r="T100" s="28">
        <f t="shared" si="159"/>
        <v>436126</v>
      </c>
      <c r="U100" s="28">
        <f t="shared" si="159"/>
        <v>427267</v>
      </c>
      <c r="V100" s="28">
        <f t="shared" si="159"/>
        <v>424099</v>
      </c>
      <c r="W100" s="28">
        <f t="shared" ref="W100" si="160">W101+W107</f>
        <v>422163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338279</v>
      </c>
      <c r="C101" s="137">
        <f t="shared" si="161"/>
        <v>345061</v>
      </c>
      <c r="D101" s="137">
        <f t="shared" ref="D101:V101" si="162">SUM(D102:D106)</f>
        <v>353421</v>
      </c>
      <c r="E101" s="137">
        <f t="shared" si="162"/>
        <v>363707</v>
      </c>
      <c r="F101" s="137">
        <f t="shared" si="162"/>
        <v>385132</v>
      </c>
      <c r="G101" s="137">
        <f t="shared" si="162"/>
        <v>413192</v>
      </c>
      <c r="H101" s="137">
        <f t="shared" si="162"/>
        <v>452034</v>
      </c>
      <c r="I101" s="137">
        <f t="shared" si="162"/>
        <v>474292</v>
      </c>
      <c r="J101" s="137">
        <f t="shared" si="162"/>
        <v>470672</v>
      </c>
      <c r="K101" s="137">
        <f t="shared" si="162"/>
        <v>452138</v>
      </c>
      <c r="L101" s="137">
        <f t="shared" si="162"/>
        <v>431723</v>
      </c>
      <c r="M101" s="137">
        <f t="shared" si="162"/>
        <v>417607</v>
      </c>
      <c r="N101" s="137">
        <f t="shared" si="162"/>
        <v>408998</v>
      </c>
      <c r="O101" s="137">
        <f t="shared" si="162"/>
        <v>395568</v>
      </c>
      <c r="P101" s="137">
        <f t="shared" si="162"/>
        <v>391228</v>
      </c>
      <c r="Q101" s="137">
        <f t="shared" si="162"/>
        <v>395654</v>
      </c>
      <c r="R101" s="137">
        <f t="shared" si="162"/>
        <v>397001</v>
      </c>
      <c r="S101" s="137">
        <f t="shared" si="162"/>
        <v>395548</v>
      </c>
      <c r="T101" s="137">
        <f t="shared" si="162"/>
        <v>389461</v>
      </c>
      <c r="U101" s="137">
        <f t="shared" si="162"/>
        <v>380175</v>
      </c>
      <c r="V101" s="137">
        <f t="shared" si="162"/>
        <v>376435</v>
      </c>
      <c r="W101" s="137">
        <f t="shared" ref="W101" si="163">SUM(W102:W106)</f>
        <v>373470</v>
      </c>
      <c r="DA101" s="174"/>
    </row>
    <row r="102" spans="1:105" ht="11.45" hidden="1" customHeight="1" x14ac:dyDescent="0.25">
      <c r="A102" s="111" t="s">
        <v>110</v>
      </c>
      <c r="B102" s="84">
        <v>70493</v>
      </c>
      <c r="C102" s="84">
        <v>70493</v>
      </c>
      <c r="D102" s="84">
        <v>70493</v>
      </c>
      <c r="E102" s="84">
        <v>70495</v>
      </c>
      <c r="F102" s="84">
        <v>70511</v>
      </c>
      <c r="G102" s="84">
        <v>70672</v>
      </c>
      <c r="H102" s="84">
        <v>72306</v>
      </c>
      <c r="I102" s="84">
        <v>65680</v>
      </c>
      <c r="J102" s="84">
        <v>61322</v>
      </c>
      <c r="K102" s="84">
        <v>56777</v>
      </c>
      <c r="L102" s="84">
        <v>51196</v>
      </c>
      <c r="M102" s="84">
        <v>48160</v>
      </c>
      <c r="N102" s="84">
        <v>43922</v>
      </c>
      <c r="O102" s="84">
        <v>39684</v>
      </c>
      <c r="P102" s="84">
        <v>35446</v>
      </c>
      <c r="Q102" s="84">
        <v>31403</v>
      </c>
      <c r="R102" s="84">
        <v>29854</v>
      </c>
      <c r="S102" s="84">
        <v>27980</v>
      </c>
      <c r="T102" s="84">
        <v>25922</v>
      </c>
      <c r="U102" s="84">
        <v>23952</v>
      </c>
      <c r="V102" s="84">
        <v>23040</v>
      </c>
      <c r="W102" s="84">
        <v>22470</v>
      </c>
      <c r="DA102" s="171"/>
    </row>
    <row r="103" spans="1:105" ht="11.45" hidden="1" customHeight="1" x14ac:dyDescent="0.25">
      <c r="A103" s="111" t="s">
        <v>111</v>
      </c>
      <c r="B103" s="84">
        <v>267586</v>
      </c>
      <c r="C103" s="84">
        <v>274350</v>
      </c>
      <c r="D103" s="84">
        <v>282693</v>
      </c>
      <c r="E103" s="84">
        <v>293000</v>
      </c>
      <c r="F103" s="84">
        <v>314430</v>
      </c>
      <c r="G103" s="84">
        <v>342349</v>
      </c>
      <c r="H103" s="84">
        <v>379576</v>
      </c>
      <c r="I103" s="84">
        <v>408482</v>
      </c>
      <c r="J103" s="84">
        <v>409245</v>
      </c>
      <c r="K103" s="84">
        <v>395278</v>
      </c>
      <c r="L103" s="84">
        <v>380527</v>
      </c>
      <c r="M103" s="84">
        <v>369447</v>
      </c>
      <c r="N103" s="84">
        <v>365060</v>
      </c>
      <c r="O103" s="84">
        <v>355831</v>
      </c>
      <c r="P103" s="84">
        <v>355741</v>
      </c>
      <c r="Q103" s="84">
        <v>363338</v>
      </c>
      <c r="R103" s="84">
        <v>366177</v>
      </c>
      <c r="S103" s="84">
        <v>366455</v>
      </c>
      <c r="T103" s="84">
        <v>362411</v>
      </c>
      <c r="U103" s="84">
        <v>354898</v>
      </c>
      <c r="V103" s="84">
        <v>351593</v>
      </c>
      <c r="W103" s="84">
        <v>347556</v>
      </c>
      <c r="DA103" s="171"/>
    </row>
    <row r="104" spans="1:105" ht="11.45" hidden="1" customHeight="1" x14ac:dyDescent="0.25">
      <c r="A104" s="111" t="s">
        <v>112</v>
      </c>
      <c r="B104" s="84">
        <v>200</v>
      </c>
      <c r="C104" s="84">
        <v>218</v>
      </c>
      <c r="D104" s="84">
        <v>235</v>
      </c>
      <c r="E104" s="84">
        <v>212</v>
      </c>
      <c r="F104" s="84">
        <v>191</v>
      </c>
      <c r="G104" s="84">
        <v>171</v>
      </c>
      <c r="H104" s="84">
        <v>152</v>
      </c>
      <c r="I104" s="84">
        <v>130</v>
      </c>
      <c r="J104" s="84">
        <v>105</v>
      </c>
      <c r="K104" s="84">
        <v>83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430</v>
      </c>
      <c r="R105" s="84">
        <v>450</v>
      </c>
      <c r="S105" s="84">
        <v>490</v>
      </c>
      <c r="T105" s="84">
        <v>486</v>
      </c>
      <c r="U105" s="84">
        <v>470</v>
      </c>
      <c r="V105" s="84">
        <v>452</v>
      </c>
      <c r="W105" s="84">
        <v>426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16</v>
      </c>
      <c r="O106" s="84">
        <v>53</v>
      </c>
      <c r="P106" s="84">
        <v>41</v>
      </c>
      <c r="Q106" s="84">
        <v>483</v>
      </c>
      <c r="R106" s="84">
        <v>520</v>
      </c>
      <c r="S106" s="84">
        <v>623</v>
      </c>
      <c r="T106" s="84">
        <v>642</v>
      </c>
      <c r="U106" s="84">
        <v>855</v>
      </c>
      <c r="V106" s="84">
        <v>1350</v>
      </c>
      <c r="W106" s="84">
        <v>3018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39747</v>
      </c>
      <c r="C107" s="110">
        <f t="shared" si="164"/>
        <v>41542</v>
      </c>
      <c r="D107" s="110">
        <f t="shared" ref="D107:V107" si="165">SUM(D108:D109)</f>
        <v>42890</v>
      </c>
      <c r="E107" s="110">
        <f t="shared" si="165"/>
        <v>43540</v>
      </c>
      <c r="F107" s="110">
        <f t="shared" si="165"/>
        <v>45591</v>
      </c>
      <c r="G107" s="110">
        <f t="shared" si="165"/>
        <v>51457</v>
      </c>
      <c r="H107" s="110">
        <f t="shared" si="165"/>
        <v>53707</v>
      </c>
      <c r="I107" s="110">
        <f t="shared" si="165"/>
        <v>59573</v>
      </c>
      <c r="J107" s="110">
        <f t="shared" si="165"/>
        <v>59705</v>
      </c>
      <c r="K107" s="110">
        <f t="shared" si="165"/>
        <v>54863</v>
      </c>
      <c r="L107" s="110">
        <f t="shared" si="165"/>
        <v>54382</v>
      </c>
      <c r="M107" s="110">
        <f t="shared" si="165"/>
        <v>53085</v>
      </c>
      <c r="N107" s="110">
        <f t="shared" si="165"/>
        <v>52258</v>
      </c>
      <c r="O107" s="110">
        <f t="shared" si="165"/>
        <v>51895</v>
      </c>
      <c r="P107" s="110">
        <f t="shared" si="165"/>
        <v>51331</v>
      </c>
      <c r="Q107" s="110">
        <f t="shared" si="165"/>
        <v>44723</v>
      </c>
      <c r="R107" s="110">
        <f t="shared" si="165"/>
        <v>46289</v>
      </c>
      <c r="S107" s="110">
        <f t="shared" si="165"/>
        <v>46865</v>
      </c>
      <c r="T107" s="110">
        <f t="shared" si="165"/>
        <v>46665</v>
      </c>
      <c r="U107" s="110">
        <f t="shared" si="165"/>
        <v>47092</v>
      </c>
      <c r="V107" s="110">
        <f t="shared" si="165"/>
        <v>47664</v>
      </c>
      <c r="W107" s="110">
        <f t="shared" ref="W107" si="166">SUM(W108:W109)</f>
        <v>48693</v>
      </c>
      <c r="DA107" s="176"/>
    </row>
    <row r="108" spans="1:105" ht="11.45" hidden="1" customHeight="1" x14ac:dyDescent="0.25">
      <c r="A108" s="128" t="s">
        <v>27</v>
      </c>
      <c r="B108" s="102">
        <v>36335</v>
      </c>
      <c r="C108" s="102">
        <v>37884</v>
      </c>
      <c r="D108" s="102">
        <v>39041</v>
      </c>
      <c r="E108" s="102">
        <v>39606</v>
      </c>
      <c r="F108" s="102">
        <v>40940</v>
      </c>
      <c r="G108" s="102">
        <v>46643</v>
      </c>
      <c r="H108" s="102">
        <v>48532</v>
      </c>
      <c r="I108" s="102">
        <v>54082</v>
      </c>
      <c r="J108" s="102">
        <v>52775</v>
      </c>
      <c r="K108" s="102">
        <v>48940</v>
      </c>
      <c r="L108" s="102">
        <v>48847</v>
      </c>
      <c r="M108" s="102">
        <v>47746</v>
      </c>
      <c r="N108" s="102">
        <v>47014</v>
      </c>
      <c r="O108" s="102">
        <v>45990</v>
      </c>
      <c r="P108" s="102">
        <v>45860</v>
      </c>
      <c r="Q108" s="102">
        <v>39182</v>
      </c>
      <c r="R108" s="102">
        <v>39903</v>
      </c>
      <c r="S108" s="102">
        <v>40354</v>
      </c>
      <c r="T108" s="102">
        <v>40655</v>
      </c>
      <c r="U108" s="102">
        <v>41005</v>
      </c>
      <c r="V108" s="102">
        <v>41054</v>
      </c>
      <c r="W108" s="102">
        <v>42027</v>
      </c>
      <c r="DA108" s="175"/>
    </row>
    <row r="109" spans="1:105" ht="11.45" hidden="1" customHeight="1" x14ac:dyDescent="0.25">
      <c r="A109" s="138" t="s">
        <v>116</v>
      </c>
      <c r="B109" s="86">
        <v>3412</v>
      </c>
      <c r="C109" s="86">
        <v>3658</v>
      </c>
      <c r="D109" s="86">
        <v>3849</v>
      </c>
      <c r="E109" s="86">
        <v>3934</v>
      </c>
      <c r="F109" s="86">
        <v>4651</v>
      </c>
      <c r="G109" s="86">
        <v>4814</v>
      </c>
      <c r="H109" s="86">
        <v>5175</v>
      </c>
      <c r="I109" s="86">
        <v>5491</v>
      </c>
      <c r="J109" s="86">
        <v>6930</v>
      </c>
      <c r="K109" s="86">
        <v>5923</v>
      </c>
      <c r="L109" s="86">
        <v>5535</v>
      </c>
      <c r="M109" s="86">
        <v>5339</v>
      </c>
      <c r="N109" s="86">
        <v>5244</v>
      </c>
      <c r="O109" s="86">
        <v>5905</v>
      </c>
      <c r="P109" s="86">
        <v>5471</v>
      </c>
      <c r="Q109" s="86">
        <v>5541</v>
      </c>
      <c r="R109" s="86">
        <v>6386</v>
      </c>
      <c r="S109" s="86">
        <v>6511</v>
      </c>
      <c r="T109" s="86">
        <v>6010</v>
      </c>
      <c r="U109" s="86">
        <v>6087</v>
      </c>
      <c r="V109" s="86">
        <v>6610</v>
      </c>
      <c r="W109" s="86">
        <v>6666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121644</v>
      </c>
      <c r="C111" s="54">
        <f t="shared" si="167"/>
        <v>171134</v>
      </c>
      <c r="D111" s="54">
        <f t="shared" si="167"/>
        <v>175179</v>
      </c>
      <c r="E111" s="54">
        <f t="shared" si="167"/>
        <v>153045</v>
      </c>
      <c r="F111" s="54">
        <f t="shared" si="167"/>
        <v>198030</v>
      </c>
      <c r="G111" s="54">
        <f t="shared" si="167"/>
        <v>255533</v>
      </c>
      <c r="H111" s="54">
        <f t="shared" si="167"/>
        <v>245360</v>
      </c>
      <c r="I111" s="54">
        <f t="shared" si="167"/>
        <v>311632</v>
      </c>
      <c r="J111" s="54">
        <f t="shared" si="167"/>
        <v>217330</v>
      </c>
      <c r="K111" s="54">
        <f t="shared" si="167"/>
        <v>159911</v>
      </c>
      <c r="L111" s="54">
        <f t="shared" ref="L111" si="168">L112+L127</f>
        <v>207167</v>
      </c>
      <c r="M111" s="54">
        <f t="shared" ref="M111:V111" si="169">M112+M127</f>
        <v>214164.00000000003</v>
      </c>
      <c r="N111" s="54">
        <f t="shared" si="169"/>
        <v>236105</v>
      </c>
      <c r="O111" s="54">
        <f t="shared" si="169"/>
        <v>245844.99999999997</v>
      </c>
      <c r="P111" s="54">
        <f t="shared" si="169"/>
        <v>274019</v>
      </c>
      <c r="Q111" s="54">
        <f t="shared" si="169"/>
        <v>275137</v>
      </c>
      <c r="R111" s="54">
        <f t="shared" si="169"/>
        <v>308973</v>
      </c>
      <c r="S111" s="54">
        <f t="shared" si="169"/>
        <v>294007</v>
      </c>
      <c r="T111" s="54">
        <f t="shared" si="169"/>
        <v>291915</v>
      </c>
      <c r="U111" s="54">
        <f t="shared" si="169"/>
        <v>299933</v>
      </c>
      <c r="V111" s="54">
        <f t="shared" si="169"/>
        <v>285441</v>
      </c>
      <c r="W111" s="54">
        <f t="shared" ref="W111" si="170">W112+W127</f>
        <v>313109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121303</v>
      </c>
      <c r="C112" s="28">
        <f t="shared" si="171"/>
        <v>119817</v>
      </c>
      <c r="D112" s="28">
        <f t="shared" si="171"/>
        <v>121633</v>
      </c>
      <c r="E112" s="28">
        <f t="shared" si="171"/>
        <v>100959</v>
      </c>
      <c r="F112" s="28">
        <f t="shared" si="171"/>
        <v>136263</v>
      </c>
      <c r="G112" s="28">
        <f t="shared" si="171"/>
        <v>187608</v>
      </c>
      <c r="H112" s="28">
        <f t="shared" si="171"/>
        <v>171698</v>
      </c>
      <c r="I112" s="28">
        <f t="shared" si="171"/>
        <v>247252</v>
      </c>
      <c r="J112" s="28">
        <f t="shared" si="171"/>
        <v>177187</v>
      </c>
      <c r="K112" s="28">
        <f t="shared" si="171"/>
        <v>130651.00000000001</v>
      </c>
      <c r="L112" s="28">
        <f t="shared" ref="L112" si="172">L113+L114+L121</f>
        <v>173736</v>
      </c>
      <c r="M112" s="28">
        <f t="shared" ref="M112:V112" si="173">M113+M114+M121</f>
        <v>168501.00000000003</v>
      </c>
      <c r="N112" s="28">
        <f t="shared" si="173"/>
        <v>180957</v>
      </c>
      <c r="O112" s="28">
        <f t="shared" si="173"/>
        <v>194772.99999999997</v>
      </c>
      <c r="P112" s="28">
        <f t="shared" si="173"/>
        <v>217983</v>
      </c>
      <c r="Q112" s="28">
        <f t="shared" si="173"/>
        <v>218465</v>
      </c>
      <c r="R112" s="28">
        <f t="shared" si="173"/>
        <v>246557</v>
      </c>
      <c r="S112" s="28">
        <f t="shared" si="173"/>
        <v>230335</v>
      </c>
      <c r="T112" s="28">
        <f t="shared" si="173"/>
        <v>231150</v>
      </c>
      <c r="U112" s="28">
        <f t="shared" si="173"/>
        <v>239455</v>
      </c>
      <c r="V112" s="28">
        <f t="shared" si="173"/>
        <v>228099</v>
      </c>
      <c r="W112" s="28">
        <f t="shared" ref="W112" si="174">W113+W114+W121</f>
        <v>254475</v>
      </c>
      <c r="DA112" s="173" t="s">
        <v>526</v>
      </c>
    </row>
    <row r="113" spans="1:105" ht="11.45" customHeight="1" x14ac:dyDescent="0.25">
      <c r="A113" s="136" t="s">
        <v>180</v>
      </c>
      <c r="B113" s="137">
        <v>6435</v>
      </c>
      <c r="C113" s="137">
        <v>19754</v>
      </c>
      <c r="D113" s="137">
        <v>13946</v>
      </c>
      <c r="E113" s="137">
        <v>13042</v>
      </c>
      <c r="F113" s="137">
        <v>17012</v>
      </c>
      <c r="G113" s="137">
        <v>23831</v>
      </c>
      <c r="H113" s="137">
        <v>28661</v>
      </c>
      <c r="I113" s="137">
        <v>31009</v>
      </c>
      <c r="J113" s="137">
        <v>20574</v>
      </c>
      <c r="K113" s="137">
        <v>7299</v>
      </c>
      <c r="L113" s="137">
        <v>5146</v>
      </c>
      <c r="M113" s="137">
        <v>3830</v>
      </c>
      <c r="N113" s="137">
        <v>3335</v>
      </c>
      <c r="O113" s="137">
        <v>3553</v>
      </c>
      <c r="P113" s="137">
        <v>4694</v>
      </c>
      <c r="Q113" s="137">
        <v>6798</v>
      </c>
      <c r="R113" s="137">
        <v>5825</v>
      </c>
      <c r="S113" s="137">
        <v>6753</v>
      </c>
      <c r="T113" s="137">
        <v>8184</v>
      </c>
      <c r="U113" s="137">
        <v>7980</v>
      </c>
      <c r="V113" s="137">
        <v>8046</v>
      </c>
      <c r="W113" s="137">
        <v>8090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113631</v>
      </c>
      <c r="C114" s="110">
        <f t="shared" si="175"/>
        <v>99005</v>
      </c>
      <c r="D114" s="110">
        <f t="shared" si="175"/>
        <v>106422</v>
      </c>
      <c r="E114" s="110">
        <f t="shared" si="175"/>
        <v>86697</v>
      </c>
      <c r="F114" s="110">
        <f t="shared" si="175"/>
        <v>117494</v>
      </c>
      <c r="G114" s="110">
        <f t="shared" si="175"/>
        <v>161334</v>
      </c>
      <c r="H114" s="110">
        <f t="shared" si="175"/>
        <v>139849</v>
      </c>
      <c r="I114" s="110">
        <f t="shared" si="175"/>
        <v>212331</v>
      </c>
      <c r="J114" s="110">
        <f t="shared" si="175"/>
        <v>155422</v>
      </c>
      <c r="K114" s="110">
        <f t="shared" si="175"/>
        <v>122240.00000000001</v>
      </c>
      <c r="L114" s="110">
        <f t="shared" ref="L114" si="176">SUM(L115:L120)</f>
        <v>167586</v>
      </c>
      <c r="M114" s="110">
        <f t="shared" ref="M114:V114" si="177">SUM(M115:M120)</f>
        <v>163869.00000000003</v>
      </c>
      <c r="N114" s="110">
        <f t="shared" si="177"/>
        <v>176858</v>
      </c>
      <c r="O114" s="110">
        <f t="shared" si="177"/>
        <v>190603.99999999997</v>
      </c>
      <c r="P114" s="110">
        <f t="shared" si="177"/>
        <v>212491</v>
      </c>
      <c r="Q114" s="110">
        <f t="shared" si="177"/>
        <v>210832</v>
      </c>
      <c r="R114" s="110">
        <f t="shared" si="177"/>
        <v>239693</v>
      </c>
      <c r="S114" s="110">
        <f t="shared" si="177"/>
        <v>222289</v>
      </c>
      <c r="T114" s="110">
        <f t="shared" si="177"/>
        <v>222204</v>
      </c>
      <c r="U114" s="110">
        <f t="shared" si="177"/>
        <v>230591</v>
      </c>
      <c r="V114" s="110">
        <f t="shared" si="177"/>
        <v>219613</v>
      </c>
      <c r="W114" s="110">
        <f t="shared" ref="W114" si="178">SUM(W115:W120)</f>
        <v>245639</v>
      </c>
      <c r="DA114" s="176" t="s">
        <v>528</v>
      </c>
    </row>
    <row r="115" spans="1:105" ht="11.45" customHeight="1" x14ac:dyDescent="0.25">
      <c r="A115" s="111" t="s">
        <v>110</v>
      </c>
      <c r="B115" s="84">
        <v>79476</v>
      </c>
      <c r="C115" s="84">
        <v>68759</v>
      </c>
      <c r="D115" s="84">
        <v>79538</v>
      </c>
      <c r="E115" s="84">
        <v>67812</v>
      </c>
      <c r="F115" s="84">
        <v>84994</v>
      </c>
      <c r="G115" s="84">
        <v>102028</v>
      </c>
      <c r="H115" s="84">
        <v>89639</v>
      </c>
      <c r="I115" s="84">
        <v>117219</v>
      </c>
      <c r="J115" s="84">
        <v>82188</v>
      </c>
      <c r="K115" s="84">
        <v>59670.000000000015</v>
      </c>
      <c r="L115" s="84">
        <v>80630</v>
      </c>
      <c r="M115" s="84">
        <v>88018.000000000029</v>
      </c>
      <c r="N115" s="84">
        <v>86591</v>
      </c>
      <c r="O115" s="84">
        <v>91853.999999999971</v>
      </c>
      <c r="P115" s="84">
        <v>94435</v>
      </c>
      <c r="Q115" s="84">
        <v>80469</v>
      </c>
      <c r="R115" s="84">
        <v>157595</v>
      </c>
      <c r="S115" s="84">
        <v>143286</v>
      </c>
      <c r="T115" s="84">
        <v>144700</v>
      </c>
      <c r="U115" s="84">
        <v>160422</v>
      </c>
      <c r="V115" s="84">
        <v>140061</v>
      </c>
      <c r="W115" s="84">
        <v>142267</v>
      </c>
      <c r="DA115" s="171" t="s">
        <v>529</v>
      </c>
    </row>
    <row r="116" spans="1:105" ht="11.45" customHeight="1" x14ac:dyDescent="0.25">
      <c r="A116" s="111" t="s">
        <v>111</v>
      </c>
      <c r="B116" s="84">
        <v>34155</v>
      </c>
      <c r="C116" s="84">
        <v>29788</v>
      </c>
      <c r="D116" s="84">
        <v>26884</v>
      </c>
      <c r="E116" s="84">
        <v>18885</v>
      </c>
      <c r="F116" s="84">
        <v>32500</v>
      </c>
      <c r="G116" s="84">
        <v>59306</v>
      </c>
      <c r="H116" s="84">
        <v>50210</v>
      </c>
      <c r="I116" s="84">
        <v>95112</v>
      </c>
      <c r="J116" s="84">
        <v>73234</v>
      </c>
      <c r="K116" s="84">
        <v>62539</v>
      </c>
      <c r="L116" s="84">
        <v>86936</v>
      </c>
      <c r="M116" s="84">
        <v>75436</v>
      </c>
      <c r="N116" s="84">
        <v>89762</v>
      </c>
      <c r="O116" s="84">
        <v>98206</v>
      </c>
      <c r="P116" s="84">
        <v>116387</v>
      </c>
      <c r="Q116" s="84">
        <v>118311</v>
      </c>
      <c r="R116" s="84">
        <v>80223</v>
      </c>
      <c r="S116" s="84">
        <v>77498</v>
      </c>
      <c r="T116" s="84">
        <v>72492</v>
      </c>
      <c r="U116" s="84">
        <v>60601</v>
      </c>
      <c r="V116" s="84">
        <v>46773</v>
      </c>
      <c r="W116" s="84">
        <v>27998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458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0</v>
      </c>
      <c r="U117" s="84">
        <v>0</v>
      </c>
      <c r="V117" s="84">
        <v>0</v>
      </c>
      <c r="W117" s="84">
        <v>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36</v>
      </c>
      <c r="R118" s="84">
        <v>93</v>
      </c>
      <c r="S118" s="84">
        <v>175</v>
      </c>
      <c r="T118" s="84">
        <v>141</v>
      </c>
      <c r="U118" s="84">
        <v>144</v>
      </c>
      <c r="V118" s="84">
        <v>139</v>
      </c>
      <c r="W118" s="84">
        <v>137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33</v>
      </c>
      <c r="O119" s="84">
        <v>11</v>
      </c>
      <c r="P119" s="84">
        <v>100</v>
      </c>
      <c r="Q119" s="84">
        <v>7487</v>
      </c>
      <c r="R119" s="84">
        <v>517</v>
      </c>
      <c r="S119" s="84">
        <v>562</v>
      </c>
      <c r="T119" s="84">
        <v>3327</v>
      </c>
      <c r="U119" s="84">
        <v>3923</v>
      </c>
      <c r="V119" s="84">
        <v>18392</v>
      </c>
      <c r="W119" s="84">
        <v>42541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31</v>
      </c>
      <c r="L120" s="84">
        <v>20</v>
      </c>
      <c r="M120" s="84">
        <v>415</v>
      </c>
      <c r="N120" s="84">
        <v>472</v>
      </c>
      <c r="O120" s="84">
        <v>533</v>
      </c>
      <c r="P120" s="84">
        <v>1569</v>
      </c>
      <c r="Q120" s="84">
        <v>4529</v>
      </c>
      <c r="R120" s="84">
        <v>1265</v>
      </c>
      <c r="S120" s="84">
        <v>768</v>
      </c>
      <c r="T120" s="84">
        <v>1544</v>
      </c>
      <c r="U120" s="84">
        <v>5501</v>
      </c>
      <c r="V120" s="84">
        <v>14248</v>
      </c>
      <c r="W120" s="84">
        <v>32696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1237</v>
      </c>
      <c r="C121" s="110">
        <f t="shared" si="179"/>
        <v>1058</v>
      </c>
      <c r="D121" s="110">
        <f t="shared" si="179"/>
        <v>1265</v>
      </c>
      <c r="E121" s="110">
        <f t="shared" si="179"/>
        <v>1220</v>
      </c>
      <c r="F121" s="110">
        <f t="shared" si="179"/>
        <v>1757</v>
      </c>
      <c r="G121" s="110">
        <f t="shared" si="179"/>
        <v>2443</v>
      </c>
      <c r="H121" s="110">
        <f t="shared" si="179"/>
        <v>3188</v>
      </c>
      <c r="I121" s="110">
        <f t="shared" si="179"/>
        <v>3912</v>
      </c>
      <c r="J121" s="110">
        <f t="shared" si="179"/>
        <v>1191</v>
      </c>
      <c r="K121" s="110">
        <f t="shared" si="179"/>
        <v>1112</v>
      </c>
      <c r="L121" s="110">
        <f t="shared" ref="L121" si="180">SUM(L122:L126)</f>
        <v>1004</v>
      </c>
      <c r="M121" s="110">
        <f t="shared" ref="M121:V121" si="181">SUM(M122:M126)</f>
        <v>802</v>
      </c>
      <c r="N121" s="110">
        <f t="shared" si="181"/>
        <v>764</v>
      </c>
      <c r="O121" s="110">
        <f t="shared" si="181"/>
        <v>616</v>
      </c>
      <c r="P121" s="110">
        <f t="shared" si="181"/>
        <v>798</v>
      </c>
      <c r="Q121" s="110">
        <f t="shared" si="181"/>
        <v>835</v>
      </c>
      <c r="R121" s="110">
        <f t="shared" si="181"/>
        <v>1039</v>
      </c>
      <c r="S121" s="110">
        <f t="shared" si="181"/>
        <v>1293</v>
      </c>
      <c r="T121" s="110">
        <f t="shared" si="181"/>
        <v>762</v>
      </c>
      <c r="U121" s="110">
        <f t="shared" si="181"/>
        <v>884</v>
      </c>
      <c r="V121" s="110">
        <f t="shared" si="181"/>
        <v>440</v>
      </c>
      <c r="W121" s="110">
        <f t="shared" ref="W121" si="182">SUM(W122:W126)</f>
        <v>746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90</v>
      </c>
      <c r="H122" s="102">
        <v>126</v>
      </c>
      <c r="I122" s="102">
        <v>99</v>
      </c>
      <c r="J122" s="102">
        <v>90</v>
      </c>
      <c r="K122" s="102">
        <v>72</v>
      </c>
      <c r="L122" s="102">
        <v>54</v>
      </c>
      <c r="M122" s="102">
        <v>45</v>
      </c>
      <c r="N122" s="102">
        <v>36</v>
      </c>
      <c r="O122" s="102">
        <v>40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1237</v>
      </c>
      <c r="C123" s="102">
        <v>1058</v>
      </c>
      <c r="D123" s="102">
        <v>1265</v>
      </c>
      <c r="E123" s="102">
        <v>1220</v>
      </c>
      <c r="F123" s="102">
        <v>1757</v>
      </c>
      <c r="G123" s="102">
        <v>2353</v>
      </c>
      <c r="H123" s="102">
        <v>3062</v>
      </c>
      <c r="I123" s="102">
        <v>3813</v>
      </c>
      <c r="J123" s="102">
        <v>1101</v>
      </c>
      <c r="K123" s="102">
        <v>1040</v>
      </c>
      <c r="L123" s="102">
        <v>950</v>
      </c>
      <c r="M123" s="102">
        <v>757</v>
      </c>
      <c r="N123" s="102">
        <v>728</v>
      </c>
      <c r="O123" s="102">
        <v>576</v>
      </c>
      <c r="P123" s="102">
        <v>798</v>
      </c>
      <c r="Q123" s="102">
        <v>802</v>
      </c>
      <c r="R123" s="102">
        <v>993</v>
      </c>
      <c r="S123" s="102">
        <v>1210</v>
      </c>
      <c r="T123" s="102">
        <v>760</v>
      </c>
      <c r="U123" s="102">
        <v>783</v>
      </c>
      <c r="V123" s="102">
        <v>421</v>
      </c>
      <c r="W123" s="102">
        <v>520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33</v>
      </c>
      <c r="R125" s="102">
        <v>40</v>
      </c>
      <c r="S125" s="102">
        <v>81</v>
      </c>
      <c r="T125" s="102">
        <v>0</v>
      </c>
      <c r="U125" s="102">
        <v>1</v>
      </c>
      <c r="V125" s="102">
        <v>16</v>
      </c>
      <c r="W125" s="102">
        <v>2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6</v>
      </c>
      <c r="S126" s="102">
        <v>2</v>
      </c>
      <c r="T126" s="102">
        <v>2</v>
      </c>
      <c r="U126" s="102">
        <v>100</v>
      </c>
      <c r="V126" s="102">
        <v>3</v>
      </c>
      <c r="W126" s="102">
        <v>224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341</v>
      </c>
      <c r="C127" s="28">
        <f t="shared" si="183"/>
        <v>51317</v>
      </c>
      <c r="D127" s="28">
        <f t="shared" si="183"/>
        <v>53546</v>
      </c>
      <c r="E127" s="28">
        <f t="shared" si="183"/>
        <v>52086</v>
      </c>
      <c r="F127" s="28">
        <f t="shared" si="183"/>
        <v>61767</v>
      </c>
      <c r="G127" s="28">
        <f t="shared" si="183"/>
        <v>67925</v>
      </c>
      <c r="H127" s="28">
        <f t="shared" si="183"/>
        <v>73662</v>
      </c>
      <c r="I127" s="28">
        <f t="shared" si="183"/>
        <v>64380</v>
      </c>
      <c r="J127" s="28">
        <f t="shared" si="183"/>
        <v>40143</v>
      </c>
      <c r="K127" s="28">
        <f t="shared" si="183"/>
        <v>29260</v>
      </c>
      <c r="L127" s="28">
        <f t="shared" ref="L127" si="184">L128+L134</f>
        <v>33431</v>
      </c>
      <c r="M127" s="28">
        <f t="shared" ref="M127:V127" si="185">M128+M134</f>
        <v>45663</v>
      </c>
      <c r="N127" s="28">
        <f t="shared" si="185"/>
        <v>55148</v>
      </c>
      <c r="O127" s="28">
        <f t="shared" si="185"/>
        <v>51072</v>
      </c>
      <c r="P127" s="28">
        <f t="shared" si="185"/>
        <v>56036</v>
      </c>
      <c r="Q127" s="28">
        <f t="shared" si="185"/>
        <v>56672</v>
      </c>
      <c r="R127" s="28">
        <f t="shared" si="185"/>
        <v>62416</v>
      </c>
      <c r="S127" s="28">
        <f t="shared" si="185"/>
        <v>63672</v>
      </c>
      <c r="T127" s="28">
        <f t="shared" si="185"/>
        <v>60765</v>
      </c>
      <c r="U127" s="28">
        <f t="shared" si="185"/>
        <v>60478</v>
      </c>
      <c r="V127" s="28">
        <f t="shared" si="185"/>
        <v>57342</v>
      </c>
      <c r="W127" s="28">
        <f t="shared" ref="W127" si="186">W128+W134</f>
        <v>58634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49057</v>
      </c>
      <c r="D128" s="137">
        <f t="shared" si="187"/>
        <v>50638</v>
      </c>
      <c r="E128" s="137">
        <f t="shared" si="187"/>
        <v>49317</v>
      </c>
      <c r="F128" s="137">
        <f t="shared" si="187"/>
        <v>57207</v>
      </c>
      <c r="G128" s="137">
        <f t="shared" si="187"/>
        <v>60742</v>
      </c>
      <c r="H128" s="137">
        <f t="shared" si="187"/>
        <v>69997</v>
      </c>
      <c r="I128" s="137">
        <f t="shared" si="187"/>
        <v>56055</v>
      </c>
      <c r="J128" s="137">
        <f t="shared" si="187"/>
        <v>36577</v>
      </c>
      <c r="K128" s="137">
        <f t="shared" si="187"/>
        <v>28732</v>
      </c>
      <c r="L128" s="137">
        <f t="shared" ref="L128" si="188">SUM(L129:L133)</f>
        <v>32768</v>
      </c>
      <c r="M128" s="137">
        <f t="shared" ref="M128:V128" si="189">SUM(M129:M133)</f>
        <v>43455</v>
      </c>
      <c r="N128" s="137">
        <f t="shared" si="189"/>
        <v>51994</v>
      </c>
      <c r="O128" s="137">
        <f t="shared" si="189"/>
        <v>47428</v>
      </c>
      <c r="P128" s="137">
        <f t="shared" si="189"/>
        <v>52566</v>
      </c>
      <c r="Q128" s="137">
        <f t="shared" si="189"/>
        <v>55437</v>
      </c>
      <c r="R128" s="137">
        <f t="shared" si="189"/>
        <v>59605</v>
      </c>
      <c r="S128" s="137">
        <f t="shared" si="189"/>
        <v>58867</v>
      </c>
      <c r="T128" s="137">
        <f t="shared" si="189"/>
        <v>56853</v>
      </c>
      <c r="U128" s="137">
        <f t="shared" si="189"/>
        <v>56105</v>
      </c>
      <c r="V128" s="137">
        <f t="shared" si="189"/>
        <v>54077</v>
      </c>
      <c r="W128" s="137">
        <f t="shared" ref="W128" si="190">SUM(W129:W133)</f>
        <v>54549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8812</v>
      </c>
      <c r="D129" s="84">
        <v>8812</v>
      </c>
      <c r="E129" s="84">
        <v>8135</v>
      </c>
      <c r="F129" s="84">
        <v>7472</v>
      </c>
      <c r="G129" s="84">
        <v>6967</v>
      </c>
      <c r="H129" s="84">
        <v>8071</v>
      </c>
      <c r="I129" s="84">
        <v>181</v>
      </c>
      <c r="J129" s="84">
        <v>3449</v>
      </c>
      <c r="K129" s="84">
        <v>4255</v>
      </c>
      <c r="L129" s="84">
        <v>3745</v>
      </c>
      <c r="M129" s="84">
        <v>6290</v>
      </c>
      <c r="N129" s="84">
        <v>4561</v>
      </c>
      <c r="O129" s="84">
        <v>3368</v>
      </c>
      <c r="P129" s="84">
        <v>1822</v>
      </c>
      <c r="Q129" s="84">
        <v>2186</v>
      </c>
      <c r="R129" s="84">
        <v>2421</v>
      </c>
      <c r="S129" s="84">
        <v>2196</v>
      </c>
      <c r="T129" s="84">
        <v>1952</v>
      </c>
      <c r="U129" s="84">
        <v>1991</v>
      </c>
      <c r="V129" s="84">
        <v>1972</v>
      </c>
      <c r="W129" s="84">
        <v>2001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40212</v>
      </c>
      <c r="D130" s="84">
        <v>41792</v>
      </c>
      <c r="E130" s="84">
        <v>41182</v>
      </c>
      <c r="F130" s="84">
        <v>49735</v>
      </c>
      <c r="G130" s="84">
        <v>53775</v>
      </c>
      <c r="H130" s="84">
        <v>61926</v>
      </c>
      <c r="I130" s="84">
        <v>55874</v>
      </c>
      <c r="J130" s="84">
        <v>33128</v>
      </c>
      <c r="K130" s="84">
        <v>24477</v>
      </c>
      <c r="L130" s="84">
        <v>29023</v>
      </c>
      <c r="M130" s="84">
        <v>37165</v>
      </c>
      <c r="N130" s="84">
        <v>47417</v>
      </c>
      <c r="O130" s="84">
        <v>44007</v>
      </c>
      <c r="P130" s="84">
        <v>50703</v>
      </c>
      <c r="Q130" s="84">
        <v>52338</v>
      </c>
      <c r="R130" s="84">
        <v>57101</v>
      </c>
      <c r="S130" s="84">
        <v>56519</v>
      </c>
      <c r="T130" s="84">
        <v>54759</v>
      </c>
      <c r="U130" s="84">
        <v>53891</v>
      </c>
      <c r="V130" s="84">
        <v>51599</v>
      </c>
      <c r="W130" s="84">
        <v>50868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33</v>
      </c>
      <c r="D131" s="84">
        <v>34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430</v>
      </c>
      <c r="R132" s="84">
        <v>22</v>
      </c>
      <c r="S132" s="84">
        <v>46</v>
      </c>
      <c r="T132" s="84">
        <v>7</v>
      </c>
      <c r="U132" s="84">
        <v>0</v>
      </c>
      <c r="V132" s="84">
        <v>2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16</v>
      </c>
      <c r="O133" s="84">
        <v>53</v>
      </c>
      <c r="P133" s="84">
        <v>41</v>
      </c>
      <c r="Q133" s="84">
        <v>483</v>
      </c>
      <c r="R133" s="84">
        <v>61</v>
      </c>
      <c r="S133" s="84">
        <v>106</v>
      </c>
      <c r="T133" s="84">
        <v>135</v>
      </c>
      <c r="U133" s="84">
        <v>223</v>
      </c>
      <c r="V133" s="84">
        <v>504</v>
      </c>
      <c r="W133" s="84">
        <v>1680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341</v>
      </c>
      <c r="C134" s="110">
        <f t="shared" si="191"/>
        <v>2260</v>
      </c>
      <c r="D134" s="110">
        <f t="shared" si="191"/>
        <v>2908</v>
      </c>
      <c r="E134" s="110">
        <f t="shared" si="191"/>
        <v>2769</v>
      </c>
      <c r="F134" s="110">
        <f t="shared" si="191"/>
        <v>4560</v>
      </c>
      <c r="G134" s="110">
        <f t="shared" si="191"/>
        <v>7183</v>
      </c>
      <c r="H134" s="110">
        <f t="shared" si="191"/>
        <v>3665</v>
      </c>
      <c r="I134" s="110">
        <f t="shared" si="191"/>
        <v>8325</v>
      </c>
      <c r="J134" s="110">
        <f t="shared" si="191"/>
        <v>3566</v>
      </c>
      <c r="K134" s="110">
        <f t="shared" si="191"/>
        <v>528</v>
      </c>
      <c r="L134" s="110">
        <f t="shared" ref="L134" si="192">SUM(L135:L136)</f>
        <v>663</v>
      </c>
      <c r="M134" s="110">
        <f t="shared" ref="M134:V134" si="193">SUM(M135:M136)</f>
        <v>2208</v>
      </c>
      <c r="N134" s="110">
        <f t="shared" si="193"/>
        <v>3154</v>
      </c>
      <c r="O134" s="110">
        <f t="shared" si="193"/>
        <v>3644</v>
      </c>
      <c r="P134" s="110">
        <f t="shared" si="193"/>
        <v>3470</v>
      </c>
      <c r="Q134" s="110">
        <f t="shared" si="193"/>
        <v>1235</v>
      </c>
      <c r="R134" s="110">
        <f t="shared" si="193"/>
        <v>2811</v>
      </c>
      <c r="S134" s="110">
        <f t="shared" si="193"/>
        <v>4805</v>
      </c>
      <c r="T134" s="110">
        <f t="shared" si="193"/>
        <v>3912</v>
      </c>
      <c r="U134" s="110">
        <f t="shared" si="193"/>
        <v>4373</v>
      </c>
      <c r="V134" s="110">
        <f t="shared" si="193"/>
        <v>3265</v>
      </c>
      <c r="W134" s="110">
        <f t="shared" ref="W134" si="194">SUM(W135:W136)</f>
        <v>4085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1680</v>
      </c>
      <c r="D135" s="102">
        <v>2326</v>
      </c>
      <c r="E135" s="102">
        <v>2241</v>
      </c>
      <c r="F135" s="102">
        <v>3360</v>
      </c>
      <c r="G135" s="102">
        <v>6496</v>
      </c>
      <c r="H135" s="102">
        <v>2750</v>
      </c>
      <c r="I135" s="102">
        <v>7436</v>
      </c>
      <c r="J135" s="102">
        <v>1540</v>
      </c>
      <c r="K135" s="102">
        <v>528</v>
      </c>
      <c r="L135" s="102">
        <v>489</v>
      </c>
      <c r="M135" s="102">
        <v>1797</v>
      </c>
      <c r="N135" s="102">
        <v>2609</v>
      </c>
      <c r="O135" s="102">
        <v>2318</v>
      </c>
      <c r="P135" s="102">
        <v>3207</v>
      </c>
      <c r="Q135" s="102">
        <v>459</v>
      </c>
      <c r="R135" s="102">
        <v>1254</v>
      </c>
      <c r="S135" s="102">
        <v>3951</v>
      </c>
      <c r="T135" s="102">
        <v>3664</v>
      </c>
      <c r="U135" s="102">
        <v>3542</v>
      </c>
      <c r="V135" s="102">
        <v>1995</v>
      </c>
      <c r="W135" s="102">
        <v>3304</v>
      </c>
      <c r="DA135" s="175" t="s">
        <v>549</v>
      </c>
    </row>
    <row r="136" spans="1:105" ht="11.45" customHeight="1" x14ac:dyDescent="0.25">
      <c r="A136" s="138" t="s">
        <v>116</v>
      </c>
      <c r="B136" s="86">
        <v>341</v>
      </c>
      <c r="C136" s="86">
        <v>580</v>
      </c>
      <c r="D136" s="86">
        <v>582</v>
      </c>
      <c r="E136" s="86">
        <v>528</v>
      </c>
      <c r="F136" s="86">
        <v>1200</v>
      </c>
      <c r="G136" s="86">
        <v>687</v>
      </c>
      <c r="H136" s="86">
        <v>915</v>
      </c>
      <c r="I136" s="86">
        <v>889</v>
      </c>
      <c r="J136" s="86">
        <v>2026</v>
      </c>
      <c r="K136" s="86">
        <v>0</v>
      </c>
      <c r="L136" s="86">
        <v>174</v>
      </c>
      <c r="M136" s="86">
        <v>411</v>
      </c>
      <c r="N136" s="86">
        <v>545</v>
      </c>
      <c r="O136" s="86">
        <v>1326</v>
      </c>
      <c r="P136" s="86">
        <v>263</v>
      </c>
      <c r="Q136" s="86">
        <v>776</v>
      </c>
      <c r="R136" s="86">
        <v>1557</v>
      </c>
      <c r="S136" s="86">
        <v>854</v>
      </c>
      <c r="T136" s="86">
        <v>248</v>
      </c>
      <c r="U136" s="86">
        <v>831</v>
      </c>
      <c r="V136" s="86">
        <v>1270</v>
      </c>
      <c r="W136" s="86">
        <v>781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2.3241261542420069</v>
      </c>
      <c r="C141" s="32">
        <f t="shared" si="195"/>
        <v>2.2638321012142084</v>
      </c>
      <c r="D141" s="32">
        <f t="shared" si="195"/>
        <v>2.200481025962338</v>
      </c>
      <c r="E141" s="32">
        <f t="shared" si="195"/>
        <v>2.1570575284142932</v>
      </c>
      <c r="F141" s="32">
        <f t="shared" si="195"/>
        <v>2.1543245308359564</v>
      </c>
      <c r="G141" s="32">
        <f t="shared" si="195"/>
        <v>2.0820878761586048</v>
      </c>
      <c r="H141" s="32">
        <f t="shared" si="195"/>
        <v>2.024060872070192</v>
      </c>
      <c r="I141" s="32">
        <f t="shared" si="195"/>
        <v>1.9123151519367982</v>
      </c>
      <c r="J141" s="32">
        <f t="shared" si="195"/>
        <v>1.8987097945221623</v>
      </c>
      <c r="K141" s="32">
        <f t="shared" si="195"/>
        <v>1.9065031784471382</v>
      </c>
      <c r="L141" s="32">
        <f t="shared" ref="L141" si="196">IF(L4=0,0,L4/L31)</f>
        <v>1.8745187125936955</v>
      </c>
      <c r="M141" s="32">
        <f t="shared" ref="M141:V141" si="197">IF(M4=0,0,M4/M31)</f>
        <v>1.8045659191550287</v>
      </c>
      <c r="N141" s="32">
        <f t="shared" si="197"/>
        <v>1.83223226559008</v>
      </c>
      <c r="O141" s="32">
        <f t="shared" si="197"/>
        <v>1.7953654229350755</v>
      </c>
      <c r="P141" s="32">
        <f t="shared" si="197"/>
        <v>1.7830998059127727</v>
      </c>
      <c r="Q141" s="32">
        <f t="shared" si="197"/>
        <v>1.6969276469691721</v>
      </c>
      <c r="R141" s="32">
        <f t="shared" si="197"/>
        <v>1.7125254560354708</v>
      </c>
      <c r="S141" s="32">
        <f t="shared" si="197"/>
        <v>1.7338686056237997</v>
      </c>
      <c r="T141" s="32">
        <f t="shared" si="197"/>
        <v>1.707324928257266</v>
      </c>
      <c r="U141" s="32">
        <f t="shared" si="197"/>
        <v>1.7057992003849609</v>
      </c>
      <c r="V141" s="32">
        <f t="shared" si="197"/>
        <v>1.6497272009005866</v>
      </c>
      <c r="W141" s="32">
        <f t="shared" ref="W141" si="198">IF(W4=0,0,W4/W31)</f>
        <v>1.5970165785563342</v>
      </c>
      <c r="DA141" s="173" t="s">
        <v>551</v>
      </c>
    </row>
    <row r="142" spans="1:105" ht="11.45" customHeight="1" x14ac:dyDescent="0.25">
      <c r="A142" s="136" t="s">
        <v>180</v>
      </c>
      <c r="B142" s="141">
        <v>1.1047321699430754</v>
      </c>
      <c r="C142" s="141">
        <v>1.1047109809282738</v>
      </c>
      <c r="D142" s="141">
        <v>1.1045190228750541</v>
      </c>
      <c r="E142" s="141">
        <v>1.1049828872133485</v>
      </c>
      <c r="F142" s="141">
        <v>1.1051308645358424</v>
      </c>
      <c r="G142" s="141">
        <v>1.1041301391394238</v>
      </c>
      <c r="H142" s="141">
        <v>1.1044381305743085</v>
      </c>
      <c r="I142" s="141">
        <v>1.1062108289262302</v>
      </c>
      <c r="J142" s="141">
        <v>1.1067930010199598</v>
      </c>
      <c r="K142" s="141">
        <v>1.1073241407688714</v>
      </c>
      <c r="L142" s="141">
        <v>1.1054217673643152</v>
      </c>
      <c r="M142" s="141">
        <v>1.1044534154591701</v>
      </c>
      <c r="N142" s="141">
        <v>1.097636952633865</v>
      </c>
      <c r="O142" s="141">
        <v>1.0970722866905216</v>
      </c>
      <c r="P142" s="141">
        <v>1.0994543351777026</v>
      </c>
      <c r="Q142" s="141">
        <v>1.1013545494764965</v>
      </c>
      <c r="R142" s="141">
        <v>1.1021756684859012</v>
      </c>
      <c r="S142" s="141">
        <v>1.1006800164753778</v>
      </c>
      <c r="T142" s="141">
        <v>1.0994066048903113</v>
      </c>
      <c r="U142" s="141">
        <v>1.1002231608135522</v>
      </c>
      <c r="V142" s="141">
        <v>1.0988679206835448</v>
      </c>
      <c r="W142" s="141">
        <v>1.0988448472782784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2.1048118578351089</v>
      </c>
      <c r="C143" s="130">
        <f t="shared" si="199"/>
        <v>2.0453060450247609</v>
      </c>
      <c r="D143" s="130">
        <f t="shared" si="199"/>
        <v>1.9862199219077086</v>
      </c>
      <c r="E143" s="130">
        <f t="shared" si="199"/>
        <v>1.946743376511529</v>
      </c>
      <c r="F143" s="130">
        <f t="shared" si="199"/>
        <v>1.9457043893979618</v>
      </c>
      <c r="G143" s="130">
        <f t="shared" si="199"/>
        <v>1.8804623123233366</v>
      </c>
      <c r="H143" s="130">
        <f t="shared" si="199"/>
        <v>1.8309414446251879</v>
      </c>
      <c r="I143" s="130">
        <f t="shared" si="199"/>
        <v>1.7363787048831167</v>
      </c>
      <c r="J143" s="130">
        <f t="shared" si="199"/>
        <v>1.7294900884293467</v>
      </c>
      <c r="K143" s="130">
        <f t="shared" si="199"/>
        <v>1.737946208831822</v>
      </c>
      <c r="L143" s="130">
        <f t="shared" ref="L143" si="200">IF(L6=0,0,L6/L33)</f>
        <v>1.7055039324879326</v>
      </c>
      <c r="M143" s="130">
        <f t="shared" ref="M143:V143" si="201">IF(M6=0,0,M6/M33)</f>
        <v>1.6462133760206827</v>
      </c>
      <c r="N143" s="130">
        <f t="shared" si="201"/>
        <v>1.6759055733794519</v>
      </c>
      <c r="O143" s="130">
        <f t="shared" si="201"/>
        <v>1.6406191352107256</v>
      </c>
      <c r="P143" s="130">
        <f t="shared" si="201"/>
        <v>1.6314298988398417</v>
      </c>
      <c r="Q143" s="130">
        <f t="shared" si="201"/>
        <v>1.5486984588562753</v>
      </c>
      <c r="R143" s="130">
        <f t="shared" si="201"/>
        <v>1.5640138551717631</v>
      </c>
      <c r="S143" s="130">
        <f t="shared" si="201"/>
        <v>1.5813336412420624</v>
      </c>
      <c r="T143" s="130">
        <f t="shared" si="201"/>
        <v>1.5627955248204122</v>
      </c>
      <c r="U143" s="130">
        <f t="shared" si="201"/>
        <v>1.5679030589668372</v>
      </c>
      <c r="V143" s="130">
        <f t="shared" si="201"/>
        <v>1.5635240974436944</v>
      </c>
      <c r="W143" s="130">
        <f t="shared" ref="W143" si="202">IF(W6=0,0,W6/W33)</f>
        <v>1.5059431481756376</v>
      </c>
      <c r="DA143" s="176" t="s">
        <v>553</v>
      </c>
    </row>
    <row r="144" spans="1:105" ht="11.45" customHeight="1" x14ac:dyDescent="0.25">
      <c r="A144" s="111" t="s">
        <v>110</v>
      </c>
      <c r="B144" s="96">
        <v>2.0919082044284001</v>
      </c>
      <c r="C144" s="96">
        <v>2.0308932859708531</v>
      </c>
      <c r="D144" s="96">
        <v>1.9707220535059555</v>
      </c>
      <c r="E144" s="96">
        <v>1.9305762168762957</v>
      </c>
      <c r="F144" s="96">
        <v>1.9273236872772852</v>
      </c>
      <c r="G144" s="96">
        <v>1.8587022963055648</v>
      </c>
      <c r="H144" s="96">
        <v>1.8067010788461575</v>
      </c>
      <c r="I144" s="96">
        <v>1.7074681964800011</v>
      </c>
      <c r="J144" s="96">
        <v>1.6965608003710719</v>
      </c>
      <c r="K144" s="96">
        <v>1.7019324728693337</v>
      </c>
      <c r="L144" s="96">
        <v>1.6660954762072477</v>
      </c>
      <c r="M144" s="96">
        <v>1.605690501488952</v>
      </c>
      <c r="N144" s="96">
        <v>1.6312851292998356</v>
      </c>
      <c r="O144" s="96">
        <v>1.59519350733183</v>
      </c>
      <c r="P144" s="96">
        <v>1.5860604336080579</v>
      </c>
      <c r="Q144" s="96">
        <v>1.5032301128262493</v>
      </c>
      <c r="R144" s="96">
        <v>1.5205888493906974</v>
      </c>
      <c r="S144" s="96">
        <v>1.5360215959583723</v>
      </c>
      <c r="T144" s="96">
        <v>1.5181717899256453</v>
      </c>
      <c r="U144" s="96">
        <v>1.5245067280076048</v>
      </c>
      <c r="V144" s="96">
        <v>1.5234631733801112</v>
      </c>
      <c r="W144" s="96">
        <v>1.4738182785925504</v>
      </c>
      <c r="DA144" s="171" t="s">
        <v>554</v>
      </c>
    </row>
    <row r="145" spans="1:105" ht="11.45" customHeight="1" x14ac:dyDescent="0.25">
      <c r="A145" s="111" t="s">
        <v>111</v>
      </c>
      <c r="B145" s="96">
        <v>2.2391050637373549</v>
      </c>
      <c r="C145" s="96">
        <v>2.1737968381696184</v>
      </c>
      <c r="D145" s="96">
        <v>2.109391664453939</v>
      </c>
      <c r="E145" s="96">
        <v>2.0664209710481978</v>
      </c>
      <c r="F145" s="96">
        <v>2.0629395776105293</v>
      </c>
      <c r="G145" s="96">
        <v>1.9894896510409896</v>
      </c>
      <c r="H145" s="96">
        <v>1.9338293744153818</v>
      </c>
      <c r="I145" s="96">
        <v>1.8276139826859792</v>
      </c>
      <c r="J145" s="96">
        <v>1.8159390890133069</v>
      </c>
      <c r="K145" s="96">
        <v>1.8216887385754315</v>
      </c>
      <c r="L145" s="96">
        <v>1.7833300761229651</v>
      </c>
      <c r="M145" s="96">
        <v>1.7186747129094435</v>
      </c>
      <c r="N145" s="96">
        <v>1.7460703035068244</v>
      </c>
      <c r="O145" s="96">
        <v>1.707439099070615</v>
      </c>
      <c r="P145" s="96">
        <v>1.6976633777559347</v>
      </c>
      <c r="Q145" s="96">
        <v>1.6090047118063866</v>
      </c>
      <c r="R145" s="96">
        <v>1.6275848936992909</v>
      </c>
      <c r="S145" s="96">
        <v>1.6441035635500538</v>
      </c>
      <c r="T145" s="96">
        <v>1.6249977581471209</v>
      </c>
      <c r="U145" s="96">
        <v>1.631778453355329</v>
      </c>
      <c r="V145" s="96">
        <v>1.6306614691369199</v>
      </c>
      <c r="W145" s="96">
        <v>1.5775233175334129</v>
      </c>
      <c r="DA145" s="171" t="s">
        <v>555</v>
      </c>
    </row>
    <row r="146" spans="1:105" ht="11.45" customHeight="1" x14ac:dyDescent="0.25">
      <c r="A146" s="111" t="s">
        <v>112</v>
      </c>
      <c r="B146" s="96">
        <v>2.0932874911099426</v>
      </c>
      <c r="C146" s="96">
        <v>2.0341074873768061</v>
      </c>
      <c r="D146" s="96">
        <v>1.9753448754318499</v>
      </c>
      <c r="E146" s="96">
        <v>1.9360844739083374</v>
      </c>
      <c r="F146" s="96">
        <v>1.9350511755067918</v>
      </c>
      <c r="G146" s="96">
        <v>1.8701663149783017</v>
      </c>
      <c r="H146" s="96">
        <v>1.8209165863075096</v>
      </c>
      <c r="I146" s="96">
        <v>1.7268716010085576</v>
      </c>
      <c r="J146" s="96">
        <v>1.7200207014376274</v>
      </c>
      <c r="K146" s="96">
        <v>1.7284305224845442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0</v>
      </c>
      <c r="S146" s="96">
        <v>0</v>
      </c>
      <c r="T146" s="96">
        <v>0</v>
      </c>
      <c r="U146" s="96">
        <v>0</v>
      </c>
      <c r="V146" s="96">
        <v>0</v>
      </c>
      <c r="W146" s="96">
        <v>0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1.5022375050905867</v>
      </c>
      <c r="R147" s="96">
        <v>1.5170934395166102</v>
      </c>
      <c r="S147" s="96">
        <v>1.5338936320048004</v>
      </c>
      <c r="T147" s="96">
        <v>1.5159116590757999</v>
      </c>
      <c r="U147" s="96">
        <v>1.5208659671978324</v>
      </c>
      <c r="V147" s="96">
        <v>1.5166183745203834</v>
      </c>
      <c r="W147" s="96">
        <v>1.4607648537303684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1.5906888091126623</v>
      </c>
      <c r="O148" s="96">
        <v>1.5571966224405613</v>
      </c>
      <c r="P148" s="96">
        <v>1.5484746421025042</v>
      </c>
      <c r="Q148" s="96">
        <v>1.4699499460611485</v>
      </c>
      <c r="R148" s="96">
        <v>1.4844865822017193</v>
      </c>
      <c r="S148" s="96">
        <v>1.5009256885069124</v>
      </c>
      <c r="T148" s="96">
        <v>1.4833302017430112</v>
      </c>
      <c r="U148" s="96">
        <v>1.4881780270250147</v>
      </c>
      <c r="V148" s="96">
        <v>1.4840217277674421</v>
      </c>
      <c r="W148" s="96">
        <v>1.4293686655223632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1.3924982994902251</v>
      </c>
      <c r="L149" s="96">
        <v>1.3665045061202776</v>
      </c>
      <c r="M149" s="96">
        <v>1.3189990087481986</v>
      </c>
      <c r="N149" s="96">
        <v>1.3427893505436479</v>
      </c>
      <c r="O149" s="96">
        <v>1.3145167234074802</v>
      </c>
      <c r="P149" s="96">
        <v>1.307154012205578</v>
      </c>
      <c r="Q149" s="96">
        <v>1.2408669263878129</v>
      </c>
      <c r="R149" s="96">
        <v>1.2531381136184414</v>
      </c>
      <c r="S149" s="96">
        <v>1.267015282271801</v>
      </c>
      <c r="T149" s="96">
        <v>1.2521619482262949</v>
      </c>
      <c r="U149" s="96">
        <v>1.2562542685624152</v>
      </c>
      <c r="V149" s="96">
        <v>1.2527457040029812</v>
      </c>
      <c r="W149" s="96">
        <v>1.2066099988060428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11.793322734499204</v>
      </c>
      <c r="C150" s="130">
        <f t="shared" si="203"/>
        <v>11.731199999999999</v>
      </c>
      <c r="D150" s="130">
        <f t="shared" si="203"/>
        <v>11.846387395692918</v>
      </c>
      <c r="E150" s="130">
        <f t="shared" si="203"/>
        <v>11.914589015826314</v>
      </c>
      <c r="F150" s="130">
        <f t="shared" si="203"/>
        <v>12.146422628951747</v>
      </c>
      <c r="G150" s="130">
        <f t="shared" si="203"/>
        <v>11.714052287581699</v>
      </c>
      <c r="H150" s="130">
        <f t="shared" si="203"/>
        <v>11.304487179487179</v>
      </c>
      <c r="I150" s="130">
        <f t="shared" si="203"/>
        <v>11.040322580645162</v>
      </c>
      <c r="J150" s="130">
        <f t="shared" si="203"/>
        <v>10.713831478537362</v>
      </c>
      <c r="K150" s="130">
        <f t="shared" si="203"/>
        <v>10.554224671125256</v>
      </c>
      <c r="L150" s="130">
        <f t="shared" ref="L150" si="204">IF(L13=0,0,L13/L40)</f>
        <v>10.475315133166859</v>
      </c>
      <c r="M150" s="130">
        <f t="shared" ref="M150:V150" si="205">IF(M13=0,0,M13/M40)</f>
        <v>10.499942936043245</v>
      </c>
      <c r="N150" s="130">
        <f t="shared" si="205"/>
        <v>10.805588048193696</v>
      </c>
      <c r="O150" s="130">
        <f t="shared" si="205"/>
        <v>11.209277158346104</v>
      </c>
      <c r="P150" s="130">
        <f t="shared" si="205"/>
        <v>11.021016763743175</v>
      </c>
      <c r="Q150" s="130">
        <f t="shared" si="205"/>
        <v>11.311881188118811</v>
      </c>
      <c r="R150" s="130">
        <f t="shared" si="205"/>
        <v>11.328525641025641</v>
      </c>
      <c r="S150" s="130">
        <f t="shared" si="205"/>
        <v>11.265432098765432</v>
      </c>
      <c r="T150" s="130">
        <f t="shared" si="205"/>
        <v>11.071651090342678</v>
      </c>
      <c r="U150" s="130">
        <f t="shared" si="205"/>
        <v>11.099925830391992</v>
      </c>
      <c r="V150" s="130">
        <f t="shared" si="205"/>
        <v>7.3148247519104626</v>
      </c>
      <c r="W150" s="130">
        <f t="shared" ref="W150" si="206">IF(W13=0,0,W13/W40)</f>
        <v>7.7717675171058795</v>
      </c>
      <c r="DA150" s="176" t="s">
        <v>560</v>
      </c>
    </row>
    <row r="151" spans="1:105" ht="11.45" customHeight="1" x14ac:dyDescent="0.25">
      <c r="A151" s="111" t="s">
        <v>110</v>
      </c>
      <c r="B151" s="97">
        <v>6.4535893359422776</v>
      </c>
      <c r="C151" s="97">
        <v>6.4512</v>
      </c>
      <c r="D151" s="97">
        <v>6.455630284449728</v>
      </c>
      <c r="E151" s="97">
        <v>6.4582534236856279</v>
      </c>
      <c r="F151" s="97">
        <v>6.4671701011135285</v>
      </c>
      <c r="G151" s="97">
        <v>6.4505404725992959</v>
      </c>
      <c r="H151" s="97">
        <v>6.4347879684418148</v>
      </c>
      <c r="I151" s="97">
        <v>6.4246277915632755</v>
      </c>
      <c r="J151" s="97">
        <v>6.4120704414822063</v>
      </c>
      <c r="K151" s="97">
        <v>6.4059317181202022</v>
      </c>
      <c r="L151" s="97">
        <v>6.4028967358910336</v>
      </c>
      <c r="M151" s="97">
        <v>6.4038439590785865</v>
      </c>
      <c r="N151" s="97">
        <v>6.4155995403151422</v>
      </c>
      <c r="O151" s="97">
        <v>6.4311260445517728</v>
      </c>
      <c r="P151" s="97">
        <v>6.423885260143968</v>
      </c>
      <c r="Q151" s="97">
        <v>6.4350723533891854</v>
      </c>
      <c r="R151" s="97">
        <v>6.4357125246548321</v>
      </c>
      <c r="S151" s="97">
        <v>6.4332858499525178</v>
      </c>
      <c r="T151" s="97">
        <v>6.425832734243949</v>
      </c>
      <c r="U151" s="97">
        <v>6.4269202242458459</v>
      </c>
      <c r="V151" s="97">
        <v>6.2813394135350178</v>
      </c>
      <c r="W151" s="97">
        <v>6.2989141352733027</v>
      </c>
      <c r="DA151" s="175" t="s">
        <v>561</v>
      </c>
    </row>
    <row r="152" spans="1:105" ht="11.45" customHeight="1" x14ac:dyDescent="0.25">
      <c r="A152" s="111" t="s">
        <v>111</v>
      </c>
      <c r="B152" s="97">
        <v>12.475539392423135</v>
      </c>
      <c r="C152" s="97">
        <v>12.421924532373028</v>
      </c>
      <c r="D152" s="97">
        <v>12.559202838604106</v>
      </c>
      <c r="E152" s="97">
        <v>12.356604994745878</v>
      </c>
      <c r="F152" s="97">
        <v>12.525522772411325</v>
      </c>
      <c r="G152" s="97">
        <v>12.038854277141596</v>
      </c>
      <c r="H152" s="97">
        <v>11.601945366103481</v>
      </c>
      <c r="I152" s="97">
        <v>11.317508081150745</v>
      </c>
      <c r="J152" s="97">
        <v>10.971528661333103</v>
      </c>
      <c r="K152" s="97">
        <v>10.789261396984378</v>
      </c>
      <c r="L152" s="97">
        <v>10.693827885739271</v>
      </c>
      <c r="M152" s="97">
        <v>10.718636223783932</v>
      </c>
      <c r="N152" s="97">
        <v>11.048176272283591</v>
      </c>
      <c r="O152" s="97">
        <v>11.502656073347048</v>
      </c>
      <c r="P152" s="97">
        <v>11.265527686005989</v>
      </c>
      <c r="Q152" s="97">
        <v>11.537115964197543</v>
      </c>
      <c r="R152" s="97">
        <v>11.52797872941521</v>
      </c>
      <c r="S152" s="97">
        <v>11.440021589185376</v>
      </c>
      <c r="T152" s="97">
        <v>11.224010851139775</v>
      </c>
      <c r="U152" s="97">
        <v>11.238707549677585</v>
      </c>
      <c r="V152" s="97">
        <v>7.3435836044104272</v>
      </c>
      <c r="W152" s="97">
        <v>7.8108078806601933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11.537115964197543</v>
      </c>
      <c r="R154" s="97">
        <v>11.527978729415212</v>
      </c>
      <c r="S154" s="97">
        <v>11.440021589185376</v>
      </c>
      <c r="T154" s="97">
        <v>11.224010851139775</v>
      </c>
      <c r="U154" s="97">
        <v>11.238707549677585</v>
      </c>
      <c r="V154" s="97">
        <v>7.3435836044104272</v>
      </c>
      <c r="W154" s="97">
        <v>7.8108078806601933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11.527978729415212</v>
      </c>
      <c r="S155" s="97">
        <v>11.440021589185376</v>
      </c>
      <c r="T155" s="97">
        <v>11.224010851139775</v>
      </c>
      <c r="U155" s="97">
        <v>11.238707549677585</v>
      </c>
      <c r="V155" s="97">
        <v>7.3435836044104272</v>
      </c>
      <c r="W155" s="97">
        <v>7.8108078806601933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2.280405063241536</v>
      </c>
      <c r="C156" s="32">
        <f t="shared" si="207"/>
        <v>2.1524550202967574</v>
      </c>
      <c r="D156" s="32">
        <f t="shared" si="207"/>
        <v>2.144900287815005</v>
      </c>
      <c r="E156" s="32">
        <f t="shared" si="207"/>
        <v>2.0321484954344653</v>
      </c>
      <c r="F156" s="32">
        <f t="shared" si="207"/>
        <v>1.9254175405952578</v>
      </c>
      <c r="G156" s="32">
        <f t="shared" si="207"/>
        <v>1.9016421183545826</v>
      </c>
      <c r="H156" s="32">
        <f t="shared" si="207"/>
        <v>1.8403942789683287</v>
      </c>
      <c r="I156" s="32">
        <f t="shared" si="207"/>
        <v>1.7634522325032123</v>
      </c>
      <c r="J156" s="32">
        <f t="shared" si="207"/>
        <v>1.8022592447259125</v>
      </c>
      <c r="K156" s="32">
        <f t="shared" si="207"/>
        <v>1.7440603482072026</v>
      </c>
      <c r="L156" s="32">
        <f t="shared" ref="L156" si="208">IF(L19=0,0,L19/L46)</f>
        <v>1.8097938897315242</v>
      </c>
      <c r="M156" s="32">
        <f t="shared" ref="M156:V156" si="209">IF(M19=0,0,M19/M46)</f>
        <v>2.0839183817942799</v>
      </c>
      <c r="N156" s="32">
        <f t="shared" si="209"/>
        <v>2.2421318285705416</v>
      </c>
      <c r="O156" s="32">
        <f t="shared" si="209"/>
        <v>2.4166407538709396</v>
      </c>
      <c r="P156" s="32">
        <f t="shared" si="209"/>
        <v>2.5190268718399169</v>
      </c>
      <c r="Q156" s="32">
        <f t="shared" si="209"/>
        <v>2.4563753949174334</v>
      </c>
      <c r="R156" s="32">
        <f t="shared" si="209"/>
        <v>2.5979358603226625</v>
      </c>
      <c r="S156" s="32">
        <f t="shared" si="209"/>
        <v>2.5288008598975531</v>
      </c>
      <c r="T156" s="32">
        <f t="shared" si="209"/>
        <v>2.3758895195152885</v>
      </c>
      <c r="U156" s="32">
        <f t="shared" si="209"/>
        <v>2.4381852277482188</v>
      </c>
      <c r="V156" s="32">
        <f t="shared" si="209"/>
        <v>2.6486074738658103</v>
      </c>
      <c r="W156" s="32">
        <f t="shared" ref="W156" si="210">IF(W19=0,0,W19/W46)</f>
        <v>2.658481856620686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0.18002377424604094</v>
      </c>
      <c r="C157" s="141">
        <f t="shared" si="211"/>
        <v>0.17754294901908224</v>
      </c>
      <c r="D157" s="141">
        <f t="shared" si="211"/>
        <v>0.17720868174715804</v>
      </c>
      <c r="E157" s="141">
        <f t="shared" si="211"/>
        <v>0.17671440644690994</v>
      </c>
      <c r="F157" s="141">
        <f t="shared" si="211"/>
        <v>0.17578234771241075</v>
      </c>
      <c r="G157" s="141">
        <f t="shared" si="211"/>
        <v>0.17621985164856716</v>
      </c>
      <c r="H157" s="141">
        <f t="shared" si="211"/>
        <v>0.17653125098412475</v>
      </c>
      <c r="I157" s="141">
        <f t="shared" si="211"/>
        <v>0.17556348526934926</v>
      </c>
      <c r="J157" s="141">
        <f t="shared" si="211"/>
        <v>0.17575816873047925</v>
      </c>
      <c r="K157" s="141">
        <f t="shared" si="211"/>
        <v>0.17659752694953351</v>
      </c>
      <c r="L157" s="141">
        <f t="shared" ref="L157" si="212">IF(L20=0,0,L20/L47)</f>
        <v>0.1761613753590113</v>
      </c>
      <c r="M157" s="141">
        <f t="shared" ref="M157:V157" si="213">IF(M20=0,0,M20/M47)</f>
        <v>0.17907188492938292</v>
      </c>
      <c r="N157" s="141">
        <f t="shared" si="213"/>
        <v>0.18192699209199423</v>
      </c>
      <c r="O157" s="141">
        <f t="shared" si="213"/>
        <v>0.18304861850670531</v>
      </c>
      <c r="P157" s="141">
        <f t="shared" si="213"/>
        <v>0.18438425353554727</v>
      </c>
      <c r="Q157" s="141">
        <f t="shared" si="213"/>
        <v>0.18445044189748933</v>
      </c>
      <c r="R157" s="141">
        <f t="shared" si="213"/>
        <v>0.18439554630114899</v>
      </c>
      <c r="S157" s="141">
        <f t="shared" si="213"/>
        <v>0.18330262016276117</v>
      </c>
      <c r="T157" s="141">
        <f t="shared" si="213"/>
        <v>0.18192489601624856</v>
      </c>
      <c r="U157" s="141">
        <f t="shared" si="213"/>
        <v>0.18216797684818045</v>
      </c>
      <c r="V157" s="141">
        <f t="shared" si="213"/>
        <v>0.18455551559571748</v>
      </c>
      <c r="W157" s="141">
        <f t="shared" ref="W157" si="214">IF(W20=0,0,W20/W47)</f>
        <v>0.18314420909789803</v>
      </c>
      <c r="DA157" s="174" t="s">
        <v>567</v>
      </c>
    </row>
    <row r="158" spans="1:105" ht="11.45" customHeight="1" x14ac:dyDescent="0.25">
      <c r="A158" s="111" t="s">
        <v>110</v>
      </c>
      <c r="B158" s="96">
        <v>0.14759091372422495</v>
      </c>
      <c r="C158" s="96">
        <v>0.14409804834381351</v>
      </c>
      <c r="D158" s="96">
        <v>0.14414330244062334</v>
      </c>
      <c r="E158" s="96">
        <v>0.14538596961776085</v>
      </c>
      <c r="F158" s="96">
        <v>0.14517568632937197</v>
      </c>
      <c r="G158" s="96">
        <v>0.14562194312633547</v>
      </c>
      <c r="H158" s="96">
        <v>0.14669432229875151</v>
      </c>
      <c r="I158" s="96">
        <v>0.14493001659192919</v>
      </c>
      <c r="J158" s="96">
        <v>0.14613217382936244</v>
      </c>
      <c r="K158" s="96">
        <v>0.14701457217574898</v>
      </c>
      <c r="L158" s="96">
        <v>0.14723951950239261</v>
      </c>
      <c r="M158" s="96">
        <v>0.15034611698112074</v>
      </c>
      <c r="N158" s="96">
        <v>0.15294517495801591</v>
      </c>
      <c r="O158" s="96">
        <v>0.1523794357175289</v>
      </c>
      <c r="P158" s="96">
        <v>0.15097122794813841</v>
      </c>
      <c r="Q158" s="96">
        <v>0.14841746854182089</v>
      </c>
      <c r="R158" s="96">
        <v>0.14740527803896031</v>
      </c>
      <c r="S158" s="96">
        <v>0.14589445845287635</v>
      </c>
      <c r="T158" s="96">
        <v>0.14541322844188603</v>
      </c>
      <c r="U158" s="96">
        <v>0.1442253294796946</v>
      </c>
      <c r="V158" s="96">
        <v>0.14512016497830366</v>
      </c>
      <c r="W158" s="96">
        <v>0.14221381794284071</v>
      </c>
      <c r="DA158" s="171" t="s">
        <v>568</v>
      </c>
    </row>
    <row r="159" spans="1:105" ht="11.45" customHeight="1" x14ac:dyDescent="0.25">
      <c r="A159" s="111" t="s">
        <v>111</v>
      </c>
      <c r="B159" s="96">
        <v>0.18690657485345943</v>
      </c>
      <c r="C159" s="96">
        <v>0.18494046492504823</v>
      </c>
      <c r="D159" s="96">
        <v>0.18415115570635221</v>
      </c>
      <c r="E159" s="96">
        <v>0.18253330549061386</v>
      </c>
      <c r="F159" s="96">
        <v>0.18088046718485759</v>
      </c>
      <c r="G159" s="96">
        <v>0.18082606364408288</v>
      </c>
      <c r="H159" s="96">
        <v>0.18048416280040502</v>
      </c>
      <c r="I159" s="96">
        <v>0.17905675836354737</v>
      </c>
      <c r="J159" s="96">
        <v>0.17875266459606498</v>
      </c>
      <c r="K159" s="96">
        <v>0.17942948487774577</v>
      </c>
      <c r="L159" s="96">
        <v>0.17866504473114844</v>
      </c>
      <c r="M159" s="96">
        <v>0.18141466268330481</v>
      </c>
      <c r="N159" s="96">
        <v>0.18408071470660556</v>
      </c>
      <c r="O159" s="96">
        <v>0.18527085977477661</v>
      </c>
      <c r="P159" s="96">
        <v>0.18674172617678886</v>
      </c>
      <c r="Q159" s="96">
        <v>0.1868853119182283</v>
      </c>
      <c r="R159" s="96">
        <v>0.18683313704398286</v>
      </c>
      <c r="S159" s="96">
        <v>0.1856559702663339</v>
      </c>
      <c r="T159" s="96">
        <v>0.18401585435236775</v>
      </c>
      <c r="U159" s="96">
        <v>0.18431822352519078</v>
      </c>
      <c r="V159" s="96">
        <v>0.18680148053279536</v>
      </c>
      <c r="W159" s="96">
        <v>0.18558549162838489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0.14841746854182089</v>
      </c>
      <c r="R161" s="96">
        <v>0.148148083063601</v>
      </c>
      <c r="S161" s="96">
        <v>0.14877978504007625</v>
      </c>
      <c r="T161" s="96">
        <v>0.14891154844466686</v>
      </c>
      <c r="U161" s="96">
        <v>0.14919597219235561</v>
      </c>
      <c r="V161" s="96">
        <v>0.15066073855157078</v>
      </c>
      <c r="W161" s="96">
        <v>0.14934389173376306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0.18851971527754485</v>
      </c>
      <c r="O162" s="96">
        <v>0.18831543599810524</v>
      </c>
      <c r="P162" s="96">
        <v>0.1883100160408395</v>
      </c>
      <c r="Q162" s="96">
        <v>0.1883011890207559</v>
      </c>
      <c r="R162" s="96">
        <v>0.18833651513326549</v>
      </c>
      <c r="S162" s="96">
        <v>0.18835724121146583</v>
      </c>
      <c r="T162" s="96">
        <v>0.18836762729485795</v>
      </c>
      <c r="U162" s="96">
        <v>0.18836856794299772</v>
      </c>
      <c r="V162" s="96">
        <v>0.18944641922033748</v>
      </c>
      <c r="W162" s="96">
        <v>0.1883965407289542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8.9767679864524652</v>
      </c>
      <c r="C163" s="130">
        <f t="shared" si="215"/>
        <v>8.7775996225014481</v>
      </c>
      <c r="D163" s="130">
        <f t="shared" si="215"/>
        <v>9.0444454925753206</v>
      </c>
      <c r="E163" s="130">
        <f t="shared" si="215"/>
        <v>8.545463808076434</v>
      </c>
      <c r="F163" s="130">
        <f t="shared" si="215"/>
        <v>8.7462804127349028</v>
      </c>
      <c r="G163" s="130">
        <f t="shared" si="215"/>
        <v>9.1420004126544487</v>
      </c>
      <c r="H163" s="130">
        <f t="shared" si="215"/>
        <v>9.1344596554386204</v>
      </c>
      <c r="I163" s="130">
        <f t="shared" si="215"/>
        <v>9.1768195019328456</v>
      </c>
      <c r="J163" s="130">
        <f t="shared" si="215"/>
        <v>9.1683342982518656</v>
      </c>
      <c r="K163" s="130">
        <f t="shared" si="215"/>
        <v>9.5113277254438682</v>
      </c>
      <c r="L163" s="130">
        <f t="shared" ref="L163" si="216">IF(L26=0,0,L26/L53)</f>
        <v>9.7616619824336404</v>
      </c>
      <c r="M163" s="130">
        <f t="shared" ref="M163:V163" si="217">IF(M26=0,0,M26/M53)</f>
        <v>10.182558648129834</v>
      </c>
      <c r="N163" s="130">
        <f t="shared" si="217"/>
        <v>10.160595340848923</v>
      </c>
      <c r="O163" s="130">
        <f t="shared" si="217"/>
        <v>10.336104416717504</v>
      </c>
      <c r="P163" s="130">
        <f t="shared" si="217"/>
        <v>10.47625749316424</v>
      </c>
      <c r="Q163" s="130">
        <f t="shared" si="217"/>
        <v>10.492933861881973</v>
      </c>
      <c r="R163" s="130">
        <f t="shared" si="217"/>
        <v>10.888461380115196</v>
      </c>
      <c r="S163" s="130">
        <f t="shared" si="217"/>
        <v>11.070543105926623</v>
      </c>
      <c r="T163" s="130">
        <f t="shared" si="217"/>
        <v>10.920862045990544</v>
      </c>
      <c r="U163" s="130">
        <f t="shared" si="217"/>
        <v>10.845575717721978</v>
      </c>
      <c r="V163" s="130">
        <f t="shared" si="217"/>
        <v>10.877750930520099</v>
      </c>
      <c r="W163" s="130">
        <f t="shared" ref="W163" si="218">IF(W26=0,0,W26/W53)</f>
        <v>10.99419665611943</v>
      </c>
      <c r="DA163" s="176" t="s">
        <v>573</v>
      </c>
    </row>
    <row r="164" spans="1:105" ht="11.45" customHeight="1" x14ac:dyDescent="0.25">
      <c r="A164" s="128" t="s">
        <v>27</v>
      </c>
      <c r="B164" s="97">
        <v>7.8796561604584525</v>
      </c>
      <c r="C164" s="97">
        <v>7.5920502092050208</v>
      </c>
      <c r="D164" s="97">
        <v>7.8196605374823198</v>
      </c>
      <c r="E164" s="97">
        <v>7.2830687830687832</v>
      </c>
      <c r="F164" s="97">
        <v>7.3079056865464631</v>
      </c>
      <c r="G164" s="97">
        <v>7.749124036440084</v>
      </c>
      <c r="H164" s="97">
        <v>7.6786907147628591</v>
      </c>
      <c r="I164" s="97">
        <v>7.6772934287573191</v>
      </c>
      <c r="J164" s="97">
        <v>7.2713704206241516</v>
      </c>
      <c r="K164" s="97">
        <v>7.8447058823529412</v>
      </c>
      <c r="L164" s="97">
        <v>8.1581790123456788</v>
      </c>
      <c r="M164" s="97">
        <v>8.8614591009579957</v>
      </c>
      <c r="N164" s="97">
        <v>8.8943560057887119</v>
      </c>
      <c r="O164" s="97">
        <v>8.9501831501831504</v>
      </c>
      <c r="P164" s="97">
        <v>9.2582260371959944</v>
      </c>
      <c r="Q164" s="97">
        <v>9.2692307692307701</v>
      </c>
      <c r="R164" s="97">
        <v>9.6641957005189028</v>
      </c>
      <c r="S164" s="97">
        <v>9.7875486381322965</v>
      </c>
      <c r="T164" s="97">
        <v>9.6062052505966591</v>
      </c>
      <c r="U164" s="97">
        <v>9.5262333594361781</v>
      </c>
      <c r="V164" s="97">
        <v>9.5733024691358022</v>
      </c>
      <c r="W164" s="97">
        <v>9.6932931424265263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13.931044885469863</v>
      </c>
      <c r="S165" s="98">
        <v>14.049661034098957</v>
      </c>
      <c r="T165" s="98">
        <v>14.155971572922999</v>
      </c>
      <c r="U165" s="98">
        <v>14.102032210128923</v>
      </c>
      <c r="V165" s="98">
        <v>13.886790192476639</v>
      </c>
      <c r="W165" s="98">
        <v>14.040774681152577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13545.388498157166</v>
      </c>
      <c r="C167" s="54">
        <f t="shared" si="219"/>
        <v>13645.133018486311</v>
      </c>
      <c r="D167" s="54">
        <f t="shared" si="219"/>
        <v>13842.451608806579</v>
      </c>
      <c r="E167" s="54">
        <f t="shared" si="219"/>
        <v>14167.11824744952</v>
      </c>
      <c r="F167" s="54">
        <f t="shared" si="219"/>
        <v>14323.766046421071</v>
      </c>
      <c r="G167" s="54">
        <f t="shared" si="219"/>
        <v>14214.734298969934</v>
      </c>
      <c r="H167" s="54">
        <f t="shared" si="219"/>
        <v>14228.870197492966</v>
      </c>
      <c r="I167" s="54">
        <f t="shared" si="219"/>
        <v>14865.581269193448</v>
      </c>
      <c r="J167" s="54">
        <f t="shared" si="219"/>
        <v>14892.402048253371</v>
      </c>
      <c r="K167" s="54">
        <f t="shared" si="219"/>
        <v>14644.851745411561</v>
      </c>
      <c r="L167" s="54">
        <f t="shared" si="219"/>
        <v>14614.965355292064</v>
      </c>
      <c r="M167" s="54">
        <f>IF(M30=0,0,M30*1000000/M57)</f>
        <v>14881.849222374482</v>
      </c>
      <c r="N167" s="54">
        <f t="shared" ref="N167:V167" si="220">IF(N30=0,0,N30*1000000/N57)</f>
        <v>14249.13024754031</v>
      </c>
      <c r="O167" s="54">
        <f t="shared" si="220"/>
        <v>14276.108740374999</v>
      </c>
      <c r="P167" s="54">
        <f t="shared" si="220"/>
        <v>14343.845024089042</v>
      </c>
      <c r="Q167" s="54">
        <f t="shared" si="220"/>
        <v>15298.481217851067</v>
      </c>
      <c r="R167" s="54">
        <f t="shared" si="220"/>
        <v>15694.364846718479</v>
      </c>
      <c r="S167" s="54">
        <f t="shared" si="220"/>
        <v>15230.917792914055</v>
      </c>
      <c r="T167" s="54">
        <f t="shared" si="220"/>
        <v>15098.091657074508</v>
      </c>
      <c r="U167" s="54">
        <f t="shared" si="220"/>
        <v>15042.237254586711</v>
      </c>
      <c r="V167" s="54">
        <f t="shared" si="220"/>
        <v>13771.970513783346</v>
      </c>
      <c r="W167" s="54">
        <f t="shared" ref="W167:W191" si="221">IF(W30=0,0,W30*1000000/W57)</f>
        <v>14207.294575778124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12578.014435301875</v>
      </c>
      <c r="C168" s="28">
        <f t="shared" si="219"/>
        <v>12502.271833288487</v>
      </c>
      <c r="D168" s="28">
        <f t="shared" si="219"/>
        <v>12693.096738597678</v>
      </c>
      <c r="E168" s="28">
        <f t="shared" si="219"/>
        <v>12928.170192346584</v>
      </c>
      <c r="F168" s="28">
        <f t="shared" si="219"/>
        <v>12971.123928077817</v>
      </c>
      <c r="G168" s="28">
        <f t="shared" si="219"/>
        <v>12849.780838480654</v>
      </c>
      <c r="H168" s="28">
        <f t="shared" si="219"/>
        <v>12772.558454420769</v>
      </c>
      <c r="I168" s="28">
        <f t="shared" si="219"/>
        <v>13365.083228812566</v>
      </c>
      <c r="J168" s="28">
        <f t="shared" si="219"/>
        <v>13379.879818967342</v>
      </c>
      <c r="K168" s="28">
        <f t="shared" si="219"/>
        <v>13292.058994181529</v>
      </c>
      <c r="L168" s="28">
        <f t="shared" si="219"/>
        <v>13247.24914819504</v>
      </c>
      <c r="M168" s="28">
        <f t="shared" ref="M168:M192" si="222">IF(M31=0,0,M31*1000000/M58)</f>
        <v>13844.311522099631</v>
      </c>
      <c r="N168" s="28">
        <f t="shared" si="219"/>
        <v>13318.8141593726</v>
      </c>
      <c r="O168" s="28">
        <f t="shared" si="219"/>
        <v>13433.53010057169</v>
      </c>
      <c r="P168" s="28">
        <f t="shared" si="219"/>
        <v>13610.011457150056</v>
      </c>
      <c r="Q168" s="28">
        <f t="shared" si="219"/>
        <v>14704.072433875106</v>
      </c>
      <c r="R168" s="28">
        <f t="shared" si="219"/>
        <v>15138.395110337491</v>
      </c>
      <c r="S168" s="28">
        <f t="shared" si="219"/>
        <v>14564.434437728767</v>
      </c>
      <c r="T168" s="28">
        <f t="shared" si="219"/>
        <v>14362.561411174003</v>
      </c>
      <c r="U168" s="28">
        <f t="shared" si="219"/>
        <v>14326.155544311081</v>
      </c>
      <c r="V168" s="28">
        <f t="shared" si="219"/>
        <v>13021.765029671089</v>
      </c>
      <c r="W168" s="28">
        <f t="shared" si="221"/>
        <v>13448.834010569082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4045.0319581204267</v>
      </c>
      <c r="C169" s="137">
        <f t="shared" si="219"/>
        <v>3628.3643265013889</v>
      </c>
      <c r="D169" s="137">
        <f t="shared" si="219"/>
        <v>3648.9508006900551</v>
      </c>
      <c r="E169" s="137">
        <f t="shared" si="219"/>
        <v>3580.7794876166035</v>
      </c>
      <c r="F169" s="137">
        <f t="shared" si="219"/>
        <v>3436.050527977894</v>
      </c>
      <c r="G169" s="137">
        <f t="shared" si="219"/>
        <v>3328.6993142039473</v>
      </c>
      <c r="H169" s="137">
        <f t="shared" si="219"/>
        <v>3275.3917711752047</v>
      </c>
      <c r="I169" s="137">
        <f t="shared" si="219"/>
        <v>3264.6809719186313</v>
      </c>
      <c r="J169" s="137">
        <f t="shared" si="219"/>
        <v>3143.6245543780828</v>
      </c>
      <c r="K169" s="137">
        <f t="shared" si="219"/>
        <v>3020.1495435315201</v>
      </c>
      <c r="L169" s="137">
        <f t="shared" si="219"/>
        <v>3051.5115753219679</v>
      </c>
      <c r="M169" s="137">
        <f t="shared" si="222"/>
        <v>3076.8187431779857</v>
      </c>
      <c r="N169" s="137">
        <f t="shared" si="219"/>
        <v>3122.8374154401467</v>
      </c>
      <c r="O169" s="137">
        <f t="shared" si="219"/>
        <v>3183.6721121335622</v>
      </c>
      <c r="P169" s="137">
        <f t="shared" si="219"/>
        <v>3253.8342124990572</v>
      </c>
      <c r="Q169" s="137">
        <f t="shared" si="219"/>
        <v>3272.756211249331</v>
      </c>
      <c r="R169" s="137">
        <f t="shared" si="219"/>
        <v>3269.5163269891505</v>
      </c>
      <c r="S169" s="137">
        <f t="shared" si="219"/>
        <v>3066.3639459280048</v>
      </c>
      <c r="T169" s="137">
        <f t="shared" si="219"/>
        <v>2896.7641166213116</v>
      </c>
      <c r="U169" s="137">
        <f t="shared" si="219"/>
        <v>3112.9484682022444</v>
      </c>
      <c r="V169" s="137">
        <f t="shared" si="219"/>
        <v>2755.9177911525817</v>
      </c>
      <c r="W169" s="137">
        <f t="shared" si="221"/>
        <v>2833.8102523538068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12970.065669917401</v>
      </c>
      <c r="C170" s="110">
        <f t="shared" si="219"/>
        <v>12955.263465592236</v>
      </c>
      <c r="D170" s="110">
        <f t="shared" si="219"/>
        <v>13185.767014304518</v>
      </c>
      <c r="E170" s="110">
        <f t="shared" si="219"/>
        <v>13470.707947795083</v>
      </c>
      <c r="F170" s="110">
        <f t="shared" si="219"/>
        <v>13560.306121278827</v>
      </c>
      <c r="G170" s="110">
        <f t="shared" si="219"/>
        <v>13465.485745524236</v>
      </c>
      <c r="H170" s="110">
        <f t="shared" si="219"/>
        <v>13420.771304352078</v>
      </c>
      <c r="I170" s="110">
        <f t="shared" si="219"/>
        <v>14121.53914537934</v>
      </c>
      <c r="J170" s="110">
        <f t="shared" si="219"/>
        <v>14170.689455155809</v>
      </c>
      <c r="K170" s="110">
        <f t="shared" si="219"/>
        <v>14075.619194799076</v>
      </c>
      <c r="L170" s="110">
        <f t="shared" si="219"/>
        <v>13993.753980349147</v>
      </c>
      <c r="M170" s="110">
        <f t="shared" si="222"/>
        <v>14625.586206002346</v>
      </c>
      <c r="N170" s="110">
        <f t="shared" si="219"/>
        <v>14039.295763123964</v>
      </c>
      <c r="O170" s="110">
        <f t="shared" si="219"/>
        <v>14149.496480457246</v>
      </c>
      <c r="P170" s="110">
        <f t="shared" si="219"/>
        <v>14310.786472033815</v>
      </c>
      <c r="Q170" s="110">
        <f t="shared" si="219"/>
        <v>15486.572457937718</v>
      </c>
      <c r="R170" s="110">
        <f t="shared" si="219"/>
        <v>15950.776348298683</v>
      </c>
      <c r="S170" s="110">
        <f t="shared" si="219"/>
        <v>15299.762596888142</v>
      </c>
      <c r="T170" s="110">
        <f t="shared" si="219"/>
        <v>15066.994308160165</v>
      </c>
      <c r="U170" s="110">
        <f t="shared" si="219"/>
        <v>14979.998591067595</v>
      </c>
      <c r="V170" s="110">
        <f t="shared" si="219"/>
        <v>13584.417949585526</v>
      </c>
      <c r="W170" s="110">
        <f t="shared" si="221"/>
        <v>14033.163936581266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12611.684217326558</v>
      </c>
      <c r="C171" s="84">
        <f t="shared" si="219"/>
        <v>12537.63020160375</v>
      </c>
      <c r="D171" s="84">
        <f t="shared" si="219"/>
        <v>12712.22084270089</v>
      </c>
      <c r="E171" s="84">
        <f t="shared" si="219"/>
        <v>12933.586885989462</v>
      </c>
      <c r="F171" s="84">
        <f t="shared" si="219"/>
        <v>12924.267867782048</v>
      </c>
      <c r="G171" s="84">
        <f t="shared" si="219"/>
        <v>12697.575322056693</v>
      </c>
      <c r="H171" s="84">
        <f t="shared" si="219"/>
        <v>12528.101112444208</v>
      </c>
      <c r="I171" s="84">
        <f t="shared" si="219"/>
        <v>12938.87558071324</v>
      </c>
      <c r="J171" s="84">
        <f t="shared" si="219"/>
        <v>12797.931403096271</v>
      </c>
      <c r="K171" s="84">
        <f t="shared" si="219"/>
        <v>12601.285562730263</v>
      </c>
      <c r="L171" s="84">
        <f t="shared" si="219"/>
        <v>12321.074967167266</v>
      </c>
      <c r="M171" s="84">
        <f t="shared" si="222"/>
        <v>12781.858744350457</v>
      </c>
      <c r="N171" s="84">
        <f t="shared" si="219"/>
        <v>12067.4718832617</v>
      </c>
      <c r="O171" s="84">
        <f t="shared" si="219"/>
        <v>12231.248285416446</v>
      </c>
      <c r="P171" s="84">
        <f t="shared" si="219"/>
        <v>12768.316938751299</v>
      </c>
      <c r="Q171" s="84">
        <f t="shared" si="219"/>
        <v>13635.128970139996</v>
      </c>
      <c r="R171" s="84">
        <f t="shared" si="219"/>
        <v>13751.626184778894</v>
      </c>
      <c r="S171" s="84">
        <f t="shared" si="219"/>
        <v>12806.008022695905</v>
      </c>
      <c r="T171" s="84">
        <f t="shared" si="219"/>
        <v>12554.310380877678</v>
      </c>
      <c r="U171" s="84">
        <f t="shared" si="219"/>
        <v>12586.797509304552</v>
      </c>
      <c r="V171" s="84">
        <f t="shared" si="219"/>
        <v>11578.169273420644</v>
      </c>
      <c r="W171" s="84">
        <f t="shared" si="221"/>
        <v>12100.154992650954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18075.622123625762</v>
      </c>
      <c r="C172" s="84">
        <f t="shared" si="219"/>
        <v>18145.896143083875</v>
      </c>
      <c r="D172" s="84">
        <f t="shared" si="219"/>
        <v>18536.378301823552</v>
      </c>
      <c r="E172" s="84">
        <f t="shared" si="219"/>
        <v>19307.390315842087</v>
      </c>
      <c r="F172" s="84">
        <f t="shared" si="219"/>
        <v>19672.328714958843</v>
      </c>
      <c r="G172" s="84">
        <f t="shared" si="219"/>
        <v>19285.929735368813</v>
      </c>
      <c r="H172" s="84">
        <f t="shared" si="219"/>
        <v>19230.422633998984</v>
      </c>
      <c r="I172" s="84">
        <f t="shared" si="219"/>
        <v>19855.53241732781</v>
      </c>
      <c r="J172" s="84">
        <f t="shared" si="219"/>
        <v>19741.028279840659</v>
      </c>
      <c r="K172" s="84">
        <f t="shared" si="219"/>
        <v>19351.297061625915</v>
      </c>
      <c r="L172" s="84">
        <f t="shared" si="219"/>
        <v>19117.654462175233</v>
      </c>
      <c r="M172" s="84">
        <f t="shared" si="222"/>
        <v>19692.256105306817</v>
      </c>
      <c r="N172" s="84">
        <f t="shared" si="219"/>
        <v>18860.104093108363</v>
      </c>
      <c r="O172" s="84">
        <f t="shared" si="219"/>
        <v>18350.797850993917</v>
      </c>
      <c r="P172" s="84">
        <f t="shared" si="219"/>
        <v>17319.312320722995</v>
      </c>
      <c r="Q172" s="84">
        <f t="shared" si="219"/>
        <v>18736.065110873871</v>
      </c>
      <c r="R172" s="84">
        <f t="shared" si="219"/>
        <v>20603.822867908577</v>
      </c>
      <c r="S172" s="84">
        <f t="shared" si="219"/>
        <v>20647.317480040481</v>
      </c>
      <c r="T172" s="84">
        <f t="shared" si="219"/>
        <v>20523.50861734615</v>
      </c>
      <c r="U172" s="84">
        <f t="shared" si="219"/>
        <v>20250.36306229089</v>
      </c>
      <c r="V172" s="84">
        <f t="shared" si="219"/>
        <v>18126.789361727839</v>
      </c>
      <c r="W172" s="84">
        <f t="shared" si="221"/>
        <v>18724.679882454173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16336.012332713066</v>
      </c>
      <c r="C173" s="84">
        <f t="shared" si="219"/>
        <v>16123.97679660872</v>
      </c>
      <c r="D173" s="84">
        <f t="shared" si="219"/>
        <v>15686.618289417282</v>
      </c>
      <c r="E173" s="84">
        <f t="shared" si="219"/>
        <v>15561.04368023337</v>
      </c>
      <c r="F173" s="84">
        <f t="shared" si="219"/>
        <v>15100.162433123796</v>
      </c>
      <c r="G173" s="84">
        <f t="shared" si="219"/>
        <v>14098.636956727039</v>
      </c>
      <c r="H173" s="84">
        <f t="shared" si="219"/>
        <v>13388.62807096894</v>
      </c>
      <c r="I173" s="84">
        <f t="shared" si="219"/>
        <v>13165.564532636121</v>
      </c>
      <c r="J173" s="84">
        <f t="shared" si="219"/>
        <v>12466.324308733889</v>
      </c>
      <c r="K173" s="84">
        <f t="shared" si="219"/>
        <v>11638.296867251762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0</v>
      </c>
      <c r="S173" s="84">
        <f t="shared" si="219"/>
        <v>0</v>
      </c>
      <c r="T173" s="84">
        <f t="shared" si="219"/>
        <v>0</v>
      </c>
      <c r="U173" s="84">
        <f t="shared" si="219"/>
        <v>0</v>
      </c>
      <c r="V173" s="84">
        <f t="shared" si="219"/>
        <v>0</v>
      </c>
      <c r="W173" s="84">
        <f t="shared" si="221"/>
        <v>0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21265.249018026982</v>
      </c>
      <c r="R174" s="84">
        <f t="shared" si="219"/>
        <v>22013.935484581991</v>
      </c>
      <c r="S174" s="84">
        <f t="shared" si="219"/>
        <v>20880.14092316727</v>
      </c>
      <c r="T174" s="84">
        <f t="shared" si="219"/>
        <v>20547.386606345404</v>
      </c>
      <c r="U174" s="84">
        <f t="shared" si="219"/>
        <v>20071.184028640811</v>
      </c>
      <c r="V174" s="84">
        <f t="shared" si="219"/>
        <v>17865.611416537347</v>
      </c>
      <c r="W174" s="84">
        <f t="shared" si="221"/>
        <v>18439.467097904166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12413.242222696677</v>
      </c>
      <c r="O175" s="84">
        <f t="shared" si="219"/>
        <v>12537.22576369532</v>
      </c>
      <c r="P175" s="84">
        <f t="shared" si="219"/>
        <v>12995.866707849884</v>
      </c>
      <c r="Q175" s="84">
        <f t="shared" si="219"/>
        <v>14448.244243103059</v>
      </c>
      <c r="R175" s="84">
        <f t="shared" si="219"/>
        <v>14094.236018935379</v>
      </c>
      <c r="S175" s="84">
        <f t="shared" si="219"/>
        <v>13200.052062156779</v>
      </c>
      <c r="T175" s="84">
        <f t="shared" si="219"/>
        <v>12977.751277733243</v>
      </c>
      <c r="U175" s="84">
        <f t="shared" si="219"/>
        <v>12978.549242401567</v>
      </c>
      <c r="V175" s="84">
        <f t="shared" si="219"/>
        <v>11854.566138145357</v>
      </c>
      <c r="W175" s="84">
        <f t="shared" si="221"/>
        <v>12431.381237141115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14063.602441196848</v>
      </c>
      <c r="L176" s="84">
        <f t="shared" si="219"/>
        <v>14079.424188365461</v>
      </c>
      <c r="M176" s="84">
        <f t="shared" si="222"/>
        <v>14105.294703386404</v>
      </c>
      <c r="N176" s="84">
        <f t="shared" si="219"/>
        <v>14145.915198293662</v>
      </c>
      <c r="O176" s="84">
        <f t="shared" si="219"/>
        <v>14155.453079829391</v>
      </c>
      <c r="P176" s="84">
        <f t="shared" si="219"/>
        <v>14185.900787760849</v>
      </c>
      <c r="Q176" s="84">
        <f t="shared" si="219"/>
        <v>14266.643148082429</v>
      </c>
      <c r="R176" s="84">
        <f t="shared" si="219"/>
        <v>14238.621267206254</v>
      </c>
      <c r="S176" s="84">
        <f t="shared" si="219"/>
        <v>14187.991641645287</v>
      </c>
      <c r="T176" s="84">
        <f t="shared" si="219"/>
        <v>14173.916780334024</v>
      </c>
      <c r="U176" s="84">
        <f t="shared" si="219"/>
        <v>14172.085356024714</v>
      </c>
      <c r="V176" s="84">
        <f t="shared" si="219"/>
        <v>13265.15889624048</v>
      </c>
      <c r="W176" s="84">
        <f t="shared" si="221"/>
        <v>14144.172482187865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45031.500572737685</v>
      </c>
      <c r="C177" s="110">
        <f t="shared" si="219"/>
        <v>44790.024365773257</v>
      </c>
      <c r="D177" s="110">
        <f t="shared" si="219"/>
        <v>44029.711689376396</v>
      </c>
      <c r="E177" s="110">
        <f t="shared" si="219"/>
        <v>43188.803758889786</v>
      </c>
      <c r="F177" s="110">
        <f t="shared" si="219"/>
        <v>42350.785709252341</v>
      </c>
      <c r="G177" s="110">
        <f t="shared" si="219"/>
        <v>42494.098041938618</v>
      </c>
      <c r="H177" s="110">
        <f t="shared" si="219"/>
        <v>42880.703683342494</v>
      </c>
      <c r="I177" s="110">
        <f t="shared" si="219"/>
        <v>42811.76633061732</v>
      </c>
      <c r="J177" s="110">
        <f t="shared" si="219"/>
        <v>43523.387766399115</v>
      </c>
      <c r="K177" s="110">
        <f t="shared" si="219"/>
        <v>44050.677221816026</v>
      </c>
      <c r="L177" s="110">
        <f t="shared" si="219"/>
        <v>44919.278537422157</v>
      </c>
      <c r="M177" s="110">
        <f t="shared" si="222"/>
        <v>45349.455073499797</v>
      </c>
      <c r="N177" s="110">
        <f t="shared" si="219"/>
        <v>44374.793288841007</v>
      </c>
      <c r="O177" s="110">
        <f t="shared" si="219"/>
        <v>43469.752734468042</v>
      </c>
      <c r="P177" s="110">
        <f t="shared" si="219"/>
        <v>44379.841624899665</v>
      </c>
      <c r="Q177" s="110">
        <f t="shared" si="219"/>
        <v>45281.327056713744</v>
      </c>
      <c r="R177" s="110">
        <f t="shared" si="219"/>
        <v>46647.230320699709</v>
      </c>
      <c r="S177" s="110">
        <f t="shared" si="219"/>
        <v>48064.085447263016</v>
      </c>
      <c r="T177" s="110">
        <f t="shared" si="219"/>
        <v>48791.609667122662</v>
      </c>
      <c r="U177" s="110">
        <f t="shared" si="219"/>
        <v>48007.260275472319</v>
      </c>
      <c r="V177" s="110">
        <f t="shared" si="219"/>
        <v>50545.970516925641</v>
      </c>
      <c r="W177" s="110">
        <f t="shared" si="221"/>
        <v>52167.653353115049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44844.782130651984</v>
      </c>
      <c r="C178" s="102">
        <f t="shared" si="219"/>
        <v>45502.364632316203</v>
      </c>
      <c r="D178" s="102">
        <f t="shared" si="219"/>
        <v>45603.760978420287</v>
      </c>
      <c r="E178" s="102">
        <f t="shared" si="219"/>
        <v>45601.715965469404</v>
      </c>
      <c r="F178" s="102">
        <f t="shared" si="219"/>
        <v>45584.786088323825</v>
      </c>
      <c r="G178" s="102">
        <f t="shared" si="219"/>
        <v>46680.376078414978</v>
      </c>
      <c r="H178" s="102">
        <f t="shared" si="219"/>
        <v>48088.166984871059</v>
      </c>
      <c r="I178" s="102">
        <f t="shared" si="219"/>
        <v>48986.730242078855</v>
      </c>
      <c r="J178" s="102">
        <f t="shared" si="219"/>
        <v>50859.243968243827</v>
      </c>
      <c r="K178" s="102">
        <f t="shared" si="219"/>
        <v>50475.638375806739</v>
      </c>
      <c r="L178" s="102">
        <f t="shared" si="219"/>
        <v>50470.873922078674</v>
      </c>
      <c r="M178" s="102">
        <f t="shared" si="222"/>
        <v>50409.093774757435</v>
      </c>
      <c r="N178" s="102">
        <f t="shared" si="219"/>
        <v>50378.357359260721</v>
      </c>
      <c r="O178" s="102">
        <f t="shared" si="219"/>
        <v>50406.901240606661</v>
      </c>
      <c r="P178" s="102">
        <f t="shared" si="219"/>
        <v>50505.46051652819</v>
      </c>
      <c r="Q178" s="102">
        <f t="shared" si="219"/>
        <v>50571.779037250992</v>
      </c>
      <c r="R178" s="102">
        <f t="shared" si="219"/>
        <v>51131.244069447013</v>
      </c>
      <c r="S178" s="102">
        <f t="shared" si="219"/>
        <v>51707.91149728802</v>
      </c>
      <c r="T178" s="102">
        <f t="shared" si="219"/>
        <v>51479.433437338201</v>
      </c>
      <c r="U178" s="102">
        <f t="shared" si="219"/>
        <v>49598.632091541767</v>
      </c>
      <c r="V178" s="102">
        <f t="shared" si="219"/>
        <v>51309.097221447941</v>
      </c>
      <c r="W178" s="102">
        <f t="shared" si="221"/>
        <v>51978.165644978275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45055.468227998543</v>
      </c>
      <c r="C179" s="102">
        <f t="shared" si="219"/>
        <v>44698.48302460571</v>
      </c>
      <c r="D179" s="102">
        <f t="shared" si="219"/>
        <v>43829.673351974328</v>
      </c>
      <c r="E179" s="102">
        <f t="shared" si="219"/>
        <v>43004.467484748624</v>
      </c>
      <c r="F179" s="102">
        <f t="shared" si="219"/>
        <v>42151.170991854924</v>
      </c>
      <c r="G179" s="102">
        <f t="shared" si="219"/>
        <v>42260.231189754239</v>
      </c>
      <c r="H179" s="102">
        <f t="shared" si="219"/>
        <v>42598.923524976555</v>
      </c>
      <c r="I179" s="102">
        <f t="shared" si="219"/>
        <v>42490.120916558626</v>
      </c>
      <c r="J179" s="102">
        <f t="shared" si="219"/>
        <v>43150.540861353707</v>
      </c>
      <c r="K179" s="102">
        <f t="shared" si="219"/>
        <v>43735.259058012998</v>
      </c>
      <c r="L179" s="102">
        <f t="shared" si="219"/>
        <v>44655.719164077302</v>
      </c>
      <c r="M179" s="102">
        <f t="shared" si="222"/>
        <v>45107.727288071495</v>
      </c>
      <c r="N179" s="102">
        <f t="shared" si="219"/>
        <v>44084.486451260265</v>
      </c>
      <c r="O179" s="102">
        <f t="shared" si="219"/>
        <v>43105.508420456004</v>
      </c>
      <c r="P179" s="102">
        <f t="shared" si="219"/>
        <v>44095.384960533869</v>
      </c>
      <c r="Q179" s="102">
        <f t="shared" si="219"/>
        <v>45017.984524331427</v>
      </c>
      <c r="R179" s="102">
        <f t="shared" si="219"/>
        <v>46377.774214972989</v>
      </c>
      <c r="S179" s="102">
        <f t="shared" si="219"/>
        <v>47719.519760415642</v>
      </c>
      <c r="T179" s="102">
        <f t="shared" si="219"/>
        <v>48478.607466901027</v>
      </c>
      <c r="U179" s="102">
        <f t="shared" si="219"/>
        <v>47752.482802030921</v>
      </c>
      <c r="V179" s="102">
        <f t="shared" si="219"/>
        <v>50307.44542637618</v>
      </c>
      <c r="W179" s="102">
        <f t="shared" si="221"/>
        <v>52074.22919287681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62786.342510333743</v>
      </c>
      <c r="R181" s="102">
        <f t="shared" si="223"/>
        <v>64699.506554054286</v>
      </c>
      <c r="S181" s="102">
        <f t="shared" si="223"/>
        <v>66684.628658341564</v>
      </c>
      <c r="T181" s="102">
        <f t="shared" si="223"/>
        <v>67704.174101988319</v>
      </c>
      <c r="U181" s="102">
        <f t="shared" si="223"/>
        <v>66605.0008766994</v>
      </c>
      <c r="V181" s="102">
        <f t="shared" si="223"/>
        <v>70163.339618630358</v>
      </c>
      <c r="W181" s="102">
        <f t="shared" si="221"/>
        <v>72437.284550049866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0</v>
      </c>
      <c r="Q182" s="102">
        <f t="shared" si="223"/>
        <v>0</v>
      </c>
      <c r="R182" s="102">
        <f t="shared" si="223"/>
        <v>45522.65340078083</v>
      </c>
      <c r="S182" s="102">
        <f t="shared" si="223"/>
        <v>45454.59860823417</v>
      </c>
      <c r="T182" s="102">
        <f t="shared" si="223"/>
        <v>45420.467908877145</v>
      </c>
      <c r="U182" s="102">
        <f t="shared" si="223"/>
        <v>45383.67836173204</v>
      </c>
      <c r="V182" s="102">
        <f t="shared" si="223"/>
        <v>43663.1414998521</v>
      </c>
      <c r="W182" s="102">
        <f t="shared" si="221"/>
        <v>45195.476932051402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18679.636784044797</v>
      </c>
      <c r="C183" s="28">
        <f t="shared" si="223"/>
        <v>19654.863016566811</v>
      </c>
      <c r="D183" s="28">
        <f t="shared" si="223"/>
        <v>19798.160288987703</v>
      </c>
      <c r="E183" s="28">
        <f t="shared" si="223"/>
        <v>20449.037300136348</v>
      </c>
      <c r="F183" s="28">
        <f t="shared" si="223"/>
        <v>20895.029164802083</v>
      </c>
      <c r="G183" s="28">
        <f t="shared" si="223"/>
        <v>20534.633708590718</v>
      </c>
      <c r="H183" s="28">
        <f t="shared" si="223"/>
        <v>20618.747127022874</v>
      </c>
      <c r="I183" s="28">
        <f t="shared" si="223"/>
        <v>21275.722163883518</v>
      </c>
      <c r="J183" s="28">
        <f t="shared" si="223"/>
        <v>21505.405199685123</v>
      </c>
      <c r="K183" s="28">
        <f t="shared" si="223"/>
        <v>20890.352698743765</v>
      </c>
      <c r="L183" s="28">
        <f t="shared" si="223"/>
        <v>21322.507526924452</v>
      </c>
      <c r="M183" s="28">
        <f t="shared" si="222"/>
        <v>20203.229605190027</v>
      </c>
      <c r="N183" s="28">
        <f t="shared" si="223"/>
        <v>19192.74848879805</v>
      </c>
      <c r="O183" s="28">
        <f t="shared" si="223"/>
        <v>18965.417405968037</v>
      </c>
      <c r="P183" s="28">
        <f t="shared" si="223"/>
        <v>18557.336994140085</v>
      </c>
      <c r="Q183" s="28">
        <f t="shared" si="223"/>
        <v>18782.912293474958</v>
      </c>
      <c r="R183" s="28">
        <f t="shared" si="223"/>
        <v>18927.053757271013</v>
      </c>
      <c r="S183" s="28">
        <f t="shared" si="223"/>
        <v>19288.353449087394</v>
      </c>
      <c r="T183" s="28">
        <f t="shared" si="223"/>
        <v>19840.612843683026</v>
      </c>
      <c r="U183" s="28">
        <f t="shared" si="223"/>
        <v>19850.286997207346</v>
      </c>
      <c r="V183" s="28">
        <f t="shared" si="223"/>
        <v>19010.612394036776</v>
      </c>
      <c r="W183" s="28">
        <f t="shared" si="221"/>
        <v>19590.689613018483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15890.299371657045</v>
      </c>
      <c r="C184" s="137">
        <f t="shared" si="223"/>
        <v>16964.201139174042</v>
      </c>
      <c r="D184" s="137">
        <f t="shared" si="223"/>
        <v>17274.312378420975</v>
      </c>
      <c r="E184" s="137">
        <f t="shared" si="223"/>
        <v>17820.531014157295</v>
      </c>
      <c r="F184" s="137">
        <f t="shared" si="223"/>
        <v>18597.933782457145</v>
      </c>
      <c r="G184" s="137">
        <f t="shared" si="223"/>
        <v>18647.989490706976</v>
      </c>
      <c r="H184" s="137">
        <f t="shared" si="223"/>
        <v>18783.711016094177</v>
      </c>
      <c r="I184" s="137">
        <f t="shared" si="223"/>
        <v>19723.426343865343</v>
      </c>
      <c r="J184" s="137">
        <f t="shared" si="223"/>
        <v>19850.249306026973</v>
      </c>
      <c r="K184" s="137">
        <f t="shared" si="223"/>
        <v>19491.715540814072</v>
      </c>
      <c r="L184" s="137">
        <f t="shared" si="223"/>
        <v>19916.707557699821</v>
      </c>
      <c r="M184" s="137">
        <f t="shared" si="222"/>
        <v>18435.31460514454</v>
      </c>
      <c r="N184" s="137">
        <f t="shared" si="223"/>
        <v>17176.170699121369</v>
      </c>
      <c r="O184" s="137">
        <f t="shared" si="223"/>
        <v>16733.908172468175</v>
      </c>
      <c r="P184" s="137">
        <f t="shared" si="223"/>
        <v>16230.220449552489</v>
      </c>
      <c r="Q184" s="137">
        <f t="shared" si="223"/>
        <v>16298.48849551387</v>
      </c>
      <c r="R184" s="137">
        <f t="shared" si="223"/>
        <v>16368.641545051127</v>
      </c>
      <c r="S184" s="137">
        <f t="shared" si="223"/>
        <v>16925.927983036447</v>
      </c>
      <c r="T184" s="137">
        <f t="shared" si="223"/>
        <v>17678.786716516533</v>
      </c>
      <c r="U184" s="137">
        <f t="shared" si="223"/>
        <v>17589.268978620275</v>
      </c>
      <c r="V184" s="137">
        <f t="shared" si="223"/>
        <v>16482.401503318961</v>
      </c>
      <c r="W184" s="137">
        <f t="shared" si="221"/>
        <v>17074.54118809303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13222.238432179671</v>
      </c>
      <c r="C185" s="84">
        <f t="shared" si="223"/>
        <v>14904.334797826234</v>
      </c>
      <c r="D185" s="84">
        <f t="shared" si="223"/>
        <v>14880.953245541037</v>
      </c>
      <c r="E185" s="84">
        <f t="shared" si="223"/>
        <v>14255.767554922422</v>
      </c>
      <c r="F185" s="84">
        <f t="shared" si="223"/>
        <v>14359.312668860257</v>
      </c>
      <c r="G185" s="84">
        <f t="shared" si="223"/>
        <v>14140.637282869144</v>
      </c>
      <c r="H185" s="84">
        <f t="shared" si="223"/>
        <v>13631.27771882362</v>
      </c>
      <c r="I185" s="84">
        <f t="shared" si="223"/>
        <v>14481.427753260796</v>
      </c>
      <c r="J185" s="84">
        <f t="shared" si="223"/>
        <v>13895.490048731555</v>
      </c>
      <c r="K185" s="84">
        <f t="shared" si="223"/>
        <v>13483.454360603386</v>
      </c>
      <c r="L185" s="84">
        <f t="shared" si="223"/>
        <v>13380.77087095227</v>
      </c>
      <c r="M185" s="84">
        <f t="shared" si="222"/>
        <v>12054.300443815631</v>
      </c>
      <c r="N185" s="84">
        <f t="shared" si="223"/>
        <v>11064.306258230208</v>
      </c>
      <c r="O185" s="84">
        <f t="shared" si="223"/>
        <v>11271.229340240103</v>
      </c>
      <c r="P185" s="84">
        <f t="shared" si="223"/>
        <v>11806.798576106277</v>
      </c>
      <c r="Q185" s="84">
        <f t="shared" si="223"/>
        <v>12858.135330485427</v>
      </c>
      <c r="R185" s="84">
        <f t="shared" si="223"/>
        <v>13305.705908424314</v>
      </c>
      <c r="S185" s="84">
        <f t="shared" si="223"/>
        <v>14009.063702709471</v>
      </c>
      <c r="T185" s="84">
        <f t="shared" si="223"/>
        <v>14242.410799088555</v>
      </c>
      <c r="U185" s="84">
        <f t="shared" si="223"/>
        <v>14838.68421875354</v>
      </c>
      <c r="V185" s="84">
        <f t="shared" si="223"/>
        <v>14386.802256885707</v>
      </c>
      <c r="W185" s="84">
        <f t="shared" si="221"/>
        <v>15918.205691042744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16598.006697037334</v>
      </c>
      <c r="C186" s="84">
        <f t="shared" si="223"/>
        <v>17499.236664476688</v>
      </c>
      <c r="D186" s="84">
        <f t="shared" si="223"/>
        <v>17877.491747307515</v>
      </c>
      <c r="E186" s="84">
        <f t="shared" si="223"/>
        <v>18683.93026134737</v>
      </c>
      <c r="F186" s="84">
        <f t="shared" si="223"/>
        <v>19553.318516242376</v>
      </c>
      <c r="G186" s="84">
        <f t="shared" si="223"/>
        <v>19582.750392000871</v>
      </c>
      <c r="H186" s="84">
        <f t="shared" si="223"/>
        <v>19768.937745819334</v>
      </c>
      <c r="I186" s="84">
        <f t="shared" si="223"/>
        <v>20569.571334777716</v>
      </c>
      <c r="J186" s="84">
        <f t="shared" si="223"/>
        <v>20745.132268466161</v>
      </c>
      <c r="K186" s="84">
        <f t="shared" si="223"/>
        <v>20356.812591785234</v>
      </c>
      <c r="L186" s="84">
        <f t="shared" si="223"/>
        <v>20796.050717619426</v>
      </c>
      <c r="M186" s="84">
        <f t="shared" si="222"/>
        <v>19267.12442362892</v>
      </c>
      <c r="N186" s="84">
        <f t="shared" si="223"/>
        <v>17911.72326758493</v>
      </c>
      <c r="O186" s="84">
        <f t="shared" si="223"/>
        <v>17343.759611235433</v>
      </c>
      <c r="P186" s="84">
        <f t="shared" si="223"/>
        <v>16671.396681218637</v>
      </c>
      <c r="Q186" s="84">
        <f t="shared" si="223"/>
        <v>16607.451063065389</v>
      </c>
      <c r="R186" s="84">
        <f t="shared" si="223"/>
        <v>16630.652936437411</v>
      </c>
      <c r="S186" s="84">
        <f t="shared" si="223"/>
        <v>17164.621517926371</v>
      </c>
      <c r="T186" s="84">
        <f t="shared" si="223"/>
        <v>17943.312392993841</v>
      </c>
      <c r="U186" s="84">
        <f t="shared" si="223"/>
        <v>17796.616835526514</v>
      </c>
      <c r="V186" s="84">
        <f t="shared" si="223"/>
        <v>16644.749369628065</v>
      </c>
      <c r="W186" s="84">
        <f t="shared" si="221"/>
        <v>17197.238785417707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9425.5365585033214</v>
      </c>
      <c r="C187" s="84">
        <f t="shared" si="223"/>
        <v>9712.6490008702403</v>
      </c>
      <c r="D187" s="84">
        <f t="shared" si="223"/>
        <v>9616.7805718772343</v>
      </c>
      <c r="E187" s="84">
        <f t="shared" si="223"/>
        <v>9905.5339956205116</v>
      </c>
      <c r="F187" s="84">
        <f t="shared" si="223"/>
        <v>10575.899733979575</v>
      </c>
      <c r="G187" s="84">
        <f t="shared" si="223"/>
        <v>10046.442328436278</v>
      </c>
      <c r="H187" s="84">
        <f t="shared" si="223"/>
        <v>9464.1112153559388</v>
      </c>
      <c r="I187" s="84">
        <f t="shared" si="223"/>
        <v>9411.6513672278506</v>
      </c>
      <c r="J187" s="84">
        <f t="shared" si="223"/>
        <v>9672.8132340550364</v>
      </c>
      <c r="K187" s="84">
        <f t="shared" si="223"/>
        <v>9578.6181317119408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10717.4047294785</v>
      </c>
      <c r="R188" s="84">
        <f t="shared" si="223"/>
        <v>10815.199848669843</v>
      </c>
      <c r="S188" s="84">
        <f t="shared" si="223"/>
        <v>10587.54078586025</v>
      </c>
      <c r="T188" s="84">
        <f t="shared" si="223"/>
        <v>10540.782028198917</v>
      </c>
      <c r="U188" s="84">
        <f t="shared" si="223"/>
        <v>10440.690865098291</v>
      </c>
      <c r="V188" s="84">
        <f t="shared" si="223"/>
        <v>9942.9274511186668</v>
      </c>
      <c r="W188" s="84">
        <f t="shared" si="221"/>
        <v>10389.087618731633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12456.753793712594</v>
      </c>
      <c r="O189" s="84">
        <f t="shared" si="223"/>
        <v>12524.464212972283</v>
      </c>
      <c r="P189" s="84">
        <f t="shared" si="223"/>
        <v>12526.266718487563</v>
      </c>
      <c r="Q189" s="84">
        <f t="shared" si="223"/>
        <v>12529.202971182778</v>
      </c>
      <c r="R189" s="84">
        <f t="shared" si="223"/>
        <v>12517.456921154901</v>
      </c>
      <c r="S189" s="84">
        <f t="shared" si="223"/>
        <v>12510.571581875261</v>
      </c>
      <c r="T189" s="84">
        <f t="shared" si="223"/>
        <v>12507.122966161291</v>
      </c>
      <c r="U189" s="84">
        <f t="shared" si="223"/>
        <v>12506.810687828918</v>
      </c>
      <c r="V189" s="84">
        <f t="shared" si="223"/>
        <v>12155.050059022999</v>
      </c>
      <c r="W189" s="84">
        <f t="shared" si="221"/>
        <v>12497.528498726157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42419.145942600553</v>
      </c>
      <c r="C190" s="110">
        <f t="shared" si="223"/>
        <v>42004.352161890281</v>
      </c>
      <c r="D190" s="110">
        <f t="shared" si="223"/>
        <v>40595.102522617985</v>
      </c>
      <c r="E190" s="110">
        <f t="shared" si="223"/>
        <v>42405.999536116695</v>
      </c>
      <c r="F190" s="110">
        <f t="shared" si="223"/>
        <v>40299.844562430342</v>
      </c>
      <c r="G190" s="110">
        <f t="shared" si="223"/>
        <v>35684.104095045812</v>
      </c>
      <c r="H190" s="110">
        <f t="shared" si="223"/>
        <v>36063.637241301134</v>
      </c>
      <c r="I190" s="110">
        <f t="shared" si="223"/>
        <v>33634.365996963294</v>
      </c>
      <c r="J190" s="110">
        <f t="shared" si="223"/>
        <v>34553.483832628255</v>
      </c>
      <c r="K190" s="110">
        <f t="shared" si="223"/>
        <v>32416.827869842957</v>
      </c>
      <c r="L190" s="110">
        <f t="shared" si="223"/>
        <v>32482.747682004541</v>
      </c>
      <c r="M190" s="110">
        <f t="shared" si="222"/>
        <v>34110.994122925651</v>
      </c>
      <c r="N190" s="110">
        <f t="shared" si="223"/>
        <v>34975.524003019491</v>
      </c>
      <c r="O190" s="110">
        <f t="shared" si="223"/>
        <v>35975.026125056051</v>
      </c>
      <c r="P190" s="110">
        <f t="shared" si="223"/>
        <v>36293.853943077702</v>
      </c>
      <c r="Q190" s="110">
        <f t="shared" si="223"/>
        <v>40762.032955293216</v>
      </c>
      <c r="R190" s="110">
        <f t="shared" si="223"/>
        <v>40869.463544985316</v>
      </c>
      <c r="S190" s="110">
        <f t="shared" si="223"/>
        <v>39227.597410370225</v>
      </c>
      <c r="T190" s="110">
        <f t="shared" si="223"/>
        <v>37882.977899129088</v>
      </c>
      <c r="U190" s="110">
        <f t="shared" si="223"/>
        <v>38103.547109675244</v>
      </c>
      <c r="V190" s="110">
        <f t="shared" si="223"/>
        <v>38977.61194605424</v>
      </c>
      <c r="W190" s="110">
        <f t="shared" si="221"/>
        <v>38889.273644746041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38420.255951561856</v>
      </c>
      <c r="C191" s="102">
        <f t="shared" si="223"/>
        <v>37852.391510928093</v>
      </c>
      <c r="D191" s="102">
        <f t="shared" si="223"/>
        <v>36218.334571348067</v>
      </c>
      <c r="E191" s="102">
        <f t="shared" si="223"/>
        <v>38176.033934252388</v>
      </c>
      <c r="F191" s="102">
        <f t="shared" si="223"/>
        <v>35222.276502198336</v>
      </c>
      <c r="G191" s="102">
        <f t="shared" si="223"/>
        <v>30594.087001264928</v>
      </c>
      <c r="H191" s="102">
        <f t="shared" si="223"/>
        <v>30845.627627132613</v>
      </c>
      <c r="I191" s="102">
        <f t="shared" si="223"/>
        <v>28419.806959801783</v>
      </c>
      <c r="J191" s="102">
        <f t="shared" si="223"/>
        <v>27929.891046897206</v>
      </c>
      <c r="K191" s="102">
        <f t="shared" si="223"/>
        <v>26052.308949734368</v>
      </c>
      <c r="L191" s="102">
        <f t="shared" si="223"/>
        <v>26531.823858169388</v>
      </c>
      <c r="M191" s="102">
        <f t="shared" si="222"/>
        <v>28421.229003476732</v>
      </c>
      <c r="N191" s="102">
        <f t="shared" si="223"/>
        <v>29395.499213000381</v>
      </c>
      <c r="O191" s="102">
        <f t="shared" si="223"/>
        <v>29680.365296803651</v>
      </c>
      <c r="P191" s="102">
        <f t="shared" si="223"/>
        <v>30484.081988661143</v>
      </c>
      <c r="Q191" s="102">
        <f t="shared" si="223"/>
        <v>34505.640345056403</v>
      </c>
      <c r="R191" s="102">
        <f t="shared" si="223"/>
        <v>33806.981931183116</v>
      </c>
      <c r="S191" s="102">
        <f t="shared" si="223"/>
        <v>31843.187788075531</v>
      </c>
      <c r="T191" s="102">
        <f t="shared" si="223"/>
        <v>30918.706186200958</v>
      </c>
      <c r="U191" s="102">
        <f t="shared" si="223"/>
        <v>31142.543592244849</v>
      </c>
      <c r="V191" s="102">
        <f t="shared" si="223"/>
        <v>31568.178496614215</v>
      </c>
      <c r="W191" s="102">
        <f t="shared" si="221"/>
        <v>31574.93991957551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85004.042725833642</v>
      </c>
      <c r="C192" s="86">
        <f t="shared" si="223"/>
        <v>85004.045245829999</v>
      </c>
      <c r="D192" s="86">
        <f t="shared" si="223"/>
        <v>84989.33416344125</v>
      </c>
      <c r="E192" s="86">
        <f t="shared" si="223"/>
        <v>84991.66746378268</v>
      </c>
      <c r="F192" s="86">
        <f t="shared" si="223"/>
        <v>84994.670704313394</v>
      </c>
      <c r="G192" s="86">
        <f t="shared" si="223"/>
        <v>85001.442546483653</v>
      </c>
      <c r="H192" s="86">
        <f t="shared" si="223"/>
        <v>84998.988467354618</v>
      </c>
      <c r="I192" s="86">
        <f t="shared" si="223"/>
        <v>84993.641511035181</v>
      </c>
      <c r="J192" s="86">
        <f t="shared" si="223"/>
        <v>84995.058041424272</v>
      </c>
      <c r="K192" s="86">
        <f t="shared" si="223"/>
        <v>85004.968330777323</v>
      </c>
      <c r="L192" s="86">
        <f t="shared" si="223"/>
        <v>85000.322392551199</v>
      </c>
      <c r="M192" s="86">
        <f t="shared" si="222"/>
        <v>84993.842108167853</v>
      </c>
      <c r="N192" s="86">
        <f t="shared" si="223"/>
        <v>85002.084925589676</v>
      </c>
      <c r="O192" s="86">
        <f t="shared" si="223"/>
        <v>84999.827393697517</v>
      </c>
      <c r="P192" s="86">
        <f t="shared" si="223"/>
        <v>84993.569137657018</v>
      </c>
      <c r="Q192" s="86">
        <f t="shared" si="223"/>
        <v>85002.779256375841</v>
      </c>
      <c r="R192" s="86">
        <f t="shared" si="223"/>
        <v>84999.467277454649</v>
      </c>
      <c r="S192" s="86">
        <f t="shared" si="223"/>
        <v>84994.832228075669</v>
      </c>
      <c r="T192" s="86">
        <f t="shared" si="223"/>
        <v>84993.205268362522</v>
      </c>
      <c r="U192" s="86">
        <f t="shared" si="223"/>
        <v>84996.260964157482</v>
      </c>
      <c r="V192" s="86">
        <f t="shared" ref="V192:W192" si="224">IF(V55=0,0,V55*1000000/V82)</f>
        <v>84996.80723097267</v>
      </c>
      <c r="W192" s="86">
        <f t="shared" si="224"/>
        <v>85003.810618604708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29232.892317518596</v>
      </c>
      <c r="C195" s="28">
        <f t="shared" si="225"/>
        <v>28303.044314304687</v>
      </c>
      <c r="D195" s="28">
        <f t="shared" si="225"/>
        <v>27930.918533988621</v>
      </c>
      <c r="E195" s="28">
        <f t="shared" si="225"/>
        <v>27886.806842022459</v>
      </c>
      <c r="F195" s="28">
        <f t="shared" si="225"/>
        <v>27944.010470771293</v>
      </c>
      <c r="G195" s="28">
        <f t="shared" si="225"/>
        <v>26754.372895095719</v>
      </c>
      <c r="H195" s="28">
        <f t="shared" si="225"/>
        <v>25852.435803822405</v>
      </c>
      <c r="I195" s="28">
        <f t="shared" si="225"/>
        <v>25558.251165354657</v>
      </c>
      <c r="J195" s="28">
        <f t="shared" si="225"/>
        <v>25404.508861802704</v>
      </c>
      <c r="K195" s="28">
        <f t="shared" si="225"/>
        <v>25341.352720513958</v>
      </c>
      <c r="L195" s="28">
        <f t="shared" si="225"/>
        <v>24832.216418682496</v>
      </c>
      <c r="M195" s="28">
        <f>IF(M4=0,0,M4*1000000/M58)</f>
        <v>24982.972746946278</v>
      </c>
      <c r="N195" s="28">
        <f t="shared" ref="N195:V195" si="226">IF(N4=0,0,N4*1000000/N58)</f>
        <v>24403.161042200496</v>
      </c>
      <c r="O195" s="28">
        <f t="shared" si="226"/>
        <v>24118.095450523961</v>
      </c>
      <c r="P195" s="28">
        <f t="shared" si="226"/>
        <v>24268.008787714876</v>
      </c>
      <c r="Q195" s="28">
        <f t="shared" si="226"/>
        <v>24951.747036079949</v>
      </c>
      <c r="R195" s="28">
        <f t="shared" si="226"/>
        <v>25924.886989975857</v>
      </c>
      <c r="S195" s="28">
        <f t="shared" si="226"/>
        <v>25252.815630244029</v>
      </c>
      <c r="T195" s="28">
        <f t="shared" si="226"/>
        <v>24521.55913092323</v>
      </c>
      <c r="U195" s="28">
        <f t="shared" si="226"/>
        <v>24437.544672076419</v>
      </c>
      <c r="V195" s="28">
        <f t="shared" si="226"/>
        <v>21482.359973184426</v>
      </c>
      <c r="W195" s="28">
        <f t="shared" ref="W195" si="227">IF(W4=0,0,W4*1000000/W58)</f>
        <v>21478.010877131099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4468.6769325834666</v>
      </c>
      <c r="C196" s="137">
        <f t="shared" si="228"/>
        <v>4008.2939142945052</v>
      </c>
      <c r="D196" s="137">
        <f t="shared" si="228"/>
        <v>4030.335572897327</v>
      </c>
      <c r="E196" s="137">
        <f t="shared" si="228"/>
        <v>3956.7000567009295</v>
      </c>
      <c r="F196" s="137">
        <f t="shared" si="228"/>
        <v>3797.2854905730483</v>
      </c>
      <c r="G196" s="137">
        <f t="shared" si="228"/>
        <v>3675.3172369453087</v>
      </c>
      <c r="H196" s="137">
        <f t="shared" si="228"/>
        <v>3617.4675646552164</v>
      </c>
      <c r="I196" s="137">
        <f t="shared" si="228"/>
        <v>3611.4254441258004</v>
      </c>
      <c r="J196" s="137">
        <f t="shared" si="228"/>
        <v>3479.341654620152</v>
      </c>
      <c r="K196" s="137">
        <f t="shared" si="228"/>
        <v>3344.2844982845395</v>
      </c>
      <c r="L196" s="137">
        <f t="shared" si="228"/>
        <v>3373.2073187250753</v>
      </c>
      <c r="M196" s="137">
        <f>IF(M5=0,0,M5*1000000/M59)</f>
        <v>3398.2029696517175</v>
      </c>
      <c r="N196" s="137">
        <f t="shared" ref="N196:V196" si="229">IF(N5=0,0,N5*1000000/N59)</f>
        <v>3427.7417442547371</v>
      </c>
      <c r="O196" s="137">
        <f t="shared" si="229"/>
        <v>3492.7184441312097</v>
      </c>
      <c r="P196" s="137">
        <f t="shared" si="229"/>
        <v>3577.4421308816145</v>
      </c>
      <c r="Q196" s="137">
        <f t="shared" si="229"/>
        <v>3604.4649425869129</v>
      </c>
      <c r="R196" s="137">
        <f t="shared" si="229"/>
        <v>3603.581343324835</v>
      </c>
      <c r="S196" s="137">
        <f t="shared" si="229"/>
        <v>3375.0855185235409</v>
      </c>
      <c r="T196" s="137">
        <f t="shared" si="229"/>
        <v>3184.7216026227179</v>
      </c>
      <c r="U196" s="137">
        <f t="shared" si="229"/>
        <v>3424.9380031351789</v>
      </c>
      <c r="V196" s="137">
        <f t="shared" si="229"/>
        <v>3028.389652738625</v>
      </c>
      <c r="W196" s="137">
        <f t="shared" ref="W196" si="230">IF(W5=0,0,W5*1000000/W59)</f>
        <v>3113.9177939633387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27299.548018942212</v>
      </c>
      <c r="C197" s="110">
        <f t="shared" si="231"/>
        <v>26497.478681064236</v>
      </c>
      <c r="D197" s="110">
        <f t="shared" si="231"/>
        <v>26189.83312944516</v>
      </c>
      <c r="E197" s="110">
        <f t="shared" si="231"/>
        <v>26224.011474291288</v>
      </c>
      <c r="F197" s="110">
        <f t="shared" si="231"/>
        <v>26384.347141752263</v>
      </c>
      <c r="G197" s="110">
        <f t="shared" si="231"/>
        <v>25321.338461585434</v>
      </c>
      <c r="H197" s="110">
        <f t="shared" si="231"/>
        <v>24572.646399974663</v>
      </c>
      <c r="I197" s="110">
        <f t="shared" si="231"/>
        <v>24520.339852210014</v>
      </c>
      <c r="J197" s="110">
        <f t="shared" si="231"/>
        <v>24508.066958902229</v>
      </c>
      <c r="K197" s="110">
        <f t="shared" si="231"/>
        <v>24462.669016561478</v>
      </c>
      <c r="L197" s="110">
        <f t="shared" si="231"/>
        <v>23866.402443754134</v>
      </c>
      <c r="M197" s="110">
        <f>IF(M6=0,0,M6*1000000/M60)</f>
        <v>24076.835644464652</v>
      </c>
      <c r="N197" s="110">
        <f t="shared" ref="N197:V197" si="232">IF(N6=0,0,N6*1000000/N60)</f>
        <v>23528.534015741978</v>
      </c>
      <c r="O197" s="110">
        <f t="shared" si="232"/>
        <v>23213.934679434969</v>
      </c>
      <c r="P197" s="110">
        <f t="shared" si="232"/>
        <v>23347.044926388706</v>
      </c>
      <c r="Q197" s="110">
        <f t="shared" si="232"/>
        <v>23984.030898574183</v>
      </c>
      <c r="R197" s="110">
        <f t="shared" si="232"/>
        <v>24947.235209485196</v>
      </c>
      <c r="S197" s="110">
        <f t="shared" si="232"/>
        <v>24194.029297476238</v>
      </c>
      <c r="T197" s="110">
        <f t="shared" si="232"/>
        <v>23546.631277287328</v>
      </c>
      <c r="U197" s="110">
        <f t="shared" si="232"/>
        <v>23487.185614253794</v>
      </c>
      <c r="V197" s="110">
        <f t="shared" si="232"/>
        <v>21239.564813923629</v>
      </c>
      <c r="W197" s="110">
        <f t="shared" ref="W197:W209" si="233">IF(W6=0,0,W6*1000000/W60)</f>
        <v>21133.147077520014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26382.485685885593</v>
      </c>
      <c r="C198" s="84">
        <f t="shared" si="231"/>
        <v>25462.588998422445</v>
      </c>
      <c r="D198" s="84">
        <f t="shared" si="231"/>
        <v>25052.253963748706</v>
      </c>
      <c r="E198" s="84">
        <f t="shared" si="231"/>
        <v>24969.275240994404</v>
      </c>
      <c r="F198" s="84">
        <f t="shared" si="231"/>
        <v>24909.247602293035</v>
      </c>
      <c r="G198" s="84">
        <f t="shared" si="231"/>
        <v>23601.012408619645</v>
      </c>
      <c r="H198" s="84">
        <f t="shared" si="231"/>
        <v>22634.533795746698</v>
      </c>
      <c r="I198" s="84">
        <f t="shared" si="231"/>
        <v>22092.718552279566</v>
      </c>
      <c r="J198" s="84">
        <f t="shared" si="231"/>
        <v>21712.46874433109</v>
      </c>
      <c r="K198" s="84">
        <f t="shared" si="231"/>
        <v>21446.537099110148</v>
      </c>
      <c r="L198" s="84">
        <f t="shared" si="231"/>
        <v>20528.087264807746</v>
      </c>
      <c r="M198" s="84">
        <f t="shared" ref="M198:M219" si="234">IF(M7=0,0,M7*1000000/M61)</f>
        <v>20523.709177177028</v>
      </c>
      <c r="N198" s="84">
        <f t="shared" si="231"/>
        <v>19685.487431408692</v>
      </c>
      <c r="O198" s="84">
        <f t="shared" si="231"/>
        <v>19511.207851459891</v>
      </c>
      <c r="P198" s="84">
        <f t="shared" si="231"/>
        <v>20251.322300320997</v>
      </c>
      <c r="Q198" s="84">
        <f t="shared" si="231"/>
        <v>20496.736460184009</v>
      </c>
      <c r="R198" s="84">
        <f t="shared" si="231"/>
        <v>20910.569437563921</v>
      </c>
      <c r="S198" s="84">
        <f t="shared" si="231"/>
        <v>19670.304880877087</v>
      </c>
      <c r="T198" s="84">
        <f t="shared" si="231"/>
        <v>19059.599862219173</v>
      </c>
      <c r="U198" s="84">
        <f t="shared" si="231"/>
        <v>19188.657487004151</v>
      </c>
      <c r="V198" s="84">
        <f t="shared" si="231"/>
        <v>17638.914503217511</v>
      </c>
      <c r="W198" s="84">
        <f t="shared" si="233"/>
        <v>17833.429601971886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40473.217027213403</v>
      </c>
      <c r="C199" s="84">
        <f t="shared" si="231"/>
        <v>39445.491661590007</v>
      </c>
      <c r="D199" s="84">
        <f t="shared" si="231"/>
        <v>39100.48187903146</v>
      </c>
      <c r="E199" s="84">
        <f t="shared" si="231"/>
        <v>39897.196244868974</v>
      </c>
      <c r="F199" s="84">
        <f t="shared" si="231"/>
        <v>40582.825489852679</v>
      </c>
      <c r="G199" s="84">
        <f t="shared" si="231"/>
        <v>38369.157619219935</v>
      </c>
      <c r="H199" s="84">
        <f t="shared" si="231"/>
        <v>37188.356172049651</v>
      </c>
      <c r="I199" s="84">
        <f t="shared" si="231"/>
        <v>36288.248679583048</v>
      </c>
      <c r="J199" s="84">
        <f t="shared" si="231"/>
        <v>35848.504910679767</v>
      </c>
      <c r="K199" s="84">
        <f t="shared" si="231"/>
        <v>35252.039933991764</v>
      </c>
      <c r="L199" s="84">
        <f t="shared" si="231"/>
        <v>34093.088187323505</v>
      </c>
      <c r="M199" s="84">
        <f t="shared" si="234"/>
        <v>33844.58260832743</v>
      </c>
      <c r="N199" s="84">
        <f t="shared" si="231"/>
        <v>32931.06767802401</v>
      </c>
      <c r="O199" s="84">
        <f t="shared" si="231"/>
        <v>31332.869749928028</v>
      </c>
      <c r="P199" s="84">
        <f t="shared" si="231"/>
        <v>29402.362254808573</v>
      </c>
      <c r="Q199" s="84">
        <f t="shared" si="231"/>
        <v>30146.417044107307</v>
      </c>
      <c r="R199" s="84">
        <f t="shared" si="231"/>
        <v>33534.470852264007</v>
      </c>
      <c r="S199" s="84">
        <f t="shared" si="231"/>
        <v>33946.328246683872</v>
      </c>
      <c r="T199" s="84">
        <f t="shared" si="231"/>
        <v>33350.655492500606</v>
      </c>
      <c r="U199" s="84">
        <f t="shared" si="231"/>
        <v>33044.106117668911</v>
      </c>
      <c r="V199" s="84">
        <f t="shared" si="231"/>
        <v>29558.656971330613</v>
      </c>
      <c r="W199" s="84">
        <f t="shared" si="233"/>
        <v>29538.619127920265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34195.970270686019</v>
      </c>
      <c r="C200" s="84">
        <f t="shared" si="231"/>
        <v>32797.901928271691</v>
      </c>
      <c r="D200" s="84">
        <f t="shared" si="231"/>
        <v>30986.481050855957</v>
      </c>
      <c r="E200" s="84">
        <f t="shared" si="231"/>
        <v>30127.495067109281</v>
      </c>
      <c r="F200" s="84">
        <f t="shared" si="231"/>
        <v>29219.587066559703</v>
      </c>
      <c r="G200" s="84">
        <f t="shared" si="231"/>
        <v>26366.795923579099</v>
      </c>
      <c r="H200" s="84">
        <f t="shared" si="231"/>
        <v>24379.574922329659</v>
      </c>
      <c r="I200" s="84">
        <f t="shared" si="231"/>
        <v>22735.239502654822</v>
      </c>
      <c r="J200" s="84">
        <f t="shared" si="231"/>
        <v>21442.335881857409</v>
      </c>
      <c r="K200" s="84">
        <f t="shared" si="231"/>
        <v>20115.987535094198</v>
      </c>
      <c r="L200" s="84">
        <f t="shared" si="231"/>
        <v>0</v>
      </c>
      <c r="M200" s="84">
        <f t="shared" si="234"/>
        <v>0</v>
      </c>
      <c r="N200" s="84">
        <f t="shared" si="231"/>
        <v>0</v>
      </c>
      <c r="O200" s="84">
        <f t="shared" si="231"/>
        <v>0</v>
      </c>
      <c r="P200" s="84">
        <f t="shared" si="231"/>
        <v>0</v>
      </c>
      <c r="Q200" s="84">
        <f t="shared" si="231"/>
        <v>0</v>
      </c>
      <c r="R200" s="84">
        <f t="shared" si="231"/>
        <v>0</v>
      </c>
      <c r="S200" s="84">
        <f t="shared" si="231"/>
        <v>0</v>
      </c>
      <c r="T200" s="84">
        <f t="shared" si="231"/>
        <v>0</v>
      </c>
      <c r="U200" s="84">
        <f t="shared" si="231"/>
        <v>0</v>
      </c>
      <c r="V200" s="84">
        <f t="shared" si="231"/>
        <v>0</v>
      </c>
      <c r="W200" s="84">
        <f t="shared" si="233"/>
        <v>0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31945.454629970907</v>
      </c>
      <c r="R201" s="84">
        <f t="shared" si="231"/>
        <v>33397.197101601247</v>
      </c>
      <c r="S201" s="84">
        <f t="shared" si="231"/>
        <v>32027.915197409115</v>
      </c>
      <c r="T201" s="84">
        <f t="shared" si="231"/>
        <v>31148.022920096933</v>
      </c>
      <c r="U201" s="84">
        <f t="shared" si="231"/>
        <v>30525.580710524497</v>
      </c>
      <c r="V201" s="84">
        <f t="shared" si="231"/>
        <v>27095.314546361675</v>
      </c>
      <c r="W201" s="84">
        <f t="shared" si="233"/>
        <v>26935.725458135919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19745.605488448396</v>
      </c>
      <c r="O202" s="84">
        <f t="shared" si="231"/>
        <v>19522.925614001138</v>
      </c>
      <c r="P202" s="84">
        <f t="shared" si="231"/>
        <v>20123.770049249699</v>
      </c>
      <c r="Q202" s="84">
        <f t="shared" si="231"/>
        <v>21238.195845827646</v>
      </c>
      <c r="R202" s="84">
        <f t="shared" si="231"/>
        <v>20922.704256493747</v>
      </c>
      <c r="S202" s="84">
        <f t="shared" si="231"/>
        <v>19812.297229719752</v>
      </c>
      <c r="T202" s="84">
        <f t="shared" si="231"/>
        <v>19250.290420970676</v>
      </c>
      <c r="U202" s="84">
        <f t="shared" si="231"/>
        <v>19314.391805204163</v>
      </c>
      <c r="V202" s="84">
        <f t="shared" si="231"/>
        <v>17592.433722263886</v>
      </c>
      <c r="W202" s="84">
        <f t="shared" si="233"/>
        <v>17769.026809532141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19583.54248407319</v>
      </c>
      <c r="L203" s="84">
        <f t="shared" si="231"/>
        <v>19239.596596980238</v>
      </c>
      <c r="M203" s="84">
        <f t="shared" si="234"/>
        <v>18604.869731867886</v>
      </c>
      <c r="N203" s="84">
        <f t="shared" si="231"/>
        <v>18994.984281962261</v>
      </c>
      <c r="O203" s="84">
        <f t="shared" si="231"/>
        <v>18607.579800845655</v>
      </c>
      <c r="P203" s="84">
        <f t="shared" si="231"/>
        <v>18543.157131471864</v>
      </c>
      <c r="Q203" s="84">
        <f t="shared" si="231"/>
        <v>17703.005633032797</v>
      </c>
      <c r="R203" s="84">
        <f t="shared" si="231"/>
        <v>17842.958995314268</v>
      </c>
      <c r="S203" s="84">
        <f t="shared" si="231"/>
        <v>17976.402234709156</v>
      </c>
      <c r="T203" s="84">
        <f t="shared" si="231"/>
        <v>17748.039249660425</v>
      </c>
      <c r="U203" s="84">
        <f t="shared" si="231"/>
        <v>17803.742722936942</v>
      </c>
      <c r="V203" s="84">
        <f t="shared" si="231"/>
        <v>16617.87082018219</v>
      </c>
      <c r="W203" s="84">
        <f t="shared" si="233"/>
        <v>17066.499941845163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531071.01947308134</v>
      </c>
      <c r="C204" s="110">
        <f t="shared" si="231"/>
        <v>525440.73383975925</v>
      </c>
      <c r="D204" s="110">
        <f t="shared" si="231"/>
        <v>521593.02159302158</v>
      </c>
      <c r="E204" s="110">
        <f t="shared" si="231"/>
        <v>514576.84687234648</v>
      </c>
      <c r="F204" s="110">
        <f t="shared" si="231"/>
        <v>514410.54189274891</v>
      </c>
      <c r="G204" s="110">
        <f t="shared" si="231"/>
        <v>497778.08637689211</v>
      </c>
      <c r="H204" s="110">
        <f t="shared" si="231"/>
        <v>484744.36503573391</v>
      </c>
      <c r="I204" s="110">
        <f t="shared" si="231"/>
        <v>472655.71053721861</v>
      </c>
      <c r="J204" s="110">
        <f t="shared" si="231"/>
        <v>466302.24190423469</v>
      </c>
      <c r="K204" s="110">
        <f t="shared" si="231"/>
        <v>464920.74431426608</v>
      </c>
      <c r="L204" s="110">
        <f t="shared" si="231"/>
        <v>470543.59823399561</v>
      </c>
      <c r="M204" s="110">
        <f t="shared" si="234"/>
        <v>476166.69045240473</v>
      </c>
      <c r="N204" s="110">
        <f t="shared" si="231"/>
        <v>479495.73600296624</v>
      </c>
      <c r="O204" s="110">
        <f t="shared" si="231"/>
        <v>487264.50640542578</v>
      </c>
      <c r="P204" s="110">
        <f t="shared" si="231"/>
        <v>489110.97852028639</v>
      </c>
      <c r="Q204" s="110">
        <f t="shared" si="231"/>
        <v>512216.99170589546</v>
      </c>
      <c r="R204" s="110">
        <f t="shared" si="231"/>
        <v>528444.34477087541</v>
      </c>
      <c r="S204" s="110">
        <f t="shared" si="231"/>
        <v>541462.69099540124</v>
      </c>
      <c r="T204" s="110">
        <f t="shared" si="231"/>
        <v>540203.67837057298</v>
      </c>
      <c r="U204" s="110">
        <f t="shared" si="231"/>
        <v>532877.02837806661</v>
      </c>
      <c r="V204" s="110">
        <f t="shared" si="231"/>
        <v>369734.91624654416</v>
      </c>
      <c r="W204" s="110">
        <f t="shared" si="233"/>
        <v>405434.87377337919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289409.80773103051</v>
      </c>
      <c r="C205" s="102">
        <f t="shared" si="231"/>
        <v>293544.85471599823</v>
      </c>
      <c r="D205" s="102">
        <f t="shared" si="231"/>
        <v>294401.02045709675</v>
      </c>
      <c r="E205" s="102">
        <f t="shared" si="231"/>
        <v>294507.43825993239</v>
      </c>
      <c r="F205" s="102">
        <f t="shared" si="231"/>
        <v>294804.56565606379</v>
      </c>
      <c r="G205" s="102">
        <f t="shared" si="231"/>
        <v>301113.65516997187</v>
      </c>
      <c r="H205" s="102">
        <f t="shared" si="231"/>
        <v>309437.15833866916</v>
      </c>
      <c r="I205" s="102">
        <f t="shared" si="231"/>
        <v>314721.50853107305</v>
      </c>
      <c r="J205" s="102">
        <f t="shared" si="231"/>
        <v>326113.05492490839</v>
      </c>
      <c r="K205" s="102">
        <f t="shared" si="231"/>
        <v>323343.49286394572</v>
      </c>
      <c r="L205" s="102">
        <f t="shared" si="231"/>
        <v>323159.7938932454</v>
      </c>
      <c r="M205" s="102">
        <f t="shared" si="234"/>
        <v>322811.97065210633</v>
      </c>
      <c r="N205" s="102">
        <f t="shared" si="231"/>
        <v>323207.36631590506</v>
      </c>
      <c r="O205" s="102">
        <f t="shared" si="231"/>
        <v>324173.13539361459</v>
      </c>
      <c r="P205" s="102">
        <f t="shared" si="231"/>
        <v>324441.28336890857</v>
      </c>
      <c r="Q205" s="102">
        <f t="shared" si="231"/>
        <v>325433.05714432063</v>
      </c>
      <c r="R205" s="102">
        <f t="shared" si="231"/>
        <v>329065.98785892321</v>
      </c>
      <c r="S205" s="102">
        <f t="shared" si="231"/>
        <v>332651.77536610013</v>
      </c>
      <c r="T205" s="102">
        <f t="shared" si="231"/>
        <v>330798.22852198029</v>
      </c>
      <c r="U205" s="102">
        <f t="shared" si="231"/>
        <v>318766.45168405882</v>
      </c>
      <c r="V205" s="102">
        <f t="shared" si="231"/>
        <v>322289.85464998096</v>
      </c>
      <c r="W205" s="102">
        <f t="shared" si="233"/>
        <v>327406.00230673084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562091.2687224648</v>
      </c>
      <c r="C206" s="102">
        <f t="shared" si="231"/>
        <v>555241.1828432089</v>
      </c>
      <c r="D206" s="102">
        <f t="shared" si="231"/>
        <v>550465.75797720673</v>
      </c>
      <c r="E206" s="102">
        <f t="shared" si="231"/>
        <v>531389.21771843161</v>
      </c>
      <c r="F206" s="102">
        <f t="shared" si="231"/>
        <v>527965.45214228239</v>
      </c>
      <c r="G206" s="102">
        <f t="shared" si="231"/>
        <v>508764.76501176547</v>
      </c>
      <c r="H206" s="102">
        <f t="shared" si="231"/>
        <v>494230.38339159824</v>
      </c>
      <c r="I206" s="102">
        <f t="shared" si="231"/>
        <v>480882.28684222454</v>
      </c>
      <c r="J206" s="102">
        <f t="shared" si="231"/>
        <v>473427.39581236738</v>
      </c>
      <c r="K206" s="102">
        <f t="shared" si="231"/>
        <v>471871.142241731</v>
      </c>
      <c r="L206" s="102">
        <f t="shared" si="231"/>
        <v>477540.57485455141</v>
      </c>
      <c r="M206" s="102">
        <f t="shared" si="234"/>
        <v>483493.31968249008</v>
      </c>
      <c r="N206" s="102">
        <f t="shared" si="231"/>
        <v>487053.17718662112</v>
      </c>
      <c r="O206" s="102">
        <f t="shared" si="231"/>
        <v>495827.83822727058</v>
      </c>
      <c r="P206" s="102">
        <f t="shared" si="231"/>
        <v>496757.78009798646</v>
      </c>
      <c r="Q206" s="102">
        <f t="shared" si="231"/>
        <v>519377.70793166204</v>
      </c>
      <c r="R206" s="102">
        <f t="shared" si="231"/>
        <v>534641.99466782983</v>
      </c>
      <c r="S206" s="102">
        <f t="shared" si="231"/>
        <v>545912.336284713</v>
      </c>
      <c r="T206" s="102">
        <f t="shared" si="231"/>
        <v>544124.41625664278</v>
      </c>
      <c r="U206" s="102">
        <f t="shared" si="231"/>
        <v>536676.18898303388</v>
      </c>
      <c r="V206" s="102">
        <f t="shared" si="231"/>
        <v>369436.93141290848</v>
      </c>
      <c r="W206" s="102">
        <f t="shared" si="233"/>
        <v>406741.79975902732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724373.31450954638</v>
      </c>
      <c r="R208" s="102">
        <f t="shared" si="231"/>
        <v>745854.53535879788</v>
      </c>
      <c r="S208" s="102">
        <f t="shared" si="231"/>
        <v>762873.59151823737</v>
      </c>
      <c r="T208" s="102">
        <f t="shared" si="231"/>
        <v>759912.38478817348</v>
      </c>
      <c r="U208" s="102">
        <f t="shared" si="231"/>
        <v>748554.12619924382</v>
      </c>
      <c r="V208" s="102">
        <f t="shared" si="231"/>
        <v>515250.35045405437</v>
      </c>
      <c r="W208" s="102">
        <f t="shared" si="233"/>
        <v>565793.71301715437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0</v>
      </c>
      <c r="Q209" s="102">
        <f t="shared" si="231"/>
        <v>0</v>
      </c>
      <c r="R209" s="102">
        <f t="shared" si="231"/>
        <v>524784.18011074245</v>
      </c>
      <c r="S209" s="102">
        <f t="shared" si="231"/>
        <v>520001.58940595441</v>
      </c>
      <c r="T209" s="102">
        <f t="shared" si="231"/>
        <v>509799.82467308297</v>
      </c>
      <c r="U209" s="102">
        <f t="shared" si="231"/>
        <v>510053.88863613707</v>
      </c>
      <c r="V209" s="102">
        <f t="shared" si="231"/>
        <v>320643.93003536633</v>
      </c>
      <c r="W209" s="102">
        <f t="shared" si="233"/>
        <v>353013.18739106308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42597.138301848594</v>
      </c>
      <c r="C210" s="28">
        <f t="shared" si="231"/>
        <v>42306.208573254306</v>
      </c>
      <c r="D210" s="28">
        <f t="shared" si="231"/>
        <v>42465.079702057323</v>
      </c>
      <c r="E210" s="28">
        <f t="shared" si="231"/>
        <v>41555.480382555339</v>
      </c>
      <c r="F210" s="28">
        <f t="shared" ref="B210:V219" si="235">IF(F19=0,0,F19*1000000/F73)</f>
        <v>40231.655665159407</v>
      </c>
      <c r="G210" s="28">
        <f t="shared" si="235"/>
        <v>39049.524345239879</v>
      </c>
      <c r="H210" s="28">
        <f t="shared" si="235"/>
        <v>37946.624252067566</v>
      </c>
      <c r="I210" s="28">
        <f t="shared" si="235"/>
        <v>37518.71974801847</v>
      </c>
      <c r="J210" s="28">
        <f t="shared" si="235"/>
        <v>38758.315332709222</v>
      </c>
      <c r="K210" s="28">
        <f t="shared" si="235"/>
        <v>36434.035801942322</v>
      </c>
      <c r="L210" s="28">
        <f t="shared" si="235"/>
        <v>38589.343835982312</v>
      </c>
      <c r="M210" s="28">
        <f t="shared" si="234"/>
        <v>42101.881545865886</v>
      </c>
      <c r="N210" s="28">
        <f t="shared" si="235"/>
        <v>43032.672264483277</v>
      </c>
      <c r="O210" s="28">
        <f t="shared" si="235"/>
        <v>45832.600617435637</v>
      </c>
      <c r="P210" s="28">
        <f t="shared" si="235"/>
        <v>46746.430558027874</v>
      </c>
      <c r="Q210" s="28">
        <f t="shared" si="235"/>
        <v>46137.883602584072</v>
      </c>
      <c r="R210" s="28">
        <f t="shared" si="235"/>
        <v>49171.271686269152</v>
      </c>
      <c r="S210" s="28">
        <f t="shared" si="235"/>
        <v>48776.404788060128</v>
      </c>
      <c r="T210" s="28">
        <f t="shared" si="235"/>
        <v>47139.104116066934</v>
      </c>
      <c r="U210" s="28">
        <f t="shared" si="235"/>
        <v>48398.676523153503</v>
      </c>
      <c r="V210" s="28">
        <f t="shared" si="235"/>
        <v>50351.650069611809</v>
      </c>
      <c r="W210" s="28">
        <f t="shared" ref="W210" si="236">IF(W19=0,0,W19*1000000/W73)</f>
        <v>52081.492894896975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2860.6316667851943</v>
      </c>
      <c r="C211" s="137">
        <f t="shared" si="235"/>
        <v>3011.8742980018337</v>
      </c>
      <c r="D211" s="137">
        <f t="shared" si="235"/>
        <v>3061.1581246685951</v>
      </c>
      <c r="E211" s="137">
        <f t="shared" si="235"/>
        <v>3149.1445607355563</v>
      </c>
      <c r="F211" s="137">
        <f t="shared" si="235"/>
        <v>3269.1884628802723</v>
      </c>
      <c r="G211" s="137">
        <f t="shared" si="235"/>
        <v>3286.1459415964227</v>
      </c>
      <c r="H211" s="137">
        <f t="shared" si="235"/>
        <v>3315.9120037953903</v>
      </c>
      <c r="I211" s="137">
        <f t="shared" si="235"/>
        <v>3462.7134703822981</v>
      </c>
      <c r="J211" s="137">
        <f t="shared" si="235"/>
        <v>3488.8434668707678</v>
      </c>
      <c r="K211" s="137">
        <f t="shared" si="235"/>
        <v>3442.1887605115548</v>
      </c>
      <c r="L211" s="137">
        <f t="shared" si="235"/>
        <v>3508.5545959876154</v>
      </c>
      <c r="M211" s="137">
        <f t="shared" si="234"/>
        <v>3301.2465356094153</v>
      </c>
      <c r="N211" s="137">
        <f t="shared" si="235"/>
        <v>3124.809070949796</v>
      </c>
      <c r="O211" s="137">
        <f t="shared" si="235"/>
        <v>3063.1187731883651</v>
      </c>
      <c r="P211" s="137">
        <f t="shared" si="235"/>
        <v>2992.5970823081097</v>
      </c>
      <c r="Q211" s="137">
        <f t="shared" si="235"/>
        <v>3006.2634052586786</v>
      </c>
      <c r="R211" s="137">
        <f t="shared" si="235"/>
        <v>3018.3045999073856</v>
      </c>
      <c r="S211" s="137">
        <f t="shared" si="235"/>
        <v>3102.5669479767798</v>
      </c>
      <c r="T211" s="137">
        <f t="shared" si="235"/>
        <v>3216.2114350957058</v>
      </c>
      <c r="U211" s="137">
        <f t="shared" si="235"/>
        <v>3204.2015440737173</v>
      </c>
      <c r="V211" s="137">
        <f t="shared" si="235"/>
        <v>3041.9181077006601</v>
      </c>
      <c r="W211" s="137">
        <f t="shared" ref="W211" si="237">IF(W20=0,0,W20*1000000/W74)</f>
        <v>3127.1033416027817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1951.4822516849611</v>
      </c>
      <c r="C212" s="84">
        <f t="shared" si="235"/>
        <v>2147.6855562295468</v>
      </c>
      <c r="D212" s="84">
        <f t="shared" si="235"/>
        <v>2144.9897442767974</v>
      </c>
      <c r="E212" s="84">
        <f t="shared" si="235"/>
        <v>2072.5885886178121</v>
      </c>
      <c r="F212" s="84">
        <f t="shared" si="235"/>
        <v>2084.6230719198338</v>
      </c>
      <c r="G212" s="84">
        <f t="shared" si="235"/>
        <v>2059.1870781761095</v>
      </c>
      <c r="H212" s="84">
        <f t="shared" si="235"/>
        <v>1999.6310470289022</v>
      </c>
      <c r="I212" s="84">
        <f t="shared" si="235"/>
        <v>2098.793564554911</v>
      </c>
      <c r="J212" s="84">
        <f t="shared" si="235"/>
        <v>2030.5781672454154</v>
      </c>
      <c r="K212" s="84">
        <f t="shared" si="235"/>
        <v>1982.264274275344</v>
      </c>
      <c r="L212" s="84">
        <f t="shared" si="235"/>
        <v>1970.1782736106238</v>
      </c>
      <c r="M212" s="84">
        <f t="shared" si="234"/>
        <v>1812.3172646514806</v>
      </c>
      <c r="N212" s="84">
        <f t="shared" si="235"/>
        <v>1692.2322564540898</v>
      </c>
      <c r="O212" s="84">
        <f t="shared" si="235"/>
        <v>1717.5035667086424</v>
      </c>
      <c r="P212" s="84">
        <f t="shared" si="235"/>
        <v>1782.4868791710969</v>
      </c>
      <c r="Q212" s="84">
        <f t="shared" si="235"/>
        <v>1908.3718959187966</v>
      </c>
      <c r="R212" s="84">
        <f t="shared" si="235"/>
        <v>1961.3312789359231</v>
      </c>
      <c r="S212" s="84">
        <f t="shared" si="235"/>
        <v>2043.8447623386448</v>
      </c>
      <c r="T212" s="84">
        <f t="shared" si="235"/>
        <v>2071.0349350910483</v>
      </c>
      <c r="U212" s="84">
        <f t="shared" si="235"/>
        <v>2140.114120494874</v>
      </c>
      <c r="V212" s="84">
        <f t="shared" si="235"/>
        <v>2087.815117029485</v>
      </c>
      <c r="W212" s="84">
        <f t="shared" ref="W212" si="238">IF(W21=0,0,W21*1000000/W75)</f>
        <v>2263.7888061226436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3102.2765811380295</v>
      </c>
      <c r="C213" s="84">
        <f t="shared" si="235"/>
        <v>3236.3169645617691</v>
      </c>
      <c r="D213" s="84">
        <f t="shared" si="235"/>
        <v>3292.1607663974532</v>
      </c>
      <c r="E213" s="84">
        <f t="shared" si="235"/>
        <v>3410.4395501598442</v>
      </c>
      <c r="F213" s="84">
        <f t="shared" si="235"/>
        <v>3536.8133882322472</v>
      </c>
      <c r="G213" s="84">
        <f t="shared" si="235"/>
        <v>3541.0716687101385</v>
      </c>
      <c r="H213" s="84">
        <f t="shared" si="235"/>
        <v>3567.9801785075283</v>
      </c>
      <c r="I213" s="84">
        <f t="shared" si="235"/>
        <v>3683.1207641330448</v>
      </c>
      <c r="J213" s="84">
        <f t="shared" si="235"/>
        <v>3708.2476703861371</v>
      </c>
      <c r="K213" s="84">
        <f t="shared" si="235"/>
        <v>3652.6123970968333</v>
      </c>
      <c r="L213" s="84">
        <f t="shared" si="235"/>
        <v>3715.5273316947064</v>
      </c>
      <c r="M213" s="84">
        <f t="shared" si="234"/>
        <v>3495.3388781899043</v>
      </c>
      <c r="N213" s="84">
        <f t="shared" si="235"/>
        <v>3297.2028207239705</v>
      </c>
      <c r="O213" s="84">
        <f t="shared" si="235"/>
        <v>3213.2932549006337</v>
      </c>
      <c r="P213" s="84">
        <f t="shared" si="235"/>
        <v>3113.2453940287569</v>
      </c>
      <c r="Q213" s="84">
        <f t="shared" si="235"/>
        <v>3103.6886720876869</v>
      </c>
      <c r="R213" s="84">
        <f t="shared" si="235"/>
        <v>3107.1570592043267</v>
      </c>
      <c r="S213" s="84">
        <f t="shared" si="235"/>
        <v>3186.7144621650132</v>
      </c>
      <c r="T213" s="84">
        <f t="shared" si="235"/>
        <v>3301.8539599081901</v>
      </c>
      <c r="U213" s="84">
        <f t="shared" si="235"/>
        <v>3280.2407998827489</v>
      </c>
      <c r="V213" s="84">
        <f t="shared" si="235"/>
        <v>3109.2638253438349</v>
      </c>
      <c r="W213" s="84">
        <f t="shared" ref="W213" si="239">IF(W22=0,0,W22*1000000/W76)</f>
        <v>3191.5580146424741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1590.6500792873376</v>
      </c>
      <c r="R215" s="84">
        <f t="shared" si="235"/>
        <v>1602.2511255301852</v>
      </c>
      <c r="S215" s="84">
        <f t="shared" si="235"/>
        <v>1575.2120422233279</v>
      </c>
      <c r="T215" s="84">
        <f t="shared" si="235"/>
        <v>1569.6441736368167</v>
      </c>
      <c r="U215" s="84">
        <f t="shared" si="235"/>
        <v>1557.7090239781858</v>
      </c>
      <c r="V215" s="84">
        <f t="shared" si="235"/>
        <v>1498.0087931502255</v>
      </c>
      <c r="W215" s="84">
        <f t="shared" ref="W215" si="241">IF(W24=0,0,W24*1000000/W78)</f>
        <v>1551.5467765444353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2348.3436784731748</v>
      </c>
      <c r="O216" s="84">
        <f t="shared" si="235"/>
        <v>2358.5499389085417</v>
      </c>
      <c r="P216" s="84">
        <f t="shared" si="235"/>
        <v>2358.8214866902267</v>
      </c>
      <c r="Q216" s="84">
        <f t="shared" si="235"/>
        <v>2359.2638169561051</v>
      </c>
      <c r="R216" s="84">
        <f t="shared" si="235"/>
        <v>2357.4942148610885</v>
      </c>
      <c r="S216" s="84">
        <f t="shared" si="235"/>
        <v>2356.4567491405883</v>
      </c>
      <c r="T216" s="84">
        <f t="shared" si="235"/>
        <v>2355.9370774208282</v>
      </c>
      <c r="U216" s="84">
        <f t="shared" si="235"/>
        <v>2355.8900188005114</v>
      </c>
      <c r="V216" s="84">
        <f t="shared" si="235"/>
        <v>2302.7307091258585</v>
      </c>
      <c r="W216" s="84">
        <f t="shared" ref="W216" si="242">IF(W25=0,0,W25*1000000/W79)</f>
        <v>2354.491136821528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380786.83131019166</v>
      </c>
      <c r="C217" s="110">
        <f t="shared" si="235"/>
        <v>368697.38567962602</v>
      </c>
      <c r="D217" s="110">
        <f t="shared" si="235"/>
        <v>367160.19203132525</v>
      </c>
      <c r="E217" s="110">
        <f t="shared" si="235"/>
        <v>362378.93428119126</v>
      </c>
      <c r="F217" s="110">
        <f t="shared" si="235"/>
        <v>352473.74113264569</v>
      </c>
      <c r="G217" s="110">
        <f t="shared" si="235"/>
        <v>326224.0943621131</v>
      </c>
      <c r="H217" s="110">
        <f t="shared" si="235"/>
        <v>329421.83940903901</v>
      </c>
      <c r="I217" s="110">
        <f t="shared" si="235"/>
        <v>308656.50581607968</v>
      </c>
      <c r="J217" s="110">
        <f t="shared" si="235"/>
        <v>316797.89094677701</v>
      </c>
      <c r="K217" s="110">
        <f t="shared" si="235"/>
        <v>308327.0736893788</v>
      </c>
      <c r="L217" s="110">
        <f t="shared" si="235"/>
        <v>317085.60313240811</v>
      </c>
      <c r="M217" s="110">
        <f t="shared" si="234"/>
        <v>347337.19820270257</v>
      </c>
      <c r="N217" s="110">
        <f t="shared" si="235"/>
        <v>355372.14622882946</v>
      </c>
      <c r="O217" s="110">
        <f t="shared" si="235"/>
        <v>371841.62642271939</v>
      </c>
      <c r="P217" s="110">
        <f t="shared" si="235"/>
        <v>380223.75932697626</v>
      </c>
      <c r="Q217" s="110">
        <f t="shared" si="235"/>
        <v>427713.31587574503</v>
      </c>
      <c r="R217" s="110">
        <f t="shared" si="235"/>
        <v>445005.57543559844</v>
      </c>
      <c r="S217" s="110">
        <f t="shared" si="235"/>
        <v>434270.80807343923</v>
      </c>
      <c r="T217" s="110">
        <f t="shared" si="235"/>
        <v>413714.77552769741</v>
      </c>
      <c r="U217" s="110">
        <f t="shared" si="235"/>
        <v>413254.9052917693</v>
      </c>
      <c r="V217" s="110">
        <f t="shared" si="235"/>
        <v>423988.75461564283</v>
      </c>
      <c r="W217" s="110">
        <f t="shared" ref="W217" si="243">IF(W26=0,0,W26*1000000/W80)</f>
        <v>427556.32226398046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302738.4064951149</v>
      </c>
      <c r="C218" s="163">
        <f t="shared" si="235"/>
        <v>287377.25688945199</v>
      </c>
      <c r="D218" s="163">
        <f t="shared" si="235"/>
        <v>283215.0815809021</v>
      </c>
      <c r="E218" s="163">
        <f t="shared" si="235"/>
        <v>278038.6810079281</v>
      </c>
      <c r="F218" s="163">
        <f t="shared" si="235"/>
        <v>257401.0747435271</v>
      </c>
      <c r="G218" s="163">
        <f t="shared" si="235"/>
        <v>237077.37495444118</v>
      </c>
      <c r="H218" s="163">
        <f t="shared" si="235"/>
        <v>236854.03445149591</v>
      </c>
      <c r="I218" s="163">
        <f t="shared" si="235"/>
        <v>218187.19721903777</v>
      </c>
      <c r="J218" s="163">
        <f t="shared" si="235"/>
        <v>203088.58360966368</v>
      </c>
      <c r="K218" s="163">
        <f t="shared" si="235"/>
        <v>204372.70126685739</v>
      </c>
      <c r="L218" s="163">
        <f t="shared" si="235"/>
        <v>216451.36855896984</v>
      </c>
      <c r="M218" s="163">
        <f t="shared" si="234"/>
        <v>251853.55841327022</v>
      </c>
      <c r="N218" s="163">
        <f t="shared" si="235"/>
        <v>261454.0349683073</v>
      </c>
      <c r="O218" s="163">
        <f t="shared" si="235"/>
        <v>265644.70537073276</v>
      </c>
      <c r="P218" s="163">
        <f t="shared" si="235"/>
        <v>282228.52158744005</v>
      </c>
      <c r="Q218" s="163">
        <f t="shared" si="235"/>
        <v>319840.74319840746</v>
      </c>
      <c r="R218" s="163">
        <f t="shared" si="235"/>
        <v>326717.28942686011</v>
      </c>
      <c r="S218" s="163">
        <f t="shared" si="235"/>
        <v>311666.74926896964</v>
      </c>
      <c r="T218" s="163">
        <f t="shared" si="235"/>
        <v>297011.43770753907</v>
      </c>
      <c r="U218" s="163">
        <f t="shared" si="235"/>
        <v>296671.1376661383</v>
      </c>
      <c r="V218" s="163">
        <f t="shared" si="235"/>
        <v>302211.72114775662</v>
      </c>
      <c r="W218" s="163">
        <f t="shared" ref="W218" si="244">IF(W27=0,0,W27*1000000/W81)</f>
        <v>306065.14859495085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1211938.5064730914</v>
      </c>
      <c r="C219" s="86">
        <f t="shared" si="235"/>
        <v>1210887.5877263597</v>
      </c>
      <c r="D219" s="86">
        <f t="shared" si="235"/>
        <v>1218628.3804166121</v>
      </c>
      <c r="E219" s="86">
        <f t="shared" si="235"/>
        <v>1211484.1887653959</v>
      </c>
      <c r="F219" s="86">
        <f t="shared" si="235"/>
        <v>1189342.1483505587</v>
      </c>
      <c r="G219" s="86">
        <f t="shared" si="235"/>
        <v>1189969.5105091927</v>
      </c>
      <c r="H219" s="86">
        <f t="shared" si="235"/>
        <v>1197537.918674639</v>
      </c>
      <c r="I219" s="86">
        <f t="shared" si="235"/>
        <v>1199707.5252196898</v>
      </c>
      <c r="J219" s="86">
        <f t="shared" si="235"/>
        <v>1182744.3115407387</v>
      </c>
      <c r="K219" s="86">
        <f t="shared" si="235"/>
        <v>1167271.3563769015</v>
      </c>
      <c r="L219" s="86">
        <f t="shared" si="235"/>
        <v>1205194.0866389559</v>
      </c>
      <c r="M219" s="86">
        <f t="shared" si="234"/>
        <v>1201235.2812493846</v>
      </c>
      <c r="N219" s="86">
        <f t="shared" si="235"/>
        <v>1197375.5945129998</v>
      </c>
      <c r="O219" s="86">
        <f t="shared" si="235"/>
        <v>1198936.698256905</v>
      </c>
      <c r="P219" s="86">
        <f t="shared" si="235"/>
        <v>1201657.0626965852</v>
      </c>
      <c r="Q219" s="86">
        <f t="shared" si="235"/>
        <v>1190511.2120395133</v>
      </c>
      <c r="R219" s="86">
        <f t="shared" si="235"/>
        <v>1184131.3938832476</v>
      </c>
      <c r="S219" s="86">
        <f t="shared" si="235"/>
        <v>1194148.5824545729</v>
      </c>
      <c r="T219" s="86">
        <f t="shared" si="235"/>
        <v>1203161.3976705491</v>
      </c>
      <c r="U219" s="86">
        <f t="shared" si="235"/>
        <v>1198620.0098570725</v>
      </c>
      <c r="V219" s="86">
        <f t="shared" si="235"/>
        <v>1180332.8290468988</v>
      </c>
      <c r="W219" s="86">
        <f t="shared" ref="W219" si="245">IF(W28=0,0,W28*1000000/W82)</f>
        <v>1193519.3519351934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1.053796262205905E-2</v>
      </c>
      <c r="C223" s="154">
        <f t="shared" si="250"/>
        <v>1.0196167179488186E-2</v>
      </c>
      <c r="D223" s="154">
        <f t="shared" si="250"/>
        <v>1.0632677209764262E-2</v>
      </c>
      <c r="E223" s="154">
        <f t="shared" si="250"/>
        <v>1.0701320708362289E-2</v>
      </c>
      <c r="F223" s="154">
        <f t="shared" si="250"/>
        <v>1.0528791511089947E-2</v>
      </c>
      <c r="G223" s="154">
        <f t="shared" si="250"/>
        <v>1.0977452099291284E-2</v>
      </c>
      <c r="H223" s="154">
        <f t="shared" si="250"/>
        <v>1.1604853377242217E-2</v>
      </c>
      <c r="I223" s="154">
        <f t="shared" si="250"/>
        <v>1.2216313860062823E-2</v>
      </c>
      <c r="J223" s="154">
        <f t="shared" si="250"/>
        <v>1.2094027659582342E-2</v>
      </c>
      <c r="K223" s="154">
        <f t="shared" si="250"/>
        <v>1.1571468687803557E-2</v>
      </c>
      <c r="L223" s="154">
        <f t="shared" ref="L223" si="251">IF(L5=0,0,L5/L$4)</f>
        <v>1.1601786802753261E-2</v>
      </c>
      <c r="M223" s="154">
        <f t="shared" ref="M223:V223" si="252">IF(M5=0,0,M5/M$4)</f>
        <v>1.1302444929421104E-2</v>
      </c>
      <c r="N223" s="154">
        <f t="shared" si="252"/>
        <v>1.1417963666261952E-2</v>
      </c>
      <c r="O223" s="154">
        <f t="shared" si="252"/>
        <v>1.1518526343990346E-2</v>
      </c>
      <c r="P223" s="154">
        <f t="shared" si="252"/>
        <v>1.1458194395601478E-2</v>
      </c>
      <c r="Q223" s="154">
        <f t="shared" si="252"/>
        <v>1.1081805195638283E-2</v>
      </c>
      <c r="R223" s="154">
        <f t="shared" si="252"/>
        <v>1.0650840032392082E-2</v>
      </c>
      <c r="S223" s="154">
        <f t="shared" si="252"/>
        <v>9.8253934476604399E-3</v>
      </c>
      <c r="T223" s="154">
        <f t="shared" si="252"/>
        <v>9.201335520246684E-3</v>
      </c>
      <c r="U223" s="154">
        <f t="shared" si="252"/>
        <v>9.4898510116077483E-3</v>
      </c>
      <c r="V223" s="154">
        <f t="shared" si="252"/>
        <v>9.3231124007331131E-3</v>
      </c>
      <c r="W223" s="154">
        <f t="shared" ref="W223" si="253">IF(W5=0,0,W5/W$4)</f>
        <v>9.5288216089092249E-3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0.86298521568563535</v>
      </c>
      <c r="C224" s="156">
        <f t="shared" si="254"/>
        <v>0.8623764957254143</v>
      </c>
      <c r="D224" s="156">
        <f t="shared" si="254"/>
        <v>0.86218561703762742</v>
      </c>
      <c r="E224" s="156">
        <f t="shared" si="254"/>
        <v>0.86301188174553578</v>
      </c>
      <c r="F224" s="156">
        <f t="shared" si="254"/>
        <v>0.86462650824574072</v>
      </c>
      <c r="G224" s="156">
        <f t="shared" si="254"/>
        <v>0.86447176099993783</v>
      </c>
      <c r="H224" s="156">
        <f t="shared" si="254"/>
        <v>0.86543406298766667</v>
      </c>
      <c r="I224" s="156">
        <f t="shared" si="254"/>
        <v>0.87035377659761426</v>
      </c>
      <c r="J224" s="156">
        <f t="shared" si="254"/>
        <v>0.87351203530474497</v>
      </c>
      <c r="K224" s="156">
        <f t="shared" si="254"/>
        <v>0.87469940164765481</v>
      </c>
      <c r="L224" s="156">
        <f t="shared" ref="L224" si="255">IF(L6=0,0,L6/L$4)</f>
        <v>0.87317630637098165</v>
      </c>
      <c r="M224" s="156">
        <f t="shared" ref="M224:V224" si="256">IF(M6=0,0,M6/M$4)</f>
        <v>0.87805561670086607</v>
      </c>
      <c r="N224" s="156">
        <f t="shared" si="256"/>
        <v>0.8804801701901932</v>
      </c>
      <c r="O224" s="156">
        <f t="shared" si="256"/>
        <v>0.88082573492163607</v>
      </c>
      <c r="P224" s="156">
        <f t="shared" si="256"/>
        <v>0.88219572356447651</v>
      </c>
      <c r="Q224" s="156">
        <f t="shared" si="256"/>
        <v>0.88249526468954209</v>
      </c>
      <c r="R224" s="156">
        <f t="shared" si="256"/>
        <v>0.8835601838397753</v>
      </c>
      <c r="S224" s="156">
        <f t="shared" si="256"/>
        <v>0.8828441841392477</v>
      </c>
      <c r="T224" s="156">
        <f t="shared" si="256"/>
        <v>0.8877176658538245</v>
      </c>
      <c r="U224" s="156">
        <f t="shared" si="256"/>
        <v>0.89167594458269295</v>
      </c>
      <c r="V224" s="156">
        <f t="shared" si="256"/>
        <v>0.91920467283212526</v>
      </c>
      <c r="W224" s="156">
        <f t="shared" ref="W224" si="257">IF(W6=0,0,W6/W$4)</f>
        <v>0.91535920430188189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0.7782327904033447</v>
      </c>
      <c r="C225" s="103">
        <f t="shared" si="258"/>
        <v>0.76579771105038186</v>
      </c>
      <c r="D225" s="103">
        <f t="shared" si="258"/>
        <v>0.75616789266347795</v>
      </c>
      <c r="E225" s="103">
        <f t="shared" si="258"/>
        <v>0.7509005508655755</v>
      </c>
      <c r="F225" s="103">
        <f t="shared" si="258"/>
        <v>0.7377016726648733</v>
      </c>
      <c r="G225" s="103">
        <f t="shared" si="258"/>
        <v>0.71015742304948137</v>
      </c>
      <c r="H225" s="103">
        <f t="shared" si="258"/>
        <v>0.68939838706969092</v>
      </c>
      <c r="I225" s="103">
        <f t="shared" si="258"/>
        <v>0.64856033336782859</v>
      </c>
      <c r="J225" s="103">
        <f t="shared" si="258"/>
        <v>0.6194952262651231</v>
      </c>
      <c r="K225" s="103">
        <f t="shared" si="258"/>
        <v>0.59823403122617125</v>
      </c>
      <c r="L225" s="103">
        <f t="shared" ref="L225" si="259">IF(L7=0,0,L7/L$4)</f>
        <v>0.56619195977806247</v>
      </c>
      <c r="M225" s="103">
        <f t="shared" ref="M225:V225" si="260">IF(M7=0,0,M7/M$4)</f>
        <v>0.54865151880078589</v>
      </c>
      <c r="N225" s="103">
        <f t="shared" si="260"/>
        <v>0.52259622156711638</v>
      </c>
      <c r="O225" s="103">
        <f t="shared" si="260"/>
        <v>0.50793155237994669</v>
      </c>
      <c r="P225" s="103">
        <f t="shared" si="260"/>
        <v>0.50514820684522654</v>
      </c>
      <c r="Q225" s="103">
        <f t="shared" si="260"/>
        <v>0.47635602154130413</v>
      </c>
      <c r="R225" s="103">
        <f t="shared" si="260"/>
        <v>0.50015852807580718</v>
      </c>
      <c r="S225" s="103">
        <f t="shared" si="260"/>
        <v>0.48691954731742904</v>
      </c>
      <c r="T225" s="103">
        <f t="shared" si="260"/>
        <v>0.48841047230628243</v>
      </c>
      <c r="U225" s="103">
        <f t="shared" si="260"/>
        <v>0.49525880713922615</v>
      </c>
      <c r="V225" s="103">
        <f t="shared" si="260"/>
        <v>0.51611555509433382</v>
      </c>
      <c r="W225" s="103">
        <f t="shared" ref="W225" si="261">IF(W7=0,0,W7/W$4)</f>
        <v>0.51672188188437085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8.0435007179887372E-2</v>
      </c>
      <c r="C226" s="103">
        <f t="shared" si="262"/>
        <v>9.2338443774856921E-2</v>
      </c>
      <c r="D226" s="103">
        <f t="shared" si="262"/>
        <v>0.10219836062455342</v>
      </c>
      <c r="E226" s="103">
        <f t="shared" si="262"/>
        <v>0.10888319157184889</v>
      </c>
      <c r="F226" s="103">
        <f t="shared" si="262"/>
        <v>0.12407496789778222</v>
      </c>
      <c r="G226" s="103">
        <f t="shared" si="262"/>
        <v>0.15194650104473117</v>
      </c>
      <c r="H226" s="103">
        <f t="shared" si="262"/>
        <v>0.17405574031083543</v>
      </c>
      <c r="I226" s="103">
        <f t="shared" si="262"/>
        <v>0.22015646170967343</v>
      </c>
      <c r="J226" s="103">
        <f t="shared" si="262"/>
        <v>0.25272540168136687</v>
      </c>
      <c r="K226" s="103">
        <f t="shared" si="262"/>
        <v>0.27554016179611718</v>
      </c>
      <c r="L226" s="103">
        <f t="shared" ref="L226" si="263">IF(L8=0,0,L8/L$4)</f>
        <v>0.30696777160782468</v>
      </c>
      <c r="M226" s="103">
        <f t="shared" ref="M226:V226" si="264">IF(M8=0,0,M8/M$4)</f>
        <v>0.32926034679200045</v>
      </c>
      <c r="N226" s="103">
        <f t="shared" si="264"/>
        <v>0.35757549375328807</v>
      </c>
      <c r="O226" s="103">
        <f t="shared" si="264"/>
        <v>0.37243561707588435</v>
      </c>
      <c r="P226" s="103">
        <f t="shared" si="264"/>
        <v>0.37610834735364762</v>
      </c>
      <c r="Q226" s="103">
        <f t="shared" si="264"/>
        <v>0.40159397299336286</v>
      </c>
      <c r="R226" s="103">
        <f t="shared" si="264"/>
        <v>0.38079471304370421</v>
      </c>
      <c r="S226" s="103">
        <f t="shared" si="264"/>
        <v>0.39299306438060322</v>
      </c>
      <c r="T226" s="103">
        <f t="shared" si="264"/>
        <v>0.39509912082263393</v>
      </c>
      <c r="U226" s="103">
        <f t="shared" si="264"/>
        <v>0.3897582026018841</v>
      </c>
      <c r="V226" s="103">
        <f t="shared" si="264"/>
        <v>0.38747507092216021</v>
      </c>
      <c r="W226" s="103">
        <f t="shared" ref="W226" si="265">IF(W8=0,0,W8/W$4)</f>
        <v>0.36249510820301512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4.3174181024032803E-3</v>
      </c>
      <c r="C227" s="103">
        <f t="shared" si="266"/>
        <v>4.2403409001755465E-3</v>
      </c>
      <c r="D227" s="103">
        <f t="shared" si="266"/>
        <v>3.8193637495960884E-3</v>
      </c>
      <c r="E227" s="103">
        <f t="shared" si="266"/>
        <v>3.2281393081114132E-3</v>
      </c>
      <c r="F227" s="103">
        <f t="shared" si="266"/>
        <v>2.849867683085274E-3</v>
      </c>
      <c r="G227" s="103">
        <f t="shared" si="266"/>
        <v>2.3678369057254125E-3</v>
      </c>
      <c r="H227" s="103">
        <f t="shared" si="266"/>
        <v>1.9799356071402681E-3</v>
      </c>
      <c r="I227" s="103">
        <f t="shared" si="266"/>
        <v>1.6369815201122736E-3</v>
      </c>
      <c r="J227" s="103">
        <f t="shared" si="266"/>
        <v>1.2914073582550977E-3</v>
      </c>
      <c r="K227" s="103">
        <f t="shared" si="266"/>
        <v>9.1497384971908798E-4</v>
      </c>
      <c r="L227" s="103">
        <f t="shared" ref="L227" si="267">IF(L9=0,0,L9/L$4)</f>
        <v>0</v>
      </c>
      <c r="M227" s="103">
        <f t="shared" ref="M227:V227" si="268">IF(M9=0,0,M9/M$4)</f>
        <v>0</v>
      </c>
      <c r="N227" s="103">
        <f t="shared" si="268"/>
        <v>0</v>
      </c>
      <c r="O227" s="103">
        <f t="shared" si="268"/>
        <v>0</v>
      </c>
      <c r="P227" s="103">
        <f t="shared" si="268"/>
        <v>0</v>
      </c>
      <c r="Q227" s="103">
        <f t="shared" si="268"/>
        <v>0</v>
      </c>
      <c r="R227" s="103">
        <f t="shared" si="268"/>
        <v>0</v>
      </c>
      <c r="S227" s="103">
        <f t="shared" si="268"/>
        <v>0</v>
      </c>
      <c r="T227" s="103">
        <f t="shared" si="268"/>
        <v>0</v>
      </c>
      <c r="U227" s="103">
        <f t="shared" si="268"/>
        <v>0</v>
      </c>
      <c r="V227" s="103">
        <f t="shared" si="268"/>
        <v>0</v>
      </c>
      <c r="W227" s="103">
        <f t="shared" ref="W227" si="269">IF(W9=0,0,W9/W$4)</f>
        <v>0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1.7854156073023387E-5</v>
      </c>
      <c r="R228" s="103">
        <f t="shared" si="272"/>
        <v>4.6480993306458782E-5</v>
      </c>
      <c r="S228" s="103">
        <f t="shared" si="272"/>
        <v>8.2407492020685654E-5</v>
      </c>
      <c r="T228" s="103">
        <f t="shared" si="272"/>
        <v>1.395790259029989E-4</v>
      </c>
      <c r="U228" s="103">
        <f t="shared" si="272"/>
        <v>1.9419386371219592E-4</v>
      </c>
      <c r="V228" s="103">
        <f t="shared" si="272"/>
        <v>2.4616954413344899E-4</v>
      </c>
      <c r="W228" s="103">
        <f t="shared" ref="W228" si="273">IF(W10=0,0,W10/W$4)</f>
        <v>2.9632238787368002E-4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1.0893862426132273E-5</v>
      </c>
      <c r="O229" s="103">
        <f t="shared" si="276"/>
        <v>1.4302075330372212E-5</v>
      </c>
      <c r="P229" s="103">
        <f t="shared" si="276"/>
        <v>4.6991782630046474E-5</v>
      </c>
      <c r="Q229" s="103">
        <f t="shared" si="276"/>
        <v>2.4686141121182813E-3</v>
      </c>
      <c r="R229" s="103">
        <f t="shared" si="276"/>
        <v>2.4109653770863478E-4</v>
      </c>
      <c r="S229" s="103">
        <f t="shared" si="276"/>
        <v>3.5625524768111892E-4</v>
      </c>
      <c r="T229" s="103">
        <f t="shared" si="276"/>
        <v>1.2635226561787981E-3</v>
      </c>
      <c r="U229" s="103">
        <f t="shared" si="276"/>
        <v>2.3174854193691997E-3</v>
      </c>
      <c r="V229" s="103">
        <f t="shared" si="276"/>
        <v>7.3968320901446121E-3</v>
      </c>
      <c r="W229" s="103">
        <f t="shared" ref="W229" si="277">IF(W11=0,0,W11/W$4)</f>
        <v>1.9107490210989383E-2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1.0234775647247083E-5</v>
      </c>
      <c r="L230" s="103">
        <f t="shared" ref="L230" si="279">IF(L12=0,0,L12/L$4)</f>
        <v>1.6574985094572837E-5</v>
      </c>
      <c r="M230" s="103">
        <f t="shared" ref="M230:V230" si="280">IF(M12=0,0,M12/M$4)</f>
        <v>1.4375110807978949E-4</v>
      </c>
      <c r="N230" s="103">
        <f t="shared" si="280"/>
        <v>2.9756100736279549E-4</v>
      </c>
      <c r="O230" s="103">
        <f t="shared" si="280"/>
        <v>4.4426339047479532E-4</v>
      </c>
      <c r="P230" s="103">
        <f t="shared" si="280"/>
        <v>8.9217758297221506E-4</v>
      </c>
      <c r="Q230" s="103">
        <f t="shared" si="280"/>
        <v>2.0588018866837423E-3</v>
      </c>
      <c r="R230" s="103">
        <f t="shared" si="280"/>
        <v>2.3193651892488838E-3</v>
      </c>
      <c r="S230" s="103">
        <f t="shared" si="280"/>
        <v>2.4929097015135102E-3</v>
      </c>
      <c r="T230" s="103">
        <f t="shared" si="280"/>
        <v>2.804971042826284E-3</v>
      </c>
      <c r="U230" s="103">
        <f t="shared" si="280"/>
        <v>4.1472555585011818E-3</v>
      </c>
      <c r="V230" s="103">
        <f t="shared" si="280"/>
        <v>7.9710451813530623E-3</v>
      </c>
      <c r="W230" s="103">
        <f t="shared" ref="W230" si="281">IF(W12=0,0,W12/W$4)</f>
        <v>1.6738401615632743E-2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0.12647682169230551</v>
      </c>
      <c r="C231" s="156">
        <f t="shared" si="282"/>
        <v>0.12742733709509749</v>
      </c>
      <c r="D231" s="156">
        <f t="shared" si="282"/>
        <v>0.12718170575260834</v>
      </c>
      <c r="E231" s="156">
        <f t="shared" si="282"/>
        <v>0.12628679754610195</v>
      </c>
      <c r="F231" s="156">
        <f t="shared" si="282"/>
        <v>0.12484470024316925</v>
      </c>
      <c r="G231" s="156">
        <f t="shared" si="282"/>
        <v>0.12455078690077083</v>
      </c>
      <c r="H231" s="156">
        <f t="shared" si="282"/>
        <v>0.12296108363509106</v>
      </c>
      <c r="I231" s="156">
        <f t="shared" si="282"/>
        <v>0.11742990954232294</v>
      </c>
      <c r="J231" s="156">
        <f t="shared" si="282"/>
        <v>0.1143939370356726</v>
      </c>
      <c r="K231" s="156">
        <f t="shared" si="282"/>
        <v>0.11372912966454167</v>
      </c>
      <c r="L231" s="156">
        <f t="shared" ref="L231" si="283">IF(L13=0,0,L13/L$4)</f>
        <v>0.11522190682626504</v>
      </c>
      <c r="M231" s="156">
        <f t="shared" ref="M231:V231" si="284">IF(M13=0,0,M13/M$4)</f>
        <v>0.11064193836971278</v>
      </c>
      <c r="N231" s="156">
        <f t="shared" si="284"/>
        <v>0.10810186614354486</v>
      </c>
      <c r="O231" s="156">
        <f t="shared" si="284"/>
        <v>0.10765573873437358</v>
      </c>
      <c r="P231" s="156">
        <f t="shared" si="284"/>
        <v>0.10634608203992199</v>
      </c>
      <c r="Q231" s="156">
        <f t="shared" si="284"/>
        <v>0.10642293011481967</v>
      </c>
      <c r="R231" s="156">
        <f t="shared" si="284"/>
        <v>0.10578897612783272</v>
      </c>
      <c r="S231" s="156">
        <f t="shared" si="284"/>
        <v>0.10733042241309176</v>
      </c>
      <c r="T231" s="156">
        <f t="shared" si="284"/>
        <v>0.10308099862592887</v>
      </c>
      <c r="U231" s="156">
        <f t="shared" si="284"/>
        <v>9.8834204405699289E-2</v>
      </c>
      <c r="V231" s="156">
        <f t="shared" si="284"/>
        <v>7.1472214767141592E-2</v>
      </c>
      <c r="W231" s="156">
        <f t="shared" ref="W231" si="285">IF(W13=0,0,W13/W$4)</f>
        <v>7.5111974089208916E-2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7.8408158908480352E-3</v>
      </c>
      <c r="C232" s="103">
        <f t="shared" si="286"/>
        <v>8.1065958287485536E-3</v>
      </c>
      <c r="D232" s="103">
        <f t="shared" si="286"/>
        <v>8.09413332148806E-3</v>
      </c>
      <c r="E232" s="103">
        <f t="shared" si="286"/>
        <v>5.1298100158205795E-3</v>
      </c>
      <c r="F232" s="103">
        <f t="shared" si="286"/>
        <v>4.1594451773233447E-3</v>
      </c>
      <c r="G232" s="103">
        <f t="shared" si="286"/>
        <v>3.986330636890272E-3</v>
      </c>
      <c r="H232" s="103">
        <f t="shared" si="286"/>
        <v>4.0292600006798483E-3</v>
      </c>
      <c r="I232" s="103">
        <f t="shared" si="286"/>
        <v>3.8712467502121533E-3</v>
      </c>
      <c r="J232" s="103">
        <f t="shared" si="286"/>
        <v>3.8694827175904407E-3</v>
      </c>
      <c r="K232" s="103">
        <f t="shared" si="286"/>
        <v>3.7013425383528517E-3</v>
      </c>
      <c r="L232" s="103">
        <f t="shared" ref="L232" si="287">IF(L14=0,0,L14/L$4)</f>
        <v>3.5864906309792384E-3</v>
      </c>
      <c r="M232" s="103">
        <f t="shared" ref="M232:V232" si="288">IF(M14=0,0,M14/M$4)</f>
        <v>3.4201813938935215E-3</v>
      </c>
      <c r="N232" s="103">
        <f t="shared" si="288"/>
        <v>3.3610047475960028E-3</v>
      </c>
      <c r="O232" s="103">
        <f t="shared" si="288"/>
        <v>3.5730286297615444E-3</v>
      </c>
      <c r="P232" s="103">
        <f t="shared" si="288"/>
        <v>3.1304239564320037E-3</v>
      </c>
      <c r="Q232" s="103">
        <f t="shared" si="288"/>
        <v>2.6726684747176103E-3</v>
      </c>
      <c r="R232" s="103">
        <f t="shared" si="288"/>
        <v>2.3539288131977222E-3</v>
      </c>
      <c r="S232" s="103">
        <f t="shared" si="288"/>
        <v>2.1373284222690669E-3</v>
      </c>
      <c r="T232" s="103">
        <f t="shared" si="288"/>
        <v>1.8997198436880483E-3</v>
      </c>
      <c r="U232" s="103">
        <f t="shared" si="288"/>
        <v>1.6505015727467296E-3</v>
      </c>
      <c r="V232" s="103">
        <f t="shared" si="288"/>
        <v>1.6616240300178331E-3</v>
      </c>
      <c r="W232" s="103">
        <f t="shared" ref="W232" si="289">IF(W14=0,0,W14/W$4)</f>
        <v>1.5719822815539147E-3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0.11863600580145747</v>
      </c>
      <c r="C233" s="103">
        <f t="shared" si="290"/>
        <v>0.11932074126634895</v>
      </c>
      <c r="D233" s="103">
        <f t="shared" si="290"/>
        <v>0.11908757243112027</v>
      </c>
      <c r="E233" s="103">
        <f t="shared" si="290"/>
        <v>0.12115698753028137</v>
      </c>
      <c r="F233" s="103">
        <f t="shared" si="290"/>
        <v>0.12068525506584589</v>
      </c>
      <c r="G233" s="103">
        <f t="shared" si="290"/>
        <v>0.12056445626388054</v>
      </c>
      <c r="H233" s="103">
        <f t="shared" si="290"/>
        <v>0.1189318236344112</v>
      </c>
      <c r="I233" s="103">
        <f t="shared" si="290"/>
        <v>0.11355866279211078</v>
      </c>
      <c r="J233" s="103">
        <f t="shared" si="290"/>
        <v>0.11052445431808217</v>
      </c>
      <c r="K233" s="103">
        <f t="shared" si="290"/>
        <v>0.11002778712618883</v>
      </c>
      <c r="L233" s="103">
        <f t="shared" ref="L233" si="291">IF(L15=0,0,L15/L$4)</f>
        <v>0.11163541619528579</v>
      </c>
      <c r="M233" s="103">
        <f t="shared" ref="M233:V233" si="292">IF(M15=0,0,M15/M$4)</f>
        <v>0.10722175697581926</v>
      </c>
      <c r="N233" s="103">
        <f t="shared" si="292"/>
        <v>0.10474086139594886</v>
      </c>
      <c r="O233" s="103">
        <f t="shared" si="292"/>
        <v>0.10408271010461204</v>
      </c>
      <c r="P233" s="103">
        <f t="shared" si="292"/>
        <v>0.10321565808348999</v>
      </c>
      <c r="Q233" s="103">
        <f t="shared" si="292"/>
        <v>0.10337915037668938</v>
      </c>
      <c r="R233" s="103">
        <f t="shared" si="292"/>
        <v>0.10257311055073159</v>
      </c>
      <c r="S233" s="103">
        <f t="shared" si="292"/>
        <v>0.10340460826135833</v>
      </c>
      <c r="T233" s="103">
        <f t="shared" si="292"/>
        <v>9.9410215756908615E-2</v>
      </c>
      <c r="U233" s="103">
        <f t="shared" si="292"/>
        <v>9.4739117977229031E-2</v>
      </c>
      <c r="V233" s="103">
        <f t="shared" si="292"/>
        <v>6.7872336054183066E-2</v>
      </c>
      <c r="W233" s="103">
        <f t="shared" ref="W233" si="293">IF(W15=0,0,W15/W$4)</f>
        <v>7.019692821237114E-2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3.7111126341268585E-4</v>
      </c>
      <c r="R235" s="103">
        <f t="shared" si="300"/>
        <v>8.1481577272899384E-4</v>
      </c>
      <c r="S235" s="103">
        <f t="shared" si="300"/>
        <v>1.7273219045367812E-3</v>
      </c>
      <c r="T235" s="103">
        <f t="shared" si="300"/>
        <v>1.6971312934433188E-3</v>
      </c>
      <c r="U235" s="103">
        <f t="shared" si="300"/>
        <v>1.6442984173323531E-3</v>
      </c>
      <c r="V235" s="103">
        <f t="shared" si="300"/>
        <v>1.3687284245432194E-3</v>
      </c>
      <c r="W235" s="103">
        <f t="shared" ref="W235" si="301">IF(W17=0,0,W17/W$4)</f>
        <v>1.4945469716667161E-3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0</v>
      </c>
      <c r="Q236" s="103">
        <f t="shared" si="304"/>
        <v>0</v>
      </c>
      <c r="R236" s="103">
        <f t="shared" si="304"/>
        <v>4.71209911744232E-5</v>
      </c>
      <c r="S236" s="103">
        <f t="shared" si="304"/>
        <v>6.1163824927583772E-5</v>
      </c>
      <c r="T236" s="103">
        <f t="shared" si="304"/>
        <v>7.3931731888892584E-5</v>
      </c>
      <c r="U236" s="103">
        <f t="shared" si="304"/>
        <v>8.0028643839117231E-4</v>
      </c>
      <c r="V236" s="103">
        <f t="shared" si="304"/>
        <v>5.6952625839746813E-4</v>
      </c>
      <c r="W236" s="103">
        <f t="shared" ref="W236" si="305">IF(W18=0,0,W18/W$4)</f>
        <v>1.8485166236171364E-3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6.0094522005349052E-2</v>
      </c>
      <c r="C238" s="154">
        <f t="shared" si="310"/>
        <v>6.354236765294928E-2</v>
      </c>
      <c r="D238" s="154">
        <f t="shared" si="310"/>
        <v>6.4285058699474429E-2</v>
      </c>
      <c r="E238" s="154">
        <f t="shared" si="310"/>
        <v>6.7679642514256677E-2</v>
      </c>
      <c r="F238" s="154">
        <f t="shared" si="310"/>
        <v>7.2658025876436355E-2</v>
      </c>
      <c r="G238" s="154">
        <f t="shared" si="310"/>
        <v>7.4833834031437119E-2</v>
      </c>
      <c r="H238" s="154">
        <f t="shared" si="310"/>
        <v>7.8103912325369437E-2</v>
      </c>
      <c r="I238" s="154">
        <f t="shared" si="310"/>
        <v>8.199415520691504E-2</v>
      </c>
      <c r="J238" s="154">
        <f t="shared" si="310"/>
        <v>7.9882247152011157E-2</v>
      </c>
      <c r="K238" s="154">
        <f t="shared" si="310"/>
        <v>8.4253818812693476E-2</v>
      </c>
      <c r="L238" s="154">
        <f t="shared" ref="L238" si="311">IF(L20=0,0,L20/L$19)</f>
        <v>8.0748775074777471E-2</v>
      </c>
      <c r="M238" s="154">
        <f t="shared" ref="M238:V238" si="312">IF(M20=0,0,M20/M$19)</f>
        <v>6.9567661711434151E-2</v>
      </c>
      <c r="N238" s="154">
        <f t="shared" si="312"/>
        <v>6.4387909730556747E-2</v>
      </c>
      <c r="O238" s="154">
        <f t="shared" si="312"/>
        <v>5.9081751000203915E-2</v>
      </c>
      <c r="P238" s="154">
        <f t="shared" si="312"/>
        <v>5.6592456503769546E-2</v>
      </c>
      <c r="Q238" s="154">
        <f t="shared" si="312"/>
        <v>5.854102110862329E-2</v>
      </c>
      <c r="R238" s="154">
        <f t="shared" si="312"/>
        <v>5.4973740952498934E-2</v>
      </c>
      <c r="S238" s="154">
        <f t="shared" si="312"/>
        <v>5.6869929311340606E-2</v>
      </c>
      <c r="T238" s="154">
        <f t="shared" si="312"/>
        <v>6.0927767294389833E-2</v>
      </c>
      <c r="U238" s="154">
        <f t="shared" si="312"/>
        <v>5.8907493330068478E-2</v>
      </c>
      <c r="V238" s="154">
        <f t="shared" si="312"/>
        <v>5.3623673069931668E-2</v>
      </c>
      <c r="W238" s="154">
        <f t="shared" ref="W238" si="313">IF(W20=0,0,W20/W$19)</f>
        <v>5.3117100878693785E-2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8.5429625858875636E-3</v>
      </c>
      <c r="C239" s="103">
        <f t="shared" si="314"/>
        <v>9.2565119012353817E-3</v>
      </c>
      <c r="D239" s="103">
        <f t="shared" si="314"/>
        <v>8.9846909511554929E-3</v>
      </c>
      <c r="E239" s="103">
        <f t="shared" si="314"/>
        <v>8.6334666685313165E-3</v>
      </c>
      <c r="F239" s="103">
        <f t="shared" si="314"/>
        <v>8.4823940813756396E-3</v>
      </c>
      <c r="G239" s="103">
        <f t="shared" si="314"/>
        <v>8.0205182469730504E-3</v>
      </c>
      <c r="H239" s="103">
        <f t="shared" si="314"/>
        <v>7.5339528533970778E-3</v>
      </c>
      <c r="I239" s="103">
        <f t="shared" si="314"/>
        <v>6.8821384921170159E-3</v>
      </c>
      <c r="J239" s="103">
        <f t="shared" si="314"/>
        <v>6.0574027297073795E-3</v>
      </c>
      <c r="K239" s="103">
        <f t="shared" si="314"/>
        <v>6.0928136960585848E-3</v>
      </c>
      <c r="L239" s="103">
        <f t="shared" ref="L239" si="315">IF(L21=0,0,L21/L$19)</f>
        <v>5.3770499855892969E-3</v>
      </c>
      <c r="M239" s="103">
        <f t="shared" ref="M239:V239" si="316">IF(M21=0,0,M21/M$19)</f>
        <v>4.4043556813757115E-3</v>
      </c>
      <c r="N239" s="103">
        <f t="shared" si="316"/>
        <v>3.7445680916205469E-3</v>
      </c>
      <c r="O239" s="103">
        <f t="shared" si="316"/>
        <v>3.3233911423826805E-3</v>
      </c>
      <c r="P239" s="103">
        <f t="shared" si="316"/>
        <v>3.0540345292414282E-3</v>
      </c>
      <c r="Q239" s="103">
        <f t="shared" si="316"/>
        <v>2.9495234528027756E-3</v>
      </c>
      <c r="R239" s="103">
        <f t="shared" si="316"/>
        <v>2.6862975021545161E-3</v>
      </c>
      <c r="S239" s="103">
        <f t="shared" si="316"/>
        <v>2.6500736902778446E-3</v>
      </c>
      <c r="T239" s="103">
        <f t="shared" si="316"/>
        <v>2.6113352327747559E-3</v>
      </c>
      <c r="U239" s="103">
        <f t="shared" si="316"/>
        <v>2.4788250611892148E-3</v>
      </c>
      <c r="V239" s="103">
        <f t="shared" si="316"/>
        <v>2.2526491559517808E-3</v>
      </c>
      <c r="W239" s="103">
        <f t="shared" ref="W239" si="317">IF(W21=0,0,W21/W$19)</f>
        <v>2.3135313481393257E-3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5.155155941946149E-2</v>
      </c>
      <c r="C240" s="103">
        <f t="shared" si="318"/>
        <v>5.42858557517139E-2</v>
      </c>
      <c r="D240" s="103">
        <f t="shared" si="318"/>
        <v>5.5300367748318938E-2</v>
      </c>
      <c r="E240" s="103">
        <f t="shared" si="318"/>
        <v>5.9046175845725357E-2</v>
      </c>
      <c r="F240" s="103">
        <f t="shared" si="318"/>
        <v>6.4175631795060722E-2</v>
      </c>
      <c r="G240" s="103">
        <f t="shared" si="318"/>
        <v>6.6813315784464061E-2</v>
      </c>
      <c r="H240" s="103">
        <f t="shared" si="318"/>
        <v>7.0569959471972366E-2</v>
      </c>
      <c r="I240" s="103">
        <f t="shared" si="318"/>
        <v>7.511201671479803E-2</v>
      </c>
      <c r="J240" s="103">
        <f t="shared" si="318"/>
        <v>7.3824844422303776E-2</v>
      </c>
      <c r="K240" s="103">
        <f t="shared" si="318"/>
        <v>7.8161005116634888E-2</v>
      </c>
      <c r="L240" s="103">
        <f t="shared" ref="L240" si="319">IF(L22=0,0,L22/L$19)</f>
        <v>7.5371725089188171E-2</v>
      </c>
      <c r="M240" s="103">
        <f t="shared" ref="M240:V240" si="320">IF(M22=0,0,M22/M$19)</f>
        <v>6.5163306030058446E-2</v>
      </c>
      <c r="N240" s="103">
        <f t="shared" si="320"/>
        <v>6.0641448679558972E-2</v>
      </c>
      <c r="O240" s="103">
        <f t="shared" si="320"/>
        <v>5.5752264638808002E-2</v>
      </c>
      <c r="P240" s="103">
        <f t="shared" si="320"/>
        <v>5.3533747214736548E-2</v>
      </c>
      <c r="Q240" s="103">
        <f t="shared" si="320"/>
        <v>5.5501749731593102E-2</v>
      </c>
      <c r="R240" s="103">
        <f t="shared" si="320"/>
        <v>5.2198123905617531E-2</v>
      </c>
      <c r="S240" s="103">
        <f t="shared" si="320"/>
        <v>5.4116055922319661E-2</v>
      </c>
      <c r="T240" s="103">
        <f t="shared" si="320"/>
        <v>5.8205755269508622E-2</v>
      </c>
      <c r="U240" s="103">
        <f t="shared" si="320"/>
        <v>5.6295857769661298E-2</v>
      </c>
      <c r="V240" s="103">
        <f t="shared" si="320"/>
        <v>5.1193737622827869E-2</v>
      </c>
      <c r="W240" s="103">
        <f t="shared" ref="W240" si="321">IF(W22=0,0,W22/W$19)</f>
        <v>5.0450321892403359E-2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3.366361950588443E-5</v>
      </c>
      <c r="R242" s="103">
        <f t="shared" si="328"/>
        <v>3.3078341341265167E-5</v>
      </c>
      <c r="S242" s="103">
        <f t="shared" si="328"/>
        <v>3.5768228984464339E-5</v>
      </c>
      <c r="T242" s="103">
        <f t="shared" si="328"/>
        <v>3.7106003300713374E-5</v>
      </c>
      <c r="U242" s="103">
        <f t="shared" si="328"/>
        <v>3.5403920472630469E-5</v>
      </c>
      <c r="V242" s="103">
        <f t="shared" si="328"/>
        <v>3.1708218458877014E-5</v>
      </c>
      <c r="W242" s="103">
        <f t="shared" ref="W242" si="329">IF(W24=0,0,W24/W$19)</f>
        <v>3.0061516154282122E-5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1.8929593772203392E-6</v>
      </c>
      <c r="O243" s="103">
        <f t="shared" si="332"/>
        <v>6.0952190132363907E-6</v>
      </c>
      <c r="P243" s="103">
        <f t="shared" si="332"/>
        <v>4.6747597915673935E-6</v>
      </c>
      <c r="Q243" s="103">
        <f t="shared" si="332"/>
        <v>5.6084304721524442E-5</v>
      </c>
      <c r="R243" s="103">
        <f t="shared" si="332"/>
        <v>5.6241203385619184E-5</v>
      </c>
      <c r="S243" s="103">
        <f t="shared" si="332"/>
        <v>6.8031469758636829E-5</v>
      </c>
      <c r="T243" s="103">
        <f t="shared" si="332"/>
        <v>7.357078880574017E-5</v>
      </c>
      <c r="U243" s="103">
        <f t="shared" si="332"/>
        <v>9.7406578745339761E-5</v>
      </c>
      <c r="V243" s="103">
        <f t="shared" si="332"/>
        <v>1.4557807269313978E-4</v>
      </c>
      <c r="W243" s="103">
        <f t="shared" ref="W243" si="333">IF(W25=0,0,W25/W$19)</f>
        <v>3.2318612199680908E-4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0.93990547799465085</v>
      </c>
      <c r="C244" s="156">
        <f t="shared" si="334"/>
        <v>0.93645763234705071</v>
      </c>
      <c r="D244" s="156">
        <f t="shared" si="334"/>
        <v>0.93571494130052557</v>
      </c>
      <c r="E244" s="156">
        <f t="shared" si="334"/>
        <v>0.93232035748574338</v>
      </c>
      <c r="F244" s="156">
        <f t="shared" si="334"/>
        <v>0.92734197412356356</v>
      </c>
      <c r="G244" s="156">
        <f t="shared" si="334"/>
        <v>0.92516616596856294</v>
      </c>
      <c r="H244" s="156">
        <f t="shared" si="334"/>
        <v>0.92189608767463049</v>
      </c>
      <c r="I244" s="156">
        <f t="shared" si="334"/>
        <v>0.91800584479308489</v>
      </c>
      <c r="J244" s="156">
        <f t="shared" si="334"/>
        <v>0.9201177528479888</v>
      </c>
      <c r="K244" s="156">
        <f t="shared" si="334"/>
        <v>0.91574618118730655</v>
      </c>
      <c r="L244" s="156">
        <f t="shared" ref="L244" si="335">IF(L26=0,0,L26/L$19)</f>
        <v>0.9192512249252226</v>
      </c>
      <c r="M244" s="156">
        <f t="shared" ref="M244:V244" si="336">IF(M26=0,0,M26/M$19)</f>
        <v>0.93043233828856586</v>
      </c>
      <c r="N244" s="156">
        <f t="shared" si="336"/>
        <v>0.93561209026944325</v>
      </c>
      <c r="O244" s="156">
        <f t="shared" si="336"/>
        <v>0.94091824899979604</v>
      </c>
      <c r="P244" s="156">
        <f t="shared" si="336"/>
        <v>0.94340754349623035</v>
      </c>
      <c r="Q244" s="156">
        <f t="shared" si="336"/>
        <v>0.94145897889137675</v>
      </c>
      <c r="R244" s="156">
        <f t="shared" si="336"/>
        <v>0.94502625904750104</v>
      </c>
      <c r="S244" s="156">
        <f t="shared" si="336"/>
        <v>0.94313007068865939</v>
      </c>
      <c r="T244" s="156">
        <f t="shared" si="336"/>
        <v>0.93907223270561024</v>
      </c>
      <c r="U244" s="156">
        <f t="shared" si="336"/>
        <v>0.94109250666993149</v>
      </c>
      <c r="V244" s="156">
        <f t="shared" si="336"/>
        <v>0.94637632693006823</v>
      </c>
      <c r="W244" s="156">
        <f t="shared" ref="W244" si="337">IF(W26=0,0,W26/W$19)</f>
        <v>0.9468828991213063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0.68310991711008695</v>
      </c>
      <c r="C245" s="103">
        <f t="shared" si="338"/>
        <v>0.6656392107126089</v>
      </c>
      <c r="D245" s="103">
        <f t="shared" si="338"/>
        <v>0.65700585413286683</v>
      </c>
      <c r="E245" s="103">
        <f t="shared" si="338"/>
        <v>0.65069879403957542</v>
      </c>
      <c r="F245" s="103">
        <f t="shared" si="338"/>
        <v>0.60812411495659902</v>
      </c>
      <c r="G245" s="103">
        <f t="shared" si="338"/>
        <v>0.60944684146215389</v>
      </c>
      <c r="H245" s="103">
        <f t="shared" si="338"/>
        <v>0.59897357878703383</v>
      </c>
      <c r="I245" s="103">
        <f t="shared" si="338"/>
        <v>0.589118345564837</v>
      </c>
      <c r="J245" s="103">
        <f t="shared" si="338"/>
        <v>0.52139177815815529</v>
      </c>
      <c r="K245" s="103">
        <f t="shared" si="338"/>
        <v>0.54146545409727809</v>
      </c>
      <c r="L245" s="103">
        <f t="shared" ref="L245" si="339">IF(L27=0,0,L27/L$19)</f>
        <v>0.56363862923355534</v>
      </c>
      <c r="M245" s="103">
        <f t="shared" ref="M245:V245" si="340">IF(M27=0,0,M27/M$19)</f>
        <v>0.60680166396438706</v>
      </c>
      <c r="N245" s="103">
        <f t="shared" si="340"/>
        <v>0.61927308804094949</v>
      </c>
      <c r="O245" s="103">
        <f t="shared" si="340"/>
        <v>0.59570732908345392</v>
      </c>
      <c r="P245" s="103">
        <f t="shared" si="340"/>
        <v>0.62562676385335869</v>
      </c>
      <c r="Q245" s="103">
        <f t="shared" si="340"/>
        <v>0.61679108601813781</v>
      </c>
      <c r="R245" s="103">
        <f t="shared" si="340"/>
        <v>0.59810618142143379</v>
      </c>
      <c r="S245" s="103">
        <f t="shared" si="340"/>
        <v>0.58282664055437117</v>
      </c>
      <c r="T245" s="103">
        <f t="shared" si="340"/>
        <v>0.58734575830934654</v>
      </c>
      <c r="U245" s="103">
        <f t="shared" si="340"/>
        <v>0.58827348767482235</v>
      </c>
      <c r="V245" s="103">
        <f t="shared" si="340"/>
        <v>0.58101296888620702</v>
      </c>
      <c r="W245" s="103">
        <f t="shared" ref="W245" si="341">IF(W27=0,0,W27/W$19)</f>
        <v>0.58503072824810809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0.2567955608845639</v>
      </c>
      <c r="C246" s="105">
        <f t="shared" si="342"/>
        <v>0.27081842163444186</v>
      </c>
      <c r="D246" s="105">
        <f t="shared" si="342"/>
        <v>0.27870908716765869</v>
      </c>
      <c r="E246" s="105">
        <f t="shared" si="342"/>
        <v>0.2816215634461679</v>
      </c>
      <c r="F246" s="105">
        <f t="shared" si="342"/>
        <v>0.31921785916696455</v>
      </c>
      <c r="G246" s="105">
        <f t="shared" si="342"/>
        <v>0.31571932450640899</v>
      </c>
      <c r="H246" s="105">
        <f t="shared" si="342"/>
        <v>0.32292250888759666</v>
      </c>
      <c r="I246" s="105">
        <f t="shared" si="342"/>
        <v>0.32888749922824789</v>
      </c>
      <c r="J246" s="105">
        <f t="shared" si="342"/>
        <v>0.39872597468983356</v>
      </c>
      <c r="K246" s="105">
        <f t="shared" si="342"/>
        <v>0.37428072709002846</v>
      </c>
      <c r="L246" s="105">
        <f t="shared" ref="L246" si="343">IF(L28=0,0,L28/L$19)</f>
        <v>0.35561259569166725</v>
      </c>
      <c r="M246" s="105">
        <f t="shared" ref="M246:V246" si="344">IF(M28=0,0,M28/M$19)</f>
        <v>0.32363067432417886</v>
      </c>
      <c r="N246" s="105">
        <f t="shared" si="344"/>
        <v>0.31633900222849376</v>
      </c>
      <c r="O246" s="105">
        <f t="shared" si="344"/>
        <v>0.34521091991634217</v>
      </c>
      <c r="P246" s="105">
        <f t="shared" si="344"/>
        <v>0.31778077964287171</v>
      </c>
      <c r="Q246" s="105">
        <f t="shared" si="344"/>
        <v>0.32466789287323888</v>
      </c>
      <c r="R246" s="105">
        <f t="shared" si="344"/>
        <v>0.34692007762606725</v>
      </c>
      <c r="S246" s="105">
        <f t="shared" si="344"/>
        <v>0.36030343013428817</v>
      </c>
      <c r="T246" s="105">
        <f t="shared" si="344"/>
        <v>0.35172647439626376</v>
      </c>
      <c r="U246" s="105">
        <f t="shared" si="344"/>
        <v>0.3528190189951092</v>
      </c>
      <c r="V246" s="105">
        <f t="shared" si="344"/>
        <v>0.36536335804386127</v>
      </c>
      <c r="W246" s="105">
        <f t="shared" ref="W246" si="345">IF(W28=0,0,W28/W$19)</f>
        <v>0.36185217087319815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2.216967624253588E-2</v>
      </c>
      <c r="C250" s="154">
        <f t="shared" si="350"/>
        <v>2.08945244220133E-2</v>
      </c>
      <c r="D250" s="154">
        <f t="shared" si="350"/>
        <v>2.1182980076129624E-2</v>
      </c>
      <c r="E250" s="154">
        <f t="shared" si="350"/>
        <v>2.0890246052735251E-2</v>
      </c>
      <c r="F250" s="154">
        <f t="shared" si="350"/>
        <v>2.0524658717160273E-2</v>
      </c>
      <c r="G250" s="154">
        <f t="shared" si="350"/>
        <v>2.0700476435559081E-2</v>
      </c>
      <c r="H250" s="154">
        <f t="shared" si="350"/>
        <v>2.1267764120723842E-2</v>
      </c>
      <c r="I250" s="154">
        <f t="shared" si="350"/>
        <v>2.1118435550020777E-2</v>
      </c>
      <c r="J250" s="154">
        <f t="shared" si="350"/>
        <v>2.0747374397298728E-2</v>
      </c>
      <c r="K250" s="154">
        <f t="shared" si="350"/>
        <v>1.9922840133586282E-2</v>
      </c>
      <c r="L250" s="154">
        <f t="shared" ref="L250" si="351">IF(L32=0,0,L32/L$31)</f>
        <v>1.9673727353078378E-2</v>
      </c>
      <c r="M250" s="154">
        <f t="shared" ref="M250:V250" si="352">IF(M32=0,0,M32/M$31)</f>
        <v>1.846705948596335E-2</v>
      </c>
      <c r="N250" s="154">
        <f t="shared" si="352"/>
        <v>1.9059454391053731E-2</v>
      </c>
      <c r="O250" s="154">
        <f t="shared" si="352"/>
        <v>1.8850137928058654E-2</v>
      </c>
      <c r="P250" s="154">
        <f t="shared" si="352"/>
        <v>1.858294933150232E-2</v>
      </c>
      <c r="Q250" s="154">
        <f t="shared" si="352"/>
        <v>1.7074448572209334E-2</v>
      </c>
      <c r="R250" s="154">
        <f t="shared" si="352"/>
        <v>1.6548936077213375E-2</v>
      </c>
      <c r="S250" s="154">
        <f t="shared" si="352"/>
        <v>1.5477651071882906E-2</v>
      </c>
      <c r="T250" s="154">
        <f t="shared" si="352"/>
        <v>1.4289226058036616E-2</v>
      </c>
      <c r="U250" s="154">
        <f t="shared" si="352"/>
        <v>1.4713178965804511E-2</v>
      </c>
      <c r="V250" s="154">
        <f t="shared" si="352"/>
        <v>1.3996761426046155E-2</v>
      </c>
      <c r="W250" s="154">
        <f t="shared" ref="W250" si="353">IF(W32=0,0,W32/W$31)</f>
        <v>1.3848803242083232E-2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0.95290536445480722</v>
      </c>
      <c r="C251" s="156">
        <f t="shared" si="354"/>
        <v>0.95451514412953076</v>
      </c>
      <c r="D251" s="156">
        <f t="shared" si="354"/>
        <v>0.95519286168809547</v>
      </c>
      <c r="E251" s="156">
        <f t="shared" si="354"/>
        <v>0.95624636461639412</v>
      </c>
      <c r="F251" s="156">
        <f t="shared" si="354"/>
        <v>0.95733252536948188</v>
      </c>
      <c r="G251" s="156">
        <f t="shared" si="354"/>
        <v>0.95716152409119082</v>
      </c>
      <c r="H251" s="156">
        <f t="shared" si="354"/>
        <v>0.95671613605789274</v>
      </c>
      <c r="I251" s="156">
        <f t="shared" si="354"/>
        <v>0.9585413077529481</v>
      </c>
      <c r="J251" s="156">
        <f t="shared" si="354"/>
        <v>0.95897968318068405</v>
      </c>
      <c r="K251" s="156">
        <f t="shared" si="354"/>
        <v>0.95953325882736573</v>
      </c>
      <c r="L251" s="156">
        <f t="shared" ref="L251" si="355">IF(L33=0,0,L33/L$31)</f>
        <v>0.95970774063133502</v>
      </c>
      <c r="M251" s="156">
        <f t="shared" ref="M251:V251" si="356">IF(M33=0,0,M33/M$31)</f>
        <v>0.96251753515160754</v>
      </c>
      <c r="N251" s="156">
        <f t="shared" si="356"/>
        <v>0.96261042546783904</v>
      </c>
      <c r="O251" s="156">
        <f t="shared" si="356"/>
        <v>0.96390687769624361</v>
      </c>
      <c r="P251" s="156">
        <f t="shared" si="356"/>
        <v>0.96421122635029166</v>
      </c>
      <c r="Q251" s="156">
        <f t="shared" si="356"/>
        <v>0.96696074333088589</v>
      </c>
      <c r="R251" s="156">
        <f t="shared" si="356"/>
        <v>0.96745901691441349</v>
      </c>
      <c r="S251" s="156">
        <f t="shared" si="356"/>
        <v>0.9680030669139994</v>
      </c>
      <c r="T251" s="156">
        <f t="shared" si="356"/>
        <v>0.96981497329329469</v>
      </c>
      <c r="U251" s="156">
        <f t="shared" si="356"/>
        <v>0.97009831352324283</v>
      </c>
      <c r="V251" s="156">
        <f t="shared" si="356"/>
        <v>0.96988396561677637</v>
      </c>
      <c r="W251" s="156">
        <f t="shared" ref="W251" si="357">IF(W33=0,0,W33/W$31)</f>
        <v>0.97071647517051263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0.86462263422279062</v>
      </c>
      <c r="C252" s="103">
        <f t="shared" si="358"/>
        <v>0.85363295712677734</v>
      </c>
      <c r="D252" s="103">
        <f t="shared" si="358"/>
        <v>0.8443266249990643</v>
      </c>
      <c r="E252" s="103">
        <f t="shared" si="358"/>
        <v>0.83899080086865907</v>
      </c>
      <c r="F252" s="103">
        <f t="shared" si="358"/>
        <v>0.82458842816681843</v>
      </c>
      <c r="G252" s="103">
        <f t="shared" si="358"/>
        <v>0.79550671650554827</v>
      </c>
      <c r="H252" s="103">
        <f t="shared" si="358"/>
        <v>0.77233822289363951</v>
      </c>
      <c r="I252" s="103">
        <f t="shared" si="358"/>
        <v>0.72636887468902633</v>
      </c>
      <c r="J252" s="103">
        <f t="shared" si="358"/>
        <v>0.69330946082925204</v>
      </c>
      <c r="K252" s="103">
        <f t="shared" si="358"/>
        <v>0.67014120722726522</v>
      </c>
      <c r="L252" s="103">
        <f t="shared" ref="L252" si="359">IF(L34=0,0,L34/L$31)</f>
        <v>0.637020770226288</v>
      </c>
      <c r="M252" s="103">
        <f t="shared" ref="M252:V252" si="360">IF(M34=0,0,M34/M$31)</f>
        <v>0.61660564810120411</v>
      </c>
      <c r="N252" s="103">
        <f t="shared" si="360"/>
        <v>0.58697136498860225</v>
      </c>
      <c r="O252" s="103">
        <f t="shared" si="360"/>
        <v>0.57166904339148339</v>
      </c>
      <c r="P252" s="103">
        <f t="shared" si="360"/>
        <v>0.56790375101526169</v>
      </c>
      <c r="Q252" s="103">
        <f t="shared" si="360"/>
        <v>0.53773650212069257</v>
      </c>
      <c r="R252" s="103">
        <f t="shared" si="360"/>
        <v>0.5632911300949407</v>
      </c>
      <c r="S252" s="103">
        <f t="shared" si="360"/>
        <v>0.54963713972490447</v>
      </c>
      <c r="T252" s="103">
        <f t="shared" si="360"/>
        <v>0.54926285689398913</v>
      </c>
      <c r="U252" s="103">
        <f t="shared" si="360"/>
        <v>0.55415437772832665</v>
      </c>
      <c r="V252" s="103">
        <f t="shared" si="360"/>
        <v>0.55889100893585375</v>
      </c>
      <c r="W252" s="103">
        <f t="shared" ref="W252" si="361">IF(W34=0,0,W34/W$31)</f>
        <v>0.55991530561028247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8.3489205991696999E-2</v>
      </c>
      <c r="C253" s="103">
        <f t="shared" si="362"/>
        <v>9.6162957606332367E-2</v>
      </c>
      <c r="D253" s="103">
        <f t="shared" si="362"/>
        <v>0.10661156826795498</v>
      </c>
      <c r="E253" s="103">
        <f t="shared" si="362"/>
        <v>0.11365898400590431</v>
      </c>
      <c r="F253" s="103">
        <f t="shared" si="362"/>
        <v>0.12957129229857658</v>
      </c>
      <c r="G253" s="103">
        <f t="shared" si="362"/>
        <v>0.15901865460039905</v>
      </c>
      <c r="H253" s="103">
        <f t="shared" si="362"/>
        <v>0.18217709286212311</v>
      </c>
      <c r="I253" s="103">
        <f t="shared" si="362"/>
        <v>0.23035966101849406</v>
      </c>
      <c r="J253" s="103">
        <f t="shared" si="362"/>
        <v>0.26424465357904015</v>
      </c>
      <c r="K253" s="103">
        <f t="shared" si="362"/>
        <v>0.28836879930703047</v>
      </c>
      <c r="L253" s="103">
        <f t="shared" ref="L253" si="363">IF(L35=0,0,L35/L$31)</f>
        <v>0.32266423347327577</v>
      </c>
      <c r="M253" s="103">
        <f t="shared" ref="M253:V253" si="364">IF(M35=0,0,M35/M$31)</f>
        <v>0.34571521643218389</v>
      </c>
      <c r="N253" s="103">
        <f t="shared" si="364"/>
        <v>0.37522049125012102</v>
      </c>
      <c r="O253" s="103">
        <f t="shared" si="364"/>
        <v>0.39161457034191832</v>
      </c>
      <c r="P253" s="103">
        <f t="shared" si="364"/>
        <v>0.3950363363878121</v>
      </c>
      <c r="Q253" s="103">
        <f t="shared" si="364"/>
        <v>0.42353879427957275</v>
      </c>
      <c r="R253" s="103">
        <f t="shared" si="364"/>
        <v>0.4006676654075349</v>
      </c>
      <c r="S253" s="103">
        <f t="shared" si="364"/>
        <v>0.41444976561336672</v>
      </c>
      <c r="T253" s="103">
        <f t="shared" si="364"/>
        <v>0.41511600537970722</v>
      </c>
      <c r="U253" s="103">
        <f t="shared" si="364"/>
        <v>0.40743841725246682</v>
      </c>
      <c r="V253" s="103">
        <f t="shared" si="364"/>
        <v>0.39200543844916119</v>
      </c>
      <c r="W253" s="103">
        <f t="shared" ref="W253" si="365">IF(W35=0,0,W35/W$31)</f>
        <v>0.36697441553571564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4.7935242403196231E-3</v>
      </c>
      <c r="C254" s="103">
        <f t="shared" si="366"/>
        <v>4.7192293964211348E-3</v>
      </c>
      <c r="D254" s="103">
        <f t="shared" si="366"/>
        <v>4.2546684210761848E-3</v>
      </c>
      <c r="E254" s="103">
        <f t="shared" si="366"/>
        <v>3.5965797418307808E-3</v>
      </c>
      <c r="F254" s="103">
        <f t="shared" si="366"/>
        <v>3.1728049040869858E-3</v>
      </c>
      <c r="G254" s="103">
        <f t="shared" si="366"/>
        <v>2.6361529852434473E-3</v>
      </c>
      <c r="H254" s="103">
        <f t="shared" si="366"/>
        <v>2.2008203021301838E-3</v>
      </c>
      <c r="I254" s="103">
        <f t="shared" si="366"/>
        <v>1.8127720454276671E-3</v>
      </c>
      <c r="J254" s="103">
        <f t="shared" si="366"/>
        <v>1.4255687723918136E-3</v>
      </c>
      <c r="K254" s="103">
        <f t="shared" si="366"/>
        <v>1.0092396136223947E-3</v>
      </c>
      <c r="L254" s="103">
        <f t="shared" ref="L254" si="367">IF(L36=0,0,L36/L$31)</f>
        <v>0</v>
      </c>
      <c r="M254" s="103">
        <f t="shared" ref="M254:V254" si="368">IF(M36=0,0,M36/M$31)</f>
        <v>0</v>
      </c>
      <c r="N254" s="103">
        <f t="shared" si="368"/>
        <v>0</v>
      </c>
      <c r="O254" s="103">
        <f t="shared" si="368"/>
        <v>0</v>
      </c>
      <c r="P254" s="103">
        <f t="shared" si="368"/>
        <v>0</v>
      </c>
      <c r="Q254" s="103">
        <f t="shared" si="368"/>
        <v>0</v>
      </c>
      <c r="R254" s="103">
        <f t="shared" si="368"/>
        <v>0</v>
      </c>
      <c r="S254" s="103">
        <f t="shared" si="368"/>
        <v>0</v>
      </c>
      <c r="T254" s="103">
        <f t="shared" si="368"/>
        <v>0</v>
      </c>
      <c r="U254" s="103">
        <f t="shared" si="368"/>
        <v>0</v>
      </c>
      <c r="V254" s="103">
        <f t="shared" si="368"/>
        <v>0</v>
      </c>
      <c r="W254" s="103">
        <f t="shared" ref="W254" si="369">IF(W36=0,0,W36/W$31)</f>
        <v>0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2.016805661617999E-5</v>
      </c>
      <c r="R255" s="103">
        <f t="shared" si="372"/>
        <v>5.2468676078704691E-5</v>
      </c>
      <c r="S255" s="103">
        <f t="shared" si="372"/>
        <v>9.315102449190784E-5</v>
      </c>
      <c r="T255" s="103">
        <f t="shared" si="372"/>
        <v>1.5720358700278369E-4</v>
      </c>
      <c r="U255" s="103">
        <f t="shared" si="372"/>
        <v>2.1780731805726605E-4</v>
      </c>
      <c r="V255" s="103">
        <f t="shared" si="372"/>
        <v>2.6777507104823087E-4</v>
      </c>
      <c r="W255" s="103">
        <f t="shared" ref="W255" si="373">IF(W37=0,0,W37/W$31)</f>
        <v>3.2396163203350029E-4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1.254807736102284E-5</v>
      </c>
      <c r="O256" s="103">
        <f t="shared" si="376"/>
        <v>1.6489537129947847E-5</v>
      </c>
      <c r="P256" s="103">
        <f t="shared" si="376"/>
        <v>5.4111986214614657E-5</v>
      </c>
      <c r="Q256" s="103">
        <f t="shared" si="376"/>
        <v>2.8497974014534953E-3</v>
      </c>
      <c r="R256" s="103">
        <f t="shared" si="376"/>
        <v>2.7813249586647201E-4</v>
      </c>
      <c r="S256" s="103">
        <f t="shared" si="376"/>
        <v>4.115458841653228E-4</v>
      </c>
      <c r="T256" s="103">
        <f t="shared" si="376"/>
        <v>1.4543246849400035E-3</v>
      </c>
      <c r="U256" s="103">
        <f t="shared" si="376"/>
        <v>2.6563789435639462E-3</v>
      </c>
      <c r="V256" s="103">
        <f t="shared" si="376"/>
        <v>8.2227604025472689E-3</v>
      </c>
      <c r="W256" s="103">
        <f t="shared" ref="W256" si="377">IF(W38=0,0,W38/W$31)</f>
        <v>2.1348571140253174E-2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1.4012679447661258E-5</v>
      </c>
      <c r="L257" s="103">
        <f t="shared" ref="L257" si="379">IF(L39=0,0,L39/L$31)</f>
        <v>2.273693177123239E-5</v>
      </c>
      <c r="M257" s="103">
        <f t="shared" ref="M257:V257" si="380">IF(M39=0,0,M39/M$31)</f>
        <v>1.9667061821960864E-4</v>
      </c>
      <c r="N257" s="103">
        <f t="shared" si="380"/>
        <v>4.060211517546432E-4</v>
      </c>
      <c r="O257" s="103">
        <f t="shared" si="380"/>
        <v>6.0677442571196788E-4</v>
      </c>
      <c r="P257" s="103">
        <f t="shared" si="380"/>
        <v>1.2170269610030386E-3</v>
      </c>
      <c r="Q257" s="103">
        <f t="shared" si="380"/>
        <v>2.8154814725507922E-3</v>
      </c>
      <c r="R257" s="103">
        <f t="shared" si="380"/>
        <v>3.1696202399926657E-3</v>
      </c>
      <c r="S257" s="103">
        <f t="shared" si="380"/>
        <v>3.4114646670710268E-3</v>
      </c>
      <c r="T257" s="103">
        <f t="shared" si="380"/>
        <v>3.8245827476555854E-3</v>
      </c>
      <c r="U257" s="103">
        <f t="shared" si="380"/>
        <v>5.6313322808279236E-3</v>
      </c>
      <c r="V257" s="103">
        <f t="shared" si="380"/>
        <v>1.0496982758165898E-2</v>
      </c>
      <c r="W257" s="103">
        <f t="shared" ref="W257" si="381">IF(W39=0,0,W39/W$31)</f>
        <v>2.2154221252227987E-2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2.4924959302656813E-2</v>
      </c>
      <c r="C258" s="156">
        <f t="shared" si="382"/>
        <v>2.4590331448455894E-2</v>
      </c>
      <c r="D258" s="156">
        <f t="shared" si="382"/>
        <v>2.3624158235774979E-2</v>
      </c>
      <c r="E258" s="156">
        <f t="shared" si="382"/>
        <v>2.2863389330870558E-2</v>
      </c>
      <c r="F258" s="156">
        <f t="shared" si="382"/>
        <v>2.2142815913357729E-2</v>
      </c>
      <c r="G258" s="156">
        <f t="shared" si="382"/>
        <v>2.2137999473250194E-2</v>
      </c>
      <c r="H258" s="156">
        <f t="shared" si="382"/>
        <v>2.2016099821383365E-2</v>
      </c>
      <c r="I258" s="156">
        <f t="shared" si="382"/>
        <v>2.0340256697031132E-2</v>
      </c>
      <c r="J258" s="156">
        <f t="shared" si="382"/>
        <v>2.027294242201718E-2</v>
      </c>
      <c r="K258" s="156">
        <f t="shared" si="382"/>
        <v>2.0543901039047928E-2</v>
      </c>
      <c r="L258" s="156">
        <f t="shared" ref="L258" si="383">IF(L40=0,0,L40/L$31)</f>
        <v>2.0618532015586732E-2</v>
      </c>
      <c r="M258" s="156">
        <f t="shared" ref="M258:V258" si="384">IF(M40=0,0,M40/M$31)</f>
        <v>1.9015405362428957E-2</v>
      </c>
      <c r="N258" s="156">
        <f t="shared" si="384"/>
        <v>1.8330120141107225E-2</v>
      </c>
      <c r="O258" s="156">
        <f t="shared" si="384"/>
        <v>1.7242984375697667E-2</v>
      </c>
      <c r="P258" s="156">
        <f t="shared" si="384"/>
        <v>1.7205824318206036E-2</v>
      </c>
      <c r="Q258" s="156">
        <f t="shared" si="384"/>
        <v>1.5964808096904915E-2</v>
      </c>
      <c r="R258" s="156">
        <f t="shared" si="384"/>
        <v>1.5992047008373117E-2</v>
      </c>
      <c r="S258" s="156">
        <f t="shared" si="384"/>
        <v>1.6519282014117773E-2</v>
      </c>
      <c r="T258" s="156">
        <f t="shared" si="384"/>
        <v>1.5895800648668579E-2</v>
      </c>
      <c r="U258" s="156">
        <f t="shared" si="384"/>
        <v>1.5188507510952605E-2</v>
      </c>
      <c r="V258" s="156">
        <f t="shared" si="384"/>
        <v>1.6119272957177383E-2</v>
      </c>
      <c r="W258" s="156">
        <f t="shared" ref="W258" si="385">IF(W40=0,0,W40/W$31)</f>
        <v>1.5434721587404146E-2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2.8237069844258291E-3</v>
      </c>
      <c r="C259" s="103">
        <f t="shared" si="386"/>
        <v>2.8447377028599599E-3</v>
      </c>
      <c r="D259" s="103">
        <f t="shared" si="386"/>
        <v>2.7589849496875555E-3</v>
      </c>
      <c r="E259" s="103">
        <f t="shared" si="386"/>
        <v>1.713357248165407E-3</v>
      </c>
      <c r="F259" s="103">
        <f t="shared" si="386"/>
        <v>1.3855820459449659E-3</v>
      </c>
      <c r="G259" s="103">
        <f t="shared" si="386"/>
        <v>1.2866969403083736E-3</v>
      </c>
      <c r="H259" s="103">
        <f t="shared" si="386"/>
        <v>1.2674026791202019E-3</v>
      </c>
      <c r="I259" s="103">
        <f t="shared" si="386"/>
        <v>1.1522914723617697E-3</v>
      </c>
      <c r="J259" s="103">
        <f t="shared" si="386"/>
        <v>1.1458116068239689E-3</v>
      </c>
      <c r="K259" s="103">
        <f t="shared" si="386"/>
        <v>1.1015761054602765E-3</v>
      </c>
      <c r="L259" s="103">
        <f t="shared" ref="L259" si="387">IF(L41=0,0,L41/L$31)</f>
        <v>1.0499847299781544E-3</v>
      </c>
      <c r="M259" s="103">
        <f t="shared" ref="M259:V259" si="388">IF(M41=0,0,M41/M$31)</f>
        <v>9.6378719097278524E-4</v>
      </c>
      <c r="N259" s="103">
        <f t="shared" si="388"/>
        <v>9.5986997078753838E-4</v>
      </c>
      <c r="O259" s="103">
        <f t="shared" si="388"/>
        <v>9.9747571616411439E-4</v>
      </c>
      <c r="P259" s="103">
        <f t="shared" si="388"/>
        <v>8.6892248586231799E-4</v>
      </c>
      <c r="Q259" s="103">
        <f t="shared" si="388"/>
        <v>7.0478228943962108E-4</v>
      </c>
      <c r="R259" s="103">
        <f t="shared" si="388"/>
        <v>6.2637400270029427E-4</v>
      </c>
      <c r="S259" s="103">
        <f t="shared" si="388"/>
        <v>5.7604259125329169E-4</v>
      </c>
      <c r="T259" s="103">
        <f t="shared" si="388"/>
        <v>5.0474999583306431E-4</v>
      </c>
      <c r="U259" s="103">
        <f t="shared" si="388"/>
        <v>4.3806740472741152E-4</v>
      </c>
      <c r="V259" s="103">
        <f t="shared" si="388"/>
        <v>4.3640793460128621E-4</v>
      </c>
      <c r="W259" s="103">
        <f t="shared" ref="W259" si="389">IF(W41=0,0,W41/W$31)</f>
        <v>3.985578642483727E-4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2.2101252318230982E-2</v>
      </c>
      <c r="C260" s="103">
        <f t="shared" si="390"/>
        <v>2.1745593745595933E-2</v>
      </c>
      <c r="D260" s="103">
        <f t="shared" si="390"/>
        <v>2.0865173286087422E-2</v>
      </c>
      <c r="E260" s="103">
        <f t="shared" si="390"/>
        <v>2.1150032082705154E-2</v>
      </c>
      <c r="F260" s="103">
        <f t="shared" si="390"/>
        <v>2.0757233867412767E-2</v>
      </c>
      <c r="G260" s="103">
        <f t="shared" si="390"/>
        <v>2.0851302532941821E-2</v>
      </c>
      <c r="H260" s="103">
        <f t="shared" si="390"/>
        <v>2.0748697142263163E-2</v>
      </c>
      <c r="I260" s="103">
        <f t="shared" si="390"/>
        <v>1.9187965224669364E-2</v>
      </c>
      <c r="J260" s="103">
        <f t="shared" si="390"/>
        <v>1.9127130815193211E-2</v>
      </c>
      <c r="K260" s="103">
        <f t="shared" si="390"/>
        <v>1.9442324933587652E-2</v>
      </c>
      <c r="L260" s="103">
        <f t="shared" ref="L260" si="391">IF(L42=0,0,L42/L$31)</f>
        <v>1.9568547285608577E-2</v>
      </c>
      <c r="M260" s="103">
        <f t="shared" ref="M260:V260" si="392">IF(M42=0,0,M42/M$31)</f>
        <v>1.8051618171456174E-2</v>
      </c>
      <c r="N260" s="103">
        <f t="shared" si="392"/>
        <v>1.7370250170319686E-2</v>
      </c>
      <c r="O260" s="103">
        <f t="shared" si="392"/>
        <v>1.6245508659533552E-2</v>
      </c>
      <c r="P260" s="103">
        <f t="shared" si="392"/>
        <v>1.6336901832343719E-2</v>
      </c>
      <c r="Q260" s="103">
        <f t="shared" si="392"/>
        <v>1.5205441198543886E-2</v>
      </c>
      <c r="R260" s="103">
        <f t="shared" si="392"/>
        <v>1.5237628993420183E-2</v>
      </c>
      <c r="S260" s="103">
        <f t="shared" si="392"/>
        <v>1.5672173565711212E-2</v>
      </c>
      <c r="T260" s="103">
        <f t="shared" si="392"/>
        <v>1.5121647843735651E-2</v>
      </c>
      <c r="U260" s="103">
        <f t="shared" si="392"/>
        <v>1.4379403590350556E-2</v>
      </c>
      <c r="V260" s="103">
        <f t="shared" si="392"/>
        <v>1.5247438445448307E-2</v>
      </c>
      <c r="W260" s="103">
        <f t="shared" ref="W260" si="393">IF(W42=0,0,W42/W$31)</f>
        <v>1.4352632894282643E-2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5.458460892140711E-5</v>
      </c>
      <c r="R262" s="103">
        <f t="shared" si="400"/>
        <v>1.2104400828022693E-4</v>
      </c>
      <c r="S262" s="103">
        <f t="shared" si="400"/>
        <v>2.6179576661934434E-4</v>
      </c>
      <c r="T262" s="103">
        <f t="shared" si="400"/>
        <v>2.5815678568477456E-4</v>
      </c>
      <c r="U262" s="103">
        <f t="shared" si="400"/>
        <v>2.4956988275402271E-4</v>
      </c>
      <c r="V262" s="103">
        <f t="shared" si="400"/>
        <v>3.0748318998623811E-4</v>
      </c>
      <c r="W262" s="103">
        <f t="shared" ref="W262" si="401">IF(W44=0,0,W44/W$31)</f>
        <v>3.0557867094551668E-4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0</v>
      </c>
      <c r="Q263" s="103">
        <f t="shared" si="404"/>
        <v>0</v>
      </c>
      <c r="R263" s="103">
        <f t="shared" si="404"/>
        <v>7.0000039724150329E-6</v>
      </c>
      <c r="S263" s="103">
        <f t="shared" si="404"/>
        <v>9.2700905339252537E-6</v>
      </c>
      <c r="T263" s="103">
        <f t="shared" si="404"/>
        <v>1.1246023415089716E-5</v>
      </c>
      <c r="U263" s="103">
        <f t="shared" si="404"/>
        <v>1.2146663312061649E-4</v>
      </c>
      <c r="V263" s="103">
        <f t="shared" si="404"/>
        <v>1.2794338714155226E-4</v>
      </c>
      <c r="W263" s="103">
        <f t="shared" ref="W263" si="405">IF(W45=0,0,W45/W$31)</f>
        <v>3.7795215792761562E-4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0.7612319696552059</v>
      </c>
      <c r="C265" s="154">
        <f t="shared" si="410"/>
        <v>0.77036057478933018</v>
      </c>
      <c r="D265" s="154">
        <f t="shared" si="410"/>
        <v>0.77809416303565782</v>
      </c>
      <c r="E265" s="154">
        <f t="shared" si="410"/>
        <v>0.77829016022080033</v>
      </c>
      <c r="F265" s="154">
        <f t="shared" si="410"/>
        <v>0.79585373223250877</v>
      </c>
      <c r="G265" s="154">
        <f t="shared" si="410"/>
        <v>0.8075547070368585</v>
      </c>
      <c r="H265" s="154">
        <f t="shared" si="410"/>
        <v>0.81425805690110031</v>
      </c>
      <c r="I265" s="154">
        <f t="shared" si="410"/>
        <v>0.82359253594228432</v>
      </c>
      <c r="J265" s="154">
        <f t="shared" si="410"/>
        <v>0.819128461903608</v>
      </c>
      <c r="K265" s="154">
        <f t="shared" si="410"/>
        <v>0.8320826860630105</v>
      </c>
      <c r="L265" s="154">
        <f t="shared" ref="L265" si="411">IF(L47=0,0,L47/L$46)</f>
        <v>0.82957254072188957</v>
      </c>
      <c r="M265" s="154">
        <f t="shared" ref="M265:V265" si="412">IF(M47=0,0,M47/M$46)</f>
        <v>0.80958174465005517</v>
      </c>
      <c r="N265" s="154">
        <f t="shared" si="412"/>
        <v>0.79353910116321347</v>
      </c>
      <c r="O265" s="154">
        <f t="shared" si="412"/>
        <v>0.78000789321399722</v>
      </c>
      <c r="P265" s="154">
        <f t="shared" si="412"/>
        <v>0.77315668742257082</v>
      </c>
      <c r="Q265" s="154">
        <f t="shared" si="412"/>
        <v>0.77960628538088461</v>
      </c>
      <c r="R265" s="154">
        <f t="shared" si="412"/>
        <v>0.77452116312689701</v>
      </c>
      <c r="S265" s="154">
        <f t="shared" si="412"/>
        <v>0.78456448695132974</v>
      </c>
      <c r="T265" s="154">
        <f t="shared" si="412"/>
        <v>0.79570002199851853</v>
      </c>
      <c r="U265" s="154">
        <f t="shared" si="412"/>
        <v>0.78843374409734679</v>
      </c>
      <c r="V265" s="154">
        <f t="shared" si="412"/>
        <v>0.76956822889152099</v>
      </c>
      <c r="W265" s="154">
        <f t="shared" ref="W265" si="413">IF(W47=0,0,W47/W$46)</f>
        <v>0.77103638524991636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0.13199603311855782</v>
      </c>
      <c r="C266" s="103">
        <f t="shared" si="414"/>
        <v>0.1382685313316124</v>
      </c>
      <c r="D266" s="103">
        <f t="shared" si="414"/>
        <v>0.13369519000024757</v>
      </c>
      <c r="E266" s="103">
        <f t="shared" si="414"/>
        <v>0.12067523672997002</v>
      </c>
      <c r="F266" s="103">
        <f t="shared" si="414"/>
        <v>0.11249921225423358</v>
      </c>
      <c r="G266" s="103">
        <f t="shared" si="414"/>
        <v>0.10473802904994398</v>
      </c>
      <c r="H266" s="103">
        <f t="shared" si="414"/>
        <v>9.4519293672261681E-2</v>
      </c>
      <c r="I266" s="103">
        <f t="shared" si="414"/>
        <v>8.3739192016320282E-2</v>
      </c>
      <c r="J266" s="103">
        <f t="shared" si="414"/>
        <v>7.4706409838197721E-2</v>
      </c>
      <c r="K266" s="103">
        <f t="shared" si="414"/>
        <v>7.2280146240240636E-2</v>
      </c>
      <c r="L266" s="103">
        <f t="shared" ref="L266" si="415">IF(L48=0,0,L48/L$46)</f>
        <v>6.6091985640732542E-2</v>
      </c>
      <c r="M266" s="103">
        <f t="shared" ref="M266:V266" si="416">IF(M48=0,0,M48/M$46)</f>
        <v>6.1047920283378229E-2</v>
      </c>
      <c r="N266" s="103">
        <f t="shared" si="416"/>
        <v>5.4894280285577926E-2</v>
      </c>
      <c r="O266" s="103">
        <f t="shared" si="416"/>
        <v>5.270686584391774E-2</v>
      </c>
      <c r="P266" s="103">
        <f t="shared" si="416"/>
        <v>5.0958021281570898E-2</v>
      </c>
      <c r="Q266" s="103">
        <f t="shared" si="416"/>
        <v>4.881593054630981E-2</v>
      </c>
      <c r="R266" s="103">
        <f t="shared" si="416"/>
        <v>4.7344496107512894E-2</v>
      </c>
      <c r="S266" s="103">
        <f t="shared" si="416"/>
        <v>4.5933949087799457E-2</v>
      </c>
      <c r="T266" s="103">
        <f t="shared" si="416"/>
        <v>4.2666297131076128E-2</v>
      </c>
      <c r="U266" s="103">
        <f t="shared" si="416"/>
        <v>4.1905500706202414E-2</v>
      </c>
      <c r="V266" s="103">
        <f t="shared" si="416"/>
        <v>4.1113399997466972E-2</v>
      </c>
      <c r="W266" s="103">
        <f t="shared" ref="W266" si="417">IF(W48=0,0,W48/W$46)</f>
        <v>4.324812597481649E-2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0.62896897666819029</v>
      </c>
      <c r="C267" s="103">
        <f t="shared" si="418"/>
        <v>0.63181339352227595</v>
      </c>
      <c r="D267" s="103">
        <f t="shared" si="418"/>
        <v>0.64411094377700595</v>
      </c>
      <c r="E267" s="103">
        <f t="shared" si="418"/>
        <v>0.65736275954428358</v>
      </c>
      <c r="F267" s="103">
        <f t="shared" si="418"/>
        <v>0.68313007512696677</v>
      </c>
      <c r="G267" s="103">
        <f t="shared" si="418"/>
        <v>0.70263662661341963</v>
      </c>
      <c r="H267" s="103">
        <f t="shared" si="418"/>
        <v>0.71960080964485218</v>
      </c>
      <c r="I267" s="103">
        <f t="shared" si="418"/>
        <v>0.73974562465046201</v>
      </c>
      <c r="J267" s="103">
        <f t="shared" si="418"/>
        <v>0.74433300701397287</v>
      </c>
      <c r="K267" s="103">
        <f t="shared" si="418"/>
        <v>0.7597274767456591</v>
      </c>
      <c r="L267" s="103">
        <f t="shared" ref="L267" si="419">IF(L49=0,0,L49/L$46)</f>
        <v>0.76348055508115709</v>
      </c>
      <c r="M267" s="103">
        <f t="shared" ref="M267:V267" si="420">IF(M49=0,0,M49/M$46)</f>
        <v>0.74853382436667693</v>
      </c>
      <c r="N267" s="103">
        <f t="shared" si="420"/>
        <v>0.73862230724046185</v>
      </c>
      <c r="O267" s="103">
        <f t="shared" si="420"/>
        <v>0.7272228077881685</v>
      </c>
      <c r="P267" s="103">
        <f t="shared" si="420"/>
        <v>0.72213613178525005</v>
      </c>
      <c r="Q267" s="103">
        <f t="shared" si="420"/>
        <v>0.72950159119622604</v>
      </c>
      <c r="R267" s="103">
        <f t="shared" si="420"/>
        <v>0.72582080503227719</v>
      </c>
      <c r="S267" s="103">
        <f t="shared" si="420"/>
        <v>0.73710922710596838</v>
      </c>
      <c r="T267" s="103">
        <f t="shared" si="420"/>
        <v>0.75151374541613192</v>
      </c>
      <c r="U267" s="103">
        <f t="shared" si="420"/>
        <v>0.74468886565979553</v>
      </c>
      <c r="V267" s="103">
        <f t="shared" si="420"/>
        <v>0.72586210610435886</v>
      </c>
      <c r="W267" s="103">
        <f t="shared" ref="W267" si="421">IF(W49=0,0,W49/W$46)</f>
        <v>0.72269262125398914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2.6695986845796471E-4</v>
      </c>
      <c r="C268" s="103">
        <f t="shared" si="422"/>
        <v>2.7864993544185755E-4</v>
      </c>
      <c r="D268" s="103">
        <f t="shared" si="422"/>
        <v>2.8802925840434016E-4</v>
      </c>
      <c r="E268" s="103">
        <f t="shared" si="422"/>
        <v>2.5216394654672638E-4</v>
      </c>
      <c r="F268" s="103">
        <f t="shared" si="422"/>
        <v>2.2444485130840639E-4</v>
      </c>
      <c r="G268" s="103">
        <f t="shared" si="422"/>
        <v>1.8005137349492336E-4</v>
      </c>
      <c r="H268" s="103">
        <f t="shared" si="422"/>
        <v>1.3795358398626623E-4</v>
      </c>
      <c r="I268" s="103">
        <f t="shared" si="422"/>
        <v>1.0771927550204418E-4</v>
      </c>
      <c r="J268" s="103">
        <f t="shared" si="422"/>
        <v>8.9045051437329479E-5</v>
      </c>
      <c r="K268" s="103">
        <f t="shared" si="422"/>
        <v>7.5063077110861014E-5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5.5714793865263015E-4</v>
      </c>
      <c r="R269" s="103">
        <f t="shared" si="428"/>
        <v>5.8006426673488411E-4</v>
      </c>
      <c r="S269" s="103">
        <f t="shared" si="428"/>
        <v>6.0795038915106403E-4</v>
      </c>
      <c r="T269" s="103">
        <f t="shared" si="428"/>
        <v>5.920277189651504E-4</v>
      </c>
      <c r="U269" s="103">
        <f t="shared" si="428"/>
        <v>5.7857671780473983E-4</v>
      </c>
      <c r="V269" s="103">
        <f t="shared" si="428"/>
        <v>5.5742873160285534E-4</v>
      </c>
      <c r="W269" s="103">
        <f t="shared" ref="W269" si="429">IF(W51=0,0,W51/W$46)</f>
        <v>5.3512731154173581E-4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2.2513637173747313E-5</v>
      </c>
      <c r="O270" s="103">
        <f t="shared" si="432"/>
        <v>7.821958191098197E-5</v>
      </c>
      <c r="P270" s="103">
        <f t="shared" si="432"/>
        <v>6.2534355749835224E-5</v>
      </c>
      <c r="Q270" s="103">
        <f t="shared" si="432"/>
        <v>7.3161569969597447E-4</v>
      </c>
      <c r="R270" s="103">
        <f t="shared" si="432"/>
        <v>7.7579772037203367E-4</v>
      </c>
      <c r="S270" s="103">
        <f t="shared" si="432"/>
        <v>9.1336036841074082E-4</v>
      </c>
      <c r="T270" s="103">
        <f t="shared" si="432"/>
        <v>9.2795173234526569E-4</v>
      </c>
      <c r="U270" s="103">
        <f t="shared" si="432"/>
        <v>1.2608010135440938E-3</v>
      </c>
      <c r="V270" s="103">
        <f t="shared" si="432"/>
        <v>2.0352940580923768E-3</v>
      </c>
      <c r="W270" s="103">
        <f t="shared" ref="W270" si="433">IF(W52=0,0,W52/W$46)</f>
        <v>4.5605107095688336E-3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0.23876803034479405</v>
      </c>
      <c r="C271" s="156">
        <f t="shared" si="434"/>
        <v>0.22963942521066977</v>
      </c>
      <c r="D271" s="156">
        <f t="shared" si="434"/>
        <v>0.22190583696434207</v>
      </c>
      <c r="E271" s="156">
        <f t="shared" si="434"/>
        <v>0.22170983977919975</v>
      </c>
      <c r="F271" s="156">
        <f t="shared" si="434"/>
        <v>0.2041462677674912</v>
      </c>
      <c r="G271" s="156">
        <f t="shared" si="434"/>
        <v>0.19244529296314145</v>
      </c>
      <c r="H271" s="156">
        <f t="shared" si="434"/>
        <v>0.18574194309889966</v>
      </c>
      <c r="I271" s="156">
        <f t="shared" si="434"/>
        <v>0.17640746405771573</v>
      </c>
      <c r="J271" s="156">
        <f t="shared" si="434"/>
        <v>0.18087153809639203</v>
      </c>
      <c r="K271" s="156">
        <f t="shared" si="434"/>
        <v>0.16791731393698947</v>
      </c>
      <c r="L271" s="156">
        <f t="shared" ref="L271" si="435">IF(L53=0,0,L53/L$46)</f>
        <v>0.17042745927811032</v>
      </c>
      <c r="M271" s="156">
        <f t="shared" ref="M271:V271" si="436">IF(M53=0,0,M53/M$46)</f>
        <v>0.19041825534994489</v>
      </c>
      <c r="N271" s="156">
        <f t="shared" si="436"/>
        <v>0.20646089883678645</v>
      </c>
      <c r="O271" s="156">
        <f t="shared" si="436"/>
        <v>0.21999210678600273</v>
      </c>
      <c r="P271" s="156">
        <f t="shared" si="436"/>
        <v>0.22684331257742912</v>
      </c>
      <c r="Q271" s="156">
        <f t="shared" si="436"/>
        <v>0.22039371461911553</v>
      </c>
      <c r="R271" s="156">
        <f t="shared" si="436"/>
        <v>0.22547883687310308</v>
      </c>
      <c r="S271" s="156">
        <f t="shared" si="436"/>
        <v>0.21543551304867026</v>
      </c>
      <c r="T271" s="156">
        <f t="shared" si="436"/>
        <v>0.20429997800148145</v>
      </c>
      <c r="U271" s="156">
        <f t="shared" si="436"/>
        <v>0.21156625590265316</v>
      </c>
      <c r="V271" s="156">
        <f t="shared" si="436"/>
        <v>0.23043177110847904</v>
      </c>
      <c r="W271" s="156">
        <f t="shared" ref="W271" si="437">IF(W53=0,0,W53/W$46)</f>
        <v>0.22896361475008375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0.19769483363316129</v>
      </c>
      <c r="C272" s="104">
        <f t="shared" si="438"/>
        <v>0.1887182541374095</v>
      </c>
      <c r="D272" s="104">
        <f t="shared" si="438"/>
        <v>0.18021396694535419</v>
      </c>
      <c r="E272" s="104">
        <f t="shared" si="438"/>
        <v>0.18156035795825273</v>
      </c>
      <c r="F272" s="104">
        <f t="shared" si="438"/>
        <v>0.16022276258326179</v>
      </c>
      <c r="G272" s="104">
        <f t="shared" si="438"/>
        <v>0.14955881170215679</v>
      </c>
      <c r="H272" s="104">
        <f t="shared" si="438"/>
        <v>0.14355931090354984</v>
      </c>
      <c r="I272" s="104">
        <f t="shared" si="438"/>
        <v>0.13531879057839644</v>
      </c>
      <c r="J272" s="104">
        <f t="shared" si="438"/>
        <v>0.12923054361862063</v>
      </c>
      <c r="K272" s="104">
        <f t="shared" si="438"/>
        <v>0.12038034855321077</v>
      </c>
      <c r="L272" s="104">
        <f t="shared" ref="L272" si="439">IF(L54=0,0,L54/L$46)</f>
        <v>0.12503645061721258</v>
      </c>
      <c r="M272" s="104">
        <f t="shared" ref="M272:V272" si="440">IF(M54=0,0,M54/M$46)</f>
        <v>0.14269942762609336</v>
      </c>
      <c r="N272" s="104">
        <f t="shared" si="440"/>
        <v>0.15610932375206346</v>
      </c>
      <c r="O272" s="104">
        <f t="shared" si="440"/>
        <v>0.16084705582960307</v>
      </c>
      <c r="P272" s="104">
        <f t="shared" si="440"/>
        <v>0.17022382296103078</v>
      </c>
      <c r="Q272" s="104">
        <f t="shared" si="440"/>
        <v>0.16345158354764833</v>
      </c>
      <c r="R272" s="104">
        <f t="shared" si="440"/>
        <v>0.16078332280791499</v>
      </c>
      <c r="S272" s="104">
        <f t="shared" si="440"/>
        <v>0.15058443787068043</v>
      </c>
      <c r="T272" s="104">
        <f t="shared" si="440"/>
        <v>0.14526741778833646</v>
      </c>
      <c r="U272" s="104">
        <f t="shared" si="440"/>
        <v>0.15056525212075716</v>
      </c>
      <c r="V272" s="104">
        <f t="shared" si="440"/>
        <v>0.16074654454575987</v>
      </c>
      <c r="W272" s="104">
        <f t="shared" ref="W272" si="441">IF(W54=0,0,W54/W$46)</f>
        <v>0.16045048403682602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4.1073196711632759E-2</v>
      </c>
      <c r="C273" s="105">
        <f t="shared" si="442"/>
        <v>4.0921171073260279E-2</v>
      </c>
      <c r="D273" s="105">
        <f t="shared" si="442"/>
        <v>4.1691870018987907E-2</v>
      </c>
      <c r="E273" s="105">
        <f t="shared" si="442"/>
        <v>4.0149481820947026E-2</v>
      </c>
      <c r="F273" s="105">
        <f t="shared" si="442"/>
        <v>4.3923505184229404E-2</v>
      </c>
      <c r="G273" s="105">
        <f t="shared" si="442"/>
        <v>4.2886481260984641E-2</v>
      </c>
      <c r="H273" s="105">
        <f t="shared" si="442"/>
        <v>4.2182632195349817E-2</v>
      </c>
      <c r="I273" s="105">
        <f t="shared" si="442"/>
        <v>4.1088673479319292E-2</v>
      </c>
      <c r="J273" s="105">
        <f t="shared" si="442"/>
        <v>5.1640994477771408E-2</v>
      </c>
      <c r="K273" s="105">
        <f t="shared" si="442"/>
        <v>4.7536965383778711E-2</v>
      </c>
      <c r="L273" s="105">
        <f t="shared" ref="L273" si="443">IF(L55=0,0,L55/L$46)</f>
        <v>4.5391008660897757E-2</v>
      </c>
      <c r="M273" s="105">
        <f t="shared" ref="M273:V273" si="444">IF(M55=0,0,M55/M$46)</f>
        <v>4.7718827723851512E-2</v>
      </c>
      <c r="N273" s="105">
        <f t="shared" si="444"/>
        <v>5.0351575084722995E-2</v>
      </c>
      <c r="O273" s="105">
        <f t="shared" si="444"/>
        <v>5.9145050956399679E-2</v>
      </c>
      <c r="P273" s="105">
        <f t="shared" si="444"/>
        <v>5.6619489616398344E-2</v>
      </c>
      <c r="Q273" s="105">
        <f t="shared" si="444"/>
        <v>5.6942131071467207E-2</v>
      </c>
      <c r="R273" s="105">
        <f t="shared" si="444"/>
        <v>6.4695514065188073E-2</v>
      </c>
      <c r="S273" s="105">
        <f t="shared" si="444"/>
        <v>6.4851075177989839E-2</v>
      </c>
      <c r="T273" s="105">
        <f t="shared" si="444"/>
        <v>5.9032560213144979E-2</v>
      </c>
      <c r="U273" s="105">
        <f t="shared" si="444"/>
        <v>6.100100378189599E-2</v>
      </c>
      <c r="V273" s="105">
        <f t="shared" si="444"/>
        <v>6.9685226562719166E-2</v>
      </c>
      <c r="W273" s="105">
        <f t="shared" ref="W273" si="445">IF(W55=0,0,W55/W$46)</f>
        <v>6.8513130713257694E-2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3691.339466895959</v>
      </c>
      <c r="C4" s="145">
        <f t="shared" si="0"/>
        <v>3718.2717110920025</v>
      </c>
      <c r="D4" s="145">
        <f t="shared" si="0"/>
        <v>3755.276182287188</v>
      </c>
      <c r="E4" s="145">
        <f t="shared" si="0"/>
        <v>3911.2902837489246</v>
      </c>
      <c r="F4" s="145">
        <f t="shared" si="0"/>
        <v>4035.0315563198624</v>
      </c>
      <c r="G4" s="145">
        <f t="shared" si="0"/>
        <v>4068.1307824591577</v>
      </c>
      <c r="H4" s="145">
        <f t="shared" si="0"/>
        <v>4182.1773860705071</v>
      </c>
      <c r="I4" s="145">
        <f t="shared" si="0"/>
        <v>4379.4067067927772</v>
      </c>
      <c r="J4" s="145">
        <f t="shared" si="0"/>
        <v>4276.483233018057</v>
      </c>
      <c r="K4" s="145">
        <f t="shared" si="0"/>
        <v>4054.4337977152604</v>
      </c>
      <c r="L4" s="145">
        <f t="shared" ref="L4" si="1">L5+L9+L10+L15</f>
        <v>4035.6760742790816</v>
      </c>
      <c r="M4" s="145">
        <f t="shared" ref="M4:V4" si="2">M5+M9+M10+M15</f>
        <v>4029.4882136374003</v>
      </c>
      <c r="N4" s="145">
        <f t="shared" si="2"/>
        <v>3764.7679102590346</v>
      </c>
      <c r="O4" s="145">
        <f t="shared" si="2"/>
        <v>3697.1933292400759</v>
      </c>
      <c r="P4" s="145">
        <f t="shared" si="2"/>
        <v>3761.2246295496202</v>
      </c>
      <c r="Q4" s="145">
        <f t="shared" si="2"/>
        <v>3901.5014789852303</v>
      </c>
      <c r="R4" s="145">
        <f t="shared" si="2"/>
        <v>3968.5544243031527</v>
      </c>
      <c r="S4" s="145">
        <f t="shared" si="2"/>
        <v>3968.4258448999431</v>
      </c>
      <c r="T4" s="145">
        <f t="shared" si="2"/>
        <v>4051.4650119226776</v>
      </c>
      <c r="U4" s="145">
        <f t="shared" si="2"/>
        <v>3975.7766404042477</v>
      </c>
      <c r="V4" s="145">
        <f t="shared" si="2"/>
        <v>3703.5884724882312</v>
      </c>
      <c r="W4" s="145">
        <f t="shared" ref="W4" si="3">W5+W9+W10+W15</f>
        <v>3777.2504049010286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3691.339466895959</v>
      </c>
      <c r="C5" s="97">
        <f t="shared" si="4"/>
        <v>3718.2717110920025</v>
      </c>
      <c r="D5" s="97">
        <f t="shared" si="4"/>
        <v>3755.276182287188</v>
      </c>
      <c r="E5" s="97">
        <f t="shared" si="4"/>
        <v>3911.2902837489246</v>
      </c>
      <c r="F5" s="97">
        <f t="shared" si="4"/>
        <v>4035.0315563198624</v>
      </c>
      <c r="G5" s="97">
        <f t="shared" si="4"/>
        <v>4068.1307824591577</v>
      </c>
      <c r="H5" s="97">
        <f t="shared" si="4"/>
        <v>4178.3510748065346</v>
      </c>
      <c r="I5" s="97">
        <f t="shared" si="4"/>
        <v>4373.6672398968185</v>
      </c>
      <c r="J5" s="97">
        <f t="shared" si="4"/>
        <v>4271.3815133276012</v>
      </c>
      <c r="K5" s="97">
        <f t="shared" si="4"/>
        <v>4045.7437661220984</v>
      </c>
      <c r="L5" s="97">
        <f t="shared" ref="L5" si="5">SUM(L6:L8)</f>
        <v>4008.8827171109206</v>
      </c>
      <c r="M5" s="97">
        <f t="shared" ref="M5:V5" si="6">SUM(M6:M8)</f>
        <v>3898.9156491831473</v>
      </c>
      <c r="N5" s="97">
        <f t="shared" si="6"/>
        <v>3558.3644024075656</v>
      </c>
      <c r="O5" s="97">
        <f t="shared" si="6"/>
        <v>3488.8768701633689</v>
      </c>
      <c r="P5" s="97">
        <f t="shared" si="6"/>
        <v>3547.2965606190883</v>
      </c>
      <c r="Q5" s="97">
        <f t="shared" si="6"/>
        <v>3682.5863284608758</v>
      </c>
      <c r="R5" s="97">
        <f t="shared" si="6"/>
        <v>3745.820636285468</v>
      </c>
      <c r="S5" s="97">
        <f t="shared" si="6"/>
        <v>3743.9051590713671</v>
      </c>
      <c r="T5" s="97">
        <f t="shared" si="6"/>
        <v>3826.5566638005157</v>
      </c>
      <c r="U5" s="97">
        <f t="shared" si="6"/>
        <v>3734.0164230438513</v>
      </c>
      <c r="V5" s="97">
        <f t="shared" si="6"/>
        <v>3432.1341358555455</v>
      </c>
      <c r="W5" s="97">
        <f t="shared" ref="W5" si="7">SUM(W6:W8)</f>
        <v>3478.8882201203783</v>
      </c>
      <c r="DA5" s="175"/>
    </row>
    <row r="6" spans="1:105" ht="11.45" customHeight="1" x14ac:dyDescent="0.25">
      <c r="A6" s="128" t="s">
        <v>52</v>
      </c>
      <c r="B6" s="97">
        <v>9.8882201203783318</v>
      </c>
      <c r="C6" s="97">
        <v>10.98693035253654</v>
      </c>
      <c r="D6" s="97">
        <v>12.085640584694749</v>
      </c>
      <c r="E6" s="97">
        <v>9.8882201203783318</v>
      </c>
      <c r="F6" s="97">
        <v>8.7895098882201186</v>
      </c>
      <c r="G6" s="97">
        <v>7.690799656061909</v>
      </c>
      <c r="H6" s="97">
        <v>6.592175408426483</v>
      </c>
      <c r="I6" s="97">
        <v>5.4934651762682716</v>
      </c>
      <c r="J6" s="97">
        <v>4.3947549441100593</v>
      </c>
      <c r="K6" s="97">
        <v>3.2960447119518479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</v>
      </c>
      <c r="U6" s="97">
        <v>0</v>
      </c>
      <c r="V6" s="97">
        <v>0</v>
      </c>
      <c r="W6" s="97">
        <v>0</v>
      </c>
      <c r="DA6" s="175" t="s">
        <v>629</v>
      </c>
    </row>
    <row r="7" spans="1:105" ht="11.45" customHeight="1" x14ac:dyDescent="0.25">
      <c r="A7" s="128" t="s">
        <v>53</v>
      </c>
      <c r="B7" s="97">
        <v>2019.059931212382</v>
      </c>
      <c r="C7" s="97">
        <v>1991.8601031814269</v>
      </c>
      <c r="D7" s="97">
        <v>2000.2293207222699</v>
      </c>
      <c r="E7" s="97">
        <v>2005.4600171969039</v>
      </c>
      <c r="F7" s="97">
        <v>1981.398710232158</v>
      </c>
      <c r="G7" s="97">
        <v>1921.768443680138</v>
      </c>
      <c r="H7" s="97">
        <v>1887.245657781599</v>
      </c>
      <c r="I7" s="97">
        <v>1870.507308684437</v>
      </c>
      <c r="J7" s="97">
        <v>1780.5388650042989</v>
      </c>
      <c r="K7" s="97">
        <v>1692.662682717111</v>
      </c>
      <c r="L7" s="97">
        <v>1574.448237317283</v>
      </c>
      <c r="M7" s="97">
        <v>1540.971625107481</v>
      </c>
      <c r="N7" s="97">
        <v>1381.957609630266</v>
      </c>
      <c r="O7" s="97">
        <v>1335.9271711091999</v>
      </c>
      <c r="P7" s="97">
        <v>1321.2811693895101</v>
      </c>
      <c r="Q7" s="97">
        <v>1389.3694754944106</v>
      </c>
      <c r="R7" s="97">
        <v>1377.8023215821152</v>
      </c>
      <c r="S7" s="97">
        <v>1312.175494411006</v>
      </c>
      <c r="T7" s="97">
        <v>1316.359071367154</v>
      </c>
      <c r="U7" s="97">
        <v>1317.570507308684</v>
      </c>
      <c r="V7" s="97">
        <v>1175.514445399828</v>
      </c>
      <c r="W7" s="97">
        <v>1206.1759243336201</v>
      </c>
      <c r="DA7" s="175" t="s">
        <v>630</v>
      </c>
    </row>
    <row r="8" spans="1:105" ht="11.45" customHeight="1" x14ac:dyDescent="0.25">
      <c r="A8" s="128" t="s">
        <v>54</v>
      </c>
      <c r="B8" s="97">
        <v>1662.3913155631988</v>
      </c>
      <c r="C8" s="97">
        <v>1715.4246775580391</v>
      </c>
      <c r="D8" s="97">
        <v>1742.9612209802233</v>
      </c>
      <c r="E8" s="97">
        <v>1895.9420464316422</v>
      </c>
      <c r="F8" s="97">
        <v>2044.8433361994842</v>
      </c>
      <c r="G8" s="97">
        <v>2138.6715391229577</v>
      </c>
      <c r="H8" s="97">
        <v>2284.5132416165088</v>
      </c>
      <c r="I8" s="97">
        <v>2497.666466036113</v>
      </c>
      <c r="J8" s="97">
        <v>2486.447893379192</v>
      </c>
      <c r="K8" s="97">
        <v>2349.7850386930354</v>
      </c>
      <c r="L8" s="97">
        <v>2434.4344797936374</v>
      </c>
      <c r="M8" s="97">
        <v>2357.9440240756662</v>
      </c>
      <c r="N8" s="97">
        <v>2176.4067927772999</v>
      </c>
      <c r="O8" s="97">
        <v>2152.9496990541693</v>
      </c>
      <c r="P8" s="97">
        <v>2226.0153912295782</v>
      </c>
      <c r="Q8" s="97">
        <v>2293.2168529664655</v>
      </c>
      <c r="R8" s="97">
        <v>2368.0183147033531</v>
      </c>
      <c r="S8" s="97">
        <v>2431.7296646603609</v>
      </c>
      <c r="T8" s="97">
        <v>2510.1975924333615</v>
      </c>
      <c r="U8" s="97">
        <v>2416.4459157351675</v>
      </c>
      <c r="V8" s="97">
        <v>2256.6196904557178</v>
      </c>
      <c r="W8" s="97">
        <v>2272.7122957867582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1.8044711951848671</v>
      </c>
      <c r="R9" s="97">
        <v>3.1426483233018052</v>
      </c>
      <c r="S9" s="97">
        <v>6.381857265692175</v>
      </c>
      <c r="T9" s="97">
        <v>7.8590713671539119</v>
      </c>
      <c r="U9" s="97">
        <v>7.9632846087704214</v>
      </c>
      <c r="V9" s="97">
        <v>7.9180567497850376</v>
      </c>
      <c r="W9" s="97">
        <v>9.0918314703353396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3.8263112639724852</v>
      </c>
      <c r="I10" s="97">
        <f t="shared" si="8"/>
        <v>5.7394668959587269</v>
      </c>
      <c r="J10" s="97">
        <f t="shared" si="8"/>
        <v>5.1017196904557176</v>
      </c>
      <c r="K10" s="97">
        <f t="shared" si="8"/>
        <v>8.6844368013757514</v>
      </c>
      <c r="L10" s="97">
        <f t="shared" si="8"/>
        <v>26.784178847807389</v>
      </c>
      <c r="M10" s="97">
        <f t="shared" si="8"/>
        <v>130.48865004299225</v>
      </c>
      <c r="N10" s="97">
        <f t="shared" si="8"/>
        <v>206.22674118658642</v>
      </c>
      <c r="O10" s="97">
        <f t="shared" si="8"/>
        <v>208.03241616509021</v>
      </c>
      <c r="P10" s="97">
        <f t="shared" si="8"/>
        <v>213.34737747205497</v>
      </c>
      <c r="Q10" s="97">
        <f t="shared" si="8"/>
        <v>214.28271711092003</v>
      </c>
      <c r="R10" s="97">
        <f t="shared" si="8"/>
        <v>217.46629406706788</v>
      </c>
      <c r="S10" s="97">
        <f t="shared" si="8"/>
        <v>215.76990541702497</v>
      </c>
      <c r="T10" s="97">
        <f t="shared" si="8"/>
        <v>213.91324161650897</v>
      </c>
      <c r="U10" s="97">
        <f t="shared" si="8"/>
        <v>227.15803955288044</v>
      </c>
      <c r="V10" s="97">
        <f t="shared" si="8"/>
        <v>251.4735167669819</v>
      </c>
      <c r="W10" s="97">
        <f t="shared" si="8"/>
        <v>256.63155631986234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1.917454858125537E-2</v>
      </c>
      <c r="R11" s="97">
        <v>9.8968185726569208E-2</v>
      </c>
      <c r="S11" s="97">
        <v>0.33611349957007741</v>
      </c>
      <c r="T11" s="97">
        <v>0</v>
      </c>
      <c r="U11" s="97">
        <v>0.79965606190885641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3.8263112639724852</v>
      </c>
      <c r="I12" s="97">
        <v>5.7394668959587269</v>
      </c>
      <c r="J12" s="97">
        <v>5.1017196904557176</v>
      </c>
      <c r="K12" s="97">
        <v>5.1017196904557176</v>
      </c>
      <c r="L12" s="97">
        <v>26.784178847807389</v>
      </c>
      <c r="M12" s="97">
        <v>47.191143594153047</v>
      </c>
      <c r="N12" s="97">
        <v>50.379793637145312</v>
      </c>
      <c r="O12" s="97">
        <v>45.915735167669823</v>
      </c>
      <c r="P12" s="97">
        <v>44.640326741186577</v>
      </c>
      <c r="Q12" s="97">
        <v>44.002579535683573</v>
      </c>
      <c r="R12" s="97">
        <v>43.902493551160788</v>
      </c>
      <c r="S12" s="97">
        <v>43.596388650042989</v>
      </c>
      <c r="T12" s="97">
        <v>42.931212381771282</v>
      </c>
      <c r="U12" s="97">
        <v>43.695872742906268</v>
      </c>
      <c r="V12" s="97">
        <v>79.75434221840068</v>
      </c>
      <c r="W12" s="97">
        <v>81.842906276870153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3.5827171109200342</v>
      </c>
      <c r="L13" s="97">
        <v>0</v>
      </c>
      <c r="M13" s="97">
        <v>83.297506448839201</v>
      </c>
      <c r="N13" s="97">
        <v>155.8469475494411</v>
      </c>
      <c r="O13" s="97">
        <v>162.11668099742039</v>
      </c>
      <c r="P13" s="97">
        <v>168.70705073086839</v>
      </c>
      <c r="Q13" s="97">
        <v>170.26096302665519</v>
      </c>
      <c r="R13" s="97">
        <v>173.46483233018051</v>
      </c>
      <c r="S13" s="97">
        <v>171.8374032674119</v>
      </c>
      <c r="T13" s="97">
        <v>170.98202923473769</v>
      </c>
      <c r="U13" s="97">
        <v>182.6625107480653</v>
      </c>
      <c r="V13" s="97">
        <v>171.71917454858121</v>
      </c>
      <c r="W13" s="97">
        <v>174.7886500429922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5.5947917861321715E-3</v>
      </c>
      <c r="L15" s="98">
        <v>9.1783203536193753E-3</v>
      </c>
      <c r="M15" s="98">
        <v>8.391441126112674E-2</v>
      </c>
      <c r="N15" s="98">
        <v>0.17676666488240242</v>
      </c>
      <c r="O15" s="98">
        <v>0.28404291161672884</v>
      </c>
      <c r="P15" s="98">
        <v>0.58069145847681503</v>
      </c>
      <c r="Q15" s="98">
        <v>2.8279622182496431</v>
      </c>
      <c r="R15" s="98">
        <v>2.1248456273152381</v>
      </c>
      <c r="S15" s="98">
        <v>2.3689231458589481</v>
      </c>
      <c r="T15" s="98">
        <v>3.1360351384991429</v>
      </c>
      <c r="U15" s="98">
        <v>6.638893198745583</v>
      </c>
      <c r="V15" s="98">
        <v>12.062763115918727</v>
      </c>
      <c r="W15" s="98">
        <v>32.638796990452825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3691.339466895959</v>
      </c>
      <c r="C17" s="79">
        <f t="shared" si="9"/>
        <v>3718.2717110920025</v>
      </c>
      <c r="D17" s="79">
        <f t="shared" si="9"/>
        <v>3755.276182287188</v>
      </c>
      <c r="E17" s="79">
        <f t="shared" si="9"/>
        <v>3911.2902837489241</v>
      </c>
      <c r="F17" s="79">
        <f t="shared" si="9"/>
        <v>4035.0315563198619</v>
      </c>
      <c r="G17" s="79">
        <f t="shared" si="9"/>
        <v>4068.1307824591577</v>
      </c>
      <c r="H17" s="79">
        <f t="shared" si="9"/>
        <v>4182.1773860705071</v>
      </c>
      <c r="I17" s="79">
        <f t="shared" si="9"/>
        <v>4379.4067067927772</v>
      </c>
      <c r="J17" s="79">
        <f t="shared" si="9"/>
        <v>4276.483233018057</v>
      </c>
      <c r="K17" s="79">
        <f t="shared" si="9"/>
        <v>4054.43379771526</v>
      </c>
      <c r="L17" s="79">
        <f t="shared" ref="L17" si="10">L18+L42</f>
        <v>4035.6760742790811</v>
      </c>
      <c r="M17" s="79">
        <f t="shared" ref="M17:V17" si="11">M18+M42</f>
        <v>4029.4882136374003</v>
      </c>
      <c r="N17" s="79">
        <f t="shared" si="11"/>
        <v>3764.7679102590346</v>
      </c>
      <c r="O17" s="79">
        <f t="shared" si="11"/>
        <v>3697.1933292400768</v>
      </c>
      <c r="P17" s="79">
        <f t="shared" si="11"/>
        <v>3761.2246295496202</v>
      </c>
      <c r="Q17" s="79">
        <f t="shared" si="11"/>
        <v>3901.5014789852303</v>
      </c>
      <c r="R17" s="79">
        <f t="shared" si="11"/>
        <v>3968.5544243031536</v>
      </c>
      <c r="S17" s="79">
        <f t="shared" si="11"/>
        <v>3968.4258448999426</v>
      </c>
      <c r="T17" s="79">
        <f t="shared" si="11"/>
        <v>4051.4650119226776</v>
      </c>
      <c r="U17" s="79">
        <f t="shared" si="11"/>
        <v>3975.7766404042468</v>
      </c>
      <c r="V17" s="79">
        <f t="shared" si="11"/>
        <v>3703.5884724882312</v>
      </c>
      <c r="W17" s="79">
        <f t="shared" ref="W17" si="12">W18+W42</f>
        <v>3777.2504049010295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2394.184376909534</v>
      </c>
      <c r="C18" s="32">
        <f t="shared" si="13"/>
        <v>2359.5889540498811</v>
      </c>
      <c r="D18" s="32">
        <f t="shared" si="13"/>
        <v>2385.6475710642389</v>
      </c>
      <c r="E18" s="32">
        <f t="shared" si="13"/>
        <v>2430.4543157334897</v>
      </c>
      <c r="F18" s="32">
        <f t="shared" si="13"/>
        <v>2443.9265461525515</v>
      </c>
      <c r="G18" s="32">
        <f t="shared" si="13"/>
        <v>2449.0673602637389</v>
      </c>
      <c r="H18" s="32">
        <f t="shared" si="13"/>
        <v>2476.5229216852849</v>
      </c>
      <c r="I18" s="32">
        <f t="shared" si="13"/>
        <v>2587.0711792727279</v>
      </c>
      <c r="J18" s="32">
        <f t="shared" si="13"/>
        <v>2572.2868332319031</v>
      </c>
      <c r="K18" s="32">
        <f t="shared" si="13"/>
        <v>2544.250111574609</v>
      </c>
      <c r="L18" s="32">
        <f t="shared" ref="L18" si="14">L19+L21+L33</f>
        <v>2538.1358809534977</v>
      </c>
      <c r="M18" s="32">
        <f t="shared" ref="M18:V18" si="15">M19+M21+M33</f>
        <v>2602.416029905979</v>
      </c>
      <c r="N18" s="32">
        <f t="shared" si="15"/>
        <v>2458.2165939601327</v>
      </c>
      <c r="O18" s="32">
        <f t="shared" si="15"/>
        <v>2438.8506062469141</v>
      </c>
      <c r="P18" s="32">
        <f t="shared" si="15"/>
        <v>2480.0986684620925</v>
      </c>
      <c r="Q18" s="32">
        <f t="shared" si="15"/>
        <v>2674.7332876158098</v>
      </c>
      <c r="R18" s="32">
        <f t="shared" si="15"/>
        <v>2652.6199148314463</v>
      </c>
      <c r="S18" s="32">
        <f t="shared" si="15"/>
        <v>2635.6594929597331</v>
      </c>
      <c r="T18" s="32">
        <f t="shared" si="15"/>
        <v>2686.7991209251531</v>
      </c>
      <c r="U18" s="32">
        <f t="shared" si="15"/>
        <v>2666.3344426529657</v>
      </c>
      <c r="V18" s="32">
        <f t="shared" si="15"/>
        <v>2453.8208111985145</v>
      </c>
      <c r="W18" s="32">
        <f t="shared" ref="W18" si="16">W19+W21+W33</f>
        <v>2483.6918582534449</v>
      </c>
      <c r="DA18" s="173" t="s">
        <v>390</v>
      </c>
    </row>
    <row r="19" spans="1:105" ht="11.45" customHeight="1" x14ac:dyDescent="0.25">
      <c r="A19" s="107" t="s">
        <v>181</v>
      </c>
      <c r="B19" s="129">
        <v>23.705497959108364</v>
      </c>
      <c r="C19" s="129">
        <v>22.334039574026558</v>
      </c>
      <c r="D19" s="129">
        <v>23.087706824148658</v>
      </c>
      <c r="E19" s="129">
        <v>23.24693578374352</v>
      </c>
      <c r="F19" s="129">
        <v>23.012006130275079</v>
      </c>
      <c r="G19" s="129">
        <v>23.252000512665834</v>
      </c>
      <c r="H19" s="129">
        <v>24.150430160563218</v>
      </c>
      <c r="I19" s="129">
        <v>25.423038059012608</v>
      </c>
      <c r="J19" s="129">
        <v>25.140927795842163</v>
      </c>
      <c r="K19" s="129">
        <v>23.991412693672956</v>
      </c>
      <c r="L19" s="129">
        <v>23.846683998708187</v>
      </c>
      <c r="M19" s="129">
        <v>23.565411948061278</v>
      </c>
      <c r="N19" s="129">
        <v>23.657544590184635</v>
      </c>
      <c r="O19" s="129">
        <v>23.73716922156191</v>
      </c>
      <c r="P19" s="129">
        <v>24.077134049438857</v>
      </c>
      <c r="Q19" s="129">
        <v>24.127106992693992</v>
      </c>
      <c r="R19" s="129">
        <v>23.947259301445957</v>
      </c>
      <c r="S19" s="129">
        <v>22.266519880538606</v>
      </c>
      <c r="T19" s="129">
        <v>20.998580957437749</v>
      </c>
      <c r="U19" s="129">
        <v>21.705878441535958</v>
      </c>
      <c r="V19" s="129">
        <v>19.244554543467839</v>
      </c>
      <c r="W19" s="129">
        <v>19.048650815689985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4.8864910730913085E-2</v>
      </c>
      <c r="I20" s="97">
        <v>7.7769452949100801E-2</v>
      </c>
      <c r="J20" s="97">
        <v>7.1829665763504746E-2</v>
      </c>
      <c r="K20" s="97">
        <v>7.2093314224041402E-2</v>
      </c>
      <c r="L20" s="97">
        <v>0.39888890750678757</v>
      </c>
      <c r="M20" s="97">
        <v>0.70022970001083951</v>
      </c>
      <c r="N20" s="97">
        <v>0.83210995656206421</v>
      </c>
      <c r="O20" s="97">
        <v>0.78873623814733596</v>
      </c>
      <c r="P20" s="97">
        <v>0.78687621067752589</v>
      </c>
      <c r="Q20" s="97">
        <v>0.74066948681350897</v>
      </c>
      <c r="R20" s="97">
        <v>0.73949555903498099</v>
      </c>
      <c r="S20" s="97">
        <v>0.71600530054078304</v>
      </c>
      <c r="T20" s="97">
        <v>0.66320972758905805</v>
      </c>
      <c r="U20" s="97">
        <v>0.69674629158064016</v>
      </c>
      <c r="V20" s="97">
        <v>1.2227156478674504</v>
      </c>
      <c r="W20" s="97">
        <v>1.2103836577221581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2026.7728999521639</v>
      </c>
      <c r="C21" s="130">
        <f t="shared" si="17"/>
        <v>2003.1332475872264</v>
      </c>
      <c r="D21" s="130">
        <f t="shared" si="17"/>
        <v>2036.7310887318481</v>
      </c>
      <c r="E21" s="130">
        <f t="shared" si="17"/>
        <v>2077.201641119143</v>
      </c>
      <c r="F21" s="130">
        <f t="shared" si="17"/>
        <v>2096.6248118199292</v>
      </c>
      <c r="G21" s="130">
        <f t="shared" si="17"/>
        <v>2098.6091795134657</v>
      </c>
      <c r="H21" s="130">
        <f t="shared" si="17"/>
        <v>2122.874232014975</v>
      </c>
      <c r="I21" s="130">
        <f t="shared" si="17"/>
        <v>2235.8474003229649</v>
      </c>
      <c r="J21" s="130">
        <f t="shared" si="17"/>
        <v>2216.557645206969</v>
      </c>
      <c r="K21" s="130">
        <f t="shared" si="17"/>
        <v>2183.8480058636601</v>
      </c>
      <c r="L21" s="130">
        <f t="shared" ref="L21" si="18">L22+L24+L26+L27+L29+L32</f>
        <v>2171.0737829216782</v>
      </c>
      <c r="M21" s="130">
        <f t="shared" ref="M21:V21" si="19">M22+M24+M26+M27+M29+M32</f>
        <v>2243.6821847062015</v>
      </c>
      <c r="N21" s="130">
        <f t="shared" si="19"/>
        <v>2119.424596281784</v>
      </c>
      <c r="O21" s="130">
        <f t="shared" si="19"/>
        <v>2112.6198675336072</v>
      </c>
      <c r="P21" s="130">
        <f t="shared" si="19"/>
        <v>2142.0292683599741</v>
      </c>
      <c r="Q21" s="130">
        <f t="shared" si="19"/>
        <v>2328.5563196169101</v>
      </c>
      <c r="R21" s="130">
        <f t="shared" si="19"/>
        <v>2294.9025519524903</v>
      </c>
      <c r="S21" s="130">
        <f t="shared" si="19"/>
        <v>2263.6764088656632</v>
      </c>
      <c r="T21" s="130">
        <f t="shared" si="19"/>
        <v>2316.4696960881852</v>
      </c>
      <c r="U21" s="130">
        <f t="shared" si="19"/>
        <v>2303.0420911108231</v>
      </c>
      <c r="V21" s="130">
        <f t="shared" si="19"/>
        <v>2094.8822673257055</v>
      </c>
      <c r="W21" s="130">
        <f t="shared" ref="W21" si="20">W22+W24+W26+W27+W29+W32</f>
        <v>2124.5335855227499</v>
      </c>
      <c r="DA21" s="176" t="s">
        <v>392</v>
      </c>
    </row>
    <row r="22" spans="1:105" ht="11.45" customHeight="1" x14ac:dyDescent="0.25">
      <c r="A22" s="111" t="s">
        <v>110</v>
      </c>
      <c r="B22" s="96">
        <v>1858.0289434172828</v>
      </c>
      <c r="C22" s="96">
        <v>1820.1510467525165</v>
      </c>
      <c r="D22" s="96">
        <v>1831.4558377615185</v>
      </c>
      <c r="E22" s="96">
        <v>1850.1242226266868</v>
      </c>
      <c r="F22" s="96">
        <v>1829.4721075271334</v>
      </c>
      <c r="G22" s="96">
        <v>1773.6684424917225</v>
      </c>
      <c r="H22" s="96">
        <v>1745.2204703788921</v>
      </c>
      <c r="I22" s="96">
        <v>1734.5607684022632</v>
      </c>
      <c r="J22" s="96">
        <v>1657.2590235467283</v>
      </c>
      <c r="K22" s="96">
        <v>1582.5622481808416</v>
      </c>
      <c r="L22" s="96">
        <v>1496.5642468799642</v>
      </c>
      <c r="M22" s="96">
        <v>1495.6198787757667</v>
      </c>
      <c r="N22" s="96">
        <v>1350.4892736393608</v>
      </c>
      <c r="O22" s="96">
        <v>1304.6175318179553</v>
      </c>
      <c r="P22" s="96">
        <v>1293.0761516481423</v>
      </c>
      <c r="Q22" s="96">
        <v>1359.3855278184321</v>
      </c>
      <c r="R22" s="96">
        <v>1355.4930400731341</v>
      </c>
      <c r="S22" s="96">
        <v>1293.7231313078316</v>
      </c>
      <c r="T22" s="96">
        <v>1301.9039896591175</v>
      </c>
      <c r="U22" s="96">
        <v>1305.8851335052805</v>
      </c>
      <c r="V22" s="96">
        <v>1203.3693337068928</v>
      </c>
      <c r="W22" s="96">
        <v>1228.4200436194942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3.5312018015350275</v>
      </c>
      <c r="I23" s="96">
        <v>5.3060472848481863</v>
      </c>
      <c r="J23" s="96">
        <v>4.7349231783164649</v>
      </c>
      <c r="K23" s="96">
        <v>4.755541447015136</v>
      </c>
      <c r="L23" s="96">
        <v>25.033370571942232</v>
      </c>
      <c r="M23" s="96">
        <v>44.441296479502562</v>
      </c>
      <c r="N23" s="96">
        <v>47.500938507871233</v>
      </c>
      <c r="O23" s="96">
        <v>43.349698300690967</v>
      </c>
      <c r="P23" s="96">
        <v>42.259633569223816</v>
      </c>
      <c r="Q23" s="96">
        <v>41.731293419301309</v>
      </c>
      <c r="R23" s="96">
        <v>41.857862347378671</v>
      </c>
      <c r="S23" s="96">
        <v>41.601140385581452</v>
      </c>
      <c r="T23" s="96">
        <v>41.118749504027811</v>
      </c>
      <c r="U23" s="96">
        <v>41.918166382936256</v>
      </c>
      <c r="V23" s="96">
        <v>76.456875692489049</v>
      </c>
      <c r="W23" s="96">
        <v>78.055898026682286</v>
      </c>
      <c r="DA23" s="171" t="s">
        <v>641</v>
      </c>
    </row>
    <row r="24" spans="1:105" ht="11.45" customHeight="1" x14ac:dyDescent="0.25">
      <c r="A24" s="111" t="s">
        <v>111</v>
      </c>
      <c r="B24" s="96">
        <v>159.2159704713707</v>
      </c>
      <c r="C24" s="96">
        <v>172.36697128382522</v>
      </c>
      <c r="D24" s="96">
        <v>193.55724025279508</v>
      </c>
      <c r="E24" s="96">
        <v>217.52568105004428</v>
      </c>
      <c r="F24" s="96">
        <v>258.68214389345258</v>
      </c>
      <c r="G24" s="96">
        <v>317.51737941058025</v>
      </c>
      <c r="H24" s="96">
        <v>371.28193407451693</v>
      </c>
      <c r="I24" s="96">
        <v>495.97642540088145</v>
      </c>
      <c r="J24" s="96">
        <v>555.05196520146797</v>
      </c>
      <c r="K24" s="96">
        <v>598.09427529733523</v>
      </c>
      <c r="L24" s="96">
        <v>674.50035772136027</v>
      </c>
      <c r="M24" s="96">
        <v>747.97839151917401</v>
      </c>
      <c r="N24" s="96">
        <v>768.75400084156672</v>
      </c>
      <c r="O24" s="96">
        <v>807.71720499299397</v>
      </c>
      <c r="P24" s="96">
        <v>848.36271389621766</v>
      </c>
      <c r="Q24" s="96">
        <v>961.36618743157953</v>
      </c>
      <c r="R24" s="96">
        <v>937.05351208915761</v>
      </c>
      <c r="S24" s="96">
        <v>967.35242631160486</v>
      </c>
      <c r="T24" s="96">
        <v>1010.457905240568</v>
      </c>
      <c r="U24" s="96">
        <v>990.42492857496586</v>
      </c>
      <c r="V24" s="96">
        <v>876.88228969265219</v>
      </c>
      <c r="W24" s="96">
        <v>858.3661308861906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0.91052602754772505</v>
      </c>
      <c r="L25" s="96">
        <v>0</v>
      </c>
      <c r="M25" s="96">
        <v>25.521741340265699</v>
      </c>
      <c r="N25" s="96">
        <v>51.370038506528012</v>
      </c>
      <c r="O25" s="96">
        <v>56.561847896153729</v>
      </c>
      <c r="P25" s="96">
        <v>59.766747454162939</v>
      </c>
      <c r="Q25" s="96">
        <v>66.443924045395875</v>
      </c>
      <c r="R25" s="96">
        <v>63.957075831362097</v>
      </c>
      <c r="S25" s="96">
        <v>63.845994608512221</v>
      </c>
      <c r="T25" s="96">
        <v>64.438108397536411</v>
      </c>
      <c r="U25" s="96">
        <v>69.605985774808389</v>
      </c>
      <c r="V25" s="96">
        <v>62.008439238987982</v>
      </c>
      <c r="W25" s="96">
        <v>61.300346999195781</v>
      </c>
      <c r="DA25" s="171" t="s">
        <v>643</v>
      </c>
    </row>
    <row r="26" spans="1:105" ht="11.45" customHeight="1" x14ac:dyDescent="0.25">
      <c r="A26" s="111" t="s">
        <v>112</v>
      </c>
      <c r="B26" s="96">
        <v>9.527986063510463</v>
      </c>
      <c r="C26" s="96">
        <v>10.615229550884523</v>
      </c>
      <c r="D26" s="96">
        <v>11.718010717534433</v>
      </c>
      <c r="E26" s="96">
        <v>9.5517374424123123</v>
      </c>
      <c r="F26" s="96">
        <v>8.4705603993435066</v>
      </c>
      <c r="G26" s="96">
        <v>7.4233576111629311</v>
      </c>
      <c r="H26" s="96">
        <v>6.3718275615662332</v>
      </c>
      <c r="I26" s="96">
        <v>5.3102065198199</v>
      </c>
      <c r="J26" s="96">
        <v>4.2466564587728151</v>
      </c>
      <c r="K26" s="96">
        <v>3.185887593697081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4.8953574178454612E-2</v>
      </c>
      <c r="R27" s="96">
        <v>0.16029336567140418</v>
      </c>
      <c r="S27" s="96">
        <v>0.16758758531768794</v>
      </c>
      <c r="T27" s="96">
        <v>0.31349714862647238</v>
      </c>
      <c r="U27" s="96">
        <v>0.45353686224390882</v>
      </c>
      <c r="V27" s="96">
        <v>0.52621587401887882</v>
      </c>
      <c r="W27" s="96">
        <v>0.66247675462342248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5.1471766899879238E-4</v>
      </c>
      <c r="R28" s="96">
        <v>4.8938372384028008E-3</v>
      </c>
      <c r="S28" s="96">
        <v>8.3847417254171615E-3</v>
      </c>
      <c r="T28" s="96">
        <v>0</v>
      </c>
      <c r="U28" s="96">
        <v>4.1387191220632912E-2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1.1693550530292723E-2</v>
      </c>
      <c r="O29" s="96">
        <v>1.762122804872095E-2</v>
      </c>
      <c r="P29" s="96">
        <v>4.0357101538050576E-2</v>
      </c>
      <c r="Q29" s="96">
        <v>6.1962977288632075</v>
      </c>
      <c r="R29" s="96">
        <v>0.41236325627078096</v>
      </c>
      <c r="S29" s="96">
        <v>0.51723059569126473</v>
      </c>
      <c r="T29" s="96">
        <v>1.5980631034348545</v>
      </c>
      <c r="U29" s="96">
        <v>2.8815392665662762</v>
      </c>
      <c r="V29" s="96">
        <v>7.938991984309741</v>
      </c>
      <c r="W29" s="96">
        <v>23.002466900863812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2.7569829428556678E-4</v>
      </c>
      <c r="O30" s="96">
        <v>4.0536082803094346E-4</v>
      </c>
      <c r="P30" s="96">
        <v>6.243385792880019E-4</v>
      </c>
      <c r="Q30" s="96">
        <v>0.15470340148365785</v>
      </c>
      <c r="R30" s="96">
        <v>8.743860253337175E-3</v>
      </c>
      <c r="S30" s="96">
        <v>1.0674198848102105E-2</v>
      </c>
      <c r="T30" s="96">
        <v>3.0638059395676886E-2</v>
      </c>
      <c r="U30" s="96">
        <v>5.1941027906097038E-2</v>
      </c>
      <c r="V30" s="96">
        <v>0.26548968322088234</v>
      </c>
      <c r="W30" s="96">
        <v>0.69691865238562423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3.8552298383420025E-3</v>
      </c>
      <c r="O31" s="96">
        <v>5.4218157415542685E-3</v>
      </c>
      <c r="P31" s="96">
        <v>2.1253355025228501E-2</v>
      </c>
      <c r="Q31" s="96">
        <v>1.1568765211826029</v>
      </c>
      <c r="R31" s="96">
        <v>0.12920876504500306</v>
      </c>
      <c r="S31" s="96">
        <v>0.18528157145837798</v>
      </c>
      <c r="T31" s="96">
        <v>0.62799927017704793</v>
      </c>
      <c r="U31" s="96">
        <v>1.2634098965476876</v>
      </c>
      <c r="V31" s="96">
        <v>3.7603992768529215</v>
      </c>
      <c r="W31" s="96">
        <v>12.03457257121125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5.5947917861321715E-3</v>
      </c>
      <c r="L32" s="96">
        <v>9.1783203536193753E-3</v>
      </c>
      <c r="M32" s="96">
        <v>8.391441126112674E-2</v>
      </c>
      <c r="N32" s="96">
        <v>0.16962825032617579</v>
      </c>
      <c r="O32" s="96">
        <v>0.26750949460873802</v>
      </c>
      <c r="P32" s="96">
        <v>0.55004571407626168</v>
      </c>
      <c r="Q32" s="96">
        <v>1.5593530638568425</v>
      </c>
      <c r="R32" s="96">
        <v>1.7833431682563095</v>
      </c>
      <c r="S32" s="96">
        <v>1.9160330652181148</v>
      </c>
      <c r="T32" s="96">
        <v>2.1962409364381172</v>
      </c>
      <c r="U32" s="96">
        <v>3.3969529017672255</v>
      </c>
      <c r="V32" s="96">
        <v>6.1654360678321458</v>
      </c>
      <c r="W32" s="96">
        <v>14.082467361577306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343.70597899826163</v>
      </c>
      <c r="C33" s="130">
        <f t="shared" si="21"/>
        <v>334.12166688862828</v>
      </c>
      <c r="D33" s="130">
        <f t="shared" si="21"/>
        <v>325.82877550824202</v>
      </c>
      <c r="E33" s="130">
        <f t="shared" si="21"/>
        <v>330.00573883060332</v>
      </c>
      <c r="F33" s="130">
        <f t="shared" si="21"/>
        <v>324.28972820234748</v>
      </c>
      <c r="G33" s="130">
        <f t="shared" si="21"/>
        <v>327.20618023760761</v>
      </c>
      <c r="H33" s="130">
        <f t="shared" si="21"/>
        <v>329.49825950974667</v>
      </c>
      <c r="I33" s="130">
        <f t="shared" si="21"/>
        <v>325.80074089075055</v>
      </c>
      <c r="J33" s="130">
        <f t="shared" si="21"/>
        <v>330.58826022909153</v>
      </c>
      <c r="K33" s="130">
        <f t="shared" si="21"/>
        <v>336.41069301727595</v>
      </c>
      <c r="L33" s="130">
        <f t="shared" ref="L33" si="22">L34+L36+L38+L39+L41</f>
        <v>343.21541403311147</v>
      </c>
      <c r="M33" s="130">
        <f t="shared" ref="M33:V33" si="23">M34+M36+M38+M39+M41</f>
        <v>335.16843325171624</v>
      </c>
      <c r="N33" s="130">
        <f t="shared" si="23"/>
        <v>315.13445308816449</v>
      </c>
      <c r="O33" s="130">
        <f t="shared" si="23"/>
        <v>302.49356949174506</v>
      </c>
      <c r="P33" s="130">
        <f t="shared" si="23"/>
        <v>313.99226605267944</v>
      </c>
      <c r="Q33" s="130">
        <f t="shared" si="23"/>
        <v>322.04986100620573</v>
      </c>
      <c r="R33" s="130">
        <f t="shared" si="23"/>
        <v>333.77010357750976</v>
      </c>
      <c r="S33" s="130">
        <f t="shared" si="23"/>
        <v>349.71656421353134</v>
      </c>
      <c r="T33" s="130">
        <f t="shared" si="23"/>
        <v>349.33084387952999</v>
      </c>
      <c r="U33" s="130">
        <f t="shared" si="23"/>
        <v>341.5864731006069</v>
      </c>
      <c r="V33" s="130">
        <f t="shared" si="23"/>
        <v>339.69398932934126</v>
      </c>
      <c r="W33" s="130">
        <f t="shared" ref="W33" si="24">W34+W36+W38+W39+W41</f>
        <v>340.10962191500494</v>
      </c>
      <c r="DA33" s="176" t="s">
        <v>393</v>
      </c>
    </row>
    <row r="34" spans="1:105" ht="11.45" customHeight="1" x14ac:dyDescent="0.25">
      <c r="A34" s="111" t="s">
        <v>110</v>
      </c>
      <c r="B34" s="97">
        <v>14.565702276887263</v>
      </c>
      <c r="C34" s="97">
        <v>14.779286789659036</v>
      </c>
      <c r="D34" s="97">
        <v>14.700359890812898</v>
      </c>
      <c r="E34" s="97">
        <v>9.3492706299881334</v>
      </c>
      <c r="F34" s="97">
        <v>7.687223053674261</v>
      </c>
      <c r="G34" s="97">
        <v>7.225781267768026</v>
      </c>
      <c r="H34" s="97">
        <v>7.1188071450467829</v>
      </c>
      <c r="I34" s="97">
        <v>6.7803423825940161</v>
      </c>
      <c r="J34" s="97">
        <v>6.6829569782205693</v>
      </c>
      <c r="K34" s="97">
        <v>6.266917602197732</v>
      </c>
      <c r="L34" s="97">
        <v>5.9182132877302669</v>
      </c>
      <c r="M34" s="97">
        <v>5.6391595381691522</v>
      </c>
      <c r="N34" s="97">
        <v>5.3821360030628842</v>
      </c>
      <c r="O34" s="97">
        <v>5.6578905150151231</v>
      </c>
      <c r="P34" s="97">
        <v>5.0659963089404592</v>
      </c>
      <c r="Q34" s="97">
        <v>4.4370349418446482</v>
      </c>
      <c r="R34" s="97">
        <v>4.045713414208965</v>
      </c>
      <c r="S34" s="97">
        <v>3.7028094625089021</v>
      </c>
      <c r="T34" s="97">
        <v>3.3370357426157891</v>
      </c>
      <c r="U34" s="97">
        <v>2.9436107806818348</v>
      </c>
      <c r="V34" s="97">
        <v>2.7450284581988882</v>
      </c>
      <c r="W34" s="97">
        <v>2.6176565027984666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1.440387907546839E-2</v>
      </c>
      <c r="I35" s="97">
        <v>2.0741168568364998E-2</v>
      </c>
      <c r="J35" s="97">
        <v>1.9093749043615407E-2</v>
      </c>
      <c r="K35" s="97">
        <v>1.8831857284942924E-2</v>
      </c>
      <c r="L35" s="97">
        <v>9.8995299843901277E-2</v>
      </c>
      <c r="M35" s="97">
        <v>0.16756367342223819</v>
      </c>
      <c r="N35" s="97">
        <v>0.18930658414896917</v>
      </c>
      <c r="O35" s="97">
        <v>0.18799980903404803</v>
      </c>
      <c r="P35" s="97">
        <v>0.1655642224984126</v>
      </c>
      <c r="Q35" s="97">
        <v>0.136210959496505</v>
      </c>
      <c r="R35" s="97">
        <v>0.12493233840563682</v>
      </c>
      <c r="S35" s="97">
        <v>0.11906805447249853</v>
      </c>
      <c r="T35" s="97">
        <v>0.10539543459155809</v>
      </c>
      <c r="U35" s="97">
        <v>9.4488223585192599E-2</v>
      </c>
      <c r="V35" s="97">
        <v>0.17440721956437794</v>
      </c>
      <c r="W35" s="97">
        <v>0.16633034450438242</v>
      </c>
      <c r="DA35" s="175" t="s">
        <v>652</v>
      </c>
    </row>
    <row r="36" spans="1:105" ht="11.45" customHeight="1" x14ac:dyDescent="0.25">
      <c r="A36" s="111" t="s">
        <v>111</v>
      </c>
      <c r="B36" s="97">
        <v>329.14027672137439</v>
      </c>
      <c r="C36" s="97">
        <v>319.34238009896927</v>
      </c>
      <c r="D36" s="97">
        <v>311.12841561742914</v>
      </c>
      <c r="E36" s="97">
        <v>320.65646820061517</v>
      </c>
      <c r="F36" s="97">
        <v>316.60250514867323</v>
      </c>
      <c r="G36" s="97">
        <v>319.9803989698396</v>
      </c>
      <c r="H36" s="97">
        <v>322.37945236469989</v>
      </c>
      <c r="I36" s="97">
        <v>319.02039850815652</v>
      </c>
      <c r="J36" s="97">
        <v>323.90530325087099</v>
      </c>
      <c r="K36" s="97">
        <v>330.14377541507821</v>
      </c>
      <c r="L36" s="97">
        <v>337.29720074538119</v>
      </c>
      <c r="M36" s="97">
        <v>329.52927371354707</v>
      </c>
      <c r="N36" s="97">
        <v>309.75231708510159</v>
      </c>
      <c r="O36" s="97">
        <v>296.83567897672992</v>
      </c>
      <c r="P36" s="97">
        <v>308.926269743739</v>
      </c>
      <c r="Q36" s="97">
        <v>316.26598791760324</v>
      </c>
      <c r="R36" s="97">
        <v>326.99947022216395</v>
      </c>
      <c r="S36" s="97">
        <v>339.81058587705309</v>
      </c>
      <c r="T36" s="97">
        <v>338.75622340257831</v>
      </c>
      <c r="U36" s="97">
        <v>329.01565136344186</v>
      </c>
      <c r="V36" s="97">
        <v>328.2227116364474</v>
      </c>
      <c r="W36" s="97">
        <v>323.99522094741064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0.502603874947403</v>
      </c>
      <c r="L37" s="97">
        <v>0</v>
      </c>
      <c r="M37" s="97">
        <v>11.243855414969127</v>
      </c>
      <c r="N37" s="97">
        <v>20.698413847250023</v>
      </c>
      <c r="O37" s="97">
        <v>20.786451521209013</v>
      </c>
      <c r="P37" s="97">
        <v>21.763707955686225</v>
      </c>
      <c r="Q37" s="97">
        <v>21.858427677263077</v>
      </c>
      <c r="R37" s="97">
        <v>22.318821330904189</v>
      </c>
      <c r="S37" s="97">
        <v>22.427756672450954</v>
      </c>
      <c r="T37" s="97">
        <v>21.602889274995015</v>
      </c>
      <c r="U37" s="97">
        <v>23.122861801796443</v>
      </c>
      <c r="V37" s="97">
        <v>23.210159802062041</v>
      </c>
      <c r="W37" s="97">
        <v>23.138167683355075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1.3468381467578119</v>
      </c>
      <c r="R39" s="97">
        <v>2.6332429077821136</v>
      </c>
      <c r="S39" s="97">
        <v>6.080454558298042</v>
      </c>
      <c r="T39" s="97">
        <v>7.0832331849175176</v>
      </c>
      <c r="U39" s="97">
        <v>7.8669574006241172</v>
      </c>
      <c r="V39" s="97">
        <v>6.9857892738200595</v>
      </c>
      <c r="W39" s="97">
        <v>8.0298213281597484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1.4161200750954402E-2</v>
      </c>
      <c r="R40" s="97">
        <v>8.0394233073135646E-2</v>
      </c>
      <c r="S40" s="97">
        <v>0.30421729000879372</v>
      </c>
      <c r="T40" s="97">
        <v>0</v>
      </c>
      <c r="U40" s="97">
        <v>0.71789373118055855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97">
        <v>9.1677033354673615E-2</v>
      </c>
      <c r="S41" s="97">
        <v>0.12271431567134343</v>
      </c>
      <c r="T41" s="97">
        <v>0.15435154941840382</v>
      </c>
      <c r="U41" s="97">
        <v>1.7602535558591001</v>
      </c>
      <c r="V41" s="97">
        <v>1.7404599608749425</v>
      </c>
      <c r="W41" s="97">
        <v>5.4669231366360922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1297.1550899864249</v>
      </c>
      <c r="C42" s="32">
        <f t="shared" si="25"/>
        <v>1358.6827570421215</v>
      </c>
      <c r="D42" s="32">
        <f t="shared" si="25"/>
        <v>1369.6286112229491</v>
      </c>
      <c r="E42" s="32">
        <f t="shared" si="25"/>
        <v>1480.8359680154344</v>
      </c>
      <c r="F42" s="32">
        <f t="shared" si="25"/>
        <v>1591.1050101673104</v>
      </c>
      <c r="G42" s="32">
        <f t="shared" si="25"/>
        <v>1619.0634221954185</v>
      </c>
      <c r="H42" s="32">
        <f t="shared" si="25"/>
        <v>1705.6544643852221</v>
      </c>
      <c r="I42" s="32">
        <f t="shared" si="25"/>
        <v>1792.3355275200493</v>
      </c>
      <c r="J42" s="32">
        <f t="shared" si="25"/>
        <v>1704.196399786154</v>
      </c>
      <c r="K42" s="32">
        <f t="shared" si="25"/>
        <v>1510.1836861406509</v>
      </c>
      <c r="L42" s="32">
        <f t="shared" ref="L42" si="26">L43+L52</f>
        <v>1497.5401933255835</v>
      </c>
      <c r="M42" s="32">
        <f t="shared" ref="M42:V42" si="27">M43+M52</f>
        <v>1427.0721837314213</v>
      </c>
      <c r="N42" s="32">
        <f t="shared" si="27"/>
        <v>1306.5513162989018</v>
      </c>
      <c r="O42" s="32">
        <f t="shared" si="27"/>
        <v>1258.3427229931626</v>
      </c>
      <c r="P42" s="32">
        <f t="shared" si="27"/>
        <v>1281.1259610875277</v>
      </c>
      <c r="Q42" s="32">
        <f t="shared" si="27"/>
        <v>1226.7681913694205</v>
      </c>
      <c r="R42" s="32">
        <f t="shared" si="27"/>
        <v>1315.9345094717073</v>
      </c>
      <c r="S42" s="32">
        <f t="shared" si="27"/>
        <v>1332.7663519402097</v>
      </c>
      <c r="T42" s="32">
        <f t="shared" si="27"/>
        <v>1364.6658909975245</v>
      </c>
      <c r="U42" s="32">
        <f t="shared" si="27"/>
        <v>1309.4421977512811</v>
      </c>
      <c r="V42" s="32">
        <f t="shared" si="27"/>
        <v>1249.7676612897167</v>
      </c>
      <c r="W42" s="32">
        <f t="shared" ref="W42" si="28">W43+W52</f>
        <v>1293.5585466475845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610.91696728133172</v>
      </c>
      <c r="C43" s="141">
        <f t="shared" si="29"/>
        <v>633.2874265401133</v>
      </c>
      <c r="D43" s="141">
        <f t="shared" si="29"/>
        <v>629.26736741611239</v>
      </c>
      <c r="E43" s="141">
        <f t="shared" si="29"/>
        <v>639.48831766263686</v>
      </c>
      <c r="F43" s="141">
        <f t="shared" si="29"/>
        <v>678.28833225621963</v>
      </c>
      <c r="G43" s="141">
        <f t="shared" si="29"/>
        <v>705.61659959780843</v>
      </c>
      <c r="H43" s="141">
        <f t="shared" si="29"/>
        <v>759.68930982578593</v>
      </c>
      <c r="I43" s="141">
        <f t="shared" si="29"/>
        <v>819.99695557687153</v>
      </c>
      <c r="J43" s="141">
        <f t="shared" si="29"/>
        <v>801.94304775994067</v>
      </c>
      <c r="K43" s="141">
        <f t="shared" si="29"/>
        <v>741.68812321722476</v>
      </c>
      <c r="L43" s="141">
        <f t="shared" ref="L43" si="30">L44+L46+L48+L49+L51</f>
        <v>714.7294049155206</v>
      </c>
      <c r="M43" s="141">
        <f t="shared" ref="M43:V43" si="31">M44+M46+M48+M49+M51</f>
        <v>646.8909233461236</v>
      </c>
      <c r="N43" s="141">
        <f t="shared" si="31"/>
        <v>595.22615113830466</v>
      </c>
      <c r="O43" s="141">
        <f t="shared" si="31"/>
        <v>560.77008009540475</v>
      </c>
      <c r="P43" s="141">
        <f t="shared" si="31"/>
        <v>533.79225275448198</v>
      </c>
      <c r="Q43" s="141">
        <f t="shared" si="31"/>
        <v>534.6252761628981</v>
      </c>
      <c r="R43" s="141">
        <f t="shared" si="31"/>
        <v>532.06429673578918</v>
      </c>
      <c r="S43" s="141">
        <f t="shared" si="31"/>
        <v>540.18574833511025</v>
      </c>
      <c r="T43" s="141">
        <f t="shared" si="31"/>
        <v>543.7833973002837</v>
      </c>
      <c r="U43" s="141">
        <f t="shared" si="31"/>
        <v>515.64896607661763</v>
      </c>
      <c r="V43" s="141">
        <f t="shared" si="31"/>
        <v>477.69802114168817</v>
      </c>
      <c r="W43" s="141">
        <f t="shared" ref="W43" si="32">W44+W46+W48+W49+W51</f>
        <v>491.37265897169306</v>
      </c>
      <c r="DA43" s="174" t="s">
        <v>399</v>
      </c>
    </row>
    <row r="44" spans="1:105" ht="11.45" customHeight="1" x14ac:dyDescent="0.25">
      <c r="A44" s="111" t="s">
        <v>110</v>
      </c>
      <c r="B44" s="96">
        <v>122.75978755910337</v>
      </c>
      <c r="C44" s="96">
        <v>134.59573006522476</v>
      </c>
      <c r="D44" s="96">
        <v>130.98541624578985</v>
      </c>
      <c r="E44" s="96">
        <v>122.73958815648562</v>
      </c>
      <c r="F44" s="96">
        <v>121.22737352107528</v>
      </c>
      <c r="G44" s="96">
        <v>117.62221940798176</v>
      </c>
      <c r="H44" s="96">
        <v>114.58226136106948</v>
      </c>
      <c r="I44" s="96">
        <v>109.48262673652579</v>
      </c>
      <c r="J44" s="96">
        <v>96.557676373963673</v>
      </c>
      <c r="K44" s="96">
        <v>84.943823930854393</v>
      </c>
      <c r="L44" s="96">
        <v>74.903271998687629</v>
      </c>
      <c r="M44" s="96">
        <v>63.338318439637206</v>
      </c>
      <c r="N44" s="96">
        <v>52.800610714111009</v>
      </c>
      <c r="O44" s="96">
        <v>47.8181153100304</v>
      </c>
      <c r="P44" s="96">
        <v>43.683110377662153</v>
      </c>
      <c r="Q44" s="96">
        <v>40.382964069442707</v>
      </c>
      <c r="R44" s="96">
        <v>37.935647853261173</v>
      </c>
      <c r="S44" s="96">
        <v>35.747473385937163</v>
      </c>
      <c r="T44" s="96">
        <v>32.08061355649631</v>
      </c>
      <c r="U44" s="96">
        <v>29.113627954073245</v>
      </c>
      <c r="V44" s="96">
        <v>25.731278202212451</v>
      </c>
      <c r="W44" s="96">
        <v>26.964585342855248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0.23184067263107644</v>
      </c>
      <c r="I45" s="96">
        <v>0.33490898959307519</v>
      </c>
      <c r="J45" s="96">
        <v>0.27587309733213211</v>
      </c>
      <c r="K45" s="96">
        <v>0.25525307193159702</v>
      </c>
      <c r="L45" s="96">
        <v>1.2529240685144654</v>
      </c>
      <c r="M45" s="96">
        <v>1.8820537412174103</v>
      </c>
      <c r="N45" s="96">
        <v>1.8571628902687602</v>
      </c>
      <c r="O45" s="96">
        <v>1.5888954589694415</v>
      </c>
      <c r="P45" s="96">
        <v>1.4276284002075406</v>
      </c>
      <c r="Q45" s="96">
        <v>1.2397022685885954</v>
      </c>
      <c r="R45" s="96">
        <v>1.1714594460881655</v>
      </c>
      <c r="S45" s="96">
        <v>1.149500710600154</v>
      </c>
      <c r="T45" s="96">
        <v>1.0132196561671796</v>
      </c>
      <c r="U45" s="96">
        <v>0.93453081689807871</v>
      </c>
      <c r="V45" s="96">
        <v>1.6348539752589355</v>
      </c>
      <c r="W45" s="96">
        <v>1.7133755955757028</v>
      </c>
      <c r="DA45" s="171" t="s">
        <v>660</v>
      </c>
    </row>
    <row r="46" spans="1:105" ht="11.45" customHeight="1" x14ac:dyDescent="0.25">
      <c r="A46" s="111" t="s">
        <v>111</v>
      </c>
      <c r="B46" s="96">
        <v>487.79694566536045</v>
      </c>
      <c r="C46" s="96">
        <v>498.31999567323658</v>
      </c>
      <c r="D46" s="96">
        <v>497.91432130316224</v>
      </c>
      <c r="E46" s="96">
        <v>516.41224682818518</v>
      </c>
      <c r="F46" s="96">
        <v>556.7420092462678</v>
      </c>
      <c r="G46" s="96">
        <v>587.72693814492766</v>
      </c>
      <c r="H46" s="96">
        <v>644.88670061785615</v>
      </c>
      <c r="I46" s="96">
        <v>710.3310701838974</v>
      </c>
      <c r="J46" s="96">
        <v>705.23727290063971</v>
      </c>
      <c r="K46" s="96">
        <v>656.63414216811566</v>
      </c>
      <c r="L46" s="96">
        <v>639.82613291683299</v>
      </c>
      <c r="M46" s="96">
        <v>583.55260490648641</v>
      </c>
      <c r="N46" s="96">
        <v>542.4222572394757</v>
      </c>
      <c r="O46" s="96">
        <v>512.94085318410794</v>
      </c>
      <c r="P46" s="96">
        <v>490.09974998744451</v>
      </c>
      <c r="Q46" s="96">
        <v>493.70272543741544</v>
      </c>
      <c r="R46" s="96">
        <v>493.55995198629398</v>
      </c>
      <c r="S46" s="96">
        <v>503.82345213401533</v>
      </c>
      <c r="T46" s="96">
        <v>511.08299932771183</v>
      </c>
      <c r="U46" s="96">
        <v>485.87461487016151</v>
      </c>
      <c r="V46" s="96">
        <v>451.16422352717092</v>
      </c>
      <c r="W46" s="96">
        <v>462.95370632025748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0</v>
      </c>
      <c r="K47" s="96">
        <v>0.99964587810728112</v>
      </c>
      <c r="L47" s="96">
        <v>0</v>
      </c>
      <c r="M47" s="96">
        <v>19.911375528660347</v>
      </c>
      <c r="N47" s="96">
        <v>36.245993140440611</v>
      </c>
      <c r="O47" s="96">
        <v>35.919604458313451</v>
      </c>
      <c r="P47" s="96">
        <v>34.527292990426396</v>
      </c>
      <c r="Q47" s="96">
        <v>34.121801680593435</v>
      </c>
      <c r="R47" s="96">
        <v>33.687138321623806</v>
      </c>
      <c r="S47" s="96">
        <v>33.252730373809662</v>
      </c>
      <c r="T47" s="96">
        <v>32.592373754527095</v>
      </c>
      <c r="U47" s="96">
        <v>34.146738995809834</v>
      </c>
      <c r="V47" s="96">
        <v>31.903927893440944</v>
      </c>
      <c r="W47" s="96">
        <v>33.061908923056428</v>
      </c>
      <c r="DA47" s="171" t="s">
        <v>662</v>
      </c>
    </row>
    <row r="48" spans="1:105" ht="11.45" customHeight="1" x14ac:dyDescent="0.25">
      <c r="A48" s="111" t="s">
        <v>112</v>
      </c>
      <c r="B48" s="96">
        <v>0.36023405686786958</v>
      </c>
      <c r="C48" s="96">
        <v>0.37170080165201624</v>
      </c>
      <c r="D48" s="96">
        <v>0.3676298671603167</v>
      </c>
      <c r="E48" s="96">
        <v>0.33648267796601866</v>
      </c>
      <c r="F48" s="96">
        <v>0.31894948887661168</v>
      </c>
      <c r="G48" s="96">
        <v>0.2674420448989776</v>
      </c>
      <c r="H48" s="96">
        <v>0.22034784686024969</v>
      </c>
      <c r="I48" s="96">
        <v>0.18325865644837183</v>
      </c>
      <c r="J48" s="96">
        <v>0.14809848533724465</v>
      </c>
      <c r="K48" s="96">
        <v>0.110157118254767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0.42785402282985602</v>
      </c>
      <c r="R49" s="96">
        <v>0.44808023557485638</v>
      </c>
      <c r="S49" s="96">
        <v>0.46992862164652227</v>
      </c>
      <c r="T49" s="96">
        <v>0.46234103360992201</v>
      </c>
      <c r="U49" s="96">
        <v>0.44244640781125288</v>
      </c>
      <c r="V49" s="96">
        <v>0.40605160194609857</v>
      </c>
      <c r="W49" s="96">
        <v>0.39953338755216783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4.4986301613021756E-3</v>
      </c>
      <c r="R50" s="96">
        <v>1.3680115415030761E-2</v>
      </c>
      <c r="S50" s="96">
        <v>2.3511467835866579E-2</v>
      </c>
      <c r="T50" s="96">
        <v>0</v>
      </c>
      <c r="U50" s="96">
        <v>4.0375139507664894E-2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3.28318471788463E-3</v>
      </c>
      <c r="O51" s="96">
        <v>1.1111601266436542E-2</v>
      </c>
      <c r="P51" s="96">
        <v>9.3923893753248798E-3</v>
      </c>
      <c r="Q51" s="96">
        <v>0.11173263321019769</v>
      </c>
      <c r="R51" s="96">
        <v>0.12061666065925186</v>
      </c>
      <c r="S51" s="96">
        <v>0.14489419351111196</v>
      </c>
      <c r="T51" s="96">
        <v>0.15744338246557388</v>
      </c>
      <c r="U51" s="96">
        <v>0.21827684457156987</v>
      </c>
      <c r="V51" s="96">
        <v>0.3964678103587177</v>
      </c>
      <c r="W51" s="96">
        <v>1.0548339210281783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686.23812270509313</v>
      </c>
      <c r="C52" s="130">
        <f t="shared" si="33"/>
        <v>725.39533050200816</v>
      </c>
      <c r="D52" s="130">
        <f t="shared" si="33"/>
        <v>740.3612438068368</v>
      </c>
      <c r="E52" s="130">
        <f t="shared" si="33"/>
        <v>841.34765035279747</v>
      </c>
      <c r="F52" s="130">
        <f t="shared" si="33"/>
        <v>912.81667791109066</v>
      </c>
      <c r="G52" s="130">
        <f t="shared" si="33"/>
        <v>913.44682259761009</v>
      </c>
      <c r="H52" s="130">
        <f t="shared" si="33"/>
        <v>945.96515455943609</v>
      </c>
      <c r="I52" s="130">
        <f t="shared" si="33"/>
        <v>972.33857194317761</v>
      </c>
      <c r="J52" s="130">
        <f t="shared" si="33"/>
        <v>902.25335202621341</v>
      </c>
      <c r="K52" s="130">
        <f t="shared" si="33"/>
        <v>768.49556292342618</v>
      </c>
      <c r="L52" s="130">
        <f t="shared" ref="L52" si="34">L53+L55</f>
        <v>782.81078841006286</v>
      </c>
      <c r="M52" s="130">
        <f t="shared" ref="M52:V52" si="35">M53+M55</f>
        <v>780.18126038529783</v>
      </c>
      <c r="N52" s="130">
        <f t="shared" si="35"/>
        <v>711.32516516059707</v>
      </c>
      <c r="O52" s="130">
        <f t="shared" si="35"/>
        <v>697.57264289775787</v>
      </c>
      <c r="P52" s="130">
        <f t="shared" si="35"/>
        <v>747.33370833304559</v>
      </c>
      <c r="Q52" s="130">
        <f t="shared" si="35"/>
        <v>692.1429152065225</v>
      </c>
      <c r="R52" s="130">
        <f t="shared" si="35"/>
        <v>783.87021273591813</v>
      </c>
      <c r="S52" s="130">
        <f t="shared" si="35"/>
        <v>792.58060360509944</v>
      </c>
      <c r="T52" s="130">
        <f t="shared" si="35"/>
        <v>820.88249369724088</v>
      </c>
      <c r="U52" s="130">
        <f t="shared" si="35"/>
        <v>793.7932316746635</v>
      </c>
      <c r="V52" s="130">
        <f t="shared" si="35"/>
        <v>772.06964014802861</v>
      </c>
      <c r="W52" s="130">
        <f t="shared" ref="W52" si="36">W53+W55</f>
        <v>802.18588767589154</v>
      </c>
      <c r="DA52" s="176" t="s">
        <v>400</v>
      </c>
    </row>
    <row r="53" spans="1:105" ht="11.45" customHeight="1" x14ac:dyDescent="0.25">
      <c r="A53" s="128" t="s">
        <v>27</v>
      </c>
      <c r="B53" s="97">
        <v>498.16260166213101</v>
      </c>
      <c r="C53" s="97">
        <v>513.51880611865363</v>
      </c>
      <c r="D53" s="97">
        <v>508.00374248013861</v>
      </c>
      <c r="E53" s="97">
        <v>551.4617465393751</v>
      </c>
      <c r="F53" s="97">
        <v>535.91669703476555</v>
      </c>
      <c r="G53" s="97">
        <v>528.43305359394321</v>
      </c>
      <c r="H53" s="97">
        <v>551.02949381310827</v>
      </c>
      <c r="I53" s="97">
        <v>562.75608026683517</v>
      </c>
      <c r="J53" s="97">
        <v>524.71668981726793</v>
      </c>
      <c r="K53" s="97">
        <v>451.84570675409884</v>
      </c>
      <c r="L53" s="97">
        <v>462.04415686310983</v>
      </c>
      <c r="M53" s="97">
        <v>479.76031630084731</v>
      </c>
      <c r="N53" s="97">
        <v>476.12792630111613</v>
      </c>
      <c r="O53" s="97">
        <v>464.67175158178424</v>
      </c>
      <c r="P53" s="97">
        <v>481.64070736159812</v>
      </c>
      <c r="Q53" s="97">
        <v>457.2740535224533</v>
      </c>
      <c r="R53" s="97">
        <v>464.29957107184674</v>
      </c>
      <c r="S53" s="97">
        <v>441.3188563656015</v>
      </c>
      <c r="T53" s="97">
        <v>435.28202129644006</v>
      </c>
      <c r="U53" s="97">
        <v>431.71691385766468</v>
      </c>
      <c r="V53" s="97">
        <v>428.19180108697412</v>
      </c>
      <c r="W53" s="97">
        <v>435.73092233591393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0.68788031156254248</v>
      </c>
      <c r="L54" s="97">
        <v>0</v>
      </c>
      <c r="M54" s="97">
        <v>16.369882922801533</v>
      </c>
      <c r="N54" s="97">
        <v>31.816042428847634</v>
      </c>
      <c r="O54" s="97">
        <v>32.539473929908638</v>
      </c>
      <c r="P54" s="97">
        <v>33.931357483075928</v>
      </c>
      <c r="Q54" s="97">
        <v>31.604068124497605</v>
      </c>
      <c r="R54" s="97">
        <v>31.690018224578814</v>
      </c>
      <c r="S54" s="97">
        <v>29.127379595858628</v>
      </c>
      <c r="T54" s="97">
        <v>27.758454782063328</v>
      </c>
      <c r="U54" s="97">
        <v>30.340594726303166</v>
      </c>
      <c r="V54" s="97">
        <v>30.279440687119784</v>
      </c>
      <c r="W54" s="97">
        <v>31.117789689459059</v>
      </c>
      <c r="DA54" s="175" t="s">
        <v>668</v>
      </c>
    </row>
    <row r="55" spans="1:105" ht="11.45" customHeight="1" x14ac:dyDescent="0.25">
      <c r="A55" s="128" t="s">
        <v>116</v>
      </c>
      <c r="B55" s="97">
        <v>188.07552104296209</v>
      </c>
      <c r="C55" s="97">
        <v>211.87652438335448</v>
      </c>
      <c r="D55" s="97">
        <v>232.35750132669821</v>
      </c>
      <c r="E55" s="97">
        <v>289.88590381342237</v>
      </c>
      <c r="F55" s="97">
        <v>376.89998087632517</v>
      </c>
      <c r="G55" s="97">
        <v>385.01376900366688</v>
      </c>
      <c r="H55" s="97">
        <v>394.93566074632776</v>
      </c>
      <c r="I55" s="97">
        <v>409.58249167634239</v>
      </c>
      <c r="J55" s="97">
        <v>377.53666220894547</v>
      </c>
      <c r="K55" s="97">
        <v>316.64985616932728</v>
      </c>
      <c r="L55" s="97">
        <v>320.76663154695302</v>
      </c>
      <c r="M55" s="97">
        <v>300.42094408445053</v>
      </c>
      <c r="N55" s="97">
        <v>235.1972388594809</v>
      </c>
      <c r="O55" s="97">
        <v>232.90089131597364</v>
      </c>
      <c r="P55" s="97">
        <v>265.69300097144747</v>
      </c>
      <c r="Q55" s="97">
        <v>234.86886168406917</v>
      </c>
      <c r="R55" s="97">
        <v>319.57064166407139</v>
      </c>
      <c r="S55" s="97">
        <v>351.26174723949799</v>
      </c>
      <c r="T55" s="97">
        <v>385.60047240080081</v>
      </c>
      <c r="U55" s="97">
        <v>362.07631781699882</v>
      </c>
      <c r="V55" s="97">
        <v>343.87783906105443</v>
      </c>
      <c r="W55" s="97">
        <v>366.45496533997766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0.48206101875508239</v>
      </c>
      <c r="L56" s="98">
        <v>0</v>
      </c>
      <c r="M56" s="98">
        <v>10.250651242142499</v>
      </c>
      <c r="N56" s="98">
        <v>15.71645962637481</v>
      </c>
      <c r="O56" s="98">
        <v>16.309303191835557</v>
      </c>
      <c r="P56" s="98">
        <v>18.717944847516904</v>
      </c>
      <c r="Q56" s="98">
        <v>16.232741498905209</v>
      </c>
      <c r="R56" s="98">
        <v>21.811778621711596</v>
      </c>
      <c r="S56" s="98">
        <v>23.183542016780429</v>
      </c>
      <c r="T56" s="98">
        <v>24.590203025615832</v>
      </c>
      <c r="U56" s="98">
        <v>25.446329449347459</v>
      </c>
      <c r="V56" s="98">
        <v>24.317206926970467</v>
      </c>
      <c r="W56" s="98">
        <v>26.170436747925862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11.429308737388409</v>
      </c>
      <c r="C60" s="79">
        <f>IF(C17=0,0,C17/TrRoad_act!C30*100)</f>
        <v>11.262328975705115</v>
      </c>
      <c r="D60" s="79">
        <f>IF(D17=0,0,D17/TrRoad_act!D30*100)</f>
        <v>11.073347160042498</v>
      </c>
      <c r="E60" s="79">
        <f>IF(E17=0,0,E17/TrRoad_act!E30*100)</f>
        <v>11.167753514324156</v>
      </c>
      <c r="F60" s="79">
        <f>IF(F17=0,0,F17/TrRoad_act!F30*100)</f>
        <v>11.164397392659641</v>
      </c>
      <c r="G60" s="79">
        <f>IF(G17=0,0,G17/TrRoad_act!G30*100)</f>
        <v>10.939902207693347</v>
      </c>
      <c r="H60" s="79">
        <f>IF(H17=0,0,H17/TrRoad_act!H30*100)</f>
        <v>10.78697005762236</v>
      </c>
      <c r="I60" s="79">
        <f>IF(I17=0,0,I17/TrRoad_act!I30*100)</f>
        <v>10.467086281198748</v>
      </c>
      <c r="J60" s="79">
        <f>IF(J17=0,0,J17/TrRoad_act!J30*100)</f>
        <v>10.078308631741427</v>
      </c>
      <c r="K60" s="79">
        <f>IF(K17=0,0,K17/TrRoad_act!K30*100)</f>
        <v>9.7219102784819569</v>
      </c>
      <c r="L60" s="79">
        <f>IF(L17=0,0,L17/TrRoad_act!L30*100)</f>
        <v>9.6211722030954707</v>
      </c>
      <c r="M60" s="79">
        <f>IF(M17=0,0,M17/TrRoad_act!M30*100)</f>
        <v>9.3859195772951143</v>
      </c>
      <c r="N60" s="79">
        <f>IF(N17=0,0,N17/TrRoad_act!N30*100)</f>
        <v>9.0721300630375445</v>
      </c>
      <c r="O60" s="79">
        <f>IF(O17=0,0,O17/TrRoad_act!O30*100)</f>
        <v>8.8154057076018315</v>
      </c>
      <c r="P60" s="79">
        <f>IF(P17=0,0,P17/TrRoad_act!P30*100)</f>
        <v>8.7885979043180367</v>
      </c>
      <c r="Q60" s="79">
        <f>IF(Q17=0,0,Q17/TrRoad_act!Q30*100)</f>
        <v>8.4393188137719672</v>
      </c>
      <c r="R60" s="79">
        <f>IF(R17=0,0,R17/TrRoad_act!R30*100)</f>
        <v>8.3707878633829154</v>
      </c>
      <c r="S60" s="79">
        <f>IF(S17=0,0,S17/TrRoad_act!S30*100)</f>
        <v>8.3090463167705746</v>
      </c>
      <c r="T60" s="79">
        <f>IF(T17=0,0,T17/TrRoad_act!T30*100)</f>
        <v>8.2613778825744202</v>
      </c>
      <c r="U60" s="79">
        <f>IF(U17=0,0,U17/TrRoad_act!U30*100)</f>
        <v>8.0187886842638374</v>
      </c>
      <c r="V60" s="79">
        <f>IF(V17=0,0,V17/TrRoad_act!V30*100)</f>
        <v>7.9432161580112943</v>
      </c>
      <c r="W60" s="79">
        <f>IF(W17=0,0,W17/TrRoad_act!W30*100)</f>
        <v>7.7770989983864034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9.487273156999505</v>
      </c>
      <c r="C61" s="32">
        <f>IF(C18=0,0,C18/TrRoad_act!C31*100)</f>
        <v>9.2836919139523104</v>
      </c>
      <c r="D61" s="32">
        <f>IF(D18=0,0,D18/TrRoad_act!D31*100)</f>
        <v>9.1521528272059527</v>
      </c>
      <c r="E61" s="32">
        <f>IF(E18=0,0,E18/TrRoad_act!E31*100)</f>
        <v>9.104440670207822</v>
      </c>
      <c r="F61" s="32">
        <f>IF(F18=0,0,F18/TrRoad_act!F31*100)</f>
        <v>9.0042288880572574</v>
      </c>
      <c r="G61" s="32">
        <f>IF(G18=0,0,G18/TrRoad_act!G31*100)</f>
        <v>8.8590607731164859</v>
      </c>
      <c r="H61" s="32">
        <f>IF(H18=0,0,H18/TrRoad_act!H31*100)</f>
        <v>8.7377204893857705</v>
      </c>
      <c r="I61" s="32">
        <f>IF(I18=0,0,I18/TrRoad_act!I31*100)</f>
        <v>8.4873696580481184</v>
      </c>
      <c r="J61" s="32">
        <f>IF(J18=0,0,J18/TrRoad_act!J31*100)</f>
        <v>8.290591870114989</v>
      </c>
      <c r="K61" s="32">
        <f>IF(K18=0,0,K18/TrRoad_act!K31*100)</f>
        <v>8.1775407066986805</v>
      </c>
      <c r="L61" s="32">
        <f>IF(L18=0,0,L18/TrRoad_act!L31*100)</f>
        <v>8.0369572353822036</v>
      </c>
      <c r="M61" s="32">
        <f>IF(M18=0,0,M18/TrRoad_act!M31*100)</f>
        <v>7.7866046950682541</v>
      </c>
      <c r="N61" s="32">
        <f>IF(N18=0,0,N18/TrRoad_act!N31*100)</f>
        <v>7.5300552664887501</v>
      </c>
      <c r="O61" s="32">
        <f>IF(O18=0,0,O18/TrRoad_act!O31*100)</f>
        <v>7.2902016298023478</v>
      </c>
      <c r="P61" s="32">
        <f>IF(P18=0,0,P18/TrRoad_act!P31*100)</f>
        <v>7.1712472113688319</v>
      </c>
      <c r="Q61" s="32">
        <f>IF(Q18=0,0,Q18/TrRoad_act!Q31*100)</f>
        <v>7.0464692487112179</v>
      </c>
      <c r="R61" s="32">
        <f>IF(R18=0,0,R18/TrRoad_act!R31*100)</f>
        <v>6.7982087136748692</v>
      </c>
      <c r="S61" s="32">
        <f>IF(S18=0,0,S18/TrRoad_act!S31*100)</f>
        <v>6.7190127249056317</v>
      </c>
      <c r="T61" s="32">
        <f>IF(T18=0,0,T18/TrRoad_act!T31*100)</f>
        <v>6.6524646743371063</v>
      </c>
      <c r="U61" s="32">
        <f>IF(U18=0,0,U18/TrRoad_act!U31*100)</f>
        <v>6.4875278997714849</v>
      </c>
      <c r="V61" s="32">
        <f>IF(V18=0,0,V18/TrRoad_act!V31*100)</f>
        <v>6.3630782872566432</v>
      </c>
      <c r="W61" s="32">
        <f>IF(W18=0,0,W18/TrRoad_act!W31*100)</f>
        <v>6.1632483537729215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4.2371471248142649</v>
      </c>
      <c r="C62" s="141">
        <f>IF(C19=0,0,C19/TrRoad_act!C32*100)</f>
        <v>4.2055147051225417</v>
      </c>
      <c r="D62" s="141">
        <f>IF(D19=0,0,D19/TrRoad_act!D32*100)</f>
        <v>4.1812941280806299</v>
      </c>
      <c r="E62" s="141">
        <f>IF(E19=0,0,E19/TrRoad_act!E32*100)</f>
        <v>4.1685783493101098</v>
      </c>
      <c r="F62" s="141">
        <f>IF(F19=0,0,F19/TrRoad_act!F32*100)</f>
        <v>4.1308261165856033</v>
      </c>
      <c r="G62" s="141">
        <f>IF(G19=0,0,G19/TrRoad_act!G32*100)</f>
        <v>4.0631881509568784</v>
      </c>
      <c r="H62" s="141">
        <f>IF(H19=0,0,H19/TrRoad_act!H32*100)</f>
        <v>4.0064417393392757</v>
      </c>
      <c r="I62" s="141">
        <f>IF(I19=0,0,I19/TrRoad_act!I32*100)</f>
        <v>3.9493938449966763</v>
      </c>
      <c r="J62" s="141">
        <f>IF(J19=0,0,J19/TrRoad_act!J32*100)</f>
        <v>3.9055688491645686</v>
      </c>
      <c r="K62" s="141">
        <f>IF(K19=0,0,K19/TrRoad_act!K32*100)</f>
        <v>3.8705036716045922</v>
      </c>
      <c r="L62" s="141">
        <f>IF(L19=0,0,L19/TrRoad_act!L32*100)</f>
        <v>3.8381163600392618</v>
      </c>
      <c r="M62" s="141">
        <f>IF(M19=0,0,M19/TrRoad_act!M32*100)</f>
        <v>3.8181122293454877</v>
      </c>
      <c r="N62" s="141">
        <f>IF(N19=0,0,N19/TrRoad_act!N32*100)</f>
        <v>3.802219816191875</v>
      </c>
      <c r="O62" s="141">
        <f>IF(O19=0,0,O19/TrRoad_act!O32*100)</f>
        <v>3.7641657220511009</v>
      </c>
      <c r="P62" s="141">
        <f>IF(P19=0,0,P19/TrRoad_act!P32*100)</f>
        <v>3.7464149928320887</v>
      </c>
      <c r="Q62" s="141">
        <f>IF(Q19=0,0,Q19/TrRoad_act!Q32*100)</f>
        <v>3.7226280175380788</v>
      </c>
      <c r="R62" s="141">
        <f>IF(R19=0,0,R19/TrRoad_act!R32*100)</f>
        <v>3.7085591171145871</v>
      </c>
      <c r="S62" s="141">
        <f>IF(S19=0,0,S19/TrRoad_act!S32*100)</f>
        <v>3.667443692167379</v>
      </c>
      <c r="T62" s="141">
        <f>IF(T19=0,0,T19/TrRoad_act!T32*100)</f>
        <v>3.6385522815774634</v>
      </c>
      <c r="U62" s="141">
        <f>IF(U19=0,0,U19/TrRoad_act!U32*100)</f>
        <v>3.5895124559477241</v>
      </c>
      <c r="V62" s="141">
        <f>IF(V19=0,0,V19/TrRoad_act!V32*100)</f>
        <v>3.5653709681863091</v>
      </c>
      <c r="W62" s="141">
        <f>IF(W19=0,0,W19/TrRoad_act!W32*100)</f>
        <v>3.4132172388704656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8.428283380338172</v>
      </c>
      <c r="C63" s="130">
        <f>IF(C21=0,0,C21/TrRoad_act!C33*100)</f>
        <v>8.2567927051193788</v>
      </c>
      <c r="D63" s="130">
        <f>IF(D21=0,0,D21/TrRoad_act!D33*100)</f>
        <v>8.1801186233832937</v>
      </c>
      <c r="E63" s="130">
        <f>IF(E21=0,0,E21/TrRoad_act!E33*100)</f>
        <v>8.1371939561878861</v>
      </c>
      <c r="F63" s="130">
        <f>IF(F21=0,0,F21/TrRoad_act!F33*100)</f>
        <v>8.0689362487463896</v>
      </c>
      <c r="G63" s="130">
        <f>IF(G21=0,0,G21/TrRoad_act!G33*100)</f>
        <v>7.9310974524114144</v>
      </c>
      <c r="H63" s="130">
        <f>IF(H21=0,0,H21/TrRoad_act!H33*100)</f>
        <v>7.8288318021331875</v>
      </c>
      <c r="I63" s="130">
        <f>IF(I21=0,0,I21/TrRoad_act!I33*100)</f>
        <v>7.6523718551811903</v>
      </c>
      <c r="J63" s="130">
        <f>IF(J21=0,0,J21/TrRoad_act!J33*100)</f>
        <v>7.4496482205595624</v>
      </c>
      <c r="K63" s="130">
        <f>IF(K21=0,0,K21/TrRoad_act!K33*100)</f>
        <v>7.3151845703023728</v>
      </c>
      <c r="L63" s="130">
        <f>IF(L21=0,0,L21/TrRoad_act!L33*100)</f>
        <v>7.1632873701309219</v>
      </c>
      <c r="M63" s="130">
        <f>IF(M21=0,0,M21/TrRoad_act!M33*100)</f>
        <v>6.9746768585883965</v>
      </c>
      <c r="N63" s="130">
        <f>IF(N21=0,0,N21/TrRoad_act!N33*100)</f>
        <v>6.7444327224269198</v>
      </c>
      <c r="O63" s="130">
        <f>IF(O21=0,0,O21/TrRoad_act!O33*100)</f>
        <v>6.5514981477808574</v>
      </c>
      <c r="P63" s="130">
        <f>IF(P21=0,0,P21/TrRoad_act!P33*100)</f>
        <v>6.4236068390729981</v>
      </c>
      <c r="Q63" s="130">
        <f>IF(Q21=0,0,Q21/TrRoad_act!Q33*100)</f>
        <v>6.3440848349003387</v>
      </c>
      <c r="R63" s="130">
        <f>IF(R21=0,0,R21/TrRoad_act!R33*100)</f>
        <v>6.0792659127093573</v>
      </c>
      <c r="S63" s="130">
        <f>IF(S21=0,0,S21/TrRoad_act!S33*100)</f>
        <v>5.961475632390659</v>
      </c>
      <c r="T63" s="130">
        <f>IF(T21=0,0,T21/TrRoad_act!T33*100)</f>
        <v>5.9140517119381766</v>
      </c>
      <c r="U63" s="130">
        <f>IF(U21=0,0,U21/TrRoad_act!U33*100)</f>
        <v>5.7763133101627524</v>
      </c>
      <c r="V63" s="130">
        <f>IF(V21=0,0,V21/TrRoad_act!V33*100)</f>
        <v>5.6009830986699907</v>
      </c>
      <c r="W63" s="130">
        <f>IF(W21=0,0,W21/TrRoad_act!W33*100)</f>
        <v>5.4310419218927271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8.515490856885739</v>
      </c>
      <c r="C64" s="96">
        <f>IF(C22=0,0,C22/TrRoad_act!C34*100)</f>
        <v>8.3892014060091764</v>
      </c>
      <c r="D64" s="96">
        <f>IF(D22=0,0,D22/TrRoad_act!D34*100)</f>
        <v>8.3215254107686292</v>
      </c>
      <c r="E64" s="96">
        <f>IF(E22=0,0,E22/TrRoad_act!E34*100)</f>
        <v>8.2605601526593695</v>
      </c>
      <c r="F64" s="96">
        <f>IF(F22=0,0,F22/TrRoad_act!F34*100)</f>
        <v>8.1742315210290322</v>
      </c>
      <c r="G64" s="96">
        <f>IF(G22=0,0,G22/TrRoad_act!G34*100)</f>
        <v>8.0652073808022049</v>
      </c>
      <c r="H64" s="96">
        <f>IF(H22=0,0,H22/TrRoad_act!H34*100)</f>
        <v>7.9725741252198956</v>
      </c>
      <c r="I64" s="96">
        <f>IF(I22=0,0,I22/TrRoad_act!I34*100)</f>
        <v>7.8342429111375775</v>
      </c>
      <c r="J64" s="96">
        <f>IF(J22=0,0,J22/TrRoad_act!J34*100)</f>
        <v>7.7042329740437818</v>
      </c>
      <c r="K64" s="96">
        <f>IF(K22=0,0,K22/TrRoad_act!K34*100)</f>
        <v>7.590272890535406</v>
      </c>
      <c r="L64" s="96">
        <f>IF(L22=0,0,L22/TrRoad_act!L34*100)</f>
        <v>7.4390685657443472</v>
      </c>
      <c r="M64" s="96">
        <f>IF(M22=0,0,M22/TrRoad_act!M34*100)</f>
        <v>7.2574680444157993</v>
      </c>
      <c r="N64" s="96">
        <f>IF(N22=0,0,N22/TrRoad_act!N34*100)</f>
        <v>7.047778424542563</v>
      </c>
      <c r="O64" s="96">
        <f>IF(O22=0,0,O22/TrRoad_act!O34*100)</f>
        <v>6.8217040954740975</v>
      </c>
      <c r="P64" s="96">
        <f>IF(P22=0,0,P22/TrRoad_act!P34*100)</f>
        <v>6.5837768066662585</v>
      </c>
      <c r="Q64" s="96">
        <f>IF(Q22=0,0,Q22/TrRoad_act!Q34*100)</f>
        <v>6.6598462416786024</v>
      </c>
      <c r="R64" s="96">
        <f>IF(R22=0,0,R22/TrRoad_act!R34*100)</f>
        <v>6.1671405671900184</v>
      </c>
      <c r="S64" s="96">
        <f>IF(S22=0,0,S22/TrRoad_act!S34*100)</f>
        <v>6.000417015235592</v>
      </c>
      <c r="T64" s="96">
        <f>IF(T22=0,0,T22/TrRoad_act!T34*100)</f>
        <v>5.8687567069674023</v>
      </c>
      <c r="U64" s="96">
        <f>IF(U22=0,0,U22/TrRoad_act!U34*100)</f>
        <v>5.7337509508018689</v>
      </c>
      <c r="V64" s="96">
        <f>IF(V22=0,0,V22/TrRoad_act!V34*100)</f>
        <v>5.5833678042621644</v>
      </c>
      <c r="W64" s="96">
        <f>IF(W22=0,0,W22/TrRoad_act!W34*100)</f>
        <v>5.4442305645180804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7.5568379628304827</v>
      </c>
      <c r="C65" s="96">
        <f>IF(C24=0,0,C24/TrRoad_act!C35*100)</f>
        <v>7.0522971591408385</v>
      </c>
      <c r="D65" s="96">
        <f>IF(D24=0,0,D24/TrRoad_act!D35*100)</f>
        <v>6.9650151704497967</v>
      </c>
      <c r="E65" s="96">
        <f>IF(E24=0,0,E24/TrRoad_act!E35*100)</f>
        <v>7.1692310225241975</v>
      </c>
      <c r="F65" s="96">
        <f>IF(F24=0,0,F24/TrRoad_act!F35*100)</f>
        <v>7.3555650203692302</v>
      </c>
      <c r="G65" s="96">
        <f>IF(G24=0,0,G24/TrRoad_act!G35*100)</f>
        <v>7.2228131061604621</v>
      </c>
      <c r="H65" s="96">
        <f>IF(H24=0,0,H24/TrRoad_act!H35*100)</f>
        <v>7.1906118526454801</v>
      </c>
      <c r="I65" s="96">
        <f>IF(I24=0,0,I24/TrRoad_act!I35*100)</f>
        <v>7.063490142752368</v>
      </c>
      <c r="J65" s="96">
        <f>IF(J24=0,0,J24/TrRoad_act!J35*100)</f>
        <v>6.7700765147048232</v>
      </c>
      <c r="K65" s="96">
        <f>IF(K24=0,0,K24/TrRoad_act!K35*100)</f>
        <v>6.6662913234094834</v>
      </c>
      <c r="L65" s="96">
        <f>IF(L24=0,0,L24/TrRoad_act!L35*100)</f>
        <v>6.6192402672083235</v>
      </c>
      <c r="M65" s="96">
        <f>IF(M24=0,0,M24/TrRoad_act!M35*100)</f>
        <v>6.473541826742971</v>
      </c>
      <c r="N65" s="96">
        <f>IF(N24=0,0,N24/TrRoad_act!N35*100)</f>
        <v>6.2759410987658946</v>
      </c>
      <c r="O65" s="96">
        <f>IF(O24=0,0,O24/TrRoad_act!O35*100)</f>
        <v>6.1653088026731817</v>
      </c>
      <c r="P65" s="96">
        <f>IF(P24=0,0,P24/TrRoad_act!P35*100)</f>
        <v>6.2096949011161575</v>
      </c>
      <c r="Q65" s="96">
        <f>IF(Q24=0,0,Q24/TrRoad_act!Q35*100)</f>
        <v>5.9798009210772385</v>
      </c>
      <c r="R65" s="96">
        <f>IF(R24=0,0,R24/TrRoad_act!R35*100)</f>
        <v>5.9937629834501829</v>
      </c>
      <c r="S65" s="96">
        <f>IF(S24=0,0,S24/TrRoad_act!S35*100)</f>
        <v>5.95016471872722</v>
      </c>
      <c r="T65" s="96">
        <f>IF(T24=0,0,T24/TrRoad_act!T35*100)</f>
        <v>6.0269297159932478</v>
      </c>
      <c r="U65" s="96">
        <f>IF(U24=0,0,U24/TrRoad_act!U35*100)</f>
        <v>5.9145839784837486</v>
      </c>
      <c r="V65" s="96">
        <f>IF(V24=0,0,V24/TrRoad_act!V35*100)</f>
        <v>5.8006094750315338</v>
      </c>
      <c r="W65" s="96">
        <f>IF(W24=0,0,W24/TrRoad_act!W35*100)</f>
        <v>5.8042851528299542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7.8764405208798713</v>
      </c>
      <c r="C66" s="96">
        <f>IF(C26=0,0,C26/TrRoad_act!C36*100)</f>
        <v>8.8499876952165035</v>
      </c>
      <c r="D66" s="96">
        <f>IF(D26=0,0,D26/TrRoad_act!D36*100)</f>
        <v>10.565867211861651</v>
      </c>
      <c r="E66" s="96">
        <f>IF(E26=0,0,E26/TrRoad_act!E36*100)</f>
        <v>9.9485202955126582</v>
      </c>
      <c r="F66" s="96">
        <f>IF(F26=0,0,F26/TrRoad_act!F36*100)</f>
        <v>9.8361955205936695</v>
      </c>
      <c r="G66" s="96">
        <f>IF(G26=0,0,G26/TrRoad_act!G36*100)</f>
        <v>10.18630610823562</v>
      </c>
      <c r="H66" s="96">
        <f>IF(H26=0,0,H26/TrRoad_act!H36*100)</f>
        <v>10.214926037908748</v>
      </c>
      <c r="I66" s="96">
        <f>IF(I26=0,0,I26/TrRoad_act!I36*100)</f>
        <v>9.6102117338897592</v>
      </c>
      <c r="J66" s="96">
        <f>IF(J26=0,0,J26/TrRoad_act!J36*100)</f>
        <v>9.6011907358079647</v>
      </c>
      <c r="K66" s="96">
        <f>IF(K26=0,0,K26/TrRoad_act!K36*100)</f>
        <v>10.146098459763307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0</v>
      </c>
      <c r="S66" s="96">
        <f>IF(S26=0,0,S26/TrRoad_act!S36*100)</f>
        <v>0</v>
      </c>
      <c r="T66" s="96">
        <f>IF(T26=0,0,T26/TrRoad_act!T36*100)</f>
        <v>0</v>
      </c>
      <c r="U66" s="96">
        <f>IF(U26=0,0,U26/TrRoad_act!U36*100)</f>
        <v>0</v>
      </c>
      <c r="V66" s="96">
        <f>IF(V26=0,0,V26/TrRoad_act!V36*100)</f>
        <v>0</v>
      </c>
      <c r="W66" s="96">
        <f>IF(W26=0,0,W26/TrRoad_act!W36*100)</f>
        <v>0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6.3945712735567986</v>
      </c>
      <c r="R67" s="96">
        <f>IF(R27=0,0,R27/TrRoad_act!R37*100)</f>
        <v>7.8295158915089411</v>
      </c>
      <c r="S67" s="96">
        <f>IF(S27=0,0,S27/TrRoad_act!S37*100)</f>
        <v>4.5863835315879626</v>
      </c>
      <c r="T67" s="96">
        <f>IF(T27=0,0,T27/TrRoad_act!T37*100)</f>
        <v>4.9376297749552229</v>
      </c>
      <c r="U67" s="96">
        <f>IF(U27=0,0,U27/TrRoad_act!U37*100)</f>
        <v>5.0664614146219682</v>
      </c>
      <c r="V67" s="96">
        <f>IF(V27=0,0,V27/TrRoad_act!V37*100)</f>
        <v>5.0958686233102064</v>
      </c>
      <c r="W67" s="96">
        <f>IF(W27=0,0,W27/TrRoad_act!W37*100)</f>
        <v>5.0744505025874371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2.8546129183040851</v>
      </c>
      <c r="O68" s="96">
        <f>IF(O29=0,0,O29/TrRoad_act!O38*100)</f>
        <v>3.194346685631571</v>
      </c>
      <c r="P68" s="96">
        <f>IF(P29=0,0,P29/TrRoad_act!P38*100)</f>
        <v>2.156513727557023</v>
      </c>
      <c r="Q68" s="96">
        <f>IF(Q29=0,0,Q29/TrRoad_act!Q38*100)</f>
        <v>5.7280838857908716</v>
      </c>
      <c r="R68" s="96">
        <f>IF(R29=0,0,R29/TrRoad_act!R38*100)</f>
        <v>3.7996858839037091</v>
      </c>
      <c r="S68" s="96">
        <f>IF(S29=0,0,S29/TrRoad_act!S38*100)</f>
        <v>3.2039232617797584</v>
      </c>
      <c r="T68" s="96">
        <f>IF(T29=0,0,T29/TrRoad_act!T38*100)</f>
        <v>2.7206954376874926</v>
      </c>
      <c r="U68" s="96">
        <f>IF(U29=0,0,U29/TrRoad_act!U38*100)</f>
        <v>2.6393630279041203</v>
      </c>
      <c r="V68" s="96">
        <f>IF(V29=0,0,V29/TrRoad_act!V38*100)</f>
        <v>2.5036415402302197</v>
      </c>
      <c r="W68" s="96">
        <f>IF(W29=0,0,W29/TrRoad_act!W38*100)</f>
        <v>2.6737300441734875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1.2832924931288183</v>
      </c>
      <c r="L69" s="96">
        <f>IF(L32=0,0,L32/TrRoad_act!L39*100)</f>
        <v>1.2782274569577818</v>
      </c>
      <c r="M69" s="96">
        <f>IF(M32=0,0,M32/TrRoad_act!M39*100)</f>
        <v>1.2766400681069436</v>
      </c>
      <c r="N69" s="96">
        <f>IF(N32=0,0,N32/TrRoad_act!N39*100)</f>
        <v>1.2797570813272028</v>
      </c>
      <c r="O69" s="96">
        <f>IF(O32=0,0,O32/TrRoad_act!O39*100)</f>
        <v>1.3178508922896892</v>
      </c>
      <c r="P69" s="96">
        <f>IF(P32=0,0,P32/TrRoad_act!P39*100)</f>
        <v>1.3068457220002074</v>
      </c>
      <c r="Q69" s="96">
        <f>IF(Q32=0,0,Q32/TrRoad_act!Q39*100)</f>
        <v>1.459092625592658</v>
      </c>
      <c r="R69" s="96">
        <f>IF(R32=0,0,R32/TrRoad_act!R39*100)</f>
        <v>1.441939898655284</v>
      </c>
      <c r="S69" s="96">
        <f>IF(S32=0,0,S32/TrRoad_act!S39*100)</f>
        <v>1.4317865666243805</v>
      </c>
      <c r="T69" s="96">
        <f>IF(T32=0,0,T32/TrRoad_act!T39*100)</f>
        <v>1.4218156824105896</v>
      </c>
      <c r="U69" s="96">
        <f>IF(U32=0,0,U32/TrRoad_act!U39*100)</f>
        <v>1.4677192399662653</v>
      </c>
      <c r="V69" s="96">
        <f>IF(V32=0,0,V32/TrRoad_act!V39*100)</f>
        <v>1.523083579438927</v>
      </c>
      <c r="W69" s="96">
        <f>IF(W32=0,0,W32/TrRoad_act!W39*100)</f>
        <v>1.5773723343008881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54.643239904334116</v>
      </c>
      <c r="C70" s="130">
        <f>IF(C33=0,0,C33/TrRoad_act!C40*100)</f>
        <v>53.459466702180528</v>
      </c>
      <c r="D70" s="130">
        <f>IF(D33=0,0,D33/TrRoad_act!D40*100)</f>
        <v>52.911499648182257</v>
      </c>
      <c r="E70" s="130">
        <f>IF(E33=0,0,E33/TrRoad_act!E40*100)</f>
        <v>54.068794706143478</v>
      </c>
      <c r="F70" s="130">
        <f>IF(F33=0,0,F33/TrRoad_act!F40*100)</f>
        <v>53.958357437994586</v>
      </c>
      <c r="G70" s="130">
        <f>IF(G33=0,0,G33/TrRoad_act!G40*100)</f>
        <v>53.465062130328043</v>
      </c>
      <c r="H70" s="130">
        <f>IF(H33=0,0,H33/TrRoad_act!H40*100)</f>
        <v>52.80420825476709</v>
      </c>
      <c r="I70" s="130">
        <f>IF(I33=0,0,I33/TrRoad_act!I40*100)</f>
        <v>52.548506595282355</v>
      </c>
      <c r="J70" s="130">
        <f>IF(J33=0,0,J33/TrRoad_act!J40*100)</f>
        <v>52.557752023702939</v>
      </c>
      <c r="K70" s="130">
        <f>IF(K33=0,0,K33/TrRoad_act!K40*100)</f>
        <v>52.63198985877969</v>
      </c>
      <c r="L70" s="130">
        <f>IF(L33=0,0,L33/TrRoad_act!L40*100)</f>
        <v>52.709127995267288</v>
      </c>
      <c r="M70" s="130">
        <f>IF(M33=0,0,M33/TrRoad_act!M40*100)</f>
        <v>52.738639638933613</v>
      </c>
      <c r="N70" s="130">
        <f>IF(N33=0,0,N33/TrRoad_act!N40*100)</f>
        <v>52.663363437419228</v>
      </c>
      <c r="O70" s="130">
        <f>IF(O33=0,0,O33/TrRoad_act!O40*100)</f>
        <v>52.439441061713545</v>
      </c>
      <c r="P70" s="130">
        <f>IF(P33=0,0,P33/TrRoad_act!P40*100)</f>
        <v>52.767825981279159</v>
      </c>
      <c r="Q70" s="130">
        <f>IF(Q33=0,0,Q33/TrRoad_act!Q40*100)</f>
        <v>53.14354142016596</v>
      </c>
      <c r="R70" s="130">
        <f>IF(R33=0,0,R33/TrRoad_act!R40*100)</f>
        <v>53.488798650241954</v>
      </c>
      <c r="S70" s="130">
        <f>IF(S33=0,0,S33/TrRoad_act!S40*100)</f>
        <v>53.96860558850792</v>
      </c>
      <c r="T70" s="130">
        <f>IF(T33=0,0,T33/TrRoad_act!T40*100)</f>
        <v>54.412904031079435</v>
      </c>
      <c r="U70" s="130">
        <f>IF(U33=0,0,U33/TrRoad_act!U40*100)</f>
        <v>54.720515457958228</v>
      </c>
      <c r="V70" s="130">
        <f>IF(V33=0,0,V33/TrRoad_act!V40*100)</f>
        <v>54.647064025103894</v>
      </c>
      <c r="W70" s="130">
        <f>IF(W33=0,0,W33/TrRoad_act!W40*100)</f>
        <v>54.680449148824941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20.440692882953904</v>
      </c>
      <c r="C71" s="97">
        <f>IF(C34=0,0,C34/TrRoad_act!C41*100)</f>
        <v>20.440692882953904</v>
      </c>
      <c r="D71" s="97">
        <f>IF(D34=0,0,D34/TrRoad_act!D41*100)</f>
        <v>20.440692882953908</v>
      </c>
      <c r="E71" s="97">
        <f>IF(E34=0,0,E34/TrRoad_act!E41*100)</f>
        <v>20.440692882953901</v>
      </c>
      <c r="F71" s="97">
        <f>IF(F34=0,0,F34/TrRoad_act!F41*100)</f>
        <v>20.440692882953908</v>
      </c>
      <c r="G71" s="97">
        <f>IF(G34=0,0,G34/TrRoad_act!G41*100)</f>
        <v>20.314002111815714</v>
      </c>
      <c r="H71" s="97">
        <f>IF(H34=0,0,H34/TrRoad_act!H41*100)</f>
        <v>19.81747882446372</v>
      </c>
      <c r="I71" s="97">
        <f>IF(I34=0,0,I34/TrRoad_act!I41*100)</f>
        <v>19.304298163863347</v>
      </c>
      <c r="J71" s="97">
        <f>IF(J34=0,0,J34/TrRoad_act!J41*100)</f>
        <v>18.798430434498272</v>
      </c>
      <c r="K71" s="97">
        <f>IF(K34=0,0,K34/TrRoad_act!K41*100)</f>
        <v>18.285312632199009</v>
      </c>
      <c r="L71" s="97">
        <f>IF(L34=0,0,L34/TrRoad_act!L41*100)</f>
        <v>17.847788811507783</v>
      </c>
      <c r="M71" s="97">
        <f>IF(M34=0,0,M34/TrRoad_act!M41*100)</f>
        <v>17.506713853088069</v>
      </c>
      <c r="N71" s="97">
        <f>IF(N34=0,0,N34/TrRoad_act!N41*100)</f>
        <v>17.1759307507917</v>
      </c>
      <c r="O71" s="97">
        <f>IF(O34=0,0,O34/TrRoad_act!O41*100)</f>
        <v>16.955341826296209</v>
      </c>
      <c r="P71" s="97">
        <f>IF(P34=0,0,P34/TrRoad_act!P41*100)</f>
        <v>16.858136573248267</v>
      </c>
      <c r="Q71" s="97">
        <f>IF(Q34=0,0,Q34/TrRoad_act!Q41*100)</f>
        <v>16.585514375414242</v>
      </c>
      <c r="R71" s="97">
        <f>IF(R34=0,0,R34/TrRoad_act!R41*100)</f>
        <v>16.55315795384081</v>
      </c>
      <c r="S71" s="97">
        <f>IF(S34=0,0,S34/TrRoad_act!S41*100)</f>
        <v>16.386753888532667</v>
      </c>
      <c r="T71" s="97">
        <f>IF(T34=0,0,T34/TrRoad_act!T41*100)</f>
        <v>16.36936806259882</v>
      </c>
      <c r="U71" s="97">
        <f>IF(U34=0,0,U34/TrRoad_act!U41*100)</f>
        <v>16.349484382900588</v>
      </c>
      <c r="V71" s="97">
        <f>IF(V34=0,0,V34/TrRoad_act!V41*100)</f>
        <v>16.310926629064763</v>
      </c>
      <c r="W71" s="97">
        <f>IF(W34=0,0,W34/TrRoad_act!W41*100)</f>
        <v>16.297959273548628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59.013036218082306</v>
      </c>
      <c r="C72" s="97">
        <f>IF(C36=0,0,C36/TrRoad_act!C42*100)</f>
        <v>57.778951002524479</v>
      </c>
      <c r="D72" s="97">
        <f>IF(D36=0,0,D36/TrRoad_act!D42*100)</f>
        <v>57.205088104943968</v>
      </c>
      <c r="E72" s="97">
        <f>IF(E36=0,0,E36/TrRoad_act!E42*100)</f>
        <v>56.792996342126841</v>
      </c>
      <c r="F72" s="97">
        <f>IF(F36=0,0,F36/TrRoad_act!F42*100)</f>
        <v>56.195720784484593</v>
      </c>
      <c r="G72" s="97">
        <f>IF(G36=0,0,G36/TrRoad_act!G42*100)</f>
        <v>55.510755315509655</v>
      </c>
      <c r="H72" s="97">
        <f>IF(H36=0,0,H36/TrRoad_act!H42*100)</f>
        <v>54.819152565184623</v>
      </c>
      <c r="I72" s="97">
        <f>IF(I36=0,0,I36/TrRoad_act!I42*100)</f>
        <v>54.544915147852116</v>
      </c>
      <c r="J72" s="97">
        <f>IF(J36=0,0,J36/TrRoad_act!J42*100)</f>
        <v>54.580105657876231</v>
      </c>
      <c r="K72" s="97">
        <f>IF(K36=0,0,K36/TrRoad_act!K42*100)</f>
        <v>54.578026614363125</v>
      </c>
      <c r="L72" s="97">
        <f>IF(L36=0,0,L36/TrRoad_act!L42*100)</f>
        <v>54.579674299767703</v>
      </c>
      <c r="M72" s="97">
        <f>IF(M36=0,0,M36/TrRoad_act!M42*100)</f>
        <v>54.619694204966592</v>
      </c>
      <c r="N72" s="97">
        <f>IF(N36=0,0,N36/TrRoad_act!N42*100)</f>
        <v>54.624378428121055</v>
      </c>
      <c r="O72" s="97">
        <f>IF(O36=0,0,O36/TrRoad_act!O42*100)</f>
        <v>54.61816799720507</v>
      </c>
      <c r="P72" s="97">
        <f>IF(P36=0,0,P36/TrRoad_act!P42*100)</f>
        <v>54.677780323123514</v>
      </c>
      <c r="Q72" s="97">
        <f>IF(Q36=0,0,Q36/TrRoad_act!Q42*100)</f>
        <v>54.795455508392799</v>
      </c>
      <c r="R72" s="97">
        <f>IF(R36=0,0,R36/TrRoad_act!R42*100)</f>
        <v>54.998281802519458</v>
      </c>
      <c r="S72" s="97">
        <f>IF(S36=0,0,S36/TrRoad_act!S42*100)</f>
        <v>55.274374012118265</v>
      </c>
      <c r="T72" s="97">
        <f>IF(T36=0,0,T36/TrRoad_act!T42*100)</f>
        <v>55.467110472865436</v>
      </c>
      <c r="U72" s="97">
        <f>IF(U36=0,0,U36/TrRoad_act!U42*100)</f>
        <v>55.672445706962534</v>
      </c>
      <c r="V72" s="97">
        <f>IF(V36=0,0,V36/TrRoad_act!V42*100)</f>
        <v>55.820813511813917</v>
      </c>
      <c r="W72" s="97">
        <f>IF(W36=0,0,W36/TrRoad_act!W42*100)</f>
        <v>56.016888529455912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65.00343154685568</v>
      </c>
      <c r="R74" s="97">
        <f>IF(R39=0,0,R39/TrRoad_act!R44*100)</f>
        <v>55.752852804855159</v>
      </c>
      <c r="S74" s="97">
        <f>IF(S39=0,0,S39/TrRoad_act!S44*100)</f>
        <v>59.20925399475928</v>
      </c>
      <c r="T74" s="97">
        <f>IF(T39=0,0,T39/TrRoad_act!T44*100)</f>
        <v>67.935280640151575</v>
      </c>
      <c r="U74" s="97">
        <f>IF(U39=0,0,U39/TrRoad_act!U44*100)</f>
        <v>76.697152304914326</v>
      </c>
      <c r="V74" s="97">
        <f>IF(V39=0,0,V39/TrRoad_act!V44*100)</f>
        <v>58.914001857260466</v>
      </c>
      <c r="W74" s="97">
        <f>IF(W39=0,0,W39/TrRoad_act!W44*100)</f>
        <v>65.207086930744879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0</v>
      </c>
      <c r="Q75" s="97">
        <f>IF(Q41=0,0,Q41/TrRoad_act!Q45*100)</f>
        <v>0</v>
      </c>
      <c r="R75" s="97">
        <f>IF(R41=0,0,R41/TrRoad_act!R45*100)</f>
        <v>33.564619848917211</v>
      </c>
      <c r="S75" s="97">
        <f>IF(S41=0,0,S41/TrRoad_act!S45*100)</f>
        <v>33.746397347218448</v>
      </c>
      <c r="T75" s="97">
        <f>IF(T41=0,0,T41/TrRoad_act!T45*100)</f>
        <v>33.982817994756232</v>
      </c>
      <c r="U75" s="97">
        <f>IF(U41=0,0,U41/TrRoad_act!U45*100)</f>
        <v>35.260044207341835</v>
      </c>
      <c r="V75" s="97">
        <f>IF(V41=0,0,V41/TrRoad_act!V45*100)</f>
        <v>35.275291721207182</v>
      </c>
      <c r="W75" s="97">
        <f>IF(W41=0,0,W41/TrRoad_act!W45*100)</f>
        <v>35.893688813095395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18.369689091065521</v>
      </c>
      <c r="C76" s="32">
        <f>IF(C42=0,0,C42/TrRoad_act!C46*100)</f>
        <v>17.880630253527983</v>
      </c>
      <c r="D76" s="32">
        <f>IF(D42=0,0,D42/TrRoad_act!D46*100)</f>
        <v>17.455884389699001</v>
      </c>
      <c r="E76" s="32">
        <f>IF(E42=0,0,E42/TrRoad_act!E46*100)</f>
        <v>17.781819340630818</v>
      </c>
      <c r="F76" s="32">
        <f>IF(F42=0,0,F42/TrRoad_act!F46*100)</f>
        <v>17.679004180934488</v>
      </c>
      <c r="G76" s="32">
        <f>IF(G42=0,0,G42/TrRoad_act!G46*100)</f>
        <v>16.968829817377308</v>
      </c>
      <c r="H76" s="32">
        <f>IF(H42=0,0,H42/TrRoad_act!H46*100)</f>
        <v>16.356885741262918</v>
      </c>
      <c r="I76" s="32">
        <f>IF(I42=0,0,I42/TrRoad_act!I46*100)</f>
        <v>15.779874814229359</v>
      </c>
      <c r="J76" s="32">
        <f>IF(J42=0,0,J42/TrRoad_act!J46*100)</f>
        <v>14.941263716232079</v>
      </c>
      <c r="K76" s="32">
        <f>IF(K42=0,0,K42/TrRoad_act!K46*100)</f>
        <v>14.258544197410524</v>
      </c>
      <c r="L76" s="32">
        <f>IF(L42=0,0,L42/TrRoad_act!L46*100)</f>
        <v>14.44807950849115</v>
      </c>
      <c r="M76" s="32">
        <f>IF(M42=0,0,M42/TrRoad_act!M46*100)</f>
        <v>15.006807943964109</v>
      </c>
      <c r="N76" s="32">
        <f>IF(N42=0,0,N42/TrRoad_act!N46*100)</f>
        <v>14.758671666772063</v>
      </c>
      <c r="O76" s="32">
        <f>IF(O42=0,0,O42/TrRoad_act!O46*100)</f>
        <v>14.827891737586519</v>
      </c>
      <c r="P76" s="32">
        <f>IF(P42=0,0,P42/TrRoad_act!P46*100)</f>
        <v>15.599296050854344</v>
      </c>
      <c r="Q76" s="32">
        <f>IF(Q42=0,0,Q42/TrRoad_act!Q46*100)</f>
        <v>14.831154106894692</v>
      </c>
      <c r="R76" s="32">
        <f>IF(R42=0,0,R42/TrRoad_act!R46*100)</f>
        <v>15.684234472236087</v>
      </c>
      <c r="S76" s="32">
        <f>IF(S42=0,0,S42/TrRoad_act!S46*100)</f>
        <v>15.61820014940653</v>
      </c>
      <c r="T76" s="32">
        <f>IF(T42=0,0,T42/TrRoad_act!T46*100)</f>
        <v>15.771001601354797</v>
      </c>
      <c r="U76" s="32">
        <f>IF(U42=0,0,U42/TrRoad_act!U46*100)</f>
        <v>15.439036385433043</v>
      </c>
      <c r="V76" s="32">
        <f>IF(V42=0,0,V42/TrRoad_act!V46*100)</f>
        <v>15.501221684981296</v>
      </c>
      <c r="W76" s="32">
        <f>IF(W42=0,0,W42/TrRoad_act!W46*100)</f>
        <v>15.640700447594433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11.365147323011136</v>
      </c>
      <c r="C77" s="141">
        <f>IF(C43=0,0,C43/TrRoad_act!C47*100)</f>
        <v>10.818612755632694</v>
      </c>
      <c r="D77" s="141">
        <f>IF(D43=0,0,D43/TrRoad_act!D47*100)</f>
        <v>10.307232924890769</v>
      </c>
      <c r="E77" s="141">
        <f>IF(E43=0,0,E43/TrRoad_act!E47*100)</f>
        <v>9.8664362574490454</v>
      </c>
      <c r="F77" s="141">
        <f>IF(F43=0,0,F43/TrRoad_act!F47*100)</f>
        <v>9.4697833751991851</v>
      </c>
      <c r="G77" s="141">
        <f>IF(G43=0,0,G43/TrRoad_act!G47*100)</f>
        <v>9.1576674564413363</v>
      </c>
      <c r="H77" s="141">
        <f>IF(H43=0,0,H43/TrRoad_act!H47*100)</f>
        <v>8.9471252147460607</v>
      </c>
      <c r="I77" s="141">
        <f>IF(I43=0,0,I43/TrRoad_act!I47*100)</f>
        <v>8.7656490337569899</v>
      </c>
      <c r="J77" s="141">
        <f>IF(J43=0,0,J43/TrRoad_act!J47*100)</f>
        <v>8.583396960151795</v>
      </c>
      <c r="K77" s="141">
        <f>IF(K43=0,0,K43/TrRoad_act!K47*100)</f>
        <v>8.4158938873708458</v>
      </c>
      <c r="L77" s="141">
        <f>IF(L43=0,0,L43/TrRoad_act!L47*100)</f>
        <v>8.3122561337416467</v>
      </c>
      <c r="M77" s="141">
        <f>IF(M43=0,0,M43/TrRoad_act!M47*100)</f>
        <v>8.4025815152166707</v>
      </c>
      <c r="N77" s="141">
        <f>IF(N43=0,0,N43/TrRoad_act!N47*100)</f>
        <v>8.4729466476572988</v>
      </c>
      <c r="O77" s="141">
        <f>IF(O43=0,0,O43/TrRoad_act!O47*100)</f>
        <v>8.4716167585799056</v>
      </c>
      <c r="P77" s="141">
        <f>IF(P43=0,0,P43/TrRoad_act!P47*100)</f>
        <v>8.4065522785960685</v>
      </c>
      <c r="Q77" s="141">
        <f>IF(Q43=0,0,Q43/TrRoad_act!Q47*100)</f>
        <v>8.2906121132224406</v>
      </c>
      <c r="R77" s="141">
        <f>IF(R43=0,0,R43/TrRoad_act!R47*100)</f>
        <v>8.1876614795261844</v>
      </c>
      <c r="S77" s="141">
        <f>IF(S43=0,0,S43/TrRoad_act!S47*100)</f>
        <v>8.0684746792206248</v>
      </c>
      <c r="T77" s="141">
        <f>IF(T43=0,0,T43/TrRoad_act!T47*100)</f>
        <v>7.8978614846020232</v>
      </c>
      <c r="U77" s="141">
        <f>IF(U43=0,0,U43/TrRoad_act!U47*100)</f>
        <v>7.7112148994354657</v>
      </c>
      <c r="V77" s="141">
        <f>IF(V43=0,0,V43/TrRoad_act!V47*100)</f>
        <v>7.699153118325107</v>
      </c>
      <c r="W77" s="141">
        <f>IF(W43=0,0,W43/TrRoad_act!W47*100)</f>
        <v>7.7055957885747111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13.170587574197285</v>
      </c>
      <c r="C78" s="96">
        <f>IF(C44=0,0,C44/TrRoad_act!C48*100)</f>
        <v>12.810694998094771</v>
      </c>
      <c r="D78" s="96">
        <f>IF(D44=0,0,D44/TrRoad_act!D48*100)</f>
        <v>12.486657484154424</v>
      </c>
      <c r="E78" s="96">
        <f>IF(E44=0,0,E44/TrRoad_act!E48*100)</f>
        <v>12.213376392110938</v>
      </c>
      <c r="F78" s="96">
        <f>IF(F44=0,0,F44/TrRoad_act!F48*100)</f>
        <v>11.973198146609295</v>
      </c>
      <c r="G78" s="96">
        <f>IF(G44=0,0,G44/TrRoad_act!G48*100)</f>
        <v>11.769906300116711</v>
      </c>
      <c r="H78" s="96">
        <f>IF(H44=0,0,H44/TrRoad_act!H48*100)</f>
        <v>11.625362027596688</v>
      </c>
      <c r="I78" s="96">
        <f>IF(I44=0,0,I44/TrRoad_act!I48*100)</f>
        <v>11.510672099999777</v>
      </c>
      <c r="J78" s="96">
        <f>IF(J44=0,0,J44/TrRoad_act!J48*100)</f>
        <v>11.33174068866674</v>
      </c>
      <c r="K78" s="96">
        <f>IF(K44=0,0,K44/TrRoad_act!K48*100)</f>
        <v>11.095789189578744</v>
      </c>
      <c r="L78" s="96">
        <f>IF(L44=0,0,L44/TrRoad_act!L48*100)</f>
        <v>10.934114690306036</v>
      </c>
      <c r="M78" s="96">
        <f>IF(M44=0,0,M44/TrRoad_act!M48*100)</f>
        <v>10.910333831130101</v>
      </c>
      <c r="N78" s="96">
        <f>IF(N44=0,0,N44/TrRoad_act!N48*100)</f>
        <v>10.865073028139161</v>
      </c>
      <c r="O78" s="96">
        <f>IF(O44=0,0,O44/TrRoad_act!O48*100)</f>
        <v>10.690689777158816</v>
      </c>
      <c r="P78" s="96">
        <f>IF(P44=0,0,P44/TrRoad_act!P48*100)</f>
        <v>10.437924870021018</v>
      </c>
      <c r="Q78" s="96">
        <f>IF(Q44=0,0,Q44/TrRoad_act!Q48*100)</f>
        <v>10.001129735415626</v>
      </c>
      <c r="R78" s="96">
        <f>IF(R44=0,0,R44/TrRoad_act!R48*100)</f>
        <v>9.5500810322197101</v>
      </c>
      <c r="S78" s="96">
        <f>IF(S44=0,0,S44/TrRoad_act!S48*100)</f>
        <v>9.1198675540636369</v>
      </c>
      <c r="T78" s="96">
        <f>IF(T44=0,0,T44/TrRoad_act!T48*100)</f>
        <v>8.6894172421367752</v>
      </c>
      <c r="U78" s="96">
        <f>IF(U44=0,0,U44/TrRoad_act!U48*100)</f>
        <v>8.1914192064394307</v>
      </c>
      <c r="V78" s="96">
        <f>IF(V44=0,0,V44/TrRoad_act!V48*100)</f>
        <v>7.7627323279173126</v>
      </c>
      <c r="W78" s="96">
        <f>IF(W44=0,0,W44/TrRoad_act!W48*100)</f>
        <v>7.5387017435424086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10.982968894431727</v>
      </c>
      <c r="C79" s="96">
        <f>IF(C46=0,0,C46/TrRoad_act!C49*100)</f>
        <v>10.379686696917473</v>
      </c>
      <c r="D79" s="96">
        <f>IF(D46=0,0,D46/TrRoad_act!D49*100)</f>
        <v>9.8521944991104267</v>
      </c>
      <c r="E79" s="96">
        <f>IF(E46=0,0,E46/TrRoad_act!E49*100)</f>
        <v>9.4332354664080835</v>
      </c>
      <c r="F79" s="96">
        <f>IF(F46=0,0,F46/TrRoad_act!F49*100)</f>
        <v>9.0554396783317692</v>
      </c>
      <c r="G79" s="96">
        <f>IF(G46=0,0,G46/TrRoad_act!G49*100)</f>
        <v>8.766633382559947</v>
      </c>
      <c r="H79" s="96">
        <f>IF(H46=0,0,H46/TrRoad_act!H49*100)</f>
        <v>8.5941185862136269</v>
      </c>
      <c r="I79" s="96">
        <f>IF(I46=0,0,I46/TrRoad_act!I49*100)</f>
        <v>8.454007840587888</v>
      </c>
      <c r="J79" s="96">
        <f>IF(J46=0,0,J46/TrRoad_act!J49*100)</f>
        <v>8.3068365882652664</v>
      </c>
      <c r="K79" s="96">
        <f>IF(K46=0,0,K46/TrRoad_act!K49*100)</f>
        <v>8.1603923208156743</v>
      </c>
      <c r="L79" s="96">
        <f>IF(L46=0,0,L46/TrRoad_act!L49*100)</f>
        <v>8.0852905130467416</v>
      </c>
      <c r="M79" s="96">
        <f>IF(M46=0,0,M46/TrRoad_act!M49*100)</f>
        <v>8.1980576066252731</v>
      </c>
      <c r="N79" s="96">
        <f>IF(N46=0,0,N46/TrRoad_act!N49*100)</f>
        <v>8.2953722846855484</v>
      </c>
      <c r="O79" s="96">
        <f>IF(O46=0,0,O46/TrRoad_act!O49*100)</f>
        <v>8.3115163440570896</v>
      </c>
      <c r="P79" s="96">
        <f>IF(P46=0,0,P46/TrRoad_act!P49*100)</f>
        <v>8.2637767147450987</v>
      </c>
      <c r="Q79" s="96">
        <f>IF(Q46=0,0,Q46/TrRoad_act!Q49*100)</f>
        <v>8.1818539344177541</v>
      </c>
      <c r="R79" s="96">
        <f>IF(R46=0,0,R46/TrRoad_act!R49*100)</f>
        <v>8.1047486475335884</v>
      </c>
      <c r="S79" s="96">
        <f>IF(S46=0,0,S46/TrRoad_act!S49*100)</f>
        <v>8.0098336379992645</v>
      </c>
      <c r="T79" s="96">
        <f>IF(T46=0,0,T46/TrRoad_act!T49*100)</f>
        <v>7.8593647653245782</v>
      </c>
      <c r="U79" s="96">
        <f>IF(U46=0,0,U46/TrRoad_act!U49*100)</f>
        <v>7.6927781368599364</v>
      </c>
      <c r="V79" s="96">
        <f>IF(V46=0,0,V46/TrRoad_act!V49*100)</f>
        <v>7.7093395394426114</v>
      </c>
      <c r="W79" s="96">
        <f>IF(W46=0,0,W46/TrRoad_act!W49*100)</f>
        <v>7.7455819544890296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19.109472157469998</v>
      </c>
      <c r="C80" s="96">
        <f>IF(C48=0,0,C48/TrRoad_act!C50*100)</f>
        <v>17.554938397441205</v>
      </c>
      <c r="D80" s="96">
        <f>IF(D48=0,0,D48/TrRoad_act!D50*100)</f>
        <v>16.267215434060613</v>
      </c>
      <c r="E80" s="96">
        <f>IF(E48=0,0,E48/TrRoad_act!E50*100)</f>
        <v>16.023189097505202</v>
      </c>
      <c r="F80" s="96">
        <f>IF(F48=0,0,F48/TrRoad_act!F50*100)</f>
        <v>15.789603285989873</v>
      </c>
      <c r="G80" s="96">
        <f>IF(G48=0,0,G48/TrRoad_act!G50*100)</f>
        <v>15.567586171612668</v>
      </c>
      <c r="H80" s="96">
        <f>IF(H48=0,0,H48/TrRoad_act!H50*100)</f>
        <v>15.317411791255712</v>
      </c>
      <c r="I80" s="96">
        <f>IF(I48=0,0,I48/TrRoad_act!I50*100)</f>
        <v>14.97805132889232</v>
      </c>
      <c r="J80" s="96">
        <f>IF(J48=0,0,J48/TrRoad_act!J50*100)</f>
        <v>14.581711969283232</v>
      </c>
      <c r="K80" s="96">
        <f>IF(K48=0,0,K48/TrRoad_act!K50*100)</f>
        <v>13.855800258354837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9.2840513215057641</v>
      </c>
      <c r="R81" s="96">
        <f>IF(R49=0,0,R49/TrRoad_act!R51*100)</f>
        <v>9.2068003436430157</v>
      </c>
      <c r="S81" s="96">
        <f>IF(S49=0,0,S49/TrRoad_act!S51*100)</f>
        <v>9.0581752907252362</v>
      </c>
      <c r="T81" s="96">
        <f>IF(T49=0,0,T49/TrRoad_act!T51*100)</f>
        <v>9.0251273259648315</v>
      </c>
      <c r="U81" s="96">
        <f>IF(U49=0,0,U49/TrRoad_act!U51*100)</f>
        <v>9.0164084726950762</v>
      </c>
      <c r="V81" s="96">
        <f>IF(V49=0,0,V49/TrRoad_act!V51*100)</f>
        <v>9.0350076122909524</v>
      </c>
      <c r="W81" s="96">
        <f>IF(W49=0,0,W49/TrRoad_act!W51*100)</f>
        <v>9.0274703244841206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1.6472914875411704</v>
      </c>
      <c r="O82" s="96">
        <f>IF(O51=0,0,O51/TrRoad_act!O52*100)</f>
        <v>1.6739466896041684</v>
      </c>
      <c r="P82" s="96">
        <f>IF(P51=0,0,P51/TrRoad_act!P52*100)</f>
        <v>1.8288183769290713</v>
      </c>
      <c r="Q82" s="96">
        <f>IF(Q51=0,0,Q51/TrRoad_act!Q52*100)</f>
        <v>1.8463305612722782</v>
      </c>
      <c r="R82" s="96">
        <f>IF(R51=0,0,R51/TrRoad_act!R52*100)</f>
        <v>1.8530530451468612</v>
      </c>
      <c r="S82" s="96">
        <f>IF(S51=0,0,S51/TrRoad_act!S52*100)</f>
        <v>1.8590273668469499</v>
      </c>
      <c r="T82" s="96">
        <f>IF(T51=0,0,T51/TrRoad_act!T52*100)</f>
        <v>1.9607939744518865</v>
      </c>
      <c r="U82" s="96">
        <f>IF(U51=0,0,U51/TrRoad_act!U52*100)</f>
        <v>2.0412442582417052</v>
      </c>
      <c r="V82" s="96">
        <f>IF(V51=0,0,V51/TrRoad_act!V52*100)</f>
        <v>2.4161139452236986</v>
      </c>
      <c r="W82" s="96">
        <f>IF(W51=0,0,W51/TrRoad_act!W52*100)</f>
        <v>2.7966667306655233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40.701326701546201</v>
      </c>
      <c r="C83" s="130">
        <f>IF(C52=0,0,C52/TrRoad_act!C53*100)</f>
        <v>41.571248072572011</v>
      </c>
      <c r="D83" s="130">
        <f>IF(D52=0,0,D52/TrRoad_act!D53*100)</f>
        <v>42.522029807214096</v>
      </c>
      <c r="E83" s="130">
        <f>IF(E52=0,0,E52/TrRoad_act!E53*100)</f>
        <v>45.567977925895867</v>
      </c>
      <c r="F83" s="130">
        <f>IF(F52=0,0,F52/TrRoad_act!F53*100)</f>
        <v>49.682229556605975</v>
      </c>
      <c r="G83" s="130">
        <f>IF(G52=0,0,G52/TrRoad_act!G53*100)</f>
        <v>49.746669352330912</v>
      </c>
      <c r="H83" s="130">
        <f>IF(H52=0,0,H52/TrRoad_act!H53*100)</f>
        <v>48.83989473622929</v>
      </c>
      <c r="I83" s="130">
        <f>IF(I52=0,0,I52/TrRoad_act!I53*100)</f>
        <v>48.527151291833235</v>
      </c>
      <c r="J83" s="130">
        <f>IF(J52=0,0,J52/TrRoad_act!J53*100)</f>
        <v>43.734680699951582</v>
      </c>
      <c r="K83" s="130">
        <f>IF(K52=0,0,K52/TrRoad_act!K53*100)</f>
        <v>43.210699575080454</v>
      </c>
      <c r="L83" s="130">
        <f>IF(L52=0,0,L52/TrRoad_act!L53*100)</f>
        <v>44.314807604844795</v>
      </c>
      <c r="M83" s="130">
        <f>IF(M52=0,0,M52/TrRoad_act!M53*100)</f>
        <v>43.085319347313664</v>
      </c>
      <c r="N83" s="130">
        <f>IF(N52=0,0,N52/TrRoad_act!N53*100)</f>
        <v>38.918057826233628</v>
      </c>
      <c r="O83" s="130">
        <f>IF(O52=0,0,O52/TrRoad_act!O53*100)</f>
        <v>37.364812391229023</v>
      </c>
      <c r="P83" s="130">
        <f>IF(P52=0,0,P52/TrRoad_act!P53*100)</f>
        <v>40.114534720455154</v>
      </c>
      <c r="Q83" s="130">
        <f>IF(Q52=0,0,Q52/TrRoad_act!Q53*100)</f>
        <v>37.967238803668756</v>
      </c>
      <c r="R83" s="130">
        <f>IF(R52=0,0,R52/TrRoad_act!R53*100)</f>
        <v>41.435007867643698</v>
      </c>
      <c r="S83" s="130">
        <f>IF(S52=0,0,S52/TrRoad_act!S53*100)</f>
        <v>43.112490233333588</v>
      </c>
      <c r="T83" s="130">
        <f>IF(T52=0,0,T52/TrRoad_act!T53*100)</f>
        <v>46.435017453829225</v>
      </c>
      <c r="U83" s="130">
        <f>IF(U52=0,0,U52/TrRoad_act!U53*100)</f>
        <v>44.237935349379711</v>
      </c>
      <c r="V83" s="130">
        <f>IF(V52=0,0,V52/TrRoad_act!V53*100)</f>
        <v>41.557629009582541</v>
      </c>
      <c r="W83" s="130">
        <f>IF(W52=0,0,W52/TrRoad_act!W53*100)</f>
        <v>42.362214342055253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35.685000119063822</v>
      </c>
      <c r="C84" s="97">
        <f>IF(C53=0,0,C53/TrRoad_act!C54*100)</f>
        <v>35.810237525708061</v>
      </c>
      <c r="D84" s="97">
        <f>IF(D53=0,0,D53/TrRoad_act!D54*100)</f>
        <v>35.926714461113058</v>
      </c>
      <c r="E84" s="97">
        <f>IF(E53=0,0,E53/TrRoad_act!E54*100)</f>
        <v>36.472337734085656</v>
      </c>
      <c r="F84" s="97">
        <f>IF(F53=0,0,F53/TrRoad_act!F54*100)</f>
        <v>37.16481948923478</v>
      </c>
      <c r="G84" s="97">
        <f>IF(G53=0,0,G53/TrRoad_act!G54*100)</f>
        <v>37.031047904270729</v>
      </c>
      <c r="H84" s="97">
        <f>IF(H53=0,0,H53/TrRoad_act!H54*100)</f>
        <v>36.808917422385321</v>
      </c>
      <c r="I84" s="97">
        <f>IF(I53=0,0,I53/TrRoad_act!I54*100)</f>
        <v>36.613928449371194</v>
      </c>
      <c r="J84" s="97">
        <f>IF(J53=0,0,J53/TrRoad_act!J54*100)</f>
        <v>35.598147206056169</v>
      </c>
      <c r="K84" s="97">
        <f>IF(K53=0,0,K53/TrRoad_act!K54*100)</f>
        <v>35.438878961105793</v>
      </c>
      <c r="L84" s="97">
        <f>IF(L53=0,0,L53/TrRoad_act!L54*100)</f>
        <v>35.651555313511565</v>
      </c>
      <c r="M84" s="97">
        <f>IF(M53=0,0,M53/TrRoad_act!M54*100)</f>
        <v>35.354481672870101</v>
      </c>
      <c r="N84" s="97">
        <f>IF(N53=0,0,N53/TrRoad_act!N54*100)</f>
        <v>34.45209307533402</v>
      </c>
      <c r="O84" s="97">
        <f>IF(O53=0,0,O53/TrRoad_act!O54*100)</f>
        <v>34.041886562768077</v>
      </c>
      <c r="P84" s="97">
        <f>IF(P53=0,0,P53/TrRoad_act!P54*100)</f>
        <v>34.45212499010001</v>
      </c>
      <c r="Q84" s="97">
        <f>IF(Q53=0,0,Q53/TrRoad_act!Q54*100)</f>
        <v>33.822045378879686</v>
      </c>
      <c r="R84" s="97">
        <f>IF(R53=0,0,R53/TrRoad_act!R54*100)</f>
        <v>34.418055676193241</v>
      </c>
      <c r="S84" s="97">
        <f>IF(S53=0,0,S53/TrRoad_act!S54*100)</f>
        <v>34.34387987280946</v>
      </c>
      <c r="T84" s="97">
        <f>IF(T53=0,0,T53/TrRoad_act!T54*100)</f>
        <v>34.628641312365957</v>
      </c>
      <c r="U84" s="97">
        <f>IF(U53=0,0,U53/TrRoad_act!U54*100)</f>
        <v>33.807119331062232</v>
      </c>
      <c r="V84" s="97">
        <f>IF(V53=0,0,V53/TrRoad_act!V54*100)</f>
        <v>33.039490824612201</v>
      </c>
      <c r="W84" s="97">
        <f>IF(W53=0,0,W53/TrRoad_act!W54*100)</f>
        <v>32.835789173768944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64.846071415136691</v>
      </c>
      <c r="C85" s="98">
        <f>IF(C55=0,0,C55/TrRoad_act!C55*100)</f>
        <v>68.139594577733448</v>
      </c>
      <c r="D85" s="98">
        <f>IF(D55=0,0,D55/TrRoad_act!D55*100)</f>
        <v>71.030416244069187</v>
      </c>
      <c r="E85" s="98">
        <f>IF(E55=0,0,E55/TrRoad_act!E55*100)</f>
        <v>86.699459932295028</v>
      </c>
      <c r="F85" s="98">
        <f>IF(F55=0,0,F55/TrRoad_act!F55*100)</f>
        <v>95.342839131586871</v>
      </c>
      <c r="G85" s="98">
        <f>IF(G55=0,0,G55/TrRoad_act!G55*100)</f>
        <v>94.090088954731712</v>
      </c>
      <c r="H85" s="98">
        <f>IF(H55=0,0,H55/TrRoad_act!H55*100)</f>
        <v>89.784679895038835</v>
      </c>
      <c r="I85" s="98">
        <f>IF(I55=0,0,I55/TrRoad_act!I55*100)</f>
        <v>87.761392030811606</v>
      </c>
      <c r="J85" s="98">
        <f>IF(J55=0,0,J55/TrRoad_act!J55*100)</f>
        <v>64.09619110889281</v>
      </c>
      <c r="K85" s="98">
        <f>IF(K55=0,0,K55/TrRoad_act!K55*100)</f>
        <v>62.891688187840089</v>
      </c>
      <c r="L85" s="98">
        <f>IF(L55=0,0,L55/TrRoad_act!L55*100)</f>
        <v>68.179056258188496</v>
      </c>
      <c r="M85" s="98">
        <f>IF(M55=0,0,M55/TrRoad_act!M55*100)</f>
        <v>66.203785659970464</v>
      </c>
      <c r="N85" s="98">
        <f>IF(N55=0,0,N55/TrRoad_act!N55*100)</f>
        <v>52.764272884856879</v>
      </c>
      <c r="O85" s="98">
        <f>IF(O55=0,0,O55/TrRoad_act!O55*100)</f>
        <v>46.401626589632471</v>
      </c>
      <c r="P85" s="98">
        <f>IF(P55=0,0,P55/TrRoad_act!P55*100)</f>
        <v>57.138302295951448</v>
      </c>
      <c r="Q85" s="98">
        <f>IF(Q55=0,0,Q55/TrRoad_act!Q55*100)</f>
        <v>49.865958023409682</v>
      </c>
      <c r="R85" s="98">
        <f>IF(R55=0,0,R55/TrRoad_act!R55*100)</f>
        <v>58.873757765957947</v>
      </c>
      <c r="S85" s="98">
        <f>IF(S55=0,0,S55/TrRoad_act!S55*100)</f>
        <v>63.473236118001587</v>
      </c>
      <c r="T85" s="98">
        <f>IF(T55=0,0,T55/TrRoad_act!T55*100)</f>
        <v>75.488166585692369</v>
      </c>
      <c r="U85" s="98">
        <f>IF(U55=0,0,U55/TrRoad_act!U55*100)</f>
        <v>69.983715685035548</v>
      </c>
      <c r="V85" s="98">
        <f>IF(V55=0,0,V55/TrRoad_act!V55*100)</f>
        <v>61.206862379942464</v>
      </c>
      <c r="W85" s="98">
        <f>IF(W55=0,0,W55/TrRoad_act!W55*100)</f>
        <v>64.672091492310244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40.82081835223655</v>
      </c>
      <c r="C88" s="29">
        <f>IF(TrRoad_act!C4=0,0,C18/TrRoad_act!C4*1000)</f>
        <v>41.008747552316244</v>
      </c>
      <c r="D88" s="29">
        <f>IF(TrRoad_act!D4=0,0,D18/TrRoad_act!D4*1000)</f>
        <v>41.591600741948845</v>
      </c>
      <c r="E88" s="29">
        <f>IF(TrRoad_act!E4=0,0,E18/TrRoad_act!E4*1000)</f>
        <v>42.207685934555137</v>
      </c>
      <c r="F88" s="29">
        <f>IF(TrRoad_act!F4=0,0,F18/TrRoad_act!F4*1000)</f>
        <v>41.796065352156056</v>
      </c>
      <c r="G88" s="29">
        <f>IF(TrRoad_act!G4=0,0,G18/TrRoad_act!G4*1000)</f>
        <v>42.548928287605278</v>
      </c>
      <c r="H88" s="29">
        <f>IF(TrRoad_act!H4=0,0,H18/TrRoad_act!H4*1000)</f>
        <v>43.169257456416837</v>
      </c>
      <c r="I88" s="29">
        <f>IF(TrRoad_act!I4=0,0,I18/TrRoad_act!I4*1000)</f>
        <v>44.382693142665772</v>
      </c>
      <c r="J88" s="29">
        <f>IF(TrRoad_act!J4=0,0,J18/TrRoad_act!J4*1000)</f>
        <v>43.664344567208786</v>
      </c>
      <c r="K88" s="29">
        <f>IF(TrRoad_act!K4=0,0,K18/TrRoad_act!K4*1000)</f>
        <v>42.892877384864107</v>
      </c>
      <c r="L88" s="29">
        <f>IF(TrRoad_act!L4=0,0,L18/TrRoad_act!L4*1000)</f>
        <v>42.874777303566049</v>
      </c>
      <c r="M88" s="29">
        <f>IF(TrRoad_act!M4=0,0,M18/TrRoad_act!M4*1000)</f>
        <v>43.149461110926111</v>
      </c>
      <c r="N88" s="29">
        <f>IF(TrRoad_act!N4=0,0,N18/TrRoad_act!N4*1000)</f>
        <v>41.097711288604863</v>
      </c>
      <c r="O88" s="29">
        <f>IF(TrRoad_act!O4=0,0,O18/TrRoad_act!O4*1000)</f>
        <v>40.605670225531455</v>
      </c>
      <c r="P88" s="29">
        <f>IF(TrRoad_act!P4=0,0,P18/TrRoad_act!P4*1000)</f>
        <v>40.217867713231321</v>
      </c>
      <c r="Q88" s="29">
        <f>IF(TrRoad_act!Q4=0,0,Q18/TrRoad_act!Q4*1000)</f>
        <v>41.524865608128259</v>
      </c>
      <c r="R88" s="29">
        <f>IF(TrRoad_act!R4=0,0,R18/TrRoad_act!R4*1000)</f>
        <v>39.696979041776423</v>
      </c>
      <c r="S88" s="29">
        <f>IF(TrRoad_act!S4=0,0,S18/TrRoad_act!S4*1000)</f>
        <v>38.751568043348414</v>
      </c>
      <c r="T88" s="29">
        <f>IF(TrRoad_act!T4=0,0,T18/TrRoad_act!T4*1000)</f>
        <v>38.964256681518378</v>
      </c>
      <c r="U88" s="29">
        <f>IF(TrRoad_act!U4=0,0,U18/TrRoad_act!U4*1000)</f>
        <v>38.032189828130967</v>
      </c>
      <c r="V88" s="29">
        <f>IF(TrRoad_act!V4=0,0,V18/TrRoad_act!V4*1000)</f>
        <v>38.570487798122244</v>
      </c>
      <c r="W88" s="29">
        <f>IF(TrRoad_act!W4=0,0,W18/TrRoad_act!W4*1000)</f>
        <v>38.592262826378125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38.354519222813934</v>
      </c>
      <c r="C89" s="152">
        <f>IF(TrRoad_act!C5=0,0,C19/TrRoad_act!C5*1000)</f>
        <v>38.068913749628017</v>
      </c>
      <c r="D89" s="152">
        <f>IF(TrRoad_act!D5=0,0,D19/TrRoad_act!D5*1000)</f>
        <v>37.856243681496359</v>
      </c>
      <c r="E89" s="152">
        <f>IF(TrRoad_act!E5=0,0,E19/TrRoad_act!E5*1000)</f>
        <v>37.725275183426866</v>
      </c>
      <c r="F89" s="152">
        <f>IF(TrRoad_act!F5=0,0,F19/TrRoad_act!F5*1000)</f>
        <v>37.378615050449795</v>
      </c>
      <c r="G89" s="152">
        <f>IF(TrRoad_act!G5=0,0,G19/TrRoad_act!G5*1000)</f>
        <v>36.799902537972478</v>
      </c>
      <c r="H89" s="152">
        <f>IF(TrRoad_act!H5=0,0,H19/TrRoad_act!H5*1000)</f>
        <v>36.275836811754438</v>
      </c>
      <c r="I89" s="152">
        <f>IF(TrRoad_act!I5=0,0,I19/TrRoad_act!I5*1000)</f>
        <v>35.70199948982826</v>
      </c>
      <c r="J89" s="152">
        <f>IF(TrRoad_act!J5=0,0,J19/TrRoad_act!J5*1000)</f>
        <v>35.287256474927204</v>
      </c>
      <c r="K89" s="152">
        <f>IF(TrRoad_act!K5=0,0,K19/TrRoad_act!K5*1000)</f>
        <v>34.953664686810711</v>
      </c>
      <c r="L89" s="152">
        <f>IF(TrRoad_act!L5=0,0,L19/TrRoad_act!L5*1000)</f>
        <v>34.720832114520228</v>
      </c>
      <c r="M89" s="152">
        <f>IF(TrRoad_act!M5=0,0,M19/TrRoad_act!M5*1000)</f>
        <v>34.570151858855262</v>
      </c>
      <c r="N89" s="152">
        <f>IF(TrRoad_act!N5=0,0,N19/TrRoad_act!N5*1000)</f>
        <v>34.640049308363331</v>
      </c>
      <c r="O89" s="152">
        <f>IF(TrRoad_act!O5=0,0,O19/TrRoad_act!O5*1000)</f>
        <v>34.311009107761308</v>
      </c>
      <c r="P89" s="152">
        <f>IF(TrRoad_act!P5=0,0,P19/TrRoad_act!P5*1000)</f>
        <v>34.075221434517914</v>
      </c>
      <c r="Q89" s="152">
        <f>IF(TrRoad_act!Q5=0,0,Q19/TrRoad_act!Q5*1000)</f>
        <v>33.800450720501807</v>
      </c>
      <c r="R89" s="152">
        <f>IF(TrRoad_act!R5=0,0,R19/TrRoad_act!R5*1000)</f>
        <v>33.647622816870651</v>
      </c>
      <c r="S89" s="152">
        <f>IF(TrRoad_act!S5=0,0,S19/TrRoad_act!S5*1000)</f>
        <v>33.319799008537913</v>
      </c>
      <c r="T89" s="152">
        <f>IF(TrRoad_act!T5=0,0,T19/TrRoad_act!T5*1000)</f>
        <v>33.095601439837495</v>
      </c>
      <c r="U89" s="152">
        <f>IF(TrRoad_act!U5=0,0,U19/TrRoad_act!U5*1000)</f>
        <v>32.625312607430338</v>
      </c>
      <c r="V89" s="152">
        <f>IF(TrRoad_act!V5=0,0,V19/TrRoad_act!V5*1000)</f>
        <v>32.445855421536827</v>
      </c>
      <c r="W89" s="152">
        <f>IF(TrRoad_act!W5=0,0,W19/TrRoad_act!W5*1000)</f>
        <v>31.061866898904245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40.042929960528774</v>
      </c>
      <c r="C90" s="116">
        <f>IF(TrRoad_act!C6=0,0,C21/TrRoad_act!C6*1000)</f>
        <v>40.369472946135154</v>
      </c>
      <c r="D90" s="116">
        <f>IF(TrRoad_act!D6=0,0,D21/TrRoad_act!D6*1000)</f>
        <v>41.184354930477781</v>
      </c>
      <c r="E90" s="116">
        <f>IF(TrRoad_act!E6=0,0,E21/TrRoad_act!E6*1000)</f>
        <v>41.799006763641074</v>
      </c>
      <c r="F90" s="116">
        <f>IF(TrRoad_act!F6=0,0,F21/TrRoad_act!F6*1000)</f>
        <v>41.470514702611489</v>
      </c>
      <c r="G90" s="116">
        <f>IF(TrRoad_act!G6=0,0,G21/TrRoad_act!G6*1000)</f>
        <v>42.176316964376895</v>
      </c>
      <c r="H90" s="116">
        <f>IF(TrRoad_act!H6=0,0,H21/TrRoad_act!H6*1000)</f>
        <v>42.758504512064434</v>
      </c>
      <c r="I90" s="116">
        <f>IF(TrRoad_act!I6=0,0,I21/TrRoad_act!I6*1000)</f>
        <v>44.070869065952436</v>
      </c>
      <c r="J90" s="116">
        <f>IF(TrRoad_act!J6=0,0,J21/TrRoad_act!J6*1000)</f>
        <v>43.074246394352187</v>
      </c>
      <c r="K90" s="116">
        <f>IF(TrRoad_act!K6=0,0,K21/TrRoad_act!K6*1000)</f>
        <v>42.090972281698797</v>
      </c>
      <c r="L90" s="116">
        <f>IF(TrRoad_act!L6=0,0,L21/TrRoad_act!L6*1000)</f>
        <v>42.001001778291737</v>
      </c>
      <c r="M90" s="116">
        <f>IF(TrRoad_act!M6=0,0,M21/TrRoad_act!M6*1000)</f>
        <v>42.368000164401337</v>
      </c>
      <c r="N90" s="116">
        <f>IF(TrRoad_act!N6=0,0,N21/TrRoad_act!N6*1000)</f>
        <v>40.243512698790177</v>
      </c>
      <c r="O90" s="116">
        <f>IF(TrRoad_act!O6=0,0,O21/TrRoad_act!O6*1000)</f>
        <v>39.933083841176618</v>
      </c>
      <c r="P90" s="116">
        <f>IF(TrRoad_act!P6=0,0,P21/TrRoad_act!P6*1000)</f>
        <v>39.374090444468472</v>
      </c>
      <c r="Q90" s="116">
        <f>IF(TrRoad_act!Q6=0,0,Q21/TrRoad_act!Q6*1000)</f>
        <v>40.963977194020643</v>
      </c>
      <c r="R90" s="116">
        <f>IF(TrRoad_act!R6=0,0,R21/TrRoad_act!R6*1000)</f>
        <v>38.869642315551744</v>
      </c>
      <c r="S90" s="116">
        <f>IF(TrRoad_act!S6=0,0,S21/TrRoad_act!S6*1000)</f>
        <v>37.69903755230429</v>
      </c>
      <c r="T90" s="116">
        <f>IF(TrRoad_act!T6=0,0,T21/TrRoad_act!T6*1000)</f>
        <v>37.842773529939478</v>
      </c>
      <c r="U90" s="116">
        <f>IF(TrRoad_act!U6=0,0,U21/TrRoad_act!U6*1000)</f>
        <v>36.841010527583428</v>
      </c>
      <c r="V90" s="116">
        <f>IF(TrRoad_act!V6=0,0,V21/TrRoad_act!V6*1000)</f>
        <v>35.822812758865666</v>
      </c>
      <c r="W90" s="116">
        <f>IF(TrRoad_act!W6=0,0,W21/TrRoad_act!W6*1000)</f>
        <v>36.064056790404855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40.706809404251757</v>
      </c>
      <c r="C91" s="87">
        <f>IF(TrRoad_act!C7=0,0,C22/TrRoad_act!C7*1000)</f>
        <v>41.307938058393766</v>
      </c>
      <c r="D91" s="87">
        <f>IF(TrRoad_act!D7=0,0,D22/TrRoad_act!D7*1000)</f>
        <v>42.225768955923854</v>
      </c>
      <c r="E91" s="87">
        <f>IF(TrRoad_act!E7=0,0,E22/TrRoad_act!E7*1000)</f>
        <v>42.788055091785459</v>
      </c>
      <c r="F91" s="87">
        <f>IF(TrRoad_act!F7=0,0,F22/TrRoad_act!F7*1000)</f>
        <v>42.412343992807472</v>
      </c>
      <c r="G91" s="87">
        <f>IF(TrRoad_act!G7=0,0,G22/TrRoad_act!G7*1000)</f>
        <v>43.391603899306268</v>
      </c>
      <c r="H91" s="87">
        <f>IF(TrRoad_act!H7=0,0,H22/TrRoad_act!H7*1000)</f>
        <v>44.127798552661233</v>
      </c>
      <c r="I91" s="87">
        <f>IF(TrRoad_act!I7=0,0,I22/TrRoad_act!I7*1000)</f>
        <v>45.882218639785584</v>
      </c>
      <c r="J91" s="87">
        <f>IF(TrRoad_act!J7=0,0,J22/TrRoad_act!J7*1000)</f>
        <v>45.410886378836004</v>
      </c>
      <c r="K91" s="87">
        <f>IF(TrRoad_act!K7=0,0,K22/TrRoad_act!K7*1000)</f>
        <v>44.597967378451635</v>
      </c>
      <c r="L91" s="87">
        <f>IF(TrRoad_act!L7=0,0,L22/TrRoad_act!L7*1000)</f>
        <v>44.649713488682401</v>
      </c>
      <c r="M91" s="87">
        <f>IF(TrRoad_act!M7=0,0,M22/TrRoad_act!M7*1000)</f>
        <v>45.198424214915455</v>
      </c>
      <c r="N91" s="87">
        <f>IF(TrRoad_act!N7=0,0,N22/TrRoad_act!N7*1000)</f>
        <v>43.203841547722199</v>
      </c>
      <c r="O91" s="87">
        <f>IF(TrRoad_act!O7=0,0,O22/TrRoad_act!O7*1000)</f>
        <v>42.764116479412529</v>
      </c>
      <c r="P91" s="87">
        <f>IF(TrRoad_act!P7=0,0,P22/TrRoad_act!P7*1000)</f>
        <v>41.510251861520295</v>
      </c>
      <c r="Q91" s="87">
        <f>IF(TrRoad_act!Q7=0,0,Q22/TrRoad_act!Q7*1000)</f>
        <v>44.303571255350306</v>
      </c>
      <c r="R91" s="87">
        <f>IF(TrRoad_act!R7=0,0,R22/TrRoad_act!R7*1000)</f>
        <v>40.557581161148207</v>
      </c>
      <c r="S91" s="87">
        <f>IF(TrRoad_act!S7=0,0,S22/TrRoad_act!S7*1000)</f>
        <v>39.064665698868275</v>
      </c>
      <c r="T91" s="87">
        <f>IF(TrRoad_act!T7=0,0,T22/TrRoad_act!T7*1000)</f>
        <v>38.656736648062953</v>
      </c>
      <c r="U91" s="87">
        <f>IF(TrRoad_act!U7=0,0,U22/TrRoad_act!U7*1000)</f>
        <v>37.610532282106576</v>
      </c>
      <c r="V91" s="87">
        <f>IF(TrRoad_act!V7=0,0,V22/TrRoad_act!V7*1000)</f>
        <v>36.649181298385656</v>
      </c>
      <c r="W91" s="87">
        <f>IF(TrRoad_act!W7=0,0,W22/TrRoad_act!W7*1000)</f>
        <v>36.939632542196101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33.749367482636778</v>
      </c>
      <c r="C92" s="87">
        <f>IF(TrRoad_act!C8=0,0,C24/TrRoad_act!C8*1000)</f>
        <v>32.442301117150478</v>
      </c>
      <c r="D92" s="87">
        <f>IF(TrRoad_act!D8=0,0,D24/TrRoad_act!D8*1000)</f>
        <v>33.019070321645735</v>
      </c>
      <c r="E92" s="87">
        <f>IF(TrRoad_act!E8=0,0,E24/TrRoad_act!E8*1000)</f>
        <v>34.693952118031319</v>
      </c>
      <c r="F92" s="87">
        <f>IF(TrRoad_act!F8=0,0,F24/TrRoad_act!F8*1000)</f>
        <v>35.65574629621031</v>
      </c>
      <c r="G92" s="87">
        <f>IF(TrRoad_act!G8=0,0,G24/TrRoad_act!G8*1000)</f>
        <v>36.304853872354471</v>
      </c>
      <c r="H92" s="87">
        <f>IF(TrRoad_act!H8=0,0,H24/TrRoad_act!H8*1000)</f>
        <v>37.183279702839769</v>
      </c>
      <c r="I92" s="87">
        <f>IF(TrRoad_act!I8=0,0,I24/TrRoad_act!I8*1000)</f>
        <v>38.648698301002312</v>
      </c>
      <c r="J92" s="87">
        <f>IF(TrRoad_act!J8=0,0,J24/TrRoad_act!J8*1000)</f>
        <v>37.281407485882987</v>
      </c>
      <c r="K92" s="87">
        <f>IF(TrRoad_act!K8=0,0,K24/TrRoad_act!K8*1000)</f>
        <v>36.594019506441875</v>
      </c>
      <c r="L92" s="87">
        <f>IF(TrRoad_act!L8=0,0,L24/TrRoad_act!L8*1000)</f>
        <v>37.117302936979733</v>
      </c>
      <c r="M92" s="87">
        <f>IF(TrRoad_act!M8=0,0,M24/TrRoad_act!M8*1000)</f>
        <v>37.665893249713854</v>
      </c>
      <c r="N92" s="87">
        <f>IF(TrRoad_act!N8=0,0,N24/TrRoad_act!N8*1000)</f>
        <v>35.943232561490994</v>
      </c>
      <c r="O92" s="87">
        <f>IF(TrRoad_act!O8=0,0,O24/TrRoad_act!O8*1000)</f>
        <v>36.108513656674802</v>
      </c>
      <c r="P92" s="87">
        <f>IF(TrRoad_act!P8=0,0,P24/TrRoad_act!P8*1000)</f>
        <v>36.577892781809759</v>
      </c>
      <c r="Q92" s="87">
        <f>IF(TrRoad_act!Q8=0,0,Q24/TrRoad_act!Q8*1000)</f>
        <v>37.164595462022454</v>
      </c>
      <c r="R92" s="87">
        <f>IF(TrRoad_act!R8=0,0,R24/TrRoad_act!R8*1000)</f>
        <v>36.826115839814229</v>
      </c>
      <c r="S92" s="87">
        <f>IF(TrRoad_act!S8=0,0,S24/TrRoad_act!S8*1000)</f>
        <v>36.190936207687812</v>
      </c>
      <c r="T92" s="87">
        <f>IF(TrRoad_act!T8=0,0,T24/TrRoad_act!T8*1000)</f>
        <v>37.088849420108509</v>
      </c>
      <c r="U92" s="87">
        <f>IF(TrRoad_act!U8=0,0,U24/TrRoad_act!U8*1000)</f>
        <v>36.246243883916605</v>
      </c>
      <c r="V92" s="87">
        <f>IF(TrRoad_act!V8=0,0,V24/TrRoad_act!V8*1000)</f>
        <v>35.572125697565497</v>
      </c>
      <c r="W92" s="87">
        <f>IF(TrRoad_act!W8=0,0,W24/TrRoad_act!W8*1000)</f>
        <v>36.793656793012929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37.627132223025299</v>
      </c>
      <c r="C93" s="87">
        <f>IF(TrRoad_act!C9=0,0,C26/TrRoad_act!C9*1000)</f>
        <v>43.507964796046672</v>
      </c>
      <c r="D93" s="87">
        <f>IF(TrRoad_act!D9=0,0,D26/TrRoad_act!D9*1000)</f>
        <v>53.488721606406784</v>
      </c>
      <c r="E93" s="87">
        <f>IF(TrRoad_act!E9=0,0,E26/TrRoad_act!E9*1000)</f>
        <v>51.384742915838615</v>
      </c>
      <c r="F93" s="87">
        <f>IF(TrRoad_act!F9=0,0,F26/TrRoad_act!F9*1000)</f>
        <v>50.831707425089469</v>
      </c>
      <c r="G93" s="87">
        <f>IF(TrRoad_act!G9=0,0,G26/TrRoad_act!G9*1000)</f>
        <v>54.467380931058017</v>
      </c>
      <c r="H93" s="87">
        <f>IF(TrRoad_act!H9=0,0,H26/TrRoad_act!H9*1000)</f>
        <v>56.097715374336701</v>
      </c>
      <c r="I93" s="87">
        <f>IF(TrRoad_act!I9=0,0,I26/TrRoad_act!I9*1000)</f>
        <v>55.6509918182512</v>
      </c>
      <c r="J93" s="87">
        <f>IF(TrRoad_act!J9=0,0,J26/TrRoad_act!J9*1000)</f>
        <v>55.820204534649484</v>
      </c>
      <c r="K93" s="87">
        <f>IF(TrRoad_act!K9=0,0,K26/TrRoad_act!K9*1000)</f>
        <v>58.701222454569525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0</v>
      </c>
      <c r="S93" s="87">
        <f>IF(TrRoad_act!S9=0,0,S26/TrRoad_act!S9*1000)</f>
        <v>0</v>
      </c>
      <c r="T93" s="87">
        <f>IF(TrRoad_act!T9=0,0,T26/TrRoad_act!T9*1000)</f>
        <v>0</v>
      </c>
      <c r="U93" s="87">
        <f>IF(TrRoad_act!U9=0,0,U26/TrRoad_act!U9*1000)</f>
        <v>0</v>
      </c>
      <c r="V93" s="87">
        <f>IF(TrRoad_act!V9=0,0,V26/TrRoad_act!V9*1000)</f>
        <v>0</v>
      </c>
      <c r="W93" s="87">
        <f>IF(TrRoad_act!W9=0,0,W26/TrRoad_act!W9*1000)</f>
        <v>0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42.566979268509193</v>
      </c>
      <c r="R94" s="87">
        <f>IF(TrRoad_act!R10=0,0,R27/TrRoad_act!R10*1000)</f>
        <v>51.608659609019547</v>
      </c>
      <c r="S94" s="87">
        <f>IF(TrRoad_act!S10=0,0,S27/TrRoad_act!S10*1000)</f>
        <v>29.900271022010536</v>
      </c>
      <c r="T94" s="87">
        <f>IF(TrRoad_act!T10=0,0,T27/TrRoad_act!T10*1000)</f>
        <v>32.572015297814453</v>
      </c>
      <c r="U94" s="87">
        <f>IF(TrRoad_act!U10=0,0,U27/TrRoad_act!U10*1000)</f>
        <v>33.313004064104547</v>
      </c>
      <c r="V94" s="87">
        <f>IF(TrRoad_act!V10=0,0,V27/TrRoad_act!V10*1000)</f>
        <v>33.600203643330687</v>
      </c>
      <c r="W94" s="87">
        <f>IF(TrRoad_act!W10=0,0,W27/TrRoad_act!W10*1000)</f>
        <v>34.738311848267486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17.945766022560253</v>
      </c>
      <c r="O95" s="87">
        <f>IF(TrRoad_act!O11=0,0,O29/TrRoad_act!O11*1000)</f>
        <v>20.513444735226429</v>
      </c>
      <c r="P95" s="87">
        <f>IF(TrRoad_act!P11=0,0,P29/TrRoad_act!P11*1000)</f>
        <v>13.92669707932013</v>
      </c>
      <c r="Q95" s="87">
        <f>IF(TrRoad_act!Q11=0,0,Q29/TrRoad_act!Q11*1000)</f>
        <v>38.967883914277103</v>
      </c>
      <c r="R95" s="87">
        <f>IF(TrRoad_act!R11=0,0,R29/TrRoad_act!R11*1000)</f>
        <v>25.59595977127794</v>
      </c>
      <c r="S95" s="87">
        <f>IF(TrRoad_act!S11=0,0,S29/TrRoad_act!S11*1000)</f>
        <v>21.346315052858817</v>
      </c>
      <c r="T95" s="87">
        <f>IF(TrRoad_act!T11=0,0,T29/TrRoad_act!T11*1000)</f>
        <v>18.34180571858171</v>
      </c>
      <c r="U95" s="87">
        <f>IF(TrRoad_act!U11=0,0,U29/TrRoad_act!U11*1000)</f>
        <v>17.735532846029283</v>
      </c>
      <c r="V95" s="87">
        <f>IF(TrRoad_act!V11=0,0,V29/TrRoad_act!V11*1000)</f>
        <v>16.870652857601289</v>
      </c>
      <c r="W95" s="87">
        <f>IF(TrRoad_act!W11=0,0,W29/TrRoad_act!W11*1000)</f>
        <v>18.705671312560725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9.2157562676996747</v>
      </c>
      <c r="L96" s="87">
        <f>IF(TrRoad_act!L12=0,0,L32/TrRoad_act!L12*1000)</f>
        <v>9.3539937207149926</v>
      </c>
      <c r="M96" s="87">
        <f>IF(TrRoad_act!M12=0,0,M32/TrRoad_act!M12*1000)</f>
        <v>9.6788554020108322</v>
      </c>
      <c r="N96" s="87">
        <f>IF(TrRoad_act!N12=0,0,N32/TrRoad_act!N12*1000)</f>
        <v>9.5305870634815086</v>
      </c>
      <c r="O96" s="87">
        <f>IF(TrRoad_act!O12=0,0,O32/TrRoad_act!O12*1000)</f>
        <v>10.025364218064615</v>
      </c>
      <c r="P96" s="87">
        <f>IF(TrRoad_act!P12=0,0,P32/TrRoad_act!P12*1000)</f>
        <v>9.9976415158237533</v>
      </c>
      <c r="Q96" s="87">
        <f>IF(TrRoad_act!Q12=0,0,Q32/TrRoad_act!Q12*1000)</f>
        <v>11.758655135084503</v>
      </c>
      <c r="R96" s="87">
        <f>IF(TrRoad_act!R12=0,0,R32/TrRoad_act!R12*1000)</f>
        <v>11.506631894641499</v>
      </c>
      <c r="S96" s="87">
        <f>IF(TrRoad_act!S12=0,0,S32/TrRoad_act!S12*1000)</f>
        <v>11.300468010592098</v>
      </c>
      <c r="T96" s="87">
        <f>IF(TrRoad_act!T12=0,0,T32/TrRoad_act!T12*1000)</f>
        <v>11.354886517871043</v>
      </c>
      <c r="U96" s="87">
        <f>IF(TrRoad_act!U12=0,0,U32/TrRoad_act!U12*1000)</f>
        <v>11.6832975353456</v>
      </c>
      <c r="V96" s="87">
        <f>IF(TrRoad_act!V12=0,0,V32/TrRoad_act!V12*1000)</f>
        <v>12.157962901585831</v>
      </c>
      <c r="W96" s="87">
        <f>IF(TrRoad_act!W12=0,0,W32/TrRoad_act!W12*1000)</f>
        <v>13.072760343953057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46.334049474017476</v>
      </c>
      <c r="C97" s="116">
        <f>IF(TrRoad_act!C13=0,0,C33/TrRoad_act!C13*1000)</f>
        <v>45.57033099954014</v>
      </c>
      <c r="D97" s="116">
        <f>IF(TrRoad_act!D13=0,0,D33/TrRoad_act!D13*1000)</f>
        <v>44.664671077209327</v>
      </c>
      <c r="E97" s="116">
        <f>IF(TrRoad_act!E13=0,0,E33/TrRoad_act!E13*1000)</f>
        <v>45.380327121920146</v>
      </c>
      <c r="F97" s="116">
        <f>IF(TrRoad_act!F13=0,0,F33/TrRoad_act!F13*1000)</f>
        <v>44.423250438677741</v>
      </c>
      <c r="G97" s="116">
        <f>IF(TrRoad_act!G13=0,0,G33/TrRoad_act!G13*1000)</f>
        <v>45.641816186024215</v>
      </c>
      <c r="H97" s="116">
        <f>IF(TrRoad_act!H13=0,0,H33/TrRoad_act!H13*1000)</f>
        <v>46.71083917064739</v>
      </c>
      <c r="I97" s="116">
        <f>IF(TrRoad_act!I13=0,0,I33/TrRoad_act!I13*1000)</f>
        <v>47.596894213404028</v>
      </c>
      <c r="J97" s="116">
        <f>IF(TrRoad_act!J13=0,0,J33/TrRoad_act!J13*1000)</f>
        <v>49.055981633638751</v>
      </c>
      <c r="K97" s="116">
        <f>IF(TrRoad_act!K13=0,0,K33/TrRoad_act!K13*1000)</f>
        <v>49.868172697491239</v>
      </c>
      <c r="L97" s="116">
        <f>IF(TrRoad_act!L13=0,0,L33/TrRoad_act!L13*1000)</f>
        <v>50.317462840215725</v>
      </c>
      <c r="M97" s="116">
        <f>IF(TrRoad_act!M13=0,0,M33/TrRoad_act!M13*1000)</f>
        <v>50.227548816381876</v>
      </c>
      <c r="N97" s="116">
        <f>IF(TrRoad_act!N13=0,0,N33/TrRoad_act!N13*1000)</f>
        <v>48.737156369960481</v>
      </c>
      <c r="O97" s="116">
        <f>IF(TrRoad_act!O13=0,0,O33/TrRoad_act!O13*1000)</f>
        <v>46.782179012023676</v>
      </c>
      <c r="P97" s="116">
        <f>IF(TrRoad_act!P13=0,0,P33/TrRoad_act!P13*1000)</f>
        <v>47.879272042189605</v>
      </c>
      <c r="Q97" s="116">
        <f>IF(TrRoad_act!Q13=0,0,Q33/TrRoad_act!Q13*1000)</f>
        <v>46.980286069468384</v>
      </c>
      <c r="R97" s="116">
        <f>IF(TrRoad_act!R13=0,0,R33/TrRoad_act!R13*1000)</f>
        <v>47.216028232778299</v>
      </c>
      <c r="S97" s="116">
        <f>IF(TrRoad_act!S13=0,0,S33/TrRoad_act!S13*1000)</f>
        <v>47.906378659387855</v>
      </c>
      <c r="T97" s="116">
        <f>IF(TrRoad_act!T13=0,0,T33/TrRoad_act!T13*1000)</f>
        <v>49.146151361779687</v>
      </c>
      <c r="U97" s="116">
        <f>IF(TrRoad_act!U13=0,0,U33/TrRoad_act!U13*1000)</f>
        <v>49.298091081051652</v>
      </c>
      <c r="V97" s="116">
        <f>IF(TrRoad_act!V13=0,0,V33/TrRoad_act!V13*1000)</f>
        <v>74.707277178214483</v>
      </c>
      <c r="W97" s="116">
        <f>IF(TrRoad_act!W13=0,0,W33/TrRoad_act!W13*1000)</f>
        <v>70.357803457799946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31.673370924165557</v>
      </c>
      <c r="C98" s="101">
        <f>IF(TrRoad_act!C14=0,0,C34/TrRoad_act!C14*1000)</f>
        <v>31.685101815094715</v>
      </c>
      <c r="D98" s="101">
        <f>IF(TrRoad_act!D14=0,0,D34/TrRoad_act!D14*1000)</f>
        <v>31.663357383075816</v>
      </c>
      <c r="E98" s="101">
        <f>IF(TrRoad_act!E14=0,0,E34/TrRoad_act!E14*1000)</f>
        <v>31.6504967240643</v>
      </c>
      <c r="F98" s="101">
        <f>IF(TrRoad_act!F14=0,0,F34/TrRoad_act!F14*1000)</f>
        <v>31.606858275514341</v>
      </c>
      <c r="G98" s="101">
        <f>IF(TrRoad_act!G14=0,0,G34/TrRoad_act!G14*1000)</f>
        <v>31.491938075740855</v>
      </c>
      <c r="H98" s="101">
        <f>IF(TrRoad_act!H14=0,0,H34/TrRoad_act!H14*1000)</f>
        <v>30.797407656094887</v>
      </c>
      <c r="I98" s="101">
        <f>IF(TrRoad_act!I14=0,0,I34/TrRoad_act!I14*1000)</f>
        <v>30.047340935786913</v>
      </c>
      <c r="J98" s="101">
        <f>IF(TrRoad_act!J14=0,0,J34/TrRoad_act!J14*1000)</f>
        <v>29.317255020911546</v>
      </c>
      <c r="K98" s="101">
        <f>IF(TrRoad_act!K14=0,0,K34/TrRoad_act!K14*1000)</f>
        <v>28.544345205048124</v>
      </c>
      <c r="L98" s="101">
        <f>IF(TrRoad_act!L14=0,0,L34/TrRoad_act!L14*1000)</f>
        <v>27.874553577388077</v>
      </c>
      <c r="M98" s="101">
        <f>IF(TrRoad_act!M14=0,0,M34/TrRoad_act!M14*1000)</f>
        <v>27.337820791634361</v>
      </c>
      <c r="N98" s="101">
        <f>IF(TrRoad_act!N14=0,0,N34/TrRoad_act!N14*1000)</f>
        <v>26.77213663798598</v>
      </c>
      <c r="O98" s="101">
        <f>IF(TrRoad_act!O14=0,0,O34/TrRoad_act!O14*1000)</f>
        <v>26.364499325371156</v>
      </c>
      <c r="P98" s="101">
        <f>IF(TrRoad_act!P14=0,0,P34/TrRoad_act!P14*1000)</f>
        <v>26.242898013515351</v>
      </c>
      <c r="Q98" s="101">
        <f>IF(TrRoad_act!Q14=0,0,Q34/TrRoad_act!Q14*1000)</f>
        <v>25.773625321678132</v>
      </c>
      <c r="R98" s="101">
        <f>IF(TrRoad_act!R14=0,0,R34/TrRoad_act!R14*1000)</f>
        <v>25.720785212867487</v>
      </c>
      <c r="S98" s="101">
        <f>IF(TrRoad_act!S14=0,0,S34/TrRoad_act!S14*1000)</f>
        <v>25.471826172085315</v>
      </c>
      <c r="T98" s="101">
        <f>IF(TrRoad_act!T14=0,0,T34/TrRoad_act!T14*1000)</f>
        <v>25.474313975470771</v>
      </c>
      <c r="U98" s="101">
        <f>IF(TrRoad_act!U14=0,0,U34/TrRoad_act!U14*1000)</f>
        <v>25.439065388148773</v>
      </c>
      <c r="V98" s="101">
        <f>IF(TrRoad_act!V14=0,0,V34/TrRoad_act!V14*1000)</f>
        <v>25.967274740667587</v>
      </c>
      <c r="W98" s="101">
        <f>IF(TrRoad_act!W14=0,0,W34/TrRoad_act!W14*1000)</f>
        <v>25.874236294604568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47.302993771895061</v>
      </c>
      <c r="C99" s="101">
        <f>IF(TrRoad_act!C15=0,0,C36/TrRoad_act!C15*1000)</f>
        <v>46.513687031301465</v>
      </c>
      <c r="D99" s="101">
        <f>IF(TrRoad_act!D15=0,0,D36/TrRoad_act!D15*1000)</f>
        <v>45.548343187123841</v>
      </c>
      <c r="E99" s="101">
        <f>IF(TrRoad_act!E15=0,0,E36/TrRoad_act!E15*1000)</f>
        <v>45.961650765947162</v>
      </c>
      <c r="F99" s="101">
        <f>IF(TrRoad_act!F15=0,0,F36/TrRoad_act!F15*1000)</f>
        <v>44.864970353382063</v>
      </c>
      <c r="G99" s="101">
        <f>IF(TrRoad_act!G15=0,0,G36/TrRoad_act!G15*1000)</f>
        <v>46.109666283534125</v>
      </c>
      <c r="H99" s="101">
        <f>IF(TrRoad_act!H15=0,0,H36/TrRoad_act!H15*1000)</f>
        <v>47.2499661352876</v>
      </c>
      <c r="I99" s="101">
        <f>IF(TrRoad_act!I15=0,0,I36/TrRoad_act!I15*1000)</f>
        <v>48.195163420025658</v>
      </c>
      <c r="J99" s="101">
        <f>IF(TrRoad_act!J15=0,0,J36/TrRoad_act!J15*1000)</f>
        <v>49.747038304910596</v>
      </c>
      <c r="K99" s="101">
        <f>IF(TrRoad_act!K15=0,0,K36/TrRoad_act!K15*1000)</f>
        <v>50.585507762021422</v>
      </c>
      <c r="L99" s="101">
        <f>IF(TrRoad_act!L15=0,0,L36/TrRoad_act!L15*1000)</f>
        <v>51.038482087926901</v>
      </c>
      <c r="M99" s="101">
        <f>IF(TrRoad_act!M15=0,0,M36/TrRoad_act!M15*1000)</f>
        <v>50.957690012624155</v>
      </c>
      <c r="N99" s="101">
        <f>IF(TrRoad_act!N15=0,0,N36/TrRoad_act!N15*1000)</f>
        <v>49.441986697077319</v>
      </c>
      <c r="O99" s="101">
        <f>IF(TrRoad_act!O15=0,0,O36/TrRoad_act!O15*1000)</f>
        <v>47.483092295319103</v>
      </c>
      <c r="P99" s="101">
        <f>IF(TrRoad_act!P15=0,0,P36/TrRoad_act!P15*1000)</f>
        <v>48.535480846622143</v>
      </c>
      <c r="Q99" s="101">
        <f>IF(TrRoad_act!Q15=0,0,Q36/TrRoad_act!Q15*1000)</f>
        <v>47.494933463819144</v>
      </c>
      <c r="R99" s="101">
        <f>IF(TrRoad_act!R15=0,0,R36/TrRoad_act!R15*1000)</f>
        <v>47.708521236410533</v>
      </c>
      <c r="S99" s="101">
        <f>IF(TrRoad_act!S15=0,0,S36/TrRoad_act!S15*1000)</f>
        <v>48.316669318501042</v>
      </c>
      <c r="T99" s="101">
        <f>IF(TrRoad_act!T15=0,0,T36/TrRoad_act!T15*1000)</f>
        <v>49.418261625462399</v>
      </c>
      <c r="U99" s="101">
        <f>IF(TrRoad_act!U15=0,0,U36/TrRoad_act!U15*1000)</f>
        <v>49.536341666404212</v>
      </c>
      <c r="V99" s="101">
        <f>IF(TrRoad_act!V15=0,0,V36/TrRoad_act!V15*1000)</f>
        <v>76.013042839587087</v>
      </c>
      <c r="W99" s="101">
        <f>IF(TrRoad_act!W15=0,0,W36/TrRoad_act!W15*1000)</f>
        <v>71.717150626832719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56.342877846228667</v>
      </c>
      <c r="R101" s="101">
        <f>IF(TrRoad_act!R17=0,0,R39/TrRoad_act!R17*1000)</f>
        <v>48.363077442703933</v>
      </c>
      <c r="S101" s="101">
        <f>IF(TrRoad_act!S17=0,0,S39/TrRoad_act!S17*1000)</f>
        <v>51.756243231858683</v>
      </c>
      <c r="T101" s="101">
        <f>IF(TrRoad_act!T17=0,0,T39/TrRoad_act!T17*1000)</f>
        <v>60.526741769189293</v>
      </c>
      <c r="U101" s="101">
        <f>IF(TrRoad_act!U17=0,0,U39/TrRoad_act!U17*1000)</f>
        <v>68.243747749370527</v>
      </c>
      <c r="V101" s="101">
        <f>IF(TrRoad_act!V17=0,0,V39/TrRoad_act!V17*1000)</f>
        <v>80.22513942903538</v>
      </c>
      <c r="W101" s="101">
        <f>IF(TrRoad_act!W17=0,0,W39/TrRoad_act!W17*1000)</f>
        <v>83.483152993942781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0</v>
      </c>
      <c r="Q102" s="101">
        <f>IF(TrRoad_act!Q18=0,0,Q41/TrRoad_act!Q18*1000)</f>
        <v>0</v>
      </c>
      <c r="R102" s="101">
        <f>IF(TrRoad_act!R18=0,0,R41/TrRoad_act!R18*1000)</f>
        <v>29.115789191449931</v>
      </c>
      <c r="S102" s="101">
        <f>IF(TrRoad_act!S18=0,0,S41/TrRoad_act!S18*1000)</f>
        <v>29.498543411071893</v>
      </c>
      <c r="T102" s="101">
        <f>IF(TrRoad_act!T18=0,0,T41/TrRoad_act!T18*1000)</f>
        <v>30.276893389946562</v>
      </c>
      <c r="U102" s="101">
        <f>IF(TrRoad_act!U18=0,0,U41/TrRoad_act!U18*1000)</f>
        <v>31.373753655822615</v>
      </c>
      <c r="V102" s="101">
        <f>IF(TrRoad_act!V18=0,0,V41/TrRoad_act!V18*1000)</f>
        <v>48.035528185478086</v>
      </c>
      <c r="W102" s="101">
        <f>IF(TrRoad_act!W18=0,0,W41/TrRoad_act!W18*1000)</f>
        <v>45.953874889138291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80.554500545414001</v>
      </c>
      <c r="C103" s="29">
        <f>IF(TrRoad_act!C19=0,0,C42/TrRoad_act!C19*1000)</f>
        <v>83.070865987540103</v>
      </c>
      <c r="D103" s="29">
        <f>IF(TrRoad_act!D19=0,0,D42/TrRoad_act!D19*1000)</f>
        <v>81.383197572700183</v>
      </c>
      <c r="E103" s="29">
        <f>IF(TrRoad_act!E19=0,0,E42/TrRoad_act!E19*1000)</f>
        <v>87.502558895574879</v>
      </c>
      <c r="F103" s="29">
        <f>IF(TrRoad_act!F19=0,0,F42/TrRoad_act!F19*1000)</f>
        <v>91.819066816379404</v>
      </c>
      <c r="G103" s="29">
        <f>IF(TrRoad_act!G19=0,0,G42/TrRoad_act!G19*1000)</f>
        <v>89.232509385413593</v>
      </c>
      <c r="H103" s="29">
        <f>IF(TrRoad_act!H19=0,0,H42/TrRoad_act!H19*1000)</f>
        <v>88.877073397729248</v>
      </c>
      <c r="I103" s="29">
        <f>IF(TrRoad_act!I19=0,0,I42/TrRoad_act!I19*1000)</f>
        <v>89.482859378787367</v>
      </c>
      <c r="J103" s="29">
        <f>IF(TrRoad_act!J19=0,0,J42/TrRoad_act!J19*1000)</f>
        <v>82.902966151822099</v>
      </c>
      <c r="K103" s="29">
        <f>IF(TrRoad_act!K19=0,0,K42/TrRoad_act!K19*1000)</f>
        <v>81.754878562932291</v>
      </c>
      <c r="L103" s="29">
        <f>IF(TrRoad_act!L19=0,0,L42/TrRoad_act!L19*1000)</f>
        <v>79.832734492403802</v>
      </c>
      <c r="M103" s="29">
        <f>IF(TrRoad_act!M19=0,0,M42/TrRoad_act!M19*1000)</f>
        <v>72.012455358463029</v>
      </c>
      <c r="N103" s="29">
        <f>IF(TrRoad_act!N19=0,0,N42/TrRoad_act!N19*1000)</f>
        <v>65.824281510607562</v>
      </c>
      <c r="O103" s="29">
        <f>IF(TrRoad_act!O19=0,0,O42/TrRoad_act!O19*1000)</f>
        <v>61.357451304400207</v>
      </c>
      <c r="P103" s="29">
        <f>IF(TrRoad_act!P19=0,0,P42/TrRoad_act!P19*1000)</f>
        <v>61.925881876204421</v>
      </c>
      <c r="Q103" s="29">
        <f>IF(TrRoad_act!Q19=0,0,Q42/TrRoad_act!Q19*1000)</f>
        <v>60.378206594897179</v>
      </c>
      <c r="R103" s="29">
        <f>IF(TrRoad_act!R19=0,0,R42/TrRoad_act!R19*1000)</f>
        <v>60.371907989630316</v>
      </c>
      <c r="S103" s="29">
        <f>IF(TrRoad_act!S19=0,0,S42/TrRoad_act!S19*1000)</f>
        <v>61.761289301519994</v>
      </c>
      <c r="T103" s="29">
        <f>IF(TrRoad_act!T19=0,0,T42/TrRoad_act!T19*1000)</f>
        <v>66.379355907812922</v>
      </c>
      <c r="U103" s="29">
        <f>IF(TrRoad_act!U19=0,0,U42/TrRoad_act!U19*1000)</f>
        <v>63.321835477166509</v>
      </c>
      <c r="V103" s="29">
        <f>IF(TrRoad_act!V19=0,0,V42/TrRoad_act!V19*1000)</f>
        <v>58.52593046698717</v>
      </c>
      <c r="W103" s="29">
        <f>IF(TrRoad_act!W19=0,0,W42/TrRoad_act!W19*1000)</f>
        <v>58.833203652087434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631.31369012840685</v>
      </c>
      <c r="C104" s="152">
        <f>IF(TrRoad_act!C20=0,0,C43/TrRoad_act!C20*1000)</f>
        <v>609.35186755684174</v>
      </c>
      <c r="D104" s="152">
        <f>IF(TrRoad_act!D20=0,0,D43/TrRoad_act!D20*1000)</f>
        <v>581.64378986787813</v>
      </c>
      <c r="E104" s="152">
        <f>IF(TrRoad_act!E20=0,0,E43/TrRoad_act!E20*1000)</f>
        <v>558.32665009194955</v>
      </c>
      <c r="F104" s="152">
        <f>IF(TrRoad_act!F20=0,0,F43/TrRoad_act!F20*1000)</f>
        <v>538.72209004127376</v>
      </c>
      <c r="G104" s="152">
        <f>IF(TrRoad_act!G20=0,0,G43/TrRoad_act!G20*1000)</f>
        <v>519.67286152892393</v>
      </c>
      <c r="H104" s="152">
        <f>IF(TrRoad_act!H20=0,0,H43/TrRoad_act!H20*1000)</f>
        <v>506.82953668926666</v>
      </c>
      <c r="I104" s="152">
        <f>IF(TrRoad_act!I20=0,0,I43/TrRoad_act!I20*1000)</f>
        <v>499.28656977324999</v>
      </c>
      <c r="J104" s="152">
        <f>IF(TrRoad_act!J20=0,0,J43/TrRoad_act!J20*1000)</f>
        <v>488.36404146394005</v>
      </c>
      <c r="K104" s="152">
        <f>IF(TrRoad_act!K20=0,0,K43/TrRoad_act!K20*1000)</f>
        <v>476.55785631561332</v>
      </c>
      <c r="L104" s="152">
        <f>IF(TrRoad_act!L20=0,0,L43/TrRoad_act!L20*1000)</f>
        <v>471.85463424099248</v>
      </c>
      <c r="M104" s="152">
        <f>IF(TrRoad_act!M20=0,0,M43/TrRoad_act!M20*1000)</f>
        <v>469.22952302256903</v>
      </c>
      <c r="N104" s="152">
        <f>IF(TrRoad_act!N20=0,0,N43/TrRoad_act!N20*1000)</f>
        <v>465.73334447110636</v>
      </c>
      <c r="O104" s="152">
        <f>IF(TrRoad_act!O20=0,0,O43/TrRoad_act!O20*1000)</f>
        <v>462.8069213354691</v>
      </c>
      <c r="P104" s="152">
        <f>IF(TrRoad_act!P20=0,0,P43/TrRoad_act!P20*1000)</f>
        <v>455.92571585704184</v>
      </c>
      <c r="Q104" s="152">
        <f>IF(TrRoad_act!Q20=0,0,Q43/TrRoad_act!Q20*1000)</f>
        <v>449.47640287194616</v>
      </c>
      <c r="R104" s="152">
        <f>IF(TrRoad_act!R20=0,0,R43/TrRoad_act!R20*1000)</f>
        <v>444.02707352564545</v>
      </c>
      <c r="S104" s="152">
        <f>IF(TrRoad_act!S20=0,0,S43/TrRoad_act!S20*1000)</f>
        <v>440.17235935069158</v>
      </c>
      <c r="T104" s="152">
        <f>IF(TrRoad_act!T20=0,0,T43/TrRoad_act!T20*1000)</f>
        <v>434.12757998205086</v>
      </c>
      <c r="U104" s="152">
        <f>IF(TrRoad_act!U20=0,0,U43/TrRoad_act!U20*1000)</f>
        <v>423.30243947661694</v>
      </c>
      <c r="V104" s="152">
        <f>IF(TrRoad_act!V20=0,0,V43/TrRoad_act!V20*1000)</f>
        <v>417.17274574392411</v>
      </c>
      <c r="W104" s="152">
        <f>IF(TrRoad_act!W20=0,0,W43/TrRoad_act!W20*1000)</f>
        <v>420.73925386610262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892.37116580270333</v>
      </c>
      <c r="C105" s="87">
        <f>IF(TrRoad_act!C21=0,0,C44/TrRoad_act!C21*1000)</f>
        <v>889.02626686024553</v>
      </c>
      <c r="D105" s="87">
        <f>IF(TrRoad_act!D21=0,0,D44/TrRoad_act!D21*1000)</f>
        <v>866.26692137139207</v>
      </c>
      <c r="E105" s="87">
        <f>IF(TrRoad_act!E21=0,0,E44/TrRoad_act!E21*1000)</f>
        <v>840.06568338207182</v>
      </c>
      <c r="F105" s="87">
        <f>IF(TrRoad_act!F21=0,0,F44/TrRoad_act!F21*1000)</f>
        <v>824.7385253922422</v>
      </c>
      <c r="G105" s="87">
        <f>IF(TrRoad_act!G21=0,0,G44/TrRoad_act!G21*1000)</f>
        <v>808.25087534408419</v>
      </c>
      <c r="H105" s="87">
        <f>IF(TrRoad_act!H21=0,0,H44/TrRoad_act!H21*1000)</f>
        <v>792.48888746498073</v>
      </c>
      <c r="I105" s="87">
        <f>IF(TrRoad_act!I21=0,0,I44/TrRoad_act!I21*1000)</f>
        <v>794.22278218663917</v>
      </c>
      <c r="J105" s="87">
        <f>IF(TrRoad_act!J21=0,0,J44/TrRoad_act!J21*1000)</f>
        <v>775.44461234791027</v>
      </c>
      <c r="K105" s="87">
        <f>IF(TrRoad_act!K21=0,0,K44/TrRoad_act!K21*1000)</f>
        <v>754.74077333737034</v>
      </c>
      <c r="L105" s="87">
        <f>IF(TrRoad_act!L21=0,0,L44/TrRoad_act!L21*1000)</f>
        <v>742.6073330895623</v>
      </c>
      <c r="M105" s="87">
        <f>IF(TrRoad_act!M21=0,0,M44/TrRoad_act!M21*1000)</f>
        <v>725.6811183557295</v>
      </c>
      <c r="N105" s="87">
        <f>IF(TrRoad_act!N21=0,0,N44/TrRoad_act!N21*1000)</f>
        <v>710.39004866427899</v>
      </c>
      <c r="O105" s="87">
        <f>IF(TrRoad_act!O21=0,0,O44/TrRoad_act!O21*1000)</f>
        <v>701.58349955938411</v>
      </c>
      <c r="P105" s="87">
        <f>IF(TrRoad_act!P21=0,0,P44/TrRoad_act!P21*1000)</f>
        <v>691.38504149987114</v>
      </c>
      <c r="Q105" s="87">
        <f>IF(TrRoad_act!Q21=0,0,Q44/TrRoad_act!Q21*1000)</f>
        <v>673.85125441602042</v>
      </c>
      <c r="R105" s="87">
        <f>IF(TrRoad_act!R21=0,0,R44/TrRoad_act!R21*1000)</f>
        <v>647.87917768423131</v>
      </c>
      <c r="S105" s="87">
        <f>IF(TrRoad_act!S21=0,0,S44/TrRoad_act!S21*1000)</f>
        <v>625.10033970956738</v>
      </c>
      <c r="T105" s="87">
        <f>IF(TrRoad_act!T21=0,0,T44/TrRoad_act!T21*1000)</f>
        <v>597.56717701990056</v>
      </c>
      <c r="U105" s="87">
        <f>IF(TrRoad_act!U21=0,0,U44/TrRoad_act!U21*1000)</f>
        <v>567.95981926272498</v>
      </c>
      <c r="V105" s="87">
        <f>IF(TrRoad_act!V21=0,0,V44/TrRoad_act!V21*1000)</f>
        <v>534.91755119475556</v>
      </c>
      <c r="W105" s="87">
        <f>IF(TrRoad_act!W21=0,0,W44/TrRoad_act!W21*1000)</f>
        <v>530.09629110529897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587.61811365077529</v>
      </c>
      <c r="C106" s="87">
        <f>IF(TrRoad_act!C22=0,0,C46/TrRoad_act!C22*1000)</f>
        <v>561.24476063819236</v>
      </c>
      <c r="D106" s="87">
        <f>IF(TrRoad_act!D22=0,0,D46/TrRoad_act!D22*1000)</f>
        <v>535.00584676322933</v>
      </c>
      <c r="E106" s="87">
        <f>IF(TrRoad_act!E22=0,0,E46/TrRoad_act!E22*1000)</f>
        <v>516.79530160555578</v>
      </c>
      <c r="F106" s="87">
        <f>IF(TrRoad_act!F22=0,0,F46/TrRoad_act!F22*1000)</f>
        <v>500.6311526759394</v>
      </c>
      <c r="G106" s="87">
        <f>IF(TrRoad_act!G22=0,0,G46/TrRoad_act!G22*1000)</f>
        <v>484.81027601281943</v>
      </c>
      <c r="H106" s="87">
        <f>IF(TrRoad_act!H22=0,0,H46/TrRoad_act!H22*1000)</f>
        <v>476.17023304796805</v>
      </c>
      <c r="I106" s="87">
        <f>IF(TrRoad_act!I22=0,0,I46/TrRoad_act!I22*1000)</f>
        <v>472.14123152075149</v>
      </c>
      <c r="J106" s="87">
        <f>IF(TrRoad_act!J22=0,0,J46/TrRoad_act!J22*1000)</f>
        <v>464.71120344060762</v>
      </c>
      <c r="K106" s="87">
        <f>IF(TrRoad_act!K22=0,0,K46/TrRoad_act!K22*1000)</f>
        <v>454.79661976267482</v>
      </c>
      <c r="L106" s="87">
        <f>IF(TrRoad_act!L22=0,0,L46/TrRoad_act!L22*1000)</f>
        <v>452.53902492305212</v>
      </c>
      <c r="M106" s="87">
        <f>IF(TrRoad_act!M22=0,0,M46/TrRoad_act!M22*1000)</f>
        <v>451.89608631230675</v>
      </c>
      <c r="N106" s="87">
        <f>IF(TrRoad_act!N22=0,0,N46/TrRoad_act!N22*1000)</f>
        <v>450.637770388224</v>
      </c>
      <c r="O106" s="87">
        <f>IF(TrRoad_act!O22=0,0,O46/TrRoad_act!O22*1000)</f>
        <v>448.61433439456874</v>
      </c>
      <c r="P106" s="87">
        <f>IF(TrRoad_act!P22=0,0,P46/TrRoad_act!P22*1000)</f>
        <v>442.52438295026582</v>
      </c>
      <c r="Q106" s="87">
        <f>IF(TrRoad_act!Q22=0,0,Q46/TrRoad_act!Q22*1000)</f>
        <v>437.80080148822645</v>
      </c>
      <c r="R106" s="87">
        <f>IF(TrRoad_act!R22=0,0,R46/TrRoad_act!R22*1000)</f>
        <v>433.79610147131604</v>
      </c>
      <c r="S106" s="87">
        <f>IF(TrRoad_act!S22=0,0,S46/TrRoad_act!S22*1000)</f>
        <v>431.43420739493104</v>
      </c>
      <c r="T106" s="87">
        <f>IF(TrRoad_act!T22=0,0,T46/TrRoad_act!T22*1000)</f>
        <v>427.10258814302267</v>
      </c>
      <c r="U106" s="87">
        <f>IF(TrRoad_act!U22=0,0,U46/TrRoad_act!U22*1000)</f>
        <v>417.36394751051643</v>
      </c>
      <c r="V106" s="87">
        <f>IF(TrRoad_act!V22=0,0,V46/TrRoad_act!V22*1000)</f>
        <v>412.70227181572795</v>
      </c>
      <c r="W106" s="87">
        <f>IF(TrRoad_act!W22=0,0,W46/TrRoad_act!W22*1000)</f>
        <v>417.35923894302732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625.53629385544434</v>
      </c>
      <c r="R108" s="87">
        <f>IF(TrRoad_act!R24=0,0,R49/TrRoad_act!R24*1000)</f>
        <v>621.45929621583241</v>
      </c>
      <c r="S108" s="87">
        <f>IF(TrRoad_act!S24=0,0,S49/TrRoad_act!S24*1000)</f>
        <v>608.83105109240944</v>
      </c>
      <c r="T108" s="87">
        <f>IF(TrRoad_act!T24=0,0,T49/TrRoad_act!T24*1000)</f>
        <v>606.07302927337594</v>
      </c>
      <c r="U108" s="87">
        <f>IF(TrRoad_act!U24=0,0,U49/TrRoad_act!U24*1000)</f>
        <v>604.33323636045543</v>
      </c>
      <c r="V108" s="87">
        <f>IF(TrRoad_act!V24=0,0,V49/TrRoad_act!V24*1000)</f>
        <v>599.69224226245876</v>
      </c>
      <c r="W108" s="87">
        <f>IF(TrRoad_act!W24=0,0,W49/TrRoad_act!W24*1000)</f>
        <v>604.47536351720953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87.380329697399262</v>
      </c>
      <c r="O109" s="87">
        <f>IF(TrRoad_act!O25=0,0,O51/TrRoad_act!O25*1000)</f>
        <v>88.890572391580847</v>
      </c>
      <c r="P109" s="87">
        <f>IF(TrRoad_act!P25=0,0,P51/TrRoad_act!P25*1000)</f>
        <v>97.117424520448722</v>
      </c>
      <c r="Q109" s="87">
        <f>IF(TrRoad_act!Q25=0,0,Q51/TrRoad_act!Q25*1000)</f>
        <v>98.05198633497541</v>
      </c>
      <c r="R109" s="87">
        <f>IF(TrRoad_act!R25=0,0,R51/TrRoad_act!R25*1000)</f>
        <v>98.390534827282693</v>
      </c>
      <c r="S109" s="87">
        <f>IF(TrRoad_act!S25=0,0,S51/TrRoad_act!S25*1000)</f>
        <v>98.696888682917574</v>
      </c>
      <c r="T109" s="87">
        <f>IF(TrRoad_act!T25=0,0,T51/TrRoad_act!T25*1000)</f>
        <v>104.09399972865783</v>
      </c>
      <c r="U109" s="87">
        <f>IF(TrRoad_act!U25=0,0,U51/TrRoad_act!U25*1000)</f>
        <v>108.36437737634692</v>
      </c>
      <c r="V109" s="87">
        <f>IF(TrRoad_act!V25=0,0,V51/TrRoad_act!V25*1000)</f>
        <v>127.53547705821846</v>
      </c>
      <c r="W109" s="87">
        <f>IF(TrRoad_act!W25=0,0,W51/TrRoad_act!W25*1000)</f>
        <v>148.44575807201701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45.340735956383995</v>
      </c>
      <c r="C110" s="116">
        <f>IF(TrRoad_act!C26=0,0,C52/TrRoad_act!C26*1000)</f>
        <v>47.360610941975281</v>
      </c>
      <c r="D110" s="116">
        <f>IF(TrRoad_act!D26=0,0,D52/TrRoad_act!D26*1000)</f>
        <v>47.014523822517226</v>
      </c>
      <c r="E110" s="116">
        <f>IF(TrRoad_act!E26=0,0,E52/TrRoad_act!E26*1000)</f>
        <v>53.324171688409649</v>
      </c>
      <c r="F110" s="116">
        <f>IF(TrRoad_act!F26=0,0,F52/TrRoad_act!F26*1000)</f>
        <v>56.803837988394292</v>
      </c>
      <c r="G110" s="116">
        <f>IF(TrRoad_act!G26=0,0,G52/TrRoad_act!G26*1000)</f>
        <v>54.41551860298658</v>
      </c>
      <c r="H110" s="116">
        <f>IF(TrRoad_act!H26=0,0,H52/TrRoad_act!H26*1000)</f>
        <v>53.467743663578631</v>
      </c>
      <c r="I110" s="116">
        <f>IF(TrRoad_act!I26=0,0,I52/TrRoad_act!I26*1000)</f>
        <v>52.880141405867604</v>
      </c>
      <c r="J110" s="116">
        <f>IF(TrRoad_act!J26=0,0,J52/TrRoad_act!J26*1000)</f>
        <v>47.701882672723343</v>
      </c>
      <c r="K110" s="116">
        <f>IF(TrRoad_act!K26=0,0,K52/TrRoad_act!K26*1000)</f>
        <v>45.430775620828399</v>
      </c>
      <c r="L110" s="116">
        <f>IF(TrRoad_act!L26=0,0,L52/TrRoad_act!L26*1000)</f>
        <v>45.396785593058254</v>
      </c>
      <c r="M110" s="116">
        <f>IF(TrRoad_act!M26=0,0,M52/TrRoad_act!M26*1000)</f>
        <v>42.312861468494333</v>
      </c>
      <c r="N110" s="116">
        <f>IF(TrRoad_act!N26=0,0,N52/TrRoad_act!N26*1000)</f>
        <v>38.302930606605585</v>
      </c>
      <c r="O110" s="116">
        <f>IF(TrRoad_act!O26=0,0,O52/TrRoad_act!O26*1000)</f>
        <v>36.149801593331027</v>
      </c>
      <c r="P110" s="116">
        <f>IF(TrRoad_act!P26=0,0,P52/TrRoad_act!P26*1000)</f>
        <v>38.290901828854338</v>
      </c>
      <c r="Q110" s="116">
        <f>IF(TrRoad_act!Q26=0,0,Q52/TrRoad_act!Q26*1000)</f>
        <v>36.183625383929659</v>
      </c>
      <c r="R110" s="116">
        <f>IF(TrRoad_act!R26=0,0,R52/TrRoad_act!R26*1000)</f>
        <v>38.054052286316079</v>
      </c>
      <c r="S110" s="116">
        <f>IF(TrRoad_act!S26=0,0,S52/TrRoad_act!S26*1000)</f>
        <v>38.943428358319011</v>
      </c>
      <c r="T110" s="116">
        <f>IF(TrRoad_act!T26=0,0,T52/TrRoad_act!T26*1000)</f>
        <v>42.519553180215524</v>
      </c>
      <c r="U110" s="116">
        <f>IF(TrRoad_act!U26=0,0,U52/TrRoad_act!U26*1000)</f>
        <v>40.788923060205718</v>
      </c>
      <c r="V110" s="116">
        <f>IF(TrRoad_act!V26=0,0,V52/TrRoad_act!V26*1000)</f>
        <v>38.204247619774783</v>
      </c>
      <c r="W110" s="116">
        <f>IF(TrRoad_act!W26=0,0,W52/TrRoad_act!W26*1000)</f>
        <v>38.531432233819665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45.287509242011907</v>
      </c>
      <c r="C111" s="101">
        <f>IF(TrRoad_act!C27=0,0,C53/TrRoad_act!C27*1000)</f>
        <v>47.168072574506631</v>
      </c>
      <c r="D111" s="101">
        <f>IF(TrRoad_act!D27=0,0,D53/TrRoad_act!D27*1000)</f>
        <v>45.944084514799549</v>
      </c>
      <c r="E111" s="101">
        <f>IF(TrRoad_act!E27=0,0,E53/TrRoad_act!E27*1000)</f>
        <v>50.078255225152112</v>
      </c>
      <c r="F111" s="101">
        <f>IF(TrRoad_act!F27=0,0,F53/TrRoad_act!F27*1000)</f>
        <v>50.855636461830095</v>
      </c>
      <c r="G111" s="101">
        <f>IF(TrRoad_act!G27=0,0,G53/TrRoad_act!G27*1000)</f>
        <v>47.787398588708918</v>
      </c>
      <c r="H111" s="101">
        <f>IF(TrRoad_act!H27=0,0,H53/TrRoad_act!H27*1000)</f>
        <v>47.936450092484407</v>
      </c>
      <c r="I111" s="101">
        <f>IF(TrRoad_act!I27=0,0,I53/TrRoad_act!I27*1000)</f>
        <v>47.691193242952131</v>
      </c>
      <c r="J111" s="101">
        <f>IF(TrRoad_act!J27=0,0,J53/TrRoad_act!J27*1000)</f>
        <v>48.956586099763754</v>
      </c>
      <c r="K111" s="101">
        <f>IF(TrRoad_act!K27=0,0,K53/TrRoad_act!K27*1000)</f>
        <v>45.175535568296226</v>
      </c>
      <c r="L111" s="101">
        <f>IF(TrRoad_act!L27=0,0,L53/TrRoad_act!L27*1000)</f>
        <v>43.700383700284675</v>
      </c>
      <c r="M111" s="101">
        <f>IF(TrRoad_act!M27=0,0,M53/TrRoad_act!M27*1000)</f>
        <v>39.896907800486261</v>
      </c>
      <c r="N111" s="101">
        <f>IF(TrRoad_act!N27=0,0,N53/TrRoad_act!N27*1000)</f>
        <v>38.734780857559073</v>
      </c>
      <c r="O111" s="101">
        <f>IF(TrRoad_act!O27=0,0,O53/TrRoad_act!O27*1000)</f>
        <v>38.034849110402249</v>
      </c>
      <c r="P111" s="101">
        <f>IF(TrRoad_act!P27=0,0,P53/TrRoad_act!P27*1000)</f>
        <v>37.212447451255365</v>
      </c>
      <c r="Q111" s="101">
        <f>IF(TrRoad_act!Q27=0,0,Q53/TrRoad_act!Q27*1000)</f>
        <v>36.488513686758161</v>
      </c>
      <c r="R111" s="101">
        <f>IF(TrRoad_act!R27=0,0,R53/TrRoad_act!R27*1000)</f>
        <v>35.613988729910773</v>
      </c>
      <c r="S111" s="101">
        <f>IF(TrRoad_act!S27=0,0,S53/TrRoad_act!S27*1000)</f>
        <v>35.089358063576483</v>
      </c>
      <c r="T111" s="101">
        <f>IF(TrRoad_act!T27=0,0,T53/TrRoad_act!T27*1000)</f>
        <v>36.048200521444315</v>
      </c>
      <c r="U111" s="101">
        <f>IF(TrRoad_act!U27=0,0,U53/TrRoad_act!U27*1000)</f>
        <v>35.488443391505527</v>
      </c>
      <c r="V111" s="101">
        <f>IF(TrRoad_act!V27=0,0,V53/TrRoad_act!V27*1000)</f>
        <v>34.512114216730403</v>
      </c>
      <c r="W111" s="101">
        <f>IF(TrRoad_act!W27=0,0,W53/TrRoad_act!W27*1000)</f>
        <v>33.874751017329856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45.482326006918782</v>
      </c>
      <c r="C112" s="88">
        <f>IF(TrRoad_act!C28=0,0,C55/TrRoad_act!C28*1000)</f>
        <v>47.83384716490373</v>
      </c>
      <c r="D112" s="88">
        <f>IF(TrRoad_act!D28=0,0,D55/TrRoad_act!D28*1000)</f>
        <v>49.537889310207206</v>
      </c>
      <c r="E112" s="88">
        <f>IF(TrRoad_act!E28=0,0,E55/TrRoad_act!E28*1000)</f>
        <v>60.824001965428252</v>
      </c>
      <c r="F112" s="88">
        <f>IF(TrRoad_act!F28=0,0,F55/TrRoad_act!F28*1000)</f>
        <v>68.135424505404842</v>
      </c>
      <c r="G112" s="88">
        <f>IF(TrRoad_act!G28=0,0,G55/TrRoad_act!G28*1000)</f>
        <v>67.210068996279361</v>
      </c>
      <c r="H112" s="88">
        <f>IF(TrRoad_act!H28=0,0,H55/TrRoad_act!H28*1000)</f>
        <v>63.727476616270515</v>
      </c>
      <c r="I112" s="88">
        <f>IF(TrRoad_act!I28=0,0,I55/TrRoad_act!I28*1000)</f>
        <v>62.174822912862084</v>
      </c>
      <c r="J112" s="88">
        <f>IF(TrRoad_act!J28=0,0,J55/TrRoad_act!J28*1000)</f>
        <v>46.06117679346724</v>
      </c>
      <c r="K112" s="88">
        <f>IF(TrRoad_act!K28=0,0,K55/TrRoad_act!K28*1000)</f>
        <v>45.800026990041715</v>
      </c>
      <c r="L112" s="88">
        <f>IF(TrRoad_act!L28=0,0,L55/TrRoad_act!L28*1000)</f>
        <v>48.085547602773865</v>
      </c>
      <c r="M112" s="88">
        <f>IF(TrRoad_act!M28=0,0,M55/TrRoad_act!M28*1000)</f>
        <v>46.842730921906139</v>
      </c>
      <c r="N112" s="88">
        <f>IF(TrRoad_act!N28=0,0,N55/TrRoad_act!N28*1000)</f>
        <v>37.457529828973804</v>
      </c>
      <c r="O112" s="88">
        <f>IF(TrRoad_act!O28=0,0,O55/TrRoad_act!O28*1000)</f>
        <v>32.89690153483339</v>
      </c>
      <c r="P112" s="88">
        <f>IF(TrRoad_act!P28=0,0,P55/TrRoad_act!P28*1000)</f>
        <v>40.414094814216718</v>
      </c>
      <c r="Q112" s="88">
        <f>IF(TrRoad_act!Q28=0,0,Q55/TrRoad_act!Q28*1000)</f>
        <v>35.6044107724952</v>
      </c>
      <c r="R112" s="88">
        <f>IF(TrRoad_act!R28=0,0,R55/TrRoad_act!R28*1000)</f>
        <v>42.260834165686674</v>
      </c>
      <c r="S112" s="88">
        <f>IF(TrRoad_act!S28=0,0,S55/TrRoad_act!S28*1000)</f>
        <v>45.177770455778322</v>
      </c>
      <c r="T112" s="88">
        <f>IF(TrRoad_act!T28=0,0,T55/TrRoad_act!T28*1000)</f>
        <v>53.326023012142279</v>
      </c>
      <c r="U112" s="88">
        <f>IF(TrRoad_act!U28=0,0,U55/TrRoad_act!U28*1000)</f>
        <v>49.626688297286023</v>
      </c>
      <c r="V112" s="88">
        <f>IF(TrRoad_act!V28=0,0,V55/TrRoad_act!V28*1000)</f>
        <v>44.075601007569141</v>
      </c>
      <c r="W112" s="88">
        <f>IF(TrRoad_act!W28=0,0,W55/TrRoad_act!W28*1000)</f>
        <v>46.060201777272205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171.3939553113178</v>
      </c>
      <c r="C116" s="152">
        <f>IF(C19=0,0,1000000*C19/TrRoad_act!C59)</f>
        <v>152.59139530643637</v>
      </c>
      <c r="D116" s="152">
        <f>IF(D19=0,0,1000000*D19/TrRoad_act!D59)</f>
        <v>152.57336556580444</v>
      </c>
      <c r="E116" s="152">
        <f>IF(E19=0,0,1000000*E19/TrRoad_act!E59)</f>
        <v>149.26759845732323</v>
      </c>
      <c r="F116" s="152">
        <f>IF(F19=0,0,1000000*F19/TrRoad_act!F59)</f>
        <v>141.93727258878835</v>
      </c>
      <c r="G116" s="152">
        <f>IF(G19=0,0,1000000*G19/TrRoad_act!G59)</f>
        <v>135.25131611571766</v>
      </c>
      <c r="H116" s="152">
        <f>IF(H19=0,0,1000000*H19/TrRoad_act!H59)</f>
        <v>131.22666304724737</v>
      </c>
      <c r="I116" s="152">
        <f>IF(I19=0,0,1000000*I19/TrRoad_act!I59)</f>
        <v>128.93510936373212</v>
      </c>
      <c r="J116" s="152">
        <f>IF(J19=0,0,1000000*J19/TrRoad_act!J59)</f>
        <v>122.7764213304789</v>
      </c>
      <c r="K116" s="152">
        <f>IF(K19=0,0,1000000*K19/TrRoad_act!K59)</f>
        <v>116.8949989703368</v>
      </c>
      <c r="L116" s="152">
        <f>IF(L19=0,0,1000000*L19/TrRoad_act!L59)</f>
        <v>117.12056500092427</v>
      </c>
      <c r="M116" s="152">
        <f>IF(M19=0,0,1000000*M19/TrRoad_act!M59)</f>
        <v>117.47639270807281</v>
      </c>
      <c r="N116" s="152">
        <f>IF(N19=0,0,1000000*N19/TrRoad_act!N59)</f>
        <v>118.73714303731944</v>
      </c>
      <c r="O116" s="152">
        <f>IF(O19=0,0,1000000*O19/TrRoad_act!O59)</f>
        <v>119.83869434743184</v>
      </c>
      <c r="P116" s="152">
        <f>IF(P19=0,0,1000000*P19/TrRoad_act!P59)</f>
        <v>121.9021327789646</v>
      </c>
      <c r="Q116" s="152">
        <f>IF(Q19=0,0,1000000*Q19/TrRoad_act!Q59)</f>
        <v>121.83253966568532</v>
      </c>
      <c r="R116" s="152">
        <f>IF(R19=0,0,1000000*R19/TrRoad_act!R59)</f>
        <v>121.25194583010611</v>
      </c>
      <c r="S116" s="152">
        <f>IF(S19=0,0,1000000*S19/TrRoad_act!S59)</f>
        <v>112.45717111383134</v>
      </c>
      <c r="T116" s="152">
        <f>IF(T19=0,0,1000000*T19/TrRoad_act!T59)</f>
        <v>105.40027685724199</v>
      </c>
      <c r="U116" s="152">
        <f>IF(U19=0,0,1000000*U19/TrRoad_act!U59)</f>
        <v>111.73967301335342</v>
      </c>
      <c r="V116" s="152">
        <f>IF(V19=0,0,1000000*V19/TrRoad_act!V59)</f>
        <v>98.25869283283555</v>
      </c>
      <c r="W116" s="152">
        <f>IF(W19=0,0,1000000*W19/TrRoad_act!W59)</f>
        <v>96.724100050218766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1093.153889276595</v>
      </c>
      <c r="C117" s="116">
        <f>IF(C21=0,0,1000000*C21/TrRoad_act!C60)</f>
        <v>1069.6892487560158</v>
      </c>
      <c r="D117" s="116">
        <f>IF(D21=0,0,1000000*D21/TrRoad_act!D60)</f>
        <v>1078.6113831730549</v>
      </c>
      <c r="E117" s="116">
        <f>IF(E21=0,0,1000000*E21/TrRoad_act!E60)</f>
        <v>1096.1376329837026</v>
      </c>
      <c r="F117" s="116">
        <f>IF(F21=0,0,1000000*F21/TrRoad_act!F60)</f>
        <v>1094.1724560608427</v>
      </c>
      <c r="G117" s="116">
        <f>IF(G21=0,0,1000000*G21/TrRoad_act!G60)</f>
        <v>1067.960796918095</v>
      </c>
      <c r="H117" s="116">
        <f>IF(H21=0,0,1000000*H21/TrRoad_act!H60)</f>
        <v>1050.6896119666803</v>
      </c>
      <c r="I117" s="116">
        <f>IF(I21=0,0,1000000*I21/TrRoad_act!I60)</f>
        <v>1080.6326870794028</v>
      </c>
      <c r="J117" s="116">
        <f>IF(J21=0,0,1000000*J21/TrRoad_act!J60)</f>
        <v>1055.6665148370364</v>
      </c>
      <c r="K117" s="116">
        <f>IF(K21=0,0,1000000*K21/TrRoad_act!K60)</f>
        <v>1029.6575235124608</v>
      </c>
      <c r="L117" s="116">
        <f>IF(L21=0,0,1000000*L21/TrRoad_act!L60)</f>
        <v>1002.4128114815435</v>
      </c>
      <c r="M117" s="116">
        <f>IF(M21=0,0,1000000*M21/TrRoad_act!M60)</f>
        <v>1020.0873765429423</v>
      </c>
      <c r="N117" s="116">
        <f>IF(N21=0,0,1000000*N21/TrRoad_act!N60)</f>
        <v>946.87085744642877</v>
      </c>
      <c r="O117" s="116">
        <f>IF(O21=0,0,1000000*O21/TrRoad_act!O60)</f>
        <v>927.003999837474</v>
      </c>
      <c r="P117" s="116">
        <f>IF(P21=0,0,1000000*P21/TrRoad_act!P60)</f>
        <v>919.26865854269761</v>
      </c>
      <c r="Q117" s="116">
        <f>IF(Q21=0,0,1000000*Q21/TrRoad_act!Q60)</f>
        <v>982.48129474987945</v>
      </c>
      <c r="R117" s="116">
        <f>IF(R21=0,0,1000000*R21/TrRoad_act!R60)</f>
        <v>969.69010935462813</v>
      </c>
      <c r="S117" s="116">
        <f>IF(S21=0,0,1000000*S21/TrRoad_act!S60)</f>
        <v>912.09161902710684</v>
      </c>
      <c r="T117" s="116">
        <f>IF(T21=0,0,1000000*T21/TrRoad_act!T60)</f>
        <v>891.06983481937391</v>
      </c>
      <c r="U117" s="116">
        <f>IF(U21=0,0,1000000*U21/TrRoad_act!U60)</f>
        <v>865.29165247803019</v>
      </c>
      <c r="V117" s="116">
        <f>IF(V21=0,0,1000000*V21/TrRoad_act!V60)</f>
        <v>760.86095340897782</v>
      </c>
      <c r="W117" s="116">
        <f>IF(W21=0,0,1000000*W21/TrRoad_act!W60)</f>
        <v>762.1470163636601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1073.9468164257451</v>
      </c>
      <c r="C118" s="87">
        <f>IF(C22=0,0,1000000*C22/TrRoad_act!C61)</f>
        <v>1051.8070491531728</v>
      </c>
      <c r="D118" s="87">
        <f>IF(D22=0,0,1000000*D22/TrRoad_act!D61)</f>
        <v>1057.8506876983804</v>
      </c>
      <c r="E118" s="87">
        <f>IF(E22=0,0,1000000*E22/TrRoad_act!E61)</f>
        <v>1068.3867246136233</v>
      </c>
      <c r="F118" s="87">
        <f>IF(F22=0,0,1000000*F22/TrRoad_act!F61)</f>
        <v>1056.4595779104668</v>
      </c>
      <c r="G118" s="87">
        <f>IF(G22=0,0,1000000*G22/TrRoad_act!G61)</f>
        <v>1024.0857820574358</v>
      </c>
      <c r="H118" s="87">
        <f>IF(H22=0,0,1000000*H22/TrRoad_act!H61)</f>
        <v>998.81214767211293</v>
      </c>
      <c r="I118" s="87">
        <f>IF(I22=0,0,1000000*I22/TrRoad_act!I61)</f>
        <v>1013.6629429629381</v>
      </c>
      <c r="J118" s="87">
        <f>IF(J22=0,0,1000000*J22/TrRoad_act!J61)</f>
        <v>985.98245115284703</v>
      </c>
      <c r="K118" s="87">
        <f>IF(K22=0,0,1000000*K22/TrRoad_act!K61)</f>
        <v>956.47196192686715</v>
      </c>
      <c r="L118" s="87">
        <f>IF(L22=0,0,1000000*L22/TrRoad_act!L61)</f>
        <v>916.57321484433567</v>
      </c>
      <c r="M118" s="87">
        <f>IF(M22=0,0,1000000*M22/TrRoad_act!M61)</f>
        <v>927.63931385360081</v>
      </c>
      <c r="N118" s="87">
        <f>IF(N22=0,0,1000000*N22/TrRoad_act!N61)</f>
        <v>850.48867977625821</v>
      </c>
      <c r="O118" s="87">
        <f>IF(O22=0,0,1000000*O22/TrRoad_act!O61)</f>
        <v>834.379565213859</v>
      </c>
      <c r="P118" s="87">
        <f>IF(P22=0,0,1000000*P22/TrRoad_act!P61)</f>
        <v>840.63748921514718</v>
      </c>
      <c r="Q118" s="87">
        <f>IF(Q22=0,0,1000000*Q22/TrRoad_act!Q61)</f>
        <v>908.07862426589884</v>
      </c>
      <c r="R118" s="87">
        <f>IF(R22=0,0,1000000*R22/TrRoad_act!R61)</f>
        <v>848.08211708982412</v>
      </c>
      <c r="S118" s="87">
        <f>IF(S22=0,0,1000000*S22/TrRoad_act!S61)</f>
        <v>768.41388436628017</v>
      </c>
      <c r="T118" s="87">
        <f>IF(T22=0,0,1000000*T22/TrRoad_act!T61)</f>
        <v>736.78193249126343</v>
      </c>
      <c r="U118" s="87">
        <f>IF(U22=0,0,1000000*U22/TrRoad_act!U61)</f>
        <v>721.6956218652557</v>
      </c>
      <c r="V118" s="87">
        <f>IF(V22=0,0,1000000*V22/TrRoad_act!V61)</f>
        <v>646.45177553514281</v>
      </c>
      <c r="W118" s="87">
        <f>IF(W22=0,0,1000000*W22/TrRoad_act!W61)</f>
        <v>658.76033646396377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1365.9454746559372</v>
      </c>
      <c r="C119" s="87">
        <f>IF(C24=0,0,1000000*C24/TrRoad_act!C62)</f>
        <v>1279.7025181993513</v>
      </c>
      <c r="D119" s="87">
        <f>IF(D24=0,0,1000000*D24/TrRoad_act!D62)</f>
        <v>1291.0615607739749</v>
      </c>
      <c r="E119" s="87">
        <f>IF(E24=0,0,1000000*E24/TrRoad_act!E62)</f>
        <v>1384.1914161631835</v>
      </c>
      <c r="F119" s="87">
        <f>IF(F24=0,0,1000000*F24/TrRoad_act!F62)</f>
        <v>1447.0109296495641</v>
      </c>
      <c r="G119" s="87">
        <f>IF(G24=0,0,1000000*G24/TrRoad_act!G62)</f>
        <v>1392.9866605711161</v>
      </c>
      <c r="H119" s="87">
        <f>IF(H24=0,0,1000000*H24/TrRoad_act!H62)</f>
        <v>1382.7850492341499</v>
      </c>
      <c r="I119" s="87">
        <f>IF(I24=0,0,1000000*I24/TrRoad_act!I62)</f>
        <v>1402.4935750889508</v>
      </c>
      <c r="J119" s="87">
        <f>IF(J24=0,0,1000000*J24/TrRoad_act!J62)</f>
        <v>1336.4827193347298</v>
      </c>
      <c r="K119" s="87">
        <f>IF(K24=0,0,1000000*K24/TrRoad_act!K62)</f>
        <v>1290.0138369863628</v>
      </c>
      <c r="L119" s="87">
        <f>IF(L24=0,0,1000000*L24/TrRoad_act!L62)</f>
        <v>1265.4434823060521</v>
      </c>
      <c r="M119" s="87">
        <f>IF(M24=0,0,1000000*M24/TrRoad_act!M62)</f>
        <v>1274.7864356063828</v>
      </c>
      <c r="N119" s="87">
        <f>IF(N24=0,0,1000000*N24/TrRoad_act!N62)</f>
        <v>1183.6490240494161</v>
      </c>
      <c r="O119" s="87">
        <f>IF(O24=0,0,1000000*O24/TrRoad_act!O62)</f>
        <v>1131.3833552680887</v>
      </c>
      <c r="P119" s="87">
        <f>IF(P24=0,0,1000000*P24/TrRoad_act!P62)</f>
        <v>1075.4764540883184</v>
      </c>
      <c r="Q119" s="87">
        <f>IF(Q24=0,0,1000000*Q24/TrRoad_act!Q62)</f>
        <v>1120.3793940736671</v>
      </c>
      <c r="R119" s="87">
        <f>IF(R24=0,0,1000000*R24/TrRoad_act!R62)</f>
        <v>1234.944308232348</v>
      </c>
      <c r="S119" s="87">
        <f>IF(S24=0,0,1000000*S24/TrRoad_act!S62)</f>
        <v>1228.5494000609667</v>
      </c>
      <c r="T119" s="87">
        <f>IF(T24=0,0,1000000*T24/TrRoad_act!T62)</f>
        <v>1236.9374396232699</v>
      </c>
      <c r="U119" s="87">
        <f>IF(U24=0,0,1000000*U24/TrRoad_act!U62)</f>
        <v>1197.7247292670479</v>
      </c>
      <c r="V119" s="87">
        <f>IF(V24=0,0,1000000*V24/TrRoad_act!V62)</f>
        <v>1051.4642612353932</v>
      </c>
      <c r="W119" s="87">
        <f>IF(W24=0,0,1000000*W24/TrRoad_act!W62)</f>
        <v>1086.8338143322251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1286.6962948697451</v>
      </c>
      <c r="C120" s="87">
        <f>IF(C26=0,0,1000000*C26/TrRoad_act!C63)</f>
        <v>1426.9699624794357</v>
      </c>
      <c r="D120" s="87">
        <f>IF(D26=0,0,1000000*D26/TrRoad_act!D63)</f>
        <v>1657.4272584914333</v>
      </c>
      <c r="E120" s="87">
        <f>IF(E26=0,0,1000000*E26/TrRoad_act!E63)</f>
        <v>1548.0935887216067</v>
      </c>
      <c r="F120" s="87">
        <f>IF(F26=0,0,1000000*F26/TrRoad_act!F63)</f>
        <v>1485.2815008492912</v>
      </c>
      <c r="G120" s="87">
        <f>IF(G26=0,0,1000000*G26/TrRoad_act!G63)</f>
        <v>1436.1303175010507</v>
      </c>
      <c r="H120" s="87">
        <f>IF(H26=0,0,1000000*H26/TrRoad_act!H63)</f>
        <v>1367.638454940166</v>
      </c>
      <c r="I120" s="87">
        <f>IF(I26=0,0,1000000*I26/TrRoad_act!I63)</f>
        <v>1265.2386275482249</v>
      </c>
      <c r="J120" s="87">
        <f>IF(J26=0,0,1000000*J26/TrRoad_act!J63)</f>
        <v>1196.9155746259344</v>
      </c>
      <c r="K120" s="87">
        <f>IF(K26=0,0,1000000*K26/TrRoad_act!K63)</f>
        <v>1180.8330591909121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0</v>
      </c>
      <c r="S120" s="87">
        <f>IF(S26=0,0,1000000*S26/TrRoad_act!S63)</f>
        <v>0</v>
      </c>
      <c r="T120" s="87">
        <f>IF(T26=0,0,1000000*T26/TrRoad_act!T63)</f>
        <v>0</v>
      </c>
      <c r="U120" s="87">
        <f>IF(U26=0,0,1000000*U26/TrRoad_act!U63)</f>
        <v>0</v>
      </c>
      <c r="V120" s="87">
        <f>IF(V26=0,0,1000000*V26/TrRoad_act!V63)</f>
        <v>0</v>
      </c>
      <c r="W120" s="87">
        <f>IF(W26=0,0,1000000*W26/TrRoad_act!W63)</f>
        <v>0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1359.8215049570726</v>
      </c>
      <c r="R121" s="87">
        <f>IF(R27=0,0,1000000*R27/TrRoad_act!R64)</f>
        <v>1723.5845771118727</v>
      </c>
      <c r="S121" s="87">
        <f>IF(S27=0,0,1000000*S27/TrRoad_act!S64)</f>
        <v>957.64334467250251</v>
      </c>
      <c r="T121" s="87">
        <f>IF(T27=0,0,1000000*T27/TrRoad_act!T64)</f>
        <v>1014.5538790500725</v>
      </c>
      <c r="U121" s="87">
        <f>IF(U27=0,0,1000000*U27/TrRoad_act!U64)</f>
        <v>1016.8987942688539</v>
      </c>
      <c r="V121" s="87">
        <f>IF(V27=0,0,1000000*V27/TrRoad_act!V64)</f>
        <v>910.40808653785257</v>
      </c>
      <c r="W121" s="87">
        <f>IF(W27=0,0,1000000*W27/TrRoad_act!W64)</f>
        <v>935.70163082404315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354.35001606947645</v>
      </c>
      <c r="O122" s="87">
        <f>IF(O29=0,0,1000000*O29/TrRoad_act!O65)</f>
        <v>400.48245565274885</v>
      </c>
      <c r="P122" s="87">
        <f>IF(P29=0,0,1000000*P29/TrRoad_act!P65)</f>
        <v>280.25764956979566</v>
      </c>
      <c r="Q122" s="87">
        <f>IF(Q29=0,0,1000000*Q29/TrRoad_act!Q65)</f>
        <v>827.60755026889376</v>
      </c>
      <c r="R122" s="87">
        <f>IF(R29=0,0,1000000*R29/TrRoad_act!R65)</f>
        <v>535.53669645555976</v>
      </c>
      <c r="S122" s="87">
        <f>IF(S29=0,0,1000000*S29/TrRoad_act!S65)</f>
        <v>422.91953858647975</v>
      </c>
      <c r="T122" s="87">
        <f>IF(T29=0,0,1000000*T29/TrRoad_act!T65)</f>
        <v>353.08508692771863</v>
      </c>
      <c r="U122" s="87">
        <f>IF(U29=0,0,1000000*U29/TrRoad_act!U65)</f>
        <v>342.55103026227721</v>
      </c>
      <c r="V122" s="87">
        <f>IF(V29=0,0,1000000*V29/TrRoad_act!V65)</f>
        <v>296.7958422486725</v>
      </c>
      <c r="W122" s="87">
        <f>IF(W29=0,0,1000000*W29/TrRoad_act!W65)</f>
        <v>332.38157504318781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180.47715439136036</v>
      </c>
      <c r="L123" s="87">
        <f>IF(L32=0,0,1000000*L32/TrRoad_act!L66)</f>
        <v>179.96706575724266</v>
      </c>
      <c r="M123" s="87">
        <f>IF(M32=0,0,1000000*M32/TrRoad_act!M66)</f>
        <v>180.07384390799729</v>
      </c>
      <c r="N123" s="87">
        <f>IF(N32=0,0,1000000*N32/TrRoad_act!N66)</f>
        <v>181.03335146870415</v>
      </c>
      <c r="O123" s="87">
        <f>IF(O32=0,0,1000000*O32/TrRoad_act!O66)</f>
        <v>186.54776472017991</v>
      </c>
      <c r="P123" s="87">
        <f>IF(P32=0,0,1000000*P32/TrRoad_act!P66)</f>
        <v>185.38783757204644</v>
      </c>
      <c r="Q123" s="87">
        <f>IF(Q32=0,0,1000000*Q32/TrRoad_act!Q66)</f>
        <v>208.16353809329095</v>
      </c>
      <c r="R123" s="87">
        <f>IF(R32=0,0,1000000*R32/TrRoad_act!R66)</f>
        <v>205.31236107026356</v>
      </c>
      <c r="S123" s="87">
        <f>IF(S32=0,0,1000000*S32/TrRoad_act!S66)</f>
        <v>203.14175839886713</v>
      </c>
      <c r="T123" s="87">
        <f>IF(T32=0,0,1000000*T32/TrRoad_act!T66)</f>
        <v>201.52697159461528</v>
      </c>
      <c r="U123" s="87">
        <f>IF(U32=0,0,1000000*U32/TrRoad_act!U66)</f>
        <v>208.00642347481633</v>
      </c>
      <c r="V123" s="87">
        <f>IF(V32=0,0,1000000*V32/TrRoad_act!V66)</f>
        <v>202.0394569351208</v>
      </c>
      <c r="W123" s="87">
        <f>IF(W32=0,0,1000000*W32/TrRoad_act!W66)</f>
        <v>223.10626364983057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24606.670890482648</v>
      </c>
      <c r="C124" s="116">
        <f>IF(C33=0,0,1000000*C33/TrRoad_act!C67)</f>
        <v>23944.508161719099</v>
      </c>
      <c r="D124" s="116">
        <f>IF(D33=0,0,1000000*D33/TrRoad_act!D67)</f>
        <v>23296.78074562005</v>
      </c>
      <c r="E124" s="116">
        <f>IF(E33=0,0,1000000*E33/TrRoad_act!E67)</f>
        <v>23351.665640433293</v>
      </c>
      <c r="F124" s="116">
        <f>IF(F33=0,0,1000000*F33/TrRoad_act!F67)</f>
        <v>22851.78833079751</v>
      </c>
      <c r="G124" s="116">
        <f>IF(G33=0,0,1000000*G33/TrRoad_act!G67)</f>
        <v>22719.495919844994</v>
      </c>
      <c r="H124" s="116">
        <f>IF(H33=0,0,1000000*H33/TrRoad_act!H67)</f>
        <v>22642.816074061757</v>
      </c>
      <c r="I124" s="116">
        <f>IF(I33=0,0,1000000*I33/TrRoad_act!I67)</f>
        <v>22496.943853801306</v>
      </c>
      <c r="J124" s="116">
        <f>IF(J33=0,0,1000000*J33/TrRoad_act!J67)</f>
        <v>22874.914214578712</v>
      </c>
      <c r="K124" s="116">
        <f>IF(K33=0,0,1000000*K33/TrRoad_act!K67)</f>
        <v>23184.747968109987</v>
      </c>
      <c r="L124" s="116">
        <f>IF(L33=0,0,1000000*L33/TrRoad_act!L67)</f>
        <v>23676.560018840471</v>
      </c>
      <c r="M124" s="116">
        <f>IF(M33=0,0,1000000*M33/TrRoad_act!M67)</f>
        <v>23916.685689433158</v>
      </c>
      <c r="N124" s="116">
        <f>IF(N33=0,0,1000000*N33/TrRoad_act!N67)</f>
        <v>23369.25866430586</v>
      </c>
      <c r="O124" s="116">
        <f>IF(O33=0,0,1000000*O33/TrRoad_act!O67)</f>
        <v>22795.295364863981</v>
      </c>
      <c r="P124" s="116">
        <f>IF(P33=0,0,1000000*P33/TrRoad_act!P67)</f>
        <v>23418.277599394347</v>
      </c>
      <c r="Q124" s="116">
        <f>IF(Q33=0,0,1000000*Q33/TrRoad_act!Q67)</f>
        <v>24064.100799985485</v>
      </c>
      <c r="R124" s="116">
        <f>IF(R33=0,0,1000000*R33/TrRoad_act!R67)</f>
        <v>24951.043102153679</v>
      </c>
      <c r="S124" s="116">
        <f>IF(S33=0,0,1000000*S33/TrRoad_act!S67)</f>
        <v>25939.51670475681</v>
      </c>
      <c r="T124" s="116">
        <f>IF(T33=0,0,1000000*T33/TrRoad_act!T67)</f>
        <v>26548.931743390334</v>
      </c>
      <c r="U124" s="116">
        <f>IF(U33=0,0,1000000*U33/TrRoad_act!U67)</f>
        <v>26269.820279982076</v>
      </c>
      <c r="V124" s="116">
        <f>IF(V33=0,0,1000000*V33/TrRoad_act!V67)</f>
        <v>27621.888870494495</v>
      </c>
      <c r="W124" s="116">
        <f>IF(W33=0,0,1000000*W33/TrRoad_act!W67)</f>
        <v>28525.507163885341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9166.5841893563647</v>
      </c>
      <c r="C125" s="101">
        <f>IF(C34=0,0,1000000*C34/TrRoad_act!C68)</f>
        <v>9300.9986089735903</v>
      </c>
      <c r="D125" s="101">
        <f>IF(D34=0,0,1000000*D34/TrRoad_act!D68)</f>
        <v>9321.7247246752686</v>
      </c>
      <c r="E125" s="101">
        <f>IF(E34=0,0,1000000*E34/TrRoad_act!E68)</f>
        <v>9321.306709858558</v>
      </c>
      <c r="F125" s="101">
        <f>IF(F34=0,0,1000000*F34/TrRoad_act!F68)</f>
        <v>9317.8461256657702</v>
      </c>
      <c r="G125" s="101">
        <f>IF(G34=0,0,1000000*G34/TrRoad_act!G68)</f>
        <v>9482.6525823727388</v>
      </c>
      <c r="H125" s="101">
        <f>IF(H34=0,0,1000000*H34/TrRoad_act!H68)</f>
        <v>9529.8623092995749</v>
      </c>
      <c r="I125" s="101">
        <f>IF(I34=0,0,1000000*I34/TrRoad_act!I68)</f>
        <v>9456.5444666583207</v>
      </c>
      <c r="J125" s="101">
        <f>IF(J34=0,0,1000000*J34/TrRoad_act!J68)</f>
        <v>9560.7395968820729</v>
      </c>
      <c r="K125" s="101">
        <f>IF(K34=0,0,1000000*K34/TrRoad_act!K68)</f>
        <v>9229.6282801144807</v>
      </c>
      <c r="L125" s="101">
        <f>IF(L34=0,0,1000000*L34/TrRoad_act!L68)</f>
        <v>9007.9349889349578</v>
      </c>
      <c r="M125" s="101">
        <f>IF(M34=0,0,1000000*M34/TrRoad_act!M68)</f>
        <v>8824.9758030816156</v>
      </c>
      <c r="N125" s="101">
        <f>IF(N34=0,0,1000000*N34/TrRoad_act!N68)</f>
        <v>8652.9517734129968</v>
      </c>
      <c r="O125" s="101">
        <f>IF(O34=0,0,1000000*O34/TrRoad_act!O68)</f>
        <v>8546.6624093884038</v>
      </c>
      <c r="P125" s="101">
        <f>IF(P34=0,0,1000000*P34/TrRoad_act!P68)</f>
        <v>8514.2795108243008</v>
      </c>
      <c r="Q125" s="101">
        <f>IF(Q34=0,0,1000000*Q34/TrRoad_act!Q68)</f>
        <v>8387.5896821259885</v>
      </c>
      <c r="R125" s="101">
        <f>IF(R34=0,0,1000000*R34/TrRoad_act!R68)</f>
        <v>8463.8355945794247</v>
      </c>
      <c r="S125" s="101">
        <f>IF(S34=0,0,1000000*S34/TrRoad_act!S68)</f>
        <v>8473.2481979608747</v>
      </c>
      <c r="T125" s="101">
        <f>IF(T34=0,0,1000000*T34/TrRoad_act!T68)</f>
        <v>8426.8579358984571</v>
      </c>
      <c r="U125" s="101">
        <f>IF(U34=0,0,1000000*U34/TrRoad_act!U68)</f>
        <v>8109.1206079389394</v>
      </c>
      <c r="V125" s="101">
        <f>IF(V34=0,0,1000000*V34/TrRoad_act!V68)</f>
        <v>8368.9892018258779</v>
      </c>
      <c r="W125" s="101">
        <f>IF(W34=0,0,1000000*W34/TrRoad_act!W68)</f>
        <v>8471.3802679562014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26588.599783615347</v>
      </c>
      <c r="C126" s="101">
        <f>IF(C36=0,0,1000000*C36/TrRoad_act!C69)</f>
        <v>25826.314605658656</v>
      </c>
      <c r="D126" s="101">
        <f>IF(D36=0,0,1000000*D36/TrRoad_act!D69)</f>
        <v>25072.803257106065</v>
      </c>
      <c r="E126" s="101">
        <f>IF(E36=0,0,1000000*E36/TrRoad_act!E69)</f>
        <v>24423.525645564412</v>
      </c>
      <c r="F126" s="101">
        <f>IF(F36=0,0,1000000*F36/TrRoad_act!F69)</f>
        <v>23687.154357973457</v>
      </c>
      <c r="G126" s="101">
        <f>IF(G36=0,0,1000000*G36/TrRoad_act!G69)</f>
        <v>23458.973531513166</v>
      </c>
      <c r="H126" s="101">
        <f>IF(H36=0,0,1000000*H36/TrRoad_act!H69)</f>
        <v>23352.368878283225</v>
      </c>
      <c r="I126" s="101">
        <f>IF(I36=0,0,1000000*I36/TrRoad_act!I69)</f>
        <v>23176.200400156667</v>
      </c>
      <c r="J126" s="101">
        <f>IF(J36=0,0,1000000*J36/TrRoad_act!J69)</f>
        <v>23551.610794071912</v>
      </c>
      <c r="K126" s="101">
        <f>IF(K36=0,0,1000000*K36/TrRoad_act!K69)</f>
        <v>23869.841328543</v>
      </c>
      <c r="L126" s="101">
        <f>IF(L36=0,0,1000000*L36/TrRoad_act!L69)</f>
        <v>24372.946075972337</v>
      </c>
      <c r="M126" s="101">
        <f>IF(M36=0,0,1000000*M36/TrRoad_act!M69)</f>
        <v>24637.702707554919</v>
      </c>
      <c r="N126" s="101">
        <f>IF(N36=0,0,1000000*N36/TrRoad_act!N69)</f>
        <v>24080.876707230163</v>
      </c>
      <c r="O126" s="101">
        <f>IF(O36=0,0,1000000*O36/TrRoad_act!O69)</f>
        <v>23543.439005134038</v>
      </c>
      <c r="P126" s="101">
        <f>IF(P36=0,0,1000000*P36/TrRoad_act!P69)</f>
        <v>24110.377721356359</v>
      </c>
      <c r="Q126" s="101">
        <f>IF(Q36=0,0,1000000*Q36/TrRoad_act!Q69)</f>
        <v>24667.809680805185</v>
      </c>
      <c r="R126" s="101">
        <f>IF(R36=0,0,1000000*R36/TrRoad_act!R69)</f>
        <v>25506.978956487048</v>
      </c>
      <c r="S126" s="101">
        <f>IF(S36=0,0,1000000*S36/TrRoad_act!S69)</f>
        <v>26376.665829158821</v>
      </c>
      <c r="T126" s="101">
        <f>IF(T36=0,0,1000000*T36/TrRoad_act!T69)</f>
        <v>26889.682759372779</v>
      </c>
      <c r="U126" s="101">
        <f>IF(U36=0,0,1000000*U36/TrRoad_act!U69)</f>
        <v>26584.975061687288</v>
      </c>
      <c r="V126" s="101">
        <f>IF(V36=0,0,1000000*V36/TrRoad_act!V69)</f>
        <v>28082.025294015009</v>
      </c>
      <c r="W126" s="101">
        <f>IF(W36=0,0,1000000*W36/TrRoad_act!W69)</f>
        <v>29170.362919547191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40813.277174479146</v>
      </c>
      <c r="R128" s="101">
        <f>IF(R39=0,0,1000000*R39/TrRoad_act!R71)</f>
        <v>36071.820654549505</v>
      </c>
      <c r="S128" s="101">
        <f>IF(S39=0,0,1000000*S39/TrRoad_act!S71)</f>
        <v>39483.471157779495</v>
      </c>
      <c r="T128" s="101">
        <f>IF(T39=0,0,1000000*T39/TrRoad_act!T71)</f>
        <v>45995.020681282585</v>
      </c>
      <c r="U128" s="101">
        <f>IF(U39=0,0,1000000*U39/TrRoad_act!U71)</f>
        <v>51084.138965091668</v>
      </c>
      <c r="V128" s="101">
        <f>IF(V39=0,0,1000000*V39/TrRoad_act!V71)</f>
        <v>41336.031206035856</v>
      </c>
      <c r="W128" s="101">
        <f>IF(W39=0,0,1000000*W39/TrRoad_act!W71)</f>
        <v>47234.243106822054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0</v>
      </c>
      <c r="Q129" s="101">
        <f>IF(Q41=0,0,1000000*Q41/TrRoad_act!Q72)</f>
        <v>0</v>
      </c>
      <c r="R129" s="101">
        <f>IF(R41=0,0,1000000*R41/TrRoad_act!R72)</f>
        <v>15279.505559112271</v>
      </c>
      <c r="S129" s="101">
        <f>IF(S41=0,0,1000000*S41/TrRoad_act!S72)</f>
        <v>15339.289458917929</v>
      </c>
      <c r="T129" s="101">
        <f>IF(T41=0,0,1000000*T41/TrRoad_act!T72)</f>
        <v>15435.154941840383</v>
      </c>
      <c r="U129" s="101">
        <f>IF(U41=0,0,1000000*U41/TrRoad_act!U72)</f>
        <v>16002.305053264547</v>
      </c>
      <c r="V129" s="101">
        <f>IF(V41=0,0,1000000*V41/TrRoad_act!V72)</f>
        <v>15402.300538716305</v>
      </c>
      <c r="W129" s="101">
        <f>IF(W41=0,0,1000000*W41/TrRoad_act!W72)</f>
        <v>16222.323847584843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1805.9559336563364</v>
      </c>
      <c r="C131" s="152">
        <f>IF(C43=0,0,1000000*C43/TrRoad_act!C74)</f>
        <v>1835.2912283338694</v>
      </c>
      <c r="D131" s="152">
        <f>IF(D43=0,0,1000000*D43/TrRoad_act!D74)</f>
        <v>1780.5036130170884</v>
      </c>
      <c r="E131" s="152">
        <f>IF(E43=0,0,1000000*E43/TrRoad_act!E74)</f>
        <v>1758.2513332507674</v>
      </c>
      <c r="F131" s="152">
        <f>IF(F43=0,0,1000000*F43/TrRoad_act!F74)</f>
        <v>1761.1840414616797</v>
      </c>
      <c r="G131" s="152">
        <f>IF(G43=0,0,1000000*G43/TrRoad_act!G74)</f>
        <v>1707.7208648710732</v>
      </c>
      <c r="H131" s="152">
        <f>IF(H43=0,0,1000000*H43/TrRoad_act!H74)</f>
        <v>1680.6021445859956</v>
      </c>
      <c r="I131" s="152">
        <f>IF(I43=0,0,1000000*I43/TrRoad_act!I74)</f>
        <v>1728.8863307348038</v>
      </c>
      <c r="J131" s="152">
        <f>IF(J43=0,0,1000000*J43/TrRoad_act!J74)</f>
        <v>1703.8256955160721</v>
      </c>
      <c r="K131" s="152">
        <f>IF(K43=0,0,1000000*K43/TrRoad_act!K74)</f>
        <v>1640.4020967430845</v>
      </c>
      <c r="L131" s="152">
        <f>IF(L43=0,0,1000000*L43/TrRoad_act!L74)</f>
        <v>1655.5277456042893</v>
      </c>
      <c r="M131" s="152">
        <f>IF(M43=0,0,1000000*M43/TrRoad_act!M74)</f>
        <v>1549.0423372839143</v>
      </c>
      <c r="N131" s="152">
        <f>IF(N43=0,0,1000000*N43/TrRoad_act!N74)</f>
        <v>1455.3277794470994</v>
      </c>
      <c r="O131" s="152">
        <f>IF(O43=0,0,1000000*O43/TrRoad_act!O74)</f>
        <v>1417.6325691041861</v>
      </c>
      <c r="P131" s="152">
        <f>IF(P43=0,0,1000000*P43/TrRoad_act!P74)</f>
        <v>1364.4019670230198</v>
      </c>
      <c r="Q131" s="152">
        <f>IF(Q43=0,0,1000000*Q43/TrRoad_act!Q74)</f>
        <v>1351.2444614812389</v>
      </c>
      <c r="R131" s="152">
        <f>IF(R43=0,0,1000000*R43/TrRoad_act!R74)</f>
        <v>1340.2089585058707</v>
      </c>
      <c r="S131" s="152">
        <f>IF(S43=0,0,1000000*S43/TrRoad_act!S74)</f>
        <v>1365.6642135344139</v>
      </c>
      <c r="T131" s="152">
        <f>IF(T43=0,0,1000000*T43/TrRoad_act!T74)</f>
        <v>1396.2460870286977</v>
      </c>
      <c r="U131" s="152">
        <f>IF(U43=0,0,1000000*U43/TrRoad_act!U74)</f>
        <v>1356.3463301811471</v>
      </c>
      <c r="V131" s="152">
        <f>IF(V43=0,0,1000000*V43/TrRoad_act!V74)</f>
        <v>1269.0053293176463</v>
      </c>
      <c r="W131" s="152">
        <f>IF(W43=0,0,1000000*W43/TrRoad_act!W74)</f>
        <v>1315.6951267081506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1741.4464919793932</v>
      </c>
      <c r="C132" s="87">
        <f>IF(C44=0,0,1000000*C44/TrRoad_act!C75)</f>
        <v>1909.3488724444237</v>
      </c>
      <c r="D132" s="87">
        <f>IF(D44=0,0,1000000*D44/TrRoad_act!D75)</f>
        <v>1858.1336621478708</v>
      </c>
      <c r="E132" s="87">
        <f>IF(E44=0,0,1000000*E44/TrRoad_act!E75)</f>
        <v>1741.1105490671057</v>
      </c>
      <c r="F132" s="87">
        <f>IF(F44=0,0,1000000*F44/TrRoad_act!F75)</f>
        <v>1719.2689583338101</v>
      </c>
      <c r="G132" s="87">
        <f>IF(G44=0,0,1000000*G44/TrRoad_act!G75)</f>
        <v>1664.3397584330676</v>
      </c>
      <c r="H132" s="87">
        <f>IF(H44=0,0,1000000*H44/TrRoad_act!H75)</f>
        <v>1584.685383800369</v>
      </c>
      <c r="I132" s="87">
        <f>IF(I44=0,0,1000000*I44/TrRoad_act!I75)</f>
        <v>1666.9096640762148</v>
      </c>
      <c r="J132" s="87">
        <f>IF(J44=0,0,1000000*J44/TrRoad_act!J75)</f>
        <v>1574.6008997417512</v>
      </c>
      <c r="K132" s="87">
        <f>IF(K44=0,0,1000000*K44/TrRoad_act!K75)</f>
        <v>1496.0956713256141</v>
      </c>
      <c r="L132" s="87">
        <f>IF(L44=0,0,1000000*L44/TrRoad_act!L75)</f>
        <v>1463.0688334769832</v>
      </c>
      <c r="M132" s="87">
        <f>IF(M44=0,0,1000000*M44/TrRoad_act!M75)</f>
        <v>1315.1644194276828</v>
      </c>
      <c r="N132" s="87">
        <f>IF(N44=0,0,1000000*N44/TrRoad_act!N75)</f>
        <v>1202.1449550136836</v>
      </c>
      <c r="O132" s="87">
        <f>IF(O44=0,0,1000000*O44/TrRoad_act!O75)</f>
        <v>1204.9721628371738</v>
      </c>
      <c r="P132" s="87">
        <f>IF(P44=0,0,1000000*P44/TrRoad_act!P75)</f>
        <v>1232.3847649286845</v>
      </c>
      <c r="Q132" s="87">
        <f>IF(Q44=0,0,1000000*Q44/TrRoad_act!Q75)</f>
        <v>1285.9587959571602</v>
      </c>
      <c r="R132" s="87">
        <f>IF(R44=0,0,1000000*R44/TrRoad_act!R75)</f>
        <v>1270.7056961633675</v>
      </c>
      <c r="S132" s="87">
        <f>IF(S44=0,0,1000000*S44/TrRoad_act!S75)</f>
        <v>1277.6080552515068</v>
      </c>
      <c r="T132" s="87">
        <f>IF(T44=0,0,1000000*T44/TrRoad_act!T75)</f>
        <v>1237.5824996719509</v>
      </c>
      <c r="U132" s="87">
        <f>IF(U44=0,0,1000000*U44/TrRoad_act!U75)</f>
        <v>1215.4988290778742</v>
      </c>
      <c r="V132" s="87">
        <f>IF(V44=0,0,1000000*V44/TrRoad_act!V75)</f>
        <v>1116.8089497488043</v>
      </c>
      <c r="W132" s="87">
        <f>IF(W44=0,0,1000000*W44/TrRoad_act!W75)</f>
        <v>1200.0260499713061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1822.9539126313052</v>
      </c>
      <c r="C133" s="87">
        <f>IF(C46=0,0,1000000*C46/TrRoad_act!C76)</f>
        <v>1816.3659401247915</v>
      </c>
      <c r="D133" s="87">
        <f>IF(D46=0,0,1000000*D46/TrRoad_act!D76)</f>
        <v>1761.3252585071516</v>
      </c>
      <c r="E133" s="87">
        <f>IF(E46=0,0,1000000*E46/TrRoad_act!E76)</f>
        <v>1762.4991359323726</v>
      </c>
      <c r="F133" s="87">
        <f>IF(F46=0,0,1000000*F46/TrRoad_act!F76)</f>
        <v>1770.6389633504048</v>
      </c>
      <c r="G133" s="87">
        <f>IF(G46=0,0,1000000*G46/TrRoad_act!G76)</f>
        <v>1716.7479330885371</v>
      </c>
      <c r="H133" s="87">
        <f>IF(H46=0,0,1000000*H46/TrRoad_act!H76)</f>
        <v>1698.9659531104605</v>
      </c>
      <c r="I133" s="87">
        <f>IF(I46=0,0,1000000*I46/TrRoad_act!I76)</f>
        <v>1738.9531734174268</v>
      </c>
      <c r="J133" s="87">
        <f>IF(J46=0,0,1000000*J46/TrRoad_act!J76)</f>
        <v>1723.2642375609712</v>
      </c>
      <c r="K133" s="87">
        <f>IF(K46=0,0,1000000*K46/TrRoad_act!K76)</f>
        <v>1661.1957715028805</v>
      </c>
      <c r="L133" s="87">
        <f>IF(L46=0,0,1000000*L46/TrRoad_act!L76)</f>
        <v>1681.4211157600723</v>
      </c>
      <c r="M133" s="87">
        <f>IF(M46=0,0,1000000*M46/TrRoad_act!M76)</f>
        <v>1579.5299593892667</v>
      </c>
      <c r="N133" s="87">
        <f>IF(N46=0,0,1000000*N46/TrRoad_act!N76)</f>
        <v>1485.8441276488131</v>
      </c>
      <c r="O133" s="87">
        <f>IF(O46=0,0,1000000*O46/TrRoad_act!O76)</f>
        <v>1441.5294147618054</v>
      </c>
      <c r="P133" s="87">
        <f>IF(P46=0,0,1000000*P46/TrRoad_act!P76)</f>
        <v>1377.686996965333</v>
      </c>
      <c r="Q133" s="87">
        <f>IF(Q46=0,0,1000000*Q46/TrRoad_act!Q76)</f>
        <v>1358.7973882099186</v>
      </c>
      <c r="R133" s="87">
        <f>IF(R46=0,0,1000000*R46/TrRoad_act!R76)</f>
        <v>1347.872618941916</v>
      </c>
      <c r="S133" s="87">
        <f>IF(S46=0,0,1000000*S46/TrRoad_act!S76)</f>
        <v>1374.8576281781263</v>
      </c>
      <c r="T133" s="87">
        <f>IF(T46=0,0,1000000*T46/TrRoad_act!T76)</f>
        <v>1410.2303719470763</v>
      </c>
      <c r="U133" s="87">
        <f>IF(U46=0,0,1000000*U46/TrRoad_act!U76)</f>
        <v>1369.0542490241182</v>
      </c>
      <c r="V133" s="87">
        <f>IF(V46=0,0,1000000*V46/TrRoad_act!V76)</f>
        <v>1283.2002443938613</v>
      </c>
      <c r="W133" s="87">
        <f>IF(W46=0,0,1000000*W46/TrRoad_act!W76)</f>
        <v>1332.0262240337024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1801.1702843393477</v>
      </c>
      <c r="C134" s="87">
        <f>IF(C48=0,0,1000000*C48/TrRoad_act!C77)</f>
        <v>1705.0495488624597</v>
      </c>
      <c r="D134" s="87">
        <f>IF(D48=0,0,1000000*D48/TrRoad_act!D77)</f>
        <v>1564.3824134481563</v>
      </c>
      <c r="E134" s="87">
        <f>IF(E48=0,0,1000000*E48/TrRoad_act!E77)</f>
        <v>1587.1824432359372</v>
      </c>
      <c r="F134" s="87">
        <f>IF(F48=0,0,1000000*F48/TrRoad_act!F77)</f>
        <v>1669.892611919433</v>
      </c>
      <c r="G134" s="87">
        <f>IF(G48=0,0,1000000*G48/TrRoad_act!G77)</f>
        <v>1563.9885666606879</v>
      </c>
      <c r="H134" s="87">
        <f>IF(H48=0,0,1000000*H48/TrRoad_act!H77)</f>
        <v>1449.6568872384848</v>
      </c>
      <c r="I134" s="87">
        <f>IF(I48=0,0,1000000*I48/TrRoad_act!I77)</f>
        <v>1409.6819726797833</v>
      </c>
      <c r="J134" s="87">
        <f>IF(J48=0,0,1000000*J48/TrRoad_act!J77)</f>
        <v>1410.4617651166157</v>
      </c>
      <c r="K134" s="87">
        <f>IF(K48=0,0,1000000*K48/TrRoad_act!K77)</f>
        <v>1327.1941958405664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995.00935541826982</v>
      </c>
      <c r="R135" s="87">
        <f>IF(R49=0,0,1000000*R49/TrRoad_act!R78)</f>
        <v>995.73385683301422</v>
      </c>
      <c r="S135" s="87">
        <f>IF(S49=0,0,1000000*S49/TrRoad_act!S78)</f>
        <v>959.03800336024949</v>
      </c>
      <c r="T135" s="87">
        <f>IF(T49=0,0,1000000*T49/TrRoad_act!T78)</f>
        <v>951.31899919737032</v>
      </c>
      <c r="U135" s="87">
        <f>IF(U49=0,0,1000000*U49/TrRoad_act!U78)</f>
        <v>941.37533576862313</v>
      </c>
      <c r="V135" s="87">
        <f>IF(V49=0,0,1000000*V49/TrRoad_act!V78)</f>
        <v>898.34425209313838</v>
      </c>
      <c r="W135" s="87">
        <f>IF(W49=0,0,1000000*W49/TrRoad_act!W78)</f>
        <v>937.87180176565209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205.19904486778938</v>
      </c>
      <c r="O136" s="87">
        <f>IF(O51=0,0,1000000*O51/TrRoad_act!O79)</f>
        <v>209.65285408370835</v>
      </c>
      <c r="P136" s="87">
        <f>IF(P51=0,0,1000000*P51/TrRoad_act!P79)</f>
        <v>229.08266769085071</v>
      </c>
      <c r="Q136" s="87">
        <f>IF(Q51=0,0,1000000*Q51/TrRoad_act!Q79)</f>
        <v>231.33050354078196</v>
      </c>
      <c r="R136" s="87">
        <f>IF(R51=0,0,1000000*R51/TrRoad_act!R79)</f>
        <v>231.95511665240744</v>
      </c>
      <c r="S136" s="87">
        <f>IF(S51=0,0,1000000*S51/TrRoad_act!S79)</f>
        <v>232.57494945603844</v>
      </c>
      <c r="T136" s="87">
        <f>IF(T51=0,0,1000000*T51/TrRoad_act!T79)</f>
        <v>245.23891349777861</v>
      </c>
      <c r="U136" s="87">
        <f>IF(U51=0,0,1000000*U51/TrRoad_act!U79)</f>
        <v>255.29455505446768</v>
      </c>
      <c r="V136" s="87">
        <f>IF(V51=0,0,1000000*V51/TrRoad_act!V79)</f>
        <v>293.67985952497605</v>
      </c>
      <c r="W136" s="87">
        <f>IF(W51=0,0,1000000*W51/TrRoad_act!W79)</f>
        <v>349.51422167931685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17265.155174103533</v>
      </c>
      <c r="C137" s="116">
        <f>IF(C52=0,0,1000000*C52/TrRoad_act!C80)</f>
        <v>17461.733438496176</v>
      </c>
      <c r="D137" s="116">
        <f>IF(D52=0,0,1000000*D52/TrRoad_act!D80)</f>
        <v>17261.861594936741</v>
      </c>
      <c r="E137" s="116">
        <f>IF(E52=0,0,1000000*E52/TrRoad_act!E80)</f>
        <v>19323.556507873163</v>
      </c>
      <c r="F137" s="116">
        <f>IF(F52=0,0,1000000*F52/TrRoad_act!F80)</f>
        <v>20021.861286462034</v>
      </c>
      <c r="G137" s="116">
        <f>IF(G52=0,0,1000000*G52/TrRoad_act!G80)</f>
        <v>17751.653275504017</v>
      </c>
      <c r="H137" s="116">
        <f>IF(H52=0,0,1000000*H52/TrRoad_act!H80)</f>
        <v>17613.44246670706</v>
      </c>
      <c r="I137" s="116">
        <f>IF(I52=0,0,1000000*I52/TrRoad_act!I80)</f>
        <v>16321.79967339529</v>
      </c>
      <c r="J137" s="116">
        <f>IF(J52=0,0,1000000*J52/TrRoad_act!J80)</f>
        <v>15111.85582490936</v>
      </c>
      <c r="K137" s="116">
        <f>IF(K52=0,0,1000000*K52/TrRoad_act!K80)</f>
        <v>14007.538102608793</v>
      </c>
      <c r="L137" s="116">
        <f>IF(L52=0,0,1000000*L52/TrRoad_act!L80)</f>
        <v>14394.667140047495</v>
      </c>
      <c r="M137" s="116">
        <f>IF(M52=0,0,1000000*M52/TrRoad_act!M80)</f>
        <v>14696.83075040591</v>
      </c>
      <c r="N137" s="116">
        <f>IF(N52=0,0,1000000*N52/TrRoad_act!N80)</f>
        <v>13611.794656523347</v>
      </c>
      <c r="O137" s="116">
        <f>IF(O52=0,0,1000000*O52/TrRoad_act!O80)</f>
        <v>13442.001019322823</v>
      </c>
      <c r="P137" s="116">
        <f>IF(P52=0,0,1000000*P52/TrRoad_act!P80)</f>
        <v>14559.110641387186</v>
      </c>
      <c r="Q137" s="116">
        <f>IF(Q52=0,0,1000000*Q52/TrRoad_act!Q80)</f>
        <v>15476.218393366333</v>
      </c>
      <c r="R137" s="116">
        <f>IF(R52=0,0,1000000*R52/TrRoad_act!R80)</f>
        <v>16934.265435328442</v>
      </c>
      <c r="S137" s="116">
        <f>IF(S52=0,0,1000000*S52/TrRoad_act!S80)</f>
        <v>16911.994102317283</v>
      </c>
      <c r="T137" s="116">
        <f>IF(T52=0,0,1000000*T52/TrRoad_act!T80)</f>
        <v>17590.967399490855</v>
      </c>
      <c r="U137" s="116">
        <f>IF(U52=0,0,1000000*U52/TrRoad_act!U80)</f>
        <v>16856.22253619858</v>
      </c>
      <c r="V137" s="116">
        <f>IF(V52=0,0,1000000*V52/TrRoad_act!V80)</f>
        <v>16198.171369335947</v>
      </c>
      <c r="W137" s="116">
        <f>IF(W52=0,0,1000000*W52/TrRoad_act!W80)</f>
        <v>16474.357457455724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13710.268382059474</v>
      </c>
      <c r="C138" s="101">
        <f>IF(C53=0,0,1000000*C53/TrRoad_act!C81)</f>
        <v>13555.031309224307</v>
      </c>
      <c r="D138" s="101">
        <f>IF(D53=0,0,1000000*D53/TrRoad_act!D81)</f>
        <v>13012.057644018816</v>
      </c>
      <c r="E138" s="101">
        <f>IF(E53=0,0,1000000*E53/TrRoad_act!E81)</f>
        <v>13923.692029979677</v>
      </c>
      <c r="F138" s="101">
        <f>IF(F53=0,0,1000000*F53/TrRoad_act!F81)</f>
        <v>13090.295482041171</v>
      </c>
      <c r="G138" s="101">
        <f>IF(G53=0,0,1000000*G53/TrRoad_act!G81)</f>
        <v>11329.311013312677</v>
      </c>
      <c r="H138" s="101">
        <f>IF(H53=0,0,1000000*H53/TrRoad_act!H81)</f>
        <v>11353.941601687719</v>
      </c>
      <c r="I138" s="101">
        <f>IF(I53=0,0,1000000*I53/TrRoad_act!I81)</f>
        <v>10405.60778571124</v>
      </c>
      <c r="J138" s="101">
        <f>IF(J53=0,0,1000000*J53/TrRoad_act!J81)</f>
        <v>9942.52372936557</v>
      </c>
      <c r="K138" s="101">
        <f>IF(K53=0,0,1000000*K53/TrRoad_act!K81)</f>
        <v>9232.6462352696944</v>
      </c>
      <c r="L138" s="101">
        <f>IF(L53=0,0,1000000*L53/TrRoad_act!L81)</f>
        <v>9459.0078584787152</v>
      </c>
      <c r="M138" s="101">
        <f>IF(M53=0,0,1000000*M53/TrRoad_act!M81)</f>
        <v>10048.178199238622</v>
      </c>
      <c r="N138" s="101">
        <f>IF(N53=0,0,1000000*N53/TrRoad_act!N81)</f>
        <v>10127.36474882197</v>
      </c>
      <c r="O138" s="101">
        <f>IF(O53=0,0,1000000*O53/TrRoad_act!O81)</f>
        <v>10103.756285753083</v>
      </c>
      <c r="P138" s="101">
        <f>IF(P53=0,0,1000000*P53/TrRoad_act!P81)</f>
        <v>10502.414028818101</v>
      </c>
      <c r="Q138" s="101">
        <f>IF(Q53=0,0,1000000*Q53/TrRoad_act!Q81)</f>
        <v>11670.513335777992</v>
      </c>
      <c r="R138" s="101">
        <f>IF(R53=0,0,1000000*R53/TrRoad_act!R81)</f>
        <v>11635.705863515192</v>
      </c>
      <c r="S138" s="101">
        <f>IF(S53=0,0,1000000*S53/TrRoad_act!S81)</f>
        <v>10936.18616160979</v>
      </c>
      <c r="T138" s="101">
        <f>IF(T53=0,0,1000000*T53/TrRoad_act!T81)</f>
        <v>10706.727863643833</v>
      </c>
      <c r="U138" s="101">
        <f>IF(U53=0,0,1000000*U53/TrRoad_act!U81)</f>
        <v>10528.396874958291</v>
      </c>
      <c r="V138" s="101">
        <f>IF(V53=0,0,1000000*V53/TrRoad_act!V81)</f>
        <v>10429.965437886056</v>
      </c>
      <c r="W138" s="101">
        <f>IF(W53=0,0,1000000*W53/TrRoad_act!W81)</f>
        <v>10367.880703736026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55121.782251747391</v>
      </c>
      <c r="C139" s="88">
        <f>IF(C55=0,0,1000000*C55/TrRoad_act!C82)</f>
        <v>57921.411805181655</v>
      </c>
      <c r="D139" s="88">
        <f>IF(D55=0,0,1000000*D55/TrRoad_act!D82)</f>
        <v>60368.277819355215</v>
      </c>
      <c r="E139" s="88">
        <f>IF(E55=0,0,1000000*E55/TrRoad_act!E82)</f>
        <v>73687.316678551695</v>
      </c>
      <c r="F139" s="88">
        <f>IF(F55=0,0,1000000*F55/TrRoad_act!F82)</f>
        <v>81036.332160035512</v>
      </c>
      <c r="G139" s="88">
        <f>IF(G55=0,0,1000000*G55/TrRoad_act!G82)</f>
        <v>79977.932904791625</v>
      </c>
      <c r="H139" s="88">
        <f>IF(H55=0,0,1000000*H55/TrRoad_act!H82)</f>
        <v>76316.069709435309</v>
      </c>
      <c r="I139" s="88">
        <f>IF(I55=0,0,1000000*I55/TrRoad_act!I82)</f>
        <v>74591.602927762229</v>
      </c>
      <c r="J139" s="88">
        <f>IF(J55=0,0,1000000*J55/TrRoad_act!J82)</f>
        <v>54478.594835345662</v>
      </c>
      <c r="K139" s="88">
        <f>IF(K55=0,0,1000000*K55/TrRoad_act!K82)</f>
        <v>53461.059626764691</v>
      </c>
      <c r="L139" s="88">
        <f>IF(L55=0,0,1000000*L55/TrRoad_act!L82)</f>
        <v>57952.417623659079</v>
      </c>
      <c r="M139" s="88">
        <f>IF(M55=0,0,1000000*M55/TrRoad_act!M82)</f>
        <v>56269.141053465173</v>
      </c>
      <c r="N139" s="88">
        <f>IF(N55=0,0,1000000*N55/TrRoad_act!N82)</f>
        <v>44850.732047955935</v>
      </c>
      <c r="O139" s="88">
        <f>IF(O55=0,0,1000000*O55/TrRoad_act!O82)</f>
        <v>39441.302509055655</v>
      </c>
      <c r="P139" s="88">
        <f>IF(P55=0,0,1000000*P55/TrRoad_act!P82)</f>
        <v>48563.88246599296</v>
      </c>
      <c r="Q139" s="88">
        <f>IF(Q55=0,0,1000000*Q55/TrRoad_act!Q82)</f>
        <v>42387.450222715968</v>
      </c>
      <c r="R139" s="88">
        <f>IF(R55=0,0,1000000*R55/TrRoad_act!R82)</f>
        <v>50042.380467283336</v>
      </c>
      <c r="S139" s="88">
        <f>IF(S55=0,0,1000000*S55/TrRoad_act!S82)</f>
        <v>53948.970548225778</v>
      </c>
      <c r="T139" s="88">
        <f>IF(T55=0,0,1000000*T55/TrRoad_act!T82)</f>
        <v>64159.812379500967</v>
      </c>
      <c r="U139" s="88">
        <f>IF(U55=0,0,1000000*U55/TrRoad_act!U82)</f>
        <v>59483.541616066839</v>
      </c>
      <c r="V139" s="88">
        <f>IF(V55=0,0,1000000*V55/TrRoad_act!V82)</f>
        <v>52023.878829206413</v>
      </c>
      <c r="W139" s="88">
        <f>IF(W55=0,0,1000000*W55/TrRoad_act!W82)</f>
        <v>54973.742175214174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0.64859501500218275</v>
      </c>
      <c r="C142" s="46">
        <f t="shared" si="41"/>
        <v>0.63459293386520799</v>
      </c>
      <c r="D142" s="46">
        <f t="shared" si="41"/>
        <v>0.63527885973255815</v>
      </c>
      <c r="E142" s="46">
        <f t="shared" si="41"/>
        <v>0.62139451163515502</v>
      </c>
      <c r="F142" s="46">
        <f t="shared" si="41"/>
        <v>0.60567718295158202</v>
      </c>
      <c r="G142" s="46">
        <f t="shared" si="41"/>
        <v>0.60201293695462121</v>
      </c>
      <c r="H142" s="46">
        <f t="shared" si="41"/>
        <v>0.59216113834238338</v>
      </c>
      <c r="I142" s="46">
        <f t="shared" si="41"/>
        <v>0.59073553850570515</v>
      </c>
      <c r="J142" s="46">
        <f t="shared" si="41"/>
        <v>0.60149583035230425</v>
      </c>
      <c r="K142" s="46">
        <f t="shared" si="41"/>
        <v>0.62752291405234828</v>
      </c>
      <c r="L142" s="46">
        <f t="shared" ref="L142" si="42">IF(L18=0,0,L18/L$17)</f>
        <v>0.62892458022833297</v>
      </c>
      <c r="M142" s="46">
        <f t="shared" ref="M142:V142" si="43">IF(M18=0,0,M18/M$17)</f>
        <v>0.64584281971550683</v>
      </c>
      <c r="N142" s="46">
        <f t="shared" si="43"/>
        <v>0.65295302461048532</v>
      </c>
      <c r="O142" s="46">
        <f t="shared" si="43"/>
        <v>0.65964919577202552</v>
      </c>
      <c r="P142" s="46">
        <f t="shared" si="43"/>
        <v>0.65938594812378082</v>
      </c>
      <c r="Q142" s="46">
        <f t="shared" si="43"/>
        <v>0.68556510923366365</v>
      </c>
      <c r="R142" s="46">
        <f t="shared" si="43"/>
        <v>0.6684096099544421</v>
      </c>
      <c r="S142" s="46">
        <f t="shared" si="43"/>
        <v>0.66415742563187219</v>
      </c>
      <c r="T142" s="46">
        <f t="shared" si="43"/>
        <v>0.66316730195581675</v>
      </c>
      <c r="U142" s="46">
        <f t="shared" si="43"/>
        <v>0.67064492898219241</v>
      </c>
      <c r="V142" s="46">
        <f t="shared" si="43"/>
        <v>0.66255223263235064</v>
      </c>
      <c r="W142" s="46">
        <f t="shared" ref="W142" si="44">IF(W18=0,0,W18/W$17)</f>
        <v>0.65753963651200453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6.4219230368000469E-3</v>
      </c>
      <c r="C143" s="154">
        <f t="shared" si="45"/>
        <v>6.0065646917092496E-3</v>
      </c>
      <c r="D143" s="154">
        <f t="shared" si="45"/>
        <v>6.1480715940543315E-3</v>
      </c>
      <c r="E143" s="154">
        <f t="shared" si="45"/>
        <v>5.943546527429208E-3</v>
      </c>
      <c r="F143" s="154">
        <f t="shared" si="45"/>
        <v>5.7030548111160519E-3</v>
      </c>
      <c r="G143" s="154">
        <f t="shared" si="45"/>
        <v>5.7156472483439079E-3</v>
      </c>
      <c r="H143" s="154">
        <f t="shared" si="45"/>
        <v>5.7746068449895417E-3</v>
      </c>
      <c r="I143" s="154">
        <f t="shared" si="45"/>
        <v>5.8051329235030017E-3</v>
      </c>
      <c r="J143" s="154">
        <f t="shared" si="45"/>
        <v>5.8788790756229324E-3</v>
      </c>
      <c r="K143" s="154">
        <f t="shared" si="45"/>
        <v>5.9173275210937003E-3</v>
      </c>
      <c r="L143" s="154">
        <f t="shared" ref="L143" si="46">IF(L19=0,0,L19/L$17)</f>
        <v>5.9089687972462149E-3</v>
      </c>
      <c r="M143" s="154">
        <f t="shared" ref="M143:V143" si="47">IF(M19=0,0,M19/M$17)</f>
        <v>5.8482394534140831E-3</v>
      </c>
      <c r="N143" s="154">
        <f t="shared" si="47"/>
        <v>6.2839317466868438E-3</v>
      </c>
      <c r="O143" s="154">
        <f t="shared" si="47"/>
        <v>6.4203213377648444E-3</v>
      </c>
      <c r="P143" s="154">
        <f t="shared" si="47"/>
        <v>6.4014081637878469E-3</v>
      </c>
      <c r="Q143" s="154">
        <f t="shared" si="47"/>
        <v>6.1840568618647266E-3</v>
      </c>
      <c r="R143" s="154">
        <f t="shared" si="47"/>
        <v>6.0342524609955182E-3</v>
      </c>
      <c r="S143" s="154">
        <f t="shared" si="47"/>
        <v>5.6109199845965673E-3</v>
      </c>
      <c r="T143" s="154">
        <f t="shared" si="47"/>
        <v>5.1829599652577496E-3</v>
      </c>
      <c r="U143" s="154">
        <f t="shared" si="47"/>
        <v>5.4595316600403792E-3</v>
      </c>
      <c r="V143" s="154">
        <f t="shared" si="47"/>
        <v>5.1961913928678235E-3</v>
      </c>
      <c r="W143" s="154">
        <f t="shared" ref="W143" si="48">IF(W19=0,0,W19/W$17)</f>
        <v>5.0429939172086987E-3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0.54906163958322529</v>
      </c>
      <c r="C144" s="156">
        <f t="shared" si="49"/>
        <v>0.53872696866441083</v>
      </c>
      <c r="D144" s="156">
        <f t="shared" si="49"/>
        <v>0.54236519229628455</v>
      </c>
      <c r="E144" s="156">
        <f t="shared" si="49"/>
        <v>0.53107836300203481</v>
      </c>
      <c r="F144" s="156">
        <f t="shared" si="49"/>
        <v>0.51960555513775197</v>
      </c>
      <c r="G144" s="156">
        <f t="shared" si="49"/>
        <v>0.5158657112406968</v>
      </c>
      <c r="H144" s="156">
        <f t="shared" si="49"/>
        <v>0.50760023692098499</v>
      </c>
      <c r="I144" s="156">
        <f t="shared" si="49"/>
        <v>0.51053659776677141</v>
      </c>
      <c r="J144" s="156">
        <f t="shared" si="49"/>
        <v>0.51831318502391743</v>
      </c>
      <c r="K144" s="156">
        <f t="shared" si="49"/>
        <v>0.53863205439296957</v>
      </c>
      <c r="L144" s="156">
        <f t="shared" ref="L144" si="50">IF(L21=0,0,L21/L$17)</f>
        <v>0.53797027882360726</v>
      </c>
      <c r="M144" s="156">
        <f t="shared" ref="M144:V144" si="51">IF(M21=0,0,M21/M$17)</f>
        <v>0.55681567130850096</v>
      </c>
      <c r="N144" s="156">
        <f t="shared" si="51"/>
        <v>0.56296288291937691</v>
      </c>
      <c r="O144" s="156">
        <f t="shared" si="51"/>
        <v>0.57141179251446839</v>
      </c>
      <c r="P144" s="156">
        <f t="shared" si="51"/>
        <v>0.569503148397831</v>
      </c>
      <c r="Q144" s="156">
        <f t="shared" si="51"/>
        <v>0.59683594435611009</v>
      </c>
      <c r="R144" s="156">
        <f t="shared" si="51"/>
        <v>0.57827165929706426</v>
      </c>
      <c r="S144" s="156">
        <f t="shared" si="51"/>
        <v>0.57042174840556659</v>
      </c>
      <c r="T144" s="156">
        <f t="shared" si="51"/>
        <v>0.57176100232169424</v>
      </c>
      <c r="U144" s="156">
        <f t="shared" si="51"/>
        <v>0.57926847995078912</v>
      </c>
      <c r="V144" s="156">
        <f t="shared" si="51"/>
        <v>0.56563581048146871</v>
      </c>
      <c r="W144" s="156">
        <f t="shared" ref="W144" si="52">IF(W21=0,0,W21/W$17)</f>
        <v>0.56245505534029228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0.50334816401475424</v>
      </c>
      <c r="C145" s="103">
        <f t="shared" si="53"/>
        <v>0.4895153415827066</v>
      </c>
      <c r="D145" s="103">
        <f t="shared" si="53"/>
        <v>0.48770203544551344</v>
      </c>
      <c r="E145" s="103">
        <f t="shared" si="53"/>
        <v>0.47302145542963003</v>
      </c>
      <c r="F145" s="103">
        <f t="shared" si="53"/>
        <v>0.45339722428235424</v>
      </c>
      <c r="G145" s="103">
        <f t="shared" si="53"/>
        <v>0.43599100848462691</v>
      </c>
      <c r="H145" s="103">
        <f t="shared" si="53"/>
        <v>0.4172994852374417</v>
      </c>
      <c r="I145" s="103">
        <f t="shared" si="53"/>
        <v>0.39607209024725515</v>
      </c>
      <c r="J145" s="103">
        <f t="shared" si="53"/>
        <v>0.38752847450711159</v>
      </c>
      <c r="K145" s="103">
        <f t="shared" si="53"/>
        <v>0.39032879241304702</v>
      </c>
      <c r="L145" s="103">
        <f t="shared" ref="L145" si="54">IF(L22=0,0,L22/L$17)</f>
        <v>0.37083359004409322</v>
      </c>
      <c r="M145" s="103">
        <f t="shared" ref="M145:V145" si="55">IF(M22=0,0,M22/M$17)</f>
        <v>0.37116869425600763</v>
      </c>
      <c r="N145" s="103">
        <f t="shared" si="55"/>
        <v>0.35871780301762096</v>
      </c>
      <c r="O145" s="103">
        <f t="shared" si="55"/>
        <v>0.35286700359975687</v>
      </c>
      <c r="P145" s="103">
        <f t="shared" si="55"/>
        <v>0.34379125923223014</v>
      </c>
      <c r="Q145" s="103">
        <f t="shared" si="55"/>
        <v>0.34842624951971174</v>
      </c>
      <c r="R145" s="103">
        <f t="shared" si="55"/>
        <v>0.34155838503113078</v>
      </c>
      <c r="S145" s="103">
        <f t="shared" si="55"/>
        <v>0.32600410890138498</v>
      </c>
      <c r="T145" s="103">
        <f t="shared" si="55"/>
        <v>0.32134153592043024</v>
      </c>
      <c r="U145" s="103">
        <f t="shared" si="55"/>
        <v>0.32846038689248436</v>
      </c>
      <c r="V145" s="103">
        <f t="shared" si="55"/>
        <v>0.32491982914570883</v>
      </c>
      <c r="W145" s="103">
        <f t="shared" ref="W145" si="56">IF(W22=0,0,W22/W$17)</f>
        <v>0.32521541119582748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4.3132302487816201E-2</v>
      </c>
      <c r="C146" s="103">
        <f t="shared" si="57"/>
        <v>4.6356744390044467E-2</v>
      </c>
      <c r="D146" s="103">
        <f t="shared" si="57"/>
        <v>5.1542744356796455E-2</v>
      </c>
      <c r="E146" s="103">
        <f t="shared" si="57"/>
        <v>5.5614813851542759E-2</v>
      </c>
      <c r="F146" s="103">
        <f t="shared" si="57"/>
        <v>6.4109075798500781E-2</v>
      </c>
      <c r="G146" s="103">
        <f t="shared" si="57"/>
        <v>7.8049943915186312E-2</v>
      </c>
      <c r="H146" s="103">
        <f t="shared" si="57"/>
        <v>8.877718465771875E-2</v>
      </c>
      <c r="I146" s="103">
        <f t="shared" si="57"/>
        <v>0.1132519673570363</v>
      </c>
      <c r="J146" s="103">
        <f t="shared" si="57"/>
        <v>0.12979168512014702</v>
      </c>
      <c r="K146" s="103">
        <f t="shared" si="57"/>
        <v>0.14751610339139615</v>
      </c>
      <c r="L146" s="103">
        <f t="shared" ref="L146" si="58">IF(L24=0,0,L24/L$17)</f>
        <v>0.16713441448391039</v>
      </c>
      <c r="M146" s="103">
        <f t="shared" ref="M146:V146" si="59">IF(M24=0,0,M24/M$17)</f>
        <v>0.18562615197327439</v>
      </c>
      <c r="N146" s="103">
        <f t="shared" si="59"/>
        <v>0.20419691709194171</v>
      </c>
      <c r="O146" s="103">
        <f t="shared" si="59"/>
        <v>0.21846766805646398</v>
      </c>
      <c r="P146" s="103">
        <f t="shared" si="59"/>
        <v>0.22555491826549137</v>
      </c>
      <c r="Q146" s="103">
        <f t="shared" si="59"/>
        <v>0.24640928437674928</v>
      </c>
      <c r="R146" s="103">
        <f t="shared" si="59"/>
        <v>0.23611960726825529</v>
      </c>
      <c r="S146" s="103">
        <f t="shared" si="59"/>
        <v>0.24376225337681598</v>
      </c>
      <c r="T146" s="103">
        <f t="shared" si="59"/>
        <v>0.24940556126413185</v>
      </c>
      <c r="U146" s="103">
        <f t="shared" si="59"/>
        <v>0.24911483168085166</v>
      </c>
      <c r="V146" s="103">
        <f t="shared" si="59"/>
        <v>0.23676558456926092</v>
      </c>
      <c r="W146" s="103">
        <f t="shared" ref="W146" si="60">IF(W24=0,0,W24/W$17)</f>
        <v>0.2272462873450089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2.5811730806547927E-3</v>
      </c>
      <c r="C147" s="103">
        <f t="shared" si="61"/>
        <v>2.8548826916597186E-3</v>
      </c>
      <c r="D147" s="103">
        <f t="shared" si="61"/>
        <v>3.1204124939746675E-3</v>
      </c>
      <c r="E147" s="103">
        <f t="shared" si="61"/>
        <v>2.4420937208621315E-3</v>
      </c>
      <c r="F147" s="103">
        <f t="shared" si="61"/>
        <v>2.0992550568970161E-3</v>
      </c>
      <c r="G147" s="103">
        <f t="shared" si="61"/>
        <v>1.8247588408835671E-3</v>
      </c>
      <c r="H147" s="103">
        <f t="shared" si="61"/>
        <v>1.523567025824574E-3</v>
      </c>
      <c r="I147" s="103">
        <f t="shared" si="61"/>
        <v>1.2125401624798594E-3</v>
      </c>
      <c r="J147" s="103">
        <f t="shared" si="61"/>
        <v>9.930253966588822E-4</v>
      </c>
      <c r="K147" s="103">
        <f t="shared" si="61"/>
        <v>7.8577866914299622E-4</v>
      </c>
      <c r="L147" s="103">
        <f t="shared" ref="L147" si="62">IF(L26=0,0,L26/L$17)</f>
        <v>0</v>
      </c>
      <c r="M147" s="103">
        <f t="shared" ref="M147:V147" si="63">IF(M26=0,0,M26/M$17)</f>
        <v>0</v>
      </c>
      <c r="N147" s="103">
        <f t="shared" si="63"/>
        <v>0</v>
      </c>
      <c r="O147" s="103">
        <f t="shared" si="63"/>
        <v>0</v>
      </c>
      <c r="P147" s="103">
        <f t="shared" si="63"/>
        <v>0</v>
      </c>
      <c r="Q147" s="103">
        <f t="shared" si="63"/>
        <v>0</v>
      </c>
      <c r="R147" s="103">
        <f t="shared" si="63"/>
        <v>0</v>
      </c>
      <c r="S147" s="103">
        <f t="shared" si="63"/>
        <v>0</v>
      </c>
      <c r="T147" s="103">
        <f t="shared" si="63"/>
        <v>0</v>
      </c>
      <c r="U147" s="103">
        <f t="shared" si="63"/>
        <v>0</v>
      </c>
      <c r="V147" s="103">
        <f t="shared" si="63"/>
        <v>0</v>
      </c>
      <c r="W147" s="103">
        <f t="shared" ref="W147" si="64">IF(W26=0,0,W26/W$17)</f>
        <v>0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1.2547367838288582E-5</v>
      </c>
      <c r="R148" s="103">
        <f t="shared" si="67"/>
        <v>4.0390869957528783E-5</v>
      </c>
      <c r="S148" s="103">
        <f t="shared" si="67"/>
        <v>4.2230242385167561E-5</v>
      </c>
      <c r="T148" s="103">
        <f t="shared" si="67"/>
        <v>7.7378713059081321E-5</v>
      </c>
      <c r="U148" s="103">
        <f t="shared" si="67"/>
        <v>1.140750357137252E-4</v>
      </c>
      <c r="V148" s="103">
        <f t="shared" si="67"/>
        <v>1.4208270652309925E-4</v>
      </c>
      <c r="W148" s="103">
        <f t="shared" ref="W148" si="68">IF(W27=0,0,W27/W$17)</f>
        <v>1.7538597752583484E-4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3.1060481838542204E-6</v>
      </c>
      <c r="O149" s="103">
        <f t="shared" si="71"/>
        <v>4.7661094456055475E-6</v>
      </c>
      <c r="P149" s="103">
        <f t="shared" si="71"/>
        <v>1.0729777004274017E-5</v>
      </c>
      <c r="Q149" s="103">
        <f t="shared" si="71"/>
        <v>1.5881828476135417E-3</v>
      </c>
      <c r="R149" s="103">
        <f t="shared" si="71"/>
        <v>1.0390767321861503E-4</v>
      </c>
      <c r="S149" s="103">
        <f t="shared" si="71"/>
        <v>1.303364648620027E-4</v>
      </c>
      <c r="T149" s="103">
        <f t="shared" si="71"/>
        <v>3.9444080073061568E-4</v>
      </c>
      <c r="U149" s="103">
        <f t="shared" si="71"/>
        <v>7.2477393153386215E-4</v>
      </c>
      <c r="V149" s="103">
        <f t="shared" si="71"/>
        <v>2.1435945281944304E-3</v>
      </c>
      <c r="W149" s="103">
        <f t="shared" ref="W149" si="72">IF(W29=0,0,W29/W$17)</f>
        <v>6.0897384168700662E-3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1.3799193833883608E-6</v>
      </c>
      <c r="L150" s="103">
        <f t="shared" ref="L150" si="74">IF(L32=0,0,L32/L$17)</f>
        <v>2.274295603682453E-6</v>
      </c>
      <c r="M150" s="103">
        <f t="shared" ref="M150:V150" si="75">IF(M32=0,0,M32/M$17)</f>
        <v>2.0825079219025086E-5</v>
      </c>
      <c r="N150" s="103">
        <f t="shared" si="75"/>
        <v>4.5056761630361572E-5</v>
      </c>
      <c r="O150" s="103">
        <f t="shared" si="75"/>
        <v>7.2354748801767979E-5</v>
      </c>
      <c r="P150" s="103">
        <f t="shared" si="75"/>
        <v>1.4624112310519612E-4</v>
      </c>
      <c r="Q150" s="103">
        <f t="shared" si="75"/>
        <v>3.9968024419727397E-4</v>
      </c>
      <c r="R150" s="103">
        <f t="shared" si="75"/>
        <v>4.49368454502032E-4</v>
      </c>
      <c r="S150" s="103">
        <f t="shared" si="75"/>
        <v>4.828194201185645E-4</v>
      </c>
      <c r="T150" s="103">
        <f t="shared" si="75"/>
        <v>5.4208562334242183E-4</v>
      </c>
      <c r="U150" s="103">
        <f t="shared" si="75"/>
        <v>8.5441241020567794E-4</v>
      </c>
      <c r="V150" s="103">
        <f t="shared" si="75"/>
        <v>1.6647195317815477E-3</v>
      </c>
      <c r="W150" s="103">
        <f t="shared" ref="W150" si="76">IF(W32=0,0,W32/W$17)</f>
        <v>3.7282324050598101E-3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9.311145238215747E-2</v>
      </c>
      <c r="C151" s="156">
        <f t="shared" si="77"/>
        <v>8.9859400509088028E-2</v>
      </c>
      <c r="D151" s="156">
        <f t="shared" si="77"/>
        <v>8.6765595842219198E-2</v>
      </c>
      <c r="E151" s="156">
        <f t="shared" si="77"/>
        <v>8.437260210569103E-2</v>
      </c>
      <c r="F151" s="156">
        <f t="shared" si="77"/>
        <v>8.0368573002713994E-2</v>
      </c>
      <c r="G151" s="156">
        <f t="shared" si="77"/>
        <v>8.0431578465580619E-2</v>
      </c>
      <c r="H151" s="156">
        <f t="shared" si="77"/>
        <v>7.8786294576408886E-2</v>
      </c>
      <c r="I151" s="156">
        <f t="shared" si="77"/>
        <v>7.4393807815430799E-2</v>
      </c>
      <c r="J151" s="156">
        <f t="shared" si="77"/>
        <v>7.7303766252763806E-2</v>
      </c>
      <c r="K151" s="156">
        <f t="shared" si="77"/>
        <v>8.2973532138284983E-2</v>
      </c>
      <c r="L151" s="156">
        <f t="shared" ref="L151" si="78">IF(L33=0,0,L33/L$17)</f>
        <v>8.5045332607479471E-2</v>
      </c>
      <c r="M151" s="156">
        <f t="shared" ref="M151:V151" si="79">IF(M33=0,0,M33/M$17)</f>
        <v>8.3178908953591715E-2</v>
      </c>
      <c r="N151" s="156">
        <f t="shared" si="79"/>
        <v>8.3706209944421697E-2</v>
      </c>
      <c r="O151" s="156">
        <f t="shared" si="79"/>
        <v>8.1817081919792325E-2</v>
      </c>
      <c r="P151" s="156">
        <f t="shared" si="79"/>
        <v>8.3481391562161972E-2</v>
      </c>
      <c r="Q151" s="156">
        <f t="shared" si="79"/>
        <v>8.2545108015688873E-2</v>
      </c>
      <c r="R151" s="156">
        <f t="shared" si="79"/>
        <v>8.4103698196382207E-2</v>
      </c>
      <c r="S151" s="156">
        <f t="shared" si="79"/>
        <v>8.8124757241708998E-2</v>
      </c>
      <c r="T151" s="156">
        <f t="shared" si="79"/>
        <v>8.6223339668864696E-2</v>
      </c>
      <c r="U151" s="156">
        <f t="shared" si="79"/>
        <v>8.5916917371363005E-2</v>
      </c>
      <c r="V151" s="156">
        <f t="shared" si="79"/>
        <v>9.1720230758014026E-2</v>
      </c>
      <c r="W151" s="156">
        <f t="shared" ref="W151" si="80">IF(W33=0,0,W33/W$17)</f>
        <v>9.0041587254503563E-2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3.9459124275924521E-3</v>
      </c>
      <c r="C152" s="103">
        <f t="shared" si="81"/>
        <v>3.9747732113204213E-3</v>
      </c>
      <c r="D152" s="103">
        <f t="shared" si="81"/>
        <v>3.91458821594834E-3</v>
      </c>
      <c r="E152" s="103">
        <f t="shared" si="81"/>
        <v>2.3903290095428488E-3</v>
      </c>
      <c r="F152" s="103">
        <f t="shared" si="81"/>
        <v>1.9051209256676469E-3</v>
      </c>
      <c r="G152" s="103">
        <f t="shared" si="81"/>
        <v>1.7761919796000485E-3</v>
      </c>
      <c r="H152" s="103">
        <f t="shared" si="81"/>
        <v>1.702177236373868E-3</v>
      </c>
      <c r="I152" s="103">
        <f t="shared" si="81"/>
        <v>1.5482330910434087E-3</v>
      </c>
      <c r="J152" s="103">
        <f t="shared" si="81"/>
        <v>1.5627225956651731E-3</v>
      </c>
      <c r="K152" s="103">
        <f t="shared" si="81"/>
        <v>1.5456948898090882E-3</v>
      </c>
      <c r="L152" s="103">
        <f t="shared" ref="L152" si="82">IF(L34=0,0,L34/L$17)</f>
        <v>1.4664738147467586E-3</v>
      </c>
      <c r="M152" s="103">
        <f t="shared" ref="M152:V152" si="83">IF(M34=0,0,M34/M$17)</f>
        <v>1.3994728956109065E-3</v>
      </c>
      <c r="N152" s="103">
        <f t="shared" si="83"/>
        <v>1.4296063213874363E-3</v>
      </c>
      <c r="O152" s="103">
        <f t="shared" si="83"/>
        <v>1.530320438011298E-3</v>
      </c>
      <c r="P152" s="103">
        <f t="shared" si="83"/>
        <v>1.3469007591676533E-3</v>
      </c>
      <c r="Q152" s="103">
        <f t="shared" si="83"/>
        <v>1.1372634268483498E-3</v>
      </c>
      <c r="R152" s="103">
        <f t="shared" si="83"/>
        <v>1.0194425933617781E-3</v>
      </c>
      <c r="S152" s="103">
        <f t="shared" si="83"/>
        <v>9.3306757067606553E-4</v>
      </c>
      <c r="T152" s="103">
        <f t="shared" si="83"/>
        <v>8.236614984445228E-4</v>
      </c>
      <c r="U152" s="103">
        <f t="shared" si="83"/>
        <v>7.4038635640822519E-4</v>
      </c>
      <c r="V152" s="103">
        <f t="shared" si="83"/>
        <v>7.4118074364635308E-4</v>
      </c>
      <c r="W152" s="103">
        <f t="shared" ref="W152" si="84">IF(W34=0,0,W34/W$17)</f>
        <v>6.9300581698317502E-4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8.9165539954565026E-2</v>
      </c>
      <c r="C153" s="103">
        <f t="shared" si="85"/>
        <v>8.5884627297767607E-2</v>
      </c>
      <c r="D153" s="103">
        <f t="shared" si="85"/>
        <v>8.2851007626270859E-2</v>
      </c>
      <c r="E153" s="103">
        <f t="shared" si="85"/>
        <v>8.1982273096148167E-2</v>
      </c>
      <c r="F153" s="103">
        <f t="shared" si="85"/>
        <v>7.8463452077046345E-2</v>
      </c>
      <c r="G153" s="103">
        <f t="shared" si="85"/>
        <v>7.8655386485980569E-2</v>
      </c>
      <c r="H153" s="103">
        <f t="shared" si="85"/>
        <v>7.7084117340035022E-2</v>
      </c>
      <c r="I153" s="103">
        <f t="shared" si="85"/>
        <v>7.284557472438738E-2</v>
      </c>
      <c r="J153" s="103">
        <f t="shared" si="85"/>
        <v>7.5741043657098633E-2</v>
      </c>
      <c r="K153" s="103">
        <f t="shared" si="85"/>
        <v>8.1427837248475896E-2</v>
      </c>
      <c r="L153" s="103">
        <f t="shared" ref="L153" si="86">IF(L36=0,0,L36/L$17)</f>
        <v>8.3578858792732705E-2</v>
      </c>
      <c r="M153" s="103">
        <f t="shared" ref="M153:V153" si="87">IF(M36=0,0,M36/M$17)</f>
        <v>8.1779436057980798E-2</v>
      </c>
      <c r="N153" s="103">
        <f t="shared" si="87"/>
        <v>8.2276603623034253E-2</v>
      </c>
      <c r="O153" s="103">
        <f t="shared" si="87"/>
        <v>8.0286761481781016E-2</v>
      </c>
      <c r="P153" s="103">
        <f t="shared" si="87"/>
        <v>8.2134490802994314E-2</v>
      </c>
      <c r="Q153" s="103">
        <f t="shared" si="87"/>
        <v>8.1062634378358131E-2</v>
      </c>
      <c r="R153" s="103">
        <f t="shared" si="87"/>
        <v>8.2397627765828721E-2</v>
      </c>
      <c r="S153" s="103">
        <f t="shared" si="87"/>
        <v>8.5628558818546058E-2</v>
      </c>
      <c r="T153" s="103">
        <f t="shared" si="87"/>
        <v>8.3613266412441989E-2</v>
      </c>
      <c r="U153" s="103">
        <f t="shared" si="87"/>
        <v>8.2755064260850525E-2</v>
      </c>
      <c r="V153" s="103">
        <f t="shared" si="87"/>
        <v>8.8622889415122613E-2</v>
      </c>
      <c r="W153" s="103">
        <f t="shared" ref="W153" si="88">IF(W36=0,0,W36/W$17)</f>
        <v>8.577541497567194E-2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3.4521021048238097E-4</v>
      </c>
      <c r="R155" s="103">
        <f t="shared" si="95"/>
        <v>6.6352697386643249E-4</v>
      </c>
      <c r="S155" s="103">
        <f t="shared" si="95"/>
        <v>1.5322081842885867E-3</v>
      </c>
      <c r="T155" s="103">
        <f t="shared" si="95"/>
        <v>1.7483140454312041E-3</v>
      </c>
      <c r="U155" s="103">
        <f t="shared" si="95"/>
        <v>1.9787221748514086E-3</v>
      </c>
      <c r="V155" s="103">
        <f t="shared" si="95"/>
        <v>1.8862217888713493E-3</v>
      </c>
      <c r="W155" s="103">
        <f t="shared" ref="W155" si="96">IF(W39=0,0,W39/W$17)</f>
        <v>2.1258377039925537E-3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0</v>
      </c>
      <c r="Q156" s="103">
        <f t="shared" si="99"/>
        <v>0</v>
      </c>
      <c r="R156" s="103">
        <f t="shared" si="99"/>
        <v>2.3100863325257626E-5</v>
      </c>
      <c r="S156" s="103">
        <f t="shared" si="99"/>
        <v>3.0922668198285927E-5</v>
      </c>
      <c r="T156" s="103">
        <f t="shared" si="99"/>
        <v>3.8097712546986602E-5</v>
      </c>
      <c r="U156" s="103">
        <f t="shared" si="99"/>
        <v>4.4274457925285311E-4</v>
      </c>
      <c r="V156" s="103">
        <f t="shared" si="99"/>
        <v>4.699388103737201E-4</v>
      </c>
      <c r="W156" s="103">
        <f t="shared" ref="W156" si="100">IF(W41=0,0,W41/W$17)</f>
        <v>1.4473287578558973E-3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0.35140498499781714</v>
      </c>
      <c r="C157" s="46">
        <f t="shared" si="101"/>
        <v>0.36540706613479196</v>
      </c>
      <c r="D157" s="46">
        <f t="shared" si="101"/>
        <v>0.36472114026744185</v>
      </c>
      <c r="E157" s="46">
        <f t="shared" si="101"/>
        <v>0.37860548836484498</v>
      </c>
      <c r="F157" s="46">
        <f t="shared" si="101"/>
        <v>0.39432281704841804</v>
      </c>
      <c r="G157" s="46">
        <f t="shared" si="101"/>
        <v>0.39798706304537868</v>
      </c>
      <c r="H157" s="46">
        <f t="shared" si="101"/>
        <v>0.40783886165761662</v>
      </c>
      <c r="I157" s="46">
        <f t="shared" si="101"/>
        <v>0.40926446149429485</v>
      </c>
      <c r="J157" s="46">
        <f t="shared" si="101"/>
        <v>0.39850416964769569</v>
      </c>
      <c r="K157" s="46">
        <f t="shared" si="101"/>
        <v>0.37247708594765172</v>
      </c>
      <c r="L157" s="46">
        <f t="shared" ref="L157" si="102">IF(L42=0,0,L42/L$17)</f>
        <v>0.37107541977166708</v>
      </c>
      <c r="M157" s="46">
        <f t="shared" ref="M157:V157" si="103">IF(M42=0,0,M42/M$17)</f>
        <v>0.35415718028449322</v>
      </c>
      <c r="N157" s="46">
        <f t="shared" si="103"/>
        <v>0.34704697538951468</v>
      </c>
      <c r="O157" s="46">
        <f t="shared" si="103"/>
        <v>0.34035080422797448</v>
      </c>
      <c r="P157" s="46">
        <f t="shared" si="103"/>
        <v>0.34061405187621918</v>
      </c>
      <c r="Q157" s="46">
        <f t="shared" si="103"/>
        <v>0.31443489076633635</v>
      </c>
      <c r="R157" s="46">
        <f t="shared" si="103"/>
        <v>0.33159039004555796</v>
      </c>
      <c r="S157" s="46">
        <f t="shared" si="103"/>
        <v>0.33584257436812787</v>
      </c>
      <c r="T157" s="46">
        <f t="shared" si="103"/>
        <v>0.3368326980441832</v>
      </c>
      <c r="U157" s="46">
        <f t="shared" si="103"/>
        <v>0.32935507101780759</v>
      </c>
      <c r="V157" s="46">
        <f t="shared" si="103"/>
        <v>0.33744776736764942</v>
      </c>
      <c r="W157" s="46">
        <f t="shared" ref="W157" si="104">IF(W42=0,0,W42/W$17)</f>
        <v>0.34246036348799547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0.16550007734592093</v>
      </c>
      <c r="C158" s="154">
        <f t="shared" si="105"/>
        <v>0.17031768406029854</v>
      </c>
      <c r="D158" s="154">
        <f t="shared" si="105"/>
        <v>0.16756886494373655</v>
      </c>
      <c r="E158" s="154">
        <f t="shared" si="105"/>
        <v>0.16349804572666365</v>
      </c>
      <c r="F158" s="154">
        <f t="shared" si="105"/>
        <v>0.1680998829349554</v>
      </c>
      <c r="G158" s="154">
        <f t="shared" si="105"/>
        <v>0.17344983171147413</v>
      </c>
      <c r="H158" s="154">
        <f t="shared" si="105"/>
        <v>0.18164923189438775</v>
      </c>
      <c r="I158" s="154">
        <f t="shared" si="105"/>
        <v>0.18723927930808454</v>
      </c>
      <c r="J158" s="154">
        <f t="shared" si="105"/>
        <v>0.18752395462894933</v>
      </c>
      <c r="K158" s="154">
        <f t="shared" si="105"/>
        <v>0.18293260174458348</v>
      </c>
      <c r="L158" s="154">
        <f t="shared" ref="L158" si="106">IF(L43=0,0,L43/L$17)</f>
        <v>0.17710276834921576</v>
      </c>
      <c r="M158" s="154">
        <f t="shared" ref="M158:V158" si="107">IF(M43=0,0,M43/M$17)</f>
        <v>0.16053922708019988</v>
      </c>
      <c r="N158" s="154">
        <f t="shared" si="107"/>
        <v>0.15810434144328173</v>
      </c>
      <c r="O158" s="154">
        <f t="shared" si="107"/>
        <v>0.15167453529152228</v>
      </c>
      <c r="P158" s="154">
        <f t="shared" si="107"/>
        <v>0.14191980148189123</v>
      </c>
      <c r="Q158" s="154">
        <f t="shared" si="107"/>
        <v>0.13703064808319709</v>
      </c>
      <c r="R158" s="154">
        <f t="shared" si="107"/>
        <v>0.13407005167359282</v>
      </c>
      <c r="S158" s="154">
        <f t="shared" si="107"/>
        <v>0.13612091278695171</v>
      </c>
      <c r="T158" s="154">
        <f t="shared" si="107"/>
        <v>0.13421895430419228</v>
      </c>
      <c r="U158" s="154">
        <f t="shared" si="107"/>
        <v>0.12969766984298892</v>
      </c>
      <c r="V158" s="154">
        <f t="shared" si="107"/>
        <v>0.12898247866635948</v>
      </c>
      <c r="W158" s="154">
        <f t="shared" ref="W158" si="108">IF(W43=0,0,W43/W$17)</f>
        <v>0.13008739328854949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3.3256163151619285E-2</v>
      </c>
      <c r="C159" s="103">
        <f t="shared" si="109"/>
        <v>3.6198465449340696E-2</v>
      </c>
      <c r="D159" s="103">
        <f t="shared" si="109"/>
        <v>3.4880368283861318E-2</v>
      </c>
      <c r="E159" s="103">
        <f t="shared" si="109"/>
        <v>3.1380843469086941E-2</v>
      </c>
      <c r="F159" s="103">
        <f t="shared" si="109"/>
        <v>3.0043723779855723E-2</v>
      </c>
      <c r="G159" s="103">
        <f t="shared" si="109"/>
        <v>2.8913087041139793E-2</v>
      </c>
      <c r="H159" s="103">
        <f t="shared" si="109"/>
        <v>2.7397752601959518E-2</v>
      </c>
      <c r="I159" s="103">
        <f t="shared" si="109"/>
        <v>2.4999419799652381E-2</v>
      </c>
      <c r="J159" s="103">
        <f t="shared" si="109"/>
        <v>2.2578757149906956E-2</v>
      </c>
      <c r="K159" s="103">
        <f t="shared" si="109"/>
        <v>2.0950847434904878E-2</v>
      </c>
      <c r="L159" s="103">
        <f t="shared" ref="L159" si="110">IF(L44=0,0,L44/L$17)</f>
        <v>1.8560278530795633E-2</v>
      </c>
      <c r="M159" s="103">
        <f t="shared" ref="M159:V159" si="111">IF(M44=0,0,M44/M$17)</f>
        <v>1.5718700510222363E-2</v>
      </c>
      <c r="N159" s="103">
        <f t="shared" si="111"/>
        <v>1.4024931143890373E-2</v>
      </c>
      <c r="O159" s="103">
        <f t="shared" si="111"/>
        <v>1.2933625875566254E-2</v>
      </c>
      <c r="P159" s="103">
        <f t="shared" si="111"/>
        <v>1.1614065811031577E-2</v>
      </c>
      <c r="Q159" s="103">
        <f t="shared" si="111"/>
        <v>1.0350621238248564E-2</v>
      </c>
      <c r="R159" s="103">
        <f t="shared" si="111"/>
        <v>9.5590594955548246E-3</v>
      </c>
      <c r="S159" s="103">
        <f t="shared" si="111"/>
        <v>9.0079731316835224E-3</v>
      </c>
      <c r="T159" s="103">
        <f t="shared" si="111"/>
        <v>7.9182748615844577E-3</v>
      </c>
      <c r="U159" s="103">
        <f t="shared" si="111"/>
        <v>7.3227524047007444E-3</v>
      </c>
      <c r="V159" s="103">
        <f t="shared" si="111"/>
        <v>6.9476612732097265E-3</v>
      </c>
      <c r="W159" s="103">
        <f t="shared" ref="W159" si="112">IF(W44=0,0,W44/W$17)</f>
        <v>7.1386809060549339E-3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0.13214632521336436</v>
      </c>
      <c r="C160" s="103">
        <f t="shared" si="113"/>
        <v>0.13401925259703176</v>
      </c>
      <c r="D160" s="103">
        <f t="shared" si="113"/>
        <v>0.13259059976779194</v>
      </c>
      <c r="E160" s="103">
        <f t="shared" si="113"/>
        <v>0.13203117369575809</v>
      </c>
      <c r="F160" s="103">
        <f t="shared" si="113"/>
        <v>0.13797711405113339</v>
      </c>
      <c r="G160" s="103">
        <f t="shared" si="113"/>
        <v>0.14447100390161269</v>
      </c>
      <c r="H160" s="103">
        <f t="shared" si="113"/>
        <v>0.15419879194167305</v>
      </c>
      <c r="I160" s="103">
        <f t="shared" si="113"/>
        <v>0.16219801396433961</v>
      </c>
      <c r="J160" s="103">
        <f t="shared" si="113"/>
        <v>0.16491056657386452</v>
      </c>
      <c r="K160" s="103">
        <f t="shared" si="113"/>
        <v>0.16195458476548311</v>
      </c>
      <c r="L160" s="103">
        <f t="shared" ref="L160" si="114">IF(L46=0,0,L46/L$17)</f>
        <v>0.15854248981842015</v>
      </c>
      <c r="M160" s="103">
        <f t="shared" ref="M160:V160" si="115">IF(M46=0,0,M46/M$17)</f>
        <v>0.14482052656997751</v>
      </c>
      <c r="N160" s="103">
        <f t="shared" si="115"/>
        <v>0.14407853821781921</v>
      </c>
      <c r="O160" s="103">
        <f t="shared" si="115"/>
        <v>0.1387379040006918</v>
      </c>
      <c r="P160" s="103">
        <f t="shared" si="115"/>
        <v>0.13030323850828618</v>
      </c>
      <c r="Q160" s="103">
        <f t="shared" si="115"/>
        <v>0.12654172453776083</v>
      </c>
      <c r="R160" s="103">
        <f t="shared" si="115"/>
        <v>0.12436769141019381</v>
      </c>
      <c r="S160" s="103">
        <f t="shared" si="115"/>
        <v>0.12695801101625936</v>
      </c>
      <c r="T160" s="103">
        <f t="shared" si="115"/>
        <v>0.1261477015903367</v>
      </c>
      <c r="U160" s="103">
        <f t="shared" si="115"/>
        <v>0.12220873022201746</v>
      </c>
      <c r="V160" s="103">
        <f t="shared" si="115"/>
        <v>0.12181813041016926</v>
      </c>
      <c r="W160" s="103">
        <f t="shared" ref="W160" si="116">IF(W46=0,0,W46/W$17)</f>
        <v>0.12256367905065793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9.7588980937261176E-5</v>
      </c>
      <c r="C161" s="103">
        <f t="shared" si="117"/>
        <v>9.9966013926091777E-5</v>
      </c>
      <c r="D161" s="103">
        <f t="shared" si="117"/>
        <v>9.789689208328963E-5</v>
      </c>
      <c r="E161" s="103">
        <f t="shared" si="117"/>
        <v>8.6028561818608898E-5</v>
      </c>
      <c r="F161" s="103">
        <f t="shared" si="117"/>
        <v>7.9045103966301713E-5</v>
      </c>
      <c r="G161" s="103">
        <f t="shared" si="117"/>
        <v>6.5740768721626668E-5</v>
      </c>
      <c r="H161" s="103">
        <f t="shared" si="117"/>
        <v>5.2687350755173074E-5</v>
      </c>
      <c r="I161" s="103">
        <f t="shared" si="117"/>
        <v>4.1845544092564951E-5</v>
      </c>
      <c r="J161" s="103">
        <f t="shared" si="117"/>
        <v>3.4630905177833843E-5</v>
      </c>
      <c r="K161" s="103">
        <f t="shared" si="117"/>
        <v>2.716954419550329E-5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1.0966393967410199E-4</v>
      </c>
      <c r="R162" s="103">
        <f t="shared" si="123"/>
        <v>1.1290767056912308E-4</v>
      </c>
      <c r="S162" s="103">
        <f t="shared" si="123"/>
        <v>1.1841688367453185E-4</v>
      </c>
      <c r="T162" s="103">
        <f t="shared" si="123"/>
        <v>1.1411700020840407E-4</v>
      </c>
      <c r="U162" s="103">
        <f t="shared" si="123"/>
        <v>1.1128552930133069E-4</v>
      </c>
      <c r="V162" s="103">
        <f t="shared" si="123"/>
        <v>1.0963734360942524E-4</v>
      </c>
      <c r="W162" s="103">
        <f t="shared" ref="W162" si="124">IF(W49=0,0,W49/W$17)</f>
        <v>1.0577360373931479E-4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8.7208157213036022E-7</v>
      </c>
      <c r="O163" s="103">
        <f t="shared" si="127"/>
        <v>3.0054152642108188E-6</v>
      </c>
      <c r="P163" s="103">
        <f t="shared" si="127"/>
        <v>2.4971625734700009E-6</v>
      </c>
      <c r="Q163" s="103">
        <f t="shared" si="127"/>
        <v>2.8638367513642219E-5</v>
      </c>
      <c r="R163" s="103">
        <f t="shared" si="127"/>
        <v>3.0393097275069166E-5</v>
      </c>
      <c r="S163" s="103">
        <f t="shared" si="127"/>
        <v>3.6511755334252749E-5</v>
      </c>
      <c r="T163" s="103">
        <f t="shared" si="127"/>
        <v>3.8860852062710268E-5</v>
      </c>
      <c r="U163" s="103">
        <f t="shared" si="127"/>
        <v>5.4901686969360542E-5</v>
      </c>
      <c r="V163" s="103">
        <f t="shared" si="127"/>
        <v>1.0704963937107015E-4</v>
      </c>
      <c r="W163" s="103">
        <f t="shared" ref="W163" si="128">IF(W51=0,0,W51/W$17)</f>
        <v>2.7925972809732659E-4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0.18590490765189624</v>
      </c>
      <c r="C164" s="156">
        <f t="shared" si="129"/>
        <v>0.19508938207449344</v>
      </c>
      <c r="D164" s="156">
        <f t="shared" si="129"/>
        <v>0.19715227532370536</v>
      </c>
      <c r="E164" s="156">
        <f t="shared" si="129"/>
        <v>0.21510744263818127</v>
      </c>
      <c r="F164" s="156">
        <f t="shared" si="129"/>
        <v>0.22622293411346261</v>
      </c>
      <c r="G164" s="156">
        <f t="shared" si="129"/>
        <v>0.22453723133390457</v>
      </c>
      <c r="H164" s="156">
        <f t="shared" si="129"/>
        <v>0.22618962976322882</v>
      </c>
      <c r="I164" s="156">
        <f t="shared" si="129"/>
        <v>0.22202518218621028</v>
      </c>
      <c r="J164" s="156">
        <f t="shared" si="129"/>
        <v>0.21098021501874639</v>
      </c>
      <c r="K164" s="156">
        <f t="shared" si="129"/>
        <v>0.18954448420306827</v>
      </c>
      <c r="L164" s="156">
        <f t="shared" ref="L164" si="130">IF(L52=0,0,L52/L$17)</f>
        <v>0.19397265142245129</v>
      </c>
      <c r="M164" s="156">
        <f t="shared" ref="M164:V164" si="131">IF(M52=0,0,M52/M$17)</f>
        <v>0.19361795320429337</v>
      </c>
      <c r="N164" s="156">
        <f t="shared" si="131"/>
        <v>0.18894263394623292</v>
      </c>
      <c r="O164" s="156">
        <f t="shared" si="131"/>
        <v>0.18867626893645223</v>
      </c>
      <c r="P164" s="156">
        <f t="shared" si="131"/>
        <v>0.19869425039432795</v>
      </c>
      <c r="Q164" s="156">
        <f t="shared" si="131"/>
        <v>0.17740424268313926</v>
      </c>
      <c r="R164" s="156">
        <f t="shared" si="131"/>
        <v>0.19752033837196512</v>
      </c>
      <c r="S164" s="156">
        <f t="shared" si="131"/>
        <v>0.19972166158117616</v>
      </c>
      <c r="T164" s="156">
        <f t="shared" si="131"/>
        <v>0.20261374373999097</v>
      </c>
      <c r="U164" s="156">
        <f t="shared" si="131"/>
        <v>0.19965740117481867</v>
      </c>
      <c r="V164" s="156">
        <f t="shared" si="131"/>
        <v>0.20846528870128997</v>
      </c>
      <c r="W164" s="156">
        <f t="shared" ref="W164" si="132">IF(W52=0,0,W52/W$17)</f>
        <v>0.21237297019944595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0.13495442674120542</v>
      </c>
      <c r="C165" s="104">
        <f t="shared" si="133"/>
        <v>0.1381068534036316</v>
      </c>
      <c r="D165" s="104">
        <f t="shared" si="133"/>
        <v>0.13527733189805868</v>
      </c>
      <c r="E165" s="104">
        <f t="shared" si="133"/>
        <v>0.14099228298923538</v>
      </c>
      <c r="F165" s="104">
        <f t="shared" si="133"/>
        <v>0.13281598658017602</v>
      </c>
      <c r="G165" s="104">
        <f t="shared" si="133"/>
        <v>0.12989578798017623</v>
      </c>
      <c r="H165" s="104">
        <f t="shared" si="133"/>
        <v>0.13175660498007832</v>
      </c>
      <c r="I165" s="104">
        <f t="shared" si="133"/>
        <v>0.12850052939681525</v>
      </c>
      <c r="J165" s="104">
        <f t="shared" si="133"/>
        <v>0.12269817539935912</v>
      </c>
      <c r="K165" s="104">
        <f t="shared" si="133"/>
        <v>0.11144483528346703</v>
      </c>
      <c r="L165" s="104">
        <f t="shared" ref="L165" si="134">IF(L53=0,0,L53/L$17)</f>
        <v>0.11448990165684884</v>
      </c>
      <c r="M165" s="104">
        <f t="shared" ref="M165:V165" si="135">IF(M53=0,0,M53/M$17)</f>
        <v>0.11906234510803293</v>
      </c>
      <c r="N165" s="104">
        <f t="shared" si="135"/>
        <v>0.12646939669339569</v>
      </c>
      <c r="O165" s="104">
        <f t="shared" si="135"/>
        <v>0.12568229740836764</v>
      </c>
      <c r="P165" s="104">
        <f t="shared" si="135"/>
        <v>0.12805422563110014</v>
      </c>
      <c r="Q165" s="104">
        <f t="shared" si="135"/>
        <v>0.11720463416084338</v>
      </c>
      <c r="R165" s="104">
        <f t="shared" si="135"/>
        <v>0.11699463367026244</v>
      </c>
      <c r="S165" s="104">
        <f t="shared" si="135"/>
        <v>0.11120753508164108</v>
      </c>
      <c r="T165" s="104">
        <f t="shared" si="135"/>
        <v>0.1074381785392418</v>
      </c>
      <c r="U165" s="104">
        <f t="shared" si="135"/>
        <v>0.10858681281797783</v>
      </c>
      <c r="V165" s="104">
        <f t="shared" si="135"/>
        <v>0.1156153833687943</v>
      </c>
      <c r="W165" s="104">
        <f t="shared" ref="W165" si="136">IF(W53=0,0,W53/W$17)</f>
        <v>0.11535664190294284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5.0950480910690793E-2</v>
      </c>
      <c r="C166" s="105">
        <f t="shared" si="137"/>
        <v>5.6982528670861822E-2</v>
      </c>
      <c r="D166" s="105">
        <f t="shared" si="137"/>
        <v>6.1874943425646679E-2</v>
      </c>
      <c r="E166" s="105">
        <f t="shared" si="137"/>
        <v>7.4115159648945883E-2</v>
      </c>
      <c r="F166" s="105">
        <f t="shared" si="137"/>
        <v>9.3406947533286613E-2</v>
      </c>
      <c r="G166" s="105">
        <f t="shared" si="137"/>
        <v>9.464144335372833E-2</v>
      </c>
      <c r="H166" s="105">
        <f t="shared" si="137"/>
        <v>9.4433024783150493E-2</v>
      </c>
      <c r="I166" s="105">
        <f t="shared" si="137"/>
        <v>9.3524652789395021E-2</v>
      </c>
      <c r="J166" s="105">
        <f t="shared" si="137"/>
        <v>8.828203961938727E-2</v>
      </c>
      <c r="K166" s="105">
        <f t="shared" si="137"/>
        <v>7.8099648919601222E-2</v>
      </c>
      <c r="L166" s="105">
        <f t="shared" ref="L166" si="138">IF(L55=0,0,L55/L$17)</f>
        <v>7.9482749765602448E-2</v>
      </c>
      <c r="M166" s="105">
        <f t="shared" ref="M166:V166" si="139">IF(M55=0,0,M55/M$17)</f>
        <v>7.4555608096260426E-2</v>
      </c>
      <c r="N166" s="105">
        <f t="shared" si="139"/>
        <v>6.2473237252837231E-2</v>
      </c>
      <c r="O166" s="105">
        <f t="shared" si="139"/>
        <v>6.2993971528084586E-2</v>
      </c>
      <c r="P166" s="105">
        <f t="shared" si="139"/>
        <v>7.0640024763227796E-2</v>
      </c>
      <c r="Q166" s="105">
        <f t="shared" si="139"/>
        <v>6.0199608522295861E-2</v>
      </c>
      <c r="R166" s="105">
        <f t="shared" si="139"/>
        <v>8.0525704701702672E-2</v>
      </c>
      <c r="S166" s="105">
        <f t="shared" si="139"/>
        <v>8.8514126499535106E-2</v>
      </c>
      <c r="T166" s="105">
        <f t="shared" si="139"/>
        <v>9.5175565200749171E-2</v>
      </c>
      <c r="U166" s="105">
        <f t="shared" si="139"/>
        <v>9.1070588356840843E-2</v>
      </c>
      <c r="V166" s="105">
        <f t="shared" si="139"/>
        <v>9.2849905332495652E-2</v>
      </c>
      <c r="W166" s="105">
        <f t="shared" ref="W166" si="140">IF(W55=0,0,W55/W$17)</f>
        <v>9.7016328296503127E-2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11041.763753520003</v>
      </c>
      <c r="C4" s="146">
        <f t="shared" si="0"/>
        <v>11130.279096959999</v>
      </c>
      <c r="D4" s="146">
        <f t="shared" si="0"/>
        <v>11242.89452376</v>
      </c>
      <c r="E4" s="146">
        <f t="shared" si="0"/>
        <v>11726.876428559999</v>
      </c>
      <c r="F4" s="146">
        <f t="shared" si="0"/>
        <v>12116.115201960001</v>
      </c>
      <c r="G4" s="146">
        <f t="shared" si="0"/>
        <v>12231.292552200001</v>
      </c>
      <c r="H4" s="146">
        <f t="shared" si="0"/>
        <v>12580.68594852</v>
      </c>
      <c r="I4" s="146">
        <f t="shared" si="0"/>
        <v>13190.508345599999</v>
      </c>
      <c r="J4" s="146">
        <f t="shared" si="0"/>
        <v>12891.76182756</v>
      </c>
      <c r="K4" s="146">
        <f t="shared" si="0"/>
        <v>12209.905207440002</v>
      </c>
      <c r="L4" s="146">
        <f t="shared" ref="L4" si="1">L5+L9+L10+L15</f>
        <v>12120.82191432</v>
      </c>
      <c r="M4" s="146">
        <f t="shared" ref="M4:V4" si="2">M5+M9+M10+M15</f>
        <v>11786.385689640001</v>
      </c>
      <c r="N4" s="146">
        <f t="shared" si="2"/>
        <v>10761.809573519999</v>
      </c>
      <c r="O4" s="146">
        <f t="shared" si="2"/>
        <v>10555.480718639996</v>
      </c>
      <c r="P4" s="146">
        <f t="shared" si="2"/>
        <v>10739.666418839999</v>
      </c>
      <c r="Q4" s="146">
        <f t="shared" si="2"/>
        <v>11149.949414519999</v>
      </c>
      <c r="R4" s="146">
        <f t="shared" si="2"/>
        <v>11351.594686319999</v>
      </c>
      <c r="S4" s="146">
        <f t="shared" si="2"/>
        <v>11366.4482388</v>
      </c>
      <c r="T4" s="146">
        <f t="shared" si="2"/>
        <v>11625.496735319999</v>
      </c>
      <c r="U4" s="146">
        <f t="shared" si="2"/>
        <v>11338.399470239998</v>
      </c>
      <c r="V4" s="146">
        <f t="shared" si="2"/>
        <v>10430.276451480002</v>
      </c>
      <c r="W4" s="146">
        <f t="shared" ref="W4" si="3">W5+W9+W10+W15</f>
        <v>10571.922230400001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11041.763753520003</v>
      </c>
      <c r="C5" s="101">
        <f t="shared" si="4"/>
        <v>11130.279096959999</v>
      </c>
      <c r="D5" s="101">
        <f t="shared" si="4"/>
        <v>11242.89452376</v>
      </c>
      <c r="E5" s="101">
        <f t="shared" si="4"/>
        <v>11726.876428559999</v>
      </c>
      <c r="F5" s="101">
        <f t="shared" si="4"/>
        <v>12116.115201960001</v>
      </c>
      <c r="G5" s="101">
        <f t="shared" si="4"/>
        <v>12231.292552200001</v>
      </c>
      <c r="H5" s="101">
        <f t="shared" si="4"/>
        <v>12580.68594852</v>
      </c>
      <c r="I5" s="101">
        <f t="shared" si="4"/>
        <v>13190.508345599999</v>
      </c>
      <c r="J5" s="101">
        <f t="shared" si="4"/>
        <v>12891.76182756</v>
      </c>
      <c r="K5" s="101">
        <f t="shared" si="4"/>
        <v>12209.905207440002</v>
      </c>
      <c r="L5" s="101">
        <f t="shared" ref="L5" si="5">SUM(L6:L8)</f>
        <v>12120.82191432</v>
      </c>
      <c r="M5" s="101">
        <f t="shared" ref="M5:V5" si="6">SUM(M6:M8)</f>
        <v>11786.385689640001</v>
      </c>
      <c r="N5" s="101">
        <f t="shared" si="6"/>
        <v>10761.809573519999</v>
      </c>
      <c r="O5" s="101">
        <f t="shared" si="6"/>
        <v>10555.480718639996</v>
      </c>
      <c r="P5" s="101">
        <f t="shared" si="6"/>
        <v>10739.666418839999</v>
      </c>
      <c r="Q5" s="101">
        <f t="shared" si="6"/>
        <v>11145.711081959998</v>
      </c>
      <c r="R5" s="101">
        <f t="shared" si="6"/>
        <v>11344.21325028</v>
      </c>
      <c r="S5" s="101">
        <f t="shared" si="6"/>
        <v>11351.45856564</v>
      </c>
      <c r="T5" s="101">
        <f t="shared" si="6"/>
        <v>11607.037389359999</v>
      </c>
      <c r="U5" s="101">
        <f t="shared" si="6"/>
        <v>11319.695348759999</v>
      </c>
      <c r="V5" s="101">
        <f t="shared" si="6"/>
        <v>10411.678560960001</v>
      </c>
      <c r="W5" s="101">
        <f t="shared" ref="W5" si="7">SUM(W6:W8)</f>
        <v>10550.567383920001</v>
      </c>
      <c r="DA5" s="175"/>
    </row>
    <row r="6" spans="1:105" ht="11.45" customHeight="1" x14ac:dyDescent="0.25">
      <c r="A6" s="128" t="s">
        <v>52</v>
      </c>
      <c r="B6" s="101">
        <v>26.123400000000004</v>
      </c>
      <c r="C6" s="101">
        <v>29.026050479999995</v>
      </c>
      <c r="D6" s="101">
        <v>31.92870095999999</v>
      </c>
      <c r="E6" s="101">
        <v>26.123400000000004</v>
      </c>
      <c r="F6" s="101">
        <v>23.220749519999998</v>
      </c>
      <c r="G6" s="101">
        <v>20.318099040000003</v>
      </c>
      <c r="H6" s="101">
        <v>17.415675720000003</v>
      </c>
      <c r="I6" s="101">
        <v>14.513025240000001</v>
      </c>
      <c r="J6" s="101">
        <v>11.610374759999999</v>
      </c>
      <c r="K6" s="101">
        <v>8.707724279999999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0</v>
      </c>
      <c r="U6" s="101">
        <v>0</v>
      </c>
      <c r="V6" s="101">
        <v>0</v>
      </c>
      <c r="W6" s="101">
        <v>0</v>
      </c>
      <c r="DA6" s="175" t="s">
        <v>740</v>
      </c>
    </row>
    <row r="7" spans="1:105" ht="11.45" customHeight="1" x14ac:dyDescent="0.25">
      <c r="A7" s="128" t="s">
        <v>53</v>
      </c>
      <c r="B7" s="101">
        <v>5858.2062831600015</v>
      </c>
      <c r="C7" s="101">
        <v>5779.2872768399993</v>
      </c>
      <c r="D7" s="101">
        <v>5803.5701631600004</v>
      </c>
      <c r="E7" s="101">
        <v>5818.7467799999986</v>
      </c>
      <c r="F7" s="101">
        <v>5748.9340431599994</v>
      </c>
      <c r="G7" s="101">
        <v>5575.9196631600016</v>
      </c>
      <c r="H7" s="101">
        <v>5475.7534431599997</v>
      </c>
      <c r="I7" s="101">
        <v>5427.1879200000012</v>
      </c>
      <c r="J7" s="101">
        <v>5166.1487631599994</v>
      </c>
      <c r="K7" s="101">
        <v>4911.1802031600009</v>
      </c>
      <c r="L7" s="101">
        <v>4568.1866168400002</v>
      </c>
      <c r="M7" s="101">
        <v>4471.0558200000014</v>
      </c>
      <c r="N7" s="101">
        <v>4009.6842231599985</v>
      </c>
      <c r="O7" s="101">
        <v>3876.129096839999</v>
      </c>
      <c r="P7" s="101">
        <v>3833.6344200000008</v>
      </c>
      <c r="Q7" s="101">
        <v>4031.1920048399988</v>
      </c>
      <c r="R7" s="101">
        <v>3997.6287119999997</v>
      </c>
      <c r="S7" s="101">
        <v>3807.2147374800002</v>
      </c>
      <c r="T7" s="101">
        <v>3819.3531868800005</v>
      </c>
      <c r="U7" s="101">
        <v>3822.868110599999</v>
      </c>
      <c r="V7" s="101">
        <v>3410.6992088400002</v>
      </c>
      <c r="W7" s="101">
        <v>3499.6620304800003</v>
      </c>
      <c r="DA7" s="175" t="s">
        <v>741</v>
      </c>
    </row>
    <row r="8" spans="1:105" ht="11.45" customHeight="1" x14ac:dyDescent="0.25">
      <c r="A8" s="128" t="s">
        <v>54</v>
      </c>
      <c r="B8" s="101">
        <v>5157.434070360001</v>
      </c>
      <c r="C8" s="101">
        <v>5321.9657696399991</v>
      </c>
      <c r="D8" s="101">
        <v>5407.3956596399994</v>
      </c>
      <c r="E8" s="101">
        <v>5882.0062485600001</v>
      </c>
      <c r="F8" s="101">
        <v>6343.9604092800009</v>
      </c>
      <c r="G8" s="101">
        <v>6635.0547900000001</v>
      </c>
      <c r="H8" s="101">
        <v>7087.5168296399997</v>
      </c>
      <c r="I8" s="101">
        <v>7748.8074003599986</v>
      </c>
      <c r="J8" s="101">
        <v>7714.0026896400013</v>
      </c>
      <c r="K8" s="101">
        <v>7290.0172800000009</v>
      </c>
      <c r="L8" s="101">
        <v>7552.6352974800011</v>
      </c>
      <c r="M8" s="101">
        <v>7315.3298696399997</v>
      </c>
      <c r="N8" s="101">
        <v>6752.1253503600001</v>
      </c>
      <c r="O8" s="101">
        <v>6679.3516217999977</v>
      </c>
      <c r="P8" s="101">
        <v>6906.0319988399988</v>
      </c>
      <c r="Q8" s="101">
        <v>7114.5190771199987</v>
      </c>
      <c r="R8" s="101">
        <v>7346.5845382799998</v>
      </c>
      <c r="S8" s="101">
        <v>7544.2438281599998</v>
      </c>
      <c r="T8" s="101">
        <v>7787.6842024799989</v>
      </c>
      <c r="U8" s="101">
        <v>7496.82723816</v>
      </c>
      <c r="V8" s="101">
        <v>7000.9793521199999</v>
      </c>
      <c r="W8" s="101">
        <v>7050.90535344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4.2383325600000017</v>
      </c>
      <c r="R9" s="101">
        <v>7.3814360399999996</v>
      </c>
      <c r="S9" s="101">
        <v>14.989673160000001</v>
      </c>
      <c r="T9" s="101">
        <v>18.45934596</v>
      </c>
      <c r="U9" s="101">
        <v>18.704121480000001</v>
      </c>
      <c r="V9" s="101">
        <v>18.59789052</v>
      </c>
      <c r="W9" s="101">
        <v>21.354846480000003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11041.763753520001</v>
      </c>
      <c r="C17" s="79">
        <f t="shared" si="12"/>
        <v>11130.279096959999</v>
      </c>
      <c r="D17" s="79">
        <f t="shared" si="12"/>
        <v>11242.894523759998</v>
      </c>
      <c r="E17" s="79">
        <f t="shared" si="12"/>
        <v>11726.876428559999</v>
      </c>
      <c r="F17" s="79">
        <f t="shared" si="12"/>
        <v>12116.115201960001</v>
      </c>
      <c r="G17" s="79">
        <f t="shared" si="12"/>
        <v>12231.292552200001</v>
      </c>
      <c r="H17" s="79">
        <f t="shared" si="12"/>
        <v>12580.68594852</v>
      </c>
      <c r="I17" s="79">
        <f t="shared" si="12"/>
        <v>13190.508345599999</v>
      </c>
      <c r="J17" s="79">
        <f t="shared" si="12"/>
        <v>12891.761827560002</v>
      </c>
      <c r="K17" s="79">
        <f t="shared" si="12"/>
        <v>12209.905207440002</v>
      </c>
      <c r="L17" s="79">
        <f t="shared" ref="L17" si="13">SUM(L18,L33)</f>
        <v>12120.821914320002</v>
      </c>
      <c r="M17" s="79">
        <f t="shared" ref="M17:V17" si="14">SUM(M18,M33)</f>
        <v>11786.385689640003</v>
      </c>
      <c r="N17" s="79">
        <f t="shared" si="14"/>
        <v>10761.80957352</v>
      </c>
      <c r="O17" s="79">
        <f t="shared" si="14"/>
        <v>10555.480718639996</v>
      </c>
      <c r="P17" s="79">
        <f t="shared" si="14"/>
        <v>10739.666418839999</v>
      </c>
      <c r="Q17" s="79">
        <f t="shared" si="14"/>
        <v>11149.949414519997</v>
      </c>
      <c r="R17" s="79">
        <f t="shared" si="14"/>
        <v>11351.594686320001</v>
      </c>
      <c r="S17" s="79">
        <f t="shared" si="14"/>
        <v>11366.4482388</v>
      </c>
      <c r="T17" s="79">
        <f t="shared" si="14"/>
        <v>11625.496735319997</v>
      </c>
      <c r="U17" s="79">
        <f t="shared" si="14"/>
        <v>11338.399470239998</v>
      </c>
      <c r="V17" s="79">
        <f t="shared" si="14"/>
        <v>10430.27645148</v>
      </c>
      <c r="W17" s="79">
        <f t="shared" ref="W17" si="15">SUM(W18,W33)</f>
        <v>10571.922230400001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7042.2819134753654</v>
      </c>
      <c r="C18" s="32">
        <f t="shared" si="16"/>
        <v>6942.2965736640672</v>
      </c>
      <c r="D18" s="32">
        <f t="shared" si="16"/>
        <v>7020.2259500395094</v>
      </c>
      <c r="E18" s="32">
        <f t="shared" si="16"/>
        <v>7157.5245812663798</v>
      </c>
      <c r="F18" s="32">
        <f t="shared" si="16"/>
        <v>7204.3506260299346</v>
      </c>
      <c r="G18" s="32">
        <f t="shared" si="16"/>
        <v>7232.0410366819242</v>
      </c>
      <c r="H18" s="32">
        <f t="shared" si="16"/>
        <v>7312.8328119131493</v>
      </c>
      <c r="I18" s="32">
        <f t="shared" si="16"/>
        <v>7652.9913603710111</v>
      </c>
      <c r="J18" s="32">
        <f t="shared" si="16"/>
        <v>7624.9043657059356</v>
      </c>
      <c r="K18" s="32">
        <f t="shared" si="16"/>
        <v>7549.2761080238834</v>
      </c>
      <c r="L18" s="32">
        <f t="shared" ref="L18" si="17">SUM(L19,L20,L27)</f>
        <v>7493.5134052584835</v>
      </c>
      <c r="M18" s="32">
        <f t="shared" ref="M18:V18" si="18">SUM(M19,M20,M27)</f>
        <v>7521.5611524911774</v>
      </c>
      <c r="N18" s="32">
        <f t="shared" si="18"/>
        <v>6984.2659893924456</v>
      </c>
      <c r="O18" s="32">
        <f t="shared" si="18"/>
        <v>6928.8160305144456</v>
      </c>
      <c r="P18" s="32">
        <f t="shared" si="18"/>
        <v>7048.4856326447743</v>
      </c>
      <c r="Q18" s="32">
        <f t="shared" si="18"/>
        <v>7610.6627823679783</v>
      </c>
      <c r="R18" s="32">
        <f t="shared" si="18"/>
        <v>7551.2780368548192</v>
      </c>
      <c r="S18" s="32">
        <f t="shared" si="18"/>
        <v>7508.4812932546465</v>
      </c>
      <c r="T18" s="32">
        <f t="shared" si="18"/>
        <v>7665.4780932086733</v>
      </c>
      <c r="U18" s="32">
        <f t="shared" si="18"/>
        <v>7564.641080817114</v>
      </c>
      <c r="V18" s="32">
        <f t="shared" si="18"/>
        <v>6832.7853678869124</v>
      </c>
      <c r="W18" s="32">
        <f t="shared" ref="W18" si="19">SUM(W19,W20,W27)</f>
        <v>6853.0297228195022</v>
      </c>
      <c r="DA18" s="173" t="s">
        <v>402</v>
      </c>
    </row>
    <row r="19" spans="1:105" ht="11.45" customHeight="1" x14ac:dyDescent="0.25">
      <c r="A19" s="136" t="s">
        <v>180</v>
      </c>
      <c r="B19" s="141">
        <v>68.780373946650073</v>
      </c>
      <c r="C19" s="141">
        <v>64.801152723754342</v>
      </c>
      <c r="D19" s="141">
        <v>66.987882375422501</v>
      </c>
      <c r="E19" s="141">
        <v>67.449877622388527</v>
      </c>
      <c r="F19" s="141">
        <v>66.768240415501339</v>
      </c>
      <c r="G19" s="141">
        <v>67.464572692275524</v>
      </c>
      <c r="H19" s="141">
        <v>69.929544337882547</v>
      </c>
      <c r="I19" s="141">
        <v>73.538090425707622</v>
      </c>
      <c r="J19" s="141">
        <v>72.736794935352236</v>
      </c>
      <c r="K19" s="141">
        <v>69.400766619868577</v>
      </c>
      <c r="L19" s="141">
        <v>68.032661342074519</v>
      </c>
      <c r="M19" s="141">
        <v>66.342237910043337</v>
      </c>
      <c r="N19" s="141">
        <v>66.226912098767329</v>
      </c>
      <c r="O19" s="141">
        <v>66.583785955967372</v>
      </c>
      <c r="P19" s="141">
        <v>67.575574502892877</v>
      </c>
      <c r="Q19" s="141">
        <v>67.854679088762637</v>
      </c>
      <c r="R19" s="141">
        <v>67.336236283475699</v>
      </c>
      <c r="S19" s="141">
        <v>62.527792249369682</v>
      </c>
      <c r="T19" s="141">
        <v>59.002111659735434</v>
      </c>
      <c r="U19" s="141">
        <v>60.956996898405016</v>
      </c>
      <c r="V19" s="141">
        <v>52.289507716053102</v>
      </c>
      <c r="W19" s="141">
        <v>51.756883057326938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5910.1088653621609</v>
      </c>
      <c r="C20" s="130">
        <f t="shared" si="20"/>
        <v>5843.8802201583803</v>
      </c>
      <c r="D20" s="130">
        <f t="shared" si="20"/>
        <v>5945.3350273522983</v>
      </c>
      <c r="E20" s="130">
        <f t="shared" si="20"/>
        <v>6068.1375846491719</v>
      </c>
      <c r="F20" s="130">
        <f t="shared" si="20"/>
        <v>6133.0447097356746</v>
      </c>
      <c r="G20" s="130">
        <f t="shared" si="20"/>
        <v>6150.8979981928769</v>
      </c>
      <c r="H20" s="130">
        <f t="shared" si="20"/>
        <v>6222.1341059186971</v>
      </c>
      <c r="I20" s="130">
        <f t="shared" si="20"/>
        <v>6570.1057268646291</v>
      </c>
      <c r="J20" s="130">
        <f t="shared" si="20"/>
        <v>6527.9427865858133</v>
      </c>
      <c r="K20" s="130">
        <f t="shared" si="20"/>
        <v>6439.0618501839044</v>
      </c>
      <c r="L20" s="130">
        <f t="shared" ref="L20" si="21">SUM(L21:L26)</f>
        <v>6362.1593831394875</v>
      </c>
      <c r="M20" s="130">
        <f t="shared" ref="M20:V20" si="22">SUM(M21:M26)</f>
        <v>6451.8886741321621</v>
      </c>
      <c r="N20" s="130">
        <f t="shared" si="22"/>
        <v>6006.2060662948879</v>
      </c>
      <c r="O20" s="130">
        <f t="shared" si="22"/>
        <v>5989.9413040583877</v>
      </c>
      <c r="P20" s="130">
        <f t="shared" si="22"/>
        <v>6075.7931573562209</v>
      </c>
      <c r="Q20" s="130">
        <f t="shared" si="22"/>
        <v>6613.8237247150892</v>
      </c>
      <c r="R20" s="130">
        <f t="shared" si="22"/>
        <v>6521.3227476549446</v>
      </c>
      <c r="S20" s="130">
        <f t="shared" si="22"/>
        <v>6437.3337937150791</v>
      </c>
      <c r="T20" s="130">
        <f t="shared" si="22"/>
        <v>6596.5200034692662</v>
      </c>
      <c r="U20" s="130">
        <f t="shared" si="22"/>
        <v>6529.6182657453764</v>
      </c>
      <c r="V20" s="130">
        <f t="shared" si="22"/>
        <v>5810.3524644413164</v>
      </c>
      <c r="W20" s="130">
        <f t="shared" ref="W20" si="23">SUM(W21:W26)</f>
        <v>5841.9154528574918</v>
      </c>
      <c r="DA20" s="176" t="s">
        <v>404</v>
      </c>
    </row>
    <row r="21" spans="1:105" ht="11.45" customHeight="1" x14ac:dyDescent="0.25">
      <c r="A21" s="111" t="s">
        <v>110</v>
      </c>
      <c r="B21" s="96">
        <v>5390.9825371475399</v>
      </c>
      <c r="C21" s="96">
        <v>5281.0816229626016</v>
      </c>
      <c r="D21" s="96">
        <v>5313.8819359671688</v>
      </c>
      <c r="E21" s="96">
        <v>5368.047366038335</v>
      </c>
      <c r="F21" s="96">
        <v>5308.1262371176599</v>
      </c>
      <c r="G21" s="96">
        <v>5146.2145592718707</v>
      </c>
      <c r="H21" s="96">
        <v>5053.4285083680179</v>
      </c>
      <c r="I21" s="96">
        <v>5017.3502607974551</v>
      </c>
      <c r="J21" s="96">
        <v>4794.7200170717697</v>
      </c>
      <c r="K21" s="96">
        <v>4577.9310559889582</v>
      </c>
      <c r="L21" s="96">
        <v>4269.5767927380139</v>
      </c>
      <c r="M21" s="96">
        <v>4210.5255804320932</v>
      </c>
      <c r="N21" s="96">
        <v>3780.5586321392648</v>
      </c>
      <c r="O21" s="96">
        <v>3659.508582601467</v>
      </c>
      <c r="P21" s="96">
        <v>3629.1845883397218</v>
      </c>
      <c r="Q21" s="96">
        <v>3823.1135119498426</v>
      </c>
      <c r="R21" s="96">
        <v>3811.4507584364851</v>
      </c>
      <c r="S21" s="96">
        <v>3632.9723556541412</v>
      </c>
      <c r="T21" s="96">
        <v>3658.1083609325615</v>
      </c>
      <c r="U21" s="96">
        <v>3667.3399902778469</v>
      </c>
      <c r="V21" s="96">
        <v>3269.6828558957909</v>
      </c>
      <c r="W21" s="96">
        <v>3337.7268111042135</v>
      </c>
      <c r="DA21" s="171" t="s">
        <v>750</v>
      </c>
    </row>
    <row r="22" spans="1:105" ht="11.45" customHeight="1" x14ac:dyDescent="0.25">
      <c r="A22" s="111" t="s">
        <v>111</v>
      </c>
      <c r="B22" s="96">
        <v>493.95462005062535</v>
      </c>
      <c r="C22" s="96">
        <v>534.75453220999952</v>
      </c>
      <c r="D22" s="96">
        <v>600.49562103638823</v>
      </c>
      <c r="E22" s="96">
        <v>674.85576237246119</v>
      </c>
      <c r="F22" s="96">
        <v>802.54034643935256</v>
      </c>
      <c r="G22" s="96">
        <v>985.0718872101171</v>
      </c>
      <c r="H22" s="96">
        <v>1151.872052373142</v>
      </c>
      <c r="I22" s="96">
        <v>1538.7265865204922</v>
      </c>
      <c r="J22" s="96">
        <v>1722.00365181798</v>
      </c>
      <c r="K22" s="96">
        <v>1852.7140907890753</v>
      </c>
      <c r="L22" s="96">
        <v>2092.5825904014732</v>
      </c>
      <c r="M22" s="96">
        <v>2241.3630937000685</v>
      </c>
      <c r="N22" s="96">
        <v>2225.6254915667164</v>
      </c>
      <c r="O22" s="96">
        <v>2330.3985015779508</v>
      </c>
      <c r="P22" s="96">
        <v>2446.5549518939997</v>
      </c>
      <c r="Q22" s="96">
        <v>2776.4236544678479</v>
      </c>
      <c r="R22" s="96">
        <v>2708.7107980591868</v>
      </c>
      <c r="S22" s="96">
        <v>2803.0553396365908</v>
      </c>
      <c r="T22" s="96">
        <v>2934.949602898002</v>
      </c>
      <c r="U22" s="96">
        <v>2856.7659995393333</v>
      </c>
      <c r="V22" s="96">
        <v>2528.0799532758365</v>
      </c>
      <c r="W22" s="96">
        <v>2472.8318727677502</v>
      </c>
      <c r="DA22" s="171" t="s">
        <v>751</v>
      </c>
    </row>
    <row r="23" spans="1:105" ht="11.45" customHeight="1" x14ac:dyDescent="0.25">
      <c r="A23" s="111" t="s">
        <v>112</v>
      </c>
      <c r="B23" s="96">
        <v>25.171708163995241</v>
      </c>
      <c r="C23" s="96">
        <v>28.044064985778942</v>
      </c>
      <c r="D23" s="96">
        <v>30.957470348741271</v>
      </c>
      <c r="E23" s="96">
        <v>25.234456238375774</v>
      </c>
      <c r="F23" s="96">
        <v>22.378126178661951</v>
      </c>
      <c r="G23" s="96">
        <v>19.611551710889106</v>
      </c>
      <c r="H23" s="96">
        <v>16.833545177537037</v>
      </c>
      <c r="I23" s="96">
        <v>14.028879546681818</v>
      </c>
      <c r="J23" s="96">
        <v>11.219117696063305</v>
      </c>
      <c r="K23" s="96">
        <v>8.4167034058705834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0.11377293428735599</v>
      </c>
      <c r="R24" s="96">
        <v>0.3650016043058858</v>
      </c>
      <c r="S24" s="96">
        <v>0.37393481117473898</v>
      </c>
      <c r="T24" s="96">
        <v>0.73634047250868551</v>
      </c>
      <c r="U24" s="96">
        <v>0.96805500412118128</v>
      </c>
      <c r="V24" s="96">
        <v>1.2359731085729979</v>
      </c>
      <c r="W24" s="96">
        <v>1.5560219563803708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2.194258890599932E-2</v>
      </c>
      <c r="O25" s="96">
        <v>3.4219878969861936E-2</v>
      </c>
      <c r="P25" s="96">
        <v>5.3617122499331482E-2</v>
      </c>
      <c r="Q25" s="96">
        <v>14.172785363111235</v>
      </c>
      <c r="R25" s="96">
        <v>0.79618955496736421</v>
      </c>
      <c r="S25" s="96">
        <v>0.93216361317226448</v>
      </c>
      <c r="T25" s="96">
        <v>2.7256991661941332</v>
      </c>
      <c r="U25" s="96">
        <v>4.5442209240743097</v>
      </c>
      <c r="V25" s="96">
        <v>11.35368216111662</v>
      </c>
      <c r="W25" s="96">
        <v>29.800747029147789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1063.3926741665543</v>
      </c>
      <c r="C27" s="130">
        <f t="shared" si="24"/>
        <v>1033.6152007819326</v>
      </c>
      <c r="D27" s="130">
        <f t="shared" si="24"/>
        <v>1007.9030403117886</v>
      </c>
      <c r="E27" s="130">
        <f t="shared" si="24"/>
        <v>1021.9371189948192</v>
      </c>
      <c r="F27" s="130">
        <f t="shared" si="24"/>
        <v>1004.5376758787592</v>
      </c>
      <c r="G27" s="130">
        <f t="shared" si="24"/>
        <v>1013.6784657967717</v>
      </c>
      <c r="H27" s="130">
        <f t="shared" si="24"/>
        <v>1020.7691616565697</v>
      </c>
      <c r="I27" s="130">
        <f t="shared" si="24"/>
        <v>1009.3475430806744</v>
      </c>
      <c r="J27" s="130">
        <f t="shared" si="24"/>
        <v>1024.2247841847704</v>
      </c>
      <c r="K27" s="130">
        <f t="shared" si="24"/>
        <v>1040.8134912201099</v>
      </c>
      <c r="L27" s="130">
        <f t="shared" ref="L27" si="25">SUM(L28:L32)</f>
        <v>1063.3213607769208</v>
      </c>
      <c r="M27" s="130">
        <f t="shared" ref="M27:V27" si="26">SUM(M28:M32)</f>
        <v>1003.3302404489723</v>
      </c>
      <c r="N27" s="130">
        <f t="shared" si="26"/>
        <v>911.83301099878997</v>
      </c>
      <c r="O27" s="130">
        <f t="shared" si="26"/>
        <v>872.29094050009076</v>
      </c>
      <c r="P27" s="130">
        <f t="shared" si="26"/>
        <v>905.11690078566085</v>
      </c>
      <c r="Q27" s="130">
        <f t="shared" si="26"/>
        <v>928.98437856412636</v>
      </c>
      <c r="R27" s="130">
        <f t="shared" si="26"/>
        <v>962.61905291639846</v>
      </c>
      <c r="S27" s="130">
        <f t="shared" si="26"/>
        <v>1008.6197072901973</v>
      </c>
      <c r="T27" s="130">
        <f t="shared" si="26"/>
        <v>1009.9559780796715</v>
      </c>
      <c r="U27" s="130">
        <f t="shared" si="26"/>
        <v>974.06581817333267</v>
      </c>
      <c r="V27" s="130">
        <f t="shared" si="26"/>
        <v>970.14339572954316</v>
      </c>
      <c r="W27" s="130">
        <f t="shared" ref="W27" si="27">SUM(W28:W32)</f>
        <v>959.35738690468327</v>
      </c>
      <c r="DA27" s="176" t="s">
        <v>405</v>
      </c>
    </row>
    <row r="28" spans="1:105" ht="11.45" customHeight="1" x14ac:dyDescent="0.25">
      <c r="A28" s="111" t="s">
        <v>110</v>
      </c>
      <c r="B28" s="97">
        <v>42.261691828960018</v>
      </c>
      <c r="C28" s="97">
        <v>42.881397126144506</v>
      </c>
      <c r="D28" s="97">
        <v>42.652394486062825</v>
      </c>
      <c r="E28" s="97">
        <v>27.126463707628584</v>
      </c>
      <c r="F28" s="97">
        <v>22.304111778418516</v>
      </c>
      <c r="G28" s="97">
        <v>20.965260401240581</v>
      </c>
      <c r="H28" s="97">
        <v>20.613087906620311</v>
      </c>
      <c r="I28" s="97">
        <v>19.61266116547764</v>
      </c>
      <c r="J28" s="97">
        <v>19.334881959567223</v>
      </c>
      <c r="K28" s="97">
        <v>18.128523379983005</v>
      </c>
      <c r="L28" s="97">
        <v>16.884183997076068</v>
      </c>
      <c r="M28" s="97">
        <v>15.87557495360001</v>
      </c>
      <c r="N28" s="97">
        <v>15.066747380298384</v>
      </c>
      <c r="O28" s="97">
        <v>15.870627516606485</v>
      </c>
      <c r="P28" s="97">
        <v>14.218370438244285</v>
      </c>
      <c r="Q28" s="97">
        <v>12.47864413150173</v>
      </c>
      <c r="R28" s="97">
        <v>11.375962107611745</v>
      </c>
      <c r="S28" s="97">
        <v>10.398055109326602</v>
      </c>
      <c r="T28" s="97">
        <v>9.3764505276536454</v>
      </c>
      <c r="U28" s="97">
        <v>8.2665934811821895</v>
      </c>
      <c r="V28" s="97">
        <v>7.458535162327073</v>
      </c>
      <c r="W28" s="97">
        <v>7.1124061651651518</v>
      </c>
      <c r="DA28" s="175" t="s">
        <v>756</v>
      </c>
    </row>
    <row r="29" spans="1:105" ht="11.45" customHeight="1" x14ac:dyDescent="0.25">
      <c r="A29" s="111" t="s">
        <v>111</v>
      </c>
      <c r="B29" s="97">
        <v>1021.1309823375943</v>
      </c>
      <c r="C29" s="97">
        <v>990.73380365578817</v>
      </c>
      <c r="D29" s="97">
        <v>965.25064582572577</v>
      </c>
      <c r="E29" s="97">
        <v>994.81065528719068</v>
      </c>
      <c r="F29" s="97">
        <v>982.23356410034069</v>
      </c>
      <c r="G29" s="97">
        <v>992.71320539553108</v>
      </c>
      <c r="H29" s="97">
        <v>1000.1560737499494</v>
      </c>
      <c r="I29" s="97">
        <v>989.73488191519675</v>
      </c>
      <c r="J29" s="97">
        <v>1004.8899022252033</v>
      </c>
      <c r="K29" s="97">
        <v>1022.6849678401269</v>
      </c>
      <c r="L29" s="97">
        <v>1046.4371767798448</v>
      </c>
      <c r="M29" s="97">
        <v>987.4546654953723</v>
      </c>
      <c r="N29" s="97">
        <v>896.76626361849162</v>
      </c>
      <c r="O29" s="97">
        <v>856.42031298348422</v>
      </c>
      <c r="P29" s="97">
        <v>890.89853034741657</v>
      </c>
      <c r="Q29" s="97">
        <v>913.37554975176386</v>
      </c>
      <c r="R29" s="97">
        <v>945.24697311644343</v>
      </c>
      <c r="S29" s="97">
        <v>984.65445612154667</v>
      </c>
      <c r="T29" s="97">
        <v>983.94246628009614</v>
      </c>
      <c r="U29" s="97">
        <v>949.00754112049253</v>
      </c>
      <c r="V29" s="97">
        <v>946.27667504697172</v>
      </c>
      <c r="W29" s="97">
        <v>933.38457815900745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3.130184680860788</v>
      </c>
      <c r="R31" s="97">
        <v>5.9961176923433399</v>
      </c>
      <c r="S31" s="97">
        <v>13.567196059323994</v>
      </c>
      <c r="T31" s="97">
        <v>16.637061271921706</v>
      </c>
      <c r="U31" s="97">
        <v>16.791683571657952</v>
      </c>
      <c r="V31" s="97">
        <v>16.408185520244334</v>
      </c>
      <c r="W31" s="97">
        <v>18.860402580510712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3999.4818400446366</v>
      </c>
      <c r="C33" s="32">
        <f t="shared" si="28"/>
        <v>4187.982523295932</v>
      </c>
      <c r="D33" s="32">
        <f t="shared" si="28"/>
        <v>4222.6685737204898</v>
      </c>
      <c r="E33" s="32">
        <f t="shared" si="28"/>
        <v>4569.3518472936194</v>
      </c>
      <c r="F33" s="32">
        <f t="shared" si="28"/>
        <v>4911.7645759300658</v>
      </c>
      <c r="G33" s="32">
        <f t="shared" si="28"/>
        <v>4999.2515155180772</v>
      </c>
      <c r="H33" s="32">
        <f t="shared" si="28"/>
        <v>5267.853136606851</v>
      </c>
      <c r="I33" s="32">
        <f t="shared" si="28"/>
        <v>5537.5169852289882</v>
      </c>
      <c r="J33" s="32">
        <f t="shared" si="28"/>
        <v>5266.8574618540661</v>
      </c>
      <c r="K33" s="32">
        <f t="shared" si="28"/>
        <v>4660.6290994161191</v>
      </c>
      <c r="L33" s="32">
        <f t="shared" ref="L33" si="29">L34+L40</f>
        <v>4627.3085090615186</v>
      </c>
      <c r="M33" s="32">
        <f t="shared" ref="M33:V33" si="30">M34+M40</f>
        <v>4264.8245371488247</v>
      </c>
      <c r="N33" s="32">
        <f t="shared" si="30"/>
        <v>3777.5435841275539</v>
      </c>
      <c r="O33" s="32">
        <f t="shared" si="30"/>
        <v>3626.664688125551</v>
      </c>
      <c r="P33" s="32">
        <f t="shared" si="30"/>
        <v>3691.1807861952257</v>
      </c>
      <c r="Q33" s="32">
        <f t="shared" si="30"/>
        <v>3539.2866321520196</v>
      </c>
      <c r="R33" s="32">
        <f t="shared" si="30"/>
        <v>3800.3166494651805</v>
      </c>
      <c r="S33" s="32">
        <f t="shared" si="30"/>
        <v>3857.9669455453541</v>
      </c>
      <c r="T33" s="32">
        <f t="shared" si="30"/>
        <v>3960.0186421113249</v>
      </c>
      <c r="U33" s="32">
        <f t="shared" si="30"/>
        <v>3773.7583894228846</v>
      </c>
      <c r="V33" s="32">
        <f t="shared" si="30"/>
        <v>3597.4910835930868</v>
      </c>
      <c r="W33" s="32">
        <f t="shared" ref="W33" si="31">W34+W40</f>
        <v>3718.8925075804991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1870.4837868876482</v>
      </c>
      <c r="C34" s="141">
        <f t="shared" si="32"/>
        <v>1937.5024125142877</v>
      </c>
      <c r="D34" s="141">
        <f t="shared" si="32"/>
        <v>1925.7579321427756</v>
      </c>
      <c r="E34" s="141">
        <f t="shared" si="32"/>
        <v>1959.1390795032733</v>
      </c>
      <c r="F34" s="141">
        <f t="shared" si="32"/>
        <v>2079.8249534251531</v>
      </c>
      <c r="G34" s="141">
        <f t="shared" si="32"/>
        <v>2165.3569202909871</v>
      </c>
      <c r="H34" s="141">
        <f t="shared" si="32"/>
        <v>2333.0730569567509</v>
      </c>
      <c r="I34" s="141">
        <f t="shared" si="32"/>
        <v>2520.9155196673219</v>
      </c>
      <c r="J34" s="141">
        <f t="shared" si="32"/>
        <v>2467.6897001649227</v>
      </c>
      <c r="K34" s="141">
        <f t="shared" si="32"/>
        <v>2280.0636652639737</v>
      </c>
      <c r="L34" s="141">
        <f t="shared" ref="L34" si="33">SUM(L35:L39)</f>
        <v>2198.7016022553175</v>
      </c>
      <c r="M34" s="141">
        <f t="shared" ref="M34:V34" si="34">SUM(M35:M39)</f>
        <v>1926.9635731811454</v>
      </c>
      <c r="N34" s="141">
        <f t="shared" si="34"/>
        <v>1718.1807468073735</v>
      </c>
      <c r="O34" s="141">
        <f t="shared" si="34"/>
        <v>1614.0515709333692</v>
      </c>
      <c r="P34" s="141">
        <f t="shared" si="34"/>
        <v>1535.9788249463829</v>
      </c>
      <c r="Q34" s="141">
        <f t="shared" si="34"/>
        <v>1540.3792572361642</v>
      </c>
      <c r="R34" s="141">
        <f t="shared" si="34"/>
        <v>1534.4079450829806</v>
      </c>
      <c r="S34" s="141">
        <f t="shared" si="34"/>
        <v>1561.3403670619234</v>
      </c>
      <c r="T34" s="141">
        <f t="shared" si="34"/>
        <v>1575.7048212114339</v>
      </c>
      <c r="U34" s="141">
        <f t="shared" si="34"/>
        <v>1484.1537465193662</v>
      </c>
      <c r="V34" s="141">
        <f t="shared" si="34"/>
        <v>1371.5893830635371</v>
      </c>
      <c r="W34" s="141">
        <f t="shared" ref="W34" si="35">SUM(W35:W39)</f>
        <v>1407.9079992781244</v>
      </c>
      <c r="DA34" s="174" t="s">
        <v>411</v>
      </c>
    </row>
    <row r="35" spans="1:105" ht="11.45" customHeight="1" x14ac:dyDescent="0.25">
      <c r="A35" s="111" t="s">
        <v>110</v>
      </c>
      <c r="B35" s="96">
        <v>356.18168023685064</v>
      </c>
      <c r="C35" s="96">
        <v>390.52310402749856</v>
      </c>
      <c r="D35" s="96">
        <v>380.04795033134599</v>
      </c>
      <c r="E35" s="96">
        <v>356.12307263164683</v>
      </c>
      <c r="F35" s="96">
        <v>351.73545384842032</v>
      </c>
      <c r="G35" s="96">
        <v>341.27527079461527</v>
      </c>
      <c r="H35" s="96">
        <v>331.78230254747928</v>
      </c>
      <c r="I35" s="96">
        <v>316.68690761136054</v>
      </c>
      <c r="J35" s="96">
        <v>279.35706919331045</v>
      </c>
      <c r="K35" s="96">
        <v>245.71985717119168</v>
      </c>
      <c r="L35" s="96">
        <v>213.69297876283599</v>
      </c>
      <c r="M35" s="96">
        <v>178.31242670426539</v>
      </c>
      <c r="N35" s="96">
        <v>147.80998895276187</v>
      </c>
      <c r="O35" s="96">
        <v>134.13188088698848</v>
      </c>
      <c r="P35" s="96">
        <v>122.60226959664244</v>
      </c>
      <c r="Q35" s="96">
        <v>113.57238430678107</v>
      </c>
      <c r="R35" s="96">
        <v>106.66956561746015</v>
      </c>
      <c r="S35" s="96">
        <v>100.384370853991</v>
      </c>
      <c r="T35" s="96">
        <v>90.140564593855316</v>
      </c>
      <c r="U35" s="96">
        <v>81.76030901849002</v>
      </c>
      <c r="V35" s="96">
        <v>69.914627904712432</v>
      </c>
      <c r="W35" s="96">
        <v>73.26518312414764</v>
      </c>
      <c r="DA35" s="171" t="s">
        <v>761</v>
      </c>
    </row>
    <row r="36" spans="1:105" ht="11.45" customHeight="1" x14ac:dyDescent="0.25">
      <c r="A36" s="111" t="s">
        <v>111</v>
      </c>
      <c r="B36" s="96">
        <v>1513.3504148147929</v>
      </c>
      <c r="C36" s="96">
        <v>1545.9973229925679</v>
      </c>
      <c r="D36" s="96">
        <v>1544.738751200171</v>
      </c>
      <c r="E36" s="96">
        <v>1602.1270631100022</v>
      </c>
      <c r="F36" s="96">
        <v>1727.2468762353951</v>
      </c>
      <c r="G36" s="96">
        <v>1823.3751021672608</v>
      </c>
      <c r="H36" s="96">
        <v>2000.7086238668087</v>
      </c>
      <c r="I36" s="96">
        <v>2203.7444663626429</v>
      </c>
      <c r="J36" s="96">
        <v>2187.9413739076754</v>
      </c>
      <c r="K36" s="96">
        <v>2034.0527872186524</v>
      </c>
      <c r="L36" s="96">
        <v>1985.0086234924815</v>
      </c>
      <c r="M36" s="96">
        <v>1748.6511464768801</v>
      </c>
      <c r="N36" s="96">
        <v>1570.3707578546116</v>
      </c>
      <c r="O36" s="96">
        <v>1479.9196900463808</v>
      </c>
      <c r="P36" s="96">
        <v>1413.3765553497406</v>
      </c>
      <c r="Q36" s="96">
        <v>1425.8124979845313</v>
      </c>
      <c r="R36" s="96">
        <v>1426.7180627221696</v>
      </c>
      <c r="S36" s="96">
        <v>1459.9074539184312</v>
      </c>
      <c r="T36" s="96">
        <v>1484.4783124020091</v>
      </c>
      <c r="U36" s="96">
        <v>1401.4490545966553</v>
      </c>
      <c r="V36" s="96">
        <v>1300.7210232676418</v>
      </c>
      <c r="W36" s="96">
        <v>1333.7043942108678</v>
      </c>
      <c r="DA36" s="171" t="s">
        <v>762</v>
      </c>
    </row>
    <row r="37" spans="1:105" ht="11.45" customHeight="1" x14ac:dyDescent="0.25">
      <c r="A37" s="111" t="s">
        <v>112</v>
      </c>
      <c r="B37" s="96">
        <v>0.95169183600476426</v>
      </c>
      <c r="C37" s="96">
        <v>0.98198549422105363</v>
      </c>
      <c r="D37" s="96">
        <v>0.97123061125871979</v>
      </c>
      <c r="E37" s="96">
        <v>0.88894376162422828</v>
      </c>
      <c r="F37" s="96">
        <v>0.84262334133804528</v>
      </c>
      <c r="G37" s="96">
        <v>0.70654732911089801</v>
      </c>
      <c r="H37" s="96">
        <v>0.58213054246296547</v>
      </c>
      <c r="I37" s="96">
        <v>0.4841456933181853</v>
      </c>
      <c r="J37" s="96">
        <v>0.39125706393669485</v>
      </c>
      <c r="K37" s="96">
        <v>0.29102087412941596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0.99437494485185751</v>
      </c>
      <c r="R38" s="96">
        <v>1.0203167433507736</v>
      </c>
      <c r="S38" s="96">
        <v>1.0485422895012684</v>
      </c>
      <c r="T38" s="96">
        <v>1.0859442155696102</v>
      </c>
      <c r="U38" s="96">
        <v>0.94438290422087234</v>
      </c>
      <c r="V38" s="96">
        <v>0.95373189118266632</v>
      </c>
      <c r="W38" s="96">
        <v>0.93842194310891669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2128.9980531569881</v>
      </c>
      <c r="C40" s="130">
        <f t="shared" si="36"/>
        <v>2250.4801107816438</v>
      </c>
      <c r="D40" s="130">
        <f t="shared" si="36"/>
        <v>2296.9106415777142</v>
      </c>
      <c r="E40" s="130">
        <f t="shared" si="36"/>
        <v>2610.2127677903459</v>
      </c>
      <c r="F40" s="130">
        <f t="shared" si="36"/>
        <v>2831.9396225049127</v>
      </c>
      <c r="G40" s="130">
        <f t="shared" si="36"/>
        <v>2833.8945952270906</v>
      </c>
      <c r="H40" s="130">
        <f t="shared" si="36"/>
        <v>2934.7800796501001</v>
      </c>
      <c r="I40" s="130">
        <f t="shared" si="36"/>
        <v>3016.6014655616664</v>
      </c>
      <c r="J40" s="130">
        <f t="shared" si="36"/>
        <v>2799.1677616891429</v>
      </c>
      <c r="K40" s="130">
        <f t="shared" si="36"/>
        <v>2380.5654341521458</v>
      </c>
      <c r="L40" s="130">
        <f t="shared" ref="L40" si="37">SUM(L41:L42)</f>
        <v>2428.6069068062011</v>
      </c>
      <c r="M40" s="130">
        <f t="shared" ref="M40:V40" si="38">SUM(M41:M42)</f>
        <v>2337.8609639676788</v>
      </c>
      <c r="N40" s="130">
        <f t="shared" si="38"/>
        <v>2059.3628373201805</v>
      </c>
      <c r="O40" s="130">
        <f t="shared" si="38"/>
        <v>2012.6131171921816</v>
      </c>
      <c r="P40" s="130">
        <f t="shared" si="38"/>
        <v>2155.2019612488425</v>
      </c>
      <c r="Q40" s="130">
        <f t="shared" si="38"/>
        <v>1998.9073749158556</v>
      </c>
      <c r="R40" s="130">
        <f t="shared" si="38"/>
        <v>2265.9087043822001</v>
      </c>
      <c r="S40" s="130">
        <f t="shared" si="38"/>
        <v>2296.6265784834309</v>
      </c>
      <c r="T40" s="130">
        <f t="shared" si="38"/>
        <v>2384.3138208998907</v>
      </c>
      <c r="U40" s="130">
        <f t="shared" si="38"/>
        <v>2289.6046429035187</v>
      </c>
      <c r="V40" s="130">
        <f t="shared" si="38"/>
        <v>2225.90170052955</v>
      </c>
      <c r="W40" s="130">
        <f t="shared" ref="W40" si="39">SUM(W41:W42)</f>
        <v>2310.9845083023747</v>
      </c>
      <c r="DA40" s="176" t="s">
        <v>412</v>
      </c>
    </row>
    <row r="41" spans="1:105" ht="11.45" customHeight="1" x14ac:dyDescent="0.25">
      <c r="A41" s="128" t="s">
        <v>27</v>
      </c>
      <c r="B41" s="97">
        <v>1545.5090208535066</v>
      </c>
      <c r="C41" s="97">
        <v>1593.1503982560662</v>
      </c>
      <c r="D41" s="97">
        <v>1576.0403611407407</v>
      </c>
      <c r="E41" s="97">
        <v>1710.8652899445924</v>
      </c>
      <c r="F41" s="97">
        <v>1662.6380361145609</v>
      </c>
      <c r="G41" s="97">
        <v>1639.4206400112571</v>
      </c>
      <c r="H41" s="97">
        <v>1709.5242609602708</v>
      </c>
      <c r="I41" s="97">
        <v>1745.9050432341385</v>
      </c>
      <c r="J41" s="97">
        <v>1627.8909231628606</v>
      </c>
      <c r="K41" s="97">
        <v>1399.6805225224618</v>
      </c>
      <c r="L41" s="97">
        <v>1433.454478682261</v>
      </c>
      <c r="M41" s="97">
        <v>1437.6311922521968</v>
      </c>
      <c r="N41" s="97">
        <v>1378.4415415887427</v>
      </c>
      <c r="O41" s="97">
        <v>1340.6553022739988</v>
      </c>
      <c r="P41" s="97">
        <v>1388.981903998905</v>
      </c>
      <c r="Q41" s="97">
        <v>1320.6065652943435</v>
      </c>
      <c r="R41" s="97">
        <v>1342.1360098129576</v>
      </c>
      <c r="S41" s="97">
        <v>1278.7905867302136</v>
      </c>
      <c r="T41" s="97">
        <v>1264.3087741972529</v>
      </c>
      <c r="U41" s="97">
        <v>1245.2374383479357</v>
      </c>
      <c r="V41" s="97">
        <v>1234.4907876568836</v>
      </c>
      <c r="W41" s="97">
        <v>1255.2793894492554</v>
      </c>
      <c r="DA41" s="175" t="s">
        <v>766</v>
      </c>
    </row>
    <row r="42" spans="1:105" ht="11.45" customHeight="1" x14ac:dyDescent="0.25">
      <c r="A42" s="138" t="s">
        <v>116</v>
      </c>
      <c r="B42" s="98">
        <v>583.48903230348128</v>
      </c>
      <c r="C42" s="98">
        <v>657.32971252557741</v>
      </c>
      <c r="D42" s="98">
        <v>720.87028043697353</v>
      </c>
      <c r="E42" s="98">
        <v>899.34747784575336</v>
      </c>
      <c r="F42" s="98">
        <v>1169.3015863903518</v>
      </c>
      <c r="G42" s="98">
        <v>1194.4739552158335</v>
      </c>
      <c r="H42" s="98">
        <v>1225.2558186898293</v>
      </c>
      <c r="I42" s="98">
        <v>1270.6964223275281</v>
      </c>
      <c r="J42" s="98">
        <v>1171.2768385262821</v>
      </c>
      <c r="K42" s="98">
        <v>980.8849116296841</v>
      </c>
      <c r="L42" s="98">
        <v>995.15242812394024</v>
      </c>
      <c r="M42" s="98">
        <v>900.22977171548189</v>
      </c>
      <c r="N42" s="98">
        <v>680.92129573143791</v>
      </c>
      <c r="O42" s="98">
        <v>671.95781491818275</v>
      </c>
      <c r="P42" s="98">
        <v>766.22005724993744</v>
      </c>
      <c r="Q42" s="98">
        <v>678.30080962151226</v>
      </c>
      <c r="R42" s="98">
        <v>923.77269456924228</v>
      </c>
      <c r="S42" s="98">
        <v>1017.8359917532172</v>
      </c>
      <c r="T42" s="98">
        <v>1120.0050467026381</v>
      </c>
      <c r="U42" s="98">
        <v>1044.3672045555829</v>
      </c>
      <c r="V42" s="98">
        <v>991.41091287266624</v>
      </c>
      <c r="W42" s="98">
        <v>1055.7051188531191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2.9912620750659387</v>
      </c>
      <c r="C47" s="145">
        <f>IF(C4=0,0,C4/TrRoad_ene!C4)</f>
        <v>2.9934012255632596</v>
      </c>
      <c r="D47" s="145">
        <f>IF(D4=0,0,D4/TrRoad_ene!D4)</f>
        <v>2.99389285315159</v>
      </c>
      <c r="E47" s="145">
        <f>IF(E4=0,0,E4/TrRoad_ene!E4)</f>
        <v>2.9982117352128439</v>
      </c>
      <c r="F47" s="145">
        <f>IF(F4=0,0,F4/TrRoad_ene!F4)</f>
        <v>3.002731213584477</v>
      </c>
      <c r="G47" s="145">
        <f>IF(G4=0,0,G4/TrRoad_ene!G4)</f>
        <v>3.0066124238037073</v>
      </c>
      <c r="H47" s="145">
        <f>IF(H4=0,0,H4/TrRoad_ene!H4)</f>
        <v>3.0081665092499983</v>
      </c>
      <c r="I47" s="145">
        <f>IF(I4=0,0,I4/TrRoad_ene!I4)</f>
        <v>3.0119395682389043</v>
      </c>
      <c r="J47" s="145">
        <f>IF(J4=0,0,J4/TrRoad_ene!J4)</f>
        <v>3.0145708810512168</v>
      </c>
      <c r="K47" s="145">
        <f>IF(K4=0,0,K4/TrRoad_ene!K4)</f>
        <v>3.0114945308320196</v>
      </c>
      <c r="L47" s="145">
        <f>IF(L4=0,0,L4/TrRoad_ene!L4)</f>
        <v>3.0034179382162676</v>
      </c>
      <c r="M47" s="145">
        <f>IF(M4=0,0,M4/TrRoad_ene!M4)</f>
        <v>2.9250329234740424</v>
      </c>
      <c r="N47" s="145">
        <f>IF(N4=0,0,N4/TrRoad_ene!N4)</f>
        <v>2.858558569890576</v>
      </c>
      <c r="O47" s="145">
        <f>IF(O4=0,0,O4/TrRoad_ene!O4)</f>
        <v>2.8549983132230681</v>
      </c>
      <c r="P47" s="145">
        <f>IF(P4=0,0,P4/TrRoad_ene!P4)</f>
        <v>2.8553642700478639</v>
      </c>
      <c r="Q47" s="145">
        <f>IF(Q4=0,0,Q4/TrRoad_ene!Q4)</f>
        <v>2.8578611272037939</v>
      </c>
      <c r="R47" s="145">
        <f>IF(R4=0,0,R4/TrRoad_ene!R4)</f>
        <v>2.860385287096888</v>
      </c>
      <c r="S47" s="145">
        <f>IF(S4=0,0,S4/TrRoad_ene!S4)</f>
        <v>2.8642208984218991</v>
      </c>
      <c r="T47" s="145">
        <f>IF(T4=0,0,T4/TrRoad_ene!T4)</f>
        <v>2.869455049249694</v>
      </c>
      <c r="U47" s="145">
        <f>IF(U4=0,0,U4/TrRoad_ene!U4)</f>
        <v>2.8518703377378705</v>
      </c>
      <c r="V47" s="145">
        <f>IF(V4=0,0,V4/TrRoad_ene!V4)</f>
        <v>2.8162622626569767</v>
      </c>
      <c r="W47" s="145">
        <f>IF(W4=0,0,W4/TrRoad_ene!W4)</f>
        <v>2.7988407166977343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2.8955817297231823</v>
      </c>
      <c r="I48" s="97">
        <f>IF(I7=0,0,(I7+I12)/(TrRoad_ene!I7+TrRoad_ene!I12))</f>
        <v>2.8925768137942098</v>
      </c>
      <c r="J48" s="97">
        <f>IF(J7=0,0,(J7+J12)/(TrRoad_ene!J7+TrRoad_ene!J12))</f>
        <v>2.893162715633014</v>
      </c>
      <c r="K48" s="97">
        <f>IF(K7=0,0,(K7+K12)/(TrRoad_ene!K7+TrRoad_ene!K12))</f>
        <v>2.892733642073984</v>
      </c>
      <c r="L48" s="97">
        <f>IF(L7=0,0,(L7+L12)/(TrRoad_ene!L7+TrRoad_ene!L12))</f>
        <v>2.8529191457294423</v>
      </c>
      <c r="M48" s="97">
        <f>IF(M7=0,0,(M7+M12)/(TrRoad_ene!M7+TrRoad_ene!M12))</f>
        <v>2.8152377754423812</v>
      </c>
      <c r="N48" s="97">
        <f>IF(N7=0,0,(N7+N12)/(TrRoad_ene!N7+TrRoad_ene!N12))</f>
        <v>2.7993992295482966</v>
      </c>
      <c r="O48" s="97">
        <f>IF(O7=0,0,(O7+O12)/(TrRoad_ene!O7+TrRoad_ene!O12))</f>
        <v>2.8050432355466084</v>
      </c>
      <c r="P48" s="97">
        <f>IF(P7=0,0,(P7+P12)/(TrRoad_ene!P7+TrRoad_ene!P12))</f>
        <v>2.8066286612076161</v>
      </c>
      <c r="Q48" s="97">
        <f>IF(Q7=0,0,(Q7+Q12)/(TrRoad_ene!Q7+TrRoad_ene!Q12))</f>
        <v>2.812383561332485</v>
      </c>
      <c r="R48" s="97">
        <f>IF(R7=0,0,(R7+R12)/(TrRoad_ene!R7+TrRoad_ene!R12))</f>
        <v>2.8118556464375812</v>
      </c>
      <c r="S48" s="97">
        <f>IF(S7=0,0,(S7+S12)/(TrRoad_ene!S7+TrRoad_ene!S12))</f>
        <v>2.8081528943380256</v>
      </c>
      <c r="T48" s="97">
        <f>IF(T7=0,0,(T7+T12)/(TrRoad_ene!T7+TrRoad_ene!T12))</f>
        <v>2.80981423360595</v>
      </c>
      <c r="U48" s="97">
        <f>IF(U7=0,0,(U7+U12)/(TrRoad_ene!U7+TrRoad_ene!U12))</f>
        <v>2.8083174363382994</v>
      </c>
      <c r="V48" s="97">
        <f>IF(V7=0,0,(V7+V12)/(TrRoad_ene!V7+TrRoad_ene!V12))</f>
        <v>2.7171066806428978</v>
      </c>
      <c r="W48" s="97">
        <f>IF(W7=0,0,(W7+W12)/(TrRoad_ene!W7+TrRoad_ene!W12))</f>
        <v>2.7170891817018266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3.1024188000000001</v>
      </c>
      <c r="J49" s="97">
        <f>IF(J8=0,0,(J8+J13+J14)/(TrRoad_ene!J8+TrRoad_ene!J13+TrRoad_ene!J14))</f>
        <v>3.1024188000000001</v>
      </c>
      <c r="K49" s="97">
        <f>IF(K8=0,0,(K8+K13+K14)/(TrRoad_ene!K8+TrRoad_ene!K13+TrRoad_ene!K14))</f>
        <v>3.0976957434812782</v>
      </c>
      <c r="L49" s="97">
        <f>IF(L8=0,0,(L8+L13+L14)/(TrRoad_ene!L8+TrRoad_ene!L13+TrRoad_ene!L14))</f>
        <v>3.1024188000000001</v>
      </c>
      <c r="M49" s="97">
        <f>IF(M8=0,0,(M8+M13+M14)/(TrRoad_ene!M8+TrRoad_ene!M13+TrRoad_ene!M14))</f>
        <v>2.9965612898893652</v>
      </c>
      <c r="N49" s="97">
        <f>IF(N8=0,0,(N8+N13+N14)/(TrRoad_ene!N8+TrRoad_ene!N13+TrRoad_ene!N14))</f>
        <v>2.8951075235124502</v>
      </c>
      <c r="O49" s="97">
        <f>IF(O8=0,0,(O8+O13+O14)/(TrRoad_ene!O8+TrRoad_ene!O13+TrRoad_ene!O14))</f>
        <v>2.8851663517532287</v>
      </c>
      <c r="P49" s="97">
        <f>IF(P8=0,0,(P8+P13+P14)/(TrRoad_ene!P8+TrRoad_ene!P13+TrRoad_ene!P14))</f>
        <v>2.8838548793096686</v>
      </c>
      <c r="Q49" s="97">
        <f>IF(Q8=0,0,(Q8+Q13+Q14)/(TrRoad_ene!Q8+TrRoad_ene!Q13+TrRoad_ene!Q14))</f>
        <v>2.8879980290189331</v>
      </c>
      <c r="R49" s="97">
        <f>IF(R8=0,0,(R8+R13+R14)/(TrRoad_ene!R8+TrRoad_ene!R13+TrRoad_ene!R14))</f>
        <v>2.8906682095669494</v>
      </c>
      <c r="S49" s="97">
        <f>IF(S8=0,0,(S8+S13+S14)/(TrRoad_ene!S8+TrRoad_ene!S13+TrRoad_ene!S14))</f>
        <v>2.8976568036576844</v>
      </c>
      <c r="T49" s="97">
        <f>IF(T8=0,0,(T8+T13+T14)/(TrRoad_ene!T8+TrRoad_ene!T13+TrRoad_ene!T14))</f>
        <v>2.9045738448641805</v>
      </c>
      <c r="U49" s="97">
        <f>IF(U8=0,0,(U8+U13+U14)/(TrRoad_ene!U8+TrRoad_ene!U13+TrRoad_ene!U14))</f>
        <v>2.8843841841195164</v>
      </c>
      <c r="V49" s="97">
        <f>IF(V8=0,0,(V8+V13+V14)/(TrRoad_ene!V8+TrRoad_ene!V13+TrRoad_ene!V14))</f>
        <v>2.8830322872205918</v>
      </c>
      <c r="W49" s="97">
        <f>IF(W8=0,0,(W8+W13+W14)/(TrRoad_ene!W8+TrRoad_ene!W13+TrRoad_ene!W14))</f>
        <v>2.8808590923954092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0</v>
      </c>
      <c r="S50" s="97">
        <f>IF(S6=0,0,S6/TrRoad_ene!S6)</f>
        <v>0</v>
      </c>
      <c r="T50" s="97">
        <f>IF(T6=0,0,T6/TrRoad_ene!T6)</f>
        <v>0</v>
      </c>
      <c r="U50" s="97">
        <f>IF(U6=0,0,U6/TrRoad_ene!U6)</f>
        <v>0</v>
      </c>
      <c r="V50" s="97">
        <f>IF(V6=0,0,V6/TrRoad_ene!V6)</f>
        <v>0</v>
      </c>
      <c r="W50" s="97">
        <f>IF(W6=0,0,W6/TrRoad_ene!W6)</f>
        <v>0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2.3240986219435151</v>
      </c>
      <c r="R51" s="97">
        <f>IF(R9=0,0,(R9+R11)/(TrRoad_ene!R9+TrRoad_ene!R11))</f>
        <v>2.2770849110132625</v>
      </c>
      <c r="S51" s="97">
        <f>IF(S9=0,0,(S9+S11)/(TrRoad_ene!S9+TrRoad_ene!S11))</f>
        <v>2.2312799033764241</v>
      </c>
      <c r="T51" s="97">
        <f>IF(T9=0,0,(T9+T11)/(TrRoad_ene!T9+TrRoad_ene!T11))</f>
        <v>2.3487948000000003</v>
      </c>
      <c r="U51" s="97">
        <f>IF(U9=0,0,(U9+U11)/(TrRoad_ene!U9+TrRoad_ene!U11))</f>
        <v>2.1344571626033972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341.8805777036971</v>
      </c>
      <c r="C54" s="62">
        <f>IF(TrRoad_act!C30=0,0,C17/TrRoad_act!C30*1000
)</f>
        <v>337.12669358572299</v>
      </c>
      <c r="D54" s="62">
        <f>IF(TrRoad_act!D30=0,0,D17/TrRoad_act!D30*1000
)</f>
        <v>331.52414922917689</v>
      </c>
      <c r="E54" s="62">
        <f>IF(TrRoad_act!E30=0,0,E17/TrRoad_act!E30*1000
)</f>
        <v>334.83289642611169</v>
      </c>
      <c r="F54" s="62">
        <f>IF(TrRoad_act!F30=0,0,F17/TrRoad_act!F30*1000
)</f>
        <v>335.23684531800257</v>
      </c>
      <c r="G54" s="62">
        <f>IF(TrRoad_act!G30=0,0,G17/TrRoad_act!G30*1000
)</f>
        <v>328.92045892848427</v>
      </c>
      <c r="H54" s="62">
        <f>IF(TrRoad_act!H30=0,0,H17/TrRoad_act!H30*1000
)</f>
        <v>324.49002063622106</v>
      </c>
      <c r="I54" s="62">
        <f>IF(TrRoad_act!I30=0,0,I17/TrRoad_act!I30*1000
)</f>
        <v>315.26231334513119</v>
      </c>
      <c r="J54" s="62">
        <f>IF(TrRoad_act!J30=0,0,J17/TrRoad_act!J30*1000
)</f>
        <v>303.81775731494844</v>
      </c>
      <c r="K54" s="62">
        <f>IF(TrRoad_act!K30=0,0,K17/TrRoad_act!K30*1000
)</f>
        <v>292.77479632888014</v>
      </c>
      <c r="L54" s="62">
        <f>IF(TrRoad_act!L30=0,0,L17/TrRoad_act!L30*1000
)</f>
        <v>288.96401181444668</v>
      </c>
      <c r="M54" s="62">
        <f>IF(TrRoad_act!M30=0,0,M17/TrRoad_act!M30*1000
)</f>
        <v>274.54123780667777</v>
      </c>
      <c r="N54" s="62">
        <f>IF(TrRoad_act!N30=0,0,N17/TrRoad_act!N30*1000
)</f>
        <v>259.33215138857906</v>
      </c>
      <c r="O54" s="62">
        <f>IF(TrRoad_act!O30=0,0,O17/TrRoad_act!O30*1000
)</f>
        <v>251.67968425580227</v>
      </c>
      <c r="P54" s="62">
        <f>IF(TrRoad_act!P30=0,0,P17/TrRoad_act!P30*1000
)</f>
        <v>250.94648439807261</v>
      </c>
      <c r="Q54" s="62">
        <f>IF(TrRoad_act!Q30=0,0,Q17/TrRoad_act!Q30*1000
)</f>
        <v>241.18401177958538</v>
      </c>
      <c r="R54" s="62">
        <f>IF(TrRoad_act!R30=0,0,R17/TrRoad_act!R30*1000
)</f>
        <v>239.43678445829687</v>
      </c>
      <c r="S54" s="62">
        <f>IF(TrRoad_act!S30=0,0,S17/TrRoad_act!S30*1000
)</f>
        <v>237.98944106449787</v>
      </c>
      <c r="T54" s="62">
        <f>IF(TrRoad_act!T30=0,0,T17/TrRoad_act!T30*1000
)</f>
        <v>237.05652478912913</v>
      </c>
      <c r="U54" s="62">
        <f>IF(TrRoad_act!U30=0,0,U17/TrRoad_act!U30*1000
)</f>
        <v>228.68545593240128</v>
      </c>
      <c r="V54" s="62">
        <f>IF(TrRoad_act!V30=0,0,V17/TrRoad_act!V30*1000
)</f>
        <v>223.70179909934339</v>
      </c>
      <c r="W54" s="62">
        <f>IF(TrRoad_act!W30=0,0,W17/TrRoad_act!W30*1000
)</f>
        <v>217.66861334473026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279.05976167123947</v>
      </c>
      <c r="C55" s="29">
        <f>IF(TrRoad_act!C31=0,0,C18/TrRoad_act!C31*1000
)</f>
        <v>273.14139801580654</v>
      </c>
      <c r="D55" s="29">
        <f>IF(TrRoad_act!D31=0,0,D18/TrRoad_act!D31*1000
)</f>
        <v>269.31966630601954</v>
      </c>
      <c r="E55" s="29">
        <f>IF(TrRoad_act!E31=0,0,E18/TrRoad_act!E31*1000
)</f>
        <v>268.11965760412801</v>
      </c>
      <c r="F55" s="29">
        <f>IF(TrRoad_act!F31=0,0,F18/TrRoad_act!F31*1000
)</f>
        <v>265.43196287431675</v>
      </c>
      <c r="G55" s="29">
        <f>IF(TrRoad_act!G31=0,0,G18/TrRoad_act!G31*1000
)</f>
        <v>261.60607951076508</v>
      </c>
      <c r="H55" s="29">
        <f>IF(TrRoad_act!H31=0,0,H18/TrRoad_act!H31*1000
)</f>
        <v>258.01291212206331</v>
      </c>
      <c r="I55" s="29">
        <f>IF(TrRoad_act!I31=0,0,I18/TrRoad_act!I31*1000
)</f>
        <v>251.0706593066256</v>
      </c>
      <c r="J55" s="29">
        <f>IF(TrRoad_act!J31=0,0,J18/TrRoad_act!J31*1000
)</f>
        <v>245.75397007844811</v>
      </c>
      <c r="K55" s="29">
        <f>IF(TrRoad_act!K31=0,0,K18/TrRoad_act!K31*1000
)</f>
        <v>242.64325428786663</v>
      </c>
      <c r="L55" s="29">
        <f>IF(TrRoad_act!L31=0,0,L18/TrRoad_act!L31*1000
)</f>
        <v>237.28062485843367</v>
      </c>
      <c r="M55" s="29">
        <f>IF(TrRoad_act!M31=0,0,M18/TrRoad_act!M31*1000
)</f>
        <v>225.05019455458373</v>
      </c>
      <c r="N55" s="29">
        <f>IF(TrRoad_act!N31=0,0,N18/TrRoad_act!N31*1000
)</f>
        <v>213.94334830055979</v>
      </c>
      <c r="O55" s="29">
        <f>IF(TrRoad_act!O31=0,0,O18/TrRoad_act!O31*1000
)</f>
        <v>207.11586756840927</v>
      </c>
      <c r="P55" s="29">
        <f>IF(TrRoad_act!P31=0,0,P18/TrRoad_act!P31*1000
)</f>
        <v>203.80815320069877</v>
      </c>
      <c r="Q55" s="29">
        <f>IF(TrRoad_act!Q31=0,0,Q18/TrRoad_act!Q31*1000
)</f>
        <v>200.49962179993597</v>
      </c>
      <c r="R55" s="29">
        <f>IF(TrRoad_act!R31=0,0,R18/TrRoad_act!R31*1000
)</f>
        <v>193.52627137608613</v>
      </c>
      <c r="S55" s="29">
        <f>IF(TrRoad_act!S31=0,0,S18/TrRoad_act!S31*1000
)</f>
        <v>191.41160490895254</v>
      </c>
      <c r="T55" s="29">
        <f>IF(TrRoad_act!T31=0,0,T18/TrRoad_act!T31*1000
)</f>
        <v>189.79581253330409</v>
      </c>
      <c r="U55" s="29">
        <f>IF(TrRoad_act!U31=0,0,U18/TrRoad_act!U31*1000
)</f>
        <v>184.05725582845034</v>
      </c>
      <c r="V55" s="29">
        <f>IF(TrRoad_act!V31=0,0,V18/TrRoad_act!V31*1000
)</f>
        <v>177.1830608717124</v>
      </c>
      <c r="W55" s="29">
        <f>IF(TrRoad_act!W31=0,0,W18/TrRoad_act!W31*1000
)</f>
        <v>170.05702223956877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122.9388069444545</v>
      </c>
      <c r="C56" s="152">
        <f>IF(TrRoad_act!C32=0,0,C19/TrRoad_act!C32*1000
)</f>
        <v>122.02100734413092</v>
      </c>
      <c r="D56" s="152">
        <f>IF(TrRoad_act!D32=0,0,D19/TrRoad_act!D32*1000
)</f>
        <v>121.31825883025452</v>
      </c>
      <c r="E56" s="152">
        <f>IF(TrRoad_act!E32=0,0,E19/TrRoad_act!E32*1000
)</f>
        <v>120.94931656193859</v>
      </c>
      <c r="F56" s="152">
        <f>IF(TrRoad_act!F32=0,0,F19/TrRoad_act!F32*1000
)</f>
        <v>119.85395349949978</v>
      </c>
      <c r="G56" s="152">
        <f>IF(TrRoad_act!G32=0,0,G19/TrRoad_act!G32*1000
)</f>
        <v>117.89147012245401</v>
      </c>
      <c r="H56" s="152">
        <f>IF(TrRoad_act!H32=0,0,H19/TrRoad_act!H32*1000
)</f>
        <v>116.00979501631173</v>
      </c>
      <c r="I56" s="152">
        <f>IF(TrRoad_act!I32=0,0,I19/TrRoad_act!I32*1000
)</f>
        <v>114.23925064578951</v>
      </c>
      <c r="J56" s="152">
        <f>IF(TrRoad_act!J32=0,0,J19/TrRoad_act!J32*1000
)</f>
        <v>112.99446177740668</v>
      </c>
      <c r="K56" s="152">
        <f>IF(TrRoad_act!K32=0,0,K19/TrRoad_act!K32*1000
)</f>
        <v>111.96336182621479</v>
      </c>
      <c r="L56" s="152">
        <f>IF(TrRoad_act!L32=0,0,L19/TrRoad_act!L32*1000
)</f>
        <v>109.49835647093408</v>
      </c>
      <c r="M56" s="152">
        <f>IF(TrRoad_act!M32=0,0,M19/TrRoad_act!M32*1000
)</f>
        <v>107.48893778931939</v>
      </c>
      <c r="N56" s="152">
        <f>IF(TrRoad_act!N32=0,0,N19/TrRoad_act!N32*1000
)</f>
        <v>106.43931224020798</v>
      </c>
      <c r="O56" s="152">
        <f>IF(TrRoad_act!O32=0,0,O19/TrRoad_act!O32*1000
)</f>
        <v>105.58647596115853</v>
      </c>
      <c r="P56" s="152">
        <f>IF(TrRoad_act!P32=0,0,P19/TrRoad_act!P32*1000
)</f>
        <v>105.14795695660465</v>
      </c>
      <c r="Q56" s="152">
        <f>IF(TrRoad_act!Q32=0,0,Q19/TrRoad_act!Q32*1000
)</f>
        <v>104.69457841479831</v>
      </c>
      <c r="R56" s="152">
        <f>IF(TrRoad_act!R32=0,0,R19/TrRoad_act!R32*1000
)</f>
        <v>104.27932893606223</v>
      </c>
      <c r="S56" s="152">
        <f>IF(TrRoad_act!S32=0,0,S19/TrRoad_act!S32*1000
)</f>
        <v>102.98742618981561</v>
      </c>
      <c r="T56" s="152">
        <f>IF(TrRoad_act!T32=0,0,T19/TrRoad_act!T32*1000
)</f>
        <v>102.2365599049576</v>
      </c>
      <c r="U56" s="152">
        <f>IF(TrRoad_act!U32=0,0,U19/TrRoad_act!U32*1000
)</f>
        <v>100.80490417991504</v>
      </c>
      <c r="V56" s="152">
        <f>IF(TrRoad_act!V32=0,0,V19/TrRoad_act!V32*1000
)</f>
        <v>96.874932766292588</v>
      </c>
      <c r="W56" s="152">
        <f>IF(TrRoad_act!W32=0,0,W19/TrRoad_act!W32*1000
)</f>
        <v>92.740156345331215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245.77036888097757</v>
      </c>
      <c r="C57" s="116">
        <f>IF(TrRoad_act!C33=0,0,C20/TrRoad_act!C33*1000
)</f>
        <v>240.88116768824196</v>
      </c>
      <c r="D57" s="116">
        <f>IF(TrRoad_act!D33=0,0,D20/TrRoad_act!D33*1000
)</f>
        <v>238.78236085539788</v>
      </c>
      <c r="E57" s="116">
        <f>IF(TrRoad_act!E33=0,0,E20/TrRoad_act!E33*1000
)</f>
        <v>237.71217729502854</v>
      </c>
      <c r="F57" s="116">
        <f>IF(TrRoad_act!F33=0,0,F20/TrRoad_act!F33*1000
)</f>
        <v>236.03243887308682</v>
      </c>
      <c r="G57" s="116">
        <f>IF(TrRoad_act!G33=0,0,G20/TrRoad_act!G33*1000
)</f>
        <v>232.45572315098599</v>
      </c>
      <c r="H57" s="116">
        <f>IF(TrRoad_act!H33=0,0,H20/TrRoad_act!H33*1000
)</f>
        <v>229.46268144824427</v>
      </c>
      <c r="I57" s="116">
        <f>IF(TrRoad_act!I33=0,0,I20/TrRoad_act!I33*1000
)</f>
        <v>224.86727914687387</v>
      </c>
      <c r="J57" s="116">
        <f>IF(TrRoad_act!J33=0,0,J20/TrRoad_act!J33*1000
)</f>
        <v>219.39820725692326</v>
      </c>
      <c r="K57" s="116">
        <f>IF(TrRoad_act!K33=0,0,K20/TrRoad_act!K33*1000
)</f>
        <v>215.68774826460441</v>
      </c>
      <c r="L57" s="116">
        <f>IF(TrRoad_act!L33=0,0,L20/TrRoad_act!L33*1000
)</f>
        <v>209.91445023426508</v>
      </c>
      <c r="M57" s="116">
        <f>IF(TrRoad_act!M33=0,0,M20/TrRoad_act!M33*1000
)</f>
        <v>200.56244568145311</v>
      </c>
      <c r="N57" s="116">
        <f>IF(TrRoad_act!N33=0,0,N20/TrRoad_act!N33*1000
)</f>
        <v>191.12948298431746</v>
      </c>
      <c r="O57" s="116">
        <f>IF(TrRoad_act!O33=0,0,O20/TrRoad_act!O33*1000
)</f>
        <v>185.75556332654014</v>
      </c>
      <c r="P57" s="116">
        <f>IF(TrRoad_act!P33=0,0,P20/TrRoad_act!P33*1000
)</f>
        <v>182.20342296381494</v>
      </c>
      <c r="Q57" s="116">
        <f>IF(TrRoad_act!Q33=0,0,Q20/TrRoad_act!Q33*1000
)</f>
        <v>180.19172840780607</v>
      </c>
      <c r="R57" s="116">
        <f>IF(TrRoad_act!R33=0,0,R20/TrRoad_act!R33*1000
)</f>
        <v>172.75180182210877</v>
      </c>
      <c r="S57" s="116">
        <f>IF(TrRoad_act!S33=0,0,S20/TrRoad_act!S33*1000
)</f>
        <v>169.52956879569072</v>
      </c>
      <c r="T57" s="116">
        <f>IF(TrRoad_act!T33=0,0,T20/TrRoad_act!T33*1000
)</f>
        <v>168.41213371032458</v>
      </c>
      <c r="U57" s="116">
        <f>IF(TrRoad_act!U33=0,0,U20/TrRoad_act!U33*1000
)</f>
        <v>163.77087090281879</v>
      </c>
      <c r="V57" s="116">
        <f>IF(TrRoad_act!V33=0,0,V20/TrRoad_act!V33*1000
)</f>
        <v>155.34851985833129</v>
      </c>
      <c r="W57" s="116">
        <f>IF(TrRoad_act!W33=0,0,W20/TrRoad_act!W33*1000
)</f>
        <v>149.33954419372122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247.07291383889188</v>
      </c>
      <c r="C58" s="87">
        <f>IF(TrRoad_act!C34=0,0,C21/TrRoad_act!C34*1000
)</f>
        <v>243.408685535487</v>
      </c>
      <c r="D58" s="87">
        <f>IF(TrRoad_act!D34=0,0,D21/TrRoad_act!D34*1000
)</f>
        <v>241.44509874735627</v>
      </c>
      <c r="E58" s="87">
        <f>IF(TrRoad_act!E34=0,0,E21/TrRoad_act!E34*1000
)</f>
        <v>239.67622080277891</v>
      </c>
      <c r="F58" s="87">
        <f>IF(TrRoad_act!F34=0,0,F21/TrRoad_act!F34*1000
)</f>
        <v>237.17143664845338</v>
      </c>
      <c r="G58" s="87">
        <f>IF(TrRoad_act!G34=0,0,G21/TrRoad_act!G34*1000
)</f>
        <v>234.00815311526276</v>
      </c>
      <c r="H58" s="87">
        <f>IF(TrRoad_act!H34=0,0,H21/TrRoad_act!H34*1000
)</f>
        <v>230.85239975850513</v>
      </c>
      <c r="I58" s="87">
        <f>IF(TrRoad_act!I34=0,0,I21/TrRoad_act!I34*1000
)</f>
        <v>226.6114939838821</v>
      </c>
      <c r="J58" s="87">
        <f>IF(TrRoad_act!J34=0,0,J21/TrRoad_act!J34*1000
)</f>
        <v>222.89599593053919</v>
      </c>
      <c r="K58" s="87">
        <f>IF(TrRoad_act!K34=0,0,K21/TrRoad_act!K34*1000
)</f>
        <v>219.56637742973911</v>
      </c>
      <c r="L58" s="87">
        <f>IF(TrRoad_act!L34=0,0,L21/TrRoad_act!L34*1000
)</f>
        <v>212.23061137606115</v>
      </c>
      <c r="M58" s="87">
        <f>IF(TrRoad_act!M34=0,0,M21/TrRoad_act!M34*1000
)</f>
        <v>204.31498192705303</v>
      </c>
      <c r="N58" s="87">
        <f>IF(TrRoad_act!N34=0,0,N21/TrRoad_act!N34*1000
)</f>
        <v>197.29545491691553</v>
      </c>
      <c r="O58" s="87">
        <f>IF(TrRoad_act!O34=0,0,O21/TrRoad_act!O34*1000
)</f>
        <v>191.35174927910208</v>
      </c>
      <c r="P58" s="87">
        <f>IF(TrRoad_act!P34=0,0,P21/TrRoad_act!P34*1000
)</f>
        <v>184.78216684583472</v>
      </c>
      <c r="Q58" s="87">
        <f>IF(TrRoad_act!Q34=0,0,Q21/TrRoad_act!Q34*1000
)</f>
        <v>187.30042091098835</v>
      </c>
      <c r="R58" s="87">
        <f>IF(TrRoad_act!R34=0,0,R21/TrRoad_act!R34*1000
)</f>
        <v>173.4110902622752</v>
      </c>
      <c r="S58" s="87">
        <f>IF(TrRoad_act!S34=0,0,S21/TrRoad_act!S34*1000
)</f>
        <v>168.50088408568968</v>
      </c>
      <c r="T58" s="87">
        <f>IF(TrRoad_act!T34=0,0,T21/TrRoad_act!T34*1000
)</f>
        <v>164.90116128807387</v>
      </c>
      <c r="U58" s="87">
        <f>IF(TrRoad_act!U34=0,0,U21/TrRoad_act!U34*1000
)</f>
        <v>161.02192770758191</v>
      </c>
      <c r="V58" s="87">
        <f>IF(TrRoad_act!V34=0,0,V21/TrRoad_act!V34*1000
)</f>
        <v>151.70605961447191</v>
      </c>
      <c r="W58" s="87">
        <f>IF(TrRoad_act!W34=0,0,W21/TrRoad_act!W34*1000
)</f>
        <v>147.92459969542503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234.44476164438993</v>
      </c>
      <c r="C59" s="87">
        <f>IF(TrRoad_act!C35=0,0,C22/TrRoad_act!C35*1000
)</f>
        <v>218.79179289705129</v>
      </c>
      <c r="D59" s="87">
        <f>IF(TrRoad_act!D35=0,0,D22/TrRoad_act!D35*1000
)</f>
        <v>216.08394007088654</v>
      </c>
      <c r="E59" s="87">
        <f>IF(TrRoad_act!E35=0,0,E22/TrRoad_act!E35*1000
)</f>
        <v>222.41957105822294</v>
      </c>
      <c r="F59" s="87">
        <f>IF(TrRoad_act!F35=0,0,F22/TrRoad_act!F35*1000
)</f>
        <v>228.20043203815885</v>
      </c>
      <c r="G59" s="87">
        <f>IF(TrRoad_act!G35=0,0,G22/TrRoad_act!G35*1000
)</f>
        <v>224.08191169438615</v>
      </c>
      <c r="H59" s="87">
        <f>IF(TrRoad_act!H35=0,0,H22/TrRoad_act!H35*1000
)</f>
        <v>223.08289395150166</v>
      </c>
      <c r="I59" s="87">
        <f>IF(TrRoad_act!I35=0,0,I22/TrRoad_act!I35*1000
)</f>
        <v>219.13904612489631</v>
      </c>
      <c r="J59" s="87">
        <f>IF(TrRoad_act!J35=0,0,J22/TrRoad_act!J35*1000
)</f>
        <v>210.03612656658717</v>
      </c>
      <c r="K59" s="87">
        <f>IF(TrRoad_act!K35=0,0,K22/TrRoad_act!K35*1000
)</f>
        <v>206.50142257331734</v>
      </c>
      <c r="L59" s="87">
        <f>IF(TrRoad_act!L35=0,0,L22/TrRoad_act!L35*1000
)</f>
        <v>205.35655446704124</v>
      </c>
      <c r="M59" s="87">
        <f>IF(TrRoad_act!M35=0,0,M22/TrRoad_act!M35*1000
)</f>
        <v>193.98364846497671</v>
      </c>
      <c r="N59" s="87">
        <f>IF(TrRoad_act!N35=0,0,N22/TrRoad_act!N35*1000
)</f>
        <v>181.69524292158135</v>
      </c>
      <c r="O59" s="87">
        <f>IF(TrRoad_act!O35=0,0,O22/TrRoad_act!O35*1000
)</f>
        <v>177.87941505640646</v>
      </c>
      <c r="P59" s="87">
        <f>IF(TrRoad_act!P35=0,0,P22/TrRoad_act!P35*1000
)</f>
        <v>179.07858939608204</v>
      </c>
      <c r="Q59" s="87">
        <f>IF(TrRoad_act!Q35=0,0,Q22/TrRoad_act!Q35*1000
)</f>
        <v>172.69653273996667</v>
      </c>
      <c r="R59" s="87">
        <f>IF(TrRoad_act!R35=0,0,R22/TrRoad_act!R35*1000
)</f>
        <v>173.25980111938597</v>
      </c>
      <c r="S59" s="87">
        <f>IF(TrRoad_act!S35=0,0,S22/TrRoad_act!S35*1000
)</f>
        <v>172.41535280103844</v>
      </c>
      <c r="T59" s="87">
        <f>IF(TrRoad_act!T35=0,0,T22/TrRoad_act!T35*1000
)</f>
        <v>175.05662417908687</v>
      </c>
      <c r="U59" s="87">
        <f>IF(TrRoad_act!U35=0,0,U22/TrRoad_act!U35*1000
)</f>
        <v>170.5993248318521</v>
      </c>
      <c r="V59" s="87">
        <f>IF(TrRoad_act!V35=0,0,V22/TrRoad_act!V35*1000
)</f>
        <v>167.23344402073599</v>
      </c>
      <c r="W59" s="87">
        <f>IF(TrRoad_act!W35=0,0,W22/TrRoad_act!W35*1000
)</f>
        <v>167.21327657385851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208.08538220049326</v>
      </c>
      <c r="C60" s="87">
        <f>IF(TrRoad_act!C36=0,0,C23/TrRoad_act!C36*1000
)</f>
        <v>233.80524072351784</v>
      </c>
      <c r="D60" s="87">
        <f>IF(TrRoad_act!D36=0,0,D23/TrRoad_act!D36*1000
)</f>
        <v>279.13656063694708</v>
      </c>
      <c r="E60" s="87">
        <f>IF(TrRoad_act!E36=0,0,E23/TrRoad_act!E36*1000
)</f>
        <v>262.82705271922271</v>
      </c>
      <c r="F60" s="87">
        <f>IF(TrRoad_act!F36=0,0,F23/TrRoad_act!F36*1000
)</f>
        <v>259.85957728947216</v>
      </c>
      <c r="G60" s="87">
        <f>IF(TrRoad_act!G36=0,0,G23/TrRoad_act!G36*1000
)</f>
        <v>269.10904667209331</v>
      </c>
      <c r="H60" s="87">
        <f>IF(TrRoad_act!H36=0,0,H23/TrRoad_act!H36*1000
)</f>
        <v>269.86514823710814</v>
      </c>
      <c r="I60" s="87">
        <f>IF(TrRoad_act!I36=0,0,I23/TrRoad_act!I36*1000
)</f>
        <v>253.88937761580732</v>
      </c>
      <c r="J60" s="87">
        <f>IF(TrRoad_act!J36=0,0,J23/TrRoad_act!J36*1000
)</f>
        <v>253.65105450161579</v>
      </c>
      <c r="K60" s="87">
        <f>IF(TrRoad_act!K36=0,0,K23/TrRoad_act!K36*1000
)</f>
        <v>268.04681254773658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0</v>
      </c>
      <c r="S60" s="87">
        <f>IF(TrRoad_act!S36=0,0,S23/TrRoad_act!S36*1000
)</f>
        <v>0</v>
      </c>
      <c r="T60" s="87">
        <f>IF(TrRoad_act!T36=0,0,T23/TrRoad_act!T36*1000
)</f>
        <v>0</v>
      </c>
      <c r="U60" s="87">
        <f>IF(TrRoad_act!U36=0,0,U23/TrRoad_act!U36*1000
)</f>
        <v>0</v>
      </c>
      <c r="V60" s="87">
        <f>IF(TrRoad_act!V36=0,0,V23/TrRoad_act!V36*1000
)</f>
        <v>0</v>
      </c>
      <c r="W60" s="87">
        <f>IF(TrRoad_act!W36=0,0,W23/TrRoad_act!W36*1000
)</f>
        <v>0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148.61614284792941</v>
      </c>
      <c r="R61" s="87">
        <f>IF(TrRoad_act!R37=0,0,R24/TrRoad_act!R37*1000
)</f>
        <v>178.28472497093568</v>
      </c>
      <c r="S61" s="87">
        <f>IF(TrRoad_act!S37=0,0,S24/TrRoad_act!S37*1000
)</f>
        <v>102.33505403208812</v>
      </c>
      <c r="T61" s="87">
        <f>IF(TrRoad_act!T37=0,0,T24/TrRoad_act!T37*1000
)</f>
        <v>115.9747913974</v>
      </c>
      <c r="U61" s="87">
        <f>IF(TrRoad_act!U37=0,0,U24/TrRoad_act!U37*1000
)</f>
        <v>108.14144855493599</v>
      </c>
      <c r="V61" s="87">
        <f>IF(TrRoad_act!V37=0,0,V24/TrRoad_act!V37*1000
)</f>
        <v>119.69149723914173</v>
      </c>
      <c r="W61" s="87">
        <f>IF(TrRoad_act!W37=0,0,W24/TrRoad_act!W37*1000
)</f>
        <v>119.1884295333476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53.565935846290436</v>
      </c>
      <c r="O62" s="87">
        <f>IF(TrRoad_act!O38=0,0,O25/TrRoad_act!O38*1000
)</f>
        <v>62.033223035227863</v>
      </c>
      <c r="P62" s="87">
        <f>IF(TrRoad_act!P38=0,0,P25/TrRoad_act!P38*1000
)</f>
        <v>28.65073464032028</v>
      </c>
      <c r="Q62" s="87">
        <f>IF(TrRoad_act!Q38=0,0,Q25/TrRoad_act!Q38*1000
)</f>
        <v>131.01840325885095</v>
      </c>
      <c r="R62" s="87">
        <f>IF(TrRoad_act!R38=0,0,R25/TrRoad_act!R38*1000
)</f>
        <v>73.364204179591283</v>
      </c>
      <c r="S62" s="87">
        <f>IF(TrRoad_act!S38=0,0,S25/TrRoad_act!S38*1000
)</f>
        <v>57.741763710551616</v>
      </c>
      <c r="T62" s="87">
        <f>IF(TrRoad_act!T38=0,0,T25/TrRoad_act!T38*1000
)</f>
        <v>46.404908980337318</v>
      </c>
      <c r="U62" s="87">
        <f>IF(TrRoad_act!U38=0,0,U25/TrRoad_act!U38*1000
)</f>
        <v>41.623061801695449</v>
      </c>
      <c r="V62" s="87">
        <f>IF(TrRoad_act!V38=0,0,V25/TrRoad_act!V38*1000
)</f>
        <v>35.804986765727101</v>
      </c>
      <c r="W62" s="87">
        <f>IF(TrRoad_act!W38=0,0,W25/TrRoad_act!W38*1000
)</f>
        <v>34.639394554526696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1690.6083850024711</v>
      </c>
      <c r="C64" s="116">
        <f>IF(TrRoad_act!C40=0,0,C27/TrRoad_act!C40*1000
)</f>
        <v>1653.784321251092</v>
      </c>
      <c r="D64" s="116">
        <f>IF(TrRoad_act!D40=0,0,D27/TrRoad_act!D40*1000
)</f>
        <v>1636.7388448019387</v>
      </c>
      <c r="E64" s="116">
        <f>IF(TrRoad_act!E40=0,0,E27/TrRoad_act!E40*1000
)</f>
        <v>1674.3620424698656</v>
      </c>
      <c r="F64" s="116">
        <f>IF(TrRoad_act!F40=0,0,F27/TrRoad_act!F40*1000
)</f>
        <v>1671.4437202641584</v>
      </c>
      <c r="G64" s="116">
        <f>IF(TrRoad_act!G40=0,0,G27/TrRoad_act!G40*1000
)</f>
        <v>1656.3373624130256</v>
      </c>
      <c r="H64" s="116">
        <f>IF(TrRoad_act!H40=0,0,H27/TrRoad_act!H40*1000
)</f>
        <v>1635.8480154752719</v>
      </c>
      <c r="I64" s="116">
        <f>IF(TrRoad_act!I40=0,0,I27/TrRoad_act!I40*1000
)</f>
        <v>1627.9799081946362</v>
      </c>
      <c r="J64" s="116">
        <f>IF(TrRoad_act!J40=0,0,J27/TrRoad_act!J40*1000
)</f>
        <v>1628.3382896419243</v>
      </c>
      <c r="K64" s="116">
        <f>IF(TrRoad_act!K40=0,0,K27/TrRoad_act!K40*1000
)</f>
        <v>1628.369319163251</v>
      </c>
      <c r="L64" s="116">
        <f>IF(TrRoad_act!L40=0,0,L27/TrRoad_act!L40*1000
)</f>
        <v>1632.9902275276434</v>
      </c>
      <c r="M64" s="116">
        <f>IF(TrRoad_act!M40=0,0,M27/TrRoad_act!M40*1000
)</f>
        <v>1578.7367407044444</v>
      </c>
      <c r="N64" s="116">
        <f>IF(TrRoad_act!N40=0,0,N27/TrRoad_act!N40*1000
)</f>
        <v>1523.8001678931328</v>
      </c>
      <c r="O64" s="116">
        <f>IF(TrRoad_act!O40=0,0,O27/TrRoad_act!O40*1000
)</f>
        <v>1512.1792321032954</v>
      </c>
      <c r="P64" s="116">
        <f>IF(TrRoad_act!P40=0,0,P27/TrRoad_act!P40*1000
)</f>
        <v>1521.0900482930826</v>
      </c>
      <c r="Q64" s="116">
        <f>IF(TrRoad_act!Q40=0,0,Q27/TrRoad_act!Q40*1000
)</f>
        <v>1532.9775223830468</v>
      </c>
      <c r="R64" s="116">
        <f>IF(TrRoad_act!R40=0,0,R27/TrRoad_act!R40*1000
)</f>
        <v>1542.6587386480744</v>
      </c>
      <c r="S64" s="116">
        <f>IF(TrRoad_act!S40=0,0,S27/TrRoad_act!S40*1000
)</f>
        <v>1556.5118939663539</v>
      </c>
      <c r="T64" s="116">
        <f>IF(TrRoad_act!T40=0,0,T27/TrRoad_act!T40*1000
)</f>
        <v>1573.1401527720739</v>
      </c>
      <c r="U64" s="116">
        <f>IF(TrRoad_act!U40=0,0,U27/TrRoad_act!U40*1000
)</f>
        <v>1560.4067449334805</v>
      </c>
      <c r="V64" s="116">
        <f>IF(TrRoad_act!V40=0,0,V27/TrRoad_act!V40*1000
)</f>
        <v>1560.6837308082095</v>
      </c>
      <c r="W64" s="116">
        <f>IF(TrRoad_act!W40=0,0,W27/TrRoad_act!W40*1000
)</f>
        <v>1542.387789996151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593.07697422909519</v>
      </c>
      <c r="C65" s="101">
        <f>IF(TrRoad_act!C41=0,0,C28/TrRoad_act!C41*1000
)</f>
        <v>593.07697422909519</v>
      </c>
      <c r="D65" s="101">
        <f>IF(TrRoad_act!D41=0,0,D28/TrRoad_act!D41*1000
)</f>
        <v>593.07697422909541</v>
      </c>
      <c r="E65" s="101">
        <f>IF(TrRoad_act!E41=0,0,E28/TrRoad_act!E41*1000
)</f>
        <v>593.07697422909519</v>
      </c>
      <c r="F65" s="101">
        <f>IF(TrRoad_act!F41=0,0,F28/TrRoad_act!F41*1000
)</f>
        <v>593.0769742290953</v>
      </c>
      <c r="G65" s="101">
        <f>IF(TrRoad_act!G41=0,0,G28/TrRoad_act!G41*1000
)</f>
        <v>589.40110180932777</v>
      </c>
      <c r="H65" s="101">
        <f>IF(TrRoad_act!H41=0,0,H28/TrRoad_act!H41*1000
)</f>
        <v>573.83129613293193</v>
      </c>
      <c r="I65" s="101">
        <f>IF(TrRoad_act!I41=0,0,I28/TrRoad_act!I41*1000
)</f>
        <v>558.39165275361256</v>
      </c>
      <c r="J65" s="101">
        <f>IF(TrRoad_act!J41=0,0,J28/TrRoad_act!J41*1000
)</f>
        <v>543.86918045511322</v>
      </c>
      <c r="K65" s="101">
        <f>IF(TrRoad_act!K41=0,0,K28/TrRoad_act!K41*1000
)</f>
        <v>528.94539007002459</v>
      </c>
      <c r="L65" s="101">
        <f>IF(TrRoad_act!L41=0,0,L28/TrRoad_act!L41*1000
)</f>
        <v>509.18298409286291</v>
      </c>
      <c r="M65" s="101">
        <f>IF(TrRoad_act!M41=0,0,M28/TrRoad_act!M41*1000
)</f>
        <v>492.85562163073973</v>
      </c>
      <c r="N65" s="101">
        <f>IF(TrRoad_act!N41=0,0,N28/TrRoad_act!N41*1000
)</f>
        <v>480.82287310541176</v>
      </c>
      <c r="O65" s="101">
        <f>IF(TrRoad_act!O41=0,0,O28/TrRoad_act!O41*1000
)</f>
        <v>475.60466896232651</v>
      </c>
      <c r="P65" s="101">
        <f>IF(TrRoad_act!P41=0,0,P28/TrRoad_act!P41*1000
)</f>
        <v>473.14529281030934</v>
      </c>
      <c r="Q65" s="101">
        <f>IF(TrRoad_act!Q41=0,0,Q28/TrRoad_act!Q41*1000
)</f>
        <v>466.44827985658645</v>
      </c>
      <c r="R65" s="101">
        <f>IF(TrRoad_act!R41=0,0,R28/TrRoad_act!R41*1000
)</f>
        <v>465.4509065888044</v>
      </c>
      <c r="S65" s="101">
        <f>IF(TrRoad_act!S41=0,0,S28/TrRoad_act!S41*1000
)</f>
        <v>460.16510360887901</v>
      </c>
      <c r="T65" s="101">
        <f>IF(TrRoad_act!T41=0,0,T28/TrRoad_act!T41*1000
)</f>
        <v>459.94883377424816</v>
      </c>
      <c r="U65" s="101">
        <f>IF(TrRoad_act!U41=0,0,U28/TrRoad_act!U41*1000
)</f>
        <v>459.14542067640434</v>
      </c>
      <c r="V65" s="101">
        <f>IF(TrRoad_act!V41=0,0,V28/TrRoad_act!V41*1000
)</f>
        <v>443.18527711308008</v>
      </c>
      <c r="W65" s="101">
        <f>IF(TrRoad_act!W41=0,0,W28/TrRoad_act!W41*1000
)</f>
        <v>442.83008825975935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1830.8315300805946</v>
      </c>
      <c r="C66" s="101">
        <f>IF(TrRoad_act!C42=0,0,C29/TrRoad_act!C42*1000
)</f>
        <v>1792.5450383451082</v>
      </c>
      <c r="D66" s="101">
        <f>IF(TrRoad_act!D42=0,0,D29/TrRoad_act!D42*1000
)</f>
        <v>1774.7414079243456</v>
      </c>
      <c r="E66" s="101">
        <f>IF(TrRoad_act!E42=0,0,E29/TrRoad_act!E42*1000
)</f>
        <v>1761.9565956014553</v>
      </c>
      <c r="F66" s="101">
        <f>IF(TrRoad_act!F42=0,0,F29/TrRoad_act!F42*1000
)</f>
        <v>1743.4266064133576</v>
      </c>
      <c r="G66" s="101">
        <f>IF(TrRoad_act!G42=0,0,G29/TrRoad_act!G42*1000
)</f>
        <v>1722.1761089303709</v>
      </c>
      <c r="H66" s="101">
        <f>IF(TrRoad_act!H42=0,0,H29/TrRoad_act!H42*1000
)</f>
        <v>1700.7196951829703</v>
      </c>
      <c r="I66" s="101">
        <f>IF(TrRoad_act!I42=0,0,I29/TrRoad_act!I42*1000
)</f>
        <v>1692.211701991012</v>
      </c>
      <c r="J66" s="101">
        <f>IF(TrRoad_act!J42=0,0,J29/TrRoad_act!J42*1000
)</f>
        <v>1693.3034589898159</v>
      </c>
      <c r="K66" s="101">
        <f>IF(TrRoad_act!K42=0,0,K29/TrRoad_act!K42*1000
)</f>
        <v>1690.661207309206</v>
      </c>
      <c r="L66" s="101">
        <f>IF(TrRoad_act!L42=0,0,L29/TrRoad_act!L42*1000
)</f>
        <v>1693.2900764547617</v>
      </c>
      <c r="M66" s="101">
        <f>IF(TrRoad_act!M42=0,0,M29/TrRoad_act!M42*1000
)</f>
        <v>1636.7126132019739</v>
      </c>
      <c r="N66" s="101">
        <f>IF(TrRoad_act!N42=0,0,N29/TrRoad_act!N42*1000
)</f>
        <v>1581.4344895444444</v>
      </c>
      <c r="O66" s="101">
        <f>IF(TrRoad_act!O42=0,0,O29/TrRoad_act!O42*1000
)</f>
        <v>1575.8250049994106</v>
      </c>
      <c r="P66" s="101">
        <f>IF(TrRoad_act!P42=0,0,P29/TrRoad_act!P42*1000
)</f>
        <v>1576.8278357466195</v>
      </c>
      <c r="Q66" s="101">
        <f>IF(TrRoad_act!Q42=0,0,Q29/TrRoad_act!Q42*1000
)</f>
        <v>1582.4916750743305</v>
      </c>
      <c r="R66" s="101">
        <f>IF(TrRoad_act!R42=0,0,R29/TrRoad_act!R42*1000
)</f>
        <v>1589.817847873474</v>
      </c>
      <c r="S66" s="101">
        <f>IF(TrRoad_act!S42=0,0,S29/TrRoad_act!S42*1000
)</f>
        <v>1601.6616592413397</v>
      </c>
      <c r="T66" s="101">
        <f>IF(TrRoad_act!T42=0,0,T29/TrRoad_act!T42*1000
)</f>
        <v>1611.0831832967701</v>
      </c>
      <c r="U66" s="101">
        <f>IF(TrRoad_act!U42=0,0,U29/TrRoad_act!U42*1000
)</f>
        <v>1605.807218884152</v>
      </c>
      <c r="V66" s="101">
        <f>IF(TrRoad_act!V42=0,0,V29/TrRoad_act!V42*1000
)</f>
        <v>1609.3320765347898</v>
      </c>
      <c r="W66" s="101">
        <f>IF(TrRoad_act!W42=0,0,W29/TrRoad_act!W42*1000
)</f>
        <v>1613.7676264778315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1510.7438567964691</v>
      </c>
      <c r="R68" s="101">
        <f>IF(TrRoad_act!R44=0,0,R31/TrRoad_act!R44*1000
)</f>
        <v>1269.5397986787916</v>
      </c>
      <c r="S68" s="101">
        <f>IF(TrRoad_act!S44=0,0,S31/TrRoad_act!S44*1000
)</f>
        <v>1321.1241853241663</v>
      </c>
      <c r="T68" s="101">
        <f>IF(TrRoad_act!T44=0,0,T31/TrRoad_act!T44*1000
)</f>
        <v>1595.660339041287</v>
      </c>
      <c r="U68" s="101">
        <f>IF(TrRoad_act!U44=0,0,U31/TrRoad_act!U44*1000
)</f>
        <v>1637.0678608850806</v>
      </c>
      <c r="V68" s="101">
        <f>IF(TrRoad_act!V44=0,0,V31/TrRoad_act!V44*1000
)</f>
        <v>1383.7690120952375</v>
      </c>
      <c r="W68" s="101">
        <f>IF(TrRoad_act!W44=0,0,W31/TrRoad_act!W44*1000
)</f>
        <v>1531.5806670608156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566.38746202469508</v>
      </c>
      <c r="C70" s="29">
        <f>IF(TrRoad_act!C46=0,0,C33/TrRoad_act!C46*1000
)</f>
        <v>551.14975603514029</v>
      </c>
      <c r="D70" s="29">
        <f>IF(TrRoad_act!D46=0,0,D33/TrRoad_act!D46*1000
)</f>
        <v>538.17811511007801</v>
      </c>
      <c r="E70" s="29">
        <f>IF(TrRoad_act!E46=0,0,E33/TrRoad_act!E46*1000
)</f>
        <v>548.68595041787887</v>
      </c>
      <c r="F70" s="29">
        <f>IF(TrRoad_act!F46=0,0,F33/TrRoad_act!F46*1000
)</f>
        <v>545.7534601346174</v>
      </c>
      <c r="G70" s="29">
        <f>IF(TrRoad_act!G46=0,0,G33/TrRoad_act!G46*1000
)</f>
        <v>523.953830456265</v>
      </c>
      <c r="H70" s="29">
        <f>IF(TrRoad_act!H46=0,0,H33/TrRoad_act!H46*1000
)</f>
        <v>505.17659734962126</v>
      </c>
      <c r="I70" s="29">
        <f>IF(TrRoad_act!I46=0,0,I33/TrRoad_act!I46*1000
)</f>
        <v>487.52771714282017</v>
      </c>
      <c r="J70" s="29">
        <f>IF(TrRoad_act!J46=0,0,J33/TrRoad_act!J46*1000
)</f>
        <v>461.76312955033205</v>
      </c>
      <c r="K70" s="29">
        <f>IF(TrRoad_act!K46=0,0,K33/TrRoad_act!K46*1000
)</f>
        <v>440.03776899211698</v>
      </c>
      <c r="L70" s="29">
        <f>IF(TrRoad_act!L46=0,0,L33/TrRoad_act!L46*1000
)</f>
        <v>446.4369073178072</v>
      </c>
      <c r="M70" s="29">
        <f>IF(TrRoad_act!M46=0,0,M33/TrRoad_act!M46*1000
)</f>
        <v>448.48048664469849</v>
      </c>
      <c r="N70" s="29">
        <f>IF(TrRoad_act!N46=0,0,N33/TrRoad_act!N46*1000
)</f>
        <v>426.70750677431147</v>
      </c>
      <c r="O70" s="29">
        <f>IF(TrRoad_act!O46=0,0,O33/TrRoad_act!O46*1000
)</f>
        <v>427.3540934550773</v>
      </c>
      <c r="P70" s="29">
        <f>IF(TrRoad_act!P46=0,0,P33/TrRoad_act!P46*1000
)</f>
        <v>449.44699904610479</v>
      </c>
      <c r="Q70" s="29">
        <f>IF(TrRoad_act!Q46=0,0,Q33/TrRoad_act!Q46*1000
)</f>
        <v>427.88609811706414</v>
      </c>
      <c r="R70" s="29">
        <f>IF(TrRoad_act!R46=0,0,R33/TrRoad_act!R46*1000
)</f>
        <v>452.94850898684513</v>
      </c>
      <c r="S70" s="29">
        <f>IF(TrRoad_act!S46=0,0,S33/TrRoad_act!S46*1000
)</f>
        <v>452.10099908063279</v>
      </c>
      <c r="T70" s="29">
        <f>IF(TrRoad_act!T46=0,0,T33/TrRoad_act!T46*1000
)</f>
        <v>457.64652548383981</v>
      </c>
      <c r="U70" s="29">
        <f>IF(TrRoad_act!U46=0,0,U33/TrRoad_act!U46*1000
)</f>
        <v>444.94665884595076</v>
      </c>
      <c r="V70" s="29">
        <f>IF(TrRoad_act!V46=0,0,V33/TrRoad_act!V46*1000
)</f>
        <v>446.20699129766211</v>
      </c>
      <c r="W70" s="29">
        <f>IF(TrRoad_act!W46=0,0,W33/TrRoad_act!W46*1000
)</f>
        <v>449.65945962488081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347.97402825271791</v>
      </c>
      <c r="C71" s="152">
        <f>IF(TrRoad_act!C47=0,0,C34/TrRoad_act!C47*1000
)</f>
        <v>330.98854383726632</v>
      </c>
      <c r="D71" s="152">
        <f>IF(TrRoad_act!D47=0,0,D34/TrRoad_act!D47*1000
)</f>
        <v>315.434052222606</v>
      </c>
      <c r="E71" s="152">
        <f>IF(TrRoad_act!E47=0,0,E34/TrRoad_act!E47*1000
)</f>
        <v>302.26855305265912</v>
      </c>
      <c r="F71" s="152">
        <f>IF(TrRoad_act!F47=0,0,F34/TrRoad_act!F47*1000
)</f>
        <v>290.37049335281904</v>
      </c>
      <c r="G71" s="152">
        <f>IF(TrRoad_act!G47=0,0,G34/TrRoad_act!G47*1000
)</f>
        <v>281.02539837967834</v>
      </c>
      <c r="H71" s="152">
        <f>IF(TrRoad_act!H47=0,0,H34/TrRoad_act!H47*1000
)</f>
        <v>274.77412813047704</v>
      </c>
      <c r="I71" s="152">
        <f>IF(TrRoad_act!I47=0,0,I34/TrRoad_act!I47*1000
)</f>
        <v>269.48222842619208</v>
      </c>
      <c r="J71" s="152">
        <f>IF(TrRoad_act!J47=0,0,J34/TrRoad_act!J47*1000
)</f>
        <v>264.12299888575143</v>
      </c>
      <c r="K71" s="152">
        <f>IF(TrRoad_act!K47=0,0,K34/TrRoad_act!K47*1000
)</f>
        <v>258.71755610803348</v>
      </c>
      <c r="L71" s="152">
        <f>IF(TrRoad_act!L47=0,0,L34/TrRoad_act!L47*1000
)</f>
        <v>255.70755524987183</v>
      </c>
      <c r="M71" s="152">
        <f>IF(TrRoad_act!M47=0,0,M34/TrRoad_act!M47*1000
)</f>
        <v>250.29673343931586</v>
      </c>
      <c r="N71" s="152">
        <f>IF(TrRoad_act!N47=0,0,N34/TrRoad_act!N47*1000
)</f>
        <v>244.58021158664098</v>
      </c>
      <c r="O71" s="152">
        <f>IF(TrRoad_act!O47=0,0,O34/TrRoad_act!O47*1000
)</f>
        <v>243.83658869968664</v>
      </c>
      <c r="P71" s="152">
        <f>IF(TrRoad_act!P47=0,0,P34/TrRoad_act!P47*1000
)</f>
        <v>241.89722170185448</v>
      </c>
      <c r="Q71" s="152">
        <f>IF(TrRoad_act!Q47=0,0,Q34/TrRoad_act!Q47*1000
)</f>
        <v>238.87173873738726</v>
      </c>
      <c r="R71" s="152">
        <f>IF(TrRoad_act!R47=0,0,R34/TrRoad_act!R47*1000
)</f>
        <v>236.12207966048604</v>
      </c>
      <c r="S71" s="152">
        <f>IF(TrRoad_act!S47=0,0,S34/TrRoad_act!S47*1000
)</f>
        <v>233.20932209172389</v>
      </c>
      <c r="T71" s="152">
        <f>IF(TrRoad_act!T47=0,0,T34/TrRoad_act!T47*1000
)</f>
        <v>228.85396060879344</v>
      </c>
      <c r="U71" s="152">
        <f>IF(TrRoad_act!U47=0,0,U34/TrRoad_act!U47*1000
)</f>
        <v>221.94611520878345</v>
      </c>
      <c r="V71" s="152">
        <f>IF(TrRoad_act!V47=0,0,V34/TrRoad_act!V47*1000
)</f>
        <v>221.06176304513218</v>
      </c>
      <c r="W71" s="152">
        <f>IF(TrRoad_act!W47=0,0,W34/TrRoad_act!W47*1000
)</f>
        <v>220.78497351972399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382.13832926564891</v>
      </c>
      <c r="C72" s="87">
        <f>IF(TrRoad_act!C48=0,0,C35/TrRoad_act!C48*1000
)</f>
        <v>371.69621747890068</v>
      </c>
      <c r="D72" s="87">
        <f>IF(TrRoad_act!D48=0,0,D35/TrRoad_act!D48*1000
)</f>
        <v>362.29442325377818</v>
      </c>
      <c r="E72" s="87">
        <f>IF(TrRoad_act!E48=0,0,E35/TrRoad_act!E48*1000
)</f>
        <v>354.36530244993622</v>
      </c>
      <c r="F72" s="87">
        <f>IF(TrRoad_act!F48=0,0,F35/TrRoad_act!F48*1000
)</f>
        <v>347.39664498155093</v>
      </c>
      <c r="G72" s="87">
        <f>IF(TrRoad_act!G48=0,0,G35/TrRoad_act!G48*1000
)</f>
        <v>341.49822882248748</v>
      </c>
      <c r="H72" s="87">
        <f>IF(TrRoad_act!H48=0,0,H35/TrRoad_act!H48*1000
)</f>
        <v>336.62185888526614</v>
      </c>
      <c r="I72" s="87">
        <f>IF(TrRoad_act!I48=0,0,I35/TrRoad_act!I48*1000
)</f>
        <v>332.95503227647259</v>
      </c>
      <c r="J72" s="87">
        <f>IF(TrRoad_act!J48=0,0,J35/TrRoad_act!J48*1000
)</f>
        <v>327.84569663672187</v>
      </c>
      <c r="K72" s="87">
        <f>IF(TrRoad_act!K48=0,0,K35/TrRoad_act!K48*1000
)</f>
        <v>320.97162674055255</v>
      </c>
      <c r="L72" s="87">
        <f>IF(TrRoad_act!L48=0,0,L35/TrRoad_act!L48*1000
)</f>
        <v>311.94145141575649</v>
      </c>
      <c r="M72" s="87">
        <f>IF(TrRoad_act!M48=0,0,M35/TrRoad_act!M48*1000
)</f>
        <v>307.15183944084458</v>
      </c>
      <c r="N72" s="87">
        <f>IF(TrRoad_act!N48=0,0,N35/TrRoad_act!N48*1000
)</f>
        <v>304.15677063958736</v>
      </c>
      <c r="O72" s="87">
        <f>IF(TrRoad_act!O48=0,0,O35/TrRoad_act!O48*1000
)</f>
        <v>299.87847042746614</v>
      </c>
      <c r="P72" s="87">
        <f>IF(TrRoad_act!P48=0,0,P35/TrRoad_act!P48*1000
)</f>
        <v>292.95379103732768</v>
      </c>
      <c r="Q72" s="87">
        <f>IF(TrRoad_act!Q48=0,0,Q35/TrRoad_act!Q48*1000
)</f>
        <v>281.27012862636411</v>
      </c>
      <c r="R72" s="87">
        <f>IF(TrRoad_act!R48=0,0,R35/TrRoad_act!R48*1000
)</f>
        <v>268.53449274383433</v>
      </c>
      <c r="S72" s="87">
        <f>IF(TrRoad_act!S48=0,0,S35/TrRoad_act!S48*1000
)</f>
        <v>256.09982467923254</v>
      </c>
      <c r="T72" s="87">
        <f>IF(TrRoad_act!T48=0,0,T35/TrRoad_act!T48*1000
)</f>
        <v>244.15648248696866</v>
      </c>
      <c r="U72" s="87">
        <f>IF(TrRoad_act!U48=0,0,U35/TrRoad_act!U48*1000
)</f>
        <v>230.0410538580029</v>
      </c>
      <c r="V72" s="87">
        <f>IF(TrRoad_act!V48=0,0,V35/TrRoad_act!V48*1000
)</f>
        <v>210.92171868226728</v>
      </c>
      <c r="W72" s="87">
        <f>IF(TrRoad_act!W48=0,0,W35/TrRoad_act!W48*1000
)</f>
        <v>204.83324951455779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340.73769177900203</v>
      </c>
      <c r="C73" s="87">
        <f>IF(TrRoad_act!C49=0,0,C36/TrRoad_act!C49*1000
)</f>
        <v>322.02135146626671</v>
      </c>
      <c r="D73" s="87">
        <f>IF(TrRoad_act!D49=0,0,D36/TrRoad_act!D49*1000
)</f>
        <v>305.65633435296775</v>
      </c>
      <c r="E73" s="87">
        <f>IF(TrRoad_act!E49=0,0,E36/TrRoad_act!E49*1000
)</f>
        <v>292.65847055811213</v>
      </c>
      <c r="F73" s="87">
        <f>IF(TrRoad_act!F49=0,0,F36/TrRoad_act!F49*1000
)</f>
        <v>280.93766300322437</v>
      </c>
      <c r="G73" s="87">
        <f>IF(TrRoad_act!G49=0,0,G36/TrRoad_act!G49*1000
)</f>
        <v>271.97768218761576</v>
      </c>
      <c r="H73" s="87">
        <f>IF(TrRoad_act!H49=0,0,H36/TrRoad_act!H49*1000
)</f>
        <v>266.62555071298578</v>
      </c>
      <c r="I73" s="87">
        <f>IF(TrRoad_act!I49=0,0,I36/TrRoad_act!I49*1000
)</f>
        <v>262.27872859987269</v>
      </c>
      <c r="J73" s="87">
        <f>IF(TrRoad_act!J49=0,0,J36/TrRoad_act!J49*1000
)</f>
        <v>257.71285999962026</v>
      </c>
      <c r="K73" s="87">
        <f>IF(TrRoad_act!K49=0,0,K36/TrRoad_act!K49*1000
)</f>
        <v>252.78412557328028</v>
      </c>
      <c r="L73" s="87">
        <f>IF(TrRoad_act!L49=0,0,L36/TrRoad_act!L49*1000
)</f>
        <v>250.83957291137853</v>
      </c>
      <c r="M73" s="87">
        <f>IF(TrRoad_act!M49=0,0,M36/TrRoad_act!M49*1000
)</f>
        <v>245.65982076296353</v>
      </c>
      <c r="N73" s="87">
        <f>IF(TrRoad_act!N49=0,0,N36/TrRoad_act!N49*1000
)</f>
        <v>240.15994711729792</v>
      </c>
      <c r="O73" s="87">
        <f>IF(TrRoad_act!O49=0,0,O36/TrRoad_act!O49*1000
)</f>
        <v>239.80107287920518</v>
      </c>
      <c r="P73" s="87">
        <f>IF(TrRoad_act!P49=0,0,P36/TrRoad_act!P49*1000
)</f>
        <v>238.31532800343274</v>
      </c>
      <c r="Q73" s="87">
        <f>IF(TrRoad_act!Q49=0,0,Q36/TrRoad_act!Q49*1000
)</f>
        <v>236.2917803631928</v>
      </c>
      <c r="R73" s="87">
        <f>IF(TrRoad_act!R49=0,0,R36/TrRoad_act!R49*1000
)</f>
        <v>234.28139261956068</v>
      </c>
      <c r="S73" s="87">
        <f>IF(TrRoad_act!S49=0,0,S36/TrRoad_act!S49*1000
)</f>
        <v>232.09748937314751</v>
      </c>
      <c r="T73" s="87">
        <f>IF(TrRoad_act!T49=0,0,T36/TrRoad_act!T49*1000
)</f>
        <v>228.28105334608873</v>
      </c>
      <c r="U73" s="87">
        <f>IF(TrRoad_act!U49=0,0,U36/TrRoad_act!U49*1000
)</f>
        <v>221.88927589899203</v>
      </c>
      <c r="V73" s="87">
        <f>IF(TrRoad_act!V49=0,0,V36/TrRoad_act!V49*1000
)</f>
        <v>222.26274805359375</v>
      </c>
      <c r="W73" s="87">
        <f>IF(TrRoad_act!W49=0,0,W36/TrRoad_act!W49*1000
)</f>
        <v>223.13930199483525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504.84756496232995</v>
      </c>
      <c r="C74" s="87">
        <f>IF(TrRoad_act!C50=0,0,C37/TrRoad_act!C50*1000
)</f>
        <v>463.77879147998726</v>
      </c>
      <c r="D74" s="87">
        <f>IF(TrRoad_act!D50=0,0,D37/TrRoad_act!D50*1000
)</f>
        <v>429.75881452554063</v>
      </c>
      <c r="E74" s="87">
        <f>IF(TrRoad_act!E50=0,0,E37/TrRoad_act!E50*1000
)</f>
        <v>423.31195399577354</v>
      </c>
      <c r="F74" s="87">
        <f>IF(TrRoad_act!F50=0,0,F37/TrRoad_act!F50*1000
)</f>
        <v>417.14091864840697</v>
      </c>
      <c r="G74" s="87">
        <f>IF(TrRoad_act!G50=0,0,G37/TrRoad_act!G50*1000
)</f>
        <v>411.27551333267303</v>
      </c>
      <c r="H74" s="87">
        <f>IF(TrRoad_act!H50=0,0,H37/TrRoad_act!H50*1000
)</f>
        <v>404.66622942894168</v>
      </c>
      <c r="I74" s="87">
        <f>IF(TrRoad_act!I50=0,0,I37/TrRoad_act!I50*1000
)</f>
        <v>395.70076446701819</v>
      </c>
      <c r="J74" s="87">
        <f>IF(TrRoad_act!J50=0,0,J37/TrRoad_act!J50*1000
)</f>
        <v>385.22999065659866</v>
      </c>
      <c r="K74" s="87">
        <f>IF(TrRoad_act!K50=0,0,K37/TrRoad_act!K50*1000
)</f>
        <v>366.05234113180109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215.77050882364415</v>
      </c>
      <c r="R75" s="87">
        <f>IF(TrRoad_act!R51=0,0,R38/TrRoad_act!R51*1000
)</f>
        <v>209.64666141221235</v>
      </c>
      <c r="S75" s="87">
        <f>IF(TrRoad_act!S51=0,0,S38/TrRoad_act!S51*1000
)</f>
        <v>202.11324487456116</v>
      </c>
      <c r="T75" s="87">
        <f>IF(TrRoad_act!T51=0,0,T38/TrRoad_act!T51*1000
)</f>
        <v>211.98172132564102</v>
      </c>
      <c r="U75" s="87">
        <f>IF(TrRoad_act!U51=0,0,U38/TrRoad_act!U51*1000
)</f>
        <v>192.45137645501964</v>
      </c>
      <c r="V75" s="87">
        <f>IF(TrRoad_act!V51=0,0,V38/TrRoad_act!V51*1000
)</f>
        <v>212.21378897709411</v>
      </c>
      <c r="W75" s="87">
        <f>IF(TrRoad_act!W51=0,0,W38/TrRoad_act!W51*1000
)</f>
        <v>212.03675355302619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1262.7256114381896</v>
      </c>
      <c r="C77" s="116">
        <f>IF(TrRoad_act!C53=0,0,C40/TrRoad_act!C53*1000
)</f>
        <v>1289.7142155981121</v>
      </c>
      <c r="D77" s="116">
        <f>IF(TrRoad_act!D53=0,0,D40/TrRoad_act!D53*1000
)</f>
        <v>1319.2114468806139</v>
      </c>
      <c r="E77" s="116">
        <f>IF(TrRoad_act!E53=0,0,E40/TrRoad_act!E53*1000
)</f>
        <v>1413.7095139528437</v>
      </c>
      <c r="F77" s="116">
        <f>IF(TrRoad_act!F53=0,0,F40/TrRoad_act!F53*1000
)</f>
        <v>1541.3508300233007</v>
      </c>
      <c r="G77" s="116">
        <f>IF(TrRoad_act!G53=0,0,G40/TrRoad_act!G53*1000
)</f>
        <v>1543.3500223605524</v>
      </c>
      <c r="H77" s="116">
        <f>IF(TrRoad_act!H53=0,0,H40/TrRoad_act!H53*1000
)</f>
        <v>1515.2180761969878</v>
      </c>
      <c r="I77" s="116">
        <f>IF(TrRoad_act!I53=0,0,I40/TrRoad_act!I53*1000
)</f>
        <v>1505.5154647822769</v>
      </c>
      <c r="J77" s="116">
        <f>IF(TrRoad_act!J53=0,0,J40/TrRoad_act!J53*1000
)</f>
        <v>1356.8329561552696</v>
      </c>
      <c r="K77" s="116">
        <f>IF(TrRoad_act!K53=0,0,K40/TrRoad_act!K53*1000
)</f>
        <v>1338.5360014657499</v>
      </c>
      <c r="L77" s="116">
        <f>IF(TrRoad_act!L53=0,0,L40/TrRoad_act!L53*1000
)</f>
        <v>1374.8309223165347</v>
      </c>
      <c r="M77" s="116">
        <f>IF(TrRoad_act!M53=0,0,M40/TrRoad_act!M53*1000
)</f>
        <v>1291.0780011868146</v>
      </c>
      <c r="N77" s="116">
        <f>IF(TrRoad_act!N53=0,0,N40/TrRoad_act!N53*1000
)</f>
        <v>1126.7196201322156</v>
      </c>
      <c r="O77" s="116">
        <f>IF(TrRoad_act!O53=0,0,O40/TrRoad_act!O53*1000
)</f>
        <v>1078.0369945074606</v>
      </c>
      <c r="P77" s="116">
        <f>IF(TrRoad_act!P53=0,0,P40/TrRoad_act!P53*1000
)</f>
        <v>1156.8449668482169</v>
      </c>
      <c r="Q77" s="116">
        <f>IF(TrRoad_act!Q53=0,0,Q40/TrRoad_act!Q53*1000
)</f>
        <v>1096.4931083228653</v>
      </c>
      <c r="R77" s="116">
        <f>IF(TrRoad_act!R53=0,0,R40/TrRoad_act!R53*1000
)</f>
        <v>1197.7486000615406</v>
      </c>
      <c r="S77" s="116">
        <f>IF(TrRoad_act!S53=0,0,S40/TrRoad_act!S53*1000
)</f>
        <v>1249.2520064724456</v>
      </c>
      <c r="T77" s="116">
        <f>IF(TrRoad_act!T53=0,0,T40/TrRoad_act!T53*1000
)</f>
        <v>1348.7393718220403</v>
      </c>
      <c r="U77" s="116">
        <f>IF(TrRoad_act!U53=0,0,U40/TrRoad_act!U53*1000
)</f>
        <v>1275.9920105985254</v>
      </c>
      <c r="V77" s="116">
        <f>IF(TrRoad_act!V53=0,0,V40/TrRoad_act!V53*1000
)</f>
        <v>1198.1198621496155</v>
      </c>
      <c r="W77" s="116">
        <f>IF(TrRoad_act!W53=0,0,W40/TrRoad_act!W53*1000
)</f>
        <v>1220.395703613131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1107.0981524738586</v>
      </c>
      <c r="C78" s="101">
        <f>IF(TrRoad_act!C54=0,0,C41/TrRoad_act!C54*1000
)</f>
        <v>1110.983541322222</v>
      </c>
      <c r="D78" s="101">
        <f>IF(TrRoad_act!D54=0,0,D41/TrRoad_act!D54*1000
)</f>
        <v>1114.5971436638902</v>
      </c>
      <c r="E78" s="101">
        <f>IF(TrRoad_act!E54=0,0,E41/TrRoad_act!E54*1000
)</f>
        <v>1131.5246626617675</v>
      </c>
      <c r="F78" s="101">
        <f>IF(TrRoad_act!F54=0,0,F41/TrRoad_act!F54*1000
)</f>
        <v>1153.0083468200837</v>
      </c>
      <c r="G78" s="101">
        <f>IF(TrRoad_act!G54=0,0,G41/TrRoad_act!G54*1000
)</f>
        <v>1148.8581920191009</v>
      </c>
      <c r="H78" s="101">
        <f>IF(TrRoad_act!H54=0,0,H41/TrRoad_act!H54*1000
)</f>
        <v>1141.9667741885578</v>
      </c>
      <c r="I78" s="101">
        <f>IF(TrRoad_act!I54=0,0,I41/TrRoad_act!I54*1000
)</f>
        <v>1135.9173996318405</v>
      </c>
      <c r="J78" s="101">
        <f>IF(TrRoad_act!J54=0,0,J41/TrRoad_act!J54*1000
)</f>
        <v>1104.4036113723614</v>
      </c>
      <c r="K78" s="101">
        <f>IF(TrRoad_act!K54=0,0,K41/TrRoad_act!K54*1000
)</f>
        <v>1097.7886451156564</v>
      </c>
      <c r="L78" s="101">
        <f>IF(TrRoad_act!L54=0,0,L41/TrRoad_act!L54*1000
)</f>
        <v>1106.0605545387816</v>
      </c>
      <c r="M78" s="101">
        <f>IF(TrRoad_act!M54=0,0,M41/TrRoad_act!M54*1000
)</f>
        <v>1059.4187120502556</v>
      </c>
      <c r="N78" s="101">
        <f>IF(TrRoad_act!N54=0,0,N41/TrRoad_act!N54*1000
)</f>
        <v>997.42513863150691</v>
      </c>
      <c r="O78" s="101">
        <f>IF(TrRoad_act!O54=0,0,O41/TrRoad_act!O54*1000
)</f>
        <v>982.16505661098813</v>
      </c>
      <c r="P78" s="101">
        <f>IF(TrRoad_act!P54=0,0,P41/TrRoad_act!P54*1000
)</f>
        <v>993.54928755286471</v>
      </c>
      <c r="Q78" s="101">
        <f>IF(TrRoad_act!Q54=0,0,Q41/TrRoad_act!Q54*1000
)</f>
        <v>976.78000391593457</v>
      </c>
      <c r="R78" s="101">
        <f>IF(TrRoad_act!R54=0,0,R41/TrRoad_act!R54*1000
)</f>
        <v>994.91179378277059</v>
      </c>
      <c r="S78" s="101">
        <f>IF(TrRoad_act!S54=0,0,S41/TrRoad_act!S54*1000
)</f>
        <v>995.16777177448523</v>
      </c>
      <c r="T78" s="101">
        <f>IF(TrRoad_act!T54=0,0,T41/TrRoad_act!T54*1000
)</f>
        <v>1005.8144583908137</v>
      </c>
      <c r="U78" s="101">
        <f>IF(TrRoad_act!U54=0,0,U41/TrRoad_act!U54*1000
)</f>
        <v>975.12720309157066</v>
      </c>
      <c r="V78" s="101">
        <f>IF(TrRoad_act!V54=0,0,V41/TrRoad_act!V54*1000
)</f>
        <v>952.53918800685472</v>
      </c>
      <c r="W78" s="101">
        <f>IF(TrRoad_act!W54=0,0,W41/TrRoad_act!W54*1000
)</f>
        <v>945.95281797230996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2011.796710644627</v>
      </c>
      <c r="C79" s="88">
        <f>IF(TrRoad_act!C55=0,0,C42/TrRoad_act!C55*1000
)</f>
        <v>2113.9755924233832</v>
      </c>
      <c r="D79" s="88">
        <f>IF(TrRoad_act!D55=0,0,D42/TrRoad_act!D55*1000
)</f>
        <v>2203.6609872742565</v>
      </c>
      <c r="E79" s="88">
        <f>IF(TrRoad_act!E55=0,0,E42/TrRoad_act!E55*1000
)</f>
        <v>2689.7803444379888</v>
      </c>
      <c r="F79" s="88">
        <f>IF(TrRoad_act!F55=0,0,F42/TrRoad_act!F55*1000
)</f>
        <v>2957.9341656721081</v>
      </c>
      <c r="G79" s="88">
        <f>IF(TrRoad_act!G55=0,0,G42/TrRoad_act!G55*1000
)</f>
        <v>2919.0686086683199</v>
      </c>
      <c r="H79" s="88">
        <f>IF(TrRoad_act!H55=0,0,H42/TrRoad_act!H55*1000
)</f>
        <v>2785.4967885835049</v>
      </c>
      <c r="I79" s="88">
        <f>IF(TrRoad_act!I55=0,0,I42/TrRoad_act!I55*1000
)</f>
        <v>2722.7259255056015</v>
      </c>
      <c r="J79" s="88">
        <f>IF(TrRoad_act!J55=0,0,J42/TrRoad_act!J55*1000
)</f>
        <v>1988.5322830462189</v>
      </c>
      <c r="K79" s="88">
        <f>IF(TrRoad_act!K55=0,0,K42/TrRoad_act!K55*1000
)</f>
        <v>1948.1931479982404</v>
      </c>
      <c r="L79" s="88">
        <f>IF(TrRoad_act!L55=0,0,L42/TrRoad_act!L55*1000
)</f>
        <v>2115.1998590166172</v>
      </c>
      <c r="M79" s="88">
        <f>IF(TrRoad_act!M55=0,0,M42/TrRoad_act!M55*1000
)</f>
        <v>1983.8370135280015</v>
      </c>
      <c r="N79" s="88">
        <f>IF(TrRoad_act!N55=0,0,N42/TrRoad_act!N55*1000
)</f>
        <v>1527.5824340161309</v>
      </c>
      <c r="O79" s="88">
        <f>IF(TrRoad_act!O55=0,0,O42/TrRoad_act!O55*1000
)</f>
        <v>1338.7641170302552</v>
      </c>
      <c r="P79" s="88">
        <f>IF(TrRoad_act!P55=0,0,P42/TrRoad_act!P55*1000
)</f>
        <v>1647.7857187165046</v>
      </c>
      <c r="Q79" s="88">
        <f>IF(TrRoad_act!Q55=0,0,Q42/TrRoad_act!Q55*1000
)</f>
        <v>1440.1278848674804</v>
      </c>
      <c r="R79" s="88">
        <f>IF(TrRoad_act!R55=0,0,R42/TrRoad_act!R55*1000
)</f>
        <v>1701.8449995179992</v>
      </c>
      <c r="S79" s="88">
        <f>IF(TrRoad_act!S55=0,0,S42/TrRoad_act!S55*1000
)</f>
        <v>1839.2365448749795</v>
      </c>
      <c r="T79" s="88">
        <f>IF(TrRoad_act!T55=0,0,T42/TrRoad_act!T55*1000
)</f>
        <v>2192.6095426155225</v>
      </c>
      <c r="U79" s="88">
        <f>IF(TrRoad_act!U55=0,0,U42/TrRoad_act!U55*1000
)</f>
        <v>2018.5992266783348</v>
      </c>
      <c r="V79" s="88">
        <f>IF(TrRoad_act!V55=0,0,V42/TrRoad_act!V55*1000
)</f>
        <v>1764.6136044084149</v>
      </c>
      <c r="W79" s="88">
        <f>IF(TrRoad_act!W55=0,0,W42/TrRoad_act!W55*1000
)</f>
        <v>1863.1118279984976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120.07083228330707</v>
      </c>
      <c r="C82" s="29">
        <f>IF(TrRoad_act!C4=0,0,C18/TrRoad_act!C4*1000)</f>
        <v>120.65444158571079</v>
      </c>
      <c r="D82" s="29">
        <f>IF(TrRoad_act!D4=0,0,D18/TrRoad_act!D4*1000)</f>
        <v>122.39126951264568</v>
      </c>
      <c r="E82" s="29">
        <f>IF(TrRoad_act!E4=0,0,E18/TrRoad_act!E4*1000)</f>
        <v>124.29879781705658</v>
      </c>
      <c r="F82" s="29">
        <f>IF(TrRoad_act!F4=0,0,F18/TrRoad_act!F4*1000)</f>
        <v>123.20890333608163</v>
      </c>
      <c r="G82" s="29">
        <f>IF(TrRoad_act!G4=0,0,G18/TrRoad_act!G4*1000)</f>
        <v>125.64603180602596</v>
      </c>
      <c r="H82" s="29">
        <f>IF(TrRoad_act!H4=0,0,H18/TrRoad_act!H4*1000)</f>
        <v>127.47290147364487</v>
      </c>
      <c r="I82" s="29">
        <f>IF(TrRoad_act!I4=0,0,I18/TrRoad_act!I4*1000)</f>
        <v>131.29146576720919</v>
      </c>
      <c r="J82" s="29">
        <f>IF(TrRoad_act!J4=0,0,J18/TrRoad_act!J4*1000)</f>
        <v>129.43208635013949</v>
      </c>
      <c r="K82" s="29">
        <f>IF(TrRoad_act!K4=0,0,K18/TrRoad_act!K4*1000)</f>
        <v>127.27136100843087</v>
      </c>
      <c r="L82" s="29">
        <f>IF(TrRoad_act!L4=0,0,L18/TrRoad_act!L4*1000)</f>
        <v>126.58215853717358</v>
      </c>
      <c r="M82" s="29">
        <f>IF(TrRoad_act!M4=0,0,M18/TrRoad_act!M4*1000)</f>
        <v>124.71153985882731</v>
      </c>
      <c r="N82" s="29">
        <f>IF(TrRoad_act!N4=0,0,N18/TrRoad_act!N4*1000)</f>
        <v>116.76649970556991</v>
      </c>
      <c r="O82" s="29">
        <f>IF(TrRoad_act!O4=0,0,O18/TrRoad_act!O4*1000)</f>
        <v>115.36139936894565</v>
      </c>
      <c r="P82" s="29">
        <f>IF(TrRoad_act!P4=0,0,P18/TrRoad_act!P4*1000)</f>
        <v>114.29991328857162</v>
      </c>
      <c r="Q82" s="29">
        <f>IF(TrRoad_act!Q4=0,0,Q18/TrRoad_act!Q4*1000)</f>
        <v>118.15449065140868</v>
      </c>
      <c r="R82" s="29">
        <f>IF(TrRoad_act!R4=0,0,R18/TrRoad_act!R4*1000)</f>
        <v>113.00636185817825</v>
      </c>
      <c r="S82" s="29">
        <f>IF(TrRoad_act!S4=0,0,S18/TrRoad_act!S4*1000)</f>
        <v>110.39568066929024</v>
      </c>
      <c r="T82" s="29">
        <f>IF(TrRoad_act!T4=0,0,T18/TrRoad_act!T4*1000)</f>
        <v>111.16560731473426</v>
      </c>
      <c r="U82" s="29">
        <f>IF(TrRoad_act!U4=0,0,U18/TrRoad_act!U4*1000)</f>
        <v>107.90089231306517</v>
      </c>
      <c r="V82" s="29">
        <f>IF(TrRoad_act!V4=0,0,V18/TrRoad_act!V4*1000)</f>
        <v>107.40143023342776</v>
      </c>
      <c r="W82" s="29">
        <f>IF(TrRoad_act!W4=0,0,W18/TrRoad_act!W4*1000)</f>
        <v>106.48419341601095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111.28381184987967</v>
      </c>
      <c r="C83" s="152">
        <f>IF(TrRoad_act!C5=0,0,C19/TrRoad_act!C5*1000)</f>
        <v>110.4551411642512</v>
      </c>
      <c r="D83" s="152">
        <f>IF(TrRoad_act!D5=0,0,D19/TrRoad_act!D5*1000)</f>
        <v>109.83808908466246</v>
      </c>
      <c r="E83" s="152">
        <f>IF(TrRoad_act!E5=0,0,E19/TrRoad_act!E5*1000)</f>
        <v>109.45809022161433</v>
      </c>
      <c r="F83" s="152">
        <f>IF(TrRoad_act!F5=0,0,F19/TrRoad_act!F5*1000)</f>
        <v>108.45227234680367</v>
      </c>
      <c r="G83" s="152">
        <f>IF(TrRoad_act!G5=0,0,G19/TrRoad_act!G5*1000)</f>
        <v>106.77316553856636</v>
      </c>
      <c r="H83" s="152">
        <f>IF(TrRoad_act!H5=0,0,H19/TrRoad_act!H5*1000)</f>
        <v>105.0396503025358</v>
      </c>
      <c r="I83" s="152">
        <f>IF(TrRoad_act!I5=0,0,I19/TrRoad_act!I5*1000)</f>
        <v>103.27077593036992</v>
      </c>
      <c r="J83" s="152">
        <f>IF(TrRoad_act!J5=0,0,J19/TrRoad_act!J5*1000)</f>
        <v>102.09177477023906</v>
      </c>
      <c r="K83" s="152">
        <f>IF(TrRoad_act!K5=0,0,K19/TrRoad_act!K5*1000)</f>
        <v>101.11164175331076</v>
      </c>
      <c r="L83" s="152">
        <f>IF(TrRoad_act!L5=0,0,L19/TrRoad_act!L5*1000)</f>
        <v>99.055726695172424</v>
      </c>
      <c r="M83" s="152">
        <f>IF(TrRoad_act!M5=0,0,M19/TrRoad_act!M5*1000)</f>
        <v>97.323197415828986</v>
      </c>
      <c r="N83" s="152">
        <f>IF(TrRoad_act!N5=0,0,N19/TrRoad_act!N5*1000)</f>
        <v>96.971327345347305</v>
      </c>
      <c r="O83" s="152">
        <f>IF(TrRoad_act!O5=0,0,O19/TrRoad_act!O5*1000)</f>
        <v>96.243864002503898</v>
      </c>
      <c r="P83" s="152">
        <f>IF(TrRoad_act!P5=0,0,P19/TrRoad_act!P5*1000)</f>
        <v>95.63649311511405</v>
      </c>
      <c r="Q83" s="152">
        <f>IF(TrRoad_act!Q5=0,0,Q19/TrRoad_act!Q5*1000)</f>
        <v>95.059831971968052</v>
      </c>
      <c r="R83" s="152">
        <f>IF(TrRoad_act!R5=0,0,R19/TrRoad_act!R5*1000)</f>
        <v>94.612258206819732</v>
      </c>
      <c r="S83" s="152">
        <f>IF(TrRoad_act!S5=0,0,S19/TrRoad_act!S5*1000)</f>
        <v>93.567090024587031</v>
      </c>
      <c r="T83" s="152">
        <f>IF(TrRoad_act!T5=0,0,T19/TrRoad_act!T5*1000)</f>
        <v>92.992491995404947</v>
      </c>
      <c r="U83" s="152">
        <f>IF(TrRoad_act!U5=0,0,U19/TrRoad_act!U5*1000)</f>
        <v>91.622234261434357</v>
      </c>
      <c r="V83" s="152">
        <f>IF(TrRoad_act!V5=0,0,V19/TrRoad_act!V5*1000)</f>
        <v>88.158850525031312</v>
      </c>
      <c r="W83" s="152">
        <f>IF(TrRoad_act!W5=0,0,W19/TrRoad_act!W5*1000)</f>
        <v>84.397862514474795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116.76595604785462</v>
      </c>
      <c r="C84" s="116">
        <f>IF(TrRoad_act!C6=0,0,C20/TrRoad_act!C6*1000)</f>
        <v>117.77267674644055</v>
      </c>
      <c r="D84" s="116">
        <f>IF(TrRoad_act!D6=0,0,D20/TrRoad_act!D6*1000)</f>
        <v>120.21949745930154</v>
      </c>
      <c r="E84" s="116">
        <f>IF(TrRoad_act!E6=0,0,E20/TrRoad_act!E6*1000)</f>
        <v>122.10760810240814</v>
      </c>
      <c r="F84" s="116">
        <f>IF(TrRoad_act!F6=0,0,F20/TrRoad_act!F6*1000)</f>
        <v>121.30950629459174</v>
      </c>
      <c r="G84" s="116">
        <f>IF(TrRoad_act!G6=0,0,G20/TrRoad_act!G6*1000)</f>
        <v>123.61626267520553</v>
      </c>
      <c r="H84" s="116">
        <f>IF(TrRoad_act!H6=0,0,H20/TrRoad_act!H6*1000)</f>
        <v>125.32496990651582</v>
      </c>
      <c r="I84" s="116">
        <f>IF(TrRoad_act!I6=0,0,I20/TrRoad_act!I6*1000)</f>
        <v>129.50359188032698</v>
      </c>
      <c r="J84" s="116">
        <f>IF(TrRoad_act!J6=0,0,J20/TrRoad_act!J6*1000)</f>
        <v>126.85716369509345</v>
      </c>
      <c r="K84" s="116">
        <f>IF(TrRoad_act!K6=0,0,K20/TrRoad_act!K6*1000)</f>
        <v>124.10496203422836</v>
      </c>
      <c r="L84" s="116">
        <f>IF(TrRoad_act!L6=0,0,L20/TrRoad_act!L6*1000)</f>
        <v>123.0806017128608</v>
      </c>
      <c r="M84" s="116">
        <f>IF(TrRoad_act!M6=0,0,M20/TrRoad_act!M6*1000)</f>
        <v>121.83259388054765</v>
      </c>
      <c r="N84" s="116">
        <f>IF(TrRoad_act!N6=0,0,N20/TrRoad_act!N6*1000)</f>
        <v>114.04549636940831</v>
      </c>
      <c r="O84" s="116">
        <f>IF(TrRoad_act!O6=0,0,O20/TrRoad_act!O6*1000)</f>
        <v>113.22284333998164</v>
      </c>
      <c r="P84" s="116">
        <f>IF(TrRoad_act!P6=0,0,P20/TrRoad_act!P6*1000)</f>
        <v>111.68326821359913</v>
      </c>
      <c r="Q84" s="116">
        <f>IF(TrRoad_act!Q6=0,0,Q20/TrRoad_act!Q6*1000)</f>
        <v>116.35042792053845</v>
      </c>
      <c r="R84" s="116">
        <f>IF(TrRoad_act!R6=0,0,R20/TrRoad_act!R6*1000)</f>
        <v>110.4541377628249</v>
      </c>
      <c r="S84" s="116">
        <f>IF(TrRoad_act!S6=0,0,S20/TrRoad_act!S6*1000)</f>
        <v>107.2067047549392</v>
      </c>
      <c r="T84" s="116">
        <f>IF(TrRoad_act!T6=0,0,T20/TrRoad_act!T6*1000)</f>
        <v>107.7633836516633</v>
      </c>
      <c r="U84" s="116">
        <f>IF(TrRoad_act!U6=0,0,U20/TrRoad_act!U6*1000)</f>
        <v>104.45216620135614</v>
      </c>
      <c r="V84" s="116">
        <f>IF(TrRoad_act!V6=0,0,V20/TrRoad_act!V6*1000)</f>
        <v>99.357931299121333</v>
      </c>
      <c r="W84" s="116">
        <f>IF(TrRoad_act!W6=0,0,W20/TrRoad_act!W6*1000)</f>
        <v>99.166787520921602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118.10886984230883</v>
      </c>
      <c r="C85" s="87">
        <f>IF(TrRoad_act!C7=0,0,C21/TrRoad_act!C7*1000)</f>
        <v>119.85301601857792</v>
      </c>
      <c r="D85" s="87">
        <f>IF(TrRoad_act!D7=0,0,D21/TrRoad_act!D7*1000)</f>
        <v>122.51605867901077</v>
      </c>
      <c r="E85" s="87">
        <f>IF(TrRoad_act!E7=0,0,E21/TrRoad_act!E7*1000)</f>
        <v>124.14750513739314</v>
      </c>
      <c r="F85" s="87">
        <f>IF(TrRoad_act!F7=0,0,F21/TrRoad_act!F7*1000)</f>
        <v>123.05739726755684</v>
      </c>
      <c r="G85" s="87">
        <f>IF(TrRoad_act!G7=0,0,G21/TrRoad_act!G7*1000)</f>
        <v>125.89867327349155</v>
      </c>
      <c r="H85" s="87">
        <f>IF(TrRoad_act!H7=0,0,H21/TrRoad_act!H7*1000)</f>
        <v>127.77564726199095</v>
      </c>
      <c r="I85" s="87">
        <f>IF(TrRoad_act!I7=0,0,I21/TrRoad_act!I7*1000)</f>
        <v>132.71784180288029</v>
      </c>
      <c r="J85" s="87">
        <f>IF(TrRoad_act!J7=0,0,J21/TrRoad_act!J7*1000)</f>
        <v>131.3810833550954</v>
      </c>
      <c r="K85" s="87">
        <f>IF(TrRoad_act!K7=0,0,K21/TrRoad_act!K7*1000)</f>
        <v>129.01004060376511</v>
      </c>
      <c r="L85" s="87">
        <f>IF(TrRoad_act!L7=0,0,L21/TrRoad_act!L7*1000)</f>
        <v>127.38202246319617</v>
      </c>
      <c r="M85" s="87">
        <f>IF(TrRoad_act!M7=0,0,M21/TrRoad_act!M7*1000)</f>
        <v>127.24431124029964</v>
      </c>
      <c r="N85" s="87">
        <f>IF(TrRoad_act!N7=0,0,N21/TrRoad_act!N7*1000)</f>
        <v>120.94480074222021</v>
      </c>
      <c r="O85" s="87">
        <f>IF(TrRoad_act!O7=0,0,O21/TrRoad_act!O7*1000)</f>
        <v>119.95519565470333</v>
      </c>
      <c r="P85" s="87">
        <f>IF(TrRoad_act!P7=0,0,P21/TrRoad_act!P7*1000)</f>
        <v>116.50386260848965</v>
      </c>
      <c r="Q85" s="87">
        <f>IF(TrRoad_act!Q7=0,0,Q21/TrRoad_act!Q7*1000)</f>
        <v>124.59863550686963</v>
      </c>
      <c r="R85" s="87">
        <f>IF(TrRoad_act!R7=0,0,R21/TrRoad_act!R7*1000)</f>
        <v>114.04206359382508</v>
      </c>
      <c r="S85" s="87">
        <f>IF(TrRoad_act!S7=0,0,S21/TrRoad_act!S7*1000)</f>
        <v>109.69955404862434</v>
      </c>
      <c r="T85" s="87">
        <f>IF(TrRoad_act!T7=0,0,T21/TrRoad_act!T7*1000)</f>
        <v>108.61824885848404</v>
      </c>
      <c r="U85" s="87">
        <f>IF(TrRoad_act!U7=0,0,U21/TrRoad_act!U7*1000)</f>
        <v>105.62231359780438</v>
      </c>
      <c r="V85" s="87">
        <f>IF(TrRoad_act!V7=0,0,V21/TrRoad_act!V7*1000)</f>
        <v>99.579735345936427</v>
      </c>
      <c r="W85" s="87">
        <f>IF(TrRoad_act!W7=0,0,W21/TrRoad_act!W7*1000)</f>
        <v>100.36827595644175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104.70467216624104</v>
      </c>
      <c r="C86" s="87">
        <f>IF(TrRoad_act!C8=0,0,C22/TrRoad_act!C8*1000)</f>
        <v>100.64960490110863</v>
      </c>
      <c r="D86" s="87">
        <f>IF(TrRoad_act!D8=0,0,D22/TrRoad_act!D8*1000)</f>
        <v>102.43898452439579</v>
      </c>
      <c r="E86" s="87">
        <f>IF(TrRoad_act!E8=0,0,E22/TrRoad_act!E8*1000)</f>
        <v>107.6351692972802</v>
      </c>
      <c r="F86" s="87">
        <f>IF(TrRoad_act!F8=0,0,F22/TrRoad_act!F8*1000)</f>
        <v>110.61905763739325</v>
      </c>
      <c r="G86" s="87">
        <f>IF(TrRoad_act!G8=0,0,G22/TrRoad_act!G8*1000)</f>
        <v>112.63286118484532</v>
      </c>
      <c r="H86" s="87">
        <f>IF(TrRoad_act!H8=0,0,H22/TrRoad_act!H8*1000)</f>
        <v>115.35810599574853</v>
      </c>
      <c r="I86" s="87">
        <f>IF(TrRoad_act!I8=0,0,I22/TrRoad_act!I8*1000)</f>
        <v>119.90444820455764</v>
      </c>
      <c r="J86" s="87">
        <f>IF(TrRoad_act!J8=0,0,J22/TrRoad_act!J8*1000)</f>
        <v>115.66253947466411</v>
      </c>
      <c r="K86" s="87">
        <f>IF(TrRoad_act!K8=0,0,K22/TrRoad_act!K8*1000)</f>
        <v>113.35713846197586</v>
      </c>
      <c r="L86" s="87">
        <f>IF(TrRoad_act!L8=0,0,L22/TrRoad_act!L8*1000)</f>
        <v>115.15341843698116</v>
      </c>
      <c r="M86" s="87">
        <f>IF(TrRoad_act!M8=0,0,M22/TrRoad_act!M8*1000)</f>
        <v>112.86815766119766</v>
      </c>
      <c r="N86" s="87">
        <f>IF(TrRoad_act!N8=0,0,N22/TrRoad_act!N8*1000)</f>
        <v>104.05952300813024</v>
      </c>
      <c r="O86" s="87">
        <f>IF(TrRoad_act!O8=0,0,O22/TrRoad_act!O8*1000)</f>
        <v>104.17906861406006</v>
      </c>
      <c r="P86" s="87">
        <f>IF(TrRoad_act!P8=0,0,P22/TrRoad_act!P8*1000)</f>
        <v>105.48533457368799</v>
      </c>
      <c r="Q86" s="87">
        <f>IF(TrRoad_act!Q8=0,0,Q22/TrRoad_act!Q8*1000)</f>
        <v>107.33127844360683</v>
      </c>
      <c r="R86" s="87">
        <f>IF(TrRoad_act!R8=0,0,R22/TrRoad_act!R8*1000)</f>
        <v>106.45208233998088</v>
      </c>
      <c r="S86" s="87">
        <f>IF(TrRoad_act!S8=0,0,S22/TrRoad_act!S8*1000)</f>
        <v>104.86891253294782</v>
      </c>
      <c r="T86" s="87">
        <f>IF(TrRoad_act!T8=0,0,T22/TrRoad_act!T8*1000)</f>
        <v>107.7273019617532</v>
      </c>
      <c r="U86" s="87">
        <f>IF(TrRoad_act!U8=0,0,U22/TrRoad_act!U8*1000)</f>
        <v>104.5480925925078</v>
      </c>
      <c r="V86" s="87">
        <f>IF(TrRoad_act!V8=0,0,V22/TrRoad_act!V8*1000)</f>
        <v>102.55558691115064</v>
      </c>
      <c r="W86" s="87">
        <f>IF(TrRoad_act!W8=0,0,W22/TrRoad_act!W8*1000)</f>
        <v>105.99734071462741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99.406021907749647</v>
      </c>
      <c r="C87" s="87">
        <f>IF(TrRoad_act!C9=0,0,C23/TrRoad_act!C9*1000)</f>
        <v>114.94242176210368</v>
      </c>
      <c r="D87" s="87">
        <f>IF(TrRoad_act!D9=0,0,D23/TrRoad_act!D9*1000)</f>
        <v>141.31029174129517</v>
      </c>
      <c r="E87" s="87">
        <f>IF(TrRoad_act!E9=0,0,E23/TrRoad_act!E9*1000)</f>
        <v>135.75185187486093</v>
      </c>
      <c r="F87" s="87">
        <f>IF(TrRoad_act!F9=0,0,F23/TrRoad_act!F9*1000)</f>
        <v>134.29080356048706</v>
      </c>
      <c r="G87" s="87">
        <f>IF(TrRoad_act!G9=0,0,G23/TrRoad_act!G9*1000)</f>
        <v>143.89578323423902</v>
      </c>
      <c r="H87" s="87">
        <f>IF(TrRoad_act!H9=0,0,H23/TrRoad_act!H9*1000)</f>
        <v>148.20291619417122</v>
      </c>
      <c r="I87" s="87">
        <f>IF(TrRoad_act!I9=0,0,I23/TrRoad_act!I9*1000)</f>
        <v>147.02273027567676</v>
      </c>
      <c r="J87" s="87">
        <f>IF(TrRoad_act!J9=0,0,J23/TrRoad_act!J9*1000)</f>
        <v>147.46976841011809</v>
      </c>
      <c r="K87" s="87">
        <f>IF(TrRoad_act!K9=0,0,K23/TrRoad_act!K9*1000)</f>
        <v>155.08104552703159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0</v>
      </c>
      <c r="S87" s="87">
        <f>IF(TrRoad_act!S9=0,0,S23/TrRoad_act!S9*1000)</f>
        <v>0</v>
      </c>
      <c r="T87" s="87">
        <f>IF(TrRoad_act!T9=0,0,T23/TrRoad_act!T9*1000)</f>
        <v>0</v>
      </c>
      <c r="U87" s="87">
        <f>IF(TrRoad_act!U9=0,0,U23/TrRoad_act!U9*1000)</f>
        <v>0</v>
      </c>
      <c r="V87" s="87">
        <f>IF(TrRoad_act!V9=0,0,V23/TrRoad_act!V9*1000)</f>
        <v>0</v>
      </c>
      <c r="W87" s="87">
        <f>IF(TrRoad_act!W9=0,0,W23/TrRoad_act!W9*1000)</f>
        <v>0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98.929857858240382</v>
      </c>
      <c r="R88" s="87">
        <f>IF(TrRoad_act!R10=0,0,R24/TrRoad_act!R10*1000)</f>
        <v>117.51730007331805</v>
      </c>
      <c r="S88" s="87">
        <f>IF(TrRoad_act!S10=0,0,S24/TrRoad_act!S10*1000)</f>
        <v>66.715873836920551</v>
      </c>
      <c r="T88" s="87">
        <f>IF(TrRoad_act!T10=0,0,T24/TrRoad_act!T10*1000)</f>
        <v>76.504980157027035</v>
      </c>
      <c r="U88" s="87">
        <f>IF(TrRoad_act!U10=0,0,U24/TrRoad_act!U10*1000)</f>
        <v>71.105180132464014</v>
      </c>
      <c r="V88" s="87">
        <f>IF(TrRoad_act!V10=0,0,V24/TrRoad_act!V10*1000)</f>
        <v>78.919983596396193</v>
      </c>
      <c r="W88" s="87">
        <f>IF(TrRoad_act!W10=0,0,W24/TrRoad_act!W10*1000)</f>
        <v>81.593166229989066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33.674679509546088</v>
      </c>
      <c r="O89" s="87">
        <f>IF(TrRoad_act!O11=0,0,O25/TrRoad_act!O11*1000)</f>
        <v>39.836474174985369</v>
      </c>
      <c r="P89" s="87">
        <f>IF(TrRoad_act!P11=0,0,P25/TrRoad_act!P11*1000)</f>
        <v>18.50255332655534</v>
      </c>
      <c r="Q89" s="87">
        <f>IF(TrRoad_act!Q11=0,0,Q25/TrRoad_act!Q11*1000)</f>
        <v>89.131200426195122</v>
      </c>
      <c r="R89" s="87">
        <f>IF(TrRoad_act!R11=0,0,R25/TrRoad_act!R11*1000)</f>
        <v>49.420590970098914</v>
      </c>
      <c r="S89" s="87">
        <f>IF(TrRoad_act!S11=0,0,S25/TrRoad_act!S11*1000)</f>
        <v>38.47076784193883</v>
      </c>
      <c r="T89" s="87">
        <f>IF(TrRoad_act!T11=0,0,T25/TrRoad_act!T11*1000)</f>
        <v>31.284274348225686</v>
      </c>
      <c r="U89" s="87">
        <f>IF(TrRoad_act!U11=0,0,U25/TrRoad_act!U11*1000)</f>
        <v>27.969141491023915</v>
      </c>
      <c r="V89" s="87">
        <f>IF(TrRoad_act!V11=0,0,V25/TrRoad_act!V11*1000)</f>
        <v>24.126996320729095</v>
      </c>
      <c r="W89" s="87">
        <f>IF(TrRoad_act!W11=0,0,W25/TrRoad_act!W11*1000)</f>
        <v>24.234051990966037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143.3530161993198</v>
      </c>
      <c r="C91" s="116">
        <f>IF(TrRoad_act!C13=0,0,C27/TrRoad_act!C13*1000)</f>
        <v>140.97315886278403</v>
      </c>
      <c r="D91" s="116">
        <f>IF(TrRoad_act!D13=0,0,D27/TrRoad_act!D13*1000)</f>
        <v>138.16354219489904</v>
      </c>
      <c r="E91" s="116">
        <f>IF(TrRoad_act!E13=0,0,E27/TrRoad_act!E13*1000)</f>
        <v>140.53040690247789</v>
      </c>
      <c r="F91" s="116">
        <f>IF(TrRoad_act!F13=0,0,F27/TrRoad_act!F13*1000)</f>
        <v>137.60790080530947</v>
      </c>
      <c r="G91" s="116">
        <f>IF(TrRoad_act!G13=0,0,G27/TrRoad_act!G13*1000)</f>
        <v>141.39747046962918</v>
      </c>
      <c r="H91" s="116">
        <f>IF(TrRoad_act!H13=0,0,H27/TrRoad_act!H13*1000)</f>
        <v>144.70784826432799</v>
      </c>
      <c r="I91" s="116">
        <f>IF(TrRoad_act!I13=0,0,I27/TrRoad_act!I13*1000)</f>
        <v>147.45763960272816</v>
      </c>
      <c r="J91" s="116">
        <f>IF(TrRoad_act!J13=0,0,J27/TrRoad_act!J13*1000)</f>
        <v>151.98468380839449</v>
      </c>
      <c r="K91" s="116">
        <f>IF(TrRoad_act!K13=0,0,K27/TrRoad_act!K13*1000)</f>
        <v>154.28602004448709</v>
      </c>
      <c r="L91" s="116">
        <f>IF(TrRoad_act!L13=0,0,L27/TrRoad_act!L13*1000)</f>
        <v>155.88936530962042</v>
      </c>
      <c r="M91" s="116">
        <f>IF(TrRoad_act!M13=0,0,M27/TrRoad_act!M13*1000)</f>
        <v>150.35669720500107</v>
      </c>
      <c r="N91" s="116">
        <f>IF(TrRoad_act!N13=0,0,N27/TrRoad_act!N13*1000)</f>
        <v>141.0196429011429</v>
      </c>
      <c r="O91" s="116">
        <f>IF(TrRoad_act!O13=0,0,O27/TrRoad_act!O13*1000)</f>
        <v>134.90425927932117</v>
      </c>
      <c r="P91" s="116">
        <f>IF(TrRoad_act!P13=0,0,P27/TrRoad_act!P13*1000)</f>
        <v>138.01721573431851</v>
      </c>
      <c r="Q91" s="116">
        <f>IF(TrRoad_act!Q13=0,0,Q27/TrRoad_act!Q13*1000)</f>
        <v>135.51923830257135</v>
      </c>
      <c r="R91" s="116">
        <f>IF(TrRoad_act!R13=0,0,R27/TrRoad_act!R13*1000)</f>
        <v>136.17471395054443</v>
      </c>
      <c r="S91" s="116">
        <f>IF(TrRoad_act!S13=0,0,S27/TrRoad_act!S13*1000)</f>
        <v>138.16708319043801</v>
      </c>
      <c r="T91" s="116">
        <f>IF(TrRoad_act!T13=0,0,T27/TrRoad_act!T13*1000)</f>
        <v>142.0872225773314</v>
      </c>
      <c r="U91" s="116">
        <f>IF(TrRoad_act!U13=0,0,U27/TrRoad_act!U13*1000)</f>
        <v>140.57812356376573</v>
      </c>
      <c r="V91" s="116">
        <f>IF(TrRoad_act!V13=0,0,V27/TrRoad_act!V13*1000)</f>
        <v>213.35900499879989</v>
      </c>
      <c r="W91" s="116">
        <f>IF(TrRoad_act!W13=0,0,W27/TrRoad_act!W13*1000)</f>
        <v>198.46036137870982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91.898778084010388</v>
      </c>
      <c r="C92" s="101">
        <f>IF(TrRoad_act!C14=0,0,C28/TrRoad_act!C14*1000)</f>
        <v>91.932814705650912</v>
      </c>
      <c r="D92" s="101">
        <f>IF(TrRoad_act!D14=0,0,D28/TrRoad_act!D14*1000)</f>
        <v>91.869724271183046</v>
      </c>
      <c r="E92" s="101">
        <f>IF(TrRoad_act!E14=0,0,E28/TrRoad_act!E14*1000)</f>
        <v>91.832409681228512</v>
      </c>
      <c r="F92" s="101">
        <f>IF(TrRoad_act!F14=0,0,F28/TrRoad_act!F14*1000)</f>
        <v>91.705794799950965</v>
      </c>
      <c r="G92" s="101">
        <f>IF(TrRoad_act!G14=0,0,G28/TrRoad_act!G14*1000)</f>
        <v>91.37235931050968</v>
      </c>
      <c r="H92" s="101">
        <f>IF(TrRoad_act!H14=0,0,H28/TrRoad_act!H14*1000)</f>
        <v>89.176410931825203</v>
      </c>
      <c r="I92" s="101">
        <f>IF(TrRoad_act!I14=0,0,I28/TrRoad_act!I14*1000)</f>
        <v>86.914241707026846</v>
      </c>
      <c r="J92" s="101">
        <f>IF(TrRoad_act!J14=0,0,J28/TrRoad_act!J14*1000)</f>
        <v>84.81958915120606</v>
      </c>
      <c r="K92" s="101">
        <f>IF(TrRoad_act!K14=0,0,K28/TrRoad_act!K14*1000)</f>
        <v>82.571187665615909</v>
      </c>
      <c r="L92" s="101">
        <f>IF(TrRoad_act!L14=0,0,L28/TrRoad_act!L14*1000)</f>
        <v>79.52384757959156</v>
      </c>
      <c r="M92" s="101">
        <f>IF(TrRoad_act!M14=0,0,M28/TrRoad_act!M14*1000)</f>
        <v>76.962465790883201</v>
      </c>
      <c r="N92" s="101">
        <f>IF(TrRoad_act!N14=0,0,N28/TrRoad_act!N14*1000)</f>
        <v>74.945898677739663</v>
      </c>
      <c r="O92" s="101">
        <f>IF(TrRoad_act!O14=0,0,O28/TrRoad_act!O14*1000)</f>
        <v>73.953560491205465</v>
      </c>
      <c r="P92" s="101">
        <f>IF(TrRoad_act!P14=0,0,P28/TrRoad_act!P14*1000)</f>
        <v>73.654069717880589</v>
      </c>
      <c r="Q92" s="101">
        <f>IF(TrRoad_act!Q14=0,0,Q28/TrRoad_act!Q14*1000)</f>
        <v>72.485320170630274</v>
      </c>
      <c r="R92" s="101">
        <f>IF(TrRoad_act!R14=0,0,R28/TrRoad_act!R14*1000)</f>
        <v>72.323135131609689</v>
      </c>
      <c r="S92" s="101">
        <f>IF(TrRoad_act!S14=0,0,S28/TrRoad_act!S14*1000)</f>
        <v>71.528782389216445</v>
      </c>
      <c r="T92" s="101">
        <f>IF(TrRoad_act!T14=0,0,T28/TrRoad_act!T14*1000)</f>
        <v>71.578089999624751</v>
      </c>
      <c r="U92" s="101">
        <f>IF(TrRoad_act!U14=0,0,U28/TrRoad_act!U14*1000)</f>
        <v>71.440970893688331</v>
      </c>
      <c r="V92" s="101">
        <f>IF(TrRoad_act!V14=0,0,V28/TrRoad_act!V14*1000)</f>
        <v>70.555855675957474</v>
      </c>
      <c r="W92" s="101">
        <f>IF(TrRoad_act!W14=0,0,W28/TrRoad_act!W14*1000)</f>
        <v>70.302607520866843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146.75369717421017</v>
      </c>
      <c r="C93" s="101">
        <f>IF(TrRoad_act!C15=0,0,C29/TrRoad_act!C15*1000)</f>
        <v>144.30493710322585</v>
      </c>
      <c r="D93" s="101">
        <f>IF(TrRoad_act!D15=0,0,D29/TrRoad_act!D15*1000)</f>
        <v>141.31003621258492</v>
      </c>
      <c r="E93" s="101">
        <f>IF(TrRoad_act!E15=0,0,E29/TrRoad_act!E15*1000)</f>
        <v>142.59228941530887</v>
      </c>
      <c r="F93" s="101">
        <f>IF(TrRoad_act!F15=0,0,F29/TrRoad_act!F15*1000)</f>
        <v>139.18992748577517</v>
      </c>
      <c r="G93" s="101">
        <f>IF(TrRoad_act!G15=0,0,G29/TrRoad_act!G15*1000)</f>
        <v>143.05149553976244</v>
      </c>
      <c r="H93" s="101">
        <f>IF(TrRoad_act!H15=0,0,H29/TrRoad_act!H15*1000)</f>
        <v>146.5891832374796</v>
      </c>
      <c r="I93" s="101">
        <f>IF(TrRoad_act!I15=0,0,I29/TrRoad_act!I15*1000)</f>
        <v>149.52158106335992</v>
      </c>
      <c r="J93" s="101">
        <f>IF(TrRoad_act!J15=0,0,J29/TrRoad_act!J15*1000)</f>
        <v>154.33614688147478</v>
      </c>
      <c r="K93" s="101">
        <f>IF(TrRoad_act!K15=0,0,K29/TrRoad_act!K15*1000)</f>
        <v>156.69851207625291</v>
      </c>
      <c r="L93" s="101">
        <f>IF(TrRoad_act!L15=0,0,L29/TrRoad_act!L15*1000)</f>
        <v>158.34274635304769</v>
      </c>
      <c r="M93" s="101">
        <f>IF(TrRoad_act!M15=0,0,M29/TrRoad_act!M15*1000)</f>
        <v>152.69784131401147</v>
      </c>
      <c r="N93" s="101">
        <f>IF(TrRoad_act!N15=0,0,N29/TrRoad_act!N15*1000)</f>
        <v>143.13986766411102</v>
      </c>
      <c r="O93" s="101">
        <f>IF(TrRoad_act!O15=0,0,O29/TrRoad_act!O15*1000)</f>
        <v>136.99662016764759</v>
      </c>
      <c r="P93" s="101">
        <f>IF(TrRoad_act!P15=0,0,P29/TrRoad_act!P15*1000)</f>
        <v>139.96928325917224</v>
      </c>
      <c r="Q93" s="101">
        <f>IF(TrRoad_act!Q15=0,0,Q29/TrRoad_act!Q15*1000)</f>
        <v>137.16527423189507</v>
      </c>
      <c r="R93" s="101">
        <f>IF(TrRoad_act!R15=0,0,R29/TrRoad_act!R15*1000)</f>
        <v>137.90950566354161</v>
      </c>
      <c r="S93" s="101">
        <f>IF(TrRoad_act!S15=0,0,S29/TrRoad_act!S15*1000)</f>
        <v>140.00512558083307</v>
      </c>
      <c r="T93" s="101">
        <f>IF(TrRoad_act!T15=0,0,T29/TrRoad_act!T15*1000)</f>
        <v>143.53899017597331</v>
      </c>
      <c r="U93" s="101">
        <f>IF(TrRoad_act!U15=0,0,U29/TrRoad_act!U15*1000)</f>
        <v>142.88184044171692</v>
      </c>
      <c r="V93" s="101">
        <f>IF(TrRoad_act!V15=0,0,V29/TrRoad_act!V15*1000)</f>
        <v>219.14805675641159</v>
      </c>
      <c r="W93" s="101">
        <f>IF(TrRoad_act!W15=0,0,W29/TrRoad_act!W15*1000)</f>
        <v>206.60700546400216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130.94640475875184</v>
      </c>
      <c r="R95" s="101">
        <f>IF(TrRoad_act!R17=0,0,R31/TrRoad_act!R17*1000)</f>
        <v>110.12683389494703</v>
      </c>
      <c r="S95" s="101">
        <f>IF(TrRoad_act!S17=0,0,S31/TrRoad_act!S17*1000)</f>
        <v>115.48266539750836</v>
      </c>
      <c r="T95" s="101">
        <f>IF(TrRoad_act!T17=0,0,T31/TrRoad_act!T17*1000)</f>
        <v>142.16489632841461</v>
      </c>
      <c r="U95" s="101">
        <f>IF(TrRoad_act!U17=0,0,U31/TrRoad_act!U17*1000)</f>
        <v>145.66335618654341</v>
      </c>
      <c r="V95" s="101">
        <f>IF(TrRoad_act!V17=0,0,V31/TrRoad_act!V17*1000)</f>
        <v>188.43239032019329</v>
      </c>
      <c r="W95" s="101">
        <f>IF(TrRoad_act!W17=0,0,W31/TrRoad_act!W17*1000)</f>
        <v>196.08479563977724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248.37142802147181</v>
      </c>
      <c r="C97" s="29">
        <f>IF(TrRoad_act!C19=0,0,C33/TrRoad_act!C19*1000)</f>
        <v>256.056340707716</v>
      </c>
      <c r="D97" s="29">
        <f>IF(TrRoad_act!D19=0,0,D33/TrRoad_act!D19*1000)</f>
        <v>250.91055195778651</v>
      </c>
      <c r="E97" s="29">
        <f>IF(TrRoad_act!E19=0,0,E33/TrRoad_act!E19*1000)</f>
        <v>270.00288199931572</v>
      </c>
      <c r="F97" s="29">
        <f>IF(TrRoad_act!F19=0,0,F33/TrRoad_act!F19*1000)</f>
        <v>283.44681017390832</v>
      </c>
      <c r="G97" s="29">
        <f>IF(TrRoad_act!G19=0,0,G33/TrRoad_act!G19*1000)</f>
        <v>275.52704339006857</v>
      </c>
      <c r="H97" s="29">
        <f>IF(TrRoad_act!H19=0,0,H33/TrRoad_act!H19*1000)</f>
        <v>274.49367949177093</v>
      </c>
      <c r="I97" s="29">
        <f>IF(TrRoad_act!I19=0,0,I33/TrRoad_act!I19*1000)</f>
        <v>276.46210549790555</v>
      </c>
      <c r="J97" s="29">
        <f>IF(TrRoad_act!J19=0,0,J33/TrRoad_act!J19*1000)</f>
        <v>256.21348920896065</v>
      </c>
      <c r="K97" s="29">
        <f>IF(TrRoad_act!K19=0,0,K33/TrRoad_act!K19*1000)</f>
        <v>252.30650386865995</v>
      </c>
      <c r="L97" s="29">
        <f>IF(TrRoad_act!L19=0,0,L33/TrRoad_act!L19*1000)</f>
        <v>246.67831505610528</v>
      </c>
      <c r="M97" s="29">
        <f>IF(TrRoad_act!M19=0,0,M33/TrRoad_act!M19*1000)</f>
        <v>215.21019755992128</v>
      </c>
      <c r="N97" s="29">
        <f>IF(TrRoad_act!N19=0,0,N33/TrRoad_act!N19*1000)</f>
        <v>190.31329975202948</v>
      </c>
      <c r="O97" s="29">
        <f>IF(TrRoad_act!O19=0,0,O33/TrRoad_act!O19*1000)</f>
        <v>176.83807275473103</v>
      </c>
      <c r="P97" s="29">
        <f>IF(TrRoad_act!P19=0,0,P33/TrRoad_act!P19*1000)</f>
        <v>178.42088310785869</v>
      </c>
      <c r="Q97" s="29">
        <f>IF(TrRoad_act!Q19=0,0,Q33/TrRoad_act!Q19*1000)</f>
        <v>174.19409875315361</v>
      </c>
      <c r="R97" s="29">
        <f>IF(TrRoad_act!R19=0,0,R33/TrRoad_act!R19*1000)</f>
        <v>174.34938094683721</v>
      </c>
      <c r="S97" s="29">
        <f>IF(TrRoad_act!S19=0,0,S33/TrRoad_act!S19*1000)</f>
        <v>178.78078351292095</v>
      </c>
      <c r="T97" s="29">
        <f>IF(TrRoad_act!T19=0,0,T33/TrRoad_act!T19*1000)</f>
        <v>192.62113062277638</v>
      </c>
      <c r="U97" s="29">
        <f>IF(TrRoad_act!U19=0,0,U33/TrRoad_act!U19*1000)</f>
        <v>182.4909173356285</v>
      </c>
      <c r="V97" s="29">
        <f>IF(TrRoad_act!V19=0,0,V33/TrRoad_act!V19*1000)</f>
        <v>168.4685238188182</v>
      </c>
      <c r="W97" s="29">
        <f>IF(TrRoad_act!W19=0,0,W33/TrRoad_act!W19*1000)</f>
        <v>169.14144383007482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1932.933745612605</v>
      </c>
      <c r="C98" s="152">
        <f>IF(TrRoad_act!C20=0,0,C34/TrRoad_act!C20*1000)</f>
        <v>1864.2730993597038</v>
      </c>
      <c r="D98" s="152">
        <f>IF(TrRoad_act!D20=0,0,D34/TrRoad_act!D20*1000)</f>
        <v>1780.0146647028753</v>
      </c>
      <c r="E98" s="152">
        <f>IF(TrRoad_act!E20=0,0,E34/TrRoad_act!E20*1000)</f>
        <v>1710.4918559283913</v>
      </c>
      <c r="F98" s="152">
        <f>IF(TrRoad_act!F20=0,0,F34/TrRoad_act!F20*1000)</f>
        <v>1651.8751577256244</v>
      </c>
      <c r="G98" s="152">
        <f>IF(TrRoad_act!G20=0,0,G34/TrRoad_act!G20*1000)</f>
        <v>1594.7431333679897</v>
      </c>
      <c r="H98" s="152">
        <f>IF(TrRoad_act!H20=0,0,H34/TrRoad_act!H20*1000)</f>
        <v>1556.5183308828823</v>
      </c>
      <c r="I98" s="152">
        <f>IF(TrRoad_act!I20=0,0,I34/TrRoad_act!I20*1000)</f>
        <v>1534.9560189737224</v>
      </c>
      <c r="J98" s="152">
        <f>IF(TrRoad_act!J20=0,0,J34/TrRoad_act!J20*1000)</f>
        <v>1502.7637167224782</v>
      </c>
      <c r="K98" s="152">
        <f>IF(TrRoad_act!K20=0,0,K34/TrRoad_act!K20*1000)</f>
        <v>1465.0123395100968</v>
      </c>
      <c r="L98" s="152">
        <f>IF(TrRoad_act!L20=0,0,L34/TrRoad_act!L20*1000)</f>
        <v>1451.5528998836887</v>
      </c>
      <c r="M98" s="152">
        <f>IF(TrRoad_act!M20=0,0,M34/TrRoad_act!M20*1000)</f>
        <v>1397.7444507160938</v>
      </c>
      <c r="N98" s="152">
        <f>IF(TrRoad_act!N20=0,0,N34/TrRoad_act!N20*1000)</f>
        <v>1344.3866068151401</v>
      </c>
      <c r="O98" s="152">
        <f>IF(TrRoad_act!O20=0,0,O34/TrRoad_act!O20*1000)</f>
        <v>1332.0864734674551</v>
      </c>
      <c r="P98" s="152">
        <f>IF(TrRoad_act!P20=0,0,P34/TrRoad_act!P20*1000)</f>
        <v>1311.9190877935753</v>
      </c>
      <c r="Q98" s="152">
        <f>IF(TrRoad_act!Q20=0,0,Q34/TrRoad_act!Q20*1000)</f>
        <v>1295.0456300351032</v>
      </c>
      <c r="R98" s="152">
        <f>IF(TrRoad_act!R20=0,0,R34/TrRoad_act!R20*1000)</f>
        <v>1280.5194290043148</v>
      </c>
      <c r="S98" s="152">
        <f>IF(TrRoad_act!S20=0,0,S34/TrRoad_act!S20*1000)</f>
        <v>1272.2639855592283</v>
      </c>
      <c r="T98" s="152">
        <f>IF(TrRoad_act!T20=0,0,T34/TrRoad_act!T20*1000)</f>
        <v>1257.9584521975128</v>
      </c>
      <c r="U98" s="152">
        <f>IF(TrRoad_act!U20=0,0,U34/TrRoad_act!U20*1000)</f>
        <v>1218.359664793084</v>
      </c>
      <c r="V98" s="152">
        <f>IF(TrRoad_act!V20=0,0,V34/TrRoad_act!V20*1000)</f>
        <v>1197.8063203994636</v>
      </c>
      <c r="W98" s="152">
        <f>IF(TrRoad_act!W20=0,0,W34/TrRoad_act!W20*1000)</f>
        <v>1205.5252776335692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2589.1724607090518</v>
      </c>
      <c r="C99" s="87">
        <f>IF(TrRoad_act!C21=0,0,C35/TrRoad_act!C21*1000)</f>
        <v>2579.4673956447</v>
      </c>
      <c r="D99" s="87">
        <f>IF(TrRoad_act!D21=0,0,D35/TrRoad_act!D21*1000)</f>
        <v>2513.4322380536369</v>
      </c>
      <c r="E99" s="87">
        <f>IF(TrRoad_act!E21=0,0,E35/TrRoad_act!E21*1000)</f>
        <v>2437.4105932065527</v>
      </c>
      <c r="F99" s="87">
        <f>IF(TrRoad_act!F21=0,0,F35/TrRoad_act!F21*1000)</f>
        <v>2392.9395738717822</v>
      </c>
      <c r="G99" s="87">
        <f>IF(TrRoad_act!G21=0,0,G35/TrRoad_act!G21*1000)</f>
        <v>2345.101442069194</v>
      </c>
      <c r="H99" s="87">
        <f>IF(TrRoad_act!H21=0,0,H35/TrRoad_act!H21*1000)</f>
        <v>2294.7163435522484</v>
      </c>
      <c r="I99" s="87">
        <f>IF(TrRoad_act!I21=0,0,I35/TrRoad_act!I21*1000)</f>
        <v>2297.3504047402012</v>
      </c>
      <c r="J99" s="87">
        <f>IF(TrRoad_act!J21=0,0,J35/TrRoad_act!J21*1000)</f>
        <v>2243.4874404834695</v>
      </c>
      <c r="K99" s="87">
        <f>IF(TrRoad_act!K21=0,0,K35/TrRoad_act!K21*1000)</f>
        <v>2183.2640260779463</v>
      </c>
      <c r="L99" s="87">
        <f>IF(TrRoad_act!L21=0,0,L35/TrRoad_act!L21*1000)</f>
        <v>2118.5986783302938</v>
      </c>
      <c r="M99" s="87">
        <f>IF(TrRoad_act!M21=0,0,M35/TrRoad_act!M21*1000)</f>
        <v>2042.964897320323</v>
      </c>
      <c r="N99" s="87">
        <f>IF(TrRoad_act!N21=0,0,N35/TrRoad_act!N21*1000)</f>
        <v>1988.6653549095595</v>
      </c>
      <c r="O99" s="87">
        <f>IF(TrRoad_act!O21=0,0,O35/TrRoad_act!O21*1000)</f>
        <v>1967.9720496101675</v>
      </c>
      <c r="P99" s="87">
        <f>IF(TrRoad_act!P21=0,0,P35/TrRoad_act!P21*1000)</f>
        <v>1940.4610734037551</v>
      </c>
      <c r="Q99" s="87">
        <f>IF(TrRoad_act!Q21=0,0,Q35/TrRoad_act!Q21*1000)</f>
        <v>1895.1281907028904</v>
      </c>
      <c r="R99" s="87">
        <f>IF(TrRoad_act!R21=0,0,R35/TrRoad_act!R21*1000)</f>
        <v>1821.742723980743</v>
      </c>
      <c r="S99" s="87">
        <f>IF(TrRoad_act!S21=0,0,S35/TrRoad_act!S21*1000)</f>
        <v>1755.3773282071047</v>
      </c>
      <c r="T99" s="87">
        <f>IF(TrRoad_act!T21=0,0,T35/TrRoad_act!T21*1000)</f>
        <v>1679.0527595262429</v>
      </c>
      <c r="U99" s="87">
        <f>IF(TrRoad_act!U21=0,0,U35/TrRoad_act!U21*1000)</f>
        <v>1595.0114635750597</v>
      </c>
      <c r="V99" s="87">
        <f>IF(TrRoad_act!V21=0,0,V35/TrRoad_act!V21*1000)</f>
        <v>1453.4280519444101</v>
      </c>
      <c r="W99" s="87">
        <f>IF(TrRoad_act!W21=0,0,W35/TrRoad_act!W21*1000)</f>
        <v>1440.31889782247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1823.0374830107021</v>
      </c>
      <c r="C100" s="87">
        <f>IF(TrRoad_act!C22=0,0,C36/TrRoad_act!C22*1000)</f>
        <v>1741.2162968054283</v>
      </c>
      <c r="D100" s="87">
        <f>IF(TrRoad_act!D22=0,0,D36/TrRoad_act!D22*1000)</f>
        <v>1659.8121971081621</v>
      </c>
      <c r="E100" s="87">
        <f>IF(TrRoad_act!E22=0,0,E36/TrRoad_act!E22*1000)</f>
        <v>1603.3154594527466</v>
      </c>
      <c r="F100" s="87">
        <f>IF(TrRoad_act!F22=0,0,F36/TrRoad_act!F22*1000)</f>
        <v>1553.1674999275047</v>
      </c>
      <c r="G100" s="87">
        <f>IF(TrRoad_act!G22=0,0,G36/TrRoad_act!G22*1000)</f>
        <v>1504.0845147353602</v>
      </c>
      <c r="H100" s="87">
        <f>IF(TrRoad_act!H22=0,0,H36/TrRoad_act!H22*1000)</f>
        <v>1477.2794830083976</v>
      </c>
      <c r="I100" s="87">
        <f>IF(TrRoad_act!I22=0,0,I36/TrRoad_act!I22*1000)</f>
        <v>1464.7798329251323</v>
      </c>
      <c r="J100" s="87">
        <f>IF(TrRoad_act!J22=0,0,J36/TrRoad_act!J22*1000)</f>
        <v>1441.728774124766</v>
      </c>
      <c r="K100" s="87">
        <f>IF(TrRoad_act!K22=0,0,K36/TrRoad_act!K22*1000)</f>
        <v>1408.8215531885114</v>
      </c>
      <c r="L100" s="87">
        <f>IF(TrRoad_act!L22=0,0,L36/TrRoad_act!L22*1000)</f>
        <v>1403.9655786549454</v>
      </c>
      <c r="M100" s="87">
        <f>IF(TrRoad_act!M22=0,0,M36/TrRoad_act!M22*1000)</f>
        <v>1354.1343192959621</v>
      </c>
      <c r="N100" s="87">
        <f>IF(TrRoad_act!N22=0,0,N36/TrRoad_act!N22*1000)</f>
        <v>1304.6447994298233</v>
      </c>
      <c r="O100" s="87">
        <f>IF(TrRoad_act!O22=0,0,O36/TrRoad_act!O22*1000)</f>
        <v>1294.3269825093805</v>
      </c>
      <c r="P100" s="87">
        <f>IF(TrRoad_act!P22=0,0,P36/TrRoad_act!P22*1000)</f>
        <v>1276.1761009846243</v>
      </c>
      <c r="Q100" s="87">
        <f>IF(TrRoad_act!Q22=0,0,Q36/TrRoad_act!Q22*1000)</f>
        <v>1264.3678518009071</v>
      </c>
      <c r="R100" s="87">
        <f>IF(TrRoad_act!R22=0,0,R36/TrRoad_act!R22*1000)</f>
        <v>1253.9605999572116</v>
      </c>
      <c r="S100" s="87">
        <f>IF(TrRoad_act!S22=0,0,S36/TrRoad_act!S22*1000)</f>
        <v>1250.1482663885824</v>
      </c>
      <c r="T100" s="87">
        <f>IF(TrRoad_act!T22=0,0,T36/TrRoad_act!T22*1000)</f>
        <v>1240.5510065940218</v>
      </c>
      <c r="U100" s="87">
        <f>IF(TrRoad_act!U22=0,0,U36/TrRoad_act!U22*1000)</f>
        <v>1203.8379692210217</v>
      </c>
      <c r="V100" s="87">
        <f>IF(TrRoad_act!V22=0,0,V36/TrRoad_act!V22*1000)</f>
        <v>1189.8339746540325</v>
      </c>
      <c r="W100" s="87">
        <f>IF(TrRoad_act!W22=0,0,W36/TrRoad_act!W22*1000)</f>
        <v>1202.3531583042486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1453.8080385250917</v>
      </c>
      <c r="R102" s="87">
        <f>IF(TrRoad_act!R24=0,0,R38/TrRoad_act!R24*1000)</f>
        <v>1415.1155862219937</v>
      </c>
      <c r="S102" s="87">
        <f>IF(TrRoad_act!S24=0,0,S38/TrRoad_act!S24*1000)</f>
        <v>1358.4724888540381</v>
      </c>
      <c r="T102" s="87">
        <f>IF(TrRoad_act!T24=0,0,T38/TrRoad_act!T24*1000)</f>
        <v>1423.5411795775533</v>
      </c>
      <c r="U102" s="87">
        <f>IF(TrRoad_act!U24=0,0,U38/TrRoad_act!U24*1000)</f>
        <v>1289.9234049488657</v>
      </c>
      <c r="V102" s="87">
        <f>IF(TrRoad_act!V24=0,0,V38/TrRoad_act!V24*1000)</f>
        <v>1408.5540202264035</v>
      </c>
      <c r="W102" s="87">
        <f>IF(TrRoad_act!W24=0,0,W38/TrRoad_act!W24*1000)</f>
        <v>1419.7885905573316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140.6659516369217</v>
      </c>
      <c r="C104" s="116">
        <f>IF(TrRoad_act!C26=0,0,C40/TrRoad_act!C26*1000)</f>
        <v>146.93244976586982</v>
      </c>
      <c r="D104" s="116">
        <f>IF(TrRoad_act!D26=0,0,D40/TrRoad_act!D26*1000)</f>
        <v>145.85874258002531</v>
      </c>
      <c r="E104" s="116">
        <f>IF(TrRoad_act!E26=0,0,E40/TrRoad_act!E26*1000)</f>
        <v>165.43391274054989</v>
      </c>
      <c r="F104" s="116">
        <f>IF(TrRoad_act!F26=0,0,F40/TrRoad_act!F26*1000)</f>
        <v>176.22929488734866</v>
      </c>
      <c r="G104" s="116">
        <f>IF(TrRoad_act!G26=0,0,G40/TrRoad_act!G26*1000)</f>
        <v>168.81972792565531</v>
      </c>
      <c r="H104" s="116">
        <f>IF(TrRoad_act!H26=0,0,H40/TrRoad_act!H26*1000)</f>
        <v>165.87933313546722</v>
      </c>
      <c r="I104" s="116">
        <f>IF(TrRoad_act!I26=0,0,I40/TrRoad_act!I26*1000)</f>
        <v>164.05634484422205</v>
      </c>
      <c r="J104" s="116">
        <f>IF(TrRoad_act!J26=0,0,J40/TrRoad_act!J26*1000)</f>
        <v>147.99121759925117</v>
      </c>
      <c r="K104" s="116">
        <f>IF(TrRoad_act!K26=0,0,K40/TrRoad_act!K26*1000)</f>
        <v>140.73072026369314</v>
      </c>
      <c r="L104" s="116">
        <f>IF(TrRoad_act!L26=0,0,L40/TrRoad_act!L26*1000)</f>
        <v>140.83984108347309</v>
      </c>
      <c r="M104" s="116">
        <f>IF(TrRoad_act!M26=0,0,M40/TrRoad_act!M26*1000)</f>
        <v>126.79308274094139</v>
      </c>
      <c r="N104" s="116">
        <f>IF(TrRoad_act!N26=0,0,N40/TrRoad_act!N26*1000)</f>
        <v>110.89110257175911</v>
      </c>
      <c r="O104" s="116">
        <f>IF(TrRoad_act!O26=0,0,O40/TrRoad_act!O26*1000)</f>
        <v>104.29819117963392</v>
      </c>
      <c r="P104" s="116">
        <f>IF(TrRoad_act!P26=0,0,P40/TrRoad_act!P26*1000)</f>
        <v>110.42540407230909</v>
      </c>
      <c r="Q104" s="116">
        <f>IF(TrRoad_act!Q26=0,0,Q40/TrRoad_act!Q26*1000)</f>
        <v>104.49823879154829</v>
      </c>
      <c r="R104" s="116">
        <f>IF(TrRoad_act!R26=0,0,R40/TrRoad_act!R26*1000)</f>
        <v>110.00163918925237</v>
      </c>
      <c r="S104" s="116">
        <f>IF(TrRoad_act!S26=0,0,S40/TrRoad_act!S26*1000)</f>
        <v>112.8446901402387</v>
      </c>
      <c r="T104" s="116">
        <f>IF(TrRoad_act!T26=0,0,T40/TrRoad_act!T26*1000)</f>
        <v>123.50118206256556</v>
      </c>
      <c r="U104" s="116">
        <f>IF(TrRoad_act!U26=0,0,U40/TrRoad_act!U26*1000)</f>
        <v>117.65092456212521</v>
      </c>
      <c r="V104" s="116">
        <f>IF(TrRoad_act!V26=0,0,V40/TrRoad_act!V26*1000)</f>
        <v>110.14407939678114</v>
      </c>
      <c r="W104" s="116">
        <f>IF(TrRoad_act!W26=0,0,W40/TrRoad_act!W26*1000)</f>
        <v>111.00362689381693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140.50082007759153</v>
      </c>
      <c r="C105" s="101">
        <f>IF(TrRoad_act!C27=0,0,C41/TrRoad_act!C27*1000)</f>
        <v>146.33511511491375</v>
      </c>
      <c r="D105" s="101">
        <f>IF(TrRoad_act!D27=0,0,D41/TrRoad_act!D27*1000)</f>
        <v>142.53779154750302</v>
      </c>
      <c r="E105" s="101">
        <f>IF(TrRoad_act!E27=0,0,E41/TrRoad_act!E27*1000)</f>
        <v>155.36372048171017</v>
      </c>
      <c r="F105" s="101">
        <f>IF(TrRoad_act!F27=0,0,F41/TrRoad_act!F27*1000)</f>
        <v>157.77548264514718</v>
      </c>
      <c r="G105" s="101">
        <f>IF(TrRoad_act!G27=0,0,G41/TrRoad_act!G27*1000)</f>
        <v>148.25652378470403</v>
      </c>
      <c r="H105" s="101">
        <f>IF(TrRoad_act!H27=0,0,H41/TrRoad_act!H27*1000)</f>
        <v>148.71894397218537</v>
      </c>
      <c r="I105" s="101">
        <f>IF(TrRoad_act!I27=0,0,I41/TrRoad_act!I27*1000)</f>
        <v>147.95805451136766</v>
      </c>
      <c r="J105" s="101">
        <f>IF(TrRoad_act!J27=0,0,J41/TrRoad_act!J27*1000)</f>
        <v>151.88383309972576</v>
      </c>
      <c r="K105" s="101">
        <f>IF(TrRoad_act!K27=0,0,K41/TrRoad_act!K27*1000)</f>
        <v>139.94006423939831</v>
      </c>
      <c r="L105" s="101">
        <f>IF(TrRoad_act!L27=0,0,L41/TrRoad_act!L27*1000)</f>
        <v>135.57689195897674</v>
      </c>
      <c r="M105" s="101">
        <f>IF(TrRoad_act!M27=0,0,M41/TrRoad_act!M27*1000)</f>
        <v>119.55352950122219</v>
      </c>
      <c r="N105" s="101">
        <f>IF(TrRoad_act!N27=0,0,N41/TrRoad_act!N27*1000)</f>
        <v>112.14135548232531</v>
      </c>
      <c r="O105" s="101">
        <f>IF(TrRoad_act!O27=0,0,O41/TrRoad_act!O27*1000)</f>
        <v>109.73686684734376</v>
      </c>
      <c r="P105" s="101">
        <f>IF(TrRoad_act!P27=0,0,P41/TrRoad_act!P27*1000)</f>
        <v>107.31529815335742</v>
      </c>
      <c r="Q105" s="101">
        <f>IF(TrRoad_act!Q27=0,0,Q41/TrRoad_act!Q27*1000)</f>
        <v>105.37875560918793</v>
      </c>
      <c r="R105" s="101">
        <f>IF(TrRoad_act!R27=0,0,R41/TrRoad_act!R27*1000)</f>
        <v>102.94822503742867</v>
      </c>
      <c r="S105" s="101">
        <f>IF(TrRoad_act!S27=0,0,S41/TrRoad_act!S27*1000)</f>
        <v>101.67691712890303</v>
      </c>
      <c r="T105" s="101">
        <f>IF(TrRoad_act!T27=0,0,T41/TrRoad_act!T27*1000)</f>
        <v>104.70466038900646</v>
      </c>
      <c r="U105" s="101">
        <f>IF(TrRoad_act!U27=0,0,U41/TrRoad_act!U27*1000)</f>
        <v>102.36230483747931</v>
      </c>
      <c r="V105" s="101">
        <f>IF(TrRoad_act!V27=0,0,V41/TrRoad_act!V27*1000)</f>
        <v>99.499539587078544</v>
      </c>
      <c r="W105" s="101">
        <f>IF(TrRoad_act!W27=0,0,W41/TrRoad_act!W27*1000)</f>
        <v>97.588384470905339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141.10522327159379</v>
      </c>
      <c r="C106" s="88">
        <f>IF(TrRoad_act!C28=0,0,C42/TrRoad_act!C28*1000)</f>
        <v>148.40062672072403</v>
      </c>
      <c r="D106" s="88">
        <f>IF(TrRoad_act!D28=0,0,D42/TrRoad_act!D28*1000)</f>
        <v>153.68727910830592</v>
      </c>
      <c r="E106" s="88">
        <f>IF(TrRoad_act!E28=0,0,E42/TrRoad_act!E28*1000)</f>
        <v>188.70152718878157</v>
      </c>
      <c r="F106" s="88">
        <f>IF(TrRoad_act!F28=0,0,F42/TrRoad_act!F28*1000)</f>
        <v>211.38462193154871</v>
      </c>
      <c r="G106" s="88">
        <f>IF(TrRoad_act!G28=0,0,G42/TrRoad_act!G28*1000)</f>
        <v>208.51378160335426</v>
      </c>
      <c r="H106" s="88">
        <f>IF(TrRoad_act!H28=0,0,H42/TrRoad_act!H28*1000)</f>
        <v>197.70932153087804</v>
      </c>
      <c r="I106" s="88">
        <f>IF(TrRoad_act!I28=0,0,I42/TrRoad_act!I28*1000)</f>
        <v>192.89233949153407</v>
      </c>
      <c r="J106" s="88">
        <f>IF(TrRoad_act!J28=0,0,J42/TrRoad_act!J28*1000)</f>
        <v>142.90106083417649</v>
      </c>
      <c r="K106" s="88">
        <f>IF(TrRoad_act!K28=0,0,K42/TrRoad_act!K28*1000)</f>
        <v>141.87454865837989</v>
      </c>
      <c r="L106" s="88">
        <f>IF(TrRoad_act!L28=0,0,L42/TrRoad_act!L28*1000)</f>
        <v>149.1815068911406</v>
      </c>
      <c r="M106" s="88">
        <f>IF(TrRoad_act!M28=0,0,M42/TrRoad_act!M28*1000)</f>
        <v>140.36711419328751</v>
      </c>
      <c r="N106" s="88">
        <f>IF(TrRoad_act!N28=0,0,N42/TrRoad_act!N28*1000)</f>
        <v>108.44357642005407</v>
      </c>
      <c r="O106" s="88">
        <f>IF(TrRoad_act!O28=0,0,O42/TrRoad_act!O28*1000)</f>
        <v>94.913033385240411</v>
      </c>
      <c r="P106" s="88">
        <f>IF(TrRoad_act!P28=0,0,P42/TrRoad_act!P28*1000)</f>
        <v>116.54838452286246</v>
      </c>
      <c r="Q106" s="88">
        <f>IF(TrRoad_act!Q28=0,0,Q42/TrRoad_act!Q28*1000)</f>
        <v>102.82546813534663</v>
      </c>
      <c r="R106" s="88">
        <f>IF(TrRoad_act!R28=0,0,R42/TrRoad_act!R28*1000)</f>
        <v>122.16204983253127</v>
      </c>
      <c r="S106" s="88">
        <f>IF(TrRoad_act!S28=0,0,S42/TrRoad_act!S28*1000)</f>
        <v>130.9096739352712</v>
      </c>
      <c r="T106" s="88">
        <f>IF(TrRoad_act!T28=0,0,T42/TrRoad_act!T28*1000)</f>
        <v>154.88937169169384</v>
      </c>
      <c r="U106" s="88">
        <f>IF(TrRoad_act!U28=0,0,U42/TrRoad_act!U28*1000)</f>
        <v>143.14243483492089</v>
      </c>
      <c r="V106" s="88">
        <f>IF(TrRoad_act!V28=0,0,V42/TrRoad_act!V28*1000)</f>
        <v>127.07138078347427</v>
      </c>
      <c r="W106" s="88">
        <f>IF(TrRoad_act!W28=0,0,W42/TrRoad_act!W28*1000)</f>
        <v>132.69295108762179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497.29140298351581</v>
      </c>
      <c r="C110" s="152">
        <f>IF(C19=0,0,1000000*C19/TrRoad_act!C59)</f>
        <v>442.73667013120854</v>
      </c>
      <c r="D110" s="152">
        <f>IF(D19=0,0,1000000*D19/TrRoad_act!D59)</f>
        <v>442.68435769698061</v>
      </c>
      <c r="E110" s="152">
        <f>IF(E19=0,0,1000000*E19/TrRoad_act!E59)</f>
        <v>433.09283178623684</v>
      </c>
      <c r="F110" s="152">
        <f>IF(F19=0,0,1000000*F19/TrRoad_act!F59)</f>
        <v>411.82424020219418</v>
      </c>
      <c r="G110" s="152">
        <f>IF(G19=0,0,1000000*G19/TrRoad_act!G59)</f>
        <v>392.42525574710777</v>
      </c>
      <c r="H110" s="152">
        <f>IF(H19=0,0,1000000*H19/TrRoad_act!H59)</f>
        <v>379.97752797214974</v>
      </c>
      <c r="I110" s="152">
        <f>IF(I19=0,0,1000000*I19/TrRoad_act!I59)</f>
        <v>372.95470782955226</v>
      </c>
      <c r="J110" s="152">
        <f>IF(J19=0,0,1000000*J19/TrRoad_act!J59)</f>
        <v>355.21216455219144</v>
      </c>
      <c r="K110" s="152">
        <f>IF(K19=0,0,1000000*K19/TrRoad_act!K59)</f>
        <v>338.14609611169698</v>
      </c>
      <c r="L110" s="152">
        <f>IF(L19=0,0,1000000*L19/TrRoad_act!L59)</f>
        <v>334.13550224978644</v>
      </c>
      <c r="M110" s="152">
        <f>IF(M19=0,0,1000000*M19/TrRoad_act!M59)</f>
        <v>330.72397847447041</v>
      </c>
      <c r="N110" s="152">
        <f>IF(N19=0,0,1000000*N19/TrRoad_act!N59)</f>
        <v>332.39266673743782</v>
      </c>
      <c r="O110" s="152">
        <f>IF(O19=0,0,1000000*O19/TrRoad_act!O59)</f>
        <v>336.15271893600118</v>
      </c>
      <c r="P110" s="152">
        <f>IF(P19=0,0,1000000*P19/TrRoad_act!P59)</f>
        <v>342.13401971977845</v>
      </c>
      <c r="Q110" s="152">
        <f>IF(Q19=0,0,1000000*Q19/TrRoad_act!Q59)</f>
        <v>342.63983179116138</v>
      </c>
      <c r="R110" s="152">
        <f>IF(R19=0,0,1000000*R19/TrRoad_act!R59)</f>
        <v>340.94296852392756</v>
      </c>
      <c r="S110" s="152">
        <f>IF(S19=0,0,1000000*S19/TrRoad_act!S59)</f>
        <v>315.79693055237215</v>
      </c>
      <c r="T110" s="152">
        <f>IF(T19=0,0,1000000*T19/TrRoad_act!T59)</f>
        <v>296.15519813948629</v>
      </c>
      <c r="U110" s="152">
        <f>IF(U19=0,0,1000000*U19/TrRoad_act!U59)</f>
        <v>313.80047205414053</v>
      </c>
      <c r="V110" s="152">
        <f>IF(V19=0,0,1000000*V19/TrRoad_act!V59)</f>
        <v>266.97935072733588</v>
      </c>
      <c r="W110" s="152">
        <f>IF(W19=0,0,1000000*W19/TrRoad_act!W59)</f>
        <v>262.80800585629453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3187.6578241061025</v>
      </c>
      <c r="C111" s="116">
        <f>IF(C20=0,0,1000000*C20/TrRoad_act!C60)</f>
        <v>3120.6789913006783</v>
      </c>
      <c r="D111" s="116">
        <f>IF(D20=0,0,1000000*D20/TrRoad_act!D60)</f>
        <v>3148.5285773648638</v>
      </c>
      <c r="E111" s="116">
        <f>IF(E20=0,0,1000000*E20/TrRoad_act!E60)</f>
        <v>3202.1513159758142</v>
      </c>
      <c r="F111" s="116">
        <f>IF(F20=0,0,1000000*F20/TrRoad_act!F60)</f>
        <v>3200.6721256710898</v>
      </c>
      <c r="G111" s="116">
        <f>IF(G20=0,0,1000000*G20/TrRoad_act!G60)</f>
        <v>3130.1292265551297</v>
      </c>
      <c r="H111" s="116">
        <f>IF(H20=0,0,1000000*H20/TrRoad_act!H60)</f>
        <v>3079.5661706002788</v>
      </c>
      <c r="I111" s="116">
        <f>IF(I20=0,0,1000000*I20/TrRoad_act!I60)</f>
        <v>3175.472084987523</v>
      </c>
      <c r="J111" s="116">
        <f>IF(J20=0,0,1000000*J20/TrRoad_act!J60)</f>
        <v>3109.0238620557711</v>
      </c>
      <c r="K111" s="116">
        <f>IF(K20=0,0,1000000*K20/TrRoad_act!K60)</f>
        <v>3035.9386095562568</v>
      </c>
      <c r="L111" s="116">
        <f>IF(L20=0,0,1000000*L20/TrRoad_act!L60)</f>
        <v>2937.4911734985499</v>
      </c>
      <c r="M111" s="116">
        <f>IF(M20=0,0,1000000*M20/TrRoad_act!M60)</f>
        <v>2933.3433390007558</v>
      </c>
      <c r="N111" s="116">
        <f>IF(N20=0,0,1000000*N20/TrRoad_act!N60)</f>
        <v>2683.3233406698014</v>
      </c>
      <c r="O111" s="116">
        <f>IF(O20=0,0,1000000*O20/TrRoad_act!O60)</f>
        <v>2628.3476895142326</v>
      </c>
      <c r="P111" s="116">
        <f>IF(P20=0,0,1000000*P20/TrRoad_act!P60)</f>
        <v>2607.4742805088185</v>
      </c>
      <c r="Q111" s="116">
        <f>IF(Q20=0,0,1000000*Q20/TrRoad_act!Q60)</f>
        <v>2790.5522583085226</v>
      </c>
      <c r="R111" s="116">
        <f>IF(R20=0,0,1000000*R20/TrRoad_act!R60)</f>
        <v>2755.5253546300737</v>
      </c>
      <c r="S111" s="116">
        <f>IF(S20=0,0,1000000*S20/TrRoad_act!S60)</f>
        <v>2593.7621557268844</v>
      </c>
      <c r="T111" s="116">
        <f>IF(T20=0,0,1000000*T20/TrRoad_act!T60)</f>
        <v>2537.464660038569</v>
      </c>
      <c r="U111" s="116">
        <f>IF(U20=0,0,1000000*U20/TrRoad_act!U60)</f>
        <v>2453.2874153821385</v>
      </c>
      <c r="V111" s="116">
        <f>IF(V20=0,0,1000000*V20/TrRoad_act!V60)</f>
        <v>2110.3192216050588</v>
      </c>
      <c r="W111" s="116">
        <f>IF(W20=0,0,1000000*W20/TrRoad_act!W60)</f>
        <v>2095.7063058848125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3116.0055679908373</v>
      </c>
      <c r="C112" s="87">
        <f>IF(C21=0,0,1000000*C21/TrRoad_act!C61)</f>
        <v>3051.7680871023917</v>
      </c>
      <c r="D112" s="87">
        <f>IF(D21=0,0,1000000*D21/TrRoad_act!D61)</f>
        <v>3069.3034166641169</v>
      </c>
      <c r="E112" s="87">
        <f>IF(E21=0,0,1000000*E21/TrRoad_act!E61)</f>
        <v>3099.8732262583362</v>
      </c>
      <c r="F112" s="87">
        <f>IF(F21=0,0,1000000*F21/TrRoad_act!F61)</f>
        <v>3065.2671778313111</v>
      </c>
      <c r="G112" s="87">
        <f>IF(G21=0,0,1000000*G21/TrRoad_act!G61)</f>
        <v>2971.3361501564245</v>
      </c>
      <c r="H112" s="87">
        <f>IF(H21=0,0,1000000*H21/TrRoad_act!H61)</f>
        <v>2892.1422062249435</v>
      </c>
      <c r="I112" s="87">
        <f>IF(I21=0,0,1000000*I21/TrRoad_act!I61)</f>
        <v>2932.0979258169973</v>
      </c>
      <c r="J112" s="87">
        <f>IF(J21=0,0,1000000*J21/TrRoad_act!J61)</f>
        <v>2852.6076659438663</v>
      </c>
      <c r="K112" s="87">
        <f>IF(K21=0,0,1000000*K21/TrRoad_act!K61)</f>
        <v>2766.8186219663553</v>
      </c>
      <c r="L112" s="87">
        <f>IF(L21=0,0,1000000*L21/TrRoad_act!L61)</f>
        <v>2614.9092730921911</v>
      </c>
      <c r="M112" s="87">
        <f>IF(M21=0,0,1000000*M21/TrRoad_act!M61)</f>
        <v>2611.5252383461079</v>
      </c>
      <c r="N112" s="87">
        <f>IF(N21=0,0,1000000*N21/TrRoad_act!N61)</f>
        <v>2380.8573549052048</v>
      </c>
      <c r="O112" s="87">
        <f>IF(O21=0,0,1000000*O21/TrRoad_act!O61)</f>
        <v>2340.4707552814552</v>
      </c>
      <c r="P112" s="87">
        <f>IF(P21=0,0,1000000*P21/TrRoad_act!P61)</f>
        <v>2359.3572709168402</v>
      </c>
      <c r="Q112" s="87">
        <f>IF(Q21=0,0,1000000*Q21/TrRoad_act!Q61)</f>
        <v>2553.8653952828322</v>
      </c>
      <c r="R112" s="87">
        <f>IF(R21=0,0,1000000*R21/TrRoad_act!R61)</f>
        <v>2384.6844895817599</v>
      </c>
      <c r="S112" s="87">
        <f>IF(S21=0,0,1000000*S21/TrRoad_act!S61)</f>
        <v>2157.8236734326952</v>
      </c>
      <c r="T112" s="87">
        <f>IF(T21=0,0,1000000*T21/TrRoad_act!T61)</f>
        <v>2070.2203609776502</v>
      </c>
      <c r="U112" s="87">
        <f>IF(U21=0,0,1000000*U21/TrRoad_act!U61)</f>
        <v>2026.7503986132094</v>
      </c>
      <c r="V112" s="87">
        <f>IF(V21=0,0,1000000*V21/TrRoad_act!V61)</f>
        <v>1756.4784380199994</v>
      </c>
      <c r="W112" s="87">
        <f>IF(W21=0,0,1000000*W21/TrRoad_act!W61)</f>
        <v>1789.9105835404914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4237.7349203475032</v>
      </c>
      <c r="C113" s="87">
        <f>IF(C22=0,0,1000000*C22/TrRoad_act!C62)</f>
        <v>3970.1731508690095</v>
      </c>
      <c r="D113" s="87">
        <f>IF(D22=0,0,1000000*D22/TrRoad_act!D62)</f>
        <v>4005.4136581025227</v>
      </c>
      <c r="E113" s="87">
        <f>IF(E22=0,0,1000000*E22/TrRoad_act!E62)</f>
        <v>4294.3414723032847</v>
      </c>
      <c r="F113" s="87">
        <f>IF(F22=0,0,1000000*F22/TrRoad_act!F62)</f>
        <v>4489.2339119502858</v>
      </c>
      <c r="G113" s="87">
        <f>IF(G22=0,0,1000000*G22/TrRoad_act!G62)</f>
        <v>4321.6280039050498</v>
      </c>
      <c r="H113" s="87">
        <f>IF(H22=0,0,1000000*H22/TrRoad_act!H62)</f>
        <v>4289.9783331029521</v>
      </c>
      <c r="I113" s="87">
        <f>IF(I22=0,0,1000000*I22/TrRoad_act!I62)</f>
        <v>4351.1224342351725</v>
      </c>
      <c r="J113" s="87">
        <f>IF(J22=0,0,1000000*J22/TrRoad_act!J62)</f>
        <v>4146.3291143391898</v>
      </c>
      <c r="K113" s="87">
        <f>IF(K22=0,0,1000000*K22/TrRoad_act!K62)</f>
        <v>3996.0703718646073</v>
      </c>
      <c r="L113" s="87">
        <f>IF(L22=0,0,1000000*L22/TrRoad_act!L62)</f>
        <v>3925.9356498437628</v>
      </c>
      <c r="M113" s="87">
        <f>IF(M22=0,0,1000000*M22/TrRoad_act!M62)</f>
        <v>3819.9756858141291</v>
      </c>
      <c r="N113" s="87">
        <f>IF(N22=0,0,1000000*N22/TrRoad_act!N62)</f>
        <v>3426.7911947236339</v>
      </c>
      <c r="O113" s="87">
        <f>IF(O22=0,0,1000000*O22/TrRoad_act!O62)</f>
        <v>3264.2291875531587</v>
      </c>
      <c r="P113" s="87">
        <f>IF(P22=0,0,1000000*P22/TrRoad_act!P62)</f>
        <v>3101.5180197052573</v>
      </c>
      <c r="Q113" s="87">
        <f>IF(Q22=0,0,1000000*Q22/TrRoad_act!Q62)</f>
        <v>3235.6534818381765</v>
      </c>
      <c r="R113" s="87">
        <f>IF(R22=0,0,1000000*R22/TrRoad_act!R62)</f>
        <v>3569.8142523928968</v>
      </c>
      <c r="S113" s="87">
        <f>IF(S22=0,0,1000000*S22/TrRoad_act!S62)</f>
        <v>3559.914527716227</v>
      </c>
      <c r="T113" s="87">
        <f>IF(T22=0,0,1000000*T22/TrRoad_act!T62)</f>
        <v>3592.7761348630156</v>
      </c>
      <c r="U113" s="87">
        <f>IF(U22=0,0,1000000*U22/TrRoad_act!U62)</f>
        <v>3454.6982660267031</v>
      </c>
      <c r="V113" s="87">
        <f>IF(V22=0,0,1000000*V22/TrRoad_act!V62)</f>
        <v>3031.4054140001854</v>
      </c>
      <c r="W113" s="87">
        <f>IF(W22=0,0,1000000*W22/TrRoad_act!W62)</f>
        <v>3131.0150759417743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3399.2853698845697</v>
      </c>
      <c r="C114" s="87">
        <f>IF(C23=0,0,1000000*C23/TrRoad_act!C63)</f>
        <v>3769.870276351518</v>
      </c>
      <c r="D114" s="87">
        <f>IF(D23=0,0,1000000*D23/TrRoad_act!D63)</f>
        <v>4378.70867733257</v>
      </c>
      <c r="E114" s="87">
        <f>IF(E23=0,0,1000000*E23/TrRoad_act!E63)</f>
        <v>4089.8632477108226</v>
      </c>
      <c r="F114" s="87">
        <f>IF(F23=0,0,1000000*F23/TrRoad_act!F63)</f>
        <v>3923.9218268739173</v>
      </c>
      <c r="G114" s="87">
        <f>IF(G23=0,0,1000000*G23/TrRoad_act!G63)</f>
        <v>3794.0707508007554</v>
      </c>
      <c r="H114" s="87">
        <f>IF(H23=0,0,1000000*H23/TrRoad_act!H63)</f>
        <v>3613.1240990635406</v>
      </c>
      <c r="I114" s="87">
        <f>IF(I23=0,0,1000000*I23/TrRoad_act!I63)</f>
        <v>3342.5969851517316</v>
      </c>
      <c r="J114" s="87">
        <f>IF(J23=0,0,1000000*J23/TrRoad_act!J63)</f>
        <v>3162.0963066694776</v>
      </c>
      <c r="K114" s="87">
        <f>IF(K23=0,0,1000000*K23/TrRoad_act!K63)</f>
        <v>3119.6083787511425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0</v>
      </c>
      <c r="S114" s="87">
        <f>IF(S23=0,0,1000000*S23/TrRoad_act!S63)</f>
        <v>0</v>
      </c>
      <c r="T114" s="87">
        <f>IF(T23=0,0,1000000*T23/TrRoad_act!T63)</f>
        <v>0</v>
      </c>
      <c r="U114" s="87">
        <f>IF(U23=0,0,1000000*U23/TrRoad_act!U63)</f>
        <v>0</v>
      </c>
      <c r="V114" s="87">
        <f>IF(V23=0,0,1000000*V23/TrRoad_act!V63)</f>
        <v>0</v>
      </c>
      <c r="W114" s="87">
        <f>IF(W23=0,0,1000000*W23/TrRoad_act!W63)</f>
        <v>0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3160.3592857598887</v>
      </c>
      <c r="R115" s="87">
        <f>IF(R24=0,0,1000000*R24/TrRoad_act!R64)</f>
        <v>3924.7484333966213</v>
      </c>
      <c r="S115" s="87">
        <f>IF(S24=0,0,1000000*S24/TrRoad_act!S64)</f>
        <v>2136.770349569937</v>
      </c>
      <c r="T115" s="87">
        <f>IF(T24=0,0,1000000*T24/TrRoad_act!T64)</f>
        <v>2382.9788754326391</v>
      </c>
      <c r="U115" s="87">
        <f>IF(U24=0,0,1000000*U24/TrRoad_act!U64)</f>
        <v>2170.5269150699132</v>
      </c>
      <c r="V115" s="87">
        <f>IF(V24=0,0,1000000*V24/TrRoad_act!V64)</f>
        <v>2138.3617795380587</v>
      </c>
      <c r="W115" s="87">
        <f>IF(W24=0,0,1000000*W24/TrRoad_act!W64)</f>
        <v>2197.771124831032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664.92693654543393</v>
      </c>
      <c r="O116" s="87">
        <f>IF(O25=0,0,1000000*O25/TrRoad_act!O65)</f>
        <v>777.72452204231672</v>
      </c>
      <c r="P116" s="87">
        <f>IF(P25=0,0,1000000*P25/TrRoad_act!P65)</f>
        <v>372.34112846757972</v>
      </c>
      <c r="Q116" s="87">
        <f>IF(Q25=0,0,1000000*Q25/TrRoad_act!Q65)</f>
        <v>1892.9858906252484</v>
      </c>
      <c r="R116" s="87">
        <f>IF(R25=0,0,1000000*R25/TrRoad_act!R65)</f>
        <v>1034.0124090485249</v>
      </c>
      <c r="S116" s="87">
        <f>IF(S25=0,0,1000000*S25/TrRoad_act!S65)</f>
        <v>762.19428714003641</v>
      </c>
      <c r="T116" s="87">
        <f>IF(T25=0,0,1000000*T25/TrRoad_act!T65)</f>
        <v>602.23136681266749</v>
      </c>
      <c r="U116" s="87">
        <f>IF(U25=0,0,1000000*U25/TrRoad_act!U65)</f>
        <v>540.20695721282812</v>
      </c>
      <c r="V116" s="87">
        <f>IF(V25=0,0,1000000*V25/TrRoad_act!V65)</f>
        <v>424.45258368973123</v>
      </c>
      <c r="W116" s="87">
        <f>IF(W25=0,0,1000000*W25/TrRoad_act!W65)</f>
        <v>430.6155195310713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76130.632457513915</v>
      </c>
      <c r="C118" s="116">
        <f>IF(C27=0,0,1000000*C27/TrRoad_act!C67)</f>
        <v>74073.040044570196</v>
      </c>
      <c r="D118" s="116">
        <f>IF(D27=0,0,1000000*D27/TrRoad_act!D67)</f>
        <v>72065.139447432332</v>
      </c>
      <c r="E118" s="116">
        <f>IF(E27=0,0,1000000*E27/TrRoad_act!E67)</f>
        <v>72313.693673564907</v>
      </c>
      <c r="F118" s="116">
        <f>IF(F27=0,0,1000000*F27/TrRoad_act!F67)</f>
        <v>70786.954821982887</v>
      </c>
      <c r="G118" s="116">
        <f>IF(G27=0,0,1000000*G27/TrRoad_act!G67)</f>
        <v>70384.562268905123</v>
      </c>
      <c r="H118" s="116">
        <f>IF(H27=0,0,1000000*H27/TrRoad_act!H67)</f>
        <v>70146.314022579012</v>
      </c>
      <c r="I118" s="116">
        <f>IF(I27=0,0,1000000*I27/TrRoad_act!I67)</f>
        <v>69696.695420568591</v>
      </c>
      <c r="J118" s="116">
        <f>IF(J27=0,0,1000000*J27/TrRoad_act!J67)</f>
        <v>70870.798794960589</v>
      </c>
      <c r="K118" s="116">
        <f>IF(K27=0,0,1000000*K27/TrRoad_act!K67)</f>
        <v>71730.771276368701</v>
      </c>
      <c r="L118" s="116">
        <f>IF(L27=0,0,1000000*L27/TrRoad_act!L67)</f>
        <v>73352.742879202589</v>
      </c>
      <c r="M118" s="116">
        <f>IF(M27=0,0,1000000*M27/TrRoad_act!M67)</f>
        <v>71594.850895459705</v>
      </c>
      <c r="N118" s="116">
        <f>IF(N27=0,0,1000000*N27/TrRoad_act!N67)</f>
        <v>67618.317463758998</v>
      </c>
      <c r="O118" s="116">
        <f>IF(O27=0,0,1000000*O27/TrRoad_act!O67)</f>
        <v>65734.057309728014</v>
      </c>
      <c r="P118" s="116">
        <f>IF(P27=0,0,1000000*P27/TrRoad_act!P67)</f>
        <v>67505.735440457996</v>
      </c>
      <c r="Q118" s="116">
        <f>IF(Q27=0,0,1000000*Q27/TrRoad_act!Q67)</f>
        <v>69415.256561617454</v>
      </c>
      <c r="R118" s="116">
        <f>IF(R27=0,0,1000000*R27/TrRoad_act!R67)</f>
        <v>71960.757487956827</v>
      </c>
      <c r="S118" s="116">
        <f>IF(S27=0,0,1000000*S27/TrRoad_act!S67)</f>
        <v>74812.320671280017</v>
      </c>
      <c r="T118" s="116">
        <f>IF(T27=0,0,1000000*T27/TrRoad_act!T67)</f>
        <v>76756.040285732743</v>
      </c>
      <c r="U118" s="116">
        <f>IF(U27=0,0,1000000*U27/TrRoad_act!U67)</f>
        <v>74910.852739624141</v>
      </c>
      <c r="V118" s="116">
        <f>IF(V27=0,0,1000000*V27/TrRoad_act!V67)</f>
        <v>78886.273843677278</v>
      </c>
      <c r="W118" s="116">
        <f>IF(W27=0,0,1000000*W27/TrRoad_act!W67)</f>
        <v>80462.75156459643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26596.407696010079</v>
      </c>
      <c r="C119" s="101">
        <f>IF(C28=0,0,1000000*C28/TrRoad_act!C68)</f>
        <v>26986.404736403088</v>
      </c>
      <c r="D119" s="101">
        <f>IF(D28=0,0,1000000*D28/TrRoad_act!D68)</f>
        <v>27046.540574548399</v>
      </c>
      <c r="E119" s="101">
        <f>IF(E28=0,0,1000000*E28/TrRoad_act!E68)</f>
        <v>27045.327724455219</v>
      </c>
      <c r="F119" s="101">
        <f>IF(F28=0,0,1000000*F28/TrRoad_act!F68)</f>
        <v>27035.287004143654</v>
      </c>
      <c r="G119" s="101">
        <f>IF(G28=0,0,1000000*G28/TrRoad_act!G68)</f>
        <v>27513.465093491573</v>
      </c>
      <c r="H119" s="101">
        <f>IF(H28=0,0,1000000*H28/TrRoad_act!H68)</f>
        <v>27594.495189585425</v>
      </c>
      <c r="I119" s="101">
        <f>IF(I28=0,0,1000000*I28/TrRoad_act!I68)</f>
        <v>27353.781262869794</v>
      </c>
      <c r="J119" s="101">
        <f>IF(J28=0,0,1000000*J28/TrRoad_act!J68)</f>
        <v>27660.775335575425</v>
      </c>
      <c r="K119" s="101">
        <f>IF(K28=0,0,1000000*K28/TrRoad_act!K68)</f>
        <v>26698.856229724603</v>
      </c>
      <c r="L119" s="101">
        <f>IF(L28=0,0,1000000*L28/TrRoad_act!L68)</f>
        <v>25698.910193418673</v>
      </c>
      <c r="M119" s="101">
        <f>IF(M28=0,0,1000000*M28/TrRoad_act!M68)</f>
        <v>24844.405248200328</v>
      </c>
      <c r="N119" s="101">
        <f>IF(N28=0,0,1000000*N28/TrRoad_act!N68)</f>
        <v>24223.066527810905</v>
      </c>
      <c r="O119" s="101">
        <f>IF(O28=0,0,1000000*O28/TrRoad_act!O68)</f>
        <v>23973.757577955414</v>
      </c>
      <c r="P119" s="101">
        <f>IF(P28=0,0,1000000*P28/TrRoad_act!P68)</f>
        <v>23896.420904612245</v>
      </c>
      <c r="Q119" s="101">
        <f>IF(Q28=0,0,1000000*Q28/TrRoad_act!Q68)</f>
        <v>23589.119341213096</v>
      </c>
      <c r="R119" s="101">
        <f>IF(R28=0,0,1000000*R28/TrRoad_act!R68)</f>
        <v>23799.083907137545</v>
      </c>
      <c r="S119" s="101">
        <f>IF(S28=0,0,1000000*S28/TrRoad_act!S68)</f>
        <v>23794.17645154829</v>
      </c>
      <c r="T119" s="101">
        <f>IF(T28=0,0,1000000*T28/TrRoad_act!T68)</f>
        <v>23677.90537286274</v>
      </c>
      <c r="U119" s="101">
        <f>IF(U28=0,0,1000000*U28/TrRoad_act!U68)</f>
        <v>22772.984796645149</v>
      </c>
      <c r="V119" s="101">
        <f>IF(V28=0,0,1000000*V28/TrRoad_act!V68)</f>
        <v>22739.436470509369</v>
      </c>
      <c r="W119" s="101">
        <f>IF(W28=0,0,1000000*W28/TrRoad_act!W68)</f>
        <v>23017.495680146123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82488.971834364202</v>
      </c>
      <c r="C120" s="101">
        <f>IF(C29=0,0,1000000*C29/TrRoad_act!C69)</f>
        <v>80124.043967310005</v>
      </c>
      <c r="D120" s="101">
        <f>IF(D29=0,0,1000000*D29/TrRoad_act!D69)</f>
        <v>77786.336193547089</v>
      </c>
      <c r="E120" s="101">
        <f>IF(E29=0,0,1000000*E29/TrRoad_act!E69)</f>
        <v>75772.005125081167</v>
      </c>
      <c r="F120" s="101">
        <f>IF(F29=0,0,1000000*F29/TrRoad_act!F69)</f>
        <v>73487.472998678786</v>
      </c>
      <c r="G120" s="101">
        <f>IF(G29=0,0,1000000*G29/TrRoad_act!G69)</f>
        <v>72779.560512868848</v>
      </c>
      <c r="H120" s="101">
        <f>IF(H29=0,0,1000000*H29/TrRoad_act!H69)</f>
        <v>72448.828232520784</v>
      </c>
      <c r="I120" s="101">
        <f>IF(I29=0,0,1000000*I29/TrRoad_act!I69)</f>
        <v>71902.279834013563</v>
      </c>
      <c r="J120" s="101">
        <f>IF(J29=0,0,1000000*J29/TrRoad_act!J69)</f>
        <v>73066.960097811621</v>
      </c>
      <c r="K120" s="101">
        <f>IF(K29=0,0,1000000*K29/TrRoad_act!K69)</f>
        <v>73941.505881001154</v>
      </c>
      <c r="L120" s="101">
        <f>IF(L29=0,0,1000000*L29/TrRoad_act!L69)</f>
        <v>75615.086117482817</v>
      </c>
      <c r="M120" s="101">
        <f>IF(M29=0,0,1000000*M29/TrRoad_act!M69)</f>
        <v>73828.386205261486</v>
      </c>
      <c r="N120" s="101">
        <f>IF(N29=0,0,1000000*N29/TrRoad_act!N69)</f>
        <v>69716.727327877757</v>
      </c>
      <c r="O120" s="101">
        <f>IF(O29=0,0,1000000*O29/TrRoad_act!O69)</f>
        <v>67926.738022167221</v>
      </c>
      <c r="P120" s="101">
        <f>IF(P29=0,0,1000000*P29/TrRoad_act!P69)</f>
        <v>69530.830433732655</v>
      </c>
      <c r="Q120" s="101">
        <f>IF(Q29=0,0,1000000*Q29/TrRoad_act!Q69)</f>
        <v>71240.585738379523</v>
      </c>
      <c r="R120" s="101">
        <f>IF(R29=0,0,1000000*R29/TrRoad_act!R69)</f>
        <v>73732.213191610252</v>
      </c>
      <c r="S120" s="101">
        <f>IF(S29=0,0,1000000*S29/TrRoad_act!S69)</f>
        <v>76430.525197667201</v>
      </c>
      <c r="T120" s="101">
        <f>IF(T29=0,0,1000000*T29/TrRoad_act!T69)</f>
        <v>78103.069239569464</v>
      </c>
      <c r="U120" s="101">
        <f>IF(U29=0,0,1000000*U29/TrRoad_act!U69)</f>
        <v>76681.281603142575</v>
      </c>
      <c r="V120" s="101">
        <f>IF(V29=0,0,1000000*V29/TrRoad_act!V69)</f>
        <v>80961.385613190592</v>
      </c>
      <c r="W120" s="101">
        <f>IF(W29=0,0,1000000*W29/TrRoad_act!W69)</f>
        <v>84035.705245251418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94854.081238205705</v>
      </c>
      <c r="R122" s="101">
        <f>IF(R31=0,0,1000000*R31/TrRoad_act!R71)</f>
        <v>82138.598525251233</v>
      </c>
      <c r="S122" s="101">
        <f>IF(S31=0,0,1000000*S31/TrRoad_act!S71)</f>
        <v>88098.675709896066</v>
      </c>
      <c r="T122" s="101">
        <f>IF(T31=0,0,1000000*T31/TrRoad_act!T71)</f>
        <v>108032.865402089</v>
      </c>
      <c r="U122" s="101">
        <f>IF(U31=0,0,1000000*U31/TrRoad_act!U71)</f>
        <v>109036.90630946722</v>
      </c>
      <c r="V122" s="101">
        <f>IF(V31=0,0,1000000*V31/TrRoad_act!V71)</f>
        <v>97089.855149374751</v>
      </c>
      <c r="W122" s="101">
        <f>IF(W31=0,0,1000000*W31/TrRoad_act!W71)</f>
        <v>110943.54459123949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5529.4114824971348</v>
      </c>
      <c r="C125" s="152">
        <f>IF(C34=0,0,1000000*C34/TrRoad_act!C74)</f>
        <v>5614.9562324177105</v>
      </c>
      <c r="D125" s="152">
        <f>IF(D34=0,0,1000000*D34/TrRoad_act!D74)</f>
        <v>5448.9063528844508</v>
      </c>
      <c r="E125" s="152">
        <f>IF(E34=0,0,1000000*E34/TrRoad_act!E74)</f>
        <v>5386.5861242793599</v>
      </c>
      <c r="F125" s="152">
        <f>IF(F34=0,0,1000000*F34/TrRoad_act!F74)</f>
        <v>5400.2912077551409</v>
      </c>
      <c r="G125" s="152">
        <f>IF(G34=0,0,1000000*G34/TrRoad_act!G74)</f>
        <v>5240.558675605982</v>
      </c>
      <c r="H125" s="152">
        <f>IF(H34=0,0,1000000*H34/TrRoad_act!H74)</f>
        <v>5161.2778175021149</v>
      </c>
      <c r="I125" s="152">
        <f>IF(I34=0,0,1000000*I34/TrRoad_act!I74)</f>
        <v>5315.1128833446937</v>
      </c>
      <c r="J125" s="152">
        <f>IF(J34=0,0,1000000*J34/TrRoad_act!J74)</f>
        <v>5242.9073753376506</v>
      </c>
      <c r="K125" s="152">
        <f>IF(K34=0,0,1000000*K34/TrRoad_act!K74)</f>
        <v>5042.8490090723935</v>
      </c>
      <c r="L125" s="152">
        <f>IF(L34=0,0,1000000*L34/TrRoad_act!L74)</f>
        <v>5092.8525982060664</v>
      </c>
      <c r="M125" s="152">
        <f>IF(M34=0,0,1000000*M34/TrRoad_act!M74)</f>
        <v>4614.2990255937893</v>
      </c>
      <c r="N125" s="152">
        <f>IF(N34=0,0,1000000*N34/TrRoad_act!N74)</f>
        <v>4200.9514638393675</v>
      </c>
      <c r="O125" s="152">
        <f>IF(O34=0,0,1000000*O34/TrRoad_act!O74)</f>
        <v>4080.3390843884467</v>
      </c>
      <c r="P125" s="152">
        <f>IF(P34=0,0,1000000*P34/TrRoad_act!P74)</f>
        <v>3926.0452343553707</v>
      </c>
      <c r="Q125" s="152">
        <f>IF(Q34=0,0,1000000*Q34/TrRoad_act!Q74)</f>
        <v>3893.2482857147011</v>
      </c>
      <c r="R125" s="152">
        <f>IF(R34=0,0,1000000*R34/TrRoad_act!R74)</f>
        <v>3864.9976828345034</v>
      </c>
      <c r="S125" s="152">
        <f>IF(S34=0,0,1000000*S34/TrRoad_act!S74)</f>
        <v>3947.2841906972694</v>
      </c>
      <c r="T125" s="152">
        <f>IF(T34=0,0,1000000*T34/TrRoad_act!T74)</f>
        <v>4045.8603588329356</v>
      </c>
      <c r="U125" s="152">
        <f>IF(U34=0,0,1000000*U34/TrRoad_act!U74)</f>
        <v>3903.8699191671367</v>
      </c>
      <c r="V125" s="152">
        <f>IF(V34=0,0,1000000*V34/TrRoad_act!V74)</f>
        <v>3643.628735541427</v>
      </c>
      <c r="W125" s="152">
        <f>IF(W34=0,0,1000000*W34/TrRoad_act!W74)</f>
        <v>3769.8021240745556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5052.7241036251917</v>
      </c>
      <c r="C126" s="87">
        <f>IF(C35=0,0,1000000*C35/TrRoad_act!C75)</f>
        <v>5539.8848683911674</v>
      </c>
      <c r="D126" s="87">
        <f>IF(D35=0,0,1000000*D35/TrRoad_act!D75)</f>
        <v>5391.2863735597293</v>
      </c>
      <c r="E126" s="87">
        <f>IF(E35=0,0,1000000*E35/TrRoad_act!E75)</f>
        <v>5051.7493812560724</v>
      </c>
      <c r="F126" s="87">
        <f>IF(F35=0,0,1000000*F35/TrRoad_act!F75)</f>
        <v>4988.3770454031328</v>
      </c>
      <c r="G126" s="87">
        <f>IF(G35=0,0,1000000*G35/TrRoad_act!G75)</f>
        <v>4829.0025865210446</v>
      </c>
      <c r="H126" s="87">
        <f>IF(H35=0,0,1000000*H35/TrRoad_act!H75)</f>
        <v>4588.5860446917168</v>
      </c>
      <c r="I126" s="87">
        <f>IF(I35=0,0,1000000*I35/TrRoad_act!I75)</f>
        <v>4821.6642449963547</v>
      </c>
      <c r="J126" s="87">
        <f>IF(J35=0,0,1000000*J35/TrRoad_act!J75)</f>
        <v>4555.5766151350317</v>
      </c>
      <c r="K126" s="87">
        <f>IF(K35=0,0,1000000*K35/TrRoad_act!K75)</f>
        <v>4327.8062802048662</v>
      </c>
      <c r="L126" s="87">
        <f>IF(L35=0,0,1000000*L35/TrRoad_act!L75)</f>
        <v>4174.017086546527</v>
      </c>
      <c r="M126" s="87">
        <f>IF(M35=0,0,1000000*M35/TrRoad_act!M75)</f>
        <v>3702.5005544905603</v>
      </c>
      <c r="N126" s="87">
        <f>IF(N35=0,0,1000000*N35/TrRoad_act!N75)</f>
        <v>3365.2836608706766</v>
      </c>
      <c r="O126" s="87">
        <f>IF(O35=0,0,1000000*O35/TrRoad_act!O75)</f>
        <v>3379.9990143883801</v>
      </c>
      <c r="P126" s="87">
        <f>IF(P35=0,0,1000000*P35/TrRoad_act!P75)</f>
        <v>3458.8464028844564</v>
      </c>
      <c r="Q126" s="87">
        <f>IF(Q35=0,0,1000000*Q35/TrRoad_act!Q75)</f>
        <v>3616.6093783008332</v>
      </c>
      <c r="R126" s="87">
        <f>IF(R35=0,0,1000000*R35/TrRoad_act!R75)</f>
        <v>3573.0409867173626</v>
      </c>
      <c r="S126" s="87">
        <f>IF(S35=0,0,1000000*S35/TrRoad_act!S75)</f>
        <v>3587.7187581840958</v>
      </c>
      <c r="T126" s="87">
        <f>IF(T35=0,0,1000000*T35/TrRoad_act!T75)</f>
        <v>3477.3769228398783</v>
      </c>
      <c r="U126" s="87">
        <f>IF(U35=0,0,1000000*U35/TrRoad_act!U75)</f>
        <v>3413.5065555481806</v>
      </c>
      <c r="V126" s="87">
        <f>IF(V35=0,0,1000000*V35/TrRoad_act!V75)</f>
        <v>3034.489058364255</v>
      </c>
      <c r="W126" s="87">
        <f>IF(W35=0,0,1000000*W35/TrRoad_act!W75)</f>
        <v>3260.5777981374117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5655.5664900809197</v>
      </c>
      <c r="C127" s="87">
        <f>IF(C36=0,0,1000000*C36/TrRoad_act!C76)</f>
        <v>5635.127840322828</v>
      </c>
      <c r="D127" s="87">
        <f>IF(D36=0,0,1000000*D36/TrRoad_act!D76)</f>
        <v>5464.368594907447</v>
      </c>
      <c r="E127" s="87">
        <f>IF(E36=0,0,1000000*E36/TrRoad_act!E76)</f>
        <v>5468.0104543003481</v>
      </c>
      <c r="F127" s="87">
        <f>IF(F36=0,0,1000000*F36/TrRoad_act!F76)</f>
        <v>5493.2636079108079</v>
      </c>
      <c r="G127" s="87">
        <f>IF(G36=0,0,1000000*G36/TrRoad_act!G76)</f>
        <v>5326.0710624750209</v>
      </c>
      <c r="H127" s="87">
        <f>IF(H36=0,0,1000000*H36/TrRoad_act!H76)</f>
        <v>5270.9039134898112</v>
      </c>
      <c r="I127" s="87">
        <f>IF(I36=0,0,1000000*I36/TrRoad_act!I76)</f>
        <v>5394.9610175298858</v>
      </c>
      <c r="J127" s="87">
        <f>IF(J36=0,0,1000000*J36/TrRoad_act!J76)</f>
        <v>5346.2873679768236</v>
      </c>
      <c r="K127" s="87">
        <f>IF(K36=0,0,1000000*K36/TrRoad_act!K76)</f>
        <v>5145.879070473572</v>
      </c>
      <c r="L127" s="87">
        <f>IF(L36=0,0,1000000*L36/TrRoad_act!L76)</f>
        <v>5216.4724802510245</v>
      </c>
      <c r="M127" s="87">
        <f>IF(M36=0,0,1000000*M36/TrRoad_act!M76)</f>
        <v>4733.1583325263973</v>
      </c>
      <c r="N127" s="87">
        <f>IF(N36=0,0,1000000*N36/TrRoad_act!N76)</f>
        <v>4301.6785127228723</v>
      </c>
      <c r="O127" s="87">
        <f>IF(O36=0,0,1000000*O36/TrRoad_act!O76)</f>
        <v>4159.0521625332831</v>
      </c>
      <c r="P127" s="87">
        <f>IF(P36=0,0,1000000*P36/TrRoad_act!P76)</f>
        <v>3973.0493683599598</v>
      </c>
      <c r="Q127" s="87">
        <f>IF(Q36=0,0,1000000*Q36/TrRoad_act!Q76)</f>
        <v>3924.2041789863197</v>
      </c>
      <c r="R127" s="87">
        <f>IF(R36=0,0,1000000*R36/TrRoad_act!R76)</f>
        <v>3896.2525301211426</v>
      </c>
      <c r="S127" s="87">
        <f>IF(S36=0,0,1000000*S36/TrRoad_act!S76)</f>
        <v>3983.8655603510151</v>
      </c>
      <c r="T127" s="87">
        <f>IF(T36=0,0,1000000*T36/TrRoad_act!T76)</f>
        <v>4096.1182535905618</v>
      </c>
      <c r="U127" s="87">
        <f>IF(U36=0,0,1000000*U36/TrRoad_act!U76)</f>
        <v>3948.8784230867896</v>
      </c>
      <c r="V127" s="87">
        <f>IF(V36=0,0,1000000*V36/TrRoad_act!V76)</f>
        <v>3699.5077355568565</v>
      </c>
      <c r="W127" s="87">
        <f>IF(W36=0,0,1000000*W36/TrRoad_act!W76)</f>
        <v>3837.3798588166164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4758.4591800238213</v>
      </c>
      <c r="C128" s="87">
        <f>IF(C37=0,0,1000000*C37/TrRoad_act!C77)</f>
        <v>4504.5206156929071</v>
      </c>
      <c r="D128" s="87">
        <f>IF(D37=0,0,1000000*D37/TrRoad_act!D77)</f>
        <v>4132.8962181222123</v>
      </c>
      <c r="E128" s="87">
        <f>IF(E37=0,0,1000000*E37/TrRoad_act!E77)</f>
        <v>4193.1309510576812</v>
      </c>
      <c r="F128" s="87">
        <f>IF(F37=0,0,1000000*F37/TrRoad_act!F77)</f>
        <v>4411.6405305656826</v>
      </c>
      <c r="G128" s="87">
        <f>IF(G37=0,0,1000000*G37/TrRoad_act!G77)</f>
        <v>4131.855725794725</v>
      </c>
      <c r="H128" s="87">
        <f>IF(H37=0,0,1000000*H37/TrRoad_act!H77)</f>
        <v>3829.8062004142466</v>
      </c>
      <c r="I128" s="87">
        <f>IF(I37=0,0,1000000*I37/TrRoad_act!I77)</f>
        <v>3724.1976409091176</v>
      </c>
      <c r="J128" s="87">
        <f>IF(J37=0,0,1000000*J37/TrRoad_act!J77)</f>
        <v>3726.2577517780464</v>
      </c>
      <c r="K128" s="87">
        <f>IF(K37=0,0,1000000*K37/TrRoad_act!K77)</f>
        <v>3506.2755919206743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2312.4998717485059</v>
      </c>
      <c r="R129" s="87">
        <f>IF(R38=0,0,1000000*R38/TrRoad_act!R78)</f>
        <v>2267.3705407794969</v>
      </c>
      <c r="S129" s="87">
        <f>IF(S38=0,0,1000000*S38/TrRoad_act!S78)</f>
        <v>2139.8822234719764</v>
      </c>
      <c r="T129" s="87">
        <f>IF(T38=0,0,1000000*T38/TrRoad_act!T78)</f>
        <v>2234.4531184559883</v>
      </c>
      <c r="U129" s="87">
        <f>IF(U38=0,0,1000000*U38/TrRoad_act!U78)</f>
        <v>2009.3253281295156</v>
      </c>
      <c r="V129" s="87">
        <f>IF(V38=0,0,1000000*V38/TrRoad_act!V78)</f>
        <v>2110.0263079262527</v>
      </c>
      <c r="W129" s="87">
        <f>IF(W38=0,0,1000000*W38/TrRoad_act!W78)</f>
        <v>2202.8684110537947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53563.74199705608</v>
      </c>
      <c r="C131" s="116">
        <f>IF(C40=0,0,1000000*C40/TrRoad_act!C80)</f>
        <v>54173.61010017919</v>
      </c>
      <c r="D131" s="116">
        <f>IF(D40=0,0,1000000*D40/TrRoad_act!D80)</f>
        <v>53553.523935129728</v>
      </c>
      <c r="E131" s="116">
        <f>IF(E40=0,0,1000000*E40/TrRoad_act!E80)</f>
        <v>59949.764992888049</v>
      </c>
      <c r="F131" s="116">
        <f>IF(F40=0,0,1000000*F40/TrRoad_act!F80)</f>
        <v>62116.198866112012</v>
      </c>
      <c r="G131" s="116">
        <f>IF(G40=0,0,1000000*G40/TrRoad_act!G80)</f>
        <v>55073.062853005235</v>
      </c>
      <c r="H131" s="116">
        <f>IF(H40=0,0,1000000*H40/TrRoad_act!H80)</f>
        <v>54644.275041430359</v>
      </c>
      <c r="I131" s="116">
        <f>IF(I40=0,0,1000000*I40/TrRoad_act!I80)</f>
        <v>50637.058156575404</v>
      </c>
      <c r="J131" s="116">
        <f>IF(J40=0,0,1000000*J40/TrRoad_act!J80)</f>
        <v>46883.305614088313</v>
      </c>
      <c r="K131" s="116">
        <f>IF(K40=0,0,1000000*K40/TrRoad_act!K80)</f>
        <v>43391.091157103074</v>
      </c>
      <c r="L131" s="116">
        <f>IF(L40=0,0,1000000*L40/TrRoad_act!L80)</f>
        <v>44658.285955025574</v>
      </c>
      <c r="M131" s="116">
        <f>IF(M40=0,0,1000000*M40/TrRoad_act!M80)</f>
        <v>44039.954110722028</v>
      </c>
      <c r="N131" s="116">
        <f>IF(N40=0,0,1000000*N40/TrRoad_act!N80)</f>
        <v>39407.609118607303</v>
      </c>
      <c r="O131" s="116">
        <f>IF(O40=0,0,1000000*O40/TrRoad_act!O80)</f>
        <v>38782.4090411828</v>
      </c>
      <c r="P131" s="116">
        <f>IF(P40=0,0,1000000*P40/TrRoad_act!P80)</f>
        <v>41986.362261573762</v>
      </c>
      <c r="Q131" s="116">
        <f>IF(Q40=0,0,1000000*Q40/TrRoad_act!Q80)</f>
        <v>44695.288216708534</v>
      </c>
      <c r="R131" s="116">
        <f>IF(R40=0,0,1000000*R40/TrRoad_act!R80)</f>
        <v>48951.342746272341</v>
      </c>
      <c r="S131" s="116">
        <f>IF(S40=0,0,1000000*S40/TrRoad_act!S80)</f>
        <v>49005.154773998314</v>
      </c>
      <c r="T131" s="116">
        <f>IF(T40=0,0,1000000*T40/TrRoad_act!T80)</f>
        <v>51094.263814419603</v>
      </c>
      <c r="U131" s="116">
        <f>IF(U40=0,0,1000000*U40/TrRoad_act!U80)</f>
        <v>48619.821687410149</v>
      </c>
      <c r="V131" s="116">
        <f>IF(V40=0,0,1000000*V40/TrRoad_act!V80)</f>
        <v>46699.851051727717</v>
      </c>
      <c r="W131" s="116">
        <f>IF(W40=0,0,1000000*W40/TrRoad_act!W80)</f>
        <v>47460.302472683441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42534.994381546901</v>
      </c>
      <c r="C132" s="101">
        <f>IF(C41=0,0,1000000*C41/TrRoad_act!C81)</f>
        <v>42053.383968326103</v>
      </c>
      <c r="D132" s="101">
        <f>IF(D41=0,0,1000000*D41/TrRoad_act!D81)</f>
        <v>40368.852261487686</v>
      </c>
      <c r="E132" s="101">
        <f>IF(E41=0,0,1000000*E41/TrRoad_act!E81)</f>
        <v>43197.123919219121</v>
      </c>
      <c r="F132" s="101">
        <f>IF(F41=0,0,1000000*F41/TrRoad_act!F81)</f>
        <v>40611.578801039592</v>
      </c>
      <c r="G132" s="101">
        <f>IF(G41=0,0,1000000*G41/TrRoad_act!G81)</f>
        <v>35148.267478748305</v>
      </c>
      <c r="H132" s="101">
        <f>IF(H41=0,0,1000000*H41/TrRoad_act!H81)</f>
        <v>35224.68187917809</v>
      </c>
      <c r="I132" s="101">
        <f>IF(I41=0,0,1000000*I41/TrRoad_act!I81)</f>
        <v>32282.553219816917</v>
      </c>
      <c r="J132" s="101">
        <f>IF(J41=0,0,1000000*J41/TrRoad_act!J81)</f>
        <v>30845.872537429856</v>
      </c>
      <c r="K132" s="101">
        <f>IF(K41=0,0,1000000*K41/TrRoad_act!K81)</f>
        <v>28599.92894406338</v>
      </c>
      <c r="L132" s="101">
        <f>IF(L41=0,0,1000000*L41/TrRoad_act!L81)</f>
        <v>29345.803809492107</v>
      </c>
      <c r="M132" s="101">
        <f>IF(M41=0,0,1000000*M41/TrRoad_act!M81)</f>
        <v>30109.981825748688</v>
      </c>
      <c r="N132" s="101">
        <f>IF(N41=0,0,1000000*N41/TrRoad_act!N81)</f>
        <v>29319.809877669264</v>
      </c>
      <c r="O132" s="101">
        <f>IF(O41=0,0,1000000*O41/TrRoad_act!O81)</f>
        <v>29151.017661969967</v>
      </c>
      <c r="P132" s="101">
        <f>IF(P41=0,0,1000000*P41/TrRoad_act!P81)</f>
        <v>30287.437941537395</v>
      </c>
      <c r="Q132" s="101">
        <f>IF(Q41=0,0,1000000*Q41/TrRoad_act!Q81)</f>
        <v>33704.419511366024</v>
      </c>
      <c r="R132" s="101">
        <f>IF(R41=0,0,1000000*R41/TrRoad_act!R81)</f>
        <v>33634.965035535111</v>
      </c>
      <c r="S132" s="101">
        <f>IF(S41=0,0,1000000*S41/TrRoad_act!S81)</f>
        <v>31689.314237255629</v>
      </c>
      <c r="T132" s="101">
        <f>IF(T41=0,0,1000000*T41/TrRoad_act!T81)</f>
        <v>31098.481716818424</v>
      </c>
      <c r="U132" s="101">
        <f>IF(U41=0,0,1000000*U41/TrRoad_act!U81)</f>
        <v>30367.941430263032</v>
      </c>
      <c r="V132" s="101">
        <f>IF(V41=0,0,1000000*V41/TrRoad_act!V81)</f>
        <v>30069.927112020356</v>
      </c>
      <c r="W132" s="101">
        <f>IF(W41=0,0,1000000*W41/TrRoad_act!W81)</f>
        <v>29868.403394228841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171010.85354732748</v>
      </c>
      <c r="C133" s="88">
        <f>IF(C42=0,0,1000000*C42/TrRoad_act!C82)</f>
        <v>179696.47690693752</v>
      </c>
      <c r="D133" s="88">
        <f>IF(D42=0,0,1000000*D42/TrRoad_act!D82)</f>
        <v>187287.68003039065</v>
      </c>
      <c r="E133" s="88">
        <f>IF(E42=0,0,1000000*E42/TrRoad_act!E82)</f>
        <v>228608.91658509235</v>
      </c>
      <c r="F133" s="88">
        <f>IF(F42=0,0,1000000*F42/TrRoad_act!F82)</f>
        <v>251408.64037633879</v>
      </c>
      <c r="G133" s="88">
        <f>IF(G42=0,0,1000000*G42/TrRoad_act!G82)</f>
        <v>248125.04262896415</v>
      </c>
      <c r="H133" s="88">
        <f>IF(H42=0,0,1000000*H42/TrRoad_act!H82)</f>
        <v>236764.40940866267</v>
      </c>
      <c r="I133" s="88">
        <f>IF(I42=0,0,1000000*I42/TrRoad_act!I82)</f>
        <v>231414.3912452246</v>
      </c>
      <c r="J133" s="88">
        <f>IF(J42=0,0,1000000*J42/TrRoad_act!J82)</f>
        <v>169015.41681475932</v>
      </c>
      <c r="K133" s="88">
        <f>IF(K42=0,0,1000000*K42/TrRoad_act!K82)</f>
        <v>165606.09684782781</v>
      </c>
      <c r="L133" s="88">
        <f>IF(L42=0,0,1000000*L42/TrRoad_act!L82)</f>
        <v>179792.66994109127</v>
      </c>
      <c r="M133" s="88">
        <f>IF(M42=0,0,1000000*M42/TrRoad_act!M82)</f>
        <v>168613.9298961382</v>
      </c>
      <c r="N133" s="88">
        <f>IF(N42=0,0,1000000*N42/TrRoad_act!N82)</f>
        <v>129847.69178707818</v>
      </c>
      <c r="O133" s="88">
        <f>IF(O42=0,0,1000000*O42/TrRoad_act!O82)</f>
        <v>113794.71886844754</v>
      </c>
      <c r="P133" s="88">
        <f>IF(P42=0,0,1000000*P42/TrRoad_act!P82)</f>
        <v>140051.18940777506</v>
      </c>
      <c r="Q133" s="88">
        <f>IF(Q42=0,0,1000000*Q42/TrRoad_act!Q82)</f>
        <v>122414.87269834187</v>
      </c>
      <c r="R133" s="88">
        <f>IF(R42=0,0,1000000*R42/TrRoad_act!R82)</f>
        <v>144655.91834782998</v>
      </c>
      <c r="S133" s="88">
        <f>IF(S42=0,0,1000000*S42/TrRoad_act!S82)</f>
        <v>156325.60155939445</v>
      </c>
      <c r="T133" s="88">
        <f>IF(T42=0,0,1000000*T42/TrRoad_act!T82)</f>
        <v>186356.91292889154</v>
      </c>
      <c r="U133" s="88">
        <f>IF(U42=0,0,1000000*U42/TrRoad_act!U82)</f>
        <v>171573.38665279825</v>
      </c>
      <c r="V133" s="88">
        <f>IF(V42=0,0,1000000*V42/TrRoad_act!V82)</f>
        <v>149986.5223710539</v>
      </c>
      <c r="W133" s="88">
        <f>IF(W42=0,0,1000000*W42/TrRoad_act!W82)</f>
        <v>158371.60498846669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0.63778596161599255</v>
      </c>
      <c r="C136" s="46">
        <f t="shared" si="40"/>
        <v>0.62373068214975935</v>
      </c>
      <c r="D136" s="46">
        <f t="shared" si="40"/>
        <v>0.62441446330421613</v>
      </c>
      <c r="E136" s="46">
        <f t="shared" si="40"/>
        <v>0.61035217901970229</v>
      </c>
      <c r="F136" s="46">
        <f t="shared" si="40"/>
        <v>0.59460895723940466</v>
      </c>
      <c r="G136" s="46">
        <f t="shared" si="40"/>
        <v>0.59127365368929241</v>
      </c>
      <c r="H136" s="46">
        <f t="shared" si="40"/>
        <v>0.58127456975217118</v>
      </c>
      <c r="I136" s="46">
        <f t="shared" si="40"/>
        <v>0.58018926639198443</v>
      </c>
      <c r="J136" s="46">
        <f t="shared" si="40"/>
        <v>0.59145557199213994</v>
      </c>
      <c r="K136" s="46">
        <f t="shared" si="40"/>
        <v>0.61829113164808158</v>
      </c>
      <c r="L136" s="46">
        <f t="shared" si="41"/>
        <v>0.6182347581895713</v>
      </c>
      <c r="M136" s="46">
        <f t="shared" si="40"/>
        <v>0.63815671322401057</v>
      </c>
      <c r="N136" s="46">
        <f t="shared" si="40"/>
        <v>0.64898620828393028</v>
      </c>
      <c r="O136" s="46">
        <f t="shared" si="40"/>
        <v>0.65641880414586917</v>
      </c>
      <c r="P136" s="46">
        <f t="shared" si="40"/>
        <v>0.65630396306164673</v>
      </c>
      <c r="Q136" s="46">
        <f t="shared" si="40"/>
        <v>0.68257374983755614</v>
      </c>
      <c r="R136" s="46">
        <f t="shared" si="40"/>
        <v>0.66521737654666202</v>
      </c>
      <c r="S136" s="46">
        <f t="shared" si="40"/>
        <v>0.66058289586222985</v>
      </c>
      <c r="T136" s="46">
        <f t="shared" si="40"/>
        <v>0.65936779027426884</v>
      </c>
      <c r="U136" s="46">
        <f t="shared" si="40"/>
        <v>0.66717009756730639</v>
      </c>
      <c r="V136" s="46">
        <f t="shared" si="40"/>
        <v>0.65509149250951804</v>
      </c>
      <c r="W136" s="46">
        <f t="shared" si="42"/>
        <v>0.64822929770645976</v>
      </c>
      <c r="DA136" s="211"/>
    </row>
    <row r="137" spans="1:105" ht="11.45" customHeight="1" x14ac:dyDescent="0.25">
      <c r="A137" s="153" t="s">
        <v>180</v>
      </c>
      <c r="B137" s="154">
        <f t="shared" si="40"/>
        <v>6.2291111711861788E-3</v>
      </c>
      <c r="C137" s="154">
        <f t="shared" si="40"/>
        <v>5.8220600004049682E-3</v>
      </c>
      <c r="D137" s="154">
        <f t="shared" si="40"/>
        <v>5.95824164621083E-3</v>
      </c>
      <c r="E137" s="154">
        <f t="shared" si="40"/>
        <v>5.7517343201569857E-3</v>
      </c>
      <c r="F137" s="154">
        <f t="shared" si="40"/>
        <v>5.5106970594584938E-3</v>
      </c>
      <c r="G137" s="154">
        <f t="shared" si="40"/>
        <v>5.515735348848385E-3</v>
      </c>
      <c r="H137" s="154">
        <f t="shared" si="40"/>
        <v>5.5584842212923298E-3</v>
      </c>
      <c r="I137" s="154">
        <f t="shared" si="40"/>
        <v>5.5750762972101801E-3</v>
      </c>
      <c r="J137" s="154">
        <f t="shared" si="40"/>
        <v>5.642114391211879E-3</v>
      </c>
      <c r="K137" s="154">
        <f t="shared" si="40"/>
        <v>5.6839725977217096E-3</v>
      </c>
      <c r="L137" s="154">
        <f t="shared" si="41"/>
        <v>5.6128752507862631E-3</v>
      </c>
      <c r="M137" s="154">
        <f t="shared" si="40"/>
        <v>5.62871771355292E-3</v>
      </c>
      <c r="N137" s="154">
        <f t="shared" si="40"/>
        <v>6.1538825460842701E-3</v>
      </c>
      <c r="O137" s="154">
        <f t="shared" si="40"/>
        <v>6.3079823392966465E-3</v>
      </c>
      <c r="P137" s="154">
        <f t="shared" si="40"/>
        <v>6.2921483654602914E-3</v>
      </c>
      <c r="Q137" s="154">
        <f t="shared" si="40"/>
        <v>6.085649052398303E-3</v>
      </c>
      <c r="R137" s="154">
        <f t="shared" si="40"/>
        <v>5.9318746082983164E-3</v>
      </c>
      <c r="S137" s="154">
        <f t="shared" si="40"/>
        <v>5.5010845020107167E-3</v>
      </c>
      <c r="T137" s="154">
        <f t="shared" si="40"/>
        <v>5.0752336010278336E-3</v>
      </c>
      <c r="U137" s="154">
        <f t="shared" si="40"/>
        <v>5.3761553434767762E-3</v>
      </c>
      <c r="V137" s="154">
        <f t="shared" si="40"/>
        <v>5.0132427418674505E-3</v>
      </c>
      <c r="W137" s="154">
        <f t="shared" si="42"/>
        <v>4.8956927538208591E-3</v>
      </c>
      <c r="DA137" s="212"/>
    </row>
    <row r="138" spans="1:105" ht="11.45" customHeight="1" x14ac:dyDescent="0.25">
      <c r="A138" s="155" t="s">
        <v>20</v>
      </c>
      <c r="B138" s="156">
        <f t="shared" si="40"/>
        <v>0.5352504361885192</v>
      </c>
      <c r="C138" s="156">
        <f t="shared" si="40"/>
        <v>0.52504345751352388</v>
      </c>
      <c r="D138" s="156">
        <f t="shared" si="40"/>
        <v>0.52880821880769369</v>
      </c>
      <c r="E138" s="156">
        <f t="shared" si="40"/>
        <v>0.51745557494497352</v>
      </c>
      <c r="F138" s="156">
        <f t="shared" si="40"/>
        <v>0.50618903893745937</v>
      </c>
      <c r="G138" s="156">
        <f t="shared" si="40"/>
        <v>0.50288209295480679</v>
      </c>
      <c r="H138" s="156">
        <f t="shared" si="40"/>
        <v>0.49457828701706624</v>
      </c>
      <c r="I138" s="156">
        <f t="shared" si="40"/>
        <v>0.49809344376452636</v>
      </c>
      <c r="J138" s="156">
        <f t="shared" si="40"/>
        <v>0.50636545058025972</v>
      </c>
      <c r="K138" s="156">
        <f t="shared" si="40"/>
        <v>0.52736378708823362</v>
      </c>
      <c r="L138" s="156">
        <f t="shared" si="41"/>
        <v>0.52489504656635444</v>
      </c>
      <c r="M138" s="156">
        <f t="shared" si="40"/>
        <v>0.54740179424157509</v>
      </c>
      <c r="N138" s="156">
        <f t="shared" si="40"/>
        <v>0.55810373016388193</v>
      </c>
      <c r="O138" s="156">
        <f t="shared" si="40"/>
        <v>0.56747214681380731</v>
      </c>
      <c r="P138" s="156">
        <f t="shared" si="40"/>
        <v>0.56573388040226236</v>
      </c>
      <c r="Q138" s="156">
        <f t="shared" si="40"/>
        <v>0.59317073816516619</v>
      </c>
      <c r="R138" s="156">
        <f t="shared" si="40"/>
        <v>0.57448516511199099</v>
      </c>
      <c r="S138" s="156">
        <f t="shared" si="40"/>
        <v>0.56634523454221031</v>
      </c>
      <c r="T138" s="156">
        <f t="shared" si="40"/>
        <v>0.56741833520352314</v>
      </c>
      <c r="U138" s="156">
        <f t="shared" si="40"/>
        <v>0.57588536044119154</v>
      </c>
      <c r="V138" s="156">
        <f t="shared" si="40"/>
        <v>0.55706600793086924</v>
      </c>
      <c r="W138" s="156">
        <f t="shared" si="42"/>
        <v>0.5525878194656807</v>
      </c>
      <c r="DA138" s="213"/>
    </row>
    <row r="139" spans="1:105" ht="11.45" customHeight="1" x14ac:dyDescent="0.25">
      <c r="A139" s="157" t="s">
        <v>110</v>
      </c>
      <c r="B139" s="103">
        <f t="shared" si="40"/>
        <v>0.48823563494817118</v>
      </c>
      <c r="C139" s="103">
        <f t="shared" si="40"/>
        <v>0.47447881377970275</v>
      </c>
      <c r="D139" s="103">
        <f t="shared" si="40"/>
        <v>0.4726435816628145</v>
      </c>
      <c r="E139" s="103">
        <f t="shared" si="40"/>
        <v>0.45775594197998248</v>
      </c>
      <c r="F139" s="103">
        <f t="shared" si="40"/>
        <v>0.43810463573827479</v>
      </c>
      <c r="G139" s="103">
        <f t="shared" si="40"/>
        <v>0.42074167855189099</v>
      </c>
      <c r="H139" s="103">
        <f t="shared" si="40"/>
        <v>0.40168147659408876</v>
      </c>
      <c r="I139" s="103">
        <f t="shared" si="40"/>
        <v>0.38037580731080078</v>
      </c>
      <c r="J139" s="103">
        <f t="shared" si="40"/>
        <v>0.37192123785762315</v>
      </c>
      <c r="K139" s="103">
        <f t="shared" si="40"/>
        <v>0.37493583923972107</v>
      </c>
      <c r="L139" s="103">
        <f t="shared" si="41"/>
        <v>0.35225142510292745</v>
      </c>
      <c r="M139" s="103">
        <f t="shared" si="40"/>
        <v>0.35723636501502415</v>
      </c>
      <c r="N139" s="103">
        <f t="shared" si="40"/>
        <v>0.3512939535226054</v>
      </c>
      <c r="O139" s="103">
        <f t="shared" si="40"/>
        <v>0.34669274475951772</v>
      </c>
      <c r="P139" s="103">
        <f t="shared" si="40"/>
        <v>0.33792339974109858</v>
      </c>
      <c r="Q139" s="103">
        <f t="shared" si="40"/>
        <v>0.34288169119145973</v>
      </c>
      <c r="R139" s="103">
        <f t="shared" si="40"/>
        <v>0.3357634644081971</v>
      </c>
      <c r="S139" s="103">
        <f t="shared" si="40"/>
        <v>0.31962247830881674</v>
      </c>
      <c r="T139" s="103">
        <f t="shared" si="40"/>
        <v>0.31466254253194026</v>
      </c>
      <c r="U139" s="103">
        <f t="shared" si="40"/>
        <v>0.3234442391894507</v>
      </c>
      <c r="V139" s="103">
        <f t="shared" si="40"/>
        <v>0.31347998023885937</v>
      </c>
      <c r="W139" s="103">
        <f t="shared" si="42"/>
        <v>0.31571617141738345</v>
      </c>
      <c r="DA139" s="191"/>
    </row>
    <row r="140" spans="1:105" ht="11.45" customHeight="1" x14ac:dyDescent="0.25">
      <c r="A140" s="157" t="s">
        <v>111</v>
      </c>
      <c r="B140" s="103">
        <f t="shared" si="40"/>
        <v>4.4735119413613397E-2</v>
      </c>
      <c r="C140" s="103">
        <f t="shared" si="40"/>
        <v>4.8045024527377432E-2</v>
      </c>
      <c r="D140" s="103">
        <f t="shared" si="40"/>
        <v>5.3411122888980242E-2</v>
      </c>
      <c r="E140" s="103">
        <f t="shared" si="40"/>
        <v>5.7547784909619794E-2</v>
      </c>
      <c r="F140" s="103">
        <f t="shared" si="40"/>
        <v>6.62374311453829E-2</v>
      </c>
      <c r="G140" s="103">
        <f t="shared" si="40"/>
        <v>8.0537022804914885E-2</v>
      </c>
      <c r="H140" s="103">
        <f t="shared" si="40"/>
        <v>9.1558763734075163E-2</v>
      </c>
      <c r="I140" s="103">
        <f t="shared" si="40"/>
        <v>0.1166540777811471</v>
      </c>
      <c r="J140" s="103">
        <f t="shared" si="40"/>
        <v>0.13357395791602986</v>
      </c>
      <c r="K140" s="103">
        <f t="shared" si="40"/>
        <v>0.15173861379858539</v>
      </c>
      <c r="L140" s="103">
        <f t="shared" si="41"/>
        <v>0.17264362146342702</v>
      </c>
      <c r="M140" s="103">
        <f t="shared" si="40"/>
        <v>0.19016542922655091</v>
      </c>
      <c r="N140" s="103">
        <f t="shared" si="40"/>
        <v>0.20680773771011385</v>
      </c>
      <c r="O140" s="103">
        <f t="shared" si="40"/>
        <v>0.2207761601480342</v>
      </c>
      <c r="P140" s="103">
        <f t="shared" si="40"/>
        <v>0.22780548822281338</v>
      </c>
      <c r="Q140" s="103">
        <f t="shared" si="40"/>
        <v>0.24900773548373739</v>
      </c>
      <c r="R140" s="103">
        <f t="shared" si="40"/>
        <v>0.23861940748496774</v>
      </c>
      <c r="S140" s="103">
        <f t="shared" si="40"/>
        <v>0.24660784800551913</v>
      </c>
      <c r="T140" s="103">
        <f t="shared" si="40"/>
        <v>0.25245799553503689</v>
      </c>
      <c r="U140" s="103">
        <f t="shared" si="40"/>
        <v>0.2519549612833375</v>
      </c>
      <c r="V140" s="103">
        <f t="shared" si="40"/>
        <v>0.24237899781813699</v>
      </c>
      <c r="W140" s="103">
        <f t="shared" si="42"/>
        <v>0.23390560570498897</v>
      </c>
      <c r="DA140" s="191"/>
    </row>
    <row r="141" spans="1:105" ht="11.45" customHeight="1" x14ac:dyDescent="0.25">
      <c r="A141" s="157" t="s">
        <v>112</v>
      </c>
      <c r="B141" s="103">
        <f t="shared" si="40"/>
        <v>2.2796818267344977E-3</v>
      </c>
      <c r="C141" s="103">
        <f t="shared" si="40"/>
        <v>2.5196192064436719E-3</v>
      </c>
      <c r="D141" s="103">
        <f t="shared" si="40"/>
        <v>2.7535142558989395E-3</v>
      </c>
      <c r="E141" s="103">
        <f t="shared" si="40"/>
        <v>2.1518480553712493E-3</v>
      </c>
      <c r="F141" s="103">
        <f t="shared" si="40"/>
        <v>1.8469720538016909E-3</v>
      </c>
      <c r="G141" s="103">
        <f t="shared" si="40"/>
        <v>1.6033915980009524E-3</v>
      </c>
      <c r="H141" s="103">
        <f t="shared" si="40"/>
        <v>1.3380466889023127E-3</v>
      </c>
      <c r="I141" s="103">
        <f t="shared" si="40"/>
        <v>1.063558672578489E-3</v>
      </c>
      <c r="J141" s="103">
        <f t="shared" si="40"/>
        <v>8.7025480660673409E-4</v>
      </c>
      <c r="K141" s="103">
        <f t="shared" si="40"/>
        <v>6.8933404992709826E-4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0</v>
      </c>
      <c r="S141" s="103">
        <f t="shared" si="40"/>
        <v>0</v>
      </c>
      <c r="T141" s="103">
        <f t="shared" si="40"/>
        <v>0</v>
      </c>
      <c r="U141" s="103">
        <f t="shared" si="40"/>
        <v>0</v>
      </c>
      <c r="V141" s="103">
        <f t="shared" si="40"/>
        <v>0</v>
      </c>
      <c r="W141" s="103">
        <f t="shared" si="42"/>
        <v>0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1.020389690191737E-5</v>
      </c>
      <c r="R142" s="103">
        <f t="shared" si="40"/>
        <v>3.2154213957775946E-5</v>
      </c>
      <c r="S142" s="103">
        <f t="shared" si="40"/>
        <v>3.2898122906880605E-5</v>
      </c>
      <c r="T142" s="103">
        <f t="shared" si="40"/>
        <v>6.333840946955609E-5</v>
      </c>
      <c r="U142" s="103">
        <f t="shared" si="40"/>
        <v>8.5378452810914288E-5</v>
      </c>
      <c r="V142" s="103">
        <f t="shared" si="40"/>
        <v>1.1849859534620676E-4</v>
      </c>
      <c r="W142" s="103">
        <f t="shared" si="42"/>
        <v>1.471843930052725E-4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2.0389311626541151E-6</v>
      </c>
      <c r="O143" s="103">
        <f t="shared" si="40"/>
        <v>3.2419062553383115E-6</v>
      </c>
      <c r="P143" s="103">
        <f t="shared" si="40"/>
        <v>4.9924383503452162E-6</v>
      </c>
      <c r="Q143" s="103">
        <f t="shared" si="40"/>
        <v>1.2711075930671718E-3</v>
      </c>
      <c r="R143" s="103">
        <f t="shared" si="40"/>
        <v>7.0139004868352616E-5</v>
      </c>
      <c r="S143" s="103">
        <f t="shared" si="40"/>
        <v>8.2010104967554636E-5</v>
      </c>
      <c r="T143" s="103">
        <f t="shared" si="40"/>
        <v>2.3445872707641399E-4</v>
      </c>
      <c r="U143" s="103">
        <f t="shared" si="40"/>
        <v>4.0078151559235219E-4</v>
      </c>
      <c r="V143" s="103">
        <f t="shared" si="40"/>
        <v>1.0885312785267156E-3</v>
      </c>
      <c r="W143" s="103">
        <f t="shared" si="42"/>
        <v>2.8188579503029736E-3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9.6306414256287234E-2</v>
      </c>
      <c r="C145" s="156">
        <f t="shared" si="40"/>
        <v>9.2865164635830444E-2</v>
      </c>
      <c r="D145" s="156">
        <f t="shared" si="40"/>
        <v>8.9648002850311562E-2</v>
      </c>
      <c r="E145" s="156">
        <f t="shared" si="40"/>
        <v>8.7144869754571794E-2</v>
      </c>
      <c r="F145" s="156">
        <f t="shared" si="40"/>
        <v>8.2909221242486786E-2</v>
      </c>
      <c r="G145" s="156">
        <f t="shared" si="40"/>
        <v>8.2875825385637175E-2</v>
      </c>
      <c r="H145" s="156">
        <f t="shared" si="40"/>
        <v>8.1137798513812642E-2</v>
      </c>
      <c r="I145" s="156">
        <f t="shared" si="40"/>
        <v>7.652074633024783E-2</v>
      </c>
      <c r="J145" s="156">
        <f t="shared" si="40"/>
        <v>7.9448007020668288E-2</v>
      </c>
      <c r="K145" s="156">
        <f t="shared" si="40"/>
        <v>8.524337196212621E-2</v>
      </c>
      <c r="L145" s="156">
        <f t="shared" si="41"/>
        <v>8.7726836372430506E-2</v>
      </c>
      <c r="M145" s="156">
        <f t="shared" si="40"/>
        <v>8.5126201268882581E-2</v>
      </c>
      <c r="N145" s="156">
        <f t="shared" si="40"/>
        <v>8.4728595573963991E-2</v>
      </c>
      <c r="O145" s="156">
        <f t="shared" si="40"/>
        <v>8.263867499276524E-2</v>
      </c>
      <c r="P145" s="156">
        <f t="shared" si="40"/>
        <v>8.427793429392412E-2</v>
      </c>
      <c r="Q145" s="156">
        <f t="shared" si="40"/>
        <v>8.3317362619991661E-2</v>
      </c>
      <c r="R145" s="156">
        <f t="shared" si="40"/>
        <v>8.4800336826372683E-2</v>
      </c>
      <c r="S145" s="156">
        <f t="shared" si="40"/>
        <v>8.8736576818008825E-2</v>
      </c>
      <c r="T145" s="156">
        <f t="shared" si="40"/>
        <v>8.6874221469717863E-2</v>
      </c>
      <c r="U145" s="156">
        <f t="shared" si="40"/>
        <v>8.5908581782638035E-2</v>
      </c>
      <c r="V145" s="156">
        <f t="shared" si="40"/>
        <v>9.3012241836781334E-2</v>
      </c>
      <c r="W145" s="156">
        <f t="shared" si="42"/>
        <v>9.0745785486958205E-2</v>
      </c>
      <c r="DA145" s="213"/>
    </row>
    <row r="146" spans="1:105" ht="11.45" customHeight="1" x14ac:dyDescent="0.25">
      <c r="A146" s="157" t="s">
        <v>110</v>
      </c>
      <c r="B146" s="103">
        <f t="shared" si="40"/>
        <v>3.8274403231537556E-3</v>
      </c>
      <c r="C146" s="103">
        <f t="shared" si="40"/>
        <v>3.8526794119526308E-3</v>
      </c>
      <c r="D146" s="103">
        <f t="shared" si="40"/>
        <v>3.7937200598941886E-3</v>
      </c>
      <c r="E146" s="103">
        <f t="shared" si="40"/>
        <v>2.3131874777467553E-3</v>
      </c>
      <c r="F146" s="103">
        <f t="shared" si="40"/>
        <v>1.8408632970748266E-3</v>
      </c>
      <c r="G146" s="103">
        <f t="shared" si="40"/>
        <v>1.7140674472273685E-3</v>
      </c>
      <c r="H146" s="103">
        <f t="shared" si="40"/>
        <v>1.6384709061945265E-3</v>
      </c>
      <c r="I146" s="103">
        <f t="shared" si="40"/>
        <v>1.4868768247297988E-3</v>
      </c>
      <c r="J146" s="103">
        <f t="shared" si="40"/>
        <v>1.4997858491484944E-3</v>
      </c>
      <c r="K146" s="103">
        <f t="shared" si="40"/>
        <v>1.4847390763473365E-3</v>
      </c>
      <c r="L146" s="103">
        <f t="shared" si="41"/>
        <v>1.3929900229891546E-3</v>
      </c>
      <c r="M146" s="103">
        <f t="shared" si="40"/>
        <v>1.3469417488649062E-3</v>
      </c>
      <c r="N146" s="103">
        <f t="shared" si="40"/>
        <v>1.4000198830288644E-3</v>
      </c>
      <c r="O146" s="103">
        <f t="shared" si="40"/>
        <v>1.5035437929966026E-3</v>
      </c>
      <c r="P146" s="103">
        <f t="shared" si="40"/>
        <v>1.3239117383852621E-3</v>
      </c>
      <c r="Q146" s="103">
        <f t="shared" si="40"/>
        <v>1.1191659861031695E-3</v>
      </c>
      <c r="R146" s="103">
        <f t="shared" si="40"/>
        <v>1.0021466077643796E-3</v>
      </c>
      <c r="S146" s="103">
        <f t="shared" si="40"/>
        <v>9.1480248630634376E-4</v>
      </c>
      <c r="T146" s="103">
        <f t="shared" si="40"/>
        <v>8.0654192600360781E-4</v>
      </c>
      <c r="U146" s="103">
        <f t="shared" si="40"/>
        <v>7.2907939986411609E-4</v>
      </c>
      <c r="V146" s="103">
        <f t="shared" si="40"/>
        <v>7.1508508878197056E-4</v>
      </c>
      <c r="W146" s="103">
        <f t="shared" si="42"/>
        <v>6.7276376142014487E-4</v>
      </c>
      <c r="DA146" s="191"/>
    </row>
    <row r="147" spans="1:105" ht="11.45" customHeight="1" x14ac:dyDescent="0.25">
      <c r="A147" s="157" t="s">
        <v>111</v>
      </c>
      <c r="B147" s="103">
        <f t="shared" si="40"/>
        <v>9.2478973933133479E-2</v>
      </c>
      <c r="C147" s="103">
        <f t="shared" si="40"/>
        <v>8.9012485223877821E-2</v>
      </c>
      <c r="D147" s="103">
        <f t="shared" si="40"/>
        <v>8.5854282790417374E-2</v>
      </c>
      <c r="E147" s="103">
        <f t="shared" si="40"/>
        <v>8.4831682276825041E-2</v>
      </c>
      <c r="F147" s="103">
        <f t="shared" si="40"/>
        <v>8.1068357945411965E-2</v>
      </c>
      <c r="G147" s="103">
        <f t="shared" si="40"/>
        <v>8.1161757938409795E-2</v>
      </c>
      <c r="H147" s="103">
        <f t="shared" si="40"/>
        <v>7.9499327607618117E-2</v>
      </c>
      <c r="I147" s="103">
        <f t="shared" si="40"/>
        <v>7.5033869505518019E-2</v>
      </c>
      <c r="J147" s="103">
        <f t="shared" si="40"/>
        <v>7.7948221171519796E-2</v>
      </c>
      <c r="K147" s="103">
        <f t="shared" si="40"/>
        <v>8.3758632885778866E-2</v>
      </c>
      <c r="L147" s="103">
        <f t="shared" si="41"/>
        <v>8.6333846349441357E-2</v>
      </c>
      <c r="M147" s="103">
        <f t="shared" si="40"/>
        <v>8.3779259520017677E-2</v>
      </c>
      <c r="N147" s="103">
        <f t="shared" si="40"/>
        <v>8.3328575690935131E-2</v>
      </c>
      <c r="O147" s="103">
        <f t="shared" si="40"/>
        <v>8.1135131199768645E-2</v>
      </c>
      <c r="P147" s="103">
        <f t="shared" si="40"/>
        <v>8.2954022555538867E-2</v>
      </c>
      <c r="Q147" s="103">
        <f t="shared" si="40"/>
        <v>8.1917461308149309E-2</v>
      </c>
      <c r="R147" s="103">
        <f t="shared" ref="R147:V147" si="43">IF(R29=0,0,R29/R$17)</f>
        <v>8.3269972126081684E-2</v>
      </c>
      <c r="S147" s="103">
        <f t="shared" si="43"/>
        <v>8.6628156433280035E-2</v>
      </c>
      <c r="T147" s="103">
        <f t="shared" si="43"/>
        <v>8.4636595638165876E-2</v>
      </c>
      <c r="U147" s="103">
        <f t="shared" si="43"/>
        <v>8.3698545249826617E-2</v>
      </c>
      <c r="V147" s="103">
        <f t="shared" si="43"/>
        <v>9.0724026294883117E-2</v>
      </c>
      <c r="W147" s="103">
        <f t="shared" ref="W147" si="44">IF(W29=0,0,W29/W$17)</f>
        <v>8.828901289824298E-2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2.8073532573919235E-4</v>
      </c>
      <c r="R149" s="103">
        <f t="shared" si="50"/>
        <v>5.2821809252662656E-4</v>
      </c>
      <c r="S149" s="103">
        <f t="shared" si="50"/>
        <v>1.1936178984224483E-3</v>
      </c>
      <c r="T149" s="103">
        <f t="shared" si="50"/>
        <v>1.431083905548382E-3</v>
      </c>
      <c r="U149" s="103">
        <f t="shared" si="50"/>
        <v>1.4809571329473124E-3</v>
      </c>
      <c r="V149" s="103">
        <f t="shared" si="50"/>
        <v>1.5731304531162356E-3</v>
      </c>
      <c r="W149" s="103">
        <f t="shared" ref="W149" si="51">IF(W31=0,0,W31/W$17)</f>
        <v>1.7840088272950817E-3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0.36221403838400751</v>
      </c>
      <c r="C151" s="46">
        <f t="shared" si="55"/>
        <v>0.3762693178502407</v>
      </c>
      <c r="D151" s="46">
        <f t="shared" si="55"/>
        <v>0.37558553669578398</v>
      </c>
      <c r="E151" s="46">
        <f t="shared" si="55"/>
        <v>0.38964782098029771</v>
      </c>
      <c r="F151" s="46">
        <f t="shared" si="55"/>
        <v>0.40539104276059529</v>
      </c>
      <c r="G151" s="46">
        <f t="shared" si="55"/>
        <v>0.4087263463107077</v>
      </c>
      <c r="H151" s="46">
        <f t="shared" si="55"/>
        <v>0.41872543024782877</v>
      </c>
      <c r="I151" s="46">
        <f t="shared" si="55"/>
        <v>0.41981073360801563</v>
      </c>
      <c r="J151" s="46">
        <f t="shared" si="55"/>
        <v>0.40854442800786012</v>
      </c>
      <c r="K151" s="46">
        <f t="shared" si="55"/>
        <v>0.38170886835191842</v>
      </c>
      <c r="L151" s="46">
        <f t="shared" ref="L151" si="56">IF(L33=0,0,L33/L$17)</f>
        <v>0.3817652418104287</v>
      </c>
      <c r="M151" s="46">
        <f t="shared" ref="M151:V151" si="57">IF(M33=0,0,M33/M$17)</f>
        <v>0.36184328677598937</v>
      </c>
      <c r="N151" s="46">
        <f t="shared" si="57"/>
        <v>0.35101379171606967</v>
      </c>
      <c r="O151" s="46">
        <f t="shared" si="57"/>
        <v>0.34358119585413094</v>
      </c>
      <c r="P151" s="46">
        <f t="shared" si="57"/>
        <v>0.34369603693835338</v>
      </c>
      <c r="Q151" s="46">
        <f t="shared" si="57"/>
        <v>0.31742625016244391</v>
      </c>
      <c r="R151" s="46">
        <f t="shared" si="57"/>
        <v>0.33478262345333792</v>
      </c>
      <c r="S151" s="46">
        <f t="shared" si="57"/>
        <v>0.33941710413777021</v>
      </c>
      <c r="T151" s="46">
        <f t="shared" si="57"/>
        <v>0.34063220972573122</v>
      </c>
      <c r="U151" s="46">
        <f t="shared" si="57"/>
        <v>0.33282990243269372</v>
      </c>
      <c r="V151" s="46">
        <f t="shared" si="57"/>
        <v>0.34490850749048191</v>
      </c>
      <c r="W151" s="46">
        <f t="shared" ref="W151" si="58">IF(W33=0,0,W33/W$17)</f>
        <v>0.35177070229354029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0.16940081572487523</v>
      </c>
      <c r="C152" s="154">
        <f t="shared" si="59"/>
        <v>0.17407491722678145</v>
      </c>
      <c r="D152" s="154">
        <f t="shared" si="59"/>
        <v>0.1712866671543529</v>
      </c>
      <c r="E152" s="154">
        <f t="shared" si="59"/>
        <v>0.16706401670029755</v>
      </c>
      <c r="F152" s="154">
        <f t="shared" si="59"/>
        <v>0.17165774002286671</v>
      </c>
      <c r="G152" s="154">
        <f t="shared" si="59"/>
        <v>0.17703418596602138</v>
      </c>
      <c r="H152" s="154">
        <f t="shared" si="59"/>
        <v>0.18544879559855915</v>
      </c>
      <c r="I152" s="154">
        <f t="shared" si="59"/>
        <v>0.19111587314284456</v>
      </c>
      <c r="J152" s="154">
        <f t="shared" si="59"/>
        <v>0.19141601692404037</v>
      </c>
      <c r="K152" s="154">
        <f t="shared" si="59"/>
        <v>0.18673885067302867</v>
      </c>
      <c r="L152" s="154">
        <f t="shared" ref="L152" si="60">IF(L34=0,0,L34/L$17)</f>
        <v>0.18139872178615934</v>
      </c>
      <c r="M152" s="154">
        <f t="shared" ref="M152:V152" si="61">IF(M34=0,0,M34/M$17)</f>
        <v>0.16349062587311289</v>
      </c>
      <c r="N152" s="154">
        <f t="shared" si="61"/>
        <v>0.15965537534087648</v>
      </c>
      <c r="O152" s="154">
        <f t="shared" si="61"/>
        <v>0.15291123293732178</v>
      </c>
      <c r="P152" s="154">
        <f t="shared" si="61"/>
        <v>0.14301923030420208</v>
      </c>
      <c r="Q152" s="154">
        <f t="shared" si="61"/>
        <v>0.13815123279664468</v>
      </c>
      <c r="R152" s="154">
        <f t="shared" si="61"/>
        <v>0.13517113564071501</v>
      </c>
      <c r="S152" s="154">
        <f t="shared" si="61"/>
        <v>0.13736396227382638</v>
      </c>
      <c r="T152" s="154">
        <f t="shared" si="61"/>
        <v>0.13553870919117006</v>
      </c>
      <c r="U152" s="154">
        <f t="shared" si="61"/>
        <v>0.13089623014384336</v>
      </c>
      <c r="V152" s="154">
        <f t="shared" si="61"/>
        <v>0.13150076984478354</v>
      </c>
      <c r="W152" s="154">
        <f t="shared" ref="W152" si="62">IF(W34=0,0,W34/W$17)</f>
        <v>0.13317426751680281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3.2257679858736663E-2</v>
      </c>
      <c r="C153" s="103">
        <f t="shared" si="63"/>
        <v>3.5086550896478573E-2</v>
      </c>
      <c r="D153" s="103">
        <f t="shared" si="63"/>
        <v>3.3803390179297468E-2</v>
      </c>
      <c r="E153" s="103">
        <f t="shared" si="63"/>
        <v>3.0368109939688085E-2</v>
      </c>
      <c r="F153" s="103">
        <f t="shared" si="63"/>
        <v>2.9030382097350867E-2</v>
      </c>
      <c r="G153" s="103">
        <f t="shared" si="63"/>
        <v>2.7901815718832698E-2</v>
      </c>
      <c r="H153" s="103">
        <f t="shared" si="63"/>
        <v>2.6372353932458695E-2</v>
      </c>
      <c r="I153" s="103">
        <f t="shared" si="63"/>
        <v>2.4008696201386265E-2</v>
      </c>
      <c r="J153" s="103">
        <f t="shared" si="63"/>
        <v>2.1669425244585348E-2</v>
      </c>
      <c r="K153" s="103">
        <f t="shared" si="63"/>
        <v>2.0124632664753561E-2</v>
      </c>
      <c r="L153" s="103">
        <f t="shared" ref="L153" si="64">IF(L35=0,0,L35/L$17)</f>
        <v>1.7630238301774813E-2</v>
      </c>
      <c r="M153" s="103">
        <f t="shared" ref="M153:V153" si="65">IF(M35=0,0,M35/M$17)</f>
        <v>1.5128677390983263E-2</v>
      </c>
      <c r="N153" s="103">
        <f t="shared" si="65"/>
        <v>1.3734677977991373E-2</v>
      </c>
      <c r="O153" s="103">
        <f t="shared" si="65"/>
        <v>1.2707320913402273E-2</v>
      </c>
      <c r="P153" s="103">
        <f t="shared" si="65"/>
        <v>1.1415835912889073E-2</v>
      </c>
      <c r="Q153" s="103">
        <f t="shared" si="65"/>
        <v>1.0185910274972341E-2</v>
      </c>
      <c r="R153" s="103">
        <f t="shared" si="65"/>
        <v>9.3968793429534143E-3</v>
      </c>
      <c r="S153" s="103">
        <f t="shared" si="65"/>
        <v>8.8316392900399093E-3</v>
      </c>
      <c r="T153" s="103">
        <f t="shared" si="65"/>
        <v>7.7536957470380431E-3</v>
      </c>
      <c r="U153" s="103">
        <f t="shared" si="65"/>
        <v>7.2109215443579193E-3</v>
      </c>
      <c r="V153" s="103">
        <f t="shared" si="65"/>
        <v>6.7030464849080701E-3</v>
      </c>
      <c r="W153" s="103">
        <f t="shared" ref="W153" si="66">IF(W35=0,0,W35/W$17)</f>
        <v>6.9301666742752387E-3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0.13705694566525681</v>
      </c>
      <c r="C154" s="103">
        <f t="shared" si="67"/>
        <v>0.13890013983699873</v>
      </c>
      <c r="D154" s="103">
        <f t="shared" si="67"/>
        <v>0.13739689080384249</v>
      </c>
      <c r="E154" s="103">
        <f t="shared" si="67"/>
        <v>0.13662010279294257</v>
      </c>
      <c r="F154" s="103">
        <f t="shared" si="67"/>
        <v>0.14255781225619096</v>
      </c>
      <c r="G154" s="103">
        <f t="shared" si="67"/>
        <v>0.14907460469820066</v>
      </c>
      <c r="H154" s="103">
        <f t="shared" si="67"/>
        <v>0.15903016990120267</v>
      </c>
      <c r="I154" s="103">
        <f t="shared" si="67"/>
        <v>0.16707047284479776</v>
      </c>
      <c r="J154" s="103">
        <f t="shared" si="67"/>
        <v>0.1697162422928335</v>
      </c>
      <c r="K154" s="103">
        <f t="shared" si="67"/>
        <v>0.16659038318980721</v>
      </c>
      <c r="L154" s="103">
        <f t="shared" ref="L154" si="68">IF(L36=0,0,L36/L$17)</f>
        <v>0.16376848348438455</v>
      </c>
      <c r="M154" s="103">
        <f t="shared" ref="M154:V154" si="69">IF(M36=0,0,M36/M$17)</f>
        <v>0.14836194848212964</v>
      </c>
      <c r="N154" s="103">
        <f t="shared" si="69"/>
        <v>0.1459206973628851</v>
      </c>
      <c r="O154" s="103">
        <f t="shared" si="69"/>
        <v>0.14020391202391952</v>
      </c>
      <c r="P154" s="103">
        <f t="shared" si="69"/>
        <v>0.13160339439131299</v>
      </c>
      <c r="Q154" s="103">
        <f t="shared" si="69"/>
        <v>0.12787614050766635</v>
      </c>
      <c r="R154" s="103">
        <f t="shared" si="69"/>
        <v>0.1256843731781167</v>
      </c>
      <c r="S154" s="103">
        <f t="shared" si="69"/>
        <v>0.12844007408883951</v>
      </c>
      <c r="T154" s="103">
        <f t="shared" si="69"/>
        <v>0.12769160287937995</v>
      </c>
      <c r="U154" s="103">
        <f t="shared" si="69"/>
        <v>0.12360201792810807</v>
      </c>
      <c r="V154" s="103">
        <f t="shared" si="69"/>
        <v>0.12470628456670259</v>
      </c>
      <c r="W154" s="103">
        <f t="shared" ref="W154" si="70">IF(W36=0,0,W36/W$17)</f>
        <v>0.12615533534438472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8.6190200881754481E-5</v>
      </c>
      <c r="C155" s="103">
        <f t="shared" si="71"/>
        <v>8.8226493304131273E-5</v>
      </c>
      <c r="D155" s="103">
        <f t="shared" si="71"/>
        <v>8.6386171212954509E-5</v>
      </c>
      <c r="E155" s="103">
        <f t="shared" si="71"/>
        <v>7.5803967666894401E-5</v>
      </c>
      <c r="F155" s="103">
        <f t="shared" si="71"/>
        <v>6.9545669324911643E-5</v>
      </c>
      <c r="G155" s="103">
        <f t="shared" si="71"/>
        <v>5.7765548988018748E-5</v>
      </c>
      <c r="H155" s="103">
        <f t="shared" si="71"/>
        <v>4.6271764897799367E-5</v>
      </c>
      <c r="I155" s="103">
        <f t="shared" si="71"/>
        <v>3.6704096660511449E-5</v>
      </c>
      <c r="J155" s="103">
        <f t="shared" si="71"/>
        <v>3.0349386621483008E-5</v>
      </c>
      <c r="K155" s="103">
        <f t="shared" si="71"/>
        <v>2.3834818467884981E-5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8.9182014005994946E-5</v>
      </c>
      <c r="R156" s="103">
        <f t="shared" si="77"/>
        <v>8.9883119644887835E-5</v>
      </c>
      <c r="S156" s="103">
        <f t="shared" si="77"/>
        <v>9.2248894946973085E-5</v>
      </c>
      <c r="T156" s="103">
        <f t="shared" si="77"/>
        <v>9.3410564752072E-5</v>
      </c>
      <c r="U156" s="103">
        <f t="shared" si="77"/>
        <v>8.329067137734941E-5</v>
      </c>
      <c r="V156" s="103">
        <f t="shared" si="77"/>
        <v>9.1438793172863301E-5</v>
      </c>
      <c r="W156" s="103">
        <f t="shared" ref="W156" si="78">IF(W38=0,0,W38/W$17)</f>
        <v>8.8765498142849122E-5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0.19281322265913228</v>
      </c>
      <c r="C158" s="156">
        <f t="shared" si="83"/>
        <v>0.2021944006234592</v>
      </c>
      <c r="D158" s="156">
        <f t="shared" si="83"/>
        <v>0.20429886954143112</v>
      </c>
      <c r="E158" s="156">
        <f t="shared" si="83"/>
        <v>0.22258380428000013</v>
      </c>
      <c r="F158" s="156">
        <f t="shared" si="83"/>
        <v>0.2337333027377286</v>
      </c>
      <c r="G158" s="156">
        <f t="shared" si="83"/>
        <v>0.23169216034468637</v>
      </c>
      <c r="H158" s="156">
        <f t="shared" si="83"/>
        <v>0.23327663464926962</v>
      </c>
      <c r="I158" s="156">
        <f t="shared" si="83"/>
        <v>0.22869486046517107</v>
      </c>
      <c r="J158" s="156">
        <f t="shared" si="83"/>
        <v>0.21712841108381972</v>
      </c>
      <c r="K158" s="156">
        <f t="shared" si="83"/>
        <v>0.1949700176788898</v>
      </c>
      <c r="L158" s="156">
        <f t="shared" ref="L158" si="84">IF(L40=0,0,L40/L$17)</f>
        <v>0.20036652002426933</v>
      </c>
      <c r="M158" s="156">
        <f t="shared" ref="M158:V158" si="85">IF(M40=0,0,M40/M$17)</f>
        <v>0.19835266090287643</v>
      </c>
      <c r="N158" s="156">
        <f t="shared" si="85"/>
        <v>0.19135841637519319</v>
      </c>
      <c r="O158" s="156">
        <f t="shared" si="85"/>
        <v>0.1906699629168091</v>
      </c>
      <c r="P158" s="156">
        <f t="shared" si="85"/>
        <v>0.20067680663415127</v>
      </c>
      <c r="Q158" s="156">
        <f t="shared" si="85"/>
        <v>0.17927501736579926</v>
      </c>
      <c r="R158" s="156">
        <f t="shared" si="85"/>
        <v>0.19961148781262295</v>
      </c>
      <c r="S158" s="156">
        <f t="shared" si="85"/>
        <v>0.20205314186394382</v>
      </c>
      <c r="T158" s="156">
        <f t="shared" si="85"/>
        <v>0.20509350053456116</v>
      </c>
      <c r="U158" s="156">
        <f t="shared" si="85"/>
        <v>0.2019336722888504</v>
      </c>
      <c r="V158" s="156">
        <f t="shared" si="85"/>
        <v>0.2134077376456984</v>
      </c>
      <c r="W158" s="156">
        <f t="shared" ref="W158" si="86">IF(W40=0,0,W40/W$17)</f>
        <v>0.21859643477673746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0.13996939758476667</v>
      </c>
      <c r="C159" s="103">
        <f t="shared" si="87"/>
        <v>0.14313660819980711</v>
      </c>
      <c r="D159" s="103">
        <f t="shared" si="87"/>
        <v>0.14018101457858917</v>
      </c>
      <c r="E159" s="103">
        <f t="shared" si="87"/>
        <v>0.14589266804056175</v>
      </c>
      <c r="F159" s="103">
        <f t="shared" si="87"/>
        <v>0.13722534066410982</v>
      </c>
      <c r="G159" s="103">
        <f t="shared" si="87"/>
        <v>0.13403494626709589</v>
      </c>
      <c r="H159" s="103">
        <f t="shared" si="87"/>
        <v>0.13588482122164255</v>
      </c>
      <c r="I159" s="103">
        <f t="shared" si="87"/>
        <v>0.13236070949581907</v>
      </c>
      <c r="J159" s="103">
        <f t="shared" si="87"/>
        <v>0.12627373550159424</v>
      </c>
      <c r="K159" s="103">
        <f t="shared" si="87"/>
        <v>0.11463483939822713</v>
      </c>
      <c r="L159" s="103">
        <f t="shared" ref="L159" si="88">IF(L41=0,0,L41/L$17)</f>
        <v>0.11826380164770205</v>
      </c>
      <c r="M159" s="103">
        <f t="shared" ref="M159:V159" si="89">IF(M41=0,0,M41/M$17)</f>
        <v>0.12197387987361094</v>
      </c>
      <c r="N159" s="103">
        <f t="shared" si="89"/>
        <v>0.12808640890473202</v>
      </c>
      <c r="O159" s="103">
        <f t="shared" si="89"/>
        <v>0.12701035016875417</v>
      </c>
      <c r="P159" s="103">
        <f t="shared" si="89"/>
        <v>0.12933194103331658</v>
      </c>
      <c r="Q159" s="103">
        <f t="shared" si="89"/>
        <v>0.11844058804200372</v>
      </c>
      <c r="R159" s="103">
        <f t="shared" si="89"/>
        <v>0.11823325681548412</v>
      </c>
      <c r="S159" s="103">
        <f t="shared" si="89"/>
        <v>0.11250573264962323</v>
      </c>
      <c r="T159" s="103">
        <f t="shared" si="89"/>
        <v>0.1087530970058332</v>
      </c>
      <c r="U159" s="103">
        <f t="shared" si="89"/>
        <v>0.10982479860727451</v>
      </c>
      <c r="V159" s="103">
        <f t="shared" si="89"/>
        <v>0.11835647821987652</v>
      </c>
      <c r="W159" s="103">
        <f t="shared" ref="W159" si="90">IF(W41=0,0,W41/W$17)</f>
        <v>0.11873710022569475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5.2843825074365587E-2</v>
      </c>
      <c r="C160" s="105">
        <f t="shared" si="91"/>
        <v>5.9057792423652083E-2</v>
      </c>
      <c r="D160" s="105">
        <f t="shared" si="91"/>
        <v>6.4117854962841947E-2</v>
      </c>
      <c r="E160" s="105">
        <f t="shared" si="91"/>
        <v>7.6691136239438365E-2</v>
      </c>
      <c r="F160" s="105">
        <f t="shared" si="91"/>
        <v>9.650796207361878E-2</v>
      </c>
      <c r="G160" s="105">
        <f t="shared" si="91"/>
        <v>9.7657214077590482E-2</v>
      </c>
      <c r="H160" s="105">
        <f t="shared" si="91"/>
        <v>9.7391813427627066E-2</v>
      </c>
      <c r="I160" s="105">
        <f t="shared" si="91"/>
        <v>9.6334150969352023E-2</v>
      </c>
      <c r="J160" s="105">
        <f t="shared" si="91"/>
        <v>9.0854675582225472E-2</v>
      </c>
      <c r="K160" s="105">
        <f t="shared" si="91"/>
        <v>8.0335178280662667E-2</v>
      </c>
      <c r="L160" s="105">
        <f t="shared" ref="L160" si="92">IF(L42=0,0,L42/L$17)</f>
        <v>8.2102718376567282E-2</v>
      </c>
      <c r="M160" s="105">
        <f t="shared" ref="M160:V160" si="93">IF(M42=0,0,M42/M$17)</f>
        <v>7.6378781029265472E-2</v>
      </c>
      <c r="N160" s="105">
        <f t="shared" si="93"/>
        <v>6.3272007470461161E-2</v>
      </c>
      <c r="O160" s="105">
        <f t="shared" si="93"/>
        <v>6.3659612748054942E-2</v>
      </c>
      <c r="P160" s="105">
        <f t="shared" si="93"/>
        <v>7.1344865600834695E-2</v>
      </c>
      <c r="Q160" s="105">
        <f t="shared" si="93"/>
        <v>6.0834429323795541E-2</v>
      </c>
      <c r="R160" s="105">
        <f t="shared" si="93"/>
        <v>8.1378230997138798E-2</v>
      </c>
      <c r="S160" s="105">
        <f t="shared" si="93"/>
        <v>8.9547409214320597E-2</v>
      </c>
      <c r="T160" s="105">
        <f t="shared" si="93"/>
        <v>9.6340403528727969E-2</v>
      </c>
      <c r="U160" s="105">
        <f t="shared" si="93"/>
        <v>9.2108873681575887E-2</v>
      </c>
      <c r="V160" s="105">
        <f t="shared" si="93"/>
        <v>9.5051259425821863E-2</v>
      </c>
      <c r="W160" s="105">
        <f t="shared" ref="W160" si="94">IF(W42=0,0,W42/W$17)</f>
        <v>9.9859334551042678E-2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2384364</v>
      </c>
      <c r="C3" s="54">
        <f>TrRoad_act!C57</f>
        <v>2419553</v>
      </c>
      <c r="D3" s="54">
        <f>TrRoad_act!D57</f>
        <v>2449909</v>
      </c>
      <c r="E3" s="54">
        <f>TrRoad_act!E57</f>
        <v>2472138</v>
      </c>
      <c r="F3" s="54">
        <f>TrRoad_act!F57</f>
        <v>2523216</v>
      </c>
      <c r="G3" s="54">
        <f>TrRoad_act!G57</f>
        <v>2616030</v>
      </c>
      <c r="H3" s="54">
        <f>TrRoad_act!H57</f>
        <v>2724787</v>
      </c>
      <c r="I3" s="54">
        <f>TrRoad_act!I57</f>
        <v>2814541</v>
      </c>
      <c r="J3" s="54">
        <f>TrRoad_act!J57</f>
        <v>2849275</v>
      </c>
      <c r="K3" s="54">
        <f>TrRoad_act!K57</f>
        <v>2847696</v>
      </c>
      <c r="L3" s="54">
        <f>TrRoad_act!L57</f>
        <v>2870057</v>
      </c>
      <c r="M3" s="54">
        <f>TrRoad_act!M57</f>
        <v>2884803</v>
      </c>
      <c r="N3" s="54">
        <f>TrRoad_act!N57</f>
        <v>2912330</v>
      </c>
      <c r="O3" s="54">
        <f>TrRoad_act!O57</f>
        <v>2937785</v>
      </c>
      <c r="P3" s="54">
        <f>TrRoad_act!P57</f>
        <v>2983624</v>
      </c>
      <c r="Q3" s="54">
        <f>TrRoad_act!Q57</f>
        <v>3021872</v>
      </c>
      <c r="R3" s="54">
        <f>TrRoad_act!R57</f>
        <v>3020802</v>
      </c>
      <c r="S3" s="54">
        <f>TrRoad_act!S57</f>
        <v>3135747</v>
      </c>
      <c r="T3" s="54">
        <f>TrRoad_act!T57</f>
        <v>3248161</v>
      </c>
      <c r="U3" s="54">
        <f>TrRoad_act!U57</f>
        <v>3296103</v>
      </c>
      <c r="V3" s="54">
        <f>TrRoad_act!V57</f>
        <v>3385558</v>
      </c>
      <c r="W3" s="54">
        <f>TrRoad_act!W57</f>
        <v>3418588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2006338</v>
      </c>
      <c r="C4" s="28">
        <f>TrRoad_act!C58</f>
        <v>2032950</v>
      </c>
      <c r="D4" s="28">
        <f>TrRoad_act!D58</f>
        <v>2053598</v>
      </c>
      <c r="E4" s="28">
        <f>TrRoad_act!E58</f>
        <v>2064891</v>
      </c>
      <c r="F4" s="28">
        <f>TrRoad_act!F58</f>
        <v>2092493</v>
      </c>
      <c r="G4" s="28">
        <f>TrRoad_act!G58</f>
        <v>2151381</v>
      </c>
      <c r="H4" s="28">
        <f>TrRoad_act!H58</f>
        <v>2219046</v>
      </c>
      <c r="I4" s="28">
        <f>TrRoad_act!I58</f>
        <v>2280676</v>
      </c>
      <c r="J4" s="28">
        <f>TrRoad_act!J58</f>
        <v>2318898</v>
      </c>
      <c r="K4" s="28">
        <f>TrRoad_act!K58</f>
        <v>2340695</v>
      </c>
      <c r="L4" s="28">
        <f>TrRoad_act!L58</f>
        <v>2383952</v>
      </c>
      <c r="M4" s="28">
        <f>TrRoad_act!M58</f>
        <v>2414111</v>
      </c>
      <c r="N4" s="28">
        <f>TrRoad_act!N58</f>
        <v>2451074</v>
      </c>
      <c r="O4" s="28">
        <f>TrRoad_act!O58</f>
        <v>2490322</v>
      </c>
      <c r="P4" s="28">
        <f>TrRoad_act!P58</f>
        <v>2541065</v>
      </c>
      <c r="Q4" s="28">
        <f>TrRoad_act!Q58</f>
        <v>2581495</v>
      </c>
      <c r="R4" s="28">
        <f>TrRoad_act!R58</f>
        <v>2577512</v>
      </c>
      <c r="S4" s="28">
        <f>TrRoad_act!S58</f>
        <v>2693334</v>
      </c>
      <c r="T4" s="28">
        <f>TrRoad_act!T58</f>
        <v>2812035</v>
      </c>
      <c r="U4" s="28">
        <f>TrRoad_act!U58</f>
        <v>2868836</v>
      </c>
      <c r="V4" s="28">
        <f>TrRoad_act!V58</f>
        <v>2961459</v>
      </c>
      <c r="W4" s="28">
        <f>TrRoad_act!W58</f>
        <v>2996425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138310</v>
      </c>
      <c r="C5" s="137">
        <f>TrRoad_act!C59</f>
        <v>146365</v>
      </c>
      <c r="D5" s="137">
        <f>TrRoad_act!D59</f>
        <v>151322</v>
      </c>
      <c r="E5" s="137">
        <f>TrRoad_act!E59</f>
        <v>155740</v>
      </c>
      <c r="F5" s="137">
        <f>TrRoad_act!F59</f>
        <v>162128</v>
      </c>
      <c r="G5" s="137">
        <f>TrRoad_act!G59</f>
        <v>171917</v>
      </c>
      <c r="H5" s="137">
        <f>TrRoad_act!H59</f>
        <v>184036</v>
      </c>
      <c r="I5" s="137">
        <f>TrRoad_act!I59</f>
        <v>197177</v>
      </c>
      <c r="J5" s="137">
        <f>TrRoad_act!J59</f>
        <v>204770</v>
      </c>
      <c r="K5" s="137">
        <f>TrRoad_act!K59</f>
        <v>205239</v>
      </c>
      <c r="L5" s="137">
        <f>TrRoad_act!L59</f>
        <v>203608</v>
      </c>
      <c r="M5" s="137">
        <f>TrRoad_act!M59</f>
        <v>200597</v>
      </c>
      <c r="N5" s="137">
        <f>TrRoad_act!N59</f>
        <v>199243</v>
      </c>
      <c r="O5" s="137">
        <f>TrRoad_act!O59</f>
        <v>198076</v>
      </c>
      <c r="P5" s="137">
        <f>TrRoad_act!P59</f>
        <v>197512</v>
      </c>
      <c r="Q5" s="137">
        <f>TrRoad_act!Q59</f>
        <v>198035</v>
      </c>
      <c r="R5" s="137">
        <f>TrRoad_act!R59</f>
        <v>197500</v>
      </c>
      <c r="S5" s="137">
        <f>TrRoad_act!S59</f>
        <v>198000</v>
      </c>
      <c r="T5" s="137">
        <f>TrRoad_act!T59</f>
        <v>199227</v>
      </c>
      <c r="U5" s="137">
        <f>TrRoad_act!U59</f>
        <v>194254</v>
      </c>
      <c r="V5" s="137">
        <f>TrRoad_act!V59</f>
        <v>195856</v>
      </c>
      <c r="W5" s="137">
        <f>TrRoad_act!W59</f>
        <v>196938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1854060</v>
      </c>
      <c r="C6" s="110">
        <f>TrRoad_act!C60</f>
        <v>1872631</v>
      </c>
      <c r="D6" s="110">
        <f>TrRoad_act!D60</f>
        <v>1888290</v>
      </c>
      <c r="E6" s="110">
        <f>TrRoad_act!E60</f>
        <v>1895019</v>
      </c>
      <c r="F6" s="110">
        <f>TrRoad_act!F60</f>
        <v>1916174</v>
      </c>
      <c r="G6" s="110">
        <f>TrRoad_act!G60</f>
        <v>1965062.0000000002</v>
      </c>
      <c r="H6" s="110">
        <f>TrRoad_act!H60</f>
        <v>2020457.9999999998</v>
      </c>
      <c r="I6" s="110">
        <f>TrRoad_act!I60</f>
        <v>2069016.9999999998</v>
      </c>
      <c r="J6" s="110">
        <f>TrRoad_act!J60</f>
        <v>2099676</v>
      </c>
      <c r="K6" s="110">
        <f>TrRoad_act!K60</f>
        <v>2120946</v>
      </c>
      <c r="L6" s="110">
        <f>TrRoad_act!L60</f>
        <v>2165848</v>
      </c>
      <c r="M6" s="110">
        <f>TrRoad_act!M60</f>
        <v>2199500</v>
      </c>
      <c r="N6" s="110">
        <f>TrRoad_act!N60</f>
        <v>2238346</v>
      </c>
      <c r="O6" s="110">
        <f>TrRoad_act!O60</f>
        <v>2278976</v>
      </c>
      <c r="P6" s="110">
        <f>TrRoad_act!P60</f>
        <v>2330145</v>
      </c>
      <c r="Q6" s="110">
        <f>TrRoad_act!Q60</f>
        <v>2370077</v>
      </c>
      <c r="R6" s="110">
        <f>TrRoad_act!R60</f>
        <v>2366635</v>
      </c>
      <c r="S6" s="110">
        <f>TrRoad_act!S60</f>
        <v>2481852</v>
      </c>
      <c r="T6" s="110">
        <f>TrRoad_act!T60</f>
        <v>2599650</v>
      </c>
      <c r="U6" s="110">
        <f>TrRoad_act!U60</f>
        <v>2661579</v>
      </c>
      <c r="V6" s="110">
        <f>TrRoad_act!V60</f>
        <v>2753305</v>
      </c>
      <c r="W6" s="110">
        <f>TrRoad_act!W60</f>
        <v>2787564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1730094</v>
      </c>
      <c r="C7" s="84">
        <f>TrRoad_act!C61</f>
        <v>1730499</v>
      </c>
      <c r="D7" s="84">
        <f>TrRoad_act!D61</f>
        <v>1731299</v>
      </c>
      <c r="E7" s="84">
        <f>TrRoad_act!E61</f>
        <v>1731699</v>
      </c>
      <c r="F7" s="84">
        <f>TrRoad_act!F61</f>
        <v>1731701</v>
      </c>
      <c r="G7" s="84">
        <f>TrRoad_act!G61</f>
        <v>1731953.0000000002</v>
      </c>
      <c r="H7" s="84">
        <f>TrRoad_act!H61</f>
        <v>1747295.9999999998</v>
      </c>
      <c r="I7" s="84">
        <f>TrRoad_act!I61</f>
        <v>1711180.9999999998</v>
      </c>
      <c r="J7" s="84">
        <f>TrRoad_act!J61</f>
        <v>1680820</v>
      </c>
      <c r="K7" s="84">
        <f>TrRoad_act!K61</f>
        <v>1654583</v>
      </c>
      <c r="L7" s="84">
        <f>TrRoad_act!L61</f>
        <v>1632782</v>
      </c>
      <c r="M7" s="84">
        <f>TrRoad_act!M61</f>
        <v>1612286</v>
      </c>
      <c r="N7" s="84">
        <f>TrRoad_act!N61</f>
        <v>1587898</v>
      </c>
      <c r="O7" s="84">
        <f>TrRoad_act!O61</f>
        <v>1563578</v>
      </c>
      <c r="P7" s="84">
        <f>TrRoad_act!P61</f>
        <v>1538209</v>
      </c>
      <c r="Q7" s="84">
        <f>TrRoad_act!Q61</f>
        <v>1496991</v>
      </c>
      <c r="R7" s="84">
        <f>TrRoad_act!R61</f>
        <v>1598304</v>
      </c>
      <c r="S7" s="84">
        <f>TrRoad_act!S61</f>
        <v>1683628</v>
      </c>
      <c r="T7" s="84">
        <f>TrRoad_act!T61</f>
        <v>1767014</v>
      </c>
      <c r="U7" s="84">
        <f>TrRoad_act!U61</f>
        <v>1809468</v>
      </c>
      <c r="V7" s="84">
        <f>TrRoad_act!V61</f>
        <v>1861499</v>
      </c>
      <c r="W7" s="84">
        <f>TrRoad_act!W61</f>
        <v>1864745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116561</v>
      </c>
      <c r="C8" s="84">
        <f>TrRoad_act!C62</f>
        <v>134693</v>
      </c>
      <c r="D8" s="84">
        <f>TrRoad_act!D62</f>
        <v>149921</v>
      </c>
      <c r="E8" s="84">
        <f>TrRoad_act!E62</f>
        <v>157150</v>
      </c>
      <c r="F8" s="84">
        <f>TrRoad_act!F62</f>
        <v>178770</v>
      </c>
      <c r="G8" s="84">
        <f>TrRoad_act!G62</f>
        <v>227940</v>
      </c>
      <c r="H8" s="84">
        <f>TrRoad_act!H62</f>
        <v>268503</v>
      </c>
      <c r="I8" s="84">
        <f>TrRoad_act!I62</f>
        <v>353639</v>
      </c>
      <c r="J8" s="84">
        <f>TrRoad_act!J62</f>
        <v>415308</v>
      </c>
      <c r="K8" s="84">
        <f>TrRoad_act!K62</f>
        <v>463634</v>
      </c>
      <c r="L8" s="84">
        <f>TrRoad_act!L62</f>
        <v>533015</v>
      </c>
      <c r="M8" s="84">
        <f>TrRoad_act!M62</f>
        <v>586748</v>
      </c>
      <c r="N8" s="84">
        <f>TrRoad_act!N62</f>
        <v>649478</v>
      </c>
      <c r="O8" s="84">
        <f>TrRoad_act!O62</f>
        <v>713920</v>
      </c>
      <c r="P8" s="84">
        <f>TrRoad_act!P62</f>
        <v>788825</v>
      </c>
      <c r="Q8" s="84">
        <f>TrRoad_act!Q62</f>
        <v>858072</v>
      </c>
      <c r="R8" s="84">
        <f>TrRoad_act!R62</f>
        <v>758782</v>
      </c>
      <c r="S8" s="84">
        <f>TrRoad_act!S62</f>
        <v>787394</v>
      </c>
      <c r="T8" s="84">
        <f>TrRoad_act!T62</f>
        <v>816903</v>
      </c>
      <c r="U8" s="84">
        <f>TrRoad_act!U62</f>
        <v>826922</v>
      </c>
      <c r="V8" s="84">
        <f>TrRoad_act!V62</f>
        <v>833963</v>
      </c>
      <c r="W8" s="84">
        <f>TrRoad_act!W62</f>
        <v>789786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7405</v>
      </c>
      <c r="C9" s="84">
        <f>TrRoad_act!C63</f>
        <v>7439</v>
      </c>
      <c r="D9" s="84">
        <f>TrRoad_act!D63</f>
        <v>7070</v>
      </c>
      <c r="E9" s="84">
        <f>TrRoad_act!E63</f>
        <v>6170</v>
      </c>
      <c r="F9" s="84">
        <f>TrRoad_act!F63</f>
        <v>5703</v>
      </c>
      <c r="G9" s="84">
        <f>TrRoad_act!G63</f>
        <v>5169</v>
      </c>
      <c r="H9" s="84">
        <f>TrRoad_act!H63</f>
        <v>4659</v>
      </c>
      <c r="I9" s="84">
        <f>TrRoad_act!I63</f>
        <v>4197</v>
      </c>
      <c r="J9" s="84">
        <f>TrRoad_act!J63</f>
        <v>3548</v>
      </c>
      <c r="K9" s="84">
        <f>TrRoad_act!K63</f>
        <v>2698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0</v>
      </c>
      <c r="S9" s="84">
        <f>TrRoad_act!S63</f>
        <v>0</v>
      </c>
      <c r="T9" s="84">
        <f>TrRoad_act!T63</f>
        <v>0</v>
      </c>
      <c r="U9" s="84">
        <f>TrRoad_act!U63</f>
        <v>0</v>
      </c>
      <c r="V9" s="84">
        <f>TrRoad_act!V63</f>
        <v>0</v>
      </c>
      <c r="W9" s="84">
        <f>TrRoad_act!W63</f>
        <v>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36</v>
      </c>
      <c r="R10" s="84">
        <f>TrRoad_act!R64</f>
        <v>93</v>
      </c>
      <c r="S10" s="84">
        <f>TrRoad_act!S64</f>
        <v>175</v>
      </c>
      <c r="T10" s="84">
        <f>TrRoad_act!T64</f>
        <v>309</v>
      </c>
      <c r="U10" s="84">
        <f>TrRoad_act!U64</f>
        <v>446</v>
      </c>
      <c r="V10" s="84">
        <f>TrRoad_act!V64</f>
        <v>578</v>
      </c>
      <c r="W10" s="84">
        <f>TrRoad_act!W64</f>
        <v>708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33</v>
      </c>
      <c r="O11" s="84">
        <f>TrRoad_act!O65</f>
        <v>44</v>
      </c>
      <c r="P11" s="84">
        <f>TrRoad_act!P65</f>
        <v>144</v>
      </c>
      <c r="Q11" s="84">
        <f>TrRoad_act!Q65</f>
        <v>7487</v>
      </c>
      <c r="R11" s="84">
        <f>TrRoad_act!R65</f>
        <v>770</v>
      </c>
      <c r="S11" s="84">
        <f>TrRoad_act!S65</f>
        <v>1223</v>
      </c>
      <c r="T11" s="84">
        <f>TrRoad_act!T65</f>
        <v>4526</v>
      </c>
      <c r="U11" s="84">
        <f>TrRoad_act!U65</f>
        <v>8412</v>
      </c>
      <c r="V11" s="84">
        <f>TrRoad_act!V65</f>
        <v>26749</v>
      </c>
      <c r="W11" s="84">
        <f>TrRoad_act!W65</f>
        <v>69205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31</v>
      </c>
      <c r="L12" s="84">
        <f>TrRoad_act!L66</f>
        <v>51</v>
      </c>
      <c r="M12" s="84">
        <f>TrRoad_act!M66</f>
        <v>466</v>
      </c>
      <c r="N12" s="84">
        <f>TrRoad_act!N66</f>
        <v>937</v>
      </c>
      <c r="O12" s="84">
        <f>TrRoad_act!O66</f>
        <v>1434</v>
      </c>
      <c r="P12" s="84">
        <f>TrRoad_act!P66</f>
        <v>2967</v>
      </c>
      <c r="Q12" s="84">
        <f>TrRoad_act!Q66</f>
        <v>7491</v>
      </c>
      <c r="R12" s="84">
        <f>TrRoad_act!R66</f>
        <v>8686</v>
      </c>
      <c r="S12" s="84">
        <f>TrRoad_act!S66</f>
        <v>9432</v>
      </c>
      <c r="T12" s="84">
        <f>TrRoad_act!T66</f>
        <v>10898</v>
      </c>
      <c r="U12" s="84">
        <f>TrRoad_act!U66</f>
        <v>16331</v>
      </c>
      <c r="V12" s="84">
        <f>TrRoad_act!V66</f>
        <v>30516</v>
      </c>
      <c r="W12" s="84">
        <f>TrRoad_act!W66</f>
        <v>63120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13968</v>
      </c>
      <c r="C13" s="110">
        <f>TrRoad_act!C67</f>
        <v>13954</v>
      </c>
      <c r="D13" s="110">
        <f>TrRoad_act!D67</f>
        <v>13986</v>
      </c>
      <c r="E13" s="110">
        <f>TrRoad_act!E67</f>
        <v>14132</v>
      </c>
      <c r="F13" s="110">
        <f>TrRoad_act!F67</f>
        <v>14191</v>
      </c>
      <c r="G13" s="110">
        <f>TrRoad_act!G67</f>
        <v>14402</v>
      </c>
      <c r="H13" s="110">
        <f>TrRoad_act!H67</f>
        <v>14552</v>
      </c>
      <c r="I13" s="110">
        <f>TrRoad_act!I67</f>
        <v>14482</v>
      </c>
      <c r="J13" s="110">
        <f>TrRoad_act!J67</f>
        <v>14452</v>
      </c>
      <c r="K13" s="110">
        <f>TrRoad_act!K67</f>
        <v>14510</v>
      </c>
      <c r="L13" s="110">
        <f>TrRoad_act!L67</f>
        <v>14496</v>
      </c>
      <c r="M13" s="110">
        <f>TrRoad_act!M67</f>
        <v>14014</v>
      </c>
      <c r="N13" s="110">
        <f>TrRoad_act!N67</f>
        <v>13485</v>
      </c>
      <c r="O13" s="110">
        <f>TrRoad_act!O67</f>
        <v>13270</v>
      </c>
      <c r="P13" s="110">
        <f>TrRoad_act!P67</f>
        <v>13408</v>
      </c>
      <c r="Q13" s="110">
        <f>TrRoad_act!Q67</f>
        <v>13383</v>
      </c>
      <c r="R13" s="110">
        <f>TrRoad_act!R67</f>
        <v>13377</v>
      </c>
      <c r="S13" s="110">
        <f>TrRoad_act!S67</f>
        <v>13482</v>
      </c>
      <c r="T13" s="110">
        <f>TrRoad_act!T67</f>
        <v>13158</v>
      </c>
      <c r="U13" s="110">
        <f>TrRoad_act!U67</f>
        <v>13003</v>
      </c>
      <c r="V13" s="110">
        <f>TrRoad_act!V67</f>
        <v>12298</v>
      </c>
      <c r="W13" s="110">
        <f>TrRoad_act!W67</f>
        <v>11923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1589</v>
      </c>
      <c r="C14" s="102">
        <f>TrRoad_act!C68</f>
        <v>1589</v>
      </c>
      <c r="D14" s="102">
        <f>TrRoad_act!D68</f>
        <v>1577</v>
      </c>
      <c r="E14" s="102">
        <f>TrRoad_act!E68</f>
        <v>1003</v>
      </c>
      <c r="F14" s="102">
        <f>TrRoad_act!F68</f>
        <v>825</v>
      </c>
      <c r="G14" s="102">
        <f>TrRoad_act!G68</f>
        <v>762</v>
      </c>
      <c r="H14" s="102">
        <f>TrRoad_act!H68</f>
        <v>747</v>
      </c>
      <c r="I14" s="102">
        <f>TrRoad_act!I68</f>
        <v>717</v>
      </c>
      <c r="J14" s="102">
        <f>TrRoad_act!J68</f>
        <v>699</v>
      </c>
      <c r="K14" s="102">
        <f>TrRoad_act!K68</f>
        <v>679</v>
      </c>
      <c r="L14" s="102">
        <f>TrRoad_act!L68</f>
        <v>657</v>
      </c>
      <c r="M14" s="102">
        <f>TrRoad_act!M68</f>
        <v>639</v>
      </c>
      <c r="N14" s="102">
        <f>TrRoad_act!N68</f>
        <v>622</v>
      </c>
      <c r="O14" s="102">
        <f>TrRoad_act!O68</f>
        <v>662</v>
      </c>
      <c r="P14" s="102">
        <f>TrRoad_act!P68</f>
        <v>595</v>
      </c>
      <c r="Q14" s="102">
        <f>TrRoad_act!Q68</f>
        <v>529</v>
      </c>
      <c r="R14" s="102">
        <f>TrRoad_act!R68</f>
        <v>478</v>
      </c>
      <c r="S14" s="102">
        <f>TrRoad_act!S68</f>
        <v>437</v>
      </c>
      <c r="T14" s="102">
        <f>TrRoad_act!T68</f>
        <v>396</v>
      </c>
      <c r="U14" s="102">
        <f>TrRoad_act!U68</f>
        <v>363</v>
      </c>
      <c r="V14" s="102">
        <f>TrRoad_act!V68</f>
        <v>328</v>
      </c>
      <c r="W14" s="102">
        <f>TrRoad_act!W68</f>
        <v>309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12379</v>
      </c>
      <c r="C15" s="102">
        <f>TrRoad_act!C69</f>
        <v>12365</v>
      </c>
      <c r="D15" s="102">
        <f>TrRoad_act!D69</f>
        <v>12409</v>
      </c>
      <c r="E15" s="102">
        <f>TrRoad_act!E69</f>
        <v>13129</v>
      </c>
      <c r="F15" s="102">
        <f>TrRoad_act!F69</f>
        <v>13366</v>
      </c>
      <c r="G15" s="102">
        <f>TrRoad_act!G69</f>
        <v>13640</v>
      </c>
      <c r="H15" s="102">
        <f>TrRoad_act!H69</f>
        <v>13805</v>
      </c>
      <c r="I15" s="102">
        <f>TrRoad_act!I69</f>
        <v>13765</v>
      </c>
      <c r="J15" s="102">
        <f>TrRoad_act!J69</f>
        <v>13753</v>
      </c>
      <c r="K15" s="102">
        <f>TrRoad_act!K69</f>
        <v>13831</v>
      </c>
      <c r="L15" s="102">
        <f>TrRoad_act!L69</f>
        <v>13839</v>
      </c>
      <c r="M15" s="102">
        <f>TrRoad_act!M69</f>
        <v>13375</v>
      </c>
      <c r="N15" s="102">
        <f>TrRoad_act!N69</f>
        <v>12863</v>
      </c>
      <c r="O15" s="102">
        <f>TrRoad_act!O69</f>
        <v>12608</v>
      </c>
      <c r="P15" s="102">
        <f>TrRoad_act!P69</f>
        <v>12813</v>
      </c>
      <c r="Q15" s="102">
        <f>TrRoad_act!Q69</f>
        <v>12821</v>
      </c>
      <c r="R15" s="102">
        <f>TrRoad_act!R69</f>
        <v>12820</v>
      </c>
      <c r="S15" s="102">
        <f>TrRoad_act!S69</f>
        <v>12883</v>
      </c>
      <c r="T15" s="102">
        <f>TrRoad_act!T69</f>
        <v>12598</v>
      </c>
      <c r="U15" s="102">
        <f>TrRoad_act!U69</f>
        <v>12376</v>
      </c>
      <c r="V15" s="102">
        <f>TrRoad_act!V69</f>
        <v>11688</v>
      </c>
      <c r="W15" s="102">
        <f>TrRoad_act!W69</f>
        <v>11107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33</v>
      </c>
      <c r="R17" s="102">
        <f>TrRoad_act!R71</f>
        <v>73</v>
      </c>
      <c r="S17" s="102">
        <f>TrRoad_act!S71</f>
        <v>154</v>
      </c>
      <c r="T17" s="102">
        <f>TrRoad_act!T71</f>
        <v>154</v>
      </c>
      <c r="U17" s="102">
        <f>TrRoad_act!U71</f>
        <v>154</v>
      </c>
      <c r="V17" s="102">
        <f>TrRoad_act!V71</f>
        <v>169</v>
      </c>
      <c r="W17" s="102">
        <f>TrRoad_act!W71</f>
        <v>170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0</v>
      </c>
      <c r="Q18" s="102">
        <f>TrRoad_act!Q72</f>
        <v>0</v>
      </c>
      <c r="R18" s="102">
        <f>TrRoad_act!R72</f>
        <v>6</v>
      </c>
      <c r="S18" s="102">
        <f>TrRoad_act!S72</f>
        <v>8</v>
      </c>
      <c r="T18" s="102">
        <f>TrRoad_act!T72</f>
        <v>10</v>
      </c>
      <c r="U18" s="102">
        <f>TrRoad_act!U72</f>
        <v>110</v>
      </c>
      <c r="V18" s="102">
        <f>TrRoad_act!V72</f>
        <v>113</v>
      </c>
      <c r="W18" s="102">
        <f>TrRoad_act!W72</f>
        <v>337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378026</v>
      </c>
      <c r="C19" s="28">
        <f>TrRoad_act!C73</f>
        <v>386603</v>
      </c>
      <c r="D19" s="28">
        <f>TrRoad_act!D73</f>
        <v>396311</v>
      </c>
      <c r="E19" s="28">
        <f>TrRoad_act!E73</f>
        <v>407247</v>
      </c>
      <c r="F19" s="28">
        <f>TrRoad_act!F73</f>
        <v>430723</v>
      </c>
      <c r="G19" s="28">
        <f>TrRoad_act!G73</f>
        <v>464649</v>
      </c>
      <c r="H19" s="28">
        <f>TrRoad_act!H73</f>
        <v>505741</v>
      </c>
      <c r="I19" s="28">
        <f>TrRoad_act!I73</f>
        <v>533865</v>
      </c>
      <c r="J19" s="28">
        <f>TrRoad_act!J73</f>
        <v>530377</v>
      </c>
      <c r="K19" s="28">
        <f>TrRoad_act!K73</f>
        <v>507001</v>
      </c>
      <c r="L19" s="28">
        <f>TrRoad_act!L73</f>
        <v>486105</v>
      </c>
      <c r="M19" s="28">
        <f>TrRoad_act!M73</f>
        <v>470692</v>
      </c>
      <c r="N19" s="28">
        <f>TrRoad_act!N73</f>
        <v>461256</v>
      </c>
      <c r="O19" s="28">
        <f>TrRoad_act!O73</f>
        <v>447463</v>
      </c>
      <c r="P19" s="28">
        <f>TrRoad_act!P73</f>
        <v>442559</v>
      </c>
      <c r="Q19" s="28">
        <f>TrRoad_act!Q73</f>
        <v>440377</v>
      </c>
      <c r="R19" s="28">
        <f>TrRoad_act!R73</f>
        <v>443290</v>
      </c>
      <c r="S19" s="28">
        <f>TrRoad_act!S73</f>
        <v>442413</v>
      </c>
      <c r="T19" s="28">
        <f>TrRoad_act!T73</f>
        <v>436126</v>
      </c>
      <c r="U19" s="28">
        <f>TrRoad_act!U73</f>
        <v>427267</v>
      </c>
      <c r="V19" s="28">
        <f>TrRoad_act!V73</f>
        <v>424099</v>
      </c>
      <c r="W19" s="28">
        <f>TrRoad_act!W73</f>
        <v>422163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338279</v>
      </c>
      <c r="C20" s="137">
        <f>TrRoad_act!C74</f>
        <v>345061</v>
      </c>
      <c r="D20" s="137">
        <f>TrRoad_act!D74</f>
        <v>353421</v>
      </c>
      <c r="E20" s="137">
        <f>TrRoad_act!E74</f>
        <v>363707</v>
      </c>
      <c r="F20" s="137">
        <f>TrRoad_act!F74</f>
        <v>385132</v>
      </c>
      <c r="G20" s="137">
        <f>TrRoad_act!G74</f>
        <v>413192</v>
      </c>
      <c r="H20" s="137">
        <f>TrRoad_act!H74</f>
        <v>452034</v>
      </c>
      <c r="I20" s="137">
        <f>TrRoad_act!I74</f>
        <v>474292</v>
      </c>
      <c r="J20" s="137">
        <f>TrRoad_act!J74</f>
        <v>470672</v>
      </c>
      <c r="K20" s="137">
        <f>TrRoad_act!K74</f>
        <v>452138</v>
      </c>
      <c r="L20" s="137">
        <f>TrRoad_act!L74</f>
        <v>431723</v>
      </c>
      <c r="M20" s="137">
        <f>TrRoad_act!M74</f>
        <v>417607</v>
      </c>
      <c r="N20" s="137">
        <f>TrRoad_act!N74</f>
        <v>408998</v>
      </c>
      <c r="O20" s="137">
        <f>TrRoad_act!O74</f>
        <v>395568</v>
      </c>
      <c r="P20" s="137">
        <f>TrRoad_act!P74</f>
        <v>391228</v>
      </c>
      <c r="Q20" s="137">
        <f>TrRoad_act!Q74</f>
        <v>395654</v>
      </c>
      <c r="R20" s="137">
        <f>TrRoad_act!R74</f>
        <v>397001</v>
      </c>
      <c r="S20" s="137">
        <f>TrRoad_act!S74</f>
        <v>395548</v>
      </c>
      <c r="T20" s="137">
        <f>TrRoad_act!T74</f>
        <v>389461</v>
      </c>
      <c r="U20" s="137">
        <f>TrRoad_act!U74</f>
        <v>380175</v>
      </c>
      <c r="V20" s="137">
        <f>TrRoad_act!V74</f>
        <v>376435</v>
      </c>
      <c r="W20" s="137">
        <f>TrRoad_act!W74</f>
        <v>373470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70493</v>
      </c>
      <c r="C21" s="84">
        <f>TrRoad_act!C75</f>
        <v>70493</v>
      </c>
      <c r="D21" s="84">
        <f>TrRoad_act!D75</f>
        <v>70493</v>
      </c>
      <c r="E21" s="84">
        <f>TrRoad_act!E75</f>
        <v>70495</v>
      </c>
      <c r="F21" s="84">
        <f>TrRoad_act!F75</f>
        <v>70511</v>
      </c>
      <c r="G21" s="84">
        <f>TrRoad_act!G75</f>
        <v>70672</v>
      </c>
      <c r="H21" s="84">
        <f>TrRoad_act!H75</f>
        <v>72306</v>
      </c>
      <c r="I21" s="84">
        <f>TrRoad_act!I75</f>
        <v>65680</v>
      </c>
      <c r="J21" s="84">
        <f>TrRoad_act!J75</f>
        <v>61322</v>
      </c>
      <c r="K21" s="84">
        <f>TrRoad_act!K75</f>
        <v>56777</v>
      </c>
      <c r="L21" s="84">
        <f>TrRoad_act!L75</f>
        <v>51196</v>
      </c>
      <c r="M21" s="84">
        <f>TrRoad_act!M75</f>
        <v>48160</v>
      </c>
      <c r="N21" s="84">
        <f>TrRoad_act!N75</f>
        <v>43922</v>
      </c>
      <c r="O21" s="84">
        <f>TrRoad_act!O75</f>
        <v>39684</v>
      </c>
      <c r="P21" s="84">
        <f>TrRoad_act!P75</f>
        <v>35446</v>
      </c>
      <c r="Q21" s="84">
        <f>TrRoad_act!Q75</f>
        <v>31403</v>
      </c>
      <c r="R21" s="84">
        <f>TrRoad_act!R75</f>
        <v>29854</v>
      </c>
      <c r="S21" s="84">
        <f>TrRoad_act!S75</f>
        <v>27980</v>
      </c>
      <c r="T21" s="84">
        <f>TrRoad_act!T75</f>
        <v>25922</v>
      </c>
      <c r="U21" s="84">
        <f>TrRoad_act!U75</f>
        <v>23952</v>
      </c>
      <c r="V21" s="84">
        <f>TrRoad_act!V75</f>
        <v>23040</v>
      </c>
      <c r="W21" s="84">
        <f>TrRoad_act!W75</f>
        <v>22470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267586</v>
      </c>
      <c r="C22" s="84">
        <f>TrRoad_act!C76</f>
        <v>274350</v>
      </c>
      <c r="D22" s="84">
        <f>TrRoad_act!D76</f>
        <v>282693</v>
      </c>
      <c r="E22" s="84">
        <f>TrRoad_act!E76</f>
        <v>293000</v>
      </c>
      <c r="F22" s="84">
        <f>TrRoad_act!F76</f>
        <v>314430</v>
      </c>
      <c r="G22" s="84">
        <f>TrRoad_act!G76</f>
        <v>342349</v>
      </c>
      <c r="H22" s="84">
        <f>TrRoad_act!H76</f>
        <v>379576</v>
      </c>
      <c r="I22" s="84">
        <f>TrRoad_act!I76</f>
        <v>408482</v>
      </c>
      <c r="J22" s="84">
        <f>TrRoad_act!J76</f>
        <v>409245</v>
      </c>
      <c r="K22" s="84">
        <f>TrRoad_act!K76</f>
        <v>395278</v>
      </c>
      <c r="L22" s="84">
        <f>TrRoad_act!L76</f>
        <v>380527</v>
      </c>
      <c r="M22" s="84">
        <f>TrRoad_act!M76</f>
        <v>369447</v>
      </c>
      <c r="N22" s="84">
        <f>TrRoad_act!N76</f>
        <v>365060</v>
      </c>
      <c r="O22" s="84">
        <f>TrRoad_act!O76</f>
        <v>355831</v>
      </c>
      <c r="P22" s="84">
        <f>TrRoad_act!P76</f>
        <v>355741</v>
      </c>
      <c r="Q22" s="84">
        <f>TrRoad_act!Q76</f>
        <v>363338</v>
      </c>
      <c r="R22" s="84">
        <f>TrRoad_act!R76</f>
        <v>366177</v>
      </c>
      <c r="S22" s="84">
        <f>TrRoad_act!S76</f>
        <v>366455</v>
      </c>
      <c r="T22" s="84">
        <f>TrRoad_act!T76</f>
        <v>362411</v>
      </c>
      <c r="U22" s="84">
        <f>TrRoad_act!U76</f>
        <v>354898</v>
      </c>
      <c r="V22" s="84">
        <f>TrRoad_act!V76</f>
        <v>351593</v>
      </c>
      <c r="W22" s="84">
        <f>TrRoad_act!W76</f>
        <v>347556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200</v>
      </c>
      <c r="C23" s="84">
        <f>TrRoad_act!C77</f>
        <v>218</v>
      </c>
      <c r="D23" s="84">
        <f>TrRoad_act!D77</f>
        <v>235</v>
      </c>
      <c r="E23" s="84">
        <f>TrRoad_act!E77</f>
        <v>212</v>
      </c>
      <c r="F23" s="84">
        <f>TrRoad_act!F77</f>
        <v>191</v>
      </c>
      <c r="G23" s="84">
        <f>TrRoad_act!G77</f>
        <v>171</v>
      </c>
      <c r="H23" s="84">
        <f>TrRoad_act!H77</f>
        <v>152</v>
      </c>
      <c r="I23" s="84">
        <f>TrRoad_act!I77</f>
        <v>130</v>
      </c>
      <c r="J23" s="84">
        <f>TrRoad_act!J77</f>
        <v>105</v>
      </c>
      <c r="K23" s="84">
        <f>TrRoad_act!K77</f>
        <v>83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430</v>
      </c>
      <c r="R24" s="84">
        <f>TrRoad_act!R78</f>
        <v>450</v>
      </c>
      <c r="S24" s="84">
        <f>TrRoad_act!S78</f>
        <v>490</v>
      </c>
      <c r="T24" s="84">
        <f>TrRoad_act!T78</f>
        <v>486</v>
      </c>
      <c r="U24" s="84">
        <f>TrRoad_act!U78</f>
        <v>470</v>
      </c>
      <c r="V24" s="84">
        <f>TrRoad_act!V78</f>
        <v>452</v>
      </c>
      <c r="W24" s="84">
        <f>TrRoad_act!W78</f>
        <v>426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16</v>
      </c>
      <c r="O25" s="84">
        <f>TrRoad_act!O79</f>
        <v>53</v>
      </c>
      <c r="P25" s="84">
        <f>TrRoad_act!P79</f>
        <v>41</v>
      </c>
      <c r="Q25" s="84">
        <f>TrRoad_act!Q79</f>
        <v>483</v>
      </c>
      <c r="R25" s="84">
        <f>TrRoad_act!R79</f>
        <v>520</v>
      </c>
      <c r="S25" s="84">
        <f>TrRoad_act!S79</f>
        <v>623</v>
      </c>
      <c r="T25" s="84">
        <f>TrRoad_act!T79</f>
        <v>642</v>
      </c>
      <c r="U25" s="84">
        <f>TrRoad_act!U79</f>
        <v>855</v>
      </c>
      <c r="V25" s="84">
        <f>TrRoad_act!V79</f>
        <v>1350</v>
      </c>
      <c r="W25" s="84">
        <f>TrRoad_act!W79</f>
        <v>3018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39747</v>
      </c>
      <c r="C26" s="110">
        <f>TrRoad_act!C80</f>
        <v>41542</v>
      </c>
      <c r="D26" s="110">
        <f>TrRoad_act!D80</f>
        <v>42890</v>
      </c>
      <c r="E26" s="110">
        <f>TrRoad_act!E80</f>
        <v>43540</v>
      </c>
      <c r="F26" s="110">
        <f>TrRoad_act!F80</f>
        <v>45591</v>
      </c>
      <c r="G26" s="110">
        <f>TrRoad_act!G80</f>
        <v>51457</v>
      </c>
      <c r="H26" s="110">
        <f>TrRoad_act!H80</f>
        <v>53707</v>
      </c>
      <c r="I26" s="110">
        <f>TrRoad_act!I80</f>
        <v>59573</v>
      </c>
      <c r="J26" s="110">
        <f>TrRoad_act!J80</f>
        <v>59705</v>
      </c>
      <c r="K26" s="110">
        <f>TrRoad_act!K80</f>
        <v>54863</v>
      </c>
      <c r="L26" s="110">
        <f>TrRoad_act!L80</f>
        <v>54382</v>
      </c>
      <c r="M26" s="110">
        <f>TrRoad_act!M80</f>
        <v>53085</v>
      </c>
      <c r="N26" s="110">
        <f>TrRoad_act!N80</f>
        <v>52258</v>
      </c>
      <c r="O26" s="110">
        <f>TrRoad_act!O80</f>
        <v>51895</v>
      </c>
      <c r="P26" s="110">
        <f>TrRoad_act!P80</f>
        <v>51331</v>
      </c>
      <c r="Q26" s="110">
        <f>TrRoad_act!Q80</f>
        <v>44723</v>
      </c>
      <c r="R26" s="110">
        <f>TrRoad_act!R80</f>
        <v>46289</v>
      </c>
      <c r="S26" s="110">
        <f>TrRoad_act!S80</f>
        <v>46865</v>
      </c>
      <c r="T26" s="110">
        <f>TrRoad_act!T80</f>
        <v>46665</v>
      </c>
      <c r="U26" s="110">
        <f>TrRoad_act!U80</f>
        <v>47092</v>
      </c>
      <c r="V26" s="110">
        <f>TrRoad_act!V80</f>
        <v>47664</v>
      </c>
      <c r="W26" s="110">
        <f>TrRoad_act!W80</f>
        <v>48693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36335</v>
      </c>
      <c r="C27" s="102">
        <f>TrRoad_act!C81</f>
        <v>37884</v>
      </c>
      <c r="D27" s="102">
        <f>TrRoad_act!D81</f>
        <v>39041</v>
      </c>
      <c r="E27" s="102">
        <f>TrRoad_act!E81</f>
        <v>39606</v>
      </c>
      <c r="F27" s="102">
        <f>TrRoad_act!F81</f>
        <v>40940</v>
      </c>
      <c r="G27" s="102">
        <f>TrRoad_act!G81</f>
        <v>46643</v>
      </c>
      <c r="H27" s="102">
        <f>TrRoad_act!H81</f>
        <v>48532</v>
      </c>
      <c r="I27" s="102">
        <f>TrRoad_act!I81</f>
        <v>54082</v>
      </c>
      <c r="J27" s="102">
        <f>TrRoad_act!J81</f>
        <v>52775</v>
      </c>
      <c r="K27" s="102">
        <f>TrRoad_act!K81</f>
        <v>48940</v>
      </c>
      <c r="L27" s="102">
        <f>TrRoad_act!L81</f>
        <v>48847</v>
      </c>
      <c r="M27" s="102">
        <f>TrRoad_act!M81</f>
        <v>47746</v>
      </c>
      <c r="N27" s="102">
        <f>TrRoad_act!N81</f>
        <v>47014</v>
      </c>
      <c r="O27" s="102">
        <f>TrRoad_act!O81</f>
        <v>45990</v>
      </c>
      <c r="P27" s="102">
        <f>TrRoad_act!P81</f>
        <v>45860</v>
      </c>
      <c r="Q27" s="102">
        <f>TrRoad_act!Q81</f>
        <v>39182</v>
      </c>
      <c r="R27" s="102">
        <f>TrRoad_act!R81</f>
        <v>39903</v>
      </c>
      <c r="S27" s="102">
        <f>TrRoad_act!S81</f>
        <v>40354</v>
      </c>
      <c r="T27" s="102">
        <f>TrRoad_act!T81</f>
        <v>40655</v>
      </c>
      <c r="U27" s="102">
        <f>TrRoad_act!U81</f>
        <v>41005</v>
      </c>
      <c r="V27" s="102">
        <f>TrRoad_act!V81</f>
        <v>41054</v>
      </c>
      <c r="W27" s="102">
        <f>TrRoad_act!W81</f>
        <v>42027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3412</v>
      </c>
      <c r="C28" s="86">
        <f>TrRoad_act!C82</f>
        <v>3658</v>
      </c>
      <c r="D28" s="86">
        <f>TrRoad_act!D82</f>
        <v>3849</v>
      </c>
      <c r="E28" s="86">
        <f>TrRoad_act!E82</f>
        <v>3934</v>
      </c>
      <c r="F28" s="86">
        <f>TrRoad_act!F82</f>
        <v>4651</v>
      </c>
      <c r="G28" s="86">
        <f>TrRoad_act!G82</f>
        <v>4814</v>
      </c>
      <c r="H28" s="86">
        <f>TrRoad_act!H82</f>
        <v>5175</v>
      </c>
      <c r="I28" s="86">
        <f>TrRoad_act!I82</f>
        <v>5491</v>
      </c>
      <c r="J28" s="86">
        <f>TrRoad_act!J82</f>
        <v>6930</v>
      </c>
      <c r="K28" s="86">
        <f>TrRoad_act!K82</f>
        <v>5923</v>
      </c>
      <c r="L28" s="86">
        <f>TrRoad_act!L82</f>
        <v>5535</v>
      </c>
      <c r="M28" s="86">
        <f>TrRoad_act!M82</f>
        <v>5339</v>
      </c>
      <c r="N28" s="86">
        <f>TrRoad_act!N82</f>
        <v>5244</v>
      </c>
      <c r="O28" s="86">
        <f>TrRoad_act!O82</f>
        <v>5905</v>
      </c>
      <c r="P28" s="86">
        <f>TrRoad_act!P82</f>
        <v>5471</v>
      </c>
      <c r="Q28" s="86">
        <f>TrRoad_act!Q82</f>
        <v>5541</v>
      </c>
      <c r="R28" s="86">
        <f>TrRoad_act!R82</f>
        <v>6386</v>
      </c>
      <c r="S28" s="86">
        <f>TrRoad_act!S82</f>
        <v>6511</v>
      </c>
      <c r="T28" s="86">
        <f>TrRoad_act!T82</f>
        <v>6010</v>
      </c>
      <c r="U28" s="86">
        <f>TrRoad_act!U82</f>
        <v>6087</v>
      </c>
      <c r="V28" s="86">
        <f>TrRoad_act!V82</f>
        <v>6610</v>
      </c>
      <c r="W28" s="86">
        <f>TrRoad_act!W82</f>
        <v>6666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121644</v>
      </c>
      <c r="C30" s="54">
        <f>TrRoad_act!C111</f>
        <v>171134</v>
      </c>
      <c r="D30" s="54">
        <f>TrRoad_act!D111</f>
        <v>175179</v>
      </c>
      <c r="E30" s="54">
        <f>TrRoad_act!E111</f>
        <v>153045</v>
      </c>
      <c r="F30" s="54">
        <f>TrRoad_act!F111</f>
        <v>198030</v>
      </c>
      <c r="G30" s="54">
        <f>TrRoad_act!G111</f>
        <v>255533</v>
      </c>
      <c r="H30" s="54">
        <f>TrRoad_act!H111</f>
        <v>245360</v>
      </c>
      <c r="I30" s="54">
        <f>TrRoad_act!I111</f>
        <v>311632</v>
      </c>
      <c r="J30" s="54">
        <f>TrRoad_act!J111</f>
        <v>217330</v>
      </c>
      <c r="K30" s="54">
        <f>TrRoad_act!K111</f>
        <v>159911</v>
      </c>
      <c r="L30" s="54">
        <f>TrRoad_act!L111</f>
        <v>207167</v>
      </c>
      <c r="M30" s="54">
        <f>TrRoad_act!M111</f>
        <v>214164.00000000003</v>
      </c>
      <c r="N30" s="54">
        <f>TrRoad_act!N111</f>
        <v>236105</v>
      </c>
      <c r="O30" s="54">
        <f>TrRoad_act!O111</f>
        <v>245844.99999999997</v>
      </c>
      <c r="P30" s="54">
        <f>TrRoad_act!P111</f>
        <v>274019</v>
      </c>
      <c r="Q30" s="54">
        <f>TrRoad_act!Q111</f>
        <v>275137</v>
      </c>
      <c r="R30" s="54">
        <f>TrRoad_act!R111</f>
        <v>308973</v>
      </c>
      <c r="S30" s="54">
        <f>TrRoad_act!S111</f>
        <v>294007</v>
      </c>
      <c r="T30" s="54">
        <f>TrRoad_act!T111</f>
        <v>291915</v>
      </c>
      <c r="U30" s="54">
        <f>TrRoad_act!U111</f>
        <v>299933</v>
      </c>
      <c r="V30" s="54">
        <f>TrRoad_act!V111</f>
        <v>285441</v>
      </c>
      <c r="W30" s="54">
        <f>TrRoad_act!W111</f>
        <v>313109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121303</v>
      </c>
      <c r="C31" s="28">
        <f>TrRoad_act!C112</f>
        <v>119817</v>
      </c>
      <c r="D31" s="28">
        <f>TrRoad_act!D112</f>
        <v>121633</v>
      </c>
      <c r="E31" s="28">
        <f>TrRoad_act!E112</f>
        <v>100959</v>
      </c>
      <c r="F31" s="28">
        <f>TrRoad_act!F112</f>
        <v>136263</v>
      </c>
      <c r="G31" s="28">
        <f>TrRoad_act!G112</f>
        <v>187608</v>
      </c>
      <c r="H31" s="28">
        <f>TrRoad_act!H112</f>
        <v>171698</v>
      </c>
      <c r="I31" s="28">
        <f>TrRoad_act!I112</f>
        <v>247252</v>
      </c>
      <c r="J31" s="28">
        <f>TrRoad_act!J112</f>
        <v>177187</v>
      </c>
      <c r="K31" s="28">
        <f>TrRoad_act!K112</f>
        <v>130651.00000000001</v>
      </c>
      <c r="L31" s="28">
        <f>TrRoad_act!L112</f>
        <v>173736</v>
      </c>
      <c r="M31" s="28">
        <f>TrRoad_act!M112</f>
        <v>168501.00000000003</v>
      </c>
      <c r="N31" s="28">
        <f>TrRoad_act!N112</f>
        <v>180957</v>
      </c>
      <c r="O31" s="28">
        <f>TrRoad_act!O112</f>
        <v>194772.99999999997</v>
      </c>
      <c r="P31" s="28">
        <f>TrRoad_act!P112</f>
        <v>217983</v>
      </c>
      <c r="Q31" s="28">
        <f>TrRoad_act!Q112</f>
        <v>218465</v>
      </c>
      <c r="R31" s="28">
        <f>TrRoad_act!R112</f>
        <v>246557</v>
      </c>
      <c r="S31" s="28">
        <f>TrRoad_act!S112</f>
        <v>230335</v>
      </c>
      <c r="T31" s="28">
        <f>TrRoad_act!T112</f>
        <v>231150</v>
      </c>
      <c r="U31" s="28">
        <f>TrRoad_act!U112</f>
        <v>239455</v>
      </c>
      <c r="V31" s="28">
        <f>TrRoad_act!V112</f>
        <v>228099</v>
      </c>
      <c r="W31" s="28">
        <f>TrRoad_act!W112</f>
        <v>254475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6435</v>
      </c>
      <c r="C32" s="137">
        <f>TrRoad_act!C113</f>
        <v>19754</v>
      </c>
      <c r="D32" s="137">
        <f>TrRoad_act!D113</f>
        <v>13946</v>
      </c>
      <c r="E32" s="137">
        <f>TrRoad_act!E113</f>
        <v>13042</v>
      </c>
      <c r="F32" s="137">
        <f>TrRoad_act!F113</f>
        <v>17012</v>
      </c>
      <c r="G32" s="137">
        <f>TrRoad_act!G113</f>
        <v>23831</v>
      </c>
      <c r="H32" s="137">
        <f>TrRoad_act!H113</f>
        <v>28661</v>
      </c>
      <c r="I32" s="137">
        <f>TrRoad_act!I113</f>
        <v>31009</v>
      </c>
      <c r="J32" s="137">
        <f>TrRoad_act!J113</f>
        <v>20574</v>
      </c>
      <c r="K32" s="137">
        <f>TrRoad_act!K113</f>
        <v>7299</v>
      </c>
      <c r="L32" s="137">
        <f>TrRoad_act!L113</f>
        <v>5146</v>
      </c>
      <c r="M32" s="137">
        <f>TrRoad_act!M113</f>
        <v>3830</v>
      </c>
      <c r="N32" s="137">
        <f>TrRoad_act!N113</f>
        <v>3335</v>
      </c>
      <c r="O32" s="137">
        <f>TrRoad_act!O113</f>
        <v>3553</v>
      </c>
      <c r="P32" s="137">
        <f>TrRoad_act!P113</f>
        <v>4694</v>
      </c>
      <c r="Q32" s="137">
        <f>TrRoad_act!Q113</f>
        <v>6798</v>
      </c>
      <c r="R32" s="137">
        <f>TrRoad_act!R113</f>
        <v>5825</v>
      </c>
      <c r="S32" s="137">
        <f>TrRoad_act!S113</f>
        <v>6753</v>
      </c>
      <c r="T32" s="137">
        <f>TrRoad_act!T113</f>
        <v>8184</v>
      </c>
      <c r="U32" s="137">
        <f>TrRoad_act!U113</f>
        <v>7980</v>
      </c>
      <c r="V32" s="137">
        <f>TrRoad_act!V113</f>
        <v>8046</v>
      </c>
      <c r="W32" s="137">
        <f>TrRoad_act!W113</f>
        <v>8090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113631</v>
      </c>
      <c r="C33" s="110">
        <f>TrRoad_act!C114</f>
        <v>99005</v>
      </c>
      <c r="D33" s="110">
        <f>TrRoad_act!D114</f>
        <v>106422</v>
      </c>
      <c r="E33" s="110">
        <f>TrRoad_act!E114</f>
        <v>86697</v>
      </c>
      <c r="F33" s="110">
        <f>TrRoad_act!F114</f>
        <v>117494</v>
      </c>
      <c r="G33" s="110">
        <f>TrRoad_act!G114</f>
        <v>161334</v>
      </c>
      <c r="H33" s="110">
        <f>TrRoad_act!H114</f>
        <v>139849</v>
      </c>
      <c r="I33" s="110">
        <f>TrRoad_act!I114</f>
        <v>212331</v>
      </c>
      <c r="J33" s="110">
        <f>TrRoad_act!J114</f>
        <v>155422</v>
      </c>
      <c r="K33" s="110">
        <f>TrRoad_act!K114</f>
        <v>122240.00000000001</v>
      </c>
      <c r="L33" s="110">
        <f>TrRoad_act!L114</f>
        <v>167586</v>
      </c>
      <c r="M33" s="110">
        <f>TrRoad_act!M114</f>
        <v>163869.00000000003</v>
      </c>
      <c r="N33" s="110">
        <f>TrRoad_act!N114</f>
        <v>176858</v>
      </c>
      <c r="O33" s="110">
        <f>TrRoad_act!O114</f>
        <v>190603.99999999997</v>
      </c>
      <c r="P33" s="110">
        <f>TrRoad_act!P114</f>
        <v>212491</v>
      </c>
      <c r="Q33" s="110">
        <f>TrRoad_act!Q114</f>
        <v>210832</v>
      </c>
      <c r="R33" s="110">
        <f>TrRoad_act!R114</f>
        <v>239693</v>
      </c>
      <c r="S33" s="110">
        <f>TrRoad_act!S114</f>
        <v>222289</v>
      </c>
      <c r="T33" s="110">
        <f>TrRoad_act!T114</f>
        <v>222204</v>
      </c>
      <c r="U33" s="110">
        <f>TrRoad_act!U114</f>
        <v>230591</v>
      </c>
      <c r="V33" s="110">
        <f>TrRoad_act!V114</f>
        <v>219613</v>
      </c>
      <c r="W33" s="110">
        <f>TrRoad_act!W114</f>
        <v>245639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79476</v>
      </c>
      <c r="C34" s="84">
        <f>TrRoad_act!C115</f>
        <v>68759</v>
      </c>
      <c r="D34" s="84">
        <f>TrRoad_act!D115</f>
        <v>79538</v>
      </c>
      <c r="E34" s="84">
        <f>TrRoad_act!E115</f>
        <v>67812</v>
      </c>
      <c r="F34" s="84">
        <f>TrRoad_act!F115</f>
        <v>84994</v>
      </c>
      <c r="G34" s="84">
        <f>TrRoad_act!G115</f>
        <v>102028</v>
      </c>
      <c r="H34" s="84">
        <f>TrRoad_act!H115</f>
        <v>89639</v>
      </c>
      <c r="I34" s="84">
        <f>TrRoad_act!I115</f>
        <v>117219</v>
      </c>
      <c r="J34" s="84">
        <f>TrRoad_act!J115</f>
        <v>82188</v>
      </c>
      <c r="K34" s="84">
        <f>TrRoad_act!K115</f>
        <v>59670.000000000015</v>
      </c>
      <c r="L34" s="84">
        <f>TrRoad_act!L115</f>
        <v>80630</v>
      </c>
      <c r="M34" s="84">
        <f>TrRoad_act!M115</f>
        <v>88018.000000000029</v>
      </c>
      <c r="N34" s="84">
        <f>TrRoad_act!N115</f>
        <v>86591</v>
      </c>
      <c r="O34" s="84">
        <f>TrRoad_act!O115</f>
        <v>91853.999999999971</v>
      </c>
      <c r="P34" s="84">
        <f>TrRoad_act!P115</f>
        <v>94435</v>
      </c>
      <c r="Q34" s="84">
        <f>TrRoad_act!Q115</f>
        <v>80469</v>
      </c>
      <c r="R34" s="84">
        <f>TrRoad_act!R115</f>
        <v>157595</v>
      </c>
      <c r="S34" s="84">
        <f>TrRoad_act!S115</f>
        <v>143286</v>
      </c>
      <c r="T34" s="84">
        <f>TrRoad_act!T115</f>
        <v>144700</v>
      </c>
      <c r="U34" s="84">
        <f>TrRoad_act!U115</f>
        <v>160422</v>
      </c>
      <c r="V34" s="84">
        <f>TrRoad_act!V115</f>
        <v>140061</v>
      </c>
      <c r="W34" s="84">
        <f>TrRoad_act!W115</f>
        <v>142267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34155</v>
      </c>
      <c r="C35" s="84">
        <f>TrRoad_act!C116</f>
        <v>29788</v>
      </c>
      <c r="D35" s="84">
        <f>TrRoad_act!D116</f>
        <v>26884</v>
      </c>
      <c r="E35" s="84">
        <f>TrRoad_act!E116</f>
        <v>18885</v>
      </c>
      <c r="F35" s="84">
        <f>TrRoad_act!F116</f>
        <v>32500</v>
      </c>
      <c r="G35" s="84">
        <f>TrRoad_act!G116</f>
        <v>59306</v>
      </c>
      <c r="H35" s="84">
        <f>TrRoad_act!H116</f>
        <v>50210</v>
      </c>
      <c r="I35" s="84">
        <f>TrRoad_act!I116</f>
        <v>95112</v>
      </c>
      <c r="J35" s="84">
        <f>TrRoad_act!J116</f>
        <v>73234</v>
      </c>
      <c r="K35" s="84">
        <f>TrRoad_act!K116</f>
        <v>62539</v>
      </c>
      <c r="L35" s="84">
        <f>TrRoad_act!L116</f>
        <v>86936</v>
      </c>
      <c r="M35" s="84">
        <f>TrRoad_act!M116</f>
        <v>75436</v>
      </c>
      <c r="N35" s="84">
        <f>TrRoad_act!N116</f>
        <v>89762</v>
      </c>
      <c r="O35" s="84">
        <f>TrRoad_act!O116</f>
        <v>98206</v>
      </c>
      <c r="P35" s="84">
        <f>TrRoad_act!P116</f>
        <v>116387</v>
      </c>
      <c r="Q35" s="84">
        <f>TrRoad_act!Q116</f>
        <v>118311</v>
      </c>
      <c r="R35" s="84">
        <f>TrRoad_act!R116</f>
        <v>80223</v>
      </c>
      <c r="S35" s="84">
        <f>TrRoad_act!S116</f>
        <v>77498</v>
      </c>
      <c r="T35" s="84">
        <f>TrRoad_act!T116</f>
        <v>72492</v>
      </c>
      <c r="U35" s="84">
        <f>TrRoad_act!U116</f>
        <v>60601</v>
      </c>
      <c r="V35" s="84">
        <f>TrRoad_act!V116</f>
        <v>46773</v>
      </c>
      <c r="W35" s="84">
        <f>TrRoad_act!W116</f>
        <v>27998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458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0</v>
      </c>
      <c r="S36" s="84">
        <f>TrRoad_act!S117</f>
        <v>0</v>
      </c>
      <c r="T36" s="84">
        <f>TrRoad_act!T117</f>
        <v>0</v>
      </c>
      <c r="U36" s="84">
        <f>TrRoad_act!U117</f>
        <v>0</v>
      </c>
      <c r="V36" s="84">
        <f>TrRoad_act!V117</f>
        <v>0</v>
      </c>
      <c r="W36" s="84">
        <f>TrRoad_act!W117</f>
        <v>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36</v>
      </c>
      <c r="R37" s="84">
        <f>TrRoad_act!R118</f>
        <v>93</v>
      </c>
      <c r="S37" s="84">
        <f>TrRoad_act!S118</f>
        <v>175</v>
      </c>
      <c r="T37" s="84">
        <f>TrRoad_act!T118</f>
        <v>141</v>
      </c>
      <c r="U37" s="84">
        <f>TrRoad_act!U118</f>
        <v>144</v>
      </c>
      <c r="V37" s="84">
        <f>TrRoad_act!V118</f>
        <v>139</v>
      </c>
      <c r="W37" s="84">
        <f>TrRoad_act!W118</f>
        <v>137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33</v>
      </c>
      <c r="O38" s="84">
        <f>TrRoad_act!O119</f>
        <v>11</v>
      </c>
      <c r="P38" s="84">
        <f>TrRoad_act!P119</f>
        <v>100</v>
      </c>
      <c r="Q38" s="84">
        <f>TrRoad_act!Q119</f>
        <v>7487</v>
      </c>
      <c r="R38" s="84">
        <f>TrRoad_act!R119</f>
        <v>517</v>
      </c>
      <c r="S38" s="84">
        <f>TrRoad_act!S119</f>
        <v>562</v>
      </c>
      <c r="T38" s="84">
        <f>TrRoad_act!T119</f>
        <v>3327</v>
      </c>
      <c r="U38" s="84">
        <f>TrRoad_act!U119</f>
        <v>3923</v>
      </c>
      <c r="V38" s="84">
        <f>TrRoad_act!V119</f>
        <v>18392</v>
      </c>
      <c r="W38" s="84">
        <f>TrRoad_act!W119</f>
        <v>42541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31</v>
      </c>
      <c r="L39" s="84">
        <f>TrRoad_act!L120</f>
        <v>20</v>
      </c>
      <c r="M39" s="84">
        <f>TrRoad_act!M120</f>
        <v>415</v>
      </c>
      <c r="N39" s="84">
        <f>TrRoad_act!N120</f>
        <v>472</v>
      </c>
      <c r="O39" s="84">
        <f>TrRoad_act!O120</f>
        <v>533</v>
      </c>
      <c r="P39" s="84">
        <f>TrRoad_act!P120</f>
        <v>1569</v>
      </c>
      <c r="Q39" s="84">
        <f>TrRoad_act!Q120</f>
        <v>4529</v>
      </c>
      <c r="R39" s="84">
        <f>TrRoad_act!R120</f>
        <v>1265</v>
      </c>
      <c r="S39" s="84">
        <f>TrRoad_act!S120</f>
        <v>768</v>
      </c>
      <c r="T39" s="84">
        <f>TrRoad_act!T120</f>
        <v>1544</v>
      </c>
      <c r="U39" s="84">
        <f>TrRoad_act!U120</f>
        <v>5501</v>
      </c>
      <c r="V39" s="84">
        <f>TrRoad_act!V120</f>
        <v>14248</v>
      </c>
      <c r="W39" s="84">
        <f>TrRoad_act!W120</f>
        <v>32696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1237</v>
      </c>
      <c r="C40" s="110">
        <f>TrRoad_act!C121</f>
        <v>1058</v>
      </c>
      <c r="D40" s="110">
        <f>TrRoad_act!D121</f>
        <v>1265</v>
      </c>
      <c r="E40" s="110">
        <f>TrRoad_act!E121</f>
        <v>1220</v>
      </c>
      <c r="F40" s="110">
        <f>TrRoad_act!F121</f>
        <v>1757</v>
      </c>
      <c r="G40" s="110">
        <f>TrRoad_act!G121</f>
        <v>2443</v>
      </c>
      <c r="H40" s="110">
        <f>TrRoad_act!H121</f>
        <v>3188</v>
      </c>
      <c r="I40" s="110">
        <f>TrRoad_act!I121</f>
        <v>3912</v>
      </c>
      <c r="J40" s="110">
        <f>TrRoad_act!J121</f>
        <v>1191</v>
      </c>
      <c r="K40" s="110">
        <f>TrRoad_act!K121</f>
        <v>1112</v>
      </c>
      <c r="L40" s="110">
        <f>TrRoad_act!L121</f>
        <v>1004</v>
      </c>
      <c r="M40" s="110">
        <f>TrRoad_act!M121</f>
        <v>802</v>
      </c>
      <c r="N40" s="110">
        <f>TrRoad_act!N121</f>
        <v>764</v>
      </c>
      <c r="O40" s="110">
        <f>TrRoad_act!O121</f>
        <v>616</v>
      </c>
      <c r="P40" s="110">
        <f>TrRoad_act!P121</f>
        <v>798</v>
      </c>
      <c r="Q40" s="110">
        <f>TrRoad_act!Q121</f>
        <v>835</v>
      </c>
      <c r="R40" s="110">
        <f>TrRoad_act!R121</f>
        <v>1039</v>
      </c>
      <c r="S40" s="110">
        <f>TrRoad_act!S121</f>
        <v>1293</v>
      </c>
      <c r="T40" s="110">
        <f>TrRoad_act!T121</f>
        <v>762</v>
      </c>
      <c r="U40" s="110">
        <f>TrRoad_act!U121</f>
        <v>884</v>
      </c>
      <c r="V40" s="110">
        <f>TrRoad_act!V121</f>
        <v>440</v>
      </c>
      <c r="W40" s="110">
        <f>TrRoad_act!W121</f>
        <v>746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90</v>
      </c>
      <c r="H41" s="102">
        <f>TrRoad_act!H122</f>
        <v>126</v>
      </c>
      <c r="I41" s="102">
        <f>TrRoad_act!I122</f>
        <v>99</v>
      </c>
      <c r="J41" s="102">
        <f>TrRoad_act!J122</f>
        <v>90</v>
      </c>
      <c r="K41" s="102">
        <f>TrRoad_act!K122</f>
        <v>72</v>
      </c>
      <c r="L41" s="102">
        <f>TrRoad_act!L122</f>
        <v>54</v>
      </c>
      <c r="M41" s="102">
        <f>TrRoad_act!M122</f>
        <v>45</v>
      </c>
      <c r="N41" s="102">
        <f>TrRoad_act!N122</f>
        <v>36</v>
      </c>
      <c r="O41" s="102">
        <f>TrRoad_act!O122</f>
        <v>40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1237</v>
      </c>
      <c r="C42" s="102">
        <f>TrRoad_act!C123</f>
        <v>1058</v>
      </c>
      <c r="D42" s="102">
        <f>TrRoad_act!D123</f>
        <v>1265</v>
      </c>
      <c r="E42" s="102">
        <f>TrRoad_act!E123</f>
        <v>1220</v>
      </c>
      <c r="F42" s="102">
        <f>TrRoad_act!F123</f>
        <v>1757</v>
      </c>
      <c r="G42" s="102">
        <f>TrRoad_act!G123</f>
        <v>2353</v>
      </c>
      <c r="H42" s="102">
        <f>TrRoad_act!H123</f>
        <v>3062</v>
      </c>
      <c r="I42" s="102">
        <f>TrRoad_act!I123</f>
        <v>3813</v>
      </c>
      <c r="J42" s="102">
        <f>TrRoad_act!J123</f>
        <v>1101</v>
      </c>
      <c r="K42" s="102">
        <f>TrRoad_act!K123</f>
        <v>1040</v>
      </c>
      <c r="L42" s="102">
        <f>TrRoad_act!L123</f>
        <v>950</v>
      </c>
      <c r="M42" s="102">
        <f>TrRoad_act!M123</f>
        <v>757</v>
      </c>
      <c r="N42" s="102">
        <f>TrRoad_act!N123</f>
        <v>728</v>
      </c>
      <c r="O42" s="102">
        <f>TrRoad_act!O123</f>
        <v>576</v>
      </c>
      <c r="P42" s="102">
        <f>TrRoad_act!P123</f>
        <v>798</v>
      </c>
      <c r="Q42" s="102">
        <f>TrRoad_act!Q123</f>
        <v>802</v>
      </c>
      <c r="R42" s="102">
        <f>TrRoad_act!R123</f>
        <v>993</v>
      </c>
      <c r="S42" s="102">
        <f>TrRoad_act!S123</f>
        <v>1210</v>
      </c>
      <c r="T42" s="102">
        <f>TrRoad_act!T123</f>
        <v>760</v>
      </c>
      <c r="U42" s="102">
        <f>TrRoad_act!U123</f>
        <v>783</v>
      </c>
      <c r="V42" s="102">
        <f>TrRoad_act!V123</f>
        <v>421</v>
      </c>
      <c r="W42" s="102">
        <f>TrRoad_act!W123</f>
        <v>520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33</v>
      </c>
      <c r="R44" s="102">
        <f>TrRoad_act!R125</f>
        <v>40</v>
      </c>
      <c r="S44" s="102">
        <f>TrRoad_act!S125</f>
        <v>81</v>
      </c>
      <c r="T44" s="102">
        <f>TrRoad_act!T125</f>
        <v>0</v>
      </c>
      <c r="U44" s="102">
        <f>TrRoad_act!U125</f>
        <v>1</v>
      </c>
      <c r="V44" s="102">
        <f>TrRoad_act!V125</f>
        <v>16</v>
      </c>
      <c r="W44" s="102">
        <f>TrRoad_act!W125</f>
        <v>2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6</v>
      </c>
      <c r="S45" s="102">
        <f>TrRoad_act!S126</f>
        <v>2</v>
      </c>
      <c r="T45" s="102">
        <f>TrRoad_act!T126</f>
        <v>2</v>
      </c>
      <c r="U45" s="102">
        <f>TrRoad_act!U126</f>
        <v>100</v>
      </c>
      <c r="V45" s="102">
        <f>TrRoad_act!V126</f>
        <v>3</v>
      </c>
      <c r="W45" s="102">
        <f>TrRoad_act!W126</f>
        <v>224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341</v>
      </c>
      <c r="C46" s="28">
        <f>TrRoad_act!C127</f>
        <v>51317</v>
      </c>
      <c r="D46" s="28">
        <f>TrRoad_act!D127</f>
        <v>53546</v>
      </c>
      <c r="E46" s="28">
        <f>TrRoad_act!E127</f>
        <v>52086</v>
      </c>
      <c r="F46" s="28">
        <f>TrRoad_act!F127</f>
        <v>61767</v>
      </c>
      <c r="G46" s="28">
        <f>TrRoad_act!G127</f>
        <v>67925</v>
      </c>
      <c r="H46" s="28">
        <f>TrRoad_act!H127</f>
        <v>73662</v>
      </c>
      <c r="I46" s="28">
        <f>TrRoad_act!I127</f>
        <v>64380</v>
      </c>
      <c r="J46" s="28">
        <f>TrRoad_act!J127</f>
        <v>40143</v>
      </c>
      <c r="K46" s="28">
        <f>TrRoad_act!K127</f>
        <v>29260</v>
      </c>
      <c r="L46" s="28">
        <f>TrRoad_act!L127</f>
        <v>33431</v>
      </c>
      <c r="M46" s="28">
        <f>TrRoad_act!M127</f>
        <v>45663</v>
      </c>
      <c r="N46" s="28">
        <f>TrRoad_act!N127</f>
        <v>55148</v>
      </c>
      <c r="O46" s="28">
        <f>TrRoad_act!O127</f>
        <v>51072</v>
      </c>
      <c r="P46" s="28">
        <f>TrRoad_act!P127</f>
        <v>56036</v>
      </c>
      <c r="Q46" s="28">
        <f>TrRoad_act!Q127</f>
        <v>56672</v>
      </c>
      <c r="R46" s="28">
        <f>TrRoad_act!R127</f>
        <v>62416</v>
      </c>
      <c r="S46" s="28">
        <f>TrRoad_act!S127</f>
        <v>63672</v>
      </c>
      <c r="T46" s="28">
        <f>TrRoad_act!T127</f>
        <v>60765</v>
      </c>
      <c r="U46" s="28">
        <f>TrRoad_act!U127</f>
        <v>60478</v>
      </c>
      <c r="V46" s="28">
        <f>TrRoad_act!V127</f>
        <v>57342</v>
      </c>
      <c r="W46" s="28">
        <f>TrRoad_act!W127</f>
        <v>58634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49057</v>
      </c>
      <c r="D47" s="137">
        <f>TrRoad_act!D128</f>
        <v>50638</v>
      </c>
      <c r="E47" s="137">
        <f>TrRoad_act!E128</f>
        <v>49317</v>
      </c>
      <c r="F47" s="137">
        <f>TrRoad_act!F128</f>
        <v>57207</v>
      </c>
      <c r="G47" s="137">
        <f>TrRoad_act!G128</f>
        <v>60742</v>
      </c>
      <c r="H47" s="137">
        <f>TrRoad_act!H128</f>
        <v>69997</v>
      </c>
      <c r="I47" s="137">
        <f>TrRoad_act!I128</f>
        <v>56055</v>
      </c>
      <c r="J47" s="137">
        <f>TrRoad_act!J128</f>
        <v>36577</v>
      </c>
      <c r="K47" s="137">
        <f>TrRoad_act!K128</f>
        <v>28732</v>
      </c>
      <c r="L47" s="137">
        <f>TrRoad_act!L128</f>
        <v>32768</v>
      </c>
      <c r="M47" s="137">
        <f>TrRoad_act!M128</f>
        <v>43455</v>
      </c>
      <c r="N47" s="137">
        <f>TrRoad_act!N128</f>
        <v>51994</v>
      </c>
      <c r="O47" s="137">
        <f>TrRoad_act!O128</f>
        <v>47428</v>
      </c>
      <c r="P47" s="137">
        <f>TrRoad_act!P128</f>
        <v>52566</v>
      </c>
      <c r="Q47" s="137">
        <f>TrRoad_act!Q128</f>
        <v>55437</v>
      </c>
      <c r="R47" s="137">
        <f>TrRoad_act!R128</f>
        <v>59605</v>
      </c>
      <c r="S47" s="137">
        <f>TrRoad_act!S128</f>
        <v>58867</v>
      </c>
      <c r="T47" s="137">
        <f>TrRoad_act!T128</f>
        <v>56853</v>
      </c>
      <c r="U47" s="137">
        <f>TrRoad_act!U128</f>
        <v>56105</v>
      </c>
      <c r="V47" s="137">
        <f>TrRoad_act!V128</f>
        <v>54077</v>
      </c>
      <c r="W47" s="137">
        <f>TrRoad_act!W128</f>
        <v>54549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8812</v>
      </c>
      <c r="D48" s="84">
        <f>TrRoad_act!D129</f>
        <v>8812</v>
      </c>
      <c r="E48" s="84">
        <f>TrRoad_act!E129</f>
        <v>8135</v>
      </c>
      <c r="F48" s="84">
        <f>TrRoad_act!F129</f>
        <v>7472</v>
      </c>
      <c r="G48" s="84">
        <f>TrRoad_act!G129</f>
        <v>6967</v>
      </c>
      <c r="H48" s="84">
        <f>TrRoad_act!H129</f>
        <v>8071</v>
      </c>
      <c r="I48" s="84">
        <f>TrRoad_act!I129</f>
        <v>181</v>
      </c>
      <c r="J48" s="84">
        <f>TrRoad_act!J129</f>
        <v>3449</v>
      </c>
      <c r="K48" s="84">
        <f>TrRoad_act!K129</f>
        <v>4255</v>
      </c>
      <c r="L48" s="84">
        <f>TrRoad_act!L129</f>
        <v>3745</v>
      </c>
      <c r="M48" s="84">
        <f>TrRoad_act!M129</f>
        <v>6290</v>
      </c>
      <c r="N48" s="84">
        <f>TrRoad_act!N129</f>
        <v>4561</v>
      </c>
      <c r="O48" s="84">
        <f>TrRoad_act!O129</f>
        <v>3368</v>
      </c>
      <c r="P48" s="84">
        <f>TrRoad_act!P129</f>
        <v>1822</v>
      </c>
      <c r="Q48" s="84">
        <f>TrRoad_act!Q129</f>
        <v>2186</v>
      </c>
      <c r="R48" s="84">
        <f>TrRoad_act!R129</f>
        <v>2421</v>
      </c>
      <c r="S48" s="84">
        <f>TrRoad_act!S129</f>
        <v>2196</v>
      </c>
      <c r="T48" s="84">
        <f>TrRoad_act!T129</f>
        <v>1952</v>
      </c>
      <c r="U48" s="84">
        <f>TrRoad_act!U129</f>
        <v>1991</v>
      </c>
      <c r="V48" s="84">
        <f>TrRoad_act!V129</f>
        <v>1972</v>
      </c>
      <c r="W48" s="84">
        <f>TrRoad_act!W129</f>
        <v>2001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40212</v>
      </c>
      <c r="D49" s="84">
        <f>TrRoad_act!D130</f>
        <v>41792</v>
      </c>
      <c r="E49" s="84">
        <f>TrRoad_act!E130</f>
        <v>41182</v>
      </c>
      <c r="F49" s="84">
        <f>TrRoad_act!F130</f>
        <v>49735</v>
      </c>
      <c r="G49" s="84">
        <f>TrRoad_act!G130</f>
        <v>53775</v>
      </c>
      <c r="H49" s="84">
        <f>TrRoad_act!H130</f>
        <v>61926</v>
      </c>
      <c r="I49" s="84">
        <f>TrRoad_act!I130</f>
        <v>55874</v>
      </c>
      <c r="J49" s="84">
        <f>TrRoad_act!J130</f>
        <v>33128</v>
      </c>
      <c r="K49" s="84">
        <f>TrRoad_act!K130</f>
        <v>24477</v>
      </c>
      <c r="L49" s="84">
        <f>TrRoad_act!L130</f>
        <v>29023</v>
      </c>
      <c r="M49" s="84">
        <f>TrRoad_act!M130</f>
        <v>37165</v>
      </c>
      <c r="N49" s="84">
        <f>TrRoad_act!N130</f>
        <v>47417</v>
      </c>
      <c r="O49" s="84">
        <f>TrRoad_act!O130</f>
        <v>44007</v>
      </c>
      <c r="P49" s="84">
        <f>TrRoad_act!P130</f>
        <v>50703</v>
      </c>
      <c r="Q49" s="84">
        <f>TrRoad_act!Q130</f>
        <v>52338</v>
      </c>
      <c r="R49" s="84">
        <f>TrRoad_act!R130</f>
        <v>57101</v>
      </c>
      <c r="S49" s="84">
        <f>TrRoad_act!S130</f>
        <v>56519</v>
      </c>
      <c r="T49" s="84">
        <f>TrRoad_act!T130</f>
        <v>54759</v>
      </c>
      <c r="U49" s="84">
        <f>TrRoad_act!U130</f>
        <v>53891</v>
      </c>
      <c r="V49" s="84">
        <f>TrRoad_act!V130</f>
        <v>51599</v>
      </c>
      <c r="W49" s="84">
        <f>TrRoad_act!W130</f>
        <v>50868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33</v>
      </c>
      <c r="D50" s="84">
        <f>TrRoad_act!D131</f>
        <v>34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430</v>
      </c>
      <c r="R51" s="84">
        <f>TrRoad_act!R132</f>
        <v>22</v>
      </c>
      <c r="S51" s="84">
        <f>TrRoad_act!S132</f>
        <v>46</v>
      </c>
      <c r="T51" s="84">
        <f>TrRoad_act!T132</f>
        <v>7</v>
      </c>
      <c r="U51" s="84">
        <f>TrRoad_act!U132</f>
        <v>0</v>
      </c>
      <c r="V51" s="84">
        <f>TrRoad_act!V132</f>
        <v>2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16</v>
      </c>
      <c r="O52" s="84">
        <f>TrRoad_act!O133</f>
        <v>53</v>
      </c>
      <c r="P52" s="84">
        <f>TrRoad_act!P133</f>
        <v>41</v>
      </c>
      <c r="Q52" s="84">
        <f>TrRoad_act!Q133</f>
        <v>483</v>
      </c>
      <c r="R52" s="84">
        <f>TrRoad_act!R133</f>
        <v>61</v>
      </c>
      <c r="S52" s="84">
        <f>TrRoad_act!S133</f>
        <v>106</v>
      </c>
      <c r="T52" s="84">
        <f>TrRoad_act!T133</f>
        <v>135</v>
      </c>
      <c r="U52" s="84">
        <f>TrRoad_act!U133</f>
        <v>223</v>
      </c>
      <c r="V52" s="84">
        <f>TrRoad_act!V133</f>
        <v>504</v>
      </c>
      <c r="W52" s="84">
        <f>TrRoad_act!W133</f>
        <v>1680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341</v>
      </c>
      <c r="C53" s="110">
        <f>TrRoad_act!C134</f>
        <v>2260</v>
      </c>
      <c r="D53" s="110">
        <f>TrRoad_act!D134</f>
        <v>2908</v>
      </c>
      <c r="E53" s="110">
        <f>TrRoad_act!E134</f>
        <v>2769</v>
      </c>
      <c r="F53" s="110">
        <f>TrRoad_act!F134</f>
        <v>4560</v>
      </c>
      <c r="G53" s="110">
        <f>TrRoad_act!G134</f>
        <v>7183</v>
      </c>
      <c r="H53" s="110">
        <f>TrRoad_act!H134</f>
        <v>3665</v>
      </c>
      <c r="I53" s="110">
        <f>TrRoad_act!I134</f>
        <v>8325</v>
      </c>
      <c r="J53" s="110">
        <f>TrRoad_act!J134</f>
        <v>3566</v>
      </c>
      <c r="K53" s="110">
        <f>TrRoad_act!K134</f>
        <v>528</v>
      </c>
      <c r="L53" s="110">
        <f>TrRoad_act!L134</f>
        <v>663</v>
      </c>
      <c r="M53" s="110">
        <f>TrRoad_act!M134</f>
        <v>2208</v>
      </c>
      <c r="N53" s="110">
        <f>TrRoad_act!N134</f>
        <v>3154</v>
      </c>
      <c r="O53" s="110">
        <f>TrRoad_act!O134</f>
        <v>3644</v>
      </c>
      <c r="P53" s="110">
        <f>TrRoad_act!P134</f>
        <v>3470</v>
      </c>
      <c r="Q53" s="110">
        <f>TrRoad_act!Q134</f>
        <v>1235</v>
      </c>
      <c r="R53" s="110">
        <f>TrRoad_act!R134</f>
        <v>2811</v>
      </c>
      <c r="S53" s="110">
        <f>TrRoad_act!S134</f>
        <v>4805</v>
      </c>
      <c r="T53" s="110">
        <f>TrRoad_act!T134</f>
        <v>3912</v>
      </c>
      <c r="U53" s="110">
        <f>TrRoad_act!U134</f>
        <v>4373</v>
      </c>
      <c r="V53" s="110">
        <f>TrRoad_act!V134</f>
        <v>3265</v>
      </c>
      <c r="W53" s="110">
        <f>TrRoad_act!W134</f>
        <v>4085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1680</v>
      </c>
      <c r="D54" s="102">
        <f>TrRoad_act!D135</f>
        <v>2326</v>
      </c>
      <c r="E54" s="102">
        <f>TrRoad_act!E135</f>
        <v>2241</v>
      </c>
      <c r="F54" s="102">
        <f>TrRoad_act!F135</f>
        <v>3360</v>
      </c>
      <c r="G54" s="102">
        <f>TrRoad_act!G135</f>
        <v>6496</v>
      </c>
      <c r="H54" s="102">
        <f>TrRoad_act!H135</f>
        <v>2750</v>
      </c>
      <c r="I54" s="102">
        <f>TrRoad_act!I135</f>
        <v>7436</v>
      </c>
      <c r="J54" s="102">
        <f>TrRoad_act!J135</f>
        <v>1540</v>
      </c>
      <c r="K54" s="102">
        <f>TrRoad_act!K135</f>
        <v>528</v>
      </c>
      <c r="L54" s="102">
        <f>TrRoad_act!L135</f>
        <v>489</v>
      </c>
      <c r="M54" s="102">
        <f>TrRoad_act!M135</f>
        <v>1797</v>
      </c>
      <c r="N54" s="102">
        <f>TrRoad_act!N135</f>
        <v>2609</v>
      </c>
      <c r="O54" s="102">
        <f>TrRoad_act!O135</f>
        <v>2318</v>
      </c>
      <c r="P54" s="102">
        <f>TrRoad_act!P135</f>
        <v>3207</v>
      </c>
      <c r="Q54" s="102">
        <f>TrRoad_act!Q135</f>
        <v>459</v>
      </c>
      <c r="R54" s="102">
        <f>TrRoad_act!R135</f>
        <v>1254</v>
      </c>
      <c r="S54" s="102">
        <f>TrRoad_act!S135</f>
        <v>3951</v>
      </c>
      <c r="T54" s="102">
        <f>TrRoad_act!T135</f>
        <v>3664</v>
      </c>
      <c r="U54" s="102">
        <f>TrRoad_act!U135</f>
        <v>3542</v>
      </c>
      <c r="V54" s="102">
        <f>TrRoad_act!V135</f>
        <v>1995</v>
      </c>
      <c r="W54" s="102">
        <f>TrRoad_act!W135</f>
        <v>3304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341</v>
      </c>
      <c r="C55" s="86">
        <f>TrRoad_act!C136</f>
        <v>580</v>
      </c>
      <c r="D55" s="86">
        <f>TrRoad_act!D136</f>
        <v>582</v>
      </c>
      <c r="E55" s="86">
        <f>TrRoad_act!E136</f>
        <v>528</v>
      </c>
      <c r="F55" s="86">
        <f>TrRoad_act!F136</f>
        <v>1200</v>
      </c>
      <c r="G55" s="86">
        <f>TrRoad_act!G136</f>
        <v>687</v>
      </c>
      <c r="H55" s="86">
        <f>TrRoad_act!H136</f>
        <v>915</v>
      </c>
      <c r="I55" s="86">
        <f>TrRoad_act!I136</f>
        <v>889</v>
      </c>
      <c r="J55" s="86">
        <f>TrRoad_act!J136</f>
        <v>2026</v>
      </c>
      <c r="K55" s="86">
        <f>TrRoad_act!K136</f>
        <v>0</v>
      </c>
      <c r="L55" s="86">
        <f>TrRoad_act!L136</f>
        <v>174</v>
      </c>
      <c r="M55" s="86">
        <f>TrRoad_act!M136</f>
        <v>411</v>
      </c>
      <c r="N55" s="86">
        <f>TrRoad_act!N136</f>
        <v>545</v>
      </c>
      <c r="O55" s="86">
        <f>TrRoad_act!O136</f>
        <v>1326</v>
      </c>
      <c r="P55" s="86">
        <f>TrRoad_act!P136</f>
        <v>263</v>
      </c>
      <c r="Q55" s="86">
        <f>TrRoad_act!Q136</f>
        <v>776</v>
      </c>
      <c r="R55" s="86">
        <f>TrRoad_act!R136</f>
        <v>1557</v>
      </c>
      <c r="S55" s="86">
        <f>TrRoad_act!S136</f>
        <v>854</v>
      </c>
      <c r="T55" s="86">
        <f>TrRoad_act!T136</f>
        <v>248</v>
      </c>
      <c r="U55" s="86">
        <f>TrRoad_act!U136</f>
        <v>831</v>
      </c>
      <c r="V55" s="86">
        <f>TrRoad_act!V136</f>
        <v>1270</v>
      </c>
      <c r="W55" s="86">
        <f>TrRoad_act!W136</f>
        <v>781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147773</v>
      </c>
      <c r="C59" s="54">
        <f t="shared" si="0"/>
        <v>33779</v>
      </c>
      <c r="D59" s="54">
        <f t="shared" si="0"/>
        <v>38199</v>
      </c>
      <c r="E59" s="54">
        <f t="shared" si="0"/>
        <v>37108</v>
      </c>
      <c r="F59" s="54">
        <f t="shared" si="0"/>
        <v>52365</v>
      </c>
      <c r="G59" s="54">
        <f t="shared" si="0"/>
        <v>74677</v>
      </c>
      <c r="H59" s="54">
        <f t="shared" si="0"/>
        <v>75901</v>
      </c>
      <c r="I59" s="54">
        <f t="shared" si="0"/>
        <v>118672</v>
      </c>
      <c r="J59" s="54">
        <f t="shared" si="0"/>
        <v>95820</v>
      </c>
      <c r="K59" s="54">
        <f t="shared" si="0"/>
        <v>73428</v>
      </c>
      <c r="L59" s="54">
        <f t="shared" ref="L59" si="1">L60+L75</f>
        <v>106298</v>
      </c>
      <c r="M59" s="54">
        <f t="shared" ref="M59:V59" si="2">M60+M75</f>
        <v>118920</v>
      </c>
      <c r="N59" s="54">
        <f t="shared" si="2"/>
        <v>137642</v>
      </c>
      <c r="O59" s="54">
        <f t="shared" si="2"/>
        <v>158028</v>
      </c>
      <c r="P59" s="54">
        <f t="shared" si="2"/>
        <v>185549</v>
      </c>
      <c r="Q59" s="54">
        <f t="shared" si="2"/>
        <v>218474</v>
      </c>
      <c r="R59" s="54">
        <f t="shared" si="2"/>
        <v>286210</v>
      </c>
      <c r="S59" s="54">
        <f t="shared" si="2"/>
        <v>281667</v>
      </c>
      <c r="T59" s="54">
        <f t="shared" si="2"/>
        <v>285954</v>
      </c>
      <c r="U59" s="54">
        <f t="shared" si="2"/>
        <v>297591</v>
      </c>
      <c r="V59" s="54">
        <f t="shared" si="2"/>
        <v>281424</v>
      </c>
      <c r="W59" s="54">
        <f t="shared" ref="W59" si="3">W60+W75</f>
        <v>313109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147773</v>
      </c>
      <c r="C60" s="28">
        <f t="shared" si="4"/>
        <v>33779</v>
      </c>
      <c r="D60" s="28">
        <f t="shared" si="4"/>
        <v>38199</v>
      </c>
      <c r="E60" s="28">
        <f t="shared" si="4"/>
        <v>37108</v>
      </c>
      <c r="F60" s="28">
        <f t="shared" si="4"/>
        <v>51863</v>
      </c>
      <c r="G60" s="28">
        <f t="shared" si="4"/>
        <v>70680</v>
      </c>
      <c r="H60" s="28">
        <f t="shared" si="4"/>
        <v>73999</v>
      </c>
      <c r="I60" s="28">
        <f t="shared" si="4"/>
        <v>113019</v>
      </c>
      <c r="J60" s="28">
        <f t="shared" si="4"/>
        <v>94558</v>
      </c>
      <c r="K60" s="28">
        <f t="shared" si="4"/>
        <v>72969</v>
      </c>
      <c r="L60" s="28">
        <f t="shared" ref="L60" si="5">L61+L62+L69</f>
        <v>105853</v>
      </c>
      <c r="M60" s="28">
        <f t="shared" ref="M60:V60" si="6">M61+M62+M69</f>
        <v>115275</v>
      </c>
      <c r="N60" s="28">
        <f t="shared" si="6"/>
        <v>131926</v>
      </c>
      <c r="O60" s="28">
        <f t="shared" si="6"/>
        <v>152498</v>
      </c>
      <c r="P60" s="28">
        <f t="shared" si="6"/>
        <v>180777</v>
      </c>
      <c r="Q60" s="28">
        <f t="shared" si="6"/>
        <v>184381</v>
      </c>
      <c r="R60" s="28">
        <f t="shared" si="6"/>
        <v>229495</v>
      </c>
      <c r="S60" s="28">
        <f t="shared" si="6"/>
        <v>220327</v>
      </c>
      <c r="T60" s="28">
        <f t="shared" si="6"/>
        <v>225892</v>
      </c>
      <c r="U60" s="28">
        <f t="shared" si="6"/>
        <v>237342</v>
      </c>
      <c r="V60" s="28">
        <f t="shared" si="6"/>
        <v>224237</v>
      </c>
      <c r="W60" s="28">
        <f t="shared" ref="W60" si="7">W61+W62+W69</f>
        <v>254475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11485</v>
      </c>
      <c r="D61" s="137">
        <v>8639</v>
      </c>
      <c r="E61" s="137">
        <v>8558</v>
      </c>
      <c r="F61" s="137">
        <v>11769</v>
      </c>
      <c r="G61" s="137">
        <v>17307</v>
      </c>
      <c r="H61" s="137">
        <v>21758</v>
      </c>
      <c r="I61" s="137">
        <v>24510</v>
      </c>
      <c r="J61" s="137">
        <v>16868</v>
      </c>
      <c r="K61" s="137">
        <v>6184</v>
      </c>
      <c r="L61" s="137">
        <v>4490</v>
      </c>
      <c r="M61" s="137">
        <v>3430</v>
      </c>
      <c r="N61" s="137">
        <v>3056</v>
      </c>
      <c r="O61" s="137">
        <v>3322</v>
      </c>
      <c r="P61" s="137">
        <v>4464</v>
      </c>
      <c r="Q61" s="137">
        <v>6558</v>
      </c>
      <c r="R61" s="137">
        <v>5686</v>
      </c>
      <c r="S61" s="137">
        <v>6653</v>
      </c>
      <c r="T61" s="137">
        <v>8118</v>
      </c>
      <c r="U61" s="137">
        <v>7953</v>
      </c>
      <c r="V61" s="137">
        <v>8040</v>
      </c>
      <c r="W61" s="137">
        <v>8090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147773</v>
      </c>
      <c r="C62" s="110">
        <f t="shared" si="8"/>
        <v>22294</v>
      </c>
      <c r="D62" s="110">
        <f t="shared" si="8"/>
        <v>29560</v>
      </c>
      <c r="E62" s="110">
        <f t="shared" si="8"/>
        <v>28550</v>
      </c>
      <c r="F62" s="110">
        <f t="shared" si="8"/>
        <v>40094</v>
      </c>
      <c r="G62" s="110">
        <f t="shared" si="8"/>
        <v>53367</v>
      </c>
      <c r="H62" s="110">
        <f t="shared" si="8"/>
        <v>51484</v>
      </c>
      <c r="I62" s="110">
        <f t="shared" si="8"/>
        <v>87096</v>
      </c>
      <c r="J62" s="110">
        <f t="shared" si="8"/>
        <v>77167</v>
      </c>
      <c r="K62" s="110">
        <f t="shared" si="8"/>
        <v>66214</v>
      </c>
      <c r="L62" s="110">
        <f t="shared" ref="L62" si="9">SUM(L63:L68)</f>
        <v>100771</v>
      </c>
      <c r="M62" s="110">
        <f t="shared" ref="M62:V62" si="10">SUM(M63:M68)</f>
        <v>111313</v>
      </c>
      <c r="N62" s="110">
        <f t="shared" si="10"/>
        <v>128310</v>
      </c>
      <c r="O62" s="110">
        <f t="shared" si="10"/>
        <v>148685</v>
      </c>
      <c r="P62" s="110">
        <f t="shared" si="10"/>
        <v>175633</v>
      </c>
      <c r="Q62" s="110">
        <f t="shared" si="10"/>
        <v>177071</v>
      </c>
      <c r="R62" s="110">
        <f t="shared" si="10"/>
        <v>222832</v>
      </c>
      <c r="S62" s="110">
        <f t="shared" si="10"/>
        <v>212422</v>
      </c>
      <c r="T62" s="110">
        <f t="shared" si="10"/>
        <v>217024</v>
      </c>
      <c r="U62" s="110">
        <f t="shared" si="10"/>
        <v>228508</v>
      </c>
      <c r="V62" s="110">
        <f t="shared" si="10"/>
        <v>215757</v>
      </c>
      <c r="W62" s="110">
        <f t="shared" ref="W62" si="11">SUM(W63:W68)</f>
        <v>245639</v>
      </c>
      <c r="DA62" s="176" t="s">
        <v>839</v>
      </c>
    </row>
    <row r="63" spans="1:105" ht="11.45" customHeight="1" x14ac:dyDescent="0.25">
      <c r="A63" s="111" t="s">
        <v>110</v>
      </c>
      <c r="B63" s="84">
        <v>147773</v>
      </c>
      <c r="C63" s="84">
        <v>22294</v>
      </c>
      <c r="D63" s="84">
        <v>29560</v>
      </c>
      <c r="E63" s="84">
        <v>28550</v>
      </c>
      <c r="F63" s="84">
        <v>40094</v>
      </c>
      <c r="G63" s="84">
        <v>53367</v>
      </c>
      <c r="H63" s="84">
        <v>51484</v>
      </c>
      <c r="I63" s="84">
        <v>73248</v>
      </c>
      <c r="J63" s="84">
        <v>55395</v>
      </c>
      <c r="K63" s="84">
        <v>43026</v>
      </c>
      <c r="L63" s="84">
        <v>61726</v>
      </c>
      <c r="M63" s="84">
        <v>71022</v>
      </c>
      <c r="N63" s="84">
        <v>73148</v>
      </c>
      <c r="O63" s="84">
        <v>80716</v>
      </c>
      <c r="P63" s="84">
        <v>85809</v>
      </c>
      <c r="Q63" s="84">
        <v>75182</v>
      </c>
      <c r="R63" s="84">
        <v>150598</v>
      </c>
      <c r="S63" s="84">
        <v>139353</v>
      </c>
      <c r="T63" s="84">
        <v>142562</v>
      </c>
      <c r="U63" s="84">
        <v>159425</v>
      </c>
      <c r="V63" s="84">
        <v>138146</v>
      </c>
      <c r="W63" s="84">
        <v>142267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13848</v>
      </c>
      <c r="J64" s="84">
        <v>21772</v>
      </c>
      <c r="K64" s="84">
        <v>23187</v>
      </c>
      <c r="L64" s="84">
        <v>39035</v>
      </c>
      <c r="M64" s="84">
        <v>39950</v>
      </c>
      <c r="N64" s="84">
        <v>54739</v>
      </c>
      <c r="O64" s="84">
        <v>67474</v>
      </c>
      <c r="P64" s="84">
        <v>88328</v>
      </c>
      <c r="Q64" s="84">
        <v>97408</v>
      </c>
      <c r="R64" s="84">
        <v>70492</v>
      </c>
      <c r="S64" s="84">
        <v>71607</v>
      </c>
      <c r="T64" s="84">
        <v>69490</v>
      </c>
      <c r="U64" s="84">
        <v>59533</v>
      </c>
      <c r="V64" s="84">
        <v>44925</v>
      </c>
      <c r="W64" s="84">
        <v>27998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149</v>
      </c>
      <c r="T66" s="84">
        <v>139</v>
      </c>
      <c r="U66" s="84">
        <v>144</v>
      </c>
      <c r="V66" s="84">
        <v>139</v>
      </c>
      <c r="W66" s="84">
        <v>137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84</v>
      </c>
      <c r="R67" s="84">
        <v>498</v>
      </c>
      <c r="S67" s="84">
        <v>551</v>
      </c>
      <c r="T67" s="84">
        <v>3295</v>
      </c>
      <c r="U67" s="84">
        <v>3911</v>
      </c>
      <c r="V67" s="84">
        <v>18325</v>
      </c>
      <c r="W67" s="84">
        <v>42541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1</v>
      </c>
      <c r="L68" s="84">
        <v>10</v>
      </c>
      <c r="M68" s="84">
        <v>341</v>
      </c>
      <c r="N68" s="84">
        <v>423</v>
      </c>
      <c r="O68" s="84">
        <v>495</v>
      </c>
      <c r="P68" s="84">
        <v>1496</v>
      </c>
      <c r="Q68" s="84">
        <v>4397</v>
      </c>
      <c r="R68" s="84">
        <v>1244</v>
      </c>
      <c r="S68" s="84">
        <v>762</v>
      </c>
      <c r="T68" s="84">
        <v>1538</v>
      </c>
      <c r="U68" s="84">
        <v>5495</v>
      </c>
      <c r="V68" s="84">
        <v>14222</v>
      </c>
      <c r="W68" s="84">
        <v>32696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6</v>
      </c>
      <c r="H69" s="110">
        <f t="shared" si="12"/>
        <v>757</v>
      </c>
      <c r="I69" s="110">
        <f t="shared" si="12"/>
        <v>1413</v>
      </c>
      <c r="J69" s="110">
        <f t="shared" si="12"/>
        <v>523</v>
      </c>
      <c r="K69" s="110">
        <f t="shared" si="12"/>
        <v>571</v>
      </c>
      <c r="L69" s="110">
        <f t="shared" ref="L69" si="13">SUM(L70:L74)</f>
        <v>592</v>
      </c>
      <c r="M69" s="110">
        <f t="shared" ref="M69:V69" si="14">SUM(M70:M74)</f>
        <v>532</v>
      </c>
      <c r="N69" s="110">
        <f t="shared" si="14"/>
        <v>560</v>
      </c>
      <c r="O69" s="110">
        <f t="shared" si="14"/>
        <v>491</v>
      </c>
      <c r="P69" s="110">
        <f t="shared" si="14"/>
        <v>680</v>
      </c>
      <c r="Q69" s="110">
        <f t="shared" si="14"/>
        <v>752</v>
      </c>
      <c r="R69" s="110">
        <f t="shared" si="14"/>
        <v>977</v>
      </c>
      <c r="S69" s="110">
        <f t="shared" si="14"/>
        <v>1252</v>
      </c>
      <c r="T69" s="110">
        <f t="shared" si="14"/>
        <v>750</v>
      </c>
      <c r="U69" s="110">
        <f t="shared" si="14"/>
        <v>881</v>
      </c>
      <c r="V69" s="110">
        <f t="shared" si="14"/>
        <v>440</v>
      </c>
      <c r="W69" s="110">
        <f t="shared" ref="W69" si="15">SUM(W70:W74)</f>
        <v>746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6</v>
      </c>
      <c r="H70" s="102">
        <v>48</v>
      </c>
      <c r="I70" s="102">
        <v>44</v>
      </c>
      <c r="J70" s="102">
        <v>46</v>
      </c>
      <c r="K70" s="102">
        <v>41</v>
      </c>
      <c r="L70" s="102">
        <v>34</v>
      </c>
      <c r="M70" s="102">
        <v>31</v>
      </c>
      <c r="N70" s="102">
        <v>27</v>
      </c>
      <c r="O70" s="102">
        <v>32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709</v>
      </c>
      <c r="I71" s="102">
        <v>1369</v>
      </c>
      <c r="J71" s="102">
        <v>477</v>
      </c>
      <c r="K71" s="102">
        <v>530</v>
      </c>
      <c r="L71" s="102">
        <v>558</v>
      </c>
      <c r="M71" s="102">
        <v>501</v>
      </c>
      <c r="N71" s="102">
        <v>533</v>
      </c>
      <c r="O71" s="102">
        <v>459</v>
      </c>
      <c r="P71" s="102">
        <v>680</v>
      </c>
      <c r="Q71" s="102">
        <v>722</v>
      </c>
      <c r="R71" s="102">
        <v>931</v>
      </c>
      <c r="S71" s="102">
        <v>1169</v>
      </c>
      <c r="T71" s="102">
        <v>748</v>
      </c>
      <c r="U71" s="102">
        <v>780</v>
      </c>
      <c r="V71" s="102">
        <v>421</v>
      </c>
      <c r="W71" s="102">
        <v>520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30</v>
      </c>
      <c r="R73" s="102">
        <v>40</v>
      </c>
      <c r="S73" s="102">
        <v>81</v>
      </c>
      <c r="T73" s="102">
        <v>0</v>
      </c>
      <c r="U73" s="102">
        <v>1</v>
      </c>
      <c r="V73" s="102">
        <v>16</v>
      </c>
      <c r="W73" s="102">
        <v>2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6</v>
      </c>
      <c r="S74" s="102">
        <v>2</v>
      </c>
      <c r="T74" s="102">
        <v>2</v>
      </c>
      <c r="U74" s="102">
        <v>100</v>
      </c>
      <c r="V74" s="102">
        <v>3</v>
      </c>
      <c r="W74" s="102">
        <v>224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502</v>
      </c>
      <c r="G75" s="28">
        <f t="shared" si="16"/>
        <v>3997</v>
      </c>
      <c r="H75" s="28">
        <f t="shared" si="16"/>
        <v>1902</v>
      </c>
      <c r="I75" s="28">
        <f t="shared" si="16"/>
        <v>5653</v>
      </c>
      <c r="J75" s="28">
        <f t="shared" si="16"/>
        <v>1262</v>
      </c>
      <c r="K75" s="28">
        <f t="shared" si="16"/>
        <v>459</v>
      </c>
      <c r="L75" s="28">
        <f t="shared" ref="L75" si="17">L76+L82</f>
        <v>445</v>
      </c>
      <c r="M75" s="28">
        <f t="shared" ref="M75:V75" si="18">M76+M82</f>
        <v>3645</v>
      </c>
      <c r="N75" s="28">
        <f t="shared" si="18"/>
        <v>5716</v>
      </c>
      <c r="O75" s="28">
        <f t="shared" si="18"/>
        <v>5530</v>
      </c>
      <c r="P75" s="28">
        <f t="shared" si="18"/>
        <v>4772</v>
      </c>
      <c r="Q75" s="28">
        <f t="shared" si="18"/>
        <v>34093</v>
      </c>
      <c r="R75" s="28">
        <f t="shared" si="18"/>
        <v>56715</v>
      </c>
      <c r="S75" s="28">
        <f t="shared" si="18"/>
        <v>61340</v>
      </c>
      <c r="T75" s="28">
        <f t="shared" si="18"/>
        <v>60062</v>
      </c>
      <c r="U75" s="28">
        <f t="shared" si="18"/>
        <v>60249</v>
      </c>
      <c r="V75" s="28">
        <f t="shared" si="18"/>
        <v>57187</v>
      </c>
      <c r="W75" s="28">
        <f t="shared" ref="W75" si="19">W76+W82</f>
        <v>58634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0</v>
      </c>
      <c r="K76" s="137">
        <f t="shared" si="20"/>
        <v>0</v>
      </c>
      <c r="L76" s="137">
        <f t="shared" ref="L76" si="21">SUM(L77:L81)</f>
        <v>0</v>
      </c>
      <c r="M76" s="137">
        <f t="shared" ref="M76:V76" si="22">SUM(M77:M81)</f>
        <v>1955</v>
      </c>
      <c r="N76" s="137">
        <f t="shared" si="22"/>
        <v>2918</v>
      </c>
      <c r="O76" s="137">
        <f t="shared" si="22"/>
        <v>2405</v>
      </c>
      <c r="P76" s="137">
        <f t="shared" si="22"/>
        <v>1423</v>
      </c>
      <c r="Q76" s="137">
        <f t="shared" si="22"/>
        <v>33078</v>
      </c>
      <c r="R76" s="137">
        <f t="shared" si="22"/>
        <v>54288</v>
      </c>
      <c r="S76" s="137">
        <f t="shared" si="22"/>
        <v>56713</v>
      </c>
      <c r="T76" s="137">
        <f t="shared" si="22"/>
        <v>56189</v>
      </c>
      <c r="U76" s="137">
        <f t="shared" si="22"/>
        <v>55963</v>
      </c>
      <c r="V76" s="137">
        <f t="shared" si="22"/>
        <v>53989</v>
      </c>
      <c r="W76" s="137">
        <f t="shared" ref="W76" si="23">SUM(W77:W81)</f>
        <v>54549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1955</v>
      </c>
      <c r="N77" s="84">
        <v>2918</v>
      </c>
      <c r="O77" s="84">
        <v>2405</v>
      </c>
      <c r="P77" s="84">
        <v>1423</v>
      </c>
      <c r="Q77" s="84">
        <v>1837</v>
      </c>
      <c r="R77" s="84">
        <v>2155</v>
      </c>
      <c r="S77" s="84">
        <v>2044</v>
      </c>
      <c r="T77" s="84">
        <v>1877</v>
      </c>
      <c r="U77" s="84">
        <v>1958</v>
      </c>
      <c r="V77" s="84">
        <v>1897</v>
      </c>
      <c r="W77" s="84">
        <v>2001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30554</v>
      </c>
      <c r="R78" s="84">
        <v>52059</v>
      </c>
      <c r="S78" s="84">
        <v>54525</v>
      </c>
      <c r="T78" s="84">
        <v>54173</v>
      </c>
      <c r="U78" s="84">
        <v>53784</v>
      </c>
      <c r="V78" s="84">
        <v>51593</v>
      </c>
      <c r="W78" s="84">
        <v>50868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355</v>
      </c>
      <c r="R80" s="84">
        <v>19</v>
      </c>
      <c r="S80" s="84">
        <v>43</v>
      </c>
      <c r="T80" s="84">
        <v>7</v>
      </c>
      <c r="U80" s="84">
        <v>0</v>
      </c>
      <c r="V80" s="84">
        <v>2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332</v>
      </c>
      <c r="R81" s="84">
        <v>55</v>
      </c>
      <c r="S81" s="84">
        <v>101</v>
      </c>
      <c r="T81" s="84">
        <v>132</v>
      </c>
      <c r="U81" s="84">
        <v>221</v>
      </c>
      <c r="V81" s="84">
        <v>497</v>
      </c>
      <c r="W81" s="84">
        <v>1680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502</v>
      </c>
      <c r="G82" s="110">
        <f t="shared" si="24"/>
        <v>3997</v>
      </c>
      <c r="H82" s="110">
        <f t="shared" si="24"/>
        <v>1902</v>
      </c>
      <c r="I82" s="110">
        <f t="shared" si="24"/>
        <v>5653</v>
      </c>
      <c r="J82" s="110">
        <f t="shared" si="24"/>
        <v>1262</v>
      </c>
      <c r="K82" s="110">
        <f t="shared" si="24"/>
        <v>459</v>
      </c>
      <c r="L82" s="110">
        <f t="shared" ref="L82" si="25">SUM(L83:L84)</f>
        <v>445</v>
      </c>
      <c r="M82" s="110">
        <f t="shared" ref="M82:V82" si="26">SUM(M83:M84)</f>
        <v>1690</v>
      </c>
      <c r="N82" s="110">
        <f t="shared" si="26"/>
        <v>2798</v>
      </c>
      <c r="O82" s="110">
        <f t="shared" si="26"/>
        <v>3125</v>
      </c>
      <c r="P82" s="110">
        <f t="shared" si="26"/>
        <v>3349</v>
      </c>
      <c r="Q82" s="110">
        <f t="shared" si="26"/>
        <v>1015</v>
      </c>
      <c r="R82" s="110">
        <f t="shared" si="26"/>
        <v>2427</v>
      </c>
      <c r="S82" s="110">
        <f t="shared" si="26"/>
        <v>4627</v>
      </c>
      <c r="T82" s="110">
        <f t="shared" si="26"/>
        <v>3873</v>
      </c>
      <c r="U82" s="110">
        <f t="shared" si="26"/>
        <v>4286</v>
      </c>
      <c r="V82" s="110">
        <f t="shared" si="26"/>
        <v>3198</v>
      </c>
      <c r="W82" s="110">
        <f t="shared" ref="W82" si="27">SUM(W83:W84)</f>
        <v>4085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502</v>
      </c>
      <c r="G83" s="102">
        <v>3997</v>
      </c>
      <c r="H83" s="102">
        <v>1902</v>
      </c>
      <c r="I83" s="102">
        <v>5653</v>
      </c>
      <c r="J83" s="102">
        <v>1262</v>
      </c>
      <c r="K83" s="102">
        <v>459</v>
      </c>
      <c r="L83" s="102">
        <v>445</v>
      </c>
      <c r="M83" s="102">
        <v>1690</v>
      </c>
      <c r="N83" s="102">
        <v>2513</v>
      </c>
      <c r="O83" s="102">
        <v>2270</v>
      </c>
      <c r="P83" s="102">
        <v>3171</v>
      </c>
      <c r="Q83" s="102">
        <v>457</v>
      </c>
      <c r="R83" s="102">
        <v>1252</v>
      </c>
      <c r="S83" s="102">
        <v>3949</v>
      </c>
      <c r="T83" s="102">
        <v>3664</v>
      </c>
      <c r="U83" s="102">
        <v>3542</v>
      </c>
      <c r="V83" s="102">
        <v>1995</v>
      </c>
      <c r="W83" s="102">
        <v>3304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285</v>
      </c>
      <c r="O84" s="86">
        <v>855</v>
      </c>
      <c r="P84" s="86">
        <v>178</v>
      </c>
      <c r="Q84" s="86">
        <v>558</v>
      </c>
      <c r="R84" s="86">
        <v>1175</v>
      </c>
      <c r="S84" s="86">
        <v>678</v>
      </c>
      <c r="T84" s="86">
        <v>209</v>
      </c>
      <c r="U84" s="86">
        <v>744</v>
      </c>
      <c r="V84" s="86">
        <v>1203</v>
      </c>
      <c r="W84" s="86">
        <v>781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3.9268892737594174</v>
      </c>
      <c r="C90" s="141">
        <v>3.8577648231816775</v>
      </c>
      <c r="D90" s="141">
        <v>3.811376700741941</v>
      </c>
      <c r="E90" s="141">
        <v>3.7670547224473885</v>
      </c>
      <c r="F90" s="141">
        <v>3.7053509037171741</v>
      </c>
      <c r="G90" s="141">
        <v>3.6294071317481187</v>
      </c>
      <c r="H90" s="141">
        <v>3.5442169725352781</v>
      </c>
      <c r="I90" s="141">
        <v>3.4547126714272789</v>
      </c>
      <c r="J90" s="141">
        <v>3.3780709675860736</v>
      </c>
      <c r="K90" s="141">
        <v>3.3395393587584019</v>
      </c>
      <c r="L90" s="141">
        <v>3.3038856782373589</v>
      </c>
      <c r="M90" s="141">
        <v>3.290022071124231</v>
      </c>
      <c r="N90" s="141">
        <v>3.261532166885313</v>
      </c>
      <c r="O90" s="141">
        <v>3.2448184467877352</v>
      </c>
      <c r="P90" s="141">
        <v>3.2066281307972146</v>
      </c>
      <c r="Q90" s="141">
        <v>3.1740193343078116</v>
      </c>
      <c r="R90" s="141">
        <v>3.1444030944679753</v>
      </c>
      <c r="S90" s="141">
        <v>3.0915466321030616</v>
      </c>
      <c r="T90" s="141">
        <v>3.049955211132203</v>
      </c>
      <c r="U90" s="141">
        <v>2.9813537838501474</v>
      </c>
      <c r="V90" s="141">
        <v>2.9416632283658428</v>
      </c>
      <c r="W90" s="141">
        <v>2.8126991765069342</v>
      </c>
      <c r="DA90" s="174" t="s">
        <v>862</v>
      </c>
    </row>
    <row r="91" spans="1:105" ht="11.45" customHeight="1" x14ac:dyDescent="0.25">
      <c r="A91" s="109" t="s">
        <v>20</v>
      </c>
      <c r="B91" s="130">
        <v>8.1841338449700398</v>
      </c>
      <c r="C91" s="130">
        <v>8.0541608742822213</v>
      </c>
      <c r="D91" s="130">
        <v>7.9840939998444425</v>
      </c>
      <c r="E91" s="130">
        <v>7.9291875174610498</v>
      </c>
      <c r="F91" s="130">
        <v>7.8433832517133517</v>
      </c>
      <c r="G91" s="130">
        <v>7.7197893394201218</v>
      </c>
      <c r="H91" s="130">
        <v>7.6250417594037883</v>
      </c>
      <c r="I91" s="130">
        <v>7.4593271172104698</v>
      </c>
      <c r="J91" s="130">
        <v>7.3213055584923366</v>
      </c>
      <c r="K91" s="130">
        <v>7.2075718450482711</v>
      </c>
      <c r="L91" s="130">
        <v>7.0528899047954292</v>
      </c>
      <c r="M91" s="130">
        <v>6.889235066479757</v>
      </c>
      <c r="N91" s="130">
        <v>6.7107435711491492</v>
      </c>
      <c r="O91" s="130">
        <v>6.5233945337039634</v>
      </c>
      <c r="P91" s="130">
        <v>6.3125295014400002</v>
      </c>
      <c r="Q91" s="130">
        <v>6.097218338455348</v>
      </c>
      <c r="R91" s="130">
        <v>5.9368557363619967</v>
      </c>
      <c r="S91" s="130">
        <v>5.7865322010991465</v>
      </c>
      <c r="T91" s="130">
        <v>5.6650145404297394</v>
      </c>
      <c r="U91" s="130">
        <v>5.5158122740632747</v>
      </c>
      <c r="V91" s="130">
        <v>5.3626323793514237</v>
      </c>
      <c r="W91" s="130">
        <v>5.145652122906081</v>
      </c>
      <c r="DA91" s="176" t="s">
        <v>863</v>
      </c>
    </row>
    <row r="92" spans="1:105" ht="11.45" customHeight="1" x14ac:dyDescent="0.25">
      <c r="A92" s="111" t="s">
        <v>110</v>
      </c>
      <c r="B92" s="96">
        <v>8.2853424553175561</v>
      </c>
      <c r="C92" s="96">
        <v>8.162060080599387</v>
      </c>
      <c r="D92" s="96">
        <v>8.0951183652507659</v>
      </c>
      <c r="E92" s="96">
        <v>8.0342161224678801</v>
      </c>
      <c r="F92" s="96">
        <v>7.947322365332492</v>
      </c>
      <c r="G92" s="96">
        <v>7.8365674788118147</v>
      </c>
      <c r="H92" s="96">
        <v>7.7412477013699243</v>
      </c>
      <c r="I92" s="96">
        <v>7.5978637931264341</v>
      </c>
      <c r="J92" s="96">
        <v>7.4643272241418925</v>
      </c>
      <c r="K92" s="96">
        <v>7.3475642471339482</v>
      </c>
      <c r="L92" s="96">
        <v>7.1922988527329972</v>
      </c>
      <c r="M92" s="96">
        <v>7.0043796739548618</v>
      </c>
      <c r="N92" s="96">
        <v>6.7888818537390394</v>
      </c>
      <c r="O92" s="96">
        <v>6.555676549577699</v>
      </c>
      <c r="P92" s="96">
        <v>6.3085677276341938</v>
      </c>
      <c r="Q92" s="96">
        <v>6.0872410507744652</v>
      </c>
      <c r="R92" s="96">
        <v>5.8684163643167935</v>
      </c>
      <c r="S92" s="96">
        <v>5.6871988708151617</v>
      </c>
      <c r="T92" s="96">
        <v>5.5430899295540188</v>
      </c>
      <c r="U92" s="96">
        <v>5.392221827315935</v>
      </c>
      <c r="V92" s="96">
        <v>5.2682881566301045</v>
      </c>
      <c r="W92" s="96">
        <v>5.1215663286476678</v>
      </c>
      <c r="DA92" s="171" t="s">
        <v>864</v>
      </c>
    </row>
    <row r="93" spans="1:105" ht="11.45" customHeight="1" x14ac:dyDescent="0.25">
      <c r="A93" s="111" t="s">
        <v>111</v>
      </c>
      <c r="B93" s="96">
        <v>6.7149838895179652</v>
      </c>
      <c r="C93" s="96">
        <v>6.2272148745558535</v>
      </c>
      <c r="D93" s="96">
        <v>6.1158456807188495</v>
      </c>
      <c r="E93" s="96">
        <v>6.0605212104831159</v>
      </c>
      <c r="F93" s="96">
        <v>6.0226473541310126</v>
      </c>
      <c r="G93" s="96">
        <v>6.0184034751985065</v>
      </c>
      <c r="H93" s="96">
        <v>6.0556799701856487</v>
      </c>
      <c r="I93" s="96">
        <v>6.0734365221923685</v>
      </c>
      <c r="J93" s="96">
        <v>6.0525753332764634</v>
      </c>
      <c r="K93" s="96">
        <v>6.0275192286558621</v>
      </c>
      <c r="L93" s="96">
        <v>5.9606829581501595</v>
      </c>
      <c r="M93" s="96">
        <v>5.8940407820703067</v>
      </c>
      <c r="N93" s="96">
        <v>5.8371581867286109</v>
      </c>
      <c r="O93" s="96">
        <v>5.7770321202316266</v>
      </c>
      <c r="P93" s="96">
        <v>5.7086194966312993</v>
      </c>
      <c r="Q93" s="96">
        <v>5.6085576983119179</v>
      </c>
      <c r="R93" s="96">
        <v>5.4198092720870825</v>
      </c>
      <c r="S93" s="96">
        <v>5.3079604393943258</v>
      </c>
      <c r="T93" s="96">
        <v>5.255568585010133</v>
      </c>
      <c r="U93" s="96">
        <v>5.1965405092146799</v>
      </c>
      <c r="V93" s="96">
        <v>5.1403776573393225</v>
      </c>
      <c r="W93" s="96">
        <v>5.0954301295246305</v>
      </c>
      <c r="DA93" s="171" t="s">
        <v>865</v>
      </c>
    </row>
    <row r="94" spans="1:105" ht="11.45" customHeight="1" x14ac:dyDescent="0.25">
      <c r="A94" s="111" t="s">
        <v>112</v>
      </c>
      <c r="B94" s="96">
        <v>7.6635637500168547</v>
      </c>
      <c r="C94" s="96">
        <v>7.6001136968122136</v>
      </c>
      <c r="D94" s="96">
        <v>7.5973796228484174</v>
      </c>
      <c r="E94" s="96">
        <v>7.5899090597521415</v>
      </c>
      <c r="F94" s="96">
        <v>7.5852287647169439</v>
      </c>
      <c r="G94" s="96">
        <v>7.5802011934056415</v>
      </c>
      <c r="H94" s="96">
        <v>7.5731201638636669</v>
      </c>
      <c r="I94" s="96">
        <v>7.5688043785294088</v>
      </c>
      <c r="J94" s="96">
        <v>7.5559123570127831</v>
      </c>
      <c r="K94" s="96">
        <v>7.5295876443604763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0</v>
      </c>
      <c r="S94" s="96">
        <v>0</v>
      </c>
      <c r="T94" s="96">
        <v>0</v>
      </c>
      <c r="U94" s="96">
        <v>0</v>
      </c>
      <c r="V94" s="96">
        <v>0</v>
      </c>
      <c r="W94" s="96">
        <v>0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5.9026811755590884</v>
      </c>
      <c r="R95" s="96">
        <v>7.1937356965111601</v>
      </c>
      <c r="S95" s="96">
        <v>4.2005499357079623</v>
      </c>
      <c r="T95" s="96">
        <v>4.5168127774133744</v>
      </c>
      <c r="U95" s="96">
        <v>4.6297464328958489</v>
      </c>
      <c r="V95" s="96">
        <v>4.6526178905038682</v>
      </c>
      <c r="W95" s="96">
        <v>4.6297337886417624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2.6790006484015434</v>
      </c>
      <c r="O96" s="96">
        <v>2.9926178993584918</v>
      </c>
      <c r="P96" s="96">
        <v>2.0100879275776395</v>
      </c>
      <c r="Q96" s="96">
        <v>5.101821500015177</v>
      </c>
      <c r="R96" s="96">
        <v>3.4992223952608721</v>
      </c>
      <c r="S96" s="96">
        <v>2.9429757605329865</v>
      </c>
      <c r="T96" s="96">
        <v>2.4906428100473645</v>
      </c>
      <c r="U96" s="96">
        <v>2.4129303598087408</v>
      </c>
      <c r="V96" s="96">
        <v>2.2923249118436133</v>
      </c>
      <c r="W96" s="96">
        <v>2.4448703221964552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1.2208913782356174</v>
      </c>
      <c r="L97" s="96">
        <v>1.2140317580067785</v>
      </c>
      <c r="M97" s="96">
        <v>1.2048473618793256</v>
      </c>
      <c r="N97" s="96">
        <v>1.2043010276179982</v>
      </c>
      <c r="O97" s="96">
        <v>1.2360367266819201</v>
      </c>
      <c r="P97" s="96">
        <v>1.2189270546483693</v>
      </c>
      <c r="Q97" s="96">
        <v>1.3516313543563627</v>
      </c>
      <c r="R97" s="96">
        <v>1.3340565568558456</v>
      </c>
      <c r="S97" s="96">
        <v>1.3235672516407151</v>
      </c>
      <c r="T97" s="96">
        <v>1.3120311741696393</v>
      </c>
      <c r="U97" s="96">
        <v>1.3482588936156412</v>
      </c>
      <c r="V97" s="96">
        <v>1.3929791141766406</v>
      </c>
      <c r="W97" s="96">
        <v>1.438503371690635</v>
      </c>
      <c r="DA97" s="171" t="s">
        <v>869</v>
      </c>
    </row>
    <row r="98" spans="1:105" ht="11.45" customHeight="1" x14ac:dyDescent="0.25">
      <c r="A98" s="109" t="s">
        <v>21</v>
      </c>
      <c r="B98" s="130">
        <v>49.659132323882268</v>
      </c>
      <c r="C98" s="130">
        <v>48.849184118323819</v>
      </c>
      <c r="D98" s="130">
        <v>48.439531692411393</v>
      </c>
      <c r="E98" s="130">
        <v>49.483302162379317</v>
      </c>
      <c r="F98" s="130">
        <v>49.266302143905875</v>
      </c>
      <c r="G98" s="130">
        <v>48.556456616761302</v>
      </c>
      <c r="H98" s="130">
        <v>47.431492794479205</v>
      </c>
      <c r="I98" s="130">
        <v>46.472447104236743</v>
      </c>
      <c r="J98" s="130">
        <v>46.320368746584116</v>
      </c>
      <c r="K98" s="130">
        <v>46.144575646595769</v>
      </c>
      <c r="L98" s="130">
        <v>45.961494706694381</v>
      </c>
      <c r="M98" s="130">
        <v>45.737305471295493</v>
      </c>
      <c r="N98" s="130">
        <v>45.44582541550907</v>
      </c>
      <c r="O98" s="130">
        <v>45.139804844724289</v>
      </c>
      <c r="P98" s="130">
        <v>45.085923070659</v>
      </c>
      <c r="Q98" s="130">
        <v>44.961984993524894</v>
      </c>
      <c r="R98" s="130">
        <v>44.694636196800573</v>
      </c>
      <c r="S98" s="130">
        <v>44.305837784860906</v>
      </c>
      <c r="T98" s="130">
        <v>44.137905150009047</v>
      </c>
      <c r="U98" s="130">
        <v>43.807889408641422</v>
      </c>
      <c r="V98" s="130">
        <v>43.607127040375438</v>
      </c>
      <c r="W98" s="130">
        <v>42.946610547074833</v>
      </c>
      <c r="DA98" s="176" t="s">
        <v>870</v>
      </c>
    </row>
    <row r="99" spans="1:105" ht="11.45" customHeight="1" x14ac:dyDescent="0.25">
      <c r="A99" s="111" t="s">
        <v>110</v>
      </c>
      <c r="B99" s="97">
        <v>18.582448075298945</v>
      </c>
      <c r="C99" s="97">
        <v>18.582448075298949</v>
      </c>
      <c r="D99" s="97">
        <v>18.582448075298945</v>
      </c>
      <c r="E99" s="97">
        <v>18.582448075298942</v>
      </c>
      <c r="F99" s="97">
        <v>18.582448075298945</v>
      </c>
      <c r="G99" s="97">
        <v>18.383885642596255</v>
      </c>
      <c r="H99" s="97">
        <v>17.800513690690185</v>
      </c>
      <c r="I99" s="97">
        <v>17.210811837863574</v>
      </c>
      <c r="J99" s="97">
        <v>16.621028390461298</v>
      </c>
      <c r="K99" s="97">
        <v>16.034957621716785</v>
      </c>
      <c r="L99" s="97">
        <v>15.530970482689344</v>
      </c>
      <c r="M99" s="97">
        <v>15.116396622103961</v>
      </c>
      <c r="N99" s="97">
        <v>14.723353422059654</v>
      </c>
      <c r="O99" s="97">
        <v>14.471439003274137</v>
      </c>
      <c r="P99" s="97">
        <v>14.361093559095854</v>
      </c>
      <c r="Q99" s="97">
        <v>14.059835769464826</v>
      </c>
      <c r="R99" s="97">
        <v>14.019994319145328</v>
      </c>
      <c r="S99" s="97">
        <v>13.837116036394406</v>
      </c>
      <c r="T99" s="97">
        <v>13.815447933182851</v>
      </c>
      <c r="U99" s="97">
        <v>13.791817238661116</v>
      </c>
      <c r="V99" s="97">
        <v>13.746272941489252</v>
      </c>
      <c r="W99" s="97">
        <v>13.730690934348896</v>
      </c>
      <c r="DA99" s="175" t="s">
        <v>871</v>
      </c>
    </row>
    <row r="100" spans="1:105" ht="11.45" customHeight="1" x14ac:dyDescent="0.25">
      <c r="A100" s="111" t="s">
        <v>111</v>
      </c>
      <c r="B100" s="97">
        <v>53.648214743382944</v>
      </c>
      <c r="C100" s="97">
        <v>52.506921116239155</v>
      </c>
      <c r="D100" s="97">
        <v>51.933436034641602</v>
      </c>
      <c r="E100" s="97">
        <v>51.481875849603547</v>
      </c>
      <c r="F100" s="97">
        <v>50.781521740011286</v>
      </c>
      <c r="G100" s="97">
        <v>49.890249563378639</v>
      </c>
      <c r="H100" s="97">
        <v>48.84317810894369</v>
      </c>
      <c r="I100" s="97">
        <v>47.961441476475251</v>
      </c>
      <c r="J100" s="97">
        <v>47.790977284138442</v>
      </c>
      <c r="K100" s="97">
        <v>47.573970472985458</v>
      </c>
      <c r="L100" s="97">
        <v>47.344116465679591</v>
      </c>
      <c r="M100" s="97">
        <v>47.125407436487997</v>
      </c>
      <c r="N100" s="97">
        <v>46.83405619408844</v>
      </c>
      <c r="O100" s="97">
        <v>46.620099355149357</v>
      </c>
      <c r="P100" s="97">
        <v>46.342871169813904</v>
      </c>
      <c r="Q100" s="97">
        <v>46.047162397728179</v>
      </c>
      <c r="R100" s="97">
        <v>45.641433174985174</v>
      </c>
      <c r="S100" s="97">
        <v>45.166543975259628</v>
      </c>
      <c r="T100" s="97">
        <v>44.897140197292821</v>
      </c>
      <c r="U100" s="97">
        <v>44.615532087741713</v>
      </c>
      <c r="V100" s="97">
        <v>44.39682380020021</v>
      </c>
      <c r="W100" s="97">
        <v>44.063138367343392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37.799999999919784</v>
      </c>
      <c r="R102" s="97">
        <v>37.09854655570993</v>
      </c>
      <c r="S102" s="97">
        <v>36.206006630748583</v>
      </c>
      <c r="T102" s="97">
        <v>36.206006630748583</v>
      </c>
      <c r="U102" s="97">
        <v>36.177807564902082</v>
      </c>
      <c r="V102" s="97">
        <v>35.819064531919821</v>
      </c>
      <c r="W102" s="97">
        <v>35.759148319955557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0</v>
      </c>
      <c r="Q103" s="97">
        <v>0</v>
      </c>
      <c r="R103" s="97">
        <v>25.480564810239603</v>
      </c>
      <c r="S103" s="97">
        <v>25.552739816489375</v>
      </c>
      <c r="T103" s="97">
        <v>25.65043141572923</v>
      </c>
      <c r="U103" s="97">
        <v>26.198725328868516</v>
      </c>
      <c r="V103" s="97">
        <v>26.20595640438107</v>
      </c>
      <c r="W103" s="97">
        <v>26.509310893931701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10.403313775856093</v>
      </c>
      <c r="C105" s="141">
        <v>10.004437124773307</v>
      </c>
      <c r="D105" s="141">
        <v>9.6072770407877623</v>
      </c>
      <c r="E105" s="141">
        <v>9.2473831916133751</v>
      </c>
      <c r="F105" s="141">
        <v>8.9040242781093148</v>
      </c>
      <c r="G105" s="141">
        <v>8.5851437926699443</v>
      </c>
      <c r="H105" s="141">
        <v>8.3655269667479342</v>
      </c>
      <c r="I105" s="141">
        <v>8.1405346035035269</v>
      </c>
      <c r="J105" s="141">
        <v>7.9204106382133332</v>
      </c>
      <c r="K105" s="141">
        <v>7.6900609545563485</v>
      </c>
      <c r="L105" s="141">
        <v>7.5333371971415328</v>
      </c>
      <c r="M105" s="141">
        <v>7.5734022674927646</v>
      </c>
      <c r="N105" s="141">
        <v>7.5692505545360413</v>
      </c>
      <c r="O105" s="141">
        <v>7.4904265157828478</v>
      </c>
      <c r="P105" s="141">
        <v>7.3387043483999221</v>
      </c>
      <c r="Q105" s="141">
        <v>7.126842419877832</v>
      </c>
      <c r="R105" s="141">
        <v>6.9162783242468411</v>
      </c>
      <c r="S105" s="141">
        <v>6.6908142739213625</v>
      </c>
      <c r="T105" s="141">
        <v>6.4127847433915566</v>
      </c>
      <c r="U105" s="141">
        <v>6.1244716628048943</v>
      </c>
      <c r="V105" s="141">
        <v>6.0077128978981129</v>
      </c>
      <c r="W105" s="141">
        <v>5.9293893319601594</v>
      </c>
      <c r="DA105" s="174" t="s">
        <v>876</v>
      </c>
    </row>
    <row r="106" spans="1:105" ht="11.45" customHeight="1" x14ac:dyDescent="0.25">
      <c r="A106" s="111" t="s">
        <v>110</v>
      </c>
      <c r="B106" s="96">
        <v>11.973261431015182</v>
      </c>
      <c r="C106" s="96">
        <v>11.644853696824413</v>
      </c>
      <c r="D106" s="96">
        <v>11.347584873548461</v>
      </c>
      <c r="E106" s="96">
        <v>11.095164499616081</v>
      </c>
      <c r="F106" s="96">
        <v>10.87154061033187</v>
      </c>
      <c r="G106" s="96">
        <v>10.680318420320466</v>
      </c>
      <c r="H106" s="96">
        <v>10.536027866946011</v>
      </c>
      <c r="I106" s="96">
        <v>10.428780733774413</v>
      </c>
      <c r="J106" s="96">
        <v>10.249772733447633</v>
      </c>
      <c r="K106" s="96">
        <v>10.007648437508744</v>
      </c>
      <c r="L106" s="96">
        <v>9.8320314944739646</v>
      </c>
      <c r="M106" s="96">
        <v>9.7545914512034599</v>
      </c>
      <c r="N106" s="96">
        <v>9.6525158774605586</v>
      </c>
      <c r="O106" s="96">
        <v>9.430563515517477</v>
      </c>
      <c r="P106" s="96">
        <v>9.1408271844457634</v>
      </c>
      <c r="Q106" s="96">
        <v>8.6610548786598898</v>
      </c>
      <c r="R106" s="96">
        <v>8.1699484357665604</v>
      </c>
      <c r="S106" s="96">
        <v>7.7004687040282356</v>
      </c>
      <c r="T106" s="96">
        <v>7.2295619305947909</v>
      </c>
      <c r="U106" s="96">
        <v>6.6900721867750397</v>
      </c>
      <c r="V106" s="96">
        <v>6.2304775732407833</v>
      </c>
      <c r="W106" s="96">
        <v>5.9895286541525454</v>
      </c>
      <c r="DA106" s="171" t="s">
        <v>877</v>
      </c>
    </row>
    <row r="107" spans="1:105" ht="11.45" customHeight="1" x14ac:dyDescent="0.25">
      <c r="A107" s="111" t="s">
        <v>111</v>
      </c>
      <c r="B107" s="96">
        <v>9.9845171766950251</v>
      </c>
      <c r="C107" s="96">
        <v>9.4345752383646388</v>
      </c>
      <c r="D107" s="96">
        <v>8.9518260436064967</v>
      </c>
      <c r="E107" s="96">
        <v>8.5659827336417731</v>
      </c>
      <c r="F107" s="96">
        <v>8.2145094420675129</v>
      </c>
      <c r="G107" s="96">
        <v>7.9416583380780059</v>
      </c>
      <c r="H107" s="96">
        <v>7.7676335616123584</v>
      </c>
      <c r="I107" s="96">
        <v>7.6202223216592326</v>
      </c>
      <c r="J107" s="96">
        <v>7.4689521588362773</v>
      </c>
      <c r="K107" s="96">
        <v>7.3163933800786261</v>
      </c>
      <c r="L107" s="96">
        <v>7.2291859516731174</v>
      </c>
      <c r="M107" s="96">
        <v>7.3001309946819246</v>
      </c>
      <c r="N107" s="96">
        <v>7.3262367211823873</v>
      </c>
      <c r="O107" s="96">
        <v>7.2663777768345827</v>
      </c>
      <c r="P107" s="96">
        <v>7.1300870005290555</v>
      </c>
      <c r="Q107" s="96">
        <v>6.9540097808113153</v>
      </c>
      <c r="R107" s="96">
        <v>6.7644278009455343</v>
      </c>
      <c r="S107" s="96">
        <v>6.5630316081870239</v>
      </c>
      <c r="T107" s="96">
        <v>6.312629268853394</v>
      </c>
      <c r="U107" s="96">
        <v>6.0622365385442629</v>
      </c>
      <c r="V107" s="96">
        <v>5.9872388370019038</v>
      </c>
      <c r="W107" s="96">
        <v>5.9428127121014649</v>
      </c>
      <c r="DA107" s="171" t="s">
        <v>878</v>
      </c>
    </row>
    <row r="108" spans="1:105" ht="11.45" customHeight="1" x14ac:dyDescent="0.25">
      <c r="A108" s="111" t="s">
        <v>112</v>
      </c>
      <c r="B108" s="96">
        <v>17.372247415775526</v>
      </c>
      <c r="C108" s="96">
        <v>15.951814401576094</v>
      </c>
      <c r="D108" s="96">
        <v>14.775403165012749</v>
      </c>
      <c r="E108" s="96">
        <v>14.552447094964835</v>
      </c>
      <c r="F108" s="96">
        <v>14.339033975699824</v>
      </c>
      <c r="G108" s="96">
        <v>14.136187276020115</v>
      </c>
      <c r="H108" s="96">
        <v>13.907614614893749</v>
      </c>
      <c r="I108" s="96">
        <v>13.597562288831645</v>
      </c>
      <c r="J108" s="96">
        <v>13.235447625060878</v>
      </c>
      <c r="K108" s="96">
        <v>12.572225892919739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7.1415779395813477</v>
      </c>
      <c r="R109" s="96">
        <v>7.0781943891337615</v>
      </c>
      <c r="S109" s="96">
        <v>6.9506202937167192</v>
      </c>
      <c r="T109" s="96">
        <v>6.9224022401389647</v>
      </c>
      <c r="U109" s="96">
        <v>6.9150218474498217</v>
      </c>
      <c r="V109" s="96">
        <v>6.9275868759360346</v>
      </c>
      <c r="W109" s="96">
        <v>6.9209582919966168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1.3327601031814273</v>
      </c>
      <c r="O110" s="96">
        <v>1.3327601031814271</v>
      </c>
      <c r="P110" s="96">
        <v>1.4317471635593397</v>
      </c>
      <c r="Q110" s="96">
        <v>1.4202542778941014</v>
      </c>
      <c r="R110" s="96">
        <v>1.423102266460254</v>
      </c>
      <c r="S110" s="96">
        <v>1.4221411480071722</v>
      </c>
      <c r="T110" s="96">
        <v>1.4889176940185522</v>
      </c>
      <c r="U110" s="96">
        <v>1.5388319125246004</v>
      </c>
      <c r="V110" s="96">
        <v>1.8036139902744619</v>
      </c>
      <c r="W110" s="96">
        <v>2.0699797778142162</v>
      </c>
      <c r="DA110" s="171" t="s">
        <v>881</v>
      </c>
    </row>
    <row r="111" spans="1:105" ht="11.45" customHeight="1" x14ac:dyDescent="0.25">
      <c r="A111" s="109" t="s">
        <v>158</v>
      </c>
      <c r="B111" s="130">
        <v>32.00048426923022</v>
      </c>
      <c r="C111" s="130">
        <v>31.901110115991308</v>
      </c>
      <c r="D111" s="130">
        <v>31.774151008344045</v>
      </c>
      <c r="E111" s="130">
        <v>31.642007237817051</v>
      </c>
      <c r="F111" s="130">
        <v>31.464483084423879</v>
      </c>
      <c r="G111" s="130">
        <v>31.142885783632558</v>
      </c>
      <c r="H111" s="130">
        <v>30.991268913950222</v>
      </c>
      <c r="I111" s="130">
        <v>30.638721533546271</v>
      </c>
      <c r="J111" s="130">
        <v>30.51703704284613</v>
      </c>
      <c r="K111" s="130">
        <v>30.370576815239833</v>
      </c>
      <c r="L111" s="130">
        <v>30.30968717057965</v>
      </c>
      <c r="M111" s="130">
        <v>30.117539816541484</v>
      </c>
      <c r="N111" s="130">
        <v>29.834522776917709</v>
      </c>
      <c r="O111" s="130">
        <v>29.533045526510367</v>
      </c>
      <c r="P111" s="130">
        <v>29.109457235675325</v>
      </c>
      <c r="Q111" s="130">
        <v>28.647625909038215</v>
      </c>
      <c r="R111" s="130">
        <v>28.406838392246794</v>
      </c>
      <c r="S111" s="130">
        <v>27.617216540000182</v>
      </c>
      <c r="T111" s="130">
        <v>26.886872201898271</v>
      </c>
      <c r="U111" s="130">
        <v>26.13665243060009</v>
      </c>
      <c r="V111" s="130">
        <v>25.640118937120405</v>
      </c>
      <c r="W111" s="130">
        <v>24.94447961984466</v>
      </c>
      <c r="DA111" s="176" t="s">
        <v>882</v>
      </c>
    </row>
    <row r="112" spans="1:105" ht="11.45" customHeight="1" x14ac:dyDescent="0.25">
      <c r="A112" s="128" t="s">
        <v>27</v>
      </c>
      <c r="B112" s="97">
        <v>31.555212046033915</v>
      </c>
      <c r="C112" s="97">
        <v>31.486519075786319</v>
      </c>
      <c r="D112" s="97">
        <v>31.387169330458828</v>
      </c>
      <c r="E112" s="97">
        <v>31.28267947754965</v>
      </c>
      <c r="F112" s="97">
        <v>31.11821482317081</v>
      </c>
      <c r="G112" s="97">
        <v>30.839892526498812</v>
      </c>
      <c r="H112" s="97">
        <v>30.716511507322561</v>
      </c>
      <c r="I112" s="97">
        <v>30.390060282935796</v>
      </c>
      <c r="J112" s="97">
        <v>30.269147727424333</v>
      </c>
      <c r="K112" s="97">
        <v>30.145101454622324</v>
      </c>
      <c r="L112" s="97">
        <v>30.103970360337183</v>
      </c>
      <c r="M112" s="97">
        <v>29.917591568448572</v>
      </c>
      <c r="N112" s="97">
        <v>29.638222276208612</v>
      </c>
      <c r="O112" s="97">
        <v>29.351662866692447</v>
      </c>
      <c r="P112" s="97">
        <v>28.918242371320559</v>
      </c>
      <c r="Q112" s="97">
        <v>28.429123822097317</v>
      </c>
      <c r="R112" s="97">
        <v>28.263226681568153</v>
      </c>
      <c r="S112" s="97">
        <v>27.428538945880089</v>
      </c>
      <c r="T112" s="97">
        <v>26.648955772859441</v>
      </c>
      <c r="U112" s="97">
        <v>25.881313331886716</v>
      </c>
      <c r="V112" s="97">
        <v>25.413258533784418</v>
      </c>
      <c r="W112" s="97">
        <v>24.685155408664336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36.194813496834875</v>
      </c>
      <c r="D113" s="98">
        <v>35.699365787849572</v>
      </c>
      <c r="E113" s="98">
        <v>35.259581023569652</v>
      </c>
      <c r="F113" s="98">
        <v>34.512477626608501</v>
      </c>
      <c r="G113" s="98">
        <v>34.078597144764501</v>
      </c>
      <c r="H113" s="98">
        <v>33.567989002540294</v>
      </c>
      <c r="I113" s="98">
        <v>33.087837861267225</v>
      </c>
      <c r="J113" s="98">
        <v>32.404823279698284</v>
      </c>
      <c r="K113" s="98">
        <v>32.233613139504705</v>
      </c>
      <c r="L113" s="98">
        <v>32.125161250058206</v>
      </c>
      <c r="M113" s="98">
        <v>31.905651645244262</v>
      </c>
      <c r="N113" s="98">
        <v>31.594414413137681</v>
      </c>
      <c r="O113" s="98">
        <v>30.945710814406421</v>
      </c>
      <c r="P113" s="98">
        <v>30.712292856093828</v>
      </c>
      <c r="Q113" s="98">
        <v>30.192716825933736</v>
      </c>
      <c r="R113" s="98">
        <v>29.304197943015613</v>
      </c>
      <c r="S113" s="98">
        <v>28.786606131940349</v>
      </c>
      <c r="T113" s="98">
        <v>28.496271939431338</v>
      </c>
      <c r="U113" s="98">
        <v>27.856741101988625</v>
      </c>
      <c r="V113" s="98">
        <v>27.049124534481308</v>
      </c>
      <c r="W113" s="98">
        <v>26.5794359089649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1.0790085559906357</v>
      </c>
      <c r="C117" s="150">
        <f>IF(TrRoad_act!C59=0,0,TrRoad_ene!C62/TrRoad_tech!C90)</f>
        <v>1.0901428412253651</v>
      </c>
      <c r="D117" s="150">
        <f>IF(TrRoad_act!D59=0,0,TrRoad_ene!D62/TrRoad_tech!D90)</f>
        <v>1.0970561181388025</v>
      </c>
      <c r="E117" s="150">
        <f>IF(TrRoad_act!E59=0,0,TrRoad_ene!E62/TrRoad_tech!E90)</f>
        <v>1.106588211864854</v>
      </c>
      <c r="F117" s="150">
        <f>IF(TrRoad_act!F59=0,0,TrRoad_ene!F62/TrRoad_tech!F90)</f>
        <v>1.1148272387485882</v>
      </c>
      <c r="G117" s="150">
        <f>IF(TrRoad_act!G59=0,0,TrRoad_ene!G62/TrRoad_tech!G90)</f>
        <v>1.1195184236605131</v>
      </c>
      <c r="H117" s="150">
        <f>IF(TrRoad_act!H59=0,0,TrRoad_ene!H62/TrRoad_tech!H90)</f>
        <v>1.1304166111685185</v>
      </c>
      <c r="I117" s="150">
        <f>IF(TrRoad_act!I59=0,0,TrRoad_ene!I62/TrRoad_tech!I90)</f>
        <v>1.1431902507148373</v>
      </c>
      <c r="J117" s="150">
        <f>IF(TrRoad_act!J59=0,0,TrRoad_ene!J62/TrRoad_tech!J90)</f>
        <v>1.1561535819229511</v>
      </c>
      <c r="K117" s="150">
        <f>IF(TrRoad_act!K59=0,0,TrRoad_ene!K62/TrRoad_tech!K90)</f>
        <v>1.1589932789543753</v>
      </c>
      <c r="L117" s="150">
        <f>IF(TrRoad_act!L59=0,0,TrRoad_ene!L62/TrRoad_tech!L90)</f>
        <v>1.1616976898810003</v>
      </c>
      <c r="M117" s="150">
        <f>IF(TrRoad_act!M59=0,0,TrRoad_ene!M62/TrRoad_tech!M90)</f>
        <v>1.1605126490962425</v>
      </c>
      <c r="N117" s="150">
        <f>IF(TrRoad_act!N59=0,0,TrRoad_ene!N62/TrRoad_tech!N90)</f>
        <v>1.1657771935522274</v>
      </c>
      <c r="O117" s="150">
        <f>IF(TrRoad_act!O59=0,0,TrRoad_ene!O62/TrRoad_tech!O90)</f>
        <v>1.1600543401056853</v>
      </c>
      <c r="P117" s="150">
        <f>IF(TrRoad_act!P59=0,0,TrRoad_ene!P62/TrRoad_tech!P90)</f>
        <v>1.1683347242078472</v>
      </c>
      <c r="Q117" s="150">
        <f>IF(TrRoad_act!Q59=0,0,TrRoad_ene!Q62/TrRoad_tech!Q90)</f>
        <v>1.1728435228167593</v>
      </c>
      <c r="R117" s="150">
        <f>IF(TrRoad_act!R59=0,0,TrRoad_ene!R62/TrRoad_tech!R90)</f>
        <v>1.1794159354566038</v>
      </c>
      <c r="S117" s="150">
        <f>IF(TrRoad_act!S59=0,0,TrRoad_ene!S62/TrRoad_tech!S90)</f>
        <v>1.1862812140965691</v>
      </c>
      <c r="T117" s="150">
        <f>IF(TrRoad_act!T59=0,0,TrRoad_ene!T62/TrRoad_tech!T90)</f>
        <v>1.1929854800152169</v>
      </c>
      <c r="U117" s="150">
        <f>IF(TrRoad_act!U59=0,0,TrRoad_ene!U62/TrRoad_tech!U90)</f>
        <v>1.2039874218859712</v>
      </c>
      <c r="V117" s="150">
        <f>IF(TrRoad_act!V59=0,0,TrRoad_ene!V62/TrRoad_tech!V90)</f>
        <v>1.2120255418112389</v>
      </c>
      <c r="W117" s="150">
        <f>IF(TrRoad_act!W59=0,0,TrRoad_ene!W62/TrRoad_tech!W90)</f>
        <v>1.2135024134039494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1.0298320555348917</v>
      </c>
      <c r="C118" s="151">
        <f>IF(TrRoad_act!C60=0,0,TrRoad_ene!C63/TrRoad_tech!C91)</f>
        <v>1.025158652030925</v>
      </c>
      <c r="D118" s="151">
        <f>IF(TrRoad_act!D60=0,0,TrRoad_ene!D63/TrRoad_tech!D91)</f>
        <v>1.0245518932445774</v>
      </c>
      <c r="E118" s="151">
        <f>IF(TrRoad_act!E60=0,0,TrRoad_ene!E63/TrRoad_tech!E91)</f>
        <v>1.0262330078925213</v>
      </c>
      <c r="F118" s="151">
        <f>IF(TrRoad_act!F60=0,0,TrRoad_ene!F63/TrRoad_tech!F91)</f>
        <v>1.0287571051667999</v>
      </c>
      <c r="G118" s="151">
        <f>IF(TrRoad_act!G60=0,0,TrRoad_ene!G63/TrRoad_tech!G91)</f>
        <v>1.0273722641513383</v>
      </c>
      <c r="H118" s="151">
        <f>IF(TrRoad_act!H60=0,0,TrRoad_ene!H63/TrRoad_tech!H91)</f>
        <v>1.0267264166098591</v>
      </c>
      <c r="I118" s="151">
        <f>IF(TrRoad_act!I60=0,0,TrRoad_ene!I63/TrRoad_tech!I91)</f>
        <v>1.0258796450319654</v>
      </c>
      <c r="J118" s="151">
        <f>IF(TrRoad_act!J60=0,0,TrRoad_ene!J63/TrRoad_tech!J91)</f>
        <v>1.0175300239884613</v>
      </c>
      <c r="K118" s="151">
        <f>IF(TrRoad_act!K60=0,0,TrRoad_ene!K63/TrRoad_tech!K91)</f>
        <v>1.0149305102422299</v>
      </c>
      <c r="L118" s="151">
        <f>IF(TrRoad_act!L60=0,0,TrRoad_ene!L63/TrRoad_tech!L91)</f>
        <v>1.0156527986152784</v>
      </c>
      <c r="M118" s="151">
        <f>IF(TrRoad_act!M60=0,0,TrRoad_ene!M63/TrRoad_tech!M91)</f>
        <v>1.0124022175588643</v>
      </c>
      <c r="N118" s="151">
        <f>IF(TrRoad_act!N60=0,0,TrRoad_ene!N63/TrRoad_tech!N91)</f>
        <v>1.0050201815820541</v>
      </c>
      <c r="O118" s="151">
        <f>IF(TrRoad_act!O60=0,0,TrRoad_ene!O63/TrRoad_tech!O91)</f>
        <v>1.0043081272996279</v>
      </c>
      <c r="P118" s="151">
        <f>IF(TrRoad_act!P60=0,0,TrRoad_ene!P63/TrRoad_tech!P91)</f>
        <v>1.0175963276857019</v>
      </c>
      <c r="Q118" s="151">
        <f>IF(TrRoad_act!Q60=0,0,TrRoad_ene!Q63/TrRoad_tech!Q91)</f>
        <v>1.0404883805600327</v>
      </c>
      <c r="R118" s="151">
        <f>IF(TrRoad_act!R60=0,0,TrRoad_ene!R63/TrRoad_tech!R91)</f>
        <v>1.0239874746282158</v>
      </c>
      <c r="S118" s="151">
        <f>IF(TrRoad_act!S60=0,0,TrRoad_ene!S63/TrRoad_tech!S91)</f>
        <v>1.0302328623105705</v>
      </c>
      <c r="T118" s="151">
        <f>IF(TrRoad_act!T60=0,0,TrRoad_ene!T63/TrRoad_tech!T91)</f>
        <v>1.0439605529219957</v>
      </c>
      <c r="U118" s="151">
        <f>IF(TrRoad_act!U60=0,0,TrRoad_ene!U63/TrRoad_tech!U91)</f>
        <v>1.047228046053057</v>
      </c>
      <c r="V118" s="151">
        <f>IF(TrRoad_act!V60=0,0,TrRoad_ene!V63/TrRoad_tech!V91)</f>
        <v>1.0444465893721013</v>
      </c>
      <c r="W118" s="151">
        <f>IF(TrRoad_act!W60=0,0,TrRoad_ene!W63/TrRoad_tech!W91)</f>
        <v>1.0554623188995271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1.0277777777815897</v>
      </c>
      <c r="C119" s="91">
        <f>IF(TrRoad_act!C61=0,0,TrRoad_ene!C64/TrRoad_tech!C92)</f>
        <v>1.0278289210281222</v>
      </c>
      <c r="D119" s="91">
        <f>IF(TrRoad_act!D61=0,0,TrRoad_ene!D64/TrRoad_tech!D92)</f>
        <v>1.0279683428088886</v>
      </c>
      <c r="E119" s="91">
        <f>IF(TrRoad_act!E61=0,0,TrRoad_ene!E64/TrRoad_tech!E92)</f>
        <v>1.0281725095194432</v>
      </c>
      <c r="F119" s="91">
        <f>IF(TrRoad_act!F61=0,0,TrRoad_ene!F64/TrRoad_tech!F92)</f>
        <v>1.0285516486265054</v>
      </c>
      <c r="G119" s="91">
        <f>IF(TrRoad_act!G61=0,0,TrRoad_ene!G64/TrRoad_tech!G92)</f>
        <v>1.0291760266990078</v>
      </c>
      <c r="H119" s="91">
        <f>IF(TrRoad_act!H61=0,0,TrRoad_ene!H64/TrRoad_tech!H92)</f>
        <v>1.0298823177830927</v>
      </c>
      <c r="I119" s="91">
        <f>IF(TrRoad_act!I61=0,0,TrRoad_ene!I64/TrRoad_tech!I92)</f>
        <v>1.0311112602762094</v>
      </c>
      <c r="J119" s="91">
        <f>IF(TrRoad_act!J61=0,0,TrRoad_ene!J64/TrRoad_tech!J92)</f>
        <v>1.0321403045040631</v>
      </c>
      <c r="K119" s="91">
        <f>IF(TrRoad_act!K61=0,0,TrRoad_ene!K64/TrRoad_tech!K92)</f>
        <v>1.0330325309501214</v>
      </c>
      <c r="L119" s="91">
        <f>IF(TrRoad_act!L61=0,0,TrRoad_ene!L64/TrRoad_tech!L92)</f>
        <v>1.0343102696459254</v>
      </c>
      <c r="M119" s="91">
        <f>IF(TrRoad_act!M61=0,0,TrRoad_ene!M64/TrRoad_tech!M92)</f>
        <v>1.0361328743217653</v>
      </c>
      <c r="N119" s="91">
        <f>IF(TrRoad_act!N61=0,0,TrRoad_ene!N64/TrRoad_tech!N92)</f>
        <v>1.0381353772802711</v>
      </c>
      <c r="O119" s="91">
        <f>IF(TrRoad_act!O61=0,0,TrRoad_ene!O64/TrRoad_tech!O92)</f>
        <v>1.0405797241344275</v>
      </c>
      <c r="P119" s="91">
        <f>IF(TrRoad_act!P61=0,0,TrRoad_ene!P64/TrRoad_tech!P92)</f>
        <v>1.0436246531564577</v>
      </c>
      <c r="Q119" s="91">
        <f>IF(TrRoad_act!Q61=0,0,TrRoad_ene!Q64/TrRoad_tech!Q92)</f>
        <v>1.0940664557437374</v>
      </c>
      <c r="R119" s="91">
        <f>IF(TrRoad_act!R61=0,0,TrRoad_ene!R64/TrRoad_tech!R92)</f>
        <v>1.0509037164931978</v>
      </c>
      <c r="S119" s="91">
        <f>IF(TrRoad_act!S61=0,0,TrRoad_ene!S64/TrRoad_tech!S92)</f>
        <v>1.0550742380449825</v>
      </c>
      <c r="T119" s="91">
        <f>IF(TrRoad_act!T61=0,0,TrRoad_ene!T64/TrRoad_tech!T92)</f>
        <v>1.0587518480761118</v>
      </c>
      <c r="U119" s="91">
        <f>IF(TrRoad_act!U61=0,0,TrRoad_ene!U64/TrRoad_tech!U92)</f>
        <v>1.0633373652685827</v>
      </c>
      <c r="V119" s="91">
        <f>IF(TrRoad_act!V61=0,0,TrRoad_ene!V64/TrRoad_tech!V92)</f>
        <v>1.0598068363507289</v>
      </c>
      <c r="W119" s="91">
        <f>IF(TrRoad_act!W61=0,0,TrRoad_ene!W64/TrRoad_tech!W92)</f>
        <v>1.0630010850519651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1.1253694851936495</v>
      </c>
      <c r="C120" s="91">
        <f>IF(TrRoad_act!C62=0,0,TrRoad_ene!C65/TrRoad_tech!C93)</f>
        <v>1.1324961963262641</v>
      </c>
      <c r="D120" s="91">
        <f>IF(TrRoad_act!D62=0,0,TrRoad_ene!D65/TrRoad_tech!D93)</f>
        <v>1.1388474356715843</v>
      </c>
      <c r="E120" s="91">
        <f>IF(TrRoad_act!E62=0,0,TrRoad_ene!E65/TrRoad_tech!E93)</f>
        <v>1.1829396801917471</v>
      </c>
      <c r="F120" s="91">
        <f>IF(TrRoad_act!F62=0,0,TrRoad_ene!F65/TrRoad_tech!F93)</f>
        <v>1.221317568149487</v>
      </c>
      <c r="G120" s="91">
        <f>IF(TrRoad_act!G62=0,0,TrRoad_ene!G65/TrRoad_tech!G93)</f>
        <v>1.2001211178222362</v>
      </c>
      <c r="H120" s="91">
        <f>IF(TrRoad_act!H62=0,0,TrRoad_ene!H65/TrRoad_tech!H93)</f>
        <v>1.1874160933284983</v>
      </c>
      <c r="I120" s="91">
        <f>IF(TrRoad_act!I62=0,0,TrRoad_ene!I65/TrRoad_tech!I93)</f>
        <v>1.1630137430336742</v>
      </c>
      <c r="J120" s="91">
        <f>IF(TrRoad_act!J62=0,0,TrRoad_ene!J65/TrRoad_tech!J93)</f>
        <v>1.1185447750618831</v>
      </c>
      <c r="K120" s="91">
        <f>IF(TrRoad_act!K62=0,0,TrRoad_ene!K65/TrRoad_tech!K93)</f>
        <v>1.1059759530449591</v>
      </c>
      <c r="L120" s="91">
        <f>IF(TrRoad_act!L62=0,0,TrRoad_ene!L65/TrRoad_tech!L93)</f>
        <v>1.1104835324545663</v>
      </c>
      <c r="M120" s="91">
        <f>IF(TrRoad_act!M62=0,0,TrRoad_ene!M65/TrRoad_tech!M93)</f>
        <v>1.0983198226988027</v>
      </c>
      <c r="N120" s="91">
        <f>IF(TrRoad_act!N62=0,0,TrRoad_ene!N65/TrRoad_tech!N93)</f>
        <v>1.0751706392050335</v>
      </c>
      <c r="O120" s="91">
        <f>IF(TrRoad_act!O62=0,0,TrRoad_ene!O65/TrRoad_tech!O93)</f>
        <v>1.0672104074134847</v>
      </c>
      <c r="P120" s="91">
        <f>IF(TrRoad_act!P62=0,0,TrRoad_ene!P65/TrRoad_tech!P93)</f>
        <v>1.0877752326601111</v>
      </c>
      <c r="Q120" s="91">
        <f>IF(TrRoad_act!Q62=0,0,TrRoad_ene!Q65/TrRoad_tech!Q93)</f>
        <v>1.066192280214405</v>
      </c>
      <c r="R120" s="91">
        <f>IF(TrRoad_act!R62=0,0,TrRoad_ene!R65/TrRoad_tech!R93)</f>
        <v>1.1058992452592487</v>
      </c>
      <c r="S120" s="91">
        <f>IF(TrRoad_act!S62=0,0,TrRoad_ene!S65/TrRoad_tech!S93)</f>
        <v>1.1209888970849553</v>
      </c>
      <c r="T120" s="91">
        <f>IF(TrRoad_act!T62=0,0,TrRoad_ene!T65/TrRoad_tech!T93)</f>
        <v>1.1467702530194699</v>
      </c>
      <c r="U120" s="91">
        <f>IF(TrRoad_act!U62=0,0,TrRoad_ene!U65/TrRoad_tech!U93)</f>
        <v>1.138177210010354</v>
      </c>
      <c r="V120" s="91">
        <f>IF(TrRoad_act!V62=0,0,TrRoad_ene!V65/TrRoad_tech!V93)</f>
        <v>1.128440332929536</v>
      </c>
      <c r="W120" s="91">
        <f>IF(TrRoad_act!W62=0,0,TrRoad_ene!W65/TrRoad_tech!W93)</f>
        <v>1.1391158362074243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1.02777777778159</v>
      </c>
      <c r="C121" s="91">
        <f>IF(TrRoad_act!C63=0,0,TrRoad_ene!C66/TrRoad_tech!C94)</f>
        <v>1.1644546447941346</v>
      </c>
      <c r="D121" s="91">
        <f>IF(TrRoad_act!D63=0,0,TrRoad_ene!D66/TrRoad_tech!D94)</f>
        <v>1.3907251889961878</v>
      </c>
      <c r="E121" s="91">
        <f>IF(TrRoad_act!E63=0,0,TrRoad_ene!E66/TrRoad_tech!E94)</f>
        <v>1.3107561918320982</v>
      </c>
      <c r="F121" s="91">
        <f>IF(TrRoad_act!F63=0,0,TrRoad_ene!F66/TrRoad_tech!F94)</f>
        <v>1.2967566075722339</v>
      </c>
      <c r="G121" s="91">
        <f>IF(TrRoad_act!G63=0,0,TrRoad_ene!G66/TrRoad_tech!G94)</f>
        <v>1.3438041878225009</v>
      </c>
      <c r="H121" s="91">
        <f>IF(TrRoad_act!H63=0,0,TrRoad_ene!H66/TrRoad_tech!H94)</f>
        <v>1.3488398199002405</v>
      </c>
      <c r="I121" s="91">
        <f>IF(TrRoad_act!I63=0,0,TrRoad_ene!I66/TrRoad_tech!I94)</f>
        <v>1.2697133197353145</v>
      </c>
      <c r="J121" s="91">
        <f>IF(TrRoad_act!J63=0,0,TrRoad_ene!J66/TrRoad_tech!J94)</f>
        <v>1.2706858261659058</v>
      </c>
      <c r="K121" s="91">
        <f>IF(TrRoad_act!K63=0,0,TrRoad_ene!K66/TrRoad_tech!K94)</f>
        <v>1.3474972254772211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</v>
      </c>
      <c r="S121" s="91">
        <f>IF(TrRoad_act!S63=0,0,TrRoad_ene!S66/TrRoad_tech!S94)</f>
        <v>0</v>
      </c>
      <c r="T121" s="91">
        <f>IF(TrRoad_act!T63=0,0,TrRoad_ene!T66/TrRoad_tech!T94)</f>
        <v>0</v>
      </c>
      <c r="U121" s="91">
        <f>IF(TrRoad_act!U63=0,0,TrRoad_ene!U66/TrRoad_tech!U94)</f>
        <v>0</v>
      </c>
      <c r="V121" s="91">
        <f>IF(TrRoad_act!V63=0,0,TrRoad_ene!V66/TrRoad_tech!V94)</f>
        <v>0</v>
      </c>
      <c r="W121" s="91">
        <f>IF(TrRoad_act!W63=0,0,TrRoad_ene!W66/TrRoad_tech!W94)</f>
        <v>0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1.0833333333391701</v>
      </c>
      <c r="R122" s="91">
        <f>IF(TrRoad_act!R64=0,0,TrRoad_ene!R67/TrRoad_tech!R95)</f>
        <v>1.0883796989241799</v>
      </c>
      <c r="S122" s="91">
        <f>IF(TrRoad_act!S64=0,0,TrRoad_ene!S67/TrRoad_tech!S95)</f>
        <v>1.0918531148981501</v>
      </c>
      <c r="T122" s="91">
        <f>IF(TrRoad_act!T64=0,0,TrRoad_ene!T67/TrRoad_tech!T95)</f>
        <v>1.0931668010784445</v>
      </c>
      <c r="U122" s="91">
        <f>IF(TrRoad_act!U64=0,0,TrRoad_ene!U67/TrRoad_tech!U95)</f>
        <v>1.0943280562026287</v>
      </c>
      <c r="V122" s="91">
        <f>IF(TrRoad_act!V64=0,0,TrRoad_ene!V67/TrRoad_tech!V95)</f>
        <v>1.0952691029519157</v>
      </c>
      <c r="W122" s="91">
        <f>IF(TrRoad_act!W64=0,0,TrRoad_ene!W67/TrRoad_tech!W95)</f>
        <v>1.0960566490964792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1.0655514100033245</v>
      </c>
      <c r="O123" s="91">
        <f>IF(TrRoad_act!O65=0,0,TrRoad_ene!O68/TrRoad_tech!O96)</f>
        <v>1.0674088016102299</v>
      </c>
      <c r="P123" s="91">
        <f>IF(TrRoad_act!P65=0,0,TrRoad_ene!P68/TrRoad_tech!P96)</f>
        <v>1.0728454700764465</v>
      </c>
      <c r="Q123" s="91">
        <f>IF(TrRoad_act!Q65=0,0,TrRoad_ene!Q68/TrRoad_tech!Q96)</f>
        <v>1.1227527042594163</v>
      </c>
      <c r="R123" s="91">
        <f>IF(TrRoad_act!R65=0,0,TrRoad_ene!R68/TrRoad_tech!R96)</f>
        <v>1.0858657880818796</v>
      </c>
      <c r="S123" s="91">
        <f>IF(TrRoad_act!S65=0,0,TrRoad_ene!S68/TrRoad_tech!S96)</f>
        <v>1.0886679070708734</v>
      </c>
      <c r="T123" s="91">
        <f>IF(TrRoad_act!T65=0,0,TrRoad_ene!T68/TrRoad_tech!T96)</f>
        <v>1.0923667684149994</v>
      </c>
      <c r="U123" s="91">
        <f>IF(TrRoad_act!U65=0,0,TrRoad_ene!U68/TrRoad_tech!U96)</f>
        <v>1.0938413606405646</v>
      </c>
      <c r="V123" s="91">
        <f>IF(TrRoad_act!V65=0,0,TrRoad_ene!V68/TrRoad_tech!V96)</f>
        <v>1.092184413865072</v>
      </c>
      <c r="W123" s="91">
        <f>IF(TrRoad_act!W65=0,0,TrRoad_ene!W68/TrRoad_tech!W96)</f>
        <v>1.0936081230563699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1.0528781051464429</v>
      </c>
      <c r="M124" s="91">
        <f>IF(TrRoad_act!M66=0,0,TrRoad_ene!M69/TrRoad_tech!M97)</f>
        <v>1.0595865571848333</v>
      </c>
      <c r="N124" s="91">
        <f>IF(TrRoad_act!N66=0,0,TrRoad_ene!N69/TrRoad_tech!N97)</f>
        <v>1.0626554756483519</v>
      </c>
      <c r="O124" s="91">
        <f>IF(TrRoad_act!O66=0,0,TrRoad_ene!O69/TrRoad_tech!O97)</f>
        <v>1.0661907238204769</v>
      </c>
      <c r="P124" s="91">
        <f>IF(TrRoad_act!P66=0,0,TrRoad_ene!P69/TrRoad_tech!P97)</f>
        <v>1.0721279152977703</v>
      </c>
      <c r="Q124" s="91">
        <f>IF(TrRoad_act!Q66=0,0,TrRoad_ene!Q69/TrRoad_tech!Q97)</f>
        <v>1.0795048671295935</v>
      </c>
      <c r="R124" s="91">
        <f>IF(TrRoad_act!R66=0,0,TrRoad_ene!R69/TrRoad_tech!R97)</f>
        <v>1.0808686417716067</v>
      </c>
      <c r="S124" s="91">
        <f>IF(TrRoad_act!S66=0,0,TrRoad_ene!S69/TrRoad_tech!S97)</f>
        <v>1.0817633670291518</v>
      </c>
      <c r="T124" s="91">
        <f>IF(TrRoad_act!T66=0,0,TrRoad_ene!T69/TrRoad_tech!T97)</f>
        <v>1.0836752284566951</v>
      </c>
      <c r="U124" s="91">
        <f>IF(TrRoad_act!U66=0,0,TrRoad_ene!U69/TrRoad_tech!U97)</f>
        <v>1.0886034180203077</v>
      </c>
      <c r="V124" s="91">
        <f>IF(TrRoad_act!V66=0,0,TrRoad_ene!V69/TrRoad_tech!V97)</f>
        <v>1.0934001550620436</v>
      </c>
      <c r="W124" s="91">
        <f>IF(TrRoad_act!W66=0,0,TrRoad_ene!W69/TrRoad_tech!W97)</f>
        <v>1.09653711304621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1.1003663847355398</v>
      </c>
      <c r="C125" s="151">
        <f>IF(TrRoad_act!C67=0,0,TrRoad_ene!C70/TrRoad_tech!C98)</f>
        <v>1.0943778830100737</v>
      </c>
      <c r="D125" s="151">
        <f>IF(TrRoad_act!D67=0,0,TrRoad_ene!D70/TrRoad_tech!D98)</f>
        <v>1.0923206273786386</v>
      </c>
      <c r="E125" s="151">
        <f>IF(TrRoad_act!E67=0,0,TrRoad_ene!E70/TrRoad_tech!E98)</f>
        <v>1.0926674725287508</v>
      </c>
      <c r="F125" s="151">
        <f>IF(TrRoad_act!F67=0,0,TrRoad_ene!F70/TrRoad_tech!F98)</f>
        <v>1.0952386335061908</v>
      </c>
      <c r="G125" s="151">
        <f>IF(TrRoad_act!G67=0,0,TrRoad_ene!G70/TrRoad_tech!G98)</f>
        <v>1.1010906860916274</v>
      </c>
      <c r="H125" s="151">
        <f>IF(TrRoad_act!H67=0,0,TrRoad_ene!H70/TrRoad_tech!H98)</f>
        <v>1.1132731681789541</v>
      </c>
      <c r="I125" s="151">
        <f>IF(TrRoad_act!I67=0,0,TrRoad_ene!I70/TrRoad_tech!I98)</f>
        <v>1.1307454173312013</v>
      </c>
      <c r="J125" s="151">
        <f>IF(TrRoad_act!J67=0,0,TrRoad_ene!J70/TrRoad_tech!J98)</f>
        <v>1.1346574616286662</v>
      </c>
      <c r="K125" s="151">
        <f>IF(TrRoad_act!K67=0,0,TrRoad_ene!K70/TrRoad_tech!K98)</f>
        <v>1.1405888800856818</v>
      </c>
      <c r="L125" s="151">
        <f>IF(TrRoad_act!L67=0,0,TrRoad_ene!L70/TrRoad_tech!L98)</f>
        <v>1.1468105711451133</v>
      </c>
      <c r="M125" s="151">
        <f>IF(TrRoad_act!M67=0,0,TrRoad_ene!M70/TrRoad_tech!M98)</f>
        <v>1.1530771018426549</v>
      </c>
      <c r="N125" s="151">
        <f>IF(TrRoad_act!N67=0,0,TrRoad_ene!N70/TrRoad_tech!N98)</f>
        <v>1.1588163039381625</v>
      </c>
      <c r="O125" s="151">
        <f>IF(TrRoad_act!O67=0,0,TrRoad_ene!O70/TrRoad_tech!O98)</f>
        <v>1.1617117362846199</v>
      </c>
      <c r="P125" s="151">
        <f>IF(TrRoad_act!P67=0,0,TrRoad_ene!P70/TrRoad_tech!P98)</f>
        <v>1.1703836228124025</v>
      </c>
      <c r="Q125" s="151">
        <f>IF(TrRoad_act!Q67=0,0,TrRoad_ene!Q70/TrRoad_tech!Q98)</f>
        <v>1.1819660859683867</v>
      </c>
      <c r="R125" s="151">
        <f>IF(TrRoad_act!R67=0,0,TrRoad_ene!R70/TrRoad_tech!R98)</f>
        <v>1.1967610255225862</v>
      </c>
      <c r="S125" s="151">
        <f>IF(TrRoad_act!S67=0,0,TrRoad_ene!S70/TrRoad_tech!S98)</f>
        <v>1.2180924295025686</v>
      </c>
      <c r="T125" s="151">
        <f>IF(TrRoad_act!T67=0,0,TrRoad_ene!T70/TrRoad_tech!T98)</f>
        <v>1.2327930799196138</v>
      </c>
      <c r="U125" s="151">
        <f>IF(TrRoad_act!U67=0,0,TrRoad_ene!U70/TrRoad_tech!U98)</f>
        <v>1.249101844362404</v>
      </c>
      <c r="V125" s="151">
        <f>IF(TrRoad_act!V67=0,0,TrRoad_ene!V70/TrRoad_tech!V98)</f>
        <v>1.2531681799286314</v>
      </c>
      <c r="W125" s="151">
        <f>IF(TrRoad_act!W67=0,0,TrRoad_ene!W70/TrRoad_tech!W98)</f>
        <v>1.273219200590658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</v>
      </c>
      <c r="D126" s="93">
        <f>IF(TrRoad_act!D68=0,0,TrRoad_ene!D71/TrRoad_tech!D99)</f>
        <v>1.1000000000067305</v>
      </c>
      <c r="E126" s="93">
        <f>IF(TrRoad_act!E68=0,0,TrRoad_ene!E71/TrRoad_tech!E99)</f>
        <v>1.1000000000067303</v>
      </c>
      <c r="F126" s="93">
        <f>IF(TrRoad_act!F68=0,0,TrRoad_ene!F71/TrRoad_tech!F99)</f>
        <v>1.1000000000067305</v>
      </c>
      <c r="G126" s="93">
        <f>IF(TrRoad_act!G68=0,0,TrRoad_ene!G71/TrRoad_tech!G99)</f>
        <v>1.1049895820036704</v>
      </c>
      <c r="H126" s="93">
        <f>IF(TrRoad_act!H68=0,0,TrRoad_ene!H71/TrRoad_tech!H99)</f>
        <v>1.1133093779663463</v>
      </c>
      <c r="I126" s="93">
        <f>IF(TrRoad_act!I68=0,0,TrRoad_ene!I71/TrRoad_tech!I99)</f>
        <v>1.1216378603009376</v>
      </c>
      <c r="J126" s="93">
        <f>IF(TrRoad_act!J68=0,0,TrRoad_ene!J71/TrRoad_tech!J99)</f>
        <v>1.131002847289917</v>
      </c>
      <c r="K126" s="93">
        <f>IF(TrRoad_act!K68=0,0,TrRoad_ene!K71/TrRoad_tech!K99)</f>
        <v>1.1403405648814735</v>
      </c>
      <c r="L126" s="93">
        <f>IF(TrRoad_act!L68=0,0,TrRoad_ene!L71/TrRoad_tech!L99)</f>
        <v>1.1491740861526161</v>
      </c>
      <c r="M126" s="93">
        <f>IF(TrRoad_act!M68=0,0,TrRoad_ene!M71/TrRoad_tech!M99)</f>
        <v>1.1581274486731095</v>
      </c>
      <c r="N126" s="93">
        <f>IF(TrRoad_act!N68=0,0,TrRoad_ene!N71/TrRoad_tech!N99)</f>
        <v>1.166577359004193</v>
      </c>
      <c r="O126" s="93">
        <f>IF(TrRoad_act!O68=0,0,TrRoad_ene!O71/TrRoad_tech!O99)</f>
        <v>1.1716417297865191</v>
      </c>
      <c r="P126" s="93">
        <f>IF(TrRoad_act!P68=0,0,TrRoad_ene!P71/TrRoad_tech!P99)</f>
        <v>1.1738755481173553</v>
      </c>
      <c r="Q126" s="93">
        <f>IF(TrRoad_act!Q68=0,0,TrRoad_ene!Q71/TrRoad_tech!Q99)</f>
        <v>1.1796378455169931</v>
      </c>
      <c r="R126" s="93">
        <f>IF(TrRoad_act!R68=0,0,TrRoad_ene!R71/TrRoad_tech!R99)</f>
        <v>1.1806822154867966</v>
      </c>
      <c r="S126" s="93">
        <f>IF(TrRoad_act!S68=0,0,TrRoad_ene!S71/TrRoad_tech!S99)</f>
        <v>1.1842607842148754</v>
      </c>
      <c r="T126" s="93">
        <f>IF(TrRoad_act!T68=0,0,TrRoad_ene!T71/TrRoad_tech!T99)</f>
        <v>1.1848597411946229</v>
      </c>
      <c r="U126" s="93">
        <f>IF(TrRoad_act!U68=0,0,TrRoad_ene!U71/TrRoad_tech!U99)</f>
        <v>1.1854481610349243</v>
      </c>
      <c r="V126" s="93">
        <f>IF(TrRoad_act!V68=0,0,TrRoad_ene!V71/TrRoad_tech!V99)</f>
        <v>1.186570839855422</v>
      </c>
      <c r="W126" s="93">
        <f>IF(TrRoad_act!W68=0,0,TrRoad_ene!W71/TrRoad_tech!W99)</f>
        <v>1.1869729900319448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1.1004063802296495</v>
      </c>
      <c r="D127" s="93">
        <f>IF(TrRoad_act!D69=0,0,TrRoad_ene!D72/TrRoad_tech!D100)</f>
        <v>1.1015078622332244</v>
      </c>
      <c r="E127" s="93">
        <f>IF(TrRoad_act!E69=0,0,TrRoad_ene!E72/TrRoad_tech!E100)</f>
        <v>1.1031648595719186</v>
      </c>
      <c r="F127" s="93">
        <f>IF(TrRoad_act!F69=0,0,TrRoad_ene!F72/TrRoad_tech!F100)</f>
        <v>1.1066175029608734</v>
      </c>
      <c r="G127" s="93">
        <f>IF(TrRoad_act!G69=0,0,TrRoad_ene!G72/TrRoad_tech!G100)</f>
        <v>1.1126573990172357</v>
      </c>
      <c r="H127" s="93">
        <f>IF(TrRoad_act!H69=0,0,TrRoad_ene!H72/TrRoad_tech!H100)</f>
        <v>1.1223502377939381</v>
      </c>
      <c r="I127" s="93">
        <f>IF(TrRoad_act!I69=0,0,TrRoad_ene!I72/TrRoad_tech!I100)</f>
        <v>1.1372659675920294</v>
      </c>
      <c r="J127" s="93">
        <f>IF(TrRoad_act!J69=0,0,TrRoad_ene!J72/TrRoad_tech!J100)</f>
        <v>1.1420587893269776</v>
      </c>
      <c r="K127" s="93">
        <f>IF(TrRoad_act!K69=0,0,TrRoad_ene!K72/TrRoad_tech!K100)</f>
        <v>1.1472245446773224</v>
      </c>
      <c r="L127" s="93">
        <f>IF(TrRoad_act!L69=0,0,TrRoad_ene!L72/TrRoad_tech!L100)</f>
        <v>1.1528290815044202</v>
      </c>
      <c r="M127" s="93">
        <f>IF(TrRoad_act!M69=0,0,TrRoad_ene!M72/TrRoad_tech!M100)</f>
        <v>1.1590285830118034</v>
      </c>
      <c r="N127" s="93">
        <f>IF(TrRoad_act!N69=0,0,TrRoad_ene!N72/TrRoad_tech!N100)</f>
        <v>1.1663388326167643</v>
      </c>
      <c r="O127" s="93">
        <f>IF(TrRoad_act!O69=0,0,TrRoad_ene!O72/TrRoad_tech!O100)</f>
        <v>1.1715583783107553</v>
      </c>
      <c r="P127" s="93">
        <f>IF(TrRoad_act!P69=0,0,TrRoad_ene!P72/TrRoad_tech!P100)</f>
        <v>1.1798531023847887</v>
      </c>
      <c r="Q127" s="93">
        <f>IF(TrRoad_act!Q69=0,0,TrRoad_ene!Q72/TrRoad_tech!Q100)</f>
        <v>1.1899854986742078</v>
      </c>
      <c r="R127" s="93">
        <f>IF(TrRoad_act!R69=0,0,TrRoad_ene!R72/TrRoad_tech!R100)</f>
        <v>1.2050077742226228</v>
      </c>
      <c r="S127" s="93">
        <f>IF(TrRoad_act!S69=0,0,TrRoad_ene!S72/TrRoad_tech!S100)</f>
        <v>1.2237902028190444</v>
      </c>
      <c r="T127" s="93">
        <f>IF(TrRoad_act!T69=0,0,TrRoad_ene!T72/TrRoad_tech!T100)</f>
        <v>1.2354263596550845</v>
      </c>
      <c r="U127" s="93">
        <f>IF(TrRoad_act!U69=0,0,TrRoad_ene!U72/TrRoad_tech!U100)</f>
        <v>1.2478265550543273</v>
      </c>
      <c r="V127" s="93">
        <f>IF(TrRoad_act!V69=0,0,TrRoad_ene!V72/TrRoad_tech!V100)</f>
        <v>1.2573154729046674</v>
      </c>
      <c r="W127" s="93">
        <f>IF(TrRoad_act!W69=0,0,TrRoad_ene!W72/TrRoad_tech!W100)</f>
        <v>1.2712868534795929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1.7196675012432177</v>
      </c>
      <c r="R129" s="93">
        <f>IF(TrRoad_act!R71=0,0,TrRoad_ene!R74/TrRoad_tech!R102)</f>
        <v>1.5028311883090228</v>
      </c>
      <c r="S129" s="93">
        <f>IF(TrRoad_act!S71=0,0,TrRoad_ene!S74/TrRoad_tech!S102)</f>
        <v>1.6353434002985237</v>
      </c>
      <c r="T129" s="93">
        <f>IF(TrRoad_act!T71=0,0,TrRoad_ene!T74/TrRoad_tech!T102)</f>
        <v>1.8763538694835336</v>
      </c>
      <c r="U129" s="93">
        <f>IF(TrRoad_act!U71=0,0,TrRoad_ene!U74/TrRoad_tech!U102)</f>
        <v>2.1200055356400895</v>
      </c>
      <c r="V129" s="93">
        <f>IF(TrRoad_act!V71=0,0,TrRoad_ene!V74/TrRoad_tech!V102)</f>
        <v>1.6447666243421799</v>
      </c>
      <c r="W129" s="93">
        <f>IF(TrRoad_act!W71=0,0,TrRoad_ene!W74/TrRoad_tech!W102)</f>
        <v>1.8235078293057603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0</v>
      </c>
      <c r="Q130" s="93">
        <f>IF(TrRoad_act!Q72=0,0,TrRoad_ene!Q75/TrRoad_tech!Q103)</f>
        <v>0</v>
      </c>
      <c r="R130" s="93">
        <f>IF(TrRoad_act!R72=0,0,TrRoad_ene!R75/TrRoad_tech!R103)</f>
        <v>1.3172635731932032</v>
      </c>
      <c r="S130" s="93">
        <f>IF(TrRoad_act!S72=0,0,TrRoad_ene!S75/TrRoad_tech!S103)</f>
        <v>1.3206567119445112</v>
      </c>
      <c r="T130" s="93">
        <f>IF(TrRoad_act!T72=0,0,TrRoad_ene!T75/TrRoad_tech!T103)</f>
        <v>1.3248439156433625</v>
      </c>
      <c r="U130" s="93">
        <f>IF(TrRoad_act!U72=0,0,TrRoad_ene!U75/TrRoad_tech!U103)</f>
        <v>1.3458686926454626</v>
      </c>
      <c r="V130" s="93">
        <f>IF(TrRoad_act!V72=0,0,TrRoad_ene!V75/TrRoad_tech!V103)</f>
        <v>1.3460791576112794</v>
      </c>
      <c r="W130" s="93">
        <f>IF(TrRoad_act!W72=0,0,TrRoad_ene!W75/TrRoad_tech!W103)</f>
        <v>1.35400308807393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1.0924545359178974</v>
      </c>
      <c r="C132" s="150">
        <f>IF(TrRoad_act!C74=0,0,TrRoad_ene!C77/TrRoad_tech!C105)</f>
        <v>1.0813814531197661</v>
      </c>
      <c r="D132" s="150">
        <f>IF(TrRoad_act!D74=0,0,TrRoad_ene!D77/TrRoad_tech!D105)</f>
        <v>1.0728568439456194</v>
      </c>
      <c r="E132" s="150">
        <f>IF(TrRoad_act!E74=0,0,TrRoad_ene!E77/TrRoad_tech!E105)</f>
        <v>1.0669435939885243</v>
      </c>
      <c r="F132" s="150">
        <f>IF(TrRoad_act!F74=0,0,TrRoad_ene!F77/TrRoad_tech!F105)</f>
        <v>1.0635397073748774</v>
      </c>
      <c r="G132" s="150">
        <f>IF(TrRoad_act!G74=0,0,TrRoad_ene!G77/TrRoad_tech!G105)</f>
        <v>1.0666877198096807</v>
      </c>
      <c r="H132" s="150">
        <f>IF(TrRoad_act!H74=0,0,TrRoad_ene!H77/TrRoad_tech!H105)</f>
        <v>1.0695232052098949</v>
      </c>
      <c r="I132" s="150">
        <f>IF(TrRoad_act!I74=0,0,TrRoad_ene!I77/TrRoad_tech!I105)</f>
        <v>1.0767903412614235</v>
      </c>
      <c r="J132" s="150">
        <f>IF(TrRoad_act!J74=0,0,TrRoad_ene!J77/TrRoad_tech!J105)</f>
        <v>1.0837060541709509</v>
      </c>
      <c r="K132" s="150">
        <f>IF(TrRoad_act!K74=0,0,TrRoad_ene!K77/TrRoad_tech!K105)</f>
        <v>1.0943858490984317</v>
      </c>
      <c r="L132" s="150">
        <f>IF(TrRoad_act!L74=0,0,TrRoad_ene!L77/TrRoad_tech!L105)</f>
        <v>1.1033962659862975</v>
      </c>
      <c r="M132" s="150">
        <f>IF(TrRoad_act!M74=0,0,TrRoad_ene!M77/TrRoad_tech!M105)</f>
        <v>1.1094856998792977</v>
      </c>
      <c r="N132" s="150">
        <f>IF(TrRoad_act!N74=0,0,TrRoad_ene!N77/TrRoad_tech!N105)</f>
        <v>1.1193904319338059</v>
      </c>
      <c r="O132" s="150">
        <f>IF(TrRoad_act!O74=0,0,TrRoad_ene!O77/TrRoad_tech!O105)</f>
        <v>1.1309925730837385</v>
      </c>
      <c r="P132" s="150">
        <f>IF(TrRoad_act!P74=0,0,TrRoad_ene!P77/TrRoad_tech!P105)</f>
        <v>1.1455090543917295</v>
      </c>
      <c r="Q132" s="150">
        <f>IF(TrRoad_act!Q74=0,0,TrRoad_ene!Q77/TrRoad_tech!Q105)</f>
        <v>1.1632938719254799</v>
      </c>
      <c r="R132" s="150">
        <f>IF(TrRoad_act!R74=0,0,TrRoad_ene!R77/TrRoad_tech!R105)</f>
        <v>1.1838247530933181</v>
      </c>
      <c r="S132" s="150">
        <f>IF(TrRoad_act!S74=0,0,TrRoad_ene!S77/TrRoad_tech!S105)</f>
        <v>1.2059032501722455</v>
      </c>
      <c r="T132" s="150">
        <f>IF(TrRoad_act!T74=0,0,TrRoad_ene!T77/TrRoad_tech!T105)</f>
        <v>1.2315806316032756</v>
      </c>
      <c r="U132" s="150">
        <f>IF(TrRoad_act!U74=0,0,TrRoad_ene!U77/TrRoad_tech!U105)</f>
        <v>1.2590824684955555</v>
      </c>
      <c r="V132" s="150">
        <f>IF(TrRoad_act!V74=0,0,TrRoad_ene!V77/TrRoad_tech!V105)</f>
        <v>1.2815447823777946</v>
      </c>
      <c r="W132" s="150">
        <f>IF(TrRoad_act!W74=0,0,TrRoad_ene!W77/TrRoad_tech!W105)</f>
        <v>1.2995597619202661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1.1001164404142139</v>
      </c>
      <c r="D133" s="91">
        <f>IF(TrRoad_act!D75=0,0,TrRoad_ene!D78/TrRoad_tech!D106)</f>
        <v>1.1003801798619874</v>
      </c>
      <c r="E133" s="91">
        <f>IF(TrRoad_act!E75=0,0,TrRoad_ene!E78/TrRoad_tech!E106)</f>
        <v>1.1007837146113111</v>
      </c>
      <c r="F133" s="91">
        <f>IF(TrRoad_act!F75=0,0,TrRoad_ene!F78/TrRoad_tech!F106)</f>
        <v>1.1013340772724018</v>
      </c>
      <c r="G133" s="91">
        <f>IF(TrRoad_act!G75=0,0,TrRoad_ene!G78/TrRoad_tech!G106)</f>
        <v>1.1020182954211539</v>
      </c>
      <c r="H133" s="91">
        <f>IF(TrRoad_act!H75=0,0,TrRoad_ene!H78/TrRoad_tech!H106)</f>
        <v>1.1033913515043154</v>
      </c>
      <c r="I133" s="91">
        <f>IF(TrRoad_act!I75=0,0,TrRoad_ene!I78/TrRoad_tech!I106)</f>
        <v>1.1037409256023165</v>
      </c>
      <c r="J133" s="91">
        <f>IF(TrRoad_act!J75=0,0,TrRoad_ene!J78/TrRoad_tech!J106)</f>
        <v>1.1055601898067815</v>
      </c>
      <c r="K133" s="91">
        <f>IF(TrRoad_act!K75=0,0,TrRoad_ene!K78/TrRoad_tech!K106)</f>
        <v>1.1087309130476286</v>
      </c>
      <c r="L133" s="91">
        <f>IF(TrRoad_act!L75=0,0,TrRoad_ene!L78/TrRoad_tech!L106)</f>
        <v>1.112091096987585</v>
      </c>
      <c r="M133" s="91">
        <f>IF(TrRoad_act!M75=0,0,TrRoad_ene!M78/TrRoad_tech!M106)</f>
        <v>1.1184818847317335</v>
      </c>
      <c r="N133" s="91">
        <f>IF(TrRoad_act!N75=0,0,TrRoad_ene!N78/TrRoad_tech!N106)</f>
        <v>1.1256208397968064</v>
      </c>
      <c r="O133" s="91">
        <f>IF(TrRoad_act!O75=0,0,TrRoad_ene!O78/TrRoad_tech!O106)</f>
        <v>1.1336215232067384</v>
      </c>
      <c r="P133" s="91">
        <f>IF(TrRoad_act!P75=0,0,TrRoad_ene!P78/TrRoad_tech!P106)</f>
        <v>1.1419015652962377</v>
      </c>
      <c r="Q133" s="91">
        <f>IF(TrRoad_act!Q75=0,0,TrRoad_ene!Q78/TrRoad_tech!Q106)</f>
        <v>1.1547242080243099</v>
      </c>
      <c r="R133" s="91">
        <f>IF(TrRoad_act!R75=0,0,TrRoad_ene!R78/TrRoad_tech!R106)</f>
        <v>1.168927944564641</v>
      </c>
      <c r="S133" s="91">
        <f>IF(TrRoad_act!S75=0,0,TrRoad_ene!S78/TrRoad_tech!S106)</f>
        <v>1.1843262929297915</v>
      </c>
      <c r="T133" s="91">
        <f>IF(TrRoad_act!T75=0,0,TrRoad_ene!T78/TrRoad_tech!T106)</f>
        <v>1.2019285989326713</v>
      </c>
      <c r="U133" s="91">
        <f>IF(TrRoad_act!U75=0,0,TrRoad_ene!U78/TrRoad_tech!U106)</f>
        <v>1.2244141733825025</v>
      </c>
      <c r="V133" s="91">
        <f>IF(TrRoad_act!V75=0,0,TrRoad_ene!V78/TrRoad_tech!V106)</f>
        <v>1.2459289415080146</v>
      </c>
      <c r="W133" s="91">
        <f>IF(TrRoad_act!W75=0,0,TrRoad_ene!W78/TrRoad_tech!W106)</f>
        <v>1.2586469117759074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1.1001753056894013</v>
      </c>
      <c r="D134" s="91">
        <f>IF(TrRoad_act!D76=0,0,TrRoad_ene!D79/TrRoad_tech!D107)</f>
        <v>1.1005793065144496</v>
      </c>
      <c r="E134" s="91">
        <f>IF(TrRoad_act!E76=0,0,TrRoad_ene!E79/TrRoad_tech!E107)</f>
        <v>1.1012438105157847</v>
      </c>
      <c r="F134" s="91">
        <f>IF(TrRoad_act!F76=0,0,TrRoad_ene!F79/TrRoad_tech!F107)</f>
        <v>1.102371327490081</v>
      </c>
      <c r="G134" s="91">
        <f>IF(TrRoad_act!G76=0,0,TrRoad_ene!G79/TrRoad_tech!G107)</f>
        <v>1.1038794429781018</v>
      </c>
      <c r="H134" s="91">
        <f>IF(TrRoad_act!H76=0,0,TrRoad_ene!H79/TrRoad_tech!H107)</f>
        <v>1.1064011346629117</v>
      </c>
      <c r="I134" s="91">
        <f>IF(TrRoad_act!I76=0,0,TrRoad_ene!I79/TrRoad_tech!I107)</f>
        <v>1.1094174794032921</v>
      </c>
      <c r="J134" s="91">
        <f>IF(TrRoad_act!J76=0,0,TrRoad_ene!J79/TrRoad_tech!J107)</f>
        <v>1.112182326464324</v>
      </c>
      <c r="K134" s="91">
        <f>IF(TrRoad_act!K76=0,0,TrRoad_ene!K79/TrRoad_tech!K107)</f>
        <v>1.11535723913303</v>
      </c>
      <c r="L134" s="91">
        <f>IF(TrRoad_act!L76=0,0,TrRoad_ene!L79/TrRoad_tech!L107)</f>
        <v>1.1184233698090846</v>
      </c>
      <c r="M134" s="91">
        <f>IF(TrRoad_act!M76=0,0,TrRoad_ene!M79/TrRoad_tech!M107)</f>
        <v>1.1230014382752145</v>
      </c>
      <c r="N134" s="91">
        <f>IF(TrRoad_act!N76=0,0,TrRoad_ene!N79/TrRoad_tech!N107)</f>
        <v>1.1322828623188075</v>
      </c>
      <c r="O134" s="91">
        <f>IF(TrRoad_act!O76=0,0,TrRoad_ene!O79/TrRoad_tech!O107)</f>
        <v>1.1438321264488116</v>
      </c>
      <c r="P134" s="91">
        <f>IF(TrRoad_act!P76=0,0,TrRoad_ene!P79/TrRoad_tech!P107)</f>
        <v>1.1590008248331223</v>
      </c>
      <c r="Q134" s="91">
        <f>IF(TrRoad_act!Q76=0,0,TrRoad_ene!Q79/TrRoad_tech!Q107)</f>
        <v>1.1765663541334834</v>
      </c>
      <c r="R134" s="91">
        <f>IF(TrRoad_act!R76=0,0,TrRoad_ene!R79/TrRoad_tech!R107)</f>
        <v>1.1981425311983822</v>
      </c>
      <c r="S134" s="91">
        <f>IF(TrRoad_act!S76=0,0,TrRoad_ene!S79/TrRoad_tech!S107)</f>
        <v>1.2204472134504782</v>
      </c>
      <c r="T134" s="91">
        <f>IF(TrRoad_act!T76=0,0,TrRoad_ene!T79/TrRoad_tech!T107)</f>
        <v>1.2450223877557327</v>
      </c>
      <c r="U134" s="91">
        <f>IF(TrRoad_act!U76=0,0,TrRoad_ene!U79/TrRoad_tech!U107)</f>
        <v>1.2689670038357195</v>
      </c>
      <c r="V134" s="91">
        <f>IF(TrRoad_act!V76=0,0,TrRoad_ene!V79/TrRoad_tech!V107)</f>
        <v>1.2876285294980891</v>
      </c>
      <c r="W134" s="91">
        <f>IF(TrRoad_act!W76=0,0,TrRoad_ene!W79/TrRoad_tech!W107)</f>
        <v>1.3033528616368055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1.1004979092351224</v>
      </c>
      <c r="D135" s="91">
        <f>IF(TrRoad_act!D77=0,0,TrRoad_ene!D80/TrRoad_tech!D108)</f>
        <v>1.1009659264378238</v>
      </c>
      <c r="E135" s="91">
        <f>IF(TrRoad_act!E77=0,0,TrRoad_ene!E80/TrRoad_tech!E108)</f>
        <v>1.1010649269461523</v>
      </c>
      <c r="F135" s="91">
        <f>IF(TrRoad_act!F77=0,0,TrRoad_ene!F80/TrRoad_tech!F108)</f>
        <v>1.1011622758372921</v>
      </c>
      <c r="G135" s="91">
        <f>IF(TrRoad_act!G77=0,0,TrRoad_ene!G80/TrRoad_tech!G108)</f>
        <v>1.1012577767713012</v>
      </c>
      <c r="H135" s="91">
        <f>IF(TrRoad_act!H77=0,0,TrRoad_ene!H80/TrRoad_tech!H108)</f>
        <v>1.1013687260827749</v>
      </c>
      <c r="I135" s="91">
        <f>IF(TrRoad_act!I77=0,0,TrRoad_ene!I80/TrRoad_tech!I108)</f>
        <v>1.1015247447106413</v>
      </c>
      <c r="J135" s="91">
        <f>IF(TrRoad_act!J77=0,0,TrRoad_ene!J80/TrRoad_tech!J108)</f>
        <v>1.1017165707091952</v>
      </c>
      <c r="K135" s="91">
        <f>IF(TrRoad_act!K77=0,0,TrRoad_ene!K80/TrRoad_tech!K108)</f>
        <v>1.1020960310741763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1.3000000000070029</v>
      </c>
      <c r="R136" s="91">
        <f>IF(TrRoad_act!R78=0,0,TrRoad_ene!R81/TrRoad_tech!R109)</f>
        <v>1.3007272529526779</v>
      </c>
      <c r="S136" s="91">
        <f>IF(TrRoad_act!S78=0,0,TrRoad_ene!S81/TrRoad_tech!S109)</f>
        <v>1.3032182608095744</v>
      </c>
      <c r="T136" s="91">
        <f>IF(TrRoad_act!T78=0,0,TrRoad_ene!T81/TrRoad_tech!T109)</f>
        <v>1.3037565591946381</v>
      </c>
      <c r="U136" s="91">
        <f>IF(TrRoad_act!U78=0,0,TrRoad_ene!U81/TrRoad_tech!U109)</f>
        <v>1.3038871997230523</v>
      </c>
      <c r="V136" s="91">
        <f>IF(TrRoad_act!V78=0,0,TrRoad_ene!V81/TrRoad_tech!V109)</f>
        <v>1.3042070455551189</v>
      </c>
      <c r="W136" s="91">
        <f>IF(TrRoad_act!W78=0,0,TrRoad_ene!W81/TrRoad_tech!W109)</f>
        <v>1.3043671040357909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1.2360000000066975</v>
      </c>
      <c r="O137" s="91">
        <f>IF(TrRoad_act!O79=0,0,TrRoad_ene!O82/TrRoad_tech!O110)</f>
        <v>1.2560000000062246</v>
      </c>
      <c r="P137" s="91">
        <f>IF(TrRoad_act!P79=0,0,TrRoad_ene!P82/TrRoad_tech!P110)</f>
        <v>1.2773333333398111</v>
      </c>
      <c r="Q137" s="91">
        <f>IF(TrRoad_act!Q79=0,0,TrRoad_ene!Q82/TrRoad_tech!Q110)</f>
        <v>1.3000000000070033</v>
      </c>
      <c r="R137" s="91">
        <f>IF(TrRoad_act!R79=0,0,TrRoad_ene!R82/TrRoad_tech!R110)</f>
        <v>1.3021221937591618</v>
      </c>
      <c r="S137" s="91">
        <f>IF(TrRoad_act!S79=0,0,TrRoad_ene!S82/TrRoad_tech!S110)</f>
        <v>1.3072031348308715</v>
      </c>
      <c r="T137" s="91">
        <f>IF(TrRoad_act!T79=0,0,TrRoad_ene!T82/TrRoad_tech!T110)</f>
        <v>1.316925698666225</v>
      </c>
      <c r="U137" s="91">
        <f>IF(TrRoad_act!U79=0,0,TrRoad_ene!U82/TrRoad_tech!U110)</f>
        <v>1.3264894246265335</v>
      </c>
      <c r="V137" s="91">
        <f>IF(TrRoad_act!V79=0,0,TrRoad_ene!V82/TrRoad_tech!V110)</f>
        <v>1.3395959214399478</v>
      </c>
      <c r="W137" s="91">
        <f>IF(TrRoad_act!W79=0,0,TrRoad_ene!W82/TrRoad_tech!W110)</f>
        <v>1.3510599285267648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1.2718972112769618</v>
      </c>
      <c r="C138" s="151">
        <f>IF(TrRoad_act!C80=0,0,TrRoad_ene!C83/TrRoad_tech!C111)</f>
        <v>1.3031285720597316</v>
      </c>
      <c r="D138" s="151">
        <f>IF(TrRoad_act!D80=0,0,TrRoad_ene!D83/TrRoad_tech!D111)</f>
        <v>1.3382585673507879</v>
      </c>
      <c r="E138" s="151">
        <f>IF(TrRoad_act!E80=0,0,TrRoad_ene!E83/TrRoad_tech!E111)</f>
        <v>1.4401102175160096</v>
      </c>
      <c r="F138" s="151">
        <f>IF(TrRoad_act!F80=0,0,TrRoad_ene!F83/TrRoad_tech!F111)</f>
        <v>1.5789939857998359</v>
      </c>
      <c r="G138" s="151">
        <f>IF(TrRoad_act!G80=0,0,TrRoad_ene!G83/TrRoad_tech!G111)</f>
        <v>1.5973686477852271</v>
      </c>
      <c r="H138" s="151">
        <f>IF(TrRoad_act!H80=0,0,TrRoad_ene!H83/TrRoad_tech!H111)</f>
        <v>1.5759243311991267</v>
      </c>
      <c r="I138" s="151">
        <f>IF(TrRoad_act!I80=0,0,TrRoad_ene!I83/TrRoad_tech!I111)</f>
        <v>1.5838503978927763</v>
      </c>
      <c r="J138" s="151">
        <f>IF(TrRoad_act!J80=0,0,TrRoad_ene!J83/TrRoad_tech!J111)</f>
        <v>1.4331234267123572</v>
      </c>
      <c r="K138" s="151">
        <f>IF(TrRoad_act!K80=0,0,TrRoad_ene!K83/TrRoad_tech!K111)</f>
        <v>1.4227816560071884</v>
      </c>
      <c r="L138" s="151">
        <f>IF(TrRoad_act!L80=0,0,TrRoad_ene!L83/TrRoad_tech!L111)</f>
        <v>1.4620674689067503</v>
      </c>
      <c r="M138" s="151">
        <f>IF(TrRoad_act!M80=0,0,TrRoad_ene!M83/TrRoad_tech!M111)</f>
        <v>1.4305723379055642</v>
      </c>
      <c r="N138" s="151">
        <f>IF(TrRoad_act!N80=0,0,TrRoad_ene!N83/TrRoad_tech!N111)</f>
        <v>1.3044638963135566</v>
      </c>
      <c r="O138" s="151">
        <f>IF(TrRoad_act!O80=0,0,TrRoad_ene!O83/TrRoad_tech!O111)</f>
        <v>1.2651865639013917</v>
      </c>
      <c r="P138" s="151">
        <f>IF(TrRoad_act!P80=0,0,TrRoad_ene!P83/TrRoad_tech!P111)</f>
        <v>1.3780584912896441</v>
      </c>
      <c r="Q138" s="151">
        <f>IF(TrRoad_act!Q80=0,0,TrRoad_ene!Q83/TrRoad_tech!Q111)</f>
        <v>1.3253188562368876</v>
      </c>
      <c r="R138" s="151">
        <f>IF(TrRoad_act!R80=0,0,TrRoad_ene!R83/TrRoad_tech!R111)</f>
        <v>1.4586279294971713</v>
      </c>
      <c r="S138" s="151">
        <f>IF(TrRoad_act!S80=0,0,TrRoad_ene!S83/TrRoad_tech!S111)</f>
        <v>1.5610729694967769</v>
      </c>
      <c r="T138" s="151">
        <f>IF(TrRoad_act!T80=0,0,TrRoad_ene!T83/TrRoad_tech!T111)</f>
        <v>1.7270516668930651</v>
      </c>
      <c r="U138" s="151">
        <f>IF(TrRoad_act!U80=0,0,TrRoad_ene!U83/TrRoad_tech!U111)</f>
        <v>1.692563172228863</v>
      </c>
      <c r="V138" s="151">
        <f>IF(TrRoad_act!V80=0,0,TrRoad_ene!V83/TrRoad_tech!V111)</f>
        <v>1.6208048453869537</v>
      </c>
      <c r="W138" s="151">
        <f>IF(TrRoad_act!W80=0,0,TrRoad_ene!W83/TrRoad_tech!W111)</f>
        <v>1.6982600955264611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1.1308749903821029</v>
      </c>
      <c r="C139" s="93">
        <f>IF(TrRoad_act!C81=0,0,TrRoad_ene!C84/TrRoad_tech!C112)</f>
        <v>1.1373196713017018</v>
      </c>
      <c r="D139" s="93">
        <f>IF(TrRoad_act!D81=0,0,TrRoad_ene!D84/TrRoad_tech!D112)</f>
        <v>1.1446305999390951</v>
      </c>
      <c r="E139" s="93">
        <f>IF(TrRoad_act!E81=0,0,TrRoad_ene!E84/TrRoad_tech!E112)</f>
        <v>1.1658955800209001</v>
      </c>
      <c r="F139" s="93">
        <f>IF(TrRoad_act!F81=0,0,TrRoad_ene!F84/TrRoad_tech!F112)</f>
        <v>1.1943107822998134</v>
      </c>
      <c r="G139" s="93">
        <f>IF(TrRoad_act!G81=0,0,TrRoad_ene!G84/TrRoad_tech!G112)</f>
        <v>1.2007515224786287</v>
      </c>
      <c r="H139" s="93">
        <f>IF(TrRoad_act!H81=0,0,TrRoad_ene!H84/TrRoad_tech!H112)</f>
        <v>1.1983430284265966</v>
      </c>
      <c r="I139" s="93">
        <f>IF(TrRoad_act!I81=0,0,TrRoad_ene!I84/TrRoad_tech!I112)</f>
        <v>1.204799467605207</v>
      </c>
      <c r="J139" s="93">
        <f>IF(TrRoad_act!J81=0,0,TrRoad_ene!J84/TrRoad_tech!J112)</f>
        <v>1.1760538329859773</v>
      </c>
      <c r="K139" s="93">
        <f>IF(TrRoad_act!K81=0,0,TrRoad_ene!K84/TrRoad_tech!K112)</f>
        <v>1.1756098752711859</v>
      </c>
      <c r="L139" s="93">
        <f>IF(TrRoad_act!L81=0,0,TrRoad_ene!L84/TrRoad_tech!L112)</f>
        <v>1.1842808402603093</v>
      </c>
      <c r="M139" s="93">
        <f>IF(TrRoad_act!M81=0,0,TrRoad_ene!M84/TrRoad_tech!M112)</f>
        <v>1.1817288698517876</v>
      </c>
      <c r="N139" s="93">
        <f>IF(TrRoad_act!N81=0,0,TrRoad_ene!N84/TrRoad_tech!N112)</f>
        <v>1.1624210370737933</v>
      </c>
      <c r="O139" s="93">
        <f>IF(TrRoad_act!O81=0,0,TrRoad_ene!O84/TrRoad_tech!O112)</f>
        <v>1.1597941390025293</v>
      </c>
      <c r="P139" s="93">
        <f>IF(TrRoad_act!P81=0,0,TrRoad_ene!P84/TrRoad_tech!P112)</f>
        <v>1.1913630347142963</v>
      </c>
      <c r="Q139" s="93">
        <f>IF(TrRoad_act!Q81=0,0,TrRoad_ene!Q84/TrRoad_tech!Q112)</f>
        <v>1.1896970722886147</v>
      </c>
      <c r="R139" s="93">
        <f>IF(TrRoad_act!R81=0,0,TrRoad_ene!R84/TrRoad_tech!R112)</f>
        <v>1.217768093642293</v>
      </c>
      <c r="S139" s="93">
        <f>IF(TrRoad_act!S81=0,0,TrRoad_ene!S84/TrRoad_tech!S112)</f>
        <v>1.2521221032069625</v>
      </c>
      <c r="T139" s="93">
        <f>IF(TrRoad_act!T81=0,0,TrRoad_ene!T84/TrRoad_tech!T112)</f>
        <v>1.2994370814196556</v>
      </c>
      <c r="U139" s="93">
        <f>IF(TrRoad_act!U81=0,0,TrRoad_ene!U84/TrRoad_tech!U112)</f>
        <v>1.3062366232168998</v>
      </c>
      <c r="V139" s="93">
        <f>IF(TrRoad_act!V81=0,0,TrRoad_ene!V84/TrRoad_tech!V112)</f>
        <v>1.3000887226126261</v>
      </c>
      <c r="W139" s="93">
        <f>IF(TrRoad_act!W81=0,0,TrRoad_ene!W84/TrRoad_tech!W112)</f>
        <v>1.3301836115742576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1.7648902714031383</v>
      </c>
      <c r="C140" s="94">
        <f>IF(TrRoad_act!C82=0,0,TrRoad_ene!C85/TrRoad_tech!C113)</f>
        <v>1.8825789662845491</v>
      </c>
      <c r="D140" s="94">
        <f>IF(TrRoad_act!D82=0,0,TrRoad_ene!D85/TrRoad_tech!D113)</f>
        <v>1.9896828606474763</v>
      </c>
      <c r="E140" s="94">
        <f>IF(TrRoad_act!E82=0,0,TrRoad_ene!E85/TrRoad_tech!E113)</f>
        <v>2.4588908153599394</v>
      </c>
      <c r="F140" s="94">
        <f>IF(TrRoad_act!F82=0,0,TrRoad_ene!F85/TrRoad_tech!F113)</f>
        <v>2.7625614180211522</v>
      </c>
      <c r="G140" s="94">
        <f>IF(TrRoad_act!G82=0,0,TrRoad_ene!G85/TrRoad_tech!G113)</f>
        <v>2.7609730692563672</v>
      </c>
      <c r="H140" s="94">
        <f>IF(TrRoad_act!H82=0,0,TrRoad_ene!H85/TrRoad_tech!H113)</f>
        <v>2.6747113116679193</v>
      </c>
      <c r="I140" s="94">
        <f>IF(TrRoad_act!I82=0,0,TrRoad_ene!I85/TrRoad_tech!I113)</f>
        <v>2.6523761509828208</v>
      </c>
      <c r="J140" s="94">
        <f>IF(TrRoad_act!J82=0,0,TrRoad_ene!J85/TrRoad_tech!J113)</f>
        <v>1.9779830476362839</v>
      </c>
      <c r="K140" s="94">
        <f>IF(TrRoad_act!K82=0,0,TrRoad_ene!K85/TrRoad_tech!K113)</f>
        <v>1.9511212694540165</v>
      </c>
      <c r="L140" s="94">
        <f>IF(TrRoad_act!L82=0,0,TrRoad_ene!L85/TrRoad_tech!L113)</f>
        <v>2.122294600406557</v>
      </c>
      <c r="M140" s="94">
        <f>IF(TrRoad_act!M82=0,0,TrRoad_ene!M85/TrRoad_tech!M113)</f>
        <v>2.074986162203603</v>
      </c>
      <c r="N140" s="94">
        <f>IF(TrRoad_act!N82=0,0,TrRoad_ene!N85/TrRoad_tech!N113)</f>
        <v>1.6700506676558717</v>
      </c>
      <c r="O140" s="94">
        <f>IF(TrRoad_act!O82=0,0,TrRoad_ene!O85/TrRoad_tech!O113)</f>
        <v>1.4994526016196961</v>
      </c>
      <c r="P140" s="94">
        <f>IF(TrRoad_act!P82=0,0,TrRoad_ene!P85/TrRoad_tech!P113)</f>
        <v>1.860437531111073</v>
      </c>
      <c r="Q140" s="94">
        <f>IF(TrRoad_act!Q82=0,0,TrRoad_ene!Q85/TrRoad_tech!Q113)</f>
        <v>1.6515889679917048</v>
      </c>
      <c r="R140" s="94">
        <f>IF(TrRoad_act!R82=0,0,TrRoad_ene!R85/TrRoad_tech!R113)</f>
        <v>2.0090554220403076</v>
      </c>
      <c r="S140" s="94">
        <f>IF(TrRoad_act!S82=0,0,TrRoad_ene!S85/TrRoad_tech!S113)</f>
        <v>2.2049572577982537</v>
      </c>
      <c r="T140" s="94">
        <f>IF(TrRoad_act!T82=0,0,TrRoad_ene!T85/TrRoad_tech!T113)</f>
        <v>2.6490541199965398</v>
      </c>
      <c r="U140" s="94">
        <f>IF(TrRoad_act!U82=0,0,TrRoad_ene!U85/TrRoad_tech!U113)</f>
        <v>2.5122721796068093</v>
      </c>
      <c r="V140" s="94">
        <f>IF(TrRoad_act!V82=0,0,TrRoad_ene!V85/TrRoad_tech!V113)</f>
        <v>2.2628038220578279</v>
      </c>
      <c r="W140" s="94">
        <f>IF(TrRoad_act!W82=0,0,TrRoad_ene!W85/TrRoad_tech!W113)</f>
        <v>2.4331626793666143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3.4418709757252346</v>
      </c>
      <c r="C144" s="141">
        <v>3.4287360215612344</v>
      </c>
      <c r="D144" s="141">
        <v>3.4142004094128846</v>
      </c>
      <c r="E144" s="141">
        <v>3.3739445973253872</v>
      </c>
      <c r="F144" s="141">
        <v>3.2930848147755825</v>
      </c>
      <c r="G144" s="141">
        <v>3.3008841389038985</v>
      </c>
      <c r="H144" s="141">
        <v>3.2657271062155058</v>
      </c>
      <c r="I144" s="141">
        <v>3.2058003459511988</v>
      </c>
      <c r="J144" s="141">
        <v>2.9988931584532046</v>
      </c>
      <c r="K144" s="141">
        <v>2.8173503258878045</v>
      </c>
      <c r="L144" s="141">
        <v>2.7075281185334261</v>
      </c>
      <c r="M144" s="141">
        <v>2.652497897619726</v>
      </c>
      <c r="N144" s="141">
        <v>2.4642666821796122</v>
      </c>
      <c r="O144" s="141">
        <v>2.3833633217284262</v>
      </c>
      <c r="P144" s="141">
        <v>2.3581830505056081</v>
      </c>
      <c r="Q144" s="141">
        <v>2.3221407442754676</v>
      </c>
      <c r="R144" s="141">
        <v>2.2716219164642708</v>
      </c>
      <c r="S144" s="141">
        <v>2.2312068542153134</v>
      </c>
      <c r="T144" s="141">
        <v>2.1988748044161475</v>
      </c>
      <c r="U144" s="141">
        <v>2.1730091645768148</v>
      </c>
      <c r="V144" s="141">
        <v>2.1523166527053488</v>
      </c>
      <c r="W144" s="141">
        <v>2.1357626432081758</v>
      </c>
      <c r="DA144" s="174" t="s">
        <v>885</v>
      </c>
    </row>
    <row r="145" spans="1:105" ht="11.45" customHeight="1" x14ac:dyDescent="0.25">
      <c r="A145" s="109" t="s">
        <v>20</v>
      </c>
      <c r="B145" s="130">
        <v>6.7963099373629028</v>
      </c>
      <c r="C145" s="130">
        <v>6.8087513785080898</v>
      </c>
      <c r="D145" s="130">
        <v>6.8266691268327602</v>
      </c>
      <c r="E145" s="130">
        <v>6.8282013784149145</v>
      </c>
      <c r="F145" s="130">
        <v>6.6536956402692686</v>
      </c>
      <c r="G145" s="130">
        <v>6.5304586381752987</v>
      </c>
      <c r="H145" s="130">
        <v>6.5765862438228915</v>
      </c>
      <c r="I145" s="130">
        <v>6.4249616908567244</v>
      </c>
      <c r="J145" s="130">
        <v>6.009337388008646</v>
      </c>
      <c r="K145" s="130">
        <v>5.7306267857518627</v>
      </c>
      <c r="L145" s="130">
        <v>5.4545046485034749</v>
      </c>
      <c r="M145" s="130">
        <v>5.3765574517681696</v>
      </c>
      <c r="N145" s="130">
        <v>5.0763916549215944</v>
      </c>
      <c r="O145" s="130">
        <v>4.9119107319324486</v>
      </c>
      <c r="P145" s="130">
        <v>4.8018366046575789</v>
      </c>
      <c r="Q145" s="130">
        <v>4.6490328501291867</v>
      </c>
      <c r="R145" s="130">
        <v>4.5300010637038239</v>
      </c>
      <c r="S145" s="130">
        <v>4.5710439652826</v>
      </c>
      <c r="T145" s="130">
        <v>4.6830320408424155</v>
      </c>
      <c r="U145" s="130">
        <v>4.65074981826805</v>
      </c>
      <c r="V145" s="130">
        <v>4.1827149749632646</v>
      </c>
      <c r="W145" s="130">
        <v>3.7143401563705503</v>
      </c>
      <c r="DA145" s="176" t="s">
        <v>886</v>
      </c>
    </row>
    <row r="146" spans="1:105" ht="11.45" customHeight="1" x14ac:dyDescent="0.25">
      <c r="A146" s="111" t="s">
        <v>110</v>
      </c>
      <c r="B146" s="96">
        <v>7.1937355540131929</v>
      </c>
      <c r="C146" s="96">
        <v>7.1963422575039599</v>
      </c>
      <c r="D146" s="96">
        <v>7.1634804501428517</v>
      </c>
      <c r="E146" s="96">
        <v>7.0724709537086383</v>
      </c>
      <c r="F146" s="96">
        <v>6.8896648516818644</v>
      </c>
      <c r="G146" s="96">
        <v>6.7609725042916482</v>
      </c>
      <c r="H146" s="96">
        <v>6.6830486976150061</v>
      </c>
      <c r="I146" s="96">
        <v>6.5502240271434502</v>
      </c>
      <c r="J146" s="96">
        <v>6.0270916027751191</v>
      </c>
      <c r="K146" s="96">
        <v>5.6286175913604595</v>
      </c>
      <c r="L146" s="96">
        <v>5.3874780546352712</v>
      </c>
      <c r="M146" s="96">
        <v>5.2667379809283874</v>
      </c>
      <c r="N146" s="96">
        <v>4.8016147049054521</v>
      </c>
      <c r="O146" s="96">
        <v>4.6257448760274995</v>
      </c>
      <c r="P146" s="96">
        <v>4.5734164053438091</v>
      </c>
      <c r="Q146" s="96">
        <v>4.5178493000976836</v>
      </c>
      <c r="R146" s="96">
        <v>4.50985830582096</v>
      </c>
      <c r="S146" s="96">
        <v>4.5438176193913931</v>
      </c>
      <c r="T146" s="96">
        <v>4.6813446454335006</v>
      </c>
      <c r="U146" s="96">
        <v>4.7957493211135462</v>
      </c>
      <c r="V146" s="96">
        <v>4.605088193965277</v>
      </c>
      <c r="W146" s="96">
        <v>4.4122825145136586</v>
      </c>
      <c r="DA146" s="171" t="s">
        <v>887</v>
      </c>
    </row>
    <row r="147" spans="1:105" ht="11.45" customHeight="1" x14ac:dyDescent="0.25">
      <c r="A147" s="111" t="s">
        <v>111</v>
      </c>
      <c r="B147" s="96">
        <v>5.8802538721772848</v>
      </c>
      <c r="C147" s="96">
        <v>5.9127506058778119</v>
      </c>
      <c r="D147" s="96">
        <v>5.830191704074319</v>
      </c>
      <c r="E147" s="96">
        <v>5.951081524572289</v>
      </c>
      <c r="F147" s="96">
        <v>6.0365889585830494</v>
      </c>
      <c r="G147" s="96">
        <v>6.13389052142288</v>
      </c>
      <c r="H147" s="96">
        <v>6.3865207609415648</v>
      </c>
      <c r="I147" s="96">
        <v>6.2705844745518027</v>
      </c>
      <c r="J147" s="96">
        <v>5.9894124432667653</v>
      </c>
      <c r="K147" s="96">
        <v>5.830191704074319</v>
      </c>
      <c r="L147" s="96">
        <v>5.5176472901040006</v>
      </c>
      <c r="M147" s="96">
        <v>5.5276496550858649</v>
      </c>
      <c r="N147" s="96">
        <v>5.3627065311121491</v>
      </c>
      <c r="O147" s="96">
        <v>5.1993536120736072</v>
      </c>
      <c r="P147" s="96">
        <v>5.0384210597079067</v>
      </c>
      <c r="Q147" s="96">
        <v>4.8323473768926233</v>
      </c>
      <c r="R147" s="96">
        <v>4.6300186327609723</v>
      </c>
      <c r="S147" s="96">
        <v>4.6697255519221068</v>
      </c>
      <c r="T147" s="96">
        <v>4.8661643195959092</v>
      </c>
      <c r="U147" s="96">
        <v>4.7095822785551968</v>
      </c>
      <c r="V147" s="96">
        <v>4.5159661856800275</v>
      </c>
      <c r="W147" s="96">
        <v>4.5685881585546735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6.8954539248699191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5.9026811755590884</v>
      </c>
      <c r="R149" s="96">
        <v>7.1937356965111601</v>
      </c>
      <c r="S149" s="96">
        <v>4.2005499357079623</v>
      </c>
      <c r="T149" s="96">
        <v>4.8800282059333497</v>
      </c>
      <c r="U149" s="96">
        <v>4.8393613042172383</v>
      </c>
      <c r="V149" s="96">
        <v>4.7047801843744956</v>
      </c>
      <c r="W149" s="96">
        <v>4.5271274422258507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2.6790006484015438</v>
      </c>
      <c r="O150" s="96">
        <v>3.8994923119091691</v>
      </c>
      <c r="P150" s="96">
        <v>1.6046733914848967</v>
      </c>
      <c r="Q150" s="96">
        <v>5.101821500015177</v>
      </c>
      <c r="R150" s="96">
        <v>2.7432937132639532</v>
      </c>
      <c r="S150" s="96">
        <v>2.606110313592465</v>
      </c>
      <c r="T150" s="96">
        <v>2.3510242360966194</v>
      </c>
      <c r="U150" s="96">
        <v>2.3492121946167641</v>
      </c>
      <c r="V150" s="96">
        <v>2.2411270957706684</v>
      </c>
      <c r="W150" s="96">
        <v>2.5352288214083689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1.2871445851611116</v>
      </c>
      <c r="P151" s="96">
        <v>1.2041456381633422</v>
      </c>
      <c r="Q151" s="96">
        <v>1.4326327949656097</v>
      </c>
      <c r="R151" s="96">
        <v>1.2309408782529794</v>
      </c>
      <c r="S151" s="96">
        <v>1.2151295947157645</v>
      </c>
      <c r="T151" s="96">
        <v>1.2499714653132348</v>
      </c>
      <c r="U151" s="96">
        <v>1.4104945687253938</v>
      </c>
      <c r="V151" s="96">
        <v>1.4379046790975907</v>
      </c>
      <c r="W151" s="96">
        <v>1.4766909763903457</v>
      </c>
      <c r="DA151" s="171" t="s">
        <v>892</v>
      </c>
    </row>
    <row r="152" spans="1:105" ht="11.45" customHeight="1" x14ac:dyDescent="0.25">
      <c r="A152" s="109" t="s">
        <v>21</v>
      </c>
      <c r="B152" s="130">
        <v>48.771104312166308</v>
      </c>
      <c r="C152" s="130">
        <v>48.720819182820982</v>
      </c>
      <c r="D152" s="130">
        <v>48.665007621777988</v>
      </c>
      <c r="E152" s="130">
        <v>48.508952708740182</v>
      </c>
      <c r="F152" s="130">
        <v>48.189296468687274</v>
      </c>
      <c r="G152" s="130">
        <v>46.832687657710878</v>
      </c>
      <c r="H152" s="130">
        <v>46.557316155009545</v>
      </c>
      <c r="I152" s="130">
        <v>46.755425991765577</v>
      </c>
      <c r="J152" s="130">
        <v>44.144766985105406</v>
      </c>
      <c r="K152" s="130">
        <v>43.676214559943439</v>
      </c>
      <c r="L152" s="130">
        <v>43.520134105643038</v>
      </c>
      <c r="M152" s="130">
        <v>43.202414649153312</v>
      </c>
      <c r="N152" s="130">
        <v>42.435561403248187</v>
      </c>
      <c r="O152" s="130">
        <v>41.423665743664039</v>
      </c>
      <c r="P152" s="130">
        <v>43.388346598896362</v>
      </c>
      <c r="Q152" s="130">
        <v>42.986586826256087</v>
      </c>
      <c r="R152" s="130">
        <v>42.679963561955695</v>
      </c>
      <c r="S152" s="130">
        <v>42.387481989723071</v>
      </c>
      <c r="T152" s="130">
        <v>42.700141113868575</v>
      </c>
      <c r="U152" s="130">
        <v>40.759876338226</v>
      </c>
      <c r="V152" s="130">
        <v>42.05395842629671</v>
      </c>
      <c r="W152" s="130">
        <v>37.653979519190557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17.331845911720656</v>
      </c>
      <c r="H153" s="97">
        <v>15.831572720472639</v>
      </c>
      <c r="I153" s="97">
        <v>14.979127155460818</v>
      </c>
      <c r="J153" s="97">
        <v>14.476949248643463</v>
      </c>
      <c r="K153" s="97">
        <v>13.576488767328897</v>
      </c>
      <c r="L153" s="97">
        <v>13.019556485735787</v>
      </c>
      <c r="M153" s="97">
        <v>13.032528450839388</v>
      </c>
      <c r="N153" s="97">
        <v>12.176708119629357</v>
      </c>
      <c r="O153" s="97">
        <v>11.261799530923994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48.771104312166308</v>
      </c>
      <c r="C154" s="97">
        <v>48.720819182820982</v>
      </c>
      <c r="D154" s="97">
        <v>48.665007621777988</v>
      </c>
      <c r="E154" s="97">
        <v>48.508952708740182</v>
      </c>
      <c r="F154" s="97">
        <v>48.189296468687274</v>
      </c>
      <c r="G154" s="97">
        <v>47.961066645020324</v>
      </c>
      <c r="H154" s="97">
        <v>47.821667452446398</v>
      </c>
      <c r="I154" s="97">
        <v>47.580459714502055</v>
      </c>
      <c r="J154" s="97">
        <v>46.569929197895213</v>
      </c>
      <c r="K154" s="97">
        <v>45.760041730201372</v>
      </c>
      <c r="L154" s="97">
        <v>45.253851149300928</v>
      </c>
      <c r="M154" s="97">
        <v>44.995868914574885</v>
      </c>
      <c r="N154" s="97">
        <v>43.931878323866698</v>
      </c>
      <c r="O154" s="97">
        <v>43.518239786215432</v>
      </c>
      <c r="P154" s="97">
        <v>43.388346598896362</v>
      </c>
      <c r="Q154" s="97">
        <v>43.199999999908329</v>
      </c>
      <c r="R154" s="97">
        <v>43.031187212636908</v>
      </c>
      <c r="S154" s="97">
        <v>42.879819795749079</v>
      </c>
      <c r="T154" s="97">
        <v>42.744044421498437</v>
      </c>
      <c r="U154" s="97">
        <v>42.622214206302921</v>
      </c>
      <c r="V154" s="97">
        <v>42.512863934243647</v>
      </c>
      <c r="W154" s="97">
        <v>42.414688576553218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37.799999999919791</v>
      </c>
      <c r="R156" s="97">
        <v>36.540746246551798</v>
      </c>
      <c r="S156" s="97">
        <v>35.443325544286665</v>
      </c>
      <c r="T156" s="97">
        <v>0</v>
      </c>
      <c r="U156" s="97">
        <v>33.642558902536919</v>
      </c>
      <c r="V156" s="97">
        <v>32.902955633883337</v>
      </c>
      <c r="W156" s="97">
        <v>32.25122486012026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25.480564810239603</v>
      </c>
      <c r="S157" s="97">
        <v>25.761445384164247</v>
      </c>
      <c r="T157" s="97">
        <v>26.016884214519461</v>
      </c>
      <c r="U157" s="97">
        <v>26.248944005540601</v>
      </c>
      <c r="V157" s="97">
        <v>26.459567037281328</v>
      </c>
      <c r="W157" s="97">
        <v>26.650572374054654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7.5962572496487066</v>
      </c>
      <c r="D159" s="141">
        <v>7.5643843858285615</v>
      </c>
      <c r="E159" s="141">
        <v>7.5822873454636976</v>
      </c>
      <c r="F159" s="141">
        <v>7.5227599669325693</v>
      </c>
      <c r="G159" s="141">
        <v>7.5286517745362369</v>
      </c>
      <c r="H159" s="141">
        <v>7.646184711121804</v>
      </c>
      <c r="I159" s="141">
        <v>7.2329582218736572</v>
      </c>
      <c r="J159" s="141">
        <v>7.4549805642041989</v>
      </c>
      <c r="K159" s="141">
        <v>7.5515676056303116</v>
      </c>
      <c r="L159" s="141">
        <v>7.672252894026018</v>
      </c>
      <c r="M159" s="141">
        <v>7.9827723547336387</v>
      </c>
      <c r="N159" s="141">
        <v>7.5024826970439502</v>
      </c>
      <c r="O159" s="141">
        <v>6.8548561585284036</v>
      </c>
      <c r="P159" s="141">
        <v>6.380701474475222</v>
      </c>
      <c r="Q159" s="141">
        <v>6.0676452225275384</v>
      </c>
      <c r="R159" s="141">
        <v>6.0470296492514386</v>
      </c>
      <c r="S159" s="141">
        <v>5.9033412820347335</v>
      </c>
      <c r="T159" s="141">
        <v>5.7596519142502842</v>
      </c>
      <c r="U159" s="141">
        <v>5.6331845833403777</v>
      </c>
      <c r="V159" s="141">
        <v>5.9877140713912587</v>
      </c>
      <c r="W159" s="141">
        <v>5.8095967259258403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10.171057092155891</v>
      </c>
      <c r="D160" s="96">
        <v>10.124611369195348</v>
      </c>
      <c r="E160" s="96">
        <v>9.9959817472237802</v>
      </c>
      <c r="F160" s="96">
        <v>9.7376100308744142</v>
      </c>
      <c r="G160" s="96">
        <v>9.5557207924540837</v>
      </c>
      <c r="H160" s="96">
        <v>9.4455860242362721</v>
      </c>
      <c r="I160" s="96">
        <v>9.2578563056831733</v>
      </c>
      <c r="J160" s="96">
        <v>8.5184793326855441</v>
      </c>
      <c r="K160" s="96">
        <v>7.9552901770262601</v>
      </c>
      <c r="L160" s="96">
        <v>7.614595502615086</v>
      </c>
      <c r="M160" s="96">
        <v>7.443878635338236</v>
      </c>
      <c r="N160" s="96">
        <v>6.7864333783184794</v>
      </c>
      <c r="O160" s="96">
        <v>5.2565149847963362</v>
      </c>
      <c r="P160" s="96">
        <v>5.0313137949029914</v>
      </c>
      <c r="Q160" s="96">
        <v>4.8227703149383743</v>
      </c>
      <c r="R160" s="96">
        <v>4.9037235475017127</v>
      </c>
      <c r="S160" s="96">
        <v>4.9250970981013857</v>
      </c>
      <c r="T160" s="96">
        <v>4.9203074061307168</v>
      </c>
      <c r="U160" s="96">
        <v>4.8639302819366081</v>
      </c>
      <c r="V160" s="96">
        <v>4.7643047454232823</v>
      </c>
      <c r="W160" s="96">
        <v>4.6096593204674727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7.1613792292292811</v>
      </c>
      <c r="D161" s="96">
        <v>7.0613859022697802</v>
      </c>
      <c r="E161" s="96">
        <v>7.2078047024604759</v>
      </c>
      <c r="F161" s="96">
        <v>7.3113692196685252</v>
      </c>
      <c r="G161" s="96">
        <v>7.4292184978707922</v>
      </c>
      <c r="H161" s="96">
        <v>7.7351980783668539</v>
      </c>
      <c r="I161" s="96">
        <v>7.59477887779373</v>
      </c>
      <c r="J161" s="96">
        <v>7.2542301756916672</v>
      </c>
      <c r="K161" s="96">
        <v>7.0613859022697802</v>
      </c>
      <c r="L161" s="96">
        <v>6.6828397359231149</v>
      </c>
      <c r="M161" s="96">
        <v>6.6949543562748328</v>
      </c>
      <c r="N161" s="96">
        <v>6.4951792700645177</v>
      </c>
      <c r="O161" s="96">
        <v>6.0179459122968435</v>
      </c>
      <c r="P161" s="96">
        <v>5.6670858892222808</v>
      </c>
      <c r="Q161" s="96">
        <v>5.7104772789804867</v>
      </c>
      <c r="R161" s="96">
        <v>5.6646963064463653</v>
      </c>
      <c r="S161" s="96">
        <v>5.54313941928228</v>
      </c>
      <c r="T161" s="96">
        <v>5.6254734386654253</v>
      </c>
      <c r="U161" s="96">
        <v>5.6865701467489007</v>
      </c>
      <c r="V161" s="96">
        <v>6.4248778796041588</v>
      </c>
      <c r="W161" s="96">
        <v>6.2925801454146644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10.127504973580267</v>
      </c>
      <c r="D162" s="96">
        <v>9.9860960516823951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7.1415779395813468</v>
      </c>
      <c r="R163" s="96">
        <v>5.8896275729427607</v>
      </c>
      <c r="S163" s="96">
        <v>5.8121419354599038</v>
      </c>
      <c r="T163" s="96">
        <v>5.4462874754190471</v>
      </c>
      <c r="U163" s="96">
        <v>0</v>
      </c>
      <c r="V163" s="96">
        <v>8.9407554887297938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1.3327601031814273</v>
      </c>
      <c r="O164" s="96">
        <v>1.3327601031814273</v>
      </c>
      <c r="P164" s="96">
        <v>1.4317471635593397</v>
      </c>
      <c r="Q164" s="96">
        <v>1.4202542778941014</v>
      </c>
      <c r="R164" s="96">
        <v>1.4437583053232237</v>
      </c>
      <c r="S164" s="96">
        <v>1.4176917542597438</v>
      </c>
      <c r="T164" s="96">
        <v>1.7170790739148436</v>
      </c>
      <c r="U164" s="96">
        <v>1.6633071620878737</v>
      </c>
      <c r="V164" s="96">
        <v>2.1995984456813122</v>
      </c>
      <c r="W164" s="96">
        <v>2.2614307169950991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30.877693641029655</v>
      </c>
      <c r="D165" s="130">
        <v>30.53126895527528</v>
      </c>
      <c r="E165" s="130">
        <v>30.306833930502663</v>
      </c>
      <c r="F165" s="130">
        <v>30.321547604077523</v>
      </c>
      <c r="G165" s="130">
        <v>29.490842288637708</v>
      </c>
      <c r="H165" s="130">
        <v>29.705376709224854</v>
      </c>
      <c r="I165" s="130">
        <v>28.889545693370277</v>
      </c>
      <c r="J165" s="130">
        <v>30.051429489553158</v>
      </c>
      <c r="K165" s="130">
        <v>27.759798994916785</v>
      </c>
      <c r="L165" s="130">
        <v>28.187621017565874</v>
      </c>
      <c r="M165" s="130">
        <v>27.465899314275042</v>
      </c>
      <c r="N165" s="130">
        <v>26.921291455373808</v>
      </c>
      <c r="O165" s="130">
        <v>27.008584889506928</v>
      </c>
      <c r="P165" s="130">
        <v>25.520951749868725</v>
      </c>
      <c r="Q165" s="130">
        <v>26.698919690778823</v>
      </c>
      <c r="R165" s="130">
        <v>25.402469645699004</v>
      </c>
      <c r="S165" s="130">
        <v>23.062401324690533</v>
      </c>
      <c r="T165" s="130">
        <v>21.572728727269517</v>
      </c>
      <c r="U165" s="130">
        <v>21.013357374375612</v>
      </c>
      <c r="V165" s="130">
        <v>21.515817314640593</v>
      </c>
      <c r="W165" s="130">
        <v>20.127990906821882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30.00618556695056</v>
      </c>
      <c r="D166" s="97">
        <v>29.852830188602187</v>
      </c>
      <c r="E166" s="97">
        <v>29.661874197639577</v>
      </c>
      <c r="F166" s="97">
        <v>29.433802816832344</v>
      </c>
      <c r="G166" s="97">
        <v>29.169191489291819</v>
      </c>
      <c r="H166" s="97">
        <v>28.868702290023776</v>
      </c>
      <c r="I166" s="97">
        <v>28.533079847840558</v>
      </c>
      <c r="J166" s="97">
        <v>28.163146823674232</v>
      </c>
      <c r="K166" s="97">
        <v>27.759798994916785</v>
      </c>
      <c r="L166" s="97">
        <v>27.323999999929974</v>
      </c>
      <c r="M166" s="97">
        <v>26.856775797709886</v>
      </c>
      <c r="N166" s="97">
        <v>26.359208899822526</v>
      </c>
      <c r="O166" s="97">
        <v>25.832432432393876</v>
      </c>
      <c r="P166" s="97">
        <v>25.277624084579486</v>
      </c>
      <c r="Q166" s="97">
        <v>24.695999999947592</v>
      </c>
      <c r="R166" s="97">
        <v>23.290739513874918</v>
      </c>
      <c r="S166" s="97">
        <v>22.307057173624045</v>
      </c>
      <c r="T166" s="97">
        <v>21.274190716360629</v>
      </c>
      <c r="U166" s="97">
        <v>20.01179837970534</v>
      </c>
      <c r="V166" s="97">
        <v>19.374614396502473</v>
      </c>
      <c r="W166" s="97">
        <v>19.063671344980005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113.93682307883519</v>
      </c>
      <c r="C171" s="152">
        <v>111.93121004856056</v>
      </c>
      <c r="D171" s="152">
        <v>110.58528075671786</v>
      </c>
      <c r="E171" s="152">
        <v>109.29929965376309</v>
      </c>
      <c r="F171" s="152">
        <v>107.50899272432365</v>
      </c>
      <c r="G171" s="152">
        <v>105.30552032987696</v>
      </c>
      <c r="H171" s="152">
        <v>102.83376841083218</v>
      </c>
      <c r="I171" s="152">
        <v>100.2368437182309</v>
      </c>
      <c r="J171" s="152">
        <v>98.013121162729362</v>
      </c>
      <c r="K171" s="152">
        <v>96.895144873640263</v>
      </c>
      <c r="L171" s="152">
        <v>95.860670304474127</v>
      </c>
      <c r="M171" s="152">
        <v>95.458424343163713</v>
      </c>
      <c r="N171" s="152">
        <v>94.631803332865914</v>
      </c>
      <c r="O171" s="152">
        <v>94.146862699965467</v>
      </c>
      <c r="P171" s="152">
        <v>93.038788860090946</v>
      </c>
      <c r="Q171" s="152">
        <v>92.092660151738016</v>
      </c>
      <c r="R171" s="152">
        <v>91.233359050115325</v>
      </c>
      <c r="S171" s="152">
        <v>89.699753954273461</v>
      </c>
      <c r="T171" s="152">
        <v>88.492998672320383</v>
      </c>
      <c r="U171" s="152">
        <v>86.502560914010914</v>
      </c>
      <c r="V171" s="152">
        <v>85.350958339338234</v>
      </c>
      <c r="W171" s="152">
        <v>81.609127761540691</v>
      </c>
      <c r="DA171" s="174" t="s">
        <v>908</v>
      </c>
    </row>
    <row r="172" spans="1:105" ht="11.45" customHeight="1" x14ac:dyDescent="0.25">
      <c r="A172" s="109" t="s">
        <v>20</v>
      </c>
      <c r="B172" s="116">
        <v>241.64327739854323</v>
      </c>
      <c r="C172" s="116">
        <v>237.81881590738831</v>
      </c>
      <c r="D172" s="116">
        <v>235.11635603081911</v>
      </c>
      <c r="E172" s="116">
        <v>233.08680534338137</v>
      </c>
      <c r="F172" s="116">
        <v>231.52773057493428</v>
      </c>
      <c r="G172" s="116">
        <v>229.34267170187255</v>
      </c>
      <c r="H172" s="116">
        <v>226.57965165981923</v>
      </c>
      <c r="I172" s="116">
        <v>222.98246436345718</v>
      </c>
      <c r="J172" s="116">
        <v>219.33406590354474</v>
      </c>
      <c r="K172" s="116">
        <v>216.65226255241026</v>
      </c>
      <c r="L172" s="116">
        <v>212.06876669123608</v>
      </c>
      <c r="M172" s="116">
        <v>206.32711943963841</v>
      </c>
      <c r="N172" s="116">
        <v>201.81035929991307</v>
      </c>
      <c r="O172" s="116">
        <v>196.28232983772841</v>
      </c>
      <c r="P172" s="116">
        <v>190.08880480782662</v>
      </c>
      <c r="Q172" s="116">
        <v>181.54275551902802</v>
      </c>
      <c r="R172" s="116">
        <v>175.98550713181135</v>
      </c>
      <c r="S172" s="116">
        <v>171.76412734138395</v>
      </c>
      <c r="T172" s="116">
        <v>167.40230949115974</v>
      </c>
      <c r="U172" s="116">
        <v>161.13958150841998</v>
      </c>
      <c r="V172" s="116">
        <v>151.18258373496911</v>
      </c>
      <c r="W172" s="116">
        <v>133.08856811091403</v>
      </c>
      <c r="DA172" s="176" t="s">
        <v>909</v>
      </c>
    </row>
    <row r="173" spans="1:105" ht="11.45" customHeight="1" x14ac:dyDescent="0.25">
      <c r="A173" s="111" t="s">
        <v>110</v>
      </c>
      <c r="B173" s="87">
        <v>240.39526751803018</v>
      </c>
      <c r="C173" s="87">
        <v>236.81828809799285</v>
      </c>
      <c r="D173" s="87">
        <v>234.8760060914091</v>
      </c>
      <c r="E173" s="87">
        <v>233.10895650653126</v>
      </c>
      <c r="F173" s="87">
        <v>230.58777550467636</v>
      </c>
      <c r="G173" s="87">
        <v>227.37427519160488</v>
      </c>
      <c r="H173" s="87">
        <v>224.60861722134248</v>
      </c>
      <c r="I173" s="87">
        <v>220.44840137439797</v>
      </c>
      <c r="J173" s="87">
        <v>216.57390138871833</v>
      </c>
      <c r="K173" s="87">
        <v>213.18607919000988</v>
      </c>
      <c r="L173" s="87">
        <v>208.68112767779402</v>
      </c>
      <c r="M173" s="87">
        <v>203.22874215507554</v>
      </c>
      <c r="N173" s="87">
        <v>196.97617547847582</v>
      </c>
      <c r="O173" s="87">
        <v>190.20983458395932</v>
      </c>
      <c r="P173" s="87">
        <v>183.04008973906778</v>
      </c>
      <c r="Q173" s="87">
        <v>176.61840156148094</v>
      </c>
      <c r="R173" s="87">
        <v>170.26930744446233</v>
      </c>
      <c r="S173" s="87">
        <v>165.01136813003941</v>
      </c>
      <c r="T173" s="87">
        <v>160.8301157952034</v>
      </c>
      <c r="U173" s="87">
        <v>156.45274962198206</v>
      </c>
      <c r="V173" s="87">
        <v>152.85687315945992</v>
      </c>
      <c r="W173" s="87">
        <v>148.59980916013964</v>
      </c>
      <c r="DA173" s="171" t="s">
        <v>910</v>
      </c>
    </row>
    <row r="174" spans="1:105" ht="11.45" customHeight="1" x14ac:dyDescent="0.25">
      <c r="A174" s="111" t="s">
        <v>111</v>
      </c>
      <c r="B174" s="87">
        <v>208.32692260537658</v>
      </c>
      <c r="C174" s="87">
        <v>193.19428498461724</v>
      </c>
      <c r="D174" s="87">
        <v>189.73914617760957</v>
      </c>
      <c r="E174" s="87">
        <v>188.02274941201577</v>
      </c>
      <c r="F174" s="87">
        <v>186.84774377226313</v>
      </c>
      <c r="G174" s="87">
        <v>186.7160808744118</v>
      </c>
      <c r="H174" s="87">
        <v>187.87255386287399</v>
      </c>
      <c r="I174" s="87">
        <v>188.42343647056222</v>
      </c>
      <c r="J174" s="87">
        <v>187.77623502373166</v>
      </c>
      <c r="K174" s="87">
        <v>186.99888972343447</v>
      </c>
      <c r="L174" s="87">
        <v>184.9253487020467</v>
      </c>
      <c r="M174" s="87">
        <v>182.85782930261621</v>
      </c>
      <c r="N174" s="87">
        <v>181.09309297080753</v>
      </c>
      <c r="O174" s="87">
        <v>179.22773058010461</v>
      </c>
      <c r="P174" s="87">
        <v>177.10528448395479</v>
      </c>
      <c r="Q174" s="87">
        <v>174.00094844127622</v>
      </c>
      <c r="R174" s="87">
        <v>168.14518178137283</v>
      </c>
      <c r="S174" s="87">
        <v>164.67516256833218</v>
      </c>
      <c r="T174" s="87">
        <v>163.04974782824837</v>
      </c>
      <c r="U174" s="87">
        <v>161.21844970749197</v>
      </c>
      <c r="V174" s="87">
        <v>159.47604283229472</v>
      </c>
      <c r="W174" s="87">
        <v>158.0815822792365</v>
      </c>
      <c r="DA174" s="171" t="s">
        <v>911</v>
      </c>
    </row>
    <row r="175" spans="1:105" ht="11.45" customHeight="1" x14ac:dyDescent="0.25">
      <c r="A175" s="111" t="s">
        <v>112</v>
      </c>
      <c r="B175" s="87">
        <v>202.46145295108033</v>
      </c>
      <c r="C175" s="87">
        <v>200.78518452288245</v>
      </c>
      <c r="D175" s="87">
        <v>200.71295382118248</v>
      </c>
      <c r="E175" s="87">
        <v>200.5155911961464</v>
      </c>
      <c r="F175" s="87">
        <v>200.39194384825765</v>
      </c>
      <c r="G175" s="87">
        <v>200.25912190983519</v>
      </c>
      <c r="H175" s="87">
        <v>200.07205025802642</v>
      </c>
      <c r="I175" s="87">
        <v>199.95803278548999</v>
      </c>
      <c r="J175" s="87">
        <v>199.61744223351252</v>
      </c>
      <c r="K175" s="87">
        <v>198.9219773367673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0</v>
      </c>
      <c r="S175" s="87">
        <v>0</v>
      </c>
      <c r="T175" s="87">
        <v>0</v>
      </c>
      <c r="U175" s="87">
        <v>0</v>
      </c>
      <c r="V175" s="87">
        <v>0</v>
      </c>
      <c r="W175" s="87">
        <v>0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138.64186851211076</v>
      </c>
      <c r="R176" s="87">
        <v>168.96608996539794</v>
      </c>
      <c r="S176" s="87">
        <v>98.662298461311963</v>
      </c>
      <c r="T176" s="87">
        <v>106.09066364162092</v>
      </c>
      <c r="U176" s="87">
        <v>108.74324346904321</v>
      </c>
      <c r="V176" s="87">
        <v>109.28044707602456</v>
      </c>
      <c r="W176" s="87">
        <v>108.74294648146072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52.103360059816822</v>
      </c>
      <c r="O177" s="87">
        <v>60.113318939330028</v>
      </c>
      <c r="P177" s="87">
        <v>27.607842180004553</v>
      </c>
      <c r="Q177" s="87">
        <v>119.38399225064319</v>
      </c>
      <c r="R177" s="87">
        <v>69.720246011875474</v>
      </c>
      <c r="S177" s="87">
        <v>54.806142281390962</v>
      </c>
      <c r="T177" s="87">
        <v>43.879369365853385</v>
      </c>
      <c r="U177" s="87">
        <v>39.335498131774372</v>
      </c>
      <c r="V177" s="87">
        <v>35.141675914705253</v>
      </c>
      <c r="W177" s="87">
        <v>33.980951405197594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1540.6342571330006</v>
      </c>
      <c r="C179" s="116">
        <v>1515.5062717334927</v>
      </c>
      <c r="D179" s="116">
        <v>1502.7971378573291</v>
      </c>
      <c r="E179" s="116">
        <v>1535.1792691464625</v>
      </c>
      <c r="F179" s="116">
        <v>1528.4470197773389</v>
      </c>
      <c r="G179" s="116">
        <v>1505.0942295535524</v>
      </c>
      <c r="H179" s="116">
        <v>1470.2424626428847</v>
      </c>
      <c r="I179" s="116">
        <v>1441.0127371295614</v>
      </c>
      <c r="J179" s="116">
        <v>1434.7449533854199</v>
      </c>
      <c r="K179" s="116">
        <v>1429.7315489268781</v>
      </c>
      <c r="L179" s="116">
        <v>1424.4318308042382</v>
      </c>
      <c r="M179" s="116">
        <v>1417.4069668958307</v>
      </c>
      <c r="N179" s="116">
        <v>1408.6849464508484</v>
      </c>
      <c r="O179" s="116">
        <v>1398.8243112203843</v>
      </c>
      <c r="P179" s="116">
        <v>1398.7541534976619</v>
      </c>
      <c r="Q179" s="116">
        <v>1383.1333816619451</v>
      </c>
      <c r="R179" s="116">
        <v>1370.7320887108745</v>
      </c>
      <c r="S179" s="116">
        <v>1355.7700830176025</v>
      </c>
      <c r="T179" s="116">
        <v>1367.1528234963309</v>
      </c>
      <c r="U179" s="116">
        <v>1259.7858485834679</v>
      </c>
      <c r="V179" s="116">
        <v>1337.7221303317451</v>
      </c>
      <c r="W179" s="116">
        <v>1048.4790363117684</v>
      </c>
      <c r="DA179" s="176" t="s">
        <v>916</v>
      </c>
    </row>
    <row r="180" spans="1:105" ht="11.45" customHeight="1" x14ac:dyDescent="0.25">
      <c r="A180" s="111" t="s">
        <v>110</v>
      </c>
      <c r="B180" s="101">
        <v>539.16088565951509</v>
      </c>
      <c r="C180" s="101">
        <v>539.1608856595152</v>
      </c>
      <c r="D180" s="101">
        <v>539.16088565951497</v>
      </c>
      <c r="E180" s="101">
        <v>539.16088565951486</v>
      </c>
      <c r="F180" s="101">
        <v>539.1608856595152</v>
      </c>
      <c r="G180" s="101">
        <v>533.39969119036459</v>
      </c>
      <c r="H180" s="101">
        <v>516.473431690859</v>
      </c>
      <c r="I180" s="101">
        <v>499.36351312917685</v>
      </c>
      <c r="J180" s="101">
        <v>482.2512271397207</v>
      </c>
      <c r="K180" s="101">
        <v>465.24666275428461</v>
      </c>
      <c r="L180" s="101">
        <v>450.62371581328159</v>
      </c>
      <c r="M180" s="101">
        <v>438.59505258555436</v>
      </c>
      <c r="N180" s="101">
        <v>427.19109122483201</v>
      </c>
      <c r="O180" s="101">
        <v>419.88191427503358</v>
      </c>
      <c r="P180" s="101">
        <v>416.68029373663217</v>
      </c>
      <c r="Q180" s="101">
        <v>407.9394423691956</v>
      </c>
      <c r="R180" s="101">
        <v>406.78346165270574</v>
      </c>
      <c r="S180" s="101">
        <v>401.47733532875037</v>
      </c>
      <c r="T180" s="101">
        <v>400.84864562808428</v>
      </c>
      <c r="U180" s="101">
        <v>400.16301227474673</v>
      </c>
      <c r="V180" s="101">
        <v>398.84156617139058</v>
      </c>
      <c r="W180" s="101">
        <v>398.3894616512485</v>
      </c>
      <c r="DA180" s="175" t="s">
        <v>917</v>
      </c>
    </row>
    <row r="181" spans="1:105" ht="11.45" customHeight="1" x14ac:dyDescent="0.25">
      <c r="A181" s="111" t="s">
        <v>111</v>
      </c>
      <c r="B181" s="101">
        <v>1664.3923000630843</v>
      </c>
      <c r="C181" s="101">
        <v>1628.9845920113737</v>
      </c>
      <c r="D181" s="101">
        <v>1611.1926830246955</v>
      </c>
      <c r="E181" s="101">
        <v>1597.1833949507602</v>
      </c>
      <c r="F181" s="101">
        <v>1575.4554773881973</v>
      </c>
      <c r="G181" s="101">
        <v>1547.8044818211772</v>
      </c>
      <c r="H181" s="101">
        <v>1515.3199401693532</v>
      </c>
      <c r="I181" s="101">
        <v>1487.9647771171658</v>
      </c>
      <c r="J181" s="101">
        <v>1482.6762639668405</v>
      </c>
      <c r="K181" s="101">
        <v>1475.9438038603498</v>
      </c>
      <c r="L181" s="101">
        <v>1468.8127699251393</v>
      </c>
      <c r="M181" s="101">
        <v>1462.0274998862019</v>
      </c>
      <c r="N181" s="101">
        <v>1452.9885641679643</v>
      </c>
      <c r="O181" s="101">
        <v>1446.3507269728325</v>
      </c>
      <c r="P181" s="101">
        <v>1437.7499476320863</v>
      </c>
      <c r="Q181" s="101">
        <v>1428.5758230936501</v>
      </c>
      <c r="R181" s="101">
        <v>1415.9884034101769</v>
      </c>
      <c r="S181" s="101">
        <v>1401.255351598722</v>
      </c>
      <c r="T181" s="101">
        <v>1392.8973181431697</v>
      </c>
      <c r="U181" s="101">
        <v>1384.1606552101314</v>
      </c>
      <c r="V181" s="101">
        <v>1377.3754081802858</v>
      </c>
      <c r="W181" s="101">
        <v>1367.0230885784747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887.84443439811605</v>
      </c>
      <c r="R183" s="101">
        <v>871.36873237609404</v>
      </c>
      <c r="S183" s="101">
        <v>850.40480103067785</v>
      </c>
      <c r="T183" s="101">
        <v>850.40480103067807</v>
      </c>
      <c r="U183" s="101">
        <v>849.74246283842683</v>
      </c>
      <c r="V183" s="101">
        <v>841.31632513437728</v>
      </c>
      <c r="W183" s="101">
        <v>839.9090162634036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321.18519764672203</v>
      </c>
      <c r="C186" s="152">
        <v>309.90471851688483</v>
      </c>
      <c r="D186" s="152">
        <v>294.78363705297727</v>
      </c>
      <c r="E186" s="152">
        <v>286.08385535336862</v>
      </c>
      <c r="F186" s="152">
        <v>277.08913772243613</v>
      </c>
      <c r="G186" s="152">
        <v>268.94650760428249</v>
      </c>
      <c r="H186" s="152">
        <v>266.85445501364575</v>
      </c>
      <c r="I186" s="152">
        <v>265.30707326696364</v>
      </c>
      <c r="J186" s="152">
        <v>241.32166405386346</v>
      </c>
      <c r="K186" s="152">
        <v>224.86278429468703</v>
      </c>
      <c r="L186" s="152">
        <v>205.10236255196352</v>
      </c>
      <c r="M186" s="152">
        <v>198.19040220253137</v>
      </c>
      <c r="N186" s="152">
        <v>202.83107123905228</v>
      </c>
      <c r="O186" s="152">
        <v>201.13179794574634</v>
      </c>
      <c r="P186" s="152">
        <v>200.86685990864822</v>
      </c>
      <c r="Q186" s="152">
        <v>204.46604397195381</v>
      </c>
      <c r="R186" s="152">
        <v>199.22917916069227</v>
      </c>
      <c r="S186" s="152">
        <v>193.29987259982883</v>
      </c>
      <c r="T186" s="152">
        <v>192.63449510106645</v>
      </c>
      <c r="U186" s="152">
        <v>189.68326268397826</v>
      </c>
      <c r="V186" s="152">
        <v>195.89354912487977</v>
      </c>
      <c r="W186" s="152">
        <v>190.80963279716534</v>
      </c>
      <c r="DA186" s="174" t="s">
        <v>922</v>
      </c>
    </row>
    <row r="187" spans="1:105" ht="11.45" customHeight="1" x14ac:dyDescent="0.25">
      <c r="A187" s="111" t="s">
        <v>110</v>
      </c>
      <c r="B187" s="87">
        <v>347.39848114846433</v>
      </c>
      <c r="C187" s="87">
        <v>337.86988706300065</v>
      </c>
      <c r="D187" s="87">
        <v>329.24477365560887</v>
      </c>
      <c r="E187" s="87">
        <v>321.92091665805884</v>
      </c>
      <c r="F187" s="87">
        <v>315.43257595544873</v>
      </c>
      <c r="G187" s="87">
        <v>309.88435513403022</v>
      </c>
      <c r="H187" s="87">
        <v>305.69783341017387</v>
      </c>
      <c r="I187" s="87">
        <v>302.58610889083536</v>
      </c>
      <c r="J187" s="87">
        <v>297.39227696916191</v>
      </c>
      <c r="K187" s="87">
        <v>290.36715577365993</v>
      </c>
      <c r="L187" s="87">
        <v>285.27171376517072</v>
      </c>
      <c r="M187" s="87">
        <v>283.02482777113761</v>
      </c>
      <c r="N187" s="87">
        <v>280.06315358696042</v>
      </c>
      <c r="O187" s="87">
        <v>273.62331145450617</v>
      </c>
      <c r="P187" s="87">
        <v>265.21674972295409</v>
      </c>
      <c r="Q187" s="87">
        <v>251.29638464219445</v>
      </c>
      <c r="R187" s="87">
        <v>237.04716496831134</v>
      </c>
      <c r="S187" s="87">
        <v>223.42543402427617</v>
      </c>
      <c r="T187" s="87">
        <v>209.7622981447289</v>
      </c>
      <c r="U187" s="87">
        <v>194.10926002491689</v>
      </c>
      <c r="V187" s="87">
        <v>180.77434108025645</v>
      </c>
      <c r="W187" s="87">
        <v>173.78332288459674</v>
      </c>
      <c r="DA187" s="171" t="s">
        <v>923</v>
      </c>
    </row>
    <row r="188" spans="1:105" ht="11.45" customHeight="1" x14ac:dyDescent="0.25">
      <c r="A188" s="111" t="s">
        <v>111</v>
      </c>
      <c r="B188" s="87">
        <v>309.76153797901571</v>
      </c>
      <c r="C188" s="87">
        <v>292.70003589516938</v>
      </c>
      <c r="D188" s="87">
        <v>277.72313412014415</v>
      </c>
      <c r="E188" s="87">
        <v>265.75265873325628</v>
      </c>
      <c r="F188" s="87">
        <v>254.84848525847764</v>
      </c>
      <c r="G188" s="87">
        <v>246.38350131229961</v>
      </c>
      <c r="H188" s="87">
        <v>240.98452393057141</v>
      </c>
      <c r="I188" s="87">
        <v>236.41120990895254</v>
      </c>
      <c r="J188" s="87">
        <v>231.71817593874255</v>
      </c>
      <c r="K188" s="87">
        <v>226.98516370551479</v>
      </c>
      <c r="L188" s="87">
        <v>224.27962405166573</v>
      </c>
      <c r="M188" s="87">
        <v>226.48063640363904</v>
      </c>
      <c r="N188" s="87">
        <v>227.29054537046596</v>
      </c>
      <c r="O188" s="87">
        <v>225.43347022753818</v>
      </c>
      <c r="P188" s="87">
        <v>221.20515956076952</v>
      </c>
      <c r="Q188" s="87">
        <v>215.74250679372904</v>
      </c>
      <c r="R188" s="87">
        <v>209.86087980896082</v>
      </c>
      <c r="S188" s="87">
        <v>203.61272646233658</v>
      </c>
      <c r="T188" s="87">
        <v>195.84419721121026</v>
      </c>
      <c r="U188" s="87">
        <v>188.07596607226648</v>
      </c>
      <c r="V188" s="87">
        <v>185.74922328004843</v>
      </c>
      <c r="W188" s="87">
        <v>184.37093882902573</v>
      </c>
      <c r="DA188" s="171" t="s">
        <v>924</v>
      </c>
    </row>
    <row r="189" spans="1:105" ht="11.45" customHeight="1" x14ac:dyDescent="0.25">
      <c r="A189" s="111" t="s">
        <v>112</v>
      </c>
      <c r="B189" s="87">
        <v>458.95233178112829</v>
      </c>
      <c r="C189" s="87">
        <v>421.42632674543364</v>
      </c>
      <c r="D189" s="87">
        <v>390.34706179874763</v>
      </c>
      <c r="E189" s="87">
        <v>384.45685048732435</v>
      </c>
      <c r="F189" s="87">
        <v>378.81875160609275</v>
      </c>
      <c r="G189" s="87">
        <v>373.45980387849085</v>
      </c>
      <c r="H189" s="87">
        <v>367.42120948741047</v>
      </c>
      <c r="I189" s="87">
        <v>359.23002762045496</v>
      </c>
      <c r="J189" s="87">
        <v>349.66342605577688</v>
      </c>
      <c r="K189" s="87">
        <v>332.14196477508591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167.74101128283388</v>
      </c>
      <c r="R190" s="87">
        <v>166.25226174586558</v>
      </c>
      <c r="S190" s="87">
        <v>163.25580802656305</v>
      </c>
      <c r="T190" s="87">
        <v>162.59302385146751</v>
      </c>
      <c r="U190" s="87">
        <v>162.41967357176534</v>
      </c>
      <c r="V190" s="87">
        <v>162.71480030746804</v>
      </c>
      <c r="W190" s="87">
        <v>162.55910847258539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992.78904005964102</v>
      </c>
      <c r="C192" s="116">
        <v>989.70603764721614</v>
      </c>
      <c r="D192" s="116">
        <v>985.76723442325522</v>
      </c>
      <c r="E192" s="116">
        <v>981.66758124339697</v>
      </c>
      <c r="F192" s="116">
        <v>976.16003853398638</v>
      </c>
      <c r="G192" s="116">
        <v>966.18274341394385</v>
      </c>
      <c r="H192" s="116">
        <v>961.47895314494747</v>
      </c>
      <c r="I192" s="116">
        <v>950.54145693638793</v>
      </c>
      <c r="J192" s="116">
        <v>946.76629442022249</v>
      </c>
      <c r="K192" s="116">
        <v>942.2224847844418</v>
      </c>
      <c r="L192" s="116">
        <v>940.33343300125114</v>
      </c>
      <c r="M192" s="116">
        <v>934.37221736586844</v>
      </c>
      <c r="N192" s="116">
        <v>925.59184352137697</v>
      </c>
      <c r="O192" s="116">
        <v>916.23875662701664</v>
      </c>
      <c r="P192" s="116">
        <v>903.09727385755161</v>
      </c>
      <c r="Q192" s="116">
        <v>888.76933195567244</v>
      </c>
      <c r="R192" s="116">
        <v>881.29909476668229</v>
      </c>
      <c r="S192" s="116">
        <v>856.80171797367518</v>
      </c>
      <c r="T192" s="116">
        <v>834.14337792366575</v>
      </c>
      <c r="U192" s="116">
        <v>810.86841869759428</v>
      </c>
      <c r="V192" s="116">
        <v>795.46387024758349</v>
      </c>
      <c r="W192" s="116">
        <v>773.88222528822928</v>
      </c>
      <c r="DA192" s="176" t="s">
        <v>928</v>
      </c>
    </row>
    <row r="193" spans="1:105" ht="11.45" customHeight="1" x14ac:dyDescent="0.25">
      <c r="A193" s="128" t="s">
        <v>27</v>
      </c>
      <c r="B193" s="101">
        <v>915.55945723474019</v>
      </c>
      <c r="C193" s="101">
        <v>913.56636340086015</v>
      </c>
      <c r="D193" s="101">
        <v>910.68377783066171</v>
      </c>
      <c r="E193" s="101">
        <v>907.65205448567178</v>
      </c>
      <c r="F193" s="101">
        <v>902.88019082404537</v>
      </c>
      <c r="G193" s="101">
        <v>894.8048018675205</v>
      </c>
      <c r="H193" s="101">
        <v>891.22496032548656</v>
      </c>
      <c r="I193" s="101">
        <v>881.75313344068752</v>
      </c>
      <c r="J193" s="101">
        <v>878.24491319689866</v>
      </c>
      <c r="K193" s="101">
        <v>874.6457696375744</v>
      </c>
      <c r="L193" s="101">
        <v>873.45237051529193</v>
      </c>
      <c r="M193" s="101">
        <v>868.04467858494877</v>
      </c>
      <c r="N193" s="101">
        <v>859.93891155038943</v>
      </c>
      <c r="O193" s="101">
        <v>851.62452668555682</v>
      </c>
      <c r="P193" s="101">
        <v>839.04903732049729</v>
      </c>
      <c r="Q193" s="101">
        <v>824.85749543521433</v>
      </c>
      <c r="R193" s="101">
        <v>820.04406886979962</v>
      </c>
      <c r="S193" s="101">
        <v>795.82600153017256</v>
      </c>
      <c r="T193" s="101">
        <v>773.20676684656883</v>
      </c>
      <c r="U193" s="101">
        <v>750.93398681954727</v>
      </c>
      <c r="V193" s="101">
        <v>737.35359964669283</v>
      </c>
      <c r="W193" s="101">
        <v>716.22803404842136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1050.1752848794397</v>
      </c>
      <c r="D194" s="88">
        <v>1035.8001054363403</v>
      </c>
      <c r="E194" s="88">
        <v>1023.0399598383062</v>
      </c>
      <c r="F194" s="88">
        <v>1001.3631103966954</v>
      </c>
      <c r="G194" s="88">
        <v>988.77427474310116</v>
      </c>
      <c r="H194" s="88">
        <v>973.95922254594143</v>
      </c>
      <c r="I194" s="88">
        <v>960.02786573384662</v>
      </c>
      <c r="J194" s="88">
        <v>940.21052276456464</v>
      </c>
      <c r="K194" s="88">
        <v>935.2429420428748</v>
      </c>
      <c r="L194" s="88">
        <v>932.096262093684</v>
      </c>
      <c r="M194" s="88">
        <v>925.72729539657905</v>
      </c>
      <c r="N194" s="88">
        <v>916.69689525592935</v>
      </c>
      <c r="O194" s="88">
        <v>897.87506912165463</v>
      </c>
      <c r="P194" s="88">
        <v>891.102558168163</v>
      </c>
      <c r="Q194" s="88">
        <v>876.02730697125821</v>
      </c>
      <c r="R194" s="88">
        <v>850.24735451837716</v>
      </c>
      <c r="S194" s="88">
        <v>835.2296744937305</v>
      </c>
      <c r="T194" s="88">
        <v>826.80576609715729</v>
      </c>
      <c r="U194" s="88">
        <v>808.25008326543559</v>
      </c>
      <c r="V194" s="88">
        <v>784.81747298469679</v>
      </c>
      <c r="W194" s="88">
        <v>771.18968108712397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1.0790085559906357</v>
      </c>
      <c r="C198" s="150">
        <f>IF(TrRoad_act!C59=0,0,TrRoad_emi!C56/TrRoad_tech!C171)</f>
        <v>1.0901428412253649</v>
      </c>
      <c r="D198" s="150">
        <f>IF(TrRoad_act!D59=0,0,TrRoad_emi!D56/TrRoad_tech!D171)</f>
        <v>1.0970561181388025</v>
      </c>
      <c r="E198" s="150">
        <f>IF(TrRoad_act!E59=0,0,TrRoad_emi!E56/TrRoad_tech!E171)</f>
        <v>1.1065882118648545</v>
      </c>
      <c r="F198" s="150">
        <f>IF(TrRoad_act!F59=0,0,TrRoad_emi!F56/TrRoad_tech!F171)</f>
        <v>1.114827238748588</v>
      </c>
      <c r="G198" s="150">
        <f>IF(TrRoad_act!G59=0,0,TrRoad_emi!G56/TrRoad_tech!G171)</f>
        <v>1.1195184236605136</v>
      </c>
      <c r="H198" s="150">
        <f>IF(TrRoad_act!H59=0,0,TrRoad_emi!H56/TrRoad_tech!H171)</f>
        <v>1.128129376265196</v>
      </c>
      <c r="I198" s="150">
        <f>IF(TrRoad_act!I59=0,0,TrRoad_emi!I56/TrRoad_tech!I171)</f>
        <v>1.139693214671841</v>
      </c>
      <c r="J198" s="150">
        <f>IF(TrRoad_act!J59=0,0,TrRoad_emi!J56/TrRoad_tech!J171)</f>
        <v>1.1528503575537001</v>
      </c>
      <c r="K198" s="150">
        <f>IF(TrRoad_act!K59=0,0,TrRoad_emi!K56/TrRoad_tech!K171)</f>
        <v>1.1555105467072142</v>
      </c>
      <c r="L198" s="150">
        <f>IF(TrRoad_act!L59=0,0,TrRoad_emi!L56/TrRoad_tech!L171)</f>
        <v>1.1422657083780421</v>
      </c>
      <c r="M198" s="150">
        <f>IF(TrRoad_act!M59=0,0,TrRoad_emi!M56/TrRoad_tech!M171)</f>
        <v>1.1260288290838236</v>
      </c>
      <c r="N198" s="150">
        <f>IF(TrRoad_act!N59=0,0,TrRoad_emi!N56/TrRoad_tech!N171)</f>
        <v>1.1247731575589799</v>
      </c>
      <c r="O198" s="150">
        <f>IF(TrRoad_act!O59=0,0,TrRoad_emi!O56/TrRoad_tech!O171)</f>
        <v>1.1215081727964713</v>
      </c>
      <c r="P198" s="150">
        <f>IF(TrRoad_act!P59=0,0,TrRoad_emi!P56/TrRoad_tech!P171)</f>
        <v>1.1301518242538939</v>
      </c>
      <c r="Q198" s="150">
        <f>IF(TrRoad_act!Q59=0,0,TrRoad_emi!Q56/TrRoad_tech!Q171)</f>
        <v>1.136839550972863</v>
      </c>
      <c r="R198" s="150">
        <f>IF(TrRoad_act!R59=0,0,TrRoad_emi!R56/TrRoad_tech!R171)</f>
        <v>1.1429956106162948</v>
      </c>
      <c r="S198" s="150">
        <f>IF(TrRoad_act!S59=0,0,TrRoad_emi!S56/TrRoad_tech!S171)</f>
        <v>1.148134990897699</v>
      </c>
      <c r="T198" s="150">
        <f>IF(TrRoad_act!T59=0,0,TrRoad_emi!T56/TrRoad_tech!T171)</f>
        <v>1.1553067636856569</v>
      </c>
      <c r="U198" s="150">
        <f>IF(TrRoad_act!U59=0,0,TrRoad_emi!U56/TrRoad_tech!U171)</f>
        <v>1.1653401138045101</v>
      </c>
      <c r="V198" s="150">
        <f>IF(TrRoad_act!V59=0,0,TrRoad_emi!V56/TrRoad_tech!V171)</f>
        <v>1.1350186881456836</v>
      </c>
      <c r="W198" s="150">
        <f>IF(TrRoad_act!W59=0,0,TrRoad_emi!W56/TrRoad_tech!W171)</f>
        <v>1.1363944069628467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1.0170792729136326</v>
      </c>
      <c r="C199" s="151">
        <f>IF(TrRoad_act!C60=0,0,TrRoad_emi!C57/TrRoad_tech!C172)</f>
        <v>1.012876827130643</v>
      </c>
      <c r="D199" s="151">
        <f>IF(TrRoad_act!D60=0,0,TrRoad_emi!D57/TrRoad_tech!D172)</f>
        <v>1.0155923002825811</v>
      </c>
      <c r="E199" s="151">
        <f>IF(TrRoad_act!E60=0,0,TrRoad_emi!E57/TrRoad_tech!E172)</f>
        <v>1.0198439887870663</v>
      </c>
      <c r="F199" s="151">
        <f>IF(TrRoad_act!F60=0,0,TrRoad_emi!F57/TrRoad_tech!F172)</f>
        <v>1.0194564525250014</v>
      </c>
      <c r="G199" s="151">
        <f>IF(TrRoad_act!G60=0,0,TrRoad_emi!G57/TrRoad_tech!G172)</f>
        <v>1.0135737995289431</v>
      </c>
      <c r="H199" s="151">
        <f>IF(TrRoad_act!H60=0,0,TrRoad_emi!H57/TrRoad_tech!H172)</f>
        <v>1.012724133730921</v>
      </c>
      <c r="I199" s="151">
        <f>IF(TrRoad_act!I60=0,0,TrRoad_emi!I57/TrRoad_tech!I172)</f>
        <v>1.0084527489136745</v>
      </c>
      <c r="J199" s="151">
        <f>IF(TrRoad_act!J60=0,0,TrRoad_emi!J57/TrRoad_tech!J172)</f>
        <v>1.0002924368046262</v>
      </c>
      <c r="K199" s="151">
        <f>IF(TrRoad_act!K60=0,0,TrRoad_emi!K57/TrRoad_tech!K172)</f>
        <v>0.99554809963005797</v>
      </c>
      <c r="L199" s="151">
        <f>IF(TrRoad_act!L60=0,0,TrRoad_emi!L57/TrRoad_tech!L172)</f>
        <v>0.98984142506893713</v>
      </c>
      <c r="M199" s="151">
        <f>IF(TrRoad_act!M60=0,0,TrRoad_emi!M57/TrRoad_tech!M172)</f>
        <v>0.9720605135483813</v>
      </c>
      <c r="N199" s="151">
        <f>IF(TrRoad_act!N60=0,0,TrRoad_emi!N57/TrRoad_tech!N172)</f>
        <v>0.94707468757972613</v>
      </c>
      <c r="O199" s="151">
        <f>IF(TrRoad_act!O60=0,0,TrRoad_emi!O57/TrRoad_tech!O172)</f>
        <v>0.94636926044289871</v>
      </c>
      <c r="P199" s="151">
        <f>IF(TrRoad_act!P60=0,0,TrRoad_emi!P57/TrRoad_tech!P172)</f>
        <v>0.95851737901143874</v>
      </c>
      <c r="Q199" s="151">
        <f>IF(TrRoad_act!Q60=0,0,TrRoad_emi!Q57/TrRoad_tech!Q172)</f>
        <v>0.9925580775318773</v>
      </c>
      <c r="R199" s="151">
        <f>IF(TrRoad_act!R60=0,0,TrRoad_emi!R57/TrRoad_tech!R172)</f>
        <v>0.98162516128512467</v>
      </c>
      <c r="S199" s="151">
        <f>IF(TrRoad_act!S60=0,0,TrRoad_emi!S57/TrRoad_tech!S172)</f>
        <v>0.98699053999062325</v>
      </c>
      <c r="T199" s="151">
        <f>IF(TrRoad_act!T60=0,0,TrRoad_emi!T57/TrRoad_tech!T172)</f>
        <v>1.0060323195195713</v>
      </c>
      <c r="U199" s="151">
        <f>IF(TrRoad_act!U60=0,0,TrRoad_emi!U57/TrRoad_tech!U172)</f>
        <v>1.0163292554800467</v>
      </c>
      <c r="V199" s="151">
        <f>IF(TrRoad_act!V60=0,0,TrRoad_emi!V57/TrRoad_tech!V172)</f>
        <v>1.027555661640664</v>
      </c>
      <c r="W199" s="151">
        <f>IF(TrRoad_act!W60=0,0,TrRoad_emi!W57/TrRoad_tech!W172)</f>
        <v>1.1221064762622126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1.02777777778159</v>
      </c>
      <c r="C200" s="91">
        <f>IF(TrRoad_act!C61=0,0,TrRoad_emi!C58/TrRoad_tech!C173)</f>
        <v>1.0278289210281222</v>
      </c>
      <c r="D200" s="91">
        <f>IF(TrRoad_act!D61=0,0,TrRoad_emi!D58/TrRoad_tech!D173)</f>
        <v>1.0279683428088888</v>
      </c>
      <c r="E200" s="91">
        <f>IF(TrRoad_act!E61=0,0,TrRoad_emi!E58/TrRoad_tech!E173)</f>
        <v>1.0281725095194429</v>
      </c>
      <c r="F200" s="91">
        <f>IF(TrRoad_act!F61=0,0,TrRoad_emi!F58/TrRoad_tech!F173)</f>
        <v>1.0285516486265054</v>
      </c>
      <c r="G200" s="91">
        <f>IF(TrRoad_act!G61=0,0,TrRoad_emi!G58/TrRoad_tech!G173)</f>
        <v>1.029176026699008</v>
      </c>
      <c r="H200" s="91">
        <f>IF(TrRoad_act!H61=0,0,TrRoad_emi!H58/TrRoad_tech!H173)</f>
        <v>1.0277984995162035</v>
      </c>
      <c r="I200" s="91">
        <f>IF(TrRoad_act!I61=0,0,TrRoad_emi!I58/TrRoad_tech!I173)</f>
        <v>1.0279570755381304</v>
      </c>
      <c r="J200" s="91">
        <f>IF(TrRoad_act!J61=0,0,TrRoad_emi!J58/TrRoad_tech!J173)</f>
        <v>1.0291913961067434</v>
      </c>
      <c r="K200" s="91">
        <f>IF(TrRoad_act!K61=0,0,TrRoad_emi!K58/TrRoad_tech!K173)</f>
        <v>1.0299283061256665</v>
      </c>
      <c r="L200" s="91">
        <f>IF(TrRoad_act!L61=0,0,TrRoad_emi!L58/TrRoad_tech!L173)</f>
        <v>1.0170091264972823</v>
      </c>
      <c r="M200" s="91">
        <f>IF(TrRoad_act!M61=0,0,TrRoad_emi!M58/TrRoad_tech!M173)</f>
        <v>1.0053449121441131</v>
      </c>
      <c r="N200" s="91">
        <f>IF(TrRoad_act!N61=0,0,TrRoad_emi!N58/TrRoad_tech!N173)</f>
        <v>1.0016209038360306</v>
      </c>
      <c r="O200" s="91">
        <f>IF(TrRoad_act!O61=0,0,TrRoad_emi!O58/TrRoad_tech!O173)</f>
        <v>1.0060034471805333</v>
      </c>
      <c r="P200" s="91">
        <f>IF(TrRoad_act!P61=0,0,TrRoad_emi!P58/TrRoad_tech!P173)</f>
        <v>1.0095174620447922</v>
      </c>
      <c r="Q200" s="91">
        <f>IF(TrRoad_act!Q61=0,0,TrRoad_emi!Q58/TrRoad_tech!Q173)</f>
        <v>1.0604807837409229</v>
      </c>
      <c r="R200" s="91">
        <f>IF(TrRoad_act!R61=0,0,TrRoad_emi!R58/TrRoad_tech!R173)</f>
        <v>1.0184518446980684</v>
      </c>
      <c r="S200" s="91">
        <f>IF(TrRoad_act!S61=0,0,TrRoad_emi!S58/TrRoad_tech!S173)</f>
        <v>1.0211471245599291</v>
      </c>
      <c r="T200" s="91">
        <f>IF(TrRoad_act!T61=0,0,TrRoad_emi!T58/TrRoad_tech!T173)</f>
        <v>1.0253127063469532</v>
      </c>
      <c r="U200" s="91">
        <f>IF(TrRoad_act!U61=0,0,TrRoad_emi!U58/TrRoad_tech!U173)</f>
        <v>1.029204843613422</v>
      </c>
      <c r="V200" s="91">
        <f>IF(TrRoad_act!V61=0,0,TrRoad_emi!V58/TrRoad_tech!V173)</f>
        <v>0.99247129997361982</v>
      </c>
      <c r="W200" s="91">
        <f>IF(TrRoad_act!W61=0,0,TrRoad_emi!W58/TrRoad_tech!W173)</f>
        <v>0.99545618888388365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1.1253694851936495</v>
      </c>
      <c r="C201" s="91">
        <f>IF(TrRoad_act!C62=0,0,TrRoad_emi!C59/TrRoad_tech!C174)</f>
        <v>1.1324961963262641</v>
      </c>
      <c r="D201" s="91">
        <f>IF(TrRoad_act!D62=0,0,TrRoad_emi!D59/TrRoad_tech!D174)</f>
        <v>1.1388474356715843</v>
      </c>
      <c r="E201" s="91">
        <f>IF(TrRoad_act!E62=0,0,TrRoad_emi!E59/TrRoad_tech!E174)</f>
        <v>1.1829396801917471</v>
      </c>
      <c r="F201" s="91">
        <f>IF(TrRoad_act!F62=0,0,TrRoad_emi!F59/TrRoad_tech!F174)</f>
        <v>1.221317568149487</v>
      </c>
      <c r="G201" s="91">
        <f>IF(TrRoad_act!G62=0,0,TrRoad_emi!G59/TrRoad_tech!G174)</f>
        <v>1.2001211178222362</v>
      </c>
      <c r="H201" s="91">
        <f>IF(TrRoad_act!H62=0,0,TrRoad_emi!H59/TrRoad_tech!H174)</f>
        <v>1.1874160933284981</v>
      </c>
      <c r="I201" s="91">
        <f>IF(TrRoad_act!I62=0,0,TrRoad_emi!I59/TrRoad_tech!I174)</f>
        <v>1.1630137430336742</v>
      </c>
      <c r="J201" s="91">
        <f>IF(TrRoad_act!J62=0,0,TrRoad_emi!J59/TrRoad_tech!J174)</f>
        <v>1.1185447750618829</v>
      </c>
      <c r="K201" s="91">
        <f>IF(TrRoad_act!K62=0,0,TrRoad_emi!K59/TrRoad_tech!K174)</f>
        <v>1.1042922387332166</v>
      </c>
      <c r="L201" s="91">
        <f>IF(TrRoad_act!L62=0,0,TrRoad_emi!L59/TrRoad_tech!L174)</f>
        <v>1.1104835324545661</v>
      </c>
      <c r="M201" s="91">
        <f>IF(TrRoad_act!M62=0,0,TrRoad_emi!M59/TrRoad_tech!M174)</f>
        <v>1.060844095135506</v>
      </c>
      <c r="N201" s="91">
        <f>IF(TrRoad_act!N62=0,0,TrRoad_emi!N59/TrRoad_tech!N174)</f>
        <v>1.003325085131054</v>
      </c>
      <c r="O201" s="91">
        <f>IF(TrRoad_act!O62=0,0,TrRoad_emi!O59/TrRoad_tech!O174)</f>
        <v>0.99247708198204554</v>
      </c>
      <c r="P201" s="91">
        <f>IF(TrRoad_act!P62=0,0,TrRoad_emi!P59/TrRoad_tech!P174)</f>
        <v>1.0111419877609922</v>
      </c>
      <c r="Q201" s="91">
        <f>IF(TrRoad_act!Q62=0,0,TrRoad_emi!Q59/TrRoad_tech!Q174)</f>
        <v>0.99250339890101358</v>
      </c>
      <c r="R201" s="91">
        <f>IF(TrRoad_act!R62=0,0,TrRoad_emi!R59/TrRoad_tech!R174)</f>
        <v>1.0304178762889757</v>
      </c>
      <c r="S201" s="91">
        <f>IF(TrRoad_act!S62=0,0,TrRoad_emi!S59/TrRoad_tech!S174)</f>
        <v>1.0470027787553842</v>
      </c>
      <c r="T201" s="91">
        <f>IF(TrRoad_act!T62=0,0,TrRoad_emi!T59/TrRoad_tech!T174)</f>
        <v>1.0736393432726199</v>
      </c>
      <c r="U201" s="91">
        <f>IF(TrRoad_act!U62=0,0,TrRoad_emi!U59/TrRoad_tech!U174)</f>
        <v>1.0581873547437057</v>
      </c>
      <c r="V201" s="91">
        <f>IF(TrRoad_act!V62=0,0,TrRoad_emi!V59/TrRoad_tech!V174)</f>
        <v>1.0486430503959705</v>
      </c>
      <c r="W201" s="91">
        <f>IF(TrRoad_act!W62=0,0,TrRoad_emi!W59/TrRoad_tech!W174)</f>
        <v>1.0577657065608801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1.02777777778159</v>
      </c>
      <c r="C202" s="91">
        <f>IF(TrRoad_act!C63=0,0,TrRoad_emi!C60/TrRoad_tech!C175)</f>
        <v>1.1644546447941346</v>
      </c>
      <c r="D202" s="91">
        <f>IF(TrRoad_act!D63=0,0,TrRoad_emi!D60/TrRoad_tech!D175)</f>
        <v>1.3907251889961876</v>
      </c>
      <c r="E202" s="91">
        <f>IF(TrRoad_act!E63=0,0,TrRoad_emi!E60/TrRoad_tech!E175)</f>
        <v>1.3107561918320985</v>
      </c>
      <c r="F202" s="91">
        <f>IF(TrRoad_act!F63=0,0,TrRoad_emi!F60/TrRoad_tech!F175)</f>
        <v>1.2967566075722339</v>
      </c>
      <c r="G202" s="91">
        <f>IF(TrRoad_act!G63=0,0,TrRoad_emi!G60/TrRoad_tech!G175)</f>
        <v>1.3438041878225011</v>
      </c>
      <c r="H202" s="91">
        <f>IF(TrRoad_act!H63=0,0,TrRoad_emi!H60/TrRoad_tech!H175)</f>
        <v>1.34883981990024</v>
      </c>
      <c r="I202" s="91">
        <f>IF(TrRoad_act!I63=0,0,TrRoad_emi!I60/TrRoad_tech!I175)</f>
        <v>1.2697133197353143</v>
      </c>
      <c r="J202" s="91">
        <f>IF(TrRoad_act!J63=0,0,TrRoad_emi!J60/TrRoad_tech!J175)</f>
        <v>1.2706858261659055</v>
      </c>
      <c r="K202" s="91">
        <f>IF(TrRoad_act!K63=0,0,TrRoad_emi!K60/TrRoad_tech!K175)</f>
        <v>1.3474972254772211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</v>
      </c>
      <c r="S202" s="91">
        <f>IF(TrRoad_act!S63=0,0,TrRoad_emi!S60/TrRoad_tech!S175)</f>
        <v>0</v>
      </c>
      <c r="T202" s="91">
        <f>IF(TrRoad_act!T63=0,0,TrRoad_emi!T60/TrRoad_tech!T175)</f>
        <v>0</v>
      </c>
      <c r="U202" s="91">
        <f>IF(TrRoad_act!U63=0,0,TrRoad_emi!U60/TrRoad_tech!U175)</f>
        <v>0</v>
      </c>
      <c r="V202" s="91">
        <f>IF(TrRoad_act!V63=0,0,TrRoad_emi!V60/TrRoad_tech!V175)</f>
        <v>0</v>
      </c>
      <c r="W202" s="91">
        <f>IF(TrRoad_act!W63=0,0,TrRoad_emi!W60/TrRoad_tech!W175)</f>
        <v>0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1.0719427287215721</v>
      </c>
      <c r="R203" s="91">
        <f>IF(TrRoad_act!R64=0,0,TrRoad_emi!R61/TrRoad_tech!R176)</f>
        <v>1.0551509181957521</v>
      </c>
      <c r="S203" s="91">
        <f>IF(TrRoad_act!S64=0,0,TrRoad_emi!S61/TrRoad_tech!S176)</f>
        <v>1.0372255220895381</v>
      </c>
      <c r="T203" s="91">
        <f>IF(TrRoad_act!T64=0,0,TrRoad_emi!T61/TrRoad_tech!T176)</f>
        <v>1.0931668010784445</v>
      </c>
      <c r="U203" s="91">
        <f>IF(TrRoad_act!U64=0,0,TrRoad_emi!U61/TrRoad_tech!U176)</f>
        <v>0.99446590983578176</v>
      </c>
      <c r="V203" s="91">
        <f>IF(TrRoad_act!V64=0,0,TrRoad_emi!V61/TrRoad_tech!V176)</f>
        <v>1.0952691029519157</v>
      </c>
      <c r="W203" s="91">
        <f>IF(TrRoad_act!W64=0,0,TrRoad_emi!W61/TrRoad_tech!W176)</f>
        <v>1.0960566490964792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1.0280706615618362</v>
      </c>
      <c r="O204" s="91">
        <f>IF(TrRoad_act!O65=0,0,TrRoad_emi!O62/TrRoad_tech!O177)</f>
        <v>1.0319380817724524</v>
      </c>
      <c r="P204" s="91">
        <f>IF(TrRoad_act!P65=0,0,TrRoad_emi!P62/TrRoad_tech!P177)</f>
        <v>1.0377752253695169</v>
      </c>
      <c r="Q204" s="91">
        <f>IF(TrRoad_act!Q65=0,0,TrRoad_emi!Q62/TrRoad_tech!Q177)</f>
        <v>1.0974536936558601</v>
      </c>
      <c r="R204" s="91">
        <f>IF(TrRoad_act!R65=0,0,TrRoad_emi!R62/TrRoad_tech!R177)</f>
        <v>1.0522654232616324</v>
      </c>
      <c r="S204" s="91">
        <f>IF(TrRoad_act!S65=0,0,TrRoad_emi!S62/TrRoad_tech!S177)</f>
        <v>1.0535637303951864</v>
      </c>
      <c r="T204" s="91">
        <f>IF(TrRoad_act!T65=0,0,TrRoad_emi!T62/TrRoad_tech!T177)</f>
        <v>1.0575564246018834</v>
      </c>
      <c r="U204" s="91">
        <f>IF(TrRoad_act!U65=0,0,TrRoad_emi!U62/TrRoad_tech!U177)</f>
        <v>1.0581551976857573</v>
      </c>
      <c r="V204" s="91">
        <f>IF(TrRoad_act!V65=0,0,TrRoad_emi!V62/TrRoad_tech!V177)</f>
        <v>1.0188753334539826</v>
      </c>
      <c r="W204" s="91">
        <f>IF(TrRoad_act!W65=0,0,TrRoad_emi!W62/TrRoad_tech!W177)</f>
        <v>1.01937683090381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1.0973457049751449</v>
      </c>
      <c r="C206" s="151">
        <f>IF(TrRoad_act!C67=0,0,TrRoad_emi!C64/TrRoad_tech!C179)</f>
        <v>1.0912421493046227</v>
      </c>
      <c r="D206" s="151">
        <f>IF(TrRoad_act!D67=0,0,TrRoad_emi!D64/TrRoad_tech!D179)</f>
        <v>1.089128268593579</v>
      </c>
      <c r="E206" s="151">
        <f>IF(TrRoad_act!E67=0,0,TrRoad_emi!E64/TrRoad_tech!E179)</f>
        <v>1.0906622282626228</v>
      </c>
      <c r="F206" s="151">
        <f>IF(TrRoad_act!F67=0,0,TrRoad_emi!F64/TrRoad_tech!F179)</f>
        <v>1.0935568578017516</v>
      </c>
      <c r="G206" s="151">
        <f>IF(TrRoad_act!G67=0,0,TrRoad_emi!G64/TrRoad_tech!G179)</f>
        <v>1.100487484364574</v>
      </c>
      <c r="H206" s="151">
        <f>IF(TrRoad_act!H67=0,0,TrRoad_emi!H64/TrRoad_tech!H179)</f>
        <v>1.1126382600422908</v>
      </c>
      <c r="I206" s="151">
        <f>IF(TrRoad_act!I67=0,0,TrRoad_emi!I64/TrRoad_tech!I179)</f>
        <v>1.1297470634697551</v>
      </c>
      <c r="J206" s="151">
        <f>IF(TrRoad_act!J67=0,0,TrRoad_emi!J64/TrRoad_tech!J179)</f>
        <v>1.134932230149827</v>
      </c>
      <c r="K206" s="151">
        <f>IF(TrRoad_act!K67=0,0,TrRoad_emi!K64/TrRoad_tech!K179)</f>
        <v>1.1389336133664152</v>
      </c>
      <c r="L206" s="151">
        <f>IF(TrRoad_act!L67=0,0,TrRoad_emi!L64/TrRoad_tech!L179)</f>
        <v>1.1464151475789841</v>
      </c>
      <c r="M206" s="151">
        <f>IF(TrRoad_act!M67=0,0,TrRoad_emi!M64/TrRoad_tech!M179)</f>
        <v>1.1138203618131859</v>
      </c>
      <c r="N206" s="151">
        <f>IF(TrRoad_act!N67=0,0,TrRoad_emi!N64/TrRoad_tech!N179)</f>
        <v>1.0817182165056245</v>
      </c>
      <c r="O206" s="151">
        <f>IF(TrRoad_act!O67=0,0,TrRoad_emi!O64/TrRoad_tech!O179)</f>
        <v>1.0810358527326538</v>
      </c>
      <c r="P206" s="151">
        <f>IF(TrRoad_act!P67=0,0,TrRoad_emi!P64/TrRoad_tech!P179)</f>
        <v>1.0874606123524373</v>
      </c>
      <c r="Q206" s="151">
        <f>IF(TrRoad_act!Q67=0,0,TrRoad_emi!Q64/TrRoad_tech!Q179)</f>
        <v>1.1083367249375848</v>
      </c>
      <c r="R206" s="151">
        <f>IF(TrRoad_act!R67=0,0,TrRoad_emi!R64/TrRoad_tech!R179)</f>
        <v>1.1254268805357077</v>
      </c>
      <c r="S206" s="151">
        <f>IF(TrRoad_act!S67=0,0,TrRoad_emi!S64/TrRoad_tech!S179)</f>
        <v>1.1480647887597215</v>
      </c>
      <c r="T206" s="151">
        <f>IF(TrRoad_act!T67=0,0,TrRoad_emi!T64/TrRoad_tech!T179)</f>
        <v>1.1506688394564075</v>
      </c>
      <c r="U206" s="151">
        <f>IF(TrRoad_act!U67=0,0,TrRoad_emi!U64/TrRoad_tech!U179)</f>
        <v>1.2386285706320941</v>
      </c>
      <c r="V206" s="151">
        <f>IF(TrRoad_act!V67=0,0,TrRoad_emi!V64/TrRoad_tech!V179)</f>
        <v>1.1666725812640713</v>
      </c>
      <c r="W206" s="151">
        <f>IF(TrRoad_act!W67=0,0,TrRoad_emi!W64/TrRoad_tech!W179)</f>
        <v>1.4710716538709292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1.1000000000067298</v>
      </c>
      <c r="D207" s="93">
        <f>IF(TrRoad_act!D68=0,0,TrRoad_emi!D65/TrRoad_tech!D180)</f>
        <v>1.1000000000067307</v>
      </c>
      <c r="E207" s="93">
        <f>IF(TrRoad_act!E68=0,0,TrRoad_emi!E65/TrRoad_tech!E180)</f>
        <v>1.1000000000067305</v>
      </c>
      <c r="F207" s="93">
        <f>IF(TrRoad_act!F68=0,0,TrRoad_emi!F65/TrRoad_tech!F180)</f>
        <v>1.10000000000673</v>
      </c>
      <c r="G207" s="93">
        <f>IF(TrRoad_act!G68=0,0,TrRoad_emi!G65/TrRoad_tech!G180)</f>
        <v>1.1049895820036704</v>
      </c>
      <c r="H207" s="93">
        <f>IF(TrRoad_act!H68=0,0,TrRoad_emi!H65/TrRoad_tech!H180)</f>
        <v>1.1110567570809822</v>
      </c>
      <c r="I207" s="93">
        <f>IF(TrRoad_act!I68=0,0,TrRoad_emi!I65/TrRoad_tech!I180)</f>
        <v>1.1182067533419611</v>
      </c>
      <c r="J207" s="93">
        <f>IF(TrRoad_act!J68=0,0,TrRoad_emi!J65/TrRoad_tech!J180)</f>
        <v>1.1277714806053571</v>
      </c>
      <c r="K207" s="93">
        <f>IF(TrRoad_act!K68=0,0,TrRoad_emi!K65/TrRoad_tech!K180)</f>
        <v>1.1369138833552082</v>
      </c>
      <c r="L207" s="93">
        <f>IF(TrRoad_act!L68=0,0,TrRoad_emi!L65/TrRoad_tech!L180)</f>
        <v>1.1299515898178907</v>
      </c>
      <c r="M207" s="93">
        <f>IF(TrRoad_act!M68=0,0,TrRoad_emi!M65/TrRoad_tech!M180)</f>
        <v>1.1237145032195754</v>
      </c>
      <c r="N207" s="93">
        <f>IF(TrRoad_act!N68=0,0,TrRoad_emi!N65/TrRoad_tech!N180)</f>
        <v>1.1255451786852764</v>
      </c>
      <c r="O207" s="93">
        <f>IF(TrRoad_act!O68=0,0,TrRoad_emi!O65/TrRoad_tech!O180)</f>
        <v>1.1327105378746871</v>
      </c>
      <c r="P207" s="93">
        <f>IF(TrRoad_act!P68=0,0,TrRoad_emi!P65/TrRoad_tech!P180)</f>
        <v>1.1355115658754109</v>
      </c>
      <c r="Q207" s="93">
        <f>IF(TrRoad_act!Q68=0,0,TrRoad_emi!Q65/TrRoad_tech!Q180)</f>
        <v>1.1434253014309876</v>
      </c>
      <c r="R207" s="93">
        <f>IF(TrRoad_act!R68=0,0,TrRoad_emi!R65/TrRoad_tech!R180)</f>
        <v>1.1442227879612923</v>
      </c>
      <c r="S207" s="93">
        <f>IF(TrRoad_act!S68=0,0,TrRoad_emi!S65/TrRoad_tech!S180)</f>
        <v>1.1461795302394144</v>
      </c>
      <c r="T207" s="93">
        <f>IF(TrRoad_act!T68=0,0,TrRoad_emi!T65/TrRoad_tech!T180)</f>
        <v>1.1474376645418387</v>
      </c>
      <c r="U207" s="93">
        <f>IF(TrRoad_act!U68=0,0,TrRoad_emi!U65/TrRoad_tech!U180)</f>
        <v>1.1473959526303272</v>
      </c>
      <c r="V207" s="93">
        <f>IF(TrRoad_act!V68=0,0,TrRoad_emi!V65/TrRoad_tech!V180)</f>
        <v>1.1111812677082762</v>
      </c>
      <c r="W207" s="93">
        <f>IF(TrRoad_act!W68=0,0,TrRoad_emi!W65/TrRoad_tech!W180)</f>
        <v>1.1115507082549647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1.1004063802296495</v>
      </c>
      <c r="D208" s="93">
        <f>IF(TrRoad_act!D69=0,0,TrRoad_emi!D66/TrRoad_tech!D181)</f>
        <v>1.1015078622332244</v>
      </c>
      <c r="E208" s="93">
        <f>IF(TrRoad_act!E69=0,0,TrRoad_emi!E66/TrRoad_tech!E181)</f>
        <v>1.1031648595719183</v>
      </c>
      <c r="F208" s="93">
        <f>IF(TrRoad_act!F69=0,0,TrRoad_emi!F66/TrRoad_tech!F181)</f>
        <v>1.1066175029608734</v>
      </c>
      <c r="G208" s="93">
        <f>IF(TrRoad_act!G69=0,0,TrRoad_emi!G66/TrRoad_tech!G181)</f>
        <v>1.1126573990172355</v>
      </c>
      <c r="H208" s="93">
        <f>IF(TrRoad_act!H69=0,0,TrRoad_emi!H66/TrRoad_tech!H181)</f>
        <v>1.1223502377939385</v>
      </c>
      <c r="I208" s="93">
        <f>IF(TrRoad_act!I69=0,0,TrRoad_emi!I66/TrRoad_tech!I181)</f>
        <v>1.1372659675920294</v>
      </c>
      <c r="J208" s="93">
        <f>IF(TrRoad_act!J69=0,0,TrRoad_emi!J66/TrRoad_tech!J181)</f>
        <v>1.1420587893269776</v>
      </c>
      <c r="K208" s="93">
        <f>IF(TrRoad_act!K69=0,0,TrRoad_emi!K66/TrRoad_tech!K181)</f>
        <v>1.1454780343853608</v>
      </c>
      <c r="L208" s="93">
        <f>IF(TrRoad_act!L69=0,0,TrRoad_emi!L66/TrRoad_tech!L181)</f>
        <v>1.1528290815044202</v>
      </c>
      <c r="M208" s="93">
        <f>IF(TrRoad_act!M69=0,0,TrRoad_emi!M66/TrRoad_tech!M181)</f>
        <v>1.1194814142205729</v>
      </c>
      <c r="N208" s="93">
        <f>IF(TrRoad_act!N69=0,0,TrRoad_emi!N66/TrRoad_tech!N181)</f>
        <v>1.0884011949880921</v>
      </c>
      <c r="O208" s="93">
        <f>IF(TrRoad_act!O69=0,0,TrRoad_emi!O66/TrRoad_tech!O181)</f>
        <v>1.0895178988139091</v>
      </c>
      <c r="P208" s="93">
        <f>IF(TrRoad_act!P69=0,0,TrRoad_emi!P66/TrRoad_tech!P181)</f>
        <v>1.0967330156009316</v>
      </c>
      <c r="Q208" s="93">
        <f>IF(TrRoad_act!Q69=0,0,TrRoad_emi!Q66/TrRoad_tech!Q181)</f>
        <v>1.1077407649580462</v>
      </c>
      <c r="R208" s="93">
        <f>IF(TrRoad_act!R69=0,0,TrRoad_emi!R66/TrRoad_tech!R181)</f>
        <v>1.1227619124878827</v>
      </c>
      <c r="S208" s="93">
        <f>IF(TrRoad_act!S69=0,0,TrRoad_emi!S66/TrRoad_tech!S181)</f>
        <v>1.1430191202581099</v>
      </c>
      <c r="T208" s="93">
        <f>IF(TrRoad_act!T69=0,0,TrRoad_emi!T66/TrRoad_tech!T181)</f>
        <v>1.1566417440191912</v>
      </c>
      <c r="U208" s="93">
        <f>IF(TrRoad_act!U69=0,0,TrRoad_emi!U66/TrRoad_tech!U181)</f>
        <v>1.1601306631854611</v>
      </c>
      <c r="V208" s="93">
        <f>IF(TrRoad_act!V69=0,0,TrRoad_emi!V66/TrRoad_tech!V181)</f>
        <v>1.1684048277447849</v>
      </c>
      <c r="W208" s="93">
        <f>IF(TrRoad_act!W69=0,0,TrRoad_emi!W66/TrRoad_tech!W181)</f>
        <v>1.1804977106538403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1.701586221938336</v>
      </c>
      <c r="R210" s="93">
        <f>IF(TrRoad_act!R71=0,0,TrRoad_emi!R68/TrRoad_tech!R183)</f>
        <v>1.4569489947349199</v>
      </c>
      <c r="S210" s="93">
        <f>IF(TrRoad_act!S71=0,0,TrRoad_emi!S68/TrRoad_tech!S183)</f>
        <v>1.5535239026437571</v>
      </c>
      <c r="T210" s="93">
        <f>IF(TrRoad_act!T71=0,0,TrRoad_emi!T68/TrRoad_tech!T183)</f>
        <v>1.8763538694835333</v>
      </c>
      <c r="U210" s="93">
        <f>IF(TrRoad_act!U71=0,0,TrRoad_emi!U68/TrRoad_tech!U183)</f>
        <v>1.926545903586742</v>
      </c>
      <c r="V210" s="93">
        <f>IF(TrRoad_act!V71=0,0,TrRoad_emi!V68/TrRoad_tech!V183)</f>
        <v>1.6447666243421797</v>
      </c>
      <c r="W210" s="93">
        <f>IF(TrRoad_act!W71=0,0,TrRoad_emi!W68/TrRoad_tech!W183)</f>
        <v>1.8235078293057603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1.0834061806156505</v>
      </c>
      <c r="C213" s="150">
        <f>IF(TrRoad_act!C74=0,0,TrRoad_emi!C71/TrRoad_tech!C186)</f>
        <v>1.0680332504173626</v>
      </c>
      <c r="D213" s="150">
        <f>IF(TrRoad_act!D74=0,0,TrRoad_emi!D71/TrRoad_tech!D186)</f>
        <v>1.070052786430332</v>
      </c>
      <c r="E213" s="150">
        <f>IF(TrRoad_act!E74=0,0,TrRoad_emi!E71/TrRoad_tech!E186)</f>
        <v>1.0565732647838491</v>
      </c>
      <c r="F213" s="150">
        <f>IF(TrRoad_act!F74=0,0,TrRoad_emi!F71/TrRoad_tech!F186)</f>
        <v>1.0479317079678778</v>
      </c>
      <c r="G213" s="150">
        <f>IF(TrRoad_act!G74=0,0,TrRoad_emi!G71/TrRoad_tech!G186)</f>
        <v>1.0449118707024383</v>
      </c>
      <c r="H213" s="150">
        <f>IF(TrRoad_act!H74=0,0,TrRoad_emi!H71/TrRoad_tech!H186)</f>
        <v>1.0296778748416484</v>
      </c>
      <c r="I213" s="150">
        <f>IF(TrRoad_act!I74=0,0,TrRoad_emi!I71/TrRoad_tech!I186)</f>
        <v>1.0157370668931514</v>
      </c>
      <c r="J213" s="150">
        <f>IF(TrRoad_act!J74=0,0,TrRoad_emi!J71/TrRoad_tech!J186)</f>
        <v>1.0944852378723804</v>
      </c>
      <c r="K213" s="150">
        <f>IF(TrRoad_act!K74=0,0,TrRoad_emi!K71/TrRoad_tech!K186)</f>
        <v>1.1505574696121308</v>
      </c>
      <c r="L213" s="150">
        <f>IF(TrRoad_act!L74=0,0,TrRoad_emi!L71/TrRoad_tech!L186)</f>
        <v>1.2467313982552848</v>
      </c>
      <c r="M213" s="150">
        <f>IF(TrRoad_act!M74=0,0,TrRoad_emi!M71/TrRoad_tech!M186)</f>
        <v>1.2629104671957669</v>
      </c>
      <c r="N213" s="150">
        <f>IF(TrRoad_act!N74=0,0,TrRoad_emi!N71/TrRoad_tech!N186)</f>
        <v>1.205832075394327</v>
      </c>
      <c r="O213" s="150">
        <f>IF(TrRoad_act!O74=0,0,TrRoad_emi!O71/TrRoad_tech!O186)</f>
        <v>1.2123224233567462</v>
      </c>
      <c r="P213" s="150">
        <f>IF(TrRoad_act!P74=0,0,TrRoad_emi!P71/TrRoad_tech!P186)</f>
        <v>1.2042664569549519</v>
      </c>
      <c r="Q213" s="150">
        <f>IF(TrRoad_act!Q74=0,0,TrRoad_emi!Q71/TrRoad_tech!Q186)</f>
        <v>1.168270946593718</v>
      </c>
      <c r="R213" s="150">
        <f>IF(TrRoad_act!R74=0,0,TrRoad_emi!R71/TrRoad_tech!R186)</f>
        <v>1.1851781985711896</v>
      </c>
      <c r="S213" s="150">
        <f>IF(TrRoad_act!S74=0,0,TrRoad_emi!S71/TrRoad_tech!S186)</f>
        <v>1.2064639203074694</v>
      </c>
      <c r="T213" s="150">
        <f>IF(TrRoad_act!T74=0,0,TrRoad_emi!T71/TrRoad_tech!T186)</f>
        <v>1.1880217013506553</v>
      </c>
      <c r="U213" s="150">
        <f>IF(TrRoad_act!U74=0,0,TrRoad_emi!U71/TrRoad_tech!U186)</f>
        <v>1.1700880302684202</v>
      </c>
      <c r="V213" s="150">
        <f>IF(TrRoad_act!V74=0,0,TrRoad_emi!V71/TrRoad_tech!V186)</f>
        <v>1.1284790338052837</v>
      </c>
      <c r="W213" s="150">
        <f>IF(TrRoad_act!W74=0,0,TrRoad_emi!W71/TrRoad_tech!W186)</f>
        <v>1.1570955317251885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1.1001164404142136</v>
      </c>
      <c r="D214" s="91">
        <f>IF(TrRoad_act!D75=0,0,TrRoad_emi!D72/TrRoad_tech!D187)</f>
        <v>1.1003801798619872</v>
      </c>
      <c r="E214" s="91">
        <f>IF(TrRoad_act!E75=0,0,TrRoad_emi!E72/TrRoad_tech!E187)</f>
        <v>1.1007837146113109</v>
      </c>
      <c r="F214" s="91">
        <f>IF(TrRoad_act!F75=0,0,TrRoad_emi!F72/TrRoad_tech!F187)</f>
        <v>1.1013340772724018</v>
      </c>
      <c r="G214" s="91">
        <f>IF(TrRoad_act!G75=0,0,TrRoad_emi!G72/TrRoad_tech!G187)</f>
        <v>1.1020182954211539</v>
      </c>
      <c r="H214" s="91">
        <f>IF(TrRoad_act!H75=0,0,TrRoad_emi!H72/TrRoad_tech!H187)</f>
        <v>1.1011587983144113</v>
      </c>
      <c r="I214" s="91">
        <f>IF(TrRoad_act!I75=0,0,TrRoad_emi!I72/TrRoad_tech!I187)</f>
        <v>1.1003645656337564</v>
      </c>
      <c r="J214" s="91">
        <f>IF(TrRoad_act!J75=0,0,TrRoad_emi!J72/TrRoad_tech!J187)</f>
        <v>1.102401514854126</v>
      </c>
      <c r="K214" s="91">
        <f>IF(TrRoad_act!K75=0,0,TrRoad_emi!K72/TrRoad_tech!K187)</f>
        <v>1.105399217364476</v>
      </c>
      <c r="L214" s="91">
        <f>IF(TrRoad_act!L75=0,0,TrRoad_emi!L72/TrRoad_tech!L187)</f>
        <v>1.0934888962476654</v>
      </c>
      <c r="M214" s="91">
        <f>IF(TrRoad_act!M75=0,0,TrRoad_emi!M72/TrRoad_tech!M187)</f>
        <v>1.0852469794247761</v>
      </c>
      <c r="N214" s="91">
        <f>IF(TrRoad_act!N75=0,0,TrRoad_emi!N72/TrRoad_tech!N187)</f>
        <v>1.0860292285652129</v>
      </c>
      <c r="O214" s="91">
        <f>IF(TrRoad_act!O75=0,0,TrRoad_emi!O72/TrRoad_tech!O187)</f>
        <v>1.0959536628417907</v>
      </c>
      <c r="P214" s="91">
        <f>IF(TrRoad_act!P75=0,0,TrRoad_emi!P72/TrRoad_tech!P187)</f>
        <v>1.1045825399163052</v>
      </c>
      <c r="Q214" s="91">
        <f>IF(TrRoad_act!Q75=0,0,TrRoad_emi!Q72/TrRoad_tech!Q187)</f>
        <v>1.1192764632362198</v>
      </c>
      <c r="R214" s="91">
        <f>IF(TrRoad_act!R75=0,0,TrRoad_emi!R72/TrRoad_tech!R187)</f>
        <v>1.132831488534074</v>
      </c>
      <c r="S214" s="91">
        <f>IF(TrRoad_act!S75=0,0,TrRoad_emi!S72/TrRoad_tech!S187)</f>
        <v>1.1462429324470111</v>
      </c>
      <c r="T214" s="91">
        <f>IF(TrRoad_act!T75=0,0,TrRoad_emi!T72/TrRoad_tech!T187)</f>
        <v>1.1639674271613334</v>
      </c>
      <c r="U214" s="91">
        <f>IF(TrRoad_act!U75=0,0,TrRoad_emi!U72/TrRoad_tech!U187)</f>
        <v>1.1851111782532868</v>
      </c>
      <c r="V214" s="91">
        <f>IF(TrRoad_act!V75=0,0,TrRoad_emi!V72/TrRoad_tech!V187)</f>
        <v>1.1667680126607494</v>
      </c>
      <c r="W214" s="91">
        <f>IF(TrRoad_act!W75=0,0,TrRoad_emi!W72/TrRoad_tech!W187)</f>
        <v>1.1786703471574207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1.1001753056894013</v>
      </c>
      <c r="D215" s="91">
        <f>IF(TrRoad_act!D76=0,0,TrRoad_emi!D73/TrRoad_tech!D188)</f>
        <v>1.1005793065144496</v>
      </c>
      <c r="E215" s="91">
        <f>IF(TrRoad_act!E76=0,0,TrRoad_emi!E73/TrRoad_tech!E188)</f>
        <v>1.1012438105157849</v>
      </c>
      <c r="F215" s="91">
        <f>IF(TrRoad_act!F76=0,0,TrRoad_emi!F73/TrRoad_tech!F188)</f>
        <v>1.1023713274900813</v>
      </c>
      <c r="G215" s="91">
        <f>IF(TrRoad_act!G76=0,0,TrRoad_emi!G73/TrRoad_tech!G188)</f>
        <v>1.103879442978102</v>
      </c>
      <c r="H215" s="91">
        <f>IF(TrRoad_act!H76=0,0,TrRoad_emi!H73/TrRoad_tech!H188)</f>
        <v>1.1064011346629117</v>
      </c>
      <c r="I215" s="91">
        <f>IF(TrRoad_act!I76=0,0,TrRoad_emi!I73/TrRoad_tech!I188)</f>
        <v>1.1094174794032921</v>
      </c>
      <c r="J215" s="91">
        <f>IF(TrRoad_act!J76=0,0,TrRoad_emi!J73/TrRoad_tech!J188)</f>
        <v>1.1121823264643242</v>
      </c>
      <c r="K215" s="91">
        <f>IF(TrRoad_act!K76=0,0,TrRoad_emi!K73/TrRoad_tech!K188)</f>
        <v>1.1136592429505061</v>
      </c>
      <c r="L215" s="91">
        <f>IF(TrRoad_act!L76=0,0,TrRoad_emi!L73/TrRoad_tech!L188)</f>
        <v>1.1184233698090842</v>
      </c>
      <c r="M215" s="91">
        <f>IF(TrRoad_act!M76=0,0,TrRoad_emi!M73/TrRoad_tech!M188)</f>
        <v>1.0846835502755428</v>
      </c>
      <c r="N215" s="91">
        <f>IF(TrRoad_act!N76=0,0,TrRoad_emi!N73/TrRoad_tech!N188)</f>
        <v>1.0566209286262032</v>
      </c>
      <c r="O215" s="91">
        <f>IF(TrRoad_act!O76=0,0,TrRoad_emi!O73/TrRoad_tech!O188)</f>
        <v>1.0637332275334503</v>
      </c>
      <c r="P215" s="91">
        <f>IF(TrRoad_act!P76=0,0,TrRoad_emi!P73/TrRoad_tech!P188)</f>
        <v>1.0773497710299236</v>
      </c>
      <c r="Q215" s="91">
        <f>IF(TrRoad_act!Q76=0,0,TrRoad_emi!Q73/TrRoad_tech!Q188)</f>
        <v>1.0952490720296992</v>
      </c>
      <c r="R215" s="91">
        <f>IF(TrRoad_act!R76=0,0,TrRoad_emi!R73/TrRoad_tech!R188)</f>
        <v>1.1163652455513871</v>
      </c>
      <c r="S215" s="91">
        <f>IF(TrRoad_act!S76=0,0,TrRoad_emi!S73/TrRoad_tech!S188)</f>
        <v>1.1398967707260672</v>
      </c>
      <c r="T215" s="91">
        <f>IF(TrRoad_act!T76=0,0,TrRoad_emi!T73/TrRoad_tech!T188)</f>
        <v>1.1656258219379183</v>
      </c>
      <c r="U215" s="91">
        <f>IF(TrRoad_act!U76=0,0,TrRoad_emi!U73/TrRoad_tech!U188)</f>
        <v>1.1797853842406056</v>
      </c>
      <c r="V215" s="91">
        <f>IF(TrRoad_act!V76=0,0,TrRoad_emi!V73/TrRoad_tech!V188)</f>
        <v>1.1965743066311239</v>
      </c>
      <c r="W215" s="91">
        <f>IF(TrRoad_act!W76=0,0,TrRoad_emi!W73/TrRoad_tech!W188)</f>
        <v>1.2102737199909848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1.1000000000067303</v>
      </c>
      <c r="C216" s="91">
        <f>IF(TrRoad_act!C77=0,0,TrRoad_emi!C74/TrRoad_tech!C189)</f>
        <v>1.1004979092351224</v>
      </c>
      <c r="D216" s="91">
        <f>IF(TrRoad_act!D77=0,0,TrRoad_emi!D74/TrRoad_tech!D189)</f>
        <v>1.1009659264378238</v>
      </c>
      <c r="E216" s="91">
        <f>IF(TrRoad_act!E77=0,0,TrRoad_emi!E74/TrRoad_tech!E189)</f>
        <v>1.1010649269461521</v>
      </c>
      <c r="F216" s="91">
        <f>IF(TrRoad_act!F77=0,0,TrRoad_emi!F74/TrRoad_tech!F189)</f>
        <v>1.1011622758372921</v>
      </c>
      <c r="G216" s="91">
        <f>IF(TrRoad_act!G77=0,0,TrRoad_emi!G74/TrRoad_tech!G189)</f>
        <v>1.1012577767713012</v>
      </c>
      <c r="H216" s="91">
        <f>IF(TrRoad_act!H77=0,0,TrRoad_emi!H74/TrRoad_tech!H189)</f>
        <v>1.1013687260827749</v>
      </c>
      <c r="I216" s="91">
        <f>IF(TrRoad_act!I77=0,0,TrRoad_emi!I74/TrRoad_tech!I189)</f>
        <v>1.1015247447106411</v>
      </c>
      <c r="J216" s="91">
        <f>IF(TrRoad_act!J77=0,0,TrRoad_emi!J74/TrRoad_tech!J189)</f>
        <v>1.1017165707091949</v>
      </c>
      <c r="K216" s="91">
        <f>IF(TrRoad_act!K77=0,0,TrRoad_emi!K74/TrRoad_tech!K189)</f>
        <v>1.1020960310741763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1.2863312744658852</v>
      </c>
      <c r="R217" s="91">
        <f>IF(TrRoad_act!R78=0,0,TrRoad_emi!R75/TrRoad_tech!R190)</f>
        <v>1.2610153943810989</v>
      </c>
      <c r="S217" s="91">
        <f>IF(TrRoad_act!S78=0,0,TrRoad_emi!S75/TrRoad_tech!S190)</f>
        <v>1.23801564745357</v>
      </c>
      <c r="T217" s="91">
        <f>IF(TrRoad_act!T78=0,0,TrRoad_emi!T75/TrRoad_tech!T190)</f>
        <v>1.3037565591946383</v>
      </c>
      <c r="U217" s="91">
        <f>IF(TrRoad_act!U78=0,0,TrRoad_emi!U75/TrRoad_tech!U190)</f>
        <v>1.1849018793279666</v>
      </c>
      <c r="V217" s="91">
        <f>IF(TrRoad_act!V78=0,0,TrRoad_emi!V75/TrRoad_tech!V190)</f>
        <v>1.3042070455551193</v>
      </c>
      <c r="W217" s="91">
        <f>IF(TrRoad_act!W78=0,0,TrRoad_emi!W75/TrRoad_tech!W190)</f>
        <v>1.3043671040357907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1.271897211276962</v>
      </c>
      <c r="C219" s="151">
        <f>IF(TrRoad_act!C80=0,0,TrRoad_emi!C77/TrRoad_tech!C192)</f>
        <v>1.3031285720597319</v>
      </c>
      <c r="D219" s="151">
        <f>IF(TrRoad_act!D80=0,0,TrRoad_emi!D77/TrRoad_tech!D192)</f>
        <v>1.3382585673507881</v>
      </c>
      <c r="E219" s="151">
        <f>IF(TrRoad_act!E80=0,0,TrRoad_emi!E77/TrRoad_tech!E192)</f>
        <v>1.4401102175160099</v>
      </c>
      <c r="F219" s="151">
        <f>IF(TrRoad_act!F80=0,0,TrRoad_emi!F77/TrRoad_tech!F192)</f>
        <v>1.5789939857998361</v>
      </c>
      <c r="G219" s="151">
        <f>IF(TrRoad_act!G80=0,0,TrRoad_emi!G77/TrRoad_tech!G192)</f>
        <v>1.5973686477852269</v>
      </c>
      <c r="H219" s="151">
        <f>IF(TrRoad_act!H80=0,0,TrRoad_emi!H77/TrRoad_tech!H192)</f>
        <v>1.5759243311991267</v>
      </c>
      <c r="I219" s="151">
        <f>IF(TrRoad_act!I80=0,0,TrRoad_emi!I77/TrRoad_tech!I192)</f>
        <v>1.5838503978927758</v>
      </c>
      <c r="J219" s="151">
        <f>IF(TrRoad_act!J80=0,0,TrRoad_emi!J77/TrRoad_tech!J192)</f>
        <v>1.4331234267123572</v>
      </c>
      <c r="K219" s="151">
        <f>IF(TrRoad_act!K80=0,0,TrRoad_emi!K77/TrRoad_tech!K192)</f>
        <v>1.4206156434188419</v>
      </c>
      <c r="L219" s="151">
        <f>IF(TrRoad_act!L80=0,0,TrRoad_emi!L77/TrRoad_tech!L192)</f>
        <v>1.4620674689067505</v>
      </c>
      <c r="M219" s="151">
        <f>IF(TrRoad_act!M80=0,0,TrRoad_emi!M77/TrRoad_tech!M192)</f>
        <v>1.3817598353111908</v>
      </c>
      <c r="N219" s="151">
        <f>IF(TrRoad_act!N80=0,0,TrRoad_emi!N77/TrRoad_tech!N192)</f>
        <v>1.2172964012362686</v>
      </c>
      <c r="O219" s="151">
        <f>IF(TrRoad_act!O80=0,0,TrRoad_emi!O77/TrRoad_tech!O192)</f>
        <v>1.1765896025573921</v>
      </c>
      <c r="P219" s="151">
        <f>IF(TrRoad_act!P80=0,0,TrRoad_emi!P77/TrRoad_tech!P192)</f>
        <v>1.2809749296515867</v>
      </c>
      <c r="Q219" s="151">
        <f>IF(TrRoad_act!Q80=0,0,TrRoad_emi!Q77/TrRoad_tech!Q192)</f>
        <v>1.2337206842073543</v>
      </c>
      <c r="R219" s="151">
        <f>IF(TrRoad_act!R80=0,0,TrRoad_emi!R77/TrRoad_tech!R192)</f>
        <v>1.3590716331992105</v>
      </c>
      <c r="S219" s="151">
        <f>IF(TrRoad_act!S80=0,0,TrRoad_emi!S77/TrRoad_tech!S192)</f>
        <v>1.4580409682498188</v>
      </c>
      <c r="T219" s="151">
        <f>IF(TrRoad_act!T80=0,0,TrRoad_emi!T77/TrRoad_tech!T192)</f>
        <v>1.6169155177846013</v>
      </c>
      <c r="U219" s="151">
        <f>IF(TrRoad_act!U80=0,0,TrRoad_emi!U77/TrRoad_tech!U192)</f>
        <v>1.5736116750582125</v>
      </c>
      <c r="V219" s="151">
        <f>IF(TrRoad_act!V80=0,0,TrRoad_emi!V77/TrRoad_tech!V192)</f>
        <v>1.5061901702420597</v>
      </c>
      <c r="W219" s="151">
        <f>IF(TrRoad_act!W80=0,0,TrRoad_emi!W77/TrRoad_tech!W192)</f>
        <v>1.5769785940730188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1.2092039940449326</v>
      </c>
      <c r="C220" s="93">
        <f>IF(TrRoad_act!C81=0,0,TrRoad_emi!C78/TrRoad_tech!C193)</f>
        <v>1.2160950597901314</v>
      </c>
      <c r="D220" s="93">
        <f>IF(TrRoad_act!D81=0,0,TrRoad_emi!D78/TrRoad_tech!D193)</f>
        <v>1.2239123730950496</v>
      </c>
      <c r="E220" s="93">
        <f>IF(TrRoad_act!E81=0,0,TrRoad_emi!E78/TrRoad_tech!E193)</f>
        <v>1.2466502522301399</v>
      </c>
      <c r="F220" s="93">
        <f>IF(TrRoad_act!F81=0,0,TrRoad_emi!F78/TrRoad_tech!F193)</f>
        <v>1.2770336070478521</v>
      </c>
      <c r="G220" s="93">
        <f>IF(TrRoad_act!G81=0,0,TrRoad_emi!G78/TrRoad_tech!G193)</f>
        <v>1.2839204591005247</v>
      </c>
      <c r="H220" s="93">
        <f>IF(TrRoad_act!H81=0,0,TrRoad_emi!H78/TrRoad_tech!H193)</f>
        <v>1.2813451429496512</v>
      </c>
      <c r="I220" s="93">
        <f>IF(TrRoad_act!I81=0,0,TrRoad_emi!I78/TrRoad_tech!I193)</f>
        <v>1.2882487813787278</v>
      </c>
      <c r="J220" s="93">
        <f>IF(TrRoad_act!J81=0,0,TrRoad_emi!J78/TrRoad_tech!J193)</f>
        <v>1.2575121071321924</v>
      </c>
      <c r="K220" s="93">
        <f>IF(TrRoad_act!K81=0,0,TrRoad_emi!K78/TrRoad_tech!K193)</f>
        <v>1.2551237120492167</v>
      </c>
      <c r="L220" s="93">
        <f>IF(TrRoad_act!L81=0,0,TrRoad_emi!L78/TrRoad_tech!L193)</f>
        <v>1.2663089504082092</v>
      </c>
      <c r="M220" s="93">
        <f>IF(TrRoad_act!M81=0,0,TrRoad_emi!M78/TrRoad_tech!M193)</f>
        <v>1.2204656490461725</v>
      </c>
      <c r="N220" s="93">
        <f>IF(TrRoad_act!N81=0,0,TrRoad_emi!N78/TrRoad_tech!N193)</f>
        <v>1.1598790626106716</v>
      </c>
      <c r="O220" s="93">
        <f>IF(TrRoad_act!O81=0,0,TrRoad_emi!O78/TrRoad_tech!O193)</f>
        <v>1.1532841361832107</v>
      </c>
      <c r="P220" s="93">
        <f>IF(TrRoad_act!P81=0,0,TrRoad_emi!P78/TrRoad_tech!P193)</f>
        <v>1.1841373309070993</v>
      </c>
      <c r="Q220" s="93">
        <f>IF(TrRoad_act!Q81=0,0,TrRoad_emi!Q78/TrRoad_tech!Q193)</f>
        <v>1.1841803091097116</v>
      </c>
      <c r="R220" s="93">
        <f>IF(TrRoad_act!R81=0,0,TrRoad_emi!R78/TrRoad_tech!R193)</f>
        <v>1.2132418629086326</v>
      </c>
      <c r="S220" s="93">
        <f>IF(TrRoad_act!S81=0,0,TrRoad_emi!S78/TrRoad_tech!S193)</f>
        <v>1.2504841131868383</v>
      </c>
      <c r="T220" s="93">
        <f>IF(TrRoad_act!T81=0,0,TrRoad_emi!T78/TrRoad_tech!T193)</f>
        <v>1.3008350437657283</v>
      </c>
      <c r="U220" s="93">
        <f>IF(TrRoad_act!U81=0,0,TrRoad_emi!U78/TrRoad_tech!U193)</f>
        <v>1.2985524962341304</v>
      </c>
      <c r="V220" s="93">
        <f>IF(TrRoad_act!V81=0,0,TrRoad_emi!V78/TrRoad_tech!V193)</f>
        <v>1.2918350008235795</v>
      </c>
      <c r="W220" s="93">
        <f>IF(TrRoad_act!W81=0,0,TrRoad_emi!W78/TrRoad_tech!W193)</f>
        <v>1.3207425191462945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1.8871337534050872</v>
      </c>
      <c r="C221" s="94">
        <f>IF(TrRoad_act!C82=0,0,TrRoad_emi!C79/TrRoad_tech!C194)</f>
        <v>2.0129740462003616</v>
      </c>
      <c r="D221" s="94">
        <f>IF(TrRoad_act!D82=0,0,TrRoad_emi!D79/TrRoad_tech!D194)</f>
        <v>2.1274963921208947</v>
      </c>
      <c r="E221" s="94">
        <f>IF(TrRoad_act!E82=0,0,TrRoad_emi!E79/TrRoad_tech!E194)</f>
        <v>2.6292035991078144</v>
      </c>
      <c r="F221" s="94">
        <f>IF(TrRoad_act!F82=0,0,TrRoad_emi!F79/TrRoad_tech!F194)</f>
        <v>2.9539076634252148</v>
      </c>
      <c r="G221" s="94">
        <f>IF(TrRoad_act!G82=0,0,TrRoad_emi!G79/TrRoad_tech!G194)</f>
        <v>2.9522092991615696</v>
      </c>
      <c r="H221" s="94">
        <f>IF(TrRoad_act!H82=0,0,TrRoad_emi!H79/TrRoad_tech!H194)</f>
        <v>2.8599727012206753</v>
      </c>
      <c r="I221" s="94">
        <f>IF(TrRoad_act!I82=0,0,TrRoad_emi!I79/TrRoad_tech!I194)</f>
        <v>2.8360905164188606</v>
      </c>
      <c r="J221" s="94">
        <f>IF(TrRoad_act!J82=0,0,TrRoad_emi!J79/TrRoad_tech!J194)</f>
        <v>2.1149862024509178</v>
      </c>
      <c r="K221" s="94">
        <f>IF(TrRoad_act!K82=0,0,TrRoad_emi!K79/TrRoad_tech!K194)</f>
        <v>2.0830877843811928</v>
      </c>
      <c r="L221" s="94">
        <f>IF(TrRoad_act!L82=0,0,TrRoad_emi!L79/TrRoad_tech!L194)</f>
        <v>2.2692933606078776</v>
      </c>
      <c r="M221" s="94">
        <f>IF(TrRoad_act!M82=0,0,TrRoad_emi!M79/TrRoad_tech!M194)</f>
        <v>2.1430036938449906</v>
      </c>
      <c r="N221" s="94">
        <f>IF(TrRoad_act!N82=0,0,TrRoad_emi!N79/TrRoad_tech!N194)</f>
        <v>1.6663986121493852</v>
      </c>
      <c r="O221" s="94">
        <f>IF(TrRoad_act!O82=0,0,TrRoad_emi!O79/TrRoad_tech!O194)</f>
        <v>1.4910360729136847</v>
      </c>
      <c r="P221" s="94">
        <f>IF(TrRoad_act!P82=0,0,TrRoad_emi!P79/TrRoad_tech!P194)</f>
        <v>1.8491538416227342</v>
      </c>
      <c r="Q221" s="94">
        <f>IF(TrRoad_act!Q82=0,0,TrRoad_emi!Q79/TrRoad_tech!Q194)</f>
        <v>1.6439303585712652</v>
      </c>
      <c r="R221" s="94">
        <f>IF(TrRoad_act!R82=0,0,TrRoad_emi!R79/TrRoad_tech!R194)</f>
        <v>2.0015881148868848</v>
      </c>
      <c r="S221" s="94">
        <f>IF(TrRoad_act!S82=0,0,TrRoad_emi!S79/TrRoad_tech!S194)</f>
        <v>2.202072796311771</v>
      </c>
      <c r="T221" s="94">
        <f>IF(TrRoad_act!T82=0,0,TrRoad_emi!T79/TrRoad_tech!T194)</f>
        <v>2.6519040293653089</v>
      </c>
      <c r="U221" s="94">
        <f>IF(TrRoad_act!U82=0,0,TrRoad_emi!U79/TrRoad_tech!U194)</f>
        <v>2.4974933729953124</v>
      </c>
      <c r="V221" s="94">
        <f>IF(TrRoad_act!V82=0,0,TrRoad_emi!V79/TrRoad_tech!V194)</f>
        <v>2.2484382230909161</v>
      </c>
      <c r="W221" s="94">
        <f>IF(TrRoad_act!W82=0,0,TrRoad_emi!W79/TrRoad_tech!W194)</f>
        <v>2.4158930982739841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99.864248030083246</v>
      </c>
      <c r="C225" s="152">
        <v>99.483143587252968</v>
      </c>
      <c r="D225" s="152">
        <v>99.061399719719972</v>
      </c>
      <c r="E225" s="152">
        <v>97.893396493767781</v>
      </c>
      <c r="F225" s="152">
        <v>95.547288392341699</v>
      </c>
      <c r="G225" s="152">
        <v>95.773582069446505</v>
      </c>
      <c r="H225" s="152">
        <v>94.753517500740344</v>
      </c>
      <c r="I225" s="152">
        <v>93.014771076809367</v>
      </c>
      <c r="J225" s="152">
        <v>87.011457519376307</v>
      </c>
      <c r="K225" s="152">
        <v>81.74407864687953</v>
      </c>
      <c r="L225" s="152">
        <v>78.557639575862936</v>
      </c>
      <c r="M225" s="152">
        <v>76.960963910437087</v>
      </c>
      <c r="N225" s="152">
        <v>71.499524792500722</v>
      </c>
      <c r="O225" s="152">
        <v>69.152152299009146</v>
      </c>
      <c r="P225" s="152">
        <v>68.421558715288185</v>
      </c>
      <c r="Q225" s="152">
        <v>67.375808356158416</v>
      </c>
      <c r="R225" s="152">
        <v>65.910028614178572</v>
      </c>
      <c r="S225" s="152">
        <v>64.737404820594719</v>
      </c>
      <c r="T225" s="152">
        <v>63.799305785727626</v>
      </c>
      <c r="U225" s="152">
        <v>63.048826557833948</v>
      </c>
      <c r="V225" s="152">
        <v>62.44844317551901</v>
      </c>
      <c r="W225" s="152">
        <v>61.968136469667058</v>
      </c>
      <c r="DA225" s="174" t="s">
        <v>931</v>
      </c>
    </row>
    <row r="226" spans="1:105" ht="11.45" customHeight="1" x14ac:dyDescent="0.25">
      <c r="A226" s="109" t="s">
        <v>20</v>
      </c>
      <c r="B226" s="116">
        <v>200.66663602893118</v>
      </c>
      <c r="C226" s="116">
        <v>201.04505185822944</v>
      </c>
      <c r="D226" s="116">
        <v>201.03239878692364</v>
      </c>
      <c r="E226" s="116">
        <v>200.72215999825781</v>
      </c>
      <c r="F226" s="116">
        <v>196.40950876541186</v>
      </c>
      <c r="G226" s="116">
        <v>194.00954684991405</v>
      </c>
      <c r="H226" s="116">
        <v>195.42458484222968</v>
      </c>
      <c r="I226" s="116">
        <v>192.06206789920216</v>
      </c>
      <c r="J226" s="116">
        <v>180.02969445377826</v>
      </c>
      <c r="K226" s="116">
        <v>172.25679960853341</v>
      </c>
      <c r="L226" s="116">
        <v>164.00795834530999</v>
      </c>
      <c r="M226" s="116">
        <v>161.02362610946463</v>
      </c>
      <c r="N226" s="116">
        <v>152.66094032130886</v>
      </c>
      <c r="O226" s="116">
        <v>147.79441553586639</v>
      </c>
      <c r="P226" s="116">
        <v>144.59740439290005</v>
      </c>
      <c r="Q226" s="116">
        <v>138.42348875516061</v>
      </c>
      <c r="R226" s="116">
        <v>134.28228171703591</v>
      </c>
      <c r="S226" s="116">
        <v>135.68426657795635</v>
      </c>
      <c r="T226" s="116">
        <v>138.38453078333143</v>
      </c>
      <c r="U226" s="116">
        <v>135.86754627963558</v>
      </c>
      <c r="V226" s="116">
        <v>117.91851691656927</v>
      </c>
      <c r="W226" s="116">
        <v>96.068719975776659</v>
      </c>
      <c r="DA226" s="176" t="s">
        <v>932</v>
      </c>
    </row>
    <row r="227" spans="1:105" ht="11.45" customHeight="1" x14ac:dyDescent="0.25">
      <c r="A227" s="111" t="s">
        <v>110</v>
      </c>
      <c r="B227" s="87">
        <v>208.7228128815691</v>
      </c>
      <c r="C227" s="87">
        <v>208.79844514256283</v>
      </c>
      <c r="D227" s="87">
        <v>207.84497544420057</v>
      </c>
      <c r="E227" s="87">
        <v>205.20437822568218</v>
      </c>
      <c r="F227" s="87">
        <v>199.9003461910799</v>
      </c>
      <c r="G227" s="87">
        <v>196.16639898911012</v>
      </c>
      <c r="H227" s="87">
        <v>193.90547683011931</v>
      </c>
      <c r="I227" s="87">
        <v>190.0516322409303</v>
      </c>
      <c r="J227" s="87">
        <v>174.87319395891717</v>
      </c>
      <c r="K227" s="87">
        <v>163.31166019135026</v>
      </c>
      <c r="L227" s="87">
        <v>156.3151113156884</v>
      </c>
      <c r="M227" s="87">
        <v>152.81189554935824</v>
      </c>
      <c r="N227" s="87">
        <v>139.31656509423215</v>
      </c>
      <c r="O227" s="87">
        <v>134.2137857233769</v>
      </c>
      <c r="P227" s="87">
        <v>132.69550005484169</v>
      </c>
      <c r="Q227" s="87">
        <v>131.08324694606745</v>
      </c>
      <c r="R227" s="87">
        <v>130.85139205084158</v>
      </c>
      <c r="S227" s="87">
        <v>131.83670536945445</v>
      </c>
      <c r="T227" s="87">
        <v>135.8269865672018</v>
      </c>
      <c r="U227" s="87">
        <v>139.1463837754327</v>
      </c>
      <c r="V227" s="87">
        <v>133.61444192592219</v>
      </c>
      <c r="W227" s="87">
        <v>128.02027691213689</v>
      </c>
      <c r="DA227" s="171" t="s">
        <v>933</v>
      </c>
    </row>
    <row r="228" spans="1:105" ht="11.45" customHeight="1" x14ac:dyDescent="0.25">
      <c r="A228" s="111" t="s">
        <v>111</v>
      </c>
      <c r="B228" s="87">
        <v>182.43010161815604</v>
      </c>
      <c r="C228" s="87">
        <v>183.43828639386714</v>
      </c>
      <c r="D228" s="87">
        <v>180.87696350324205</v>
      </c>
      <c r="E228" s="87">
        <v>184.62747202165733</v>
      </c>
      <c r="F228" s="87">
        <v>187.28027072980476</v>
      </c>
      <c r="G228" s="87">
        <v>190.29897270804145</v>
      </c>
      <c r="H228" s="87">
        <v>198.13662075335418</v>
      </c>
      <c r="I228" s="87">
        <v>194.53979160837636</v>
      </c>
      <c r="J228" s="87">
        <v>185.81665764944748</v>
      </c>
      <c r="K228" s="87">
        <v>180.87696350324205</v>
      </c>
      <c r="L228" s="87">
        <v>171.18052684587707</v>
      </c>
      <c r="M228" s="87">
        <v>171.49084209751902</v>
      </c>
      <c r="N228" s="87">
        <v>166.37361561005116</v>
      </c>
      <c r="O228" s="87">
        <v>161.30572393945067</v>
      </c>
      <c r="P228" s="87">
        <v>156.31292217953731</v>
      </c>
      <c r="Q228" s="87">
        <v>149.91965350202361</v>
      </c>
      <c r="R228" s="87">
        <v>143.64256850627939</v>
      </c>
      <c r="S228" s="87">
        <v>144.87444343123522</v>
      </c>
      <c r="T228" s="87">
        <v>150.96879669003559</v>
      </c>
      <c r="U228" s="87">
        <v>146.11096601136481</v>
      </c>
      <c r="V228" s="87">
        <v>140.10418394618009</v>
      </c>
      <c r="W228" s="87">
        <v>141.736737925574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182.16898376859237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0</v>
      </c>
      <c r="S229" s="87">
        <v>0</v>
      </c>
      <c r="T229" s="87">
        <v>0</v>
      </c>
      <c r="U229" s="87">
        <v>0</v>
      </c>
      <c r="V229" s="87">
        <v>0</v>
      </c>
      <c r="W229" s="87">
        <v>0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138.64186851211076</v>
      </c>
      <c r="R230" s="87">
        <v>168.96608996539794</v>
      </c>
      <c r="S230" s="87">
        <v>98.662298461311963</v>
      </c>
      <c r="T230" s="87">
        <v>114.62184873949582</v>
      </c>
      <c r="U230" s="87">
        <v>113.66666666666669</v>
      </c>
      <c r="V230" s="87">
        <v>110.50563232201858</v>
      </c>
      <c r="W230" s="87">
        <v>106.33293395237381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52.103360059816836</v>
      </c>
      <c r="O231" s="87">
        <v>85.798160502345027</v>
      </c>
      <c r="P231" s="87">
        <v>17.554354629399924</v>
      </c>
      <c r="Q231" s="87">
        <v>119.38399225064319</v>
      </c>
      <c r="R231" s="87">
        <v>49.992653197439722</v>
      </c>
      <c r="S231" s="87">
        <v>46.299374582013115</v>
      </c>
      <c r="T231" s="87">
        <v>40.649122807017548</v>
      </c>
      <c r="U231" s="87">
        <v>34.884918401800789</v>
      </c>
      <c r="V231" s="87">
        <v>33.373946629213478</v>
      </c>
      <c r="W231" s="87">
        <v>32.962336811055877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1513.0839091482583</v>
      </c>
      <c r="C233" s="116">
        <v>1511.5238538418448</v>
      </c>
      <c r="D233" s="116">
        <v>1509.7923454794732</v>
      </c>
      <c r="E233" s="116">
        <v>1504.9508685190647</v>
      </c>
      <c r="F233" s="116">
        <v>1495.0337932322902</v>
      </c>
      <c r="G233" s="116">
        <v>1451.6629272279467</v>
      </c>
      <c r="H233" s="116">
        <v>1443.1454530512246</v>
      </c>
      <c r="I233" s="116">
        <v>1449.7873166207848</v>
      </c>
      <c r="J233" s="116">
        <v>1367.3570259504036</v>
      </c>
      <c r="K233" s="116">
        <v>1353.2524900065341</v>
      </c>
      <c r="L233" s="116">
        <v>1348.7695449538523</v>
      </c>
      <c r="M233" s="116">
        <v>1338.8502641211219</v>
      </c>
      <c r="N233" s="116">
        <v>1315.3757467577232</v>
      </c>
      <c r="O233" s="116">
        <v>1283.6659551680921</v>
      </c>
      <c r="P233" s="116">
        <v>1346.0882218933211</v>
      </c>
      <c r="Q233" s="116">
        <v>1322.3656209054575</v>
      </c>
      <c r="R233" s="116">
        <v>1308.9444411580514</v>
      </c>
      <c r="S233" s="116">
        <v>1297.0679000623797</v>
      </c>
      <c r="T233" s="116">
        <v>1322.6186945010738</v>
      </c>
      <c r="U233" s="116">
        <v>1172.1339716215671</v>
      </c>
      <c r="V233" s="116">
        <v>1290.0760649244535</v>
      </c>
      <c r="W233" s="116">
        <v>919.26714720151506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502.87525916992092</v>
      </c>
      <c r="H234" s="101">
        <v>459.34554665589872</v>
      </c>
      <c r="I234" s="101">
        <v>434.61224435116969</v>
      </c>
      <c r="J234" s="101">
        <v>420.04179142154771</v>
      </c>
      <c r="K234" s="101">
        <v>393.91535917539471</v>
      </c>
      <c r="L234" s="101">
        <v>377.75623412473669</v>
      </c>
      <c r="M234" s="101">
        <v>378.13260951756229</v>
      </c>
      <c r="N234" s="101">
        <v>353.30138997798088</v>
      </c>
      <c r="O234" s="101">
        <v>326.75575277318302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1513.0839091482583</v>
      </c>
      <c r="C235" s="101">
        <v>1511.5238538418448</v>
      </c>
      <c r="D235" s="101">
        <v>1509.7923454794732</v>
      </c>
      <c r="E235" s="101">
        <v>1504.9508685190647</v>
      </c>
      <c r="F235" s="101">
        <v>1495.0337932322902</v>
      </c>
      <c r="G235" s="101">
        <v>1487.9531482756402</v>
      </c>
      <c r="H235" s="101">
        <v>1483.628401518178</v>
      </c>
      <c r="I235" s="101">
        <v>1476.1451273091382</v>
      </c>
      <c r="J235" s="101">
        <v>1444.7942385821902</v>
      </c>
      <c r="K235" s="101">
        <v>1419.6681375256128</v>
      </c>
      <c r="L235" s="101">
        <v>1403.9639857799282</v>
      </c>
      <c r="M235" s="101">
        <v>1395.9602964291273</v>
      </c>
      <c r="N235" s="101">
        <v>1362.9508523127654</v>
      </c>
      <c r="O235" s="101">
        <v>1350.1180525566274</v>
      </c>
      <c r="P235" s="101">
        <v>1346.0882218933211</v>
      </c>
      <c r="Q235" s="101">
        <v>1340.2449215971562</v>
      </c>
      <c r="R235" s="101">
        <v>1335.0076419480436</v>
      </c>
      <c r="S235" s="101">
        <v>1330.3115907494409</v>
      </c>
      <c r="T235" s="101">
        <v>1326.0992700129189</v>
      </c>
      <c r="U235" s="101">
        <v>1322.3195865126127</v>
      </c>
      <c r="V235" s="101">
        <v>1318.9270831143947</v>
      </c>
      <c r="W235" s="101">
        <v>1315.8812723604397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887.84443439811616</v>
      </c>
      <c r="R237" s="101">
        <v>858.26714772020398</v>
      </c>
      <c r="S237" s="101">
        <v>832.49098733127687</v>
      </c>
      <c r="T237" s="101">
        <v>0</v>
      </c>
      <c r="U237" s="101">
        <v>790.19467408972434</v>
      </c>
      <c r="V237" s="101">
        <v>772.82291097495909</v>
      </c>
      <c r="W237" s="101">
        <v>757.51509245081206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235.30718773821775</v>
      </c>
      <c r="D240" s="152">
        <v>232.10080565538212</v>
      </c>
      <c r="E240" s="152">
        <v>234.57122423071803</v>
      </c>
      <c r="F240" s="152">
        <v>234.10482804442961</v>
      </c>
      <c r="G240" s="152">
        <v>235.84981808447949</v>
      </c>
      <c r="H240" s="152">
        <v>243.90794054343766</v>
      </c>
      <c r="I240" s="152">
        <v>235.72837293531569</v>
      </c>
      <c r="J240" s="152">
        <v>227.14078820145519</v>
      </c>
      <c r="K240" s="152">
        <v>220.81314148563328</v>
      </c>
      <c r="L240" s="152">
        <v>208.88447622628192</v>
      </c>
      <c r="M240" s="152">
        <v>208.90331819118836</v>
      </c>
      <c r="N240" s="152">
        <v>201.04191180221193</v>
      </c>
      <c r="O240" s="152">
        <v>184.0655590064479</v>
      </c>
      <c r="P240" s="152">
        <v>174.64546987395207</v>
      </c>
      <c r="Q240" s="152">
        <v>174.07813191087757</v>
      </c>
      <c r="R240" s="152">
        <v>174.18974438278198</v>
      </c>
      <c r="S240" s="152">
        <v>170.54951326004118</v>
      </c>
      <c r="T240" s="152">
        <v>173.01495104803789</v>
      </c>
      <c r="U240" s="152">
        <v>174.46742999211247</v>
      </c>
      <c r="V240" s="152">
        <v>195.24144720700497</v>
      </c>
      <c r="W240" s="152">
        <v>186.9546686702495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295.10838010572735</v>
      </c>
      <c r="D241" s="87">
        <v>293.76077956219132</v>
      </c>
      <c r="E241" s="87">
        <v>290.02865230838637</v>
      </c>
      <c r="F241" s="87">
        <v>282.53211994344645</v>
      </c>
      <c r="G241" s="87">
        <v>277.25469026995802</v>
      </c>
      <c r="H241" s="87">
        <v>274.05918239426791</v>
      </c>
      <c r="I241" s="87">
        <v>268.61229396979581</v>
      </c>
      <c r="J241" s="87">
        <v>247.15962304170867</v>
      </c>
      <c r="K241" s="87">
        <v>230.81895776829265</v>
      </c>
      <c r="L241" s="87">
        <v>220.93386396091748</v>
      </c>
      <c r="M241" s="87">
        <v>215.9805953181085</v>
      </c>
      <c r="N241" s="87">
        <v>196.90513412962258</v>
      </c>
      <c r="O241" s="87">
        <v>152.51528018273291</v>
      </c>
      <c r="P241" s="87">
        <v>145.98117485374394</v>
      </c>
      <c r="Q241" s="87">
        <v>139.93038504926702</v>
      </c>
      <c r="R241" s="87">
        <v>142.2792045583536</v>
      </c>
      <c r="S241" s="87">
        <v>142.89934795519304</v>
      </c>
      <c r="T241" s="87">
        <v>142.76037732255745</v>
      </c>
      <c r="U241" s="87">
        <v>141.12462189957651</v>
      </c>
      <c r="V241" s="87">
        <v>138.23403437939771</v>
      </c>
      <c r="W241" s="87">
        <v>133.74707098552719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222.17597554690431</v>
      </c>
      <c r="D242" s="87">
        <v>219.0737637725673</v>
      </c>
      <c r="E242" s="87">
        <v>223.61628815641785</v>
      </c>
      <c r="F242" s="87">
        <v>226.82929320840964</v>
      </c>
      <c r="G242" s="87">
        <v>230.48547137102105</v>
      </c>
      <c r="H242" s="87">
        <v>239.97823940049201</v>
      </c>
      <c r="I242" s="87">
        <v>235.62184772310175</v>
      </c>
      <c r="J242" s="87">
        <v>225.05660076593134</v>
      </c>
      <c r="K242" s="87">
        <v>219.07376377256733</v>
      </c>
      <c r="L242" s="87">
        <v>207.32967634114908</v>
      </c>
      <c r="M242" s="87">
        <v>207.70552260048942</v>
      </c>
      <c r="N242" s="87">
        <v>201.50766276818436</v>
      </c>
      <c r="O242" s="87">
        <v>186.70188535692881</v>
      </c>
      <c r="P242" s="87">
        <v>175.8167380393792</v>
      </c>
      <c r="Q242" s="87">
        <v>177.16292067281907</v>
      </c>
      <c r="R242" s="87">
        <v>175.74260317409764</v>
      </c>
      <c r="S242" s="87">
        <v>171.97139945402429</v>
      </c>
      <c r="T242" s="87">
        <v>174.52574555016264</v>
      </c>
      <c r="U242" s="87">
        <v>176.42122130792549</v>
      </c>
      <c r="V242" s="87">
        <v>199.3266192138808</v>
      </c>
      <c r="W242" s="87">
        <v>195.2221894364119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267.55559666556485</v>
      </c>
      <c r="D243" s="87">
        <v>263.8197556493501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167.74101128283385</v>
      </c>
      <c r="R244" s="87">
        <v>138.33526617264579</v>
      </c>
      <c r="S244" s="87">
        <v>136.51528754870159</v>
      </c>
      <c r="T244" s="87">
        <v>127.92211701569386</v>
      </c>
      <c r="U244" s="87">
        <v>0</v>
      </c>
      <c r="V244" s="87">
        <v>210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957.95537252570853</v>
      </c>
      <c r="D246" s="116">
        <v>947.20782794702382</v>
      </c>
      <c r="E246" s="116">
        <v>940.24491354469365</v>
      </c>
      <c r="F246" s="116">
        <v>940.70139331985069</v>
      </c>
      <c r="G246" s="116">
        <v>914.92943544104662</v>
      </c>
      <c r="H246" s="116">
        <v>921.58519163781318</v>
      </c>
      <c r="I246" s="116">
        <v>896.27469682570995</v>
      </c>
      <c r="J246" s="116">
        <v>932.32119815264127</v>
      </c>
      <c r="K246" s="116">
        <v>861.22522286050935</v>
      </c>
      <c r="L246" s="116">
        <v>874.498053721715</v>
      </c>
      <c r="M246" s="116">
        <v>852.10722391513991</v>
      </c>
      <c r="N246" s="116">
        <v>835.21120731431063</v>
      </c>
      <c r="O246" s="116">
        <v>837.91941522602224</v>
      </c>
      <c r="P246" s="116">
        <v>791.76680502685633</v>
      </c>
      <c r="Q246" s="116">
        <v>828.31230388362405</v>
      </c>
      <c r="R246" s="116">
        <v>788.09099395245937</v>
      </c>
      <c r="S246" s="116">
        <v>715.4922744286481</v>
      </c>
      <c r="T246" s="116">
        <v>669.27639170781015</v>
      </c>
      <c r="U246" s="116">
        <v>651.92234969381548</v>
      </c>
      <c r="V246" s="116">
        <v>667.51076134306481</v>
      </c>
      <c r="W246" s="116">
        <v>624.45457395553251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870.61519128074076</v>
      </c>
      <c r="D247" s="101">
        <v>866.16565797512283</v>
      </c>
      <c r="E247" s="101">
        <v>860.62516079239424</v>
      </c>
      <c r="F247" s="101">
        <v>854.00777824024976</v>
      </c>
      <c r="G247" s="101">
        <v>846.33020652665323</v>
      </c>
      <c r="H247" s="101">
        <v>837.61165544274979</v>
      </c>
      <c r="I247" s="101">
        <v>827.87373003908624</v>
      </c>
      <c r="J247" s="101">
        <v>817.14029943101968</v>
      </c>
      <c r="K247" s="101">
        <v>805.43735417318896</v>
      </c>
      <c r="L247" s="101">
        <v>792.79285377396832</v>
      </c>
      <c r="M247" s="101">
        <v>779.23656594527267</v>
      </c>
      <c r="N247" s="101">
        <v>764.79989924491429</v>
      </c>
      <c r="O247" s="101">
        <v>749.51573078807053</v>
      </c>
      <c r="P247" s="101">
        <v>733.41823066500956</v>
      </c>
      <c r="Q247" s="101">
        <v>716.54268470247939</v>
      </c>
      <c r="R247" s="101">
        <v>675.76972060307219</v>
      </c>
      <c r="S247" s="101">
        <v>647.22864573348704</v>
      </c>
      <c r="T247" s="101">
        <v>617.26051712042272</v>
      </c>
      <c r="U247" s="101">
        <v>580.63280437112178</v>
      </c>
      <c r="V247" s="101">
        <v>562.14521439806651</v>
      </c>
      <c r="W247" s="101">
        <v>553.12334976703471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5537</v>
      </c>
      <c r="C4" s="28">
        <f t="shared" ref="C4:V4" si="1">SUM(C5,C6,C9)</f>
        <v>5721</v>
      </c>
      <c r="D4" s="28">
        <f t="shared" si="1"/>
        <v>5754</v>
      </c>
      <c r="E4" s="28">
        <f t="shared" si="1"/>
        <v>5893</v>
      </c>
      <c r="F4" s="28">
        <f t="shared" si="1"/>
        <v>6074</v>
      </c>
      <c r="G4" s="28">
        <f t="shared" si="1"/>
        <v>6136</v>
      </c>
      <c r="H4" s="28">
        <f t="shared" si="1"/>
        <v>6274</v>
      </c>
      <c r="I4" s="28">
        <f t="shared" si="1"/>
        <v>6353</v>
      </c>
      <c r="J4" s="28">
        <f t="shared" si="1"/>
        <v>6475</v>
      </c>
      <c r="K4" s="28">
        <f t="shared" si="1"/>
        <v>6367</v>
      </c>
      <c r="L4" s="28">
        <f t="shared" si="1"/>
        <v>6577</v>
      </c>
      <c r="M4" s="28">
        <f t="shared" si="1"/>
        <v>6643</v>
      </c>
      <c r="N4" s="28">
        <f t="shared" si="1"/>
        <v>6791</v>
      </c>
      <c r="O4" s="28">
        <f t="shared" si="1"/>
        <v>6835</v>
      </c>
      <c r="P4" s="28">
        <f t="shared" si="1"/>
        <v>6808</v>
      </c>
      <c r="Q4" s="28">
        <f t="shared" si="1"/>
        <v>6808</v>
      </c>
      <c r="R4" s="28">
        <f t="shared" si="1"/>
        <v>6653</v>
      </c>
      <c r="S4" s="28">
        <f t="shared" si="1"/>
        <v>6621</v>
      </c>
      <c r="T4" s="28">
        <f t="shared" si="1"/>
        <v>6549</v>
      </c>
      <c r="U4" s="28">
        <f t="shared" si="1"/>
        <v>6574</v>
      </c>
      <c r="V4" s="28">
        <f t="shared" si="1"/>
        <v>4229</v>
      </c>
      <c r="W4" s="28">
        <f t="shared" ref="W4" si="2">SUM(W5,W6,W9)</f>
        <v>4512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9</v>
      </c>
      <c r="E5" s="108">
        <v>67</v>
      </c>
      <c r="F5" s="108">
        <v>128</v>
      </c>
      <c r="G5" s="108">
        <v>162</v>
      </c>
      <c r="H5" s="108">
        <v>164</v>
      </c>
      <c r="I5" s="108">
        <v>177</v>
      </c>
      <c r="J5" s="108">
        <v>195</v>
      </c>
      <c r="K5" s="108">
        <v>215</v>
      </c>
      <c r="L5" s="108">
        <v>239</v>
      </c>
      <c r="M5" s="108">
        <v>278</v>
      </c>
      <c r="N5" s="108">
        <v>274</v>
      </c>
      <c r="O5" s="108">
        <v>284</v>
      </c>
      <c r="P5" s="108">
        <v>295</v>
      </c>
      <c r="Q5" s="108">
        <v>302</v>
      </c>
      <c r="R5" s="108">
        <v>321</v>
      </c>
      <c r="S5" s="108">
        <v>341</v>
      </c>
      <c r="T5" s="108">
        <v>352</v>
      </c>
      <c r="U5" s="108">
        <v>400</v>
      </c>
      <c r="V5" s="108">
        <v>289</v>
      </c>
      <c r="W5" s="108">
        <v>331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5537</v>
      </c>
      <c r="C6" s="110">
        <f t="shared" ref="C6:V6" si="4">SUM(C7:C8)</f>
        <v>5721</v>
      </c>
      <c r="D6" s="110">
        <f t="shared" si="4"/>
        <v>5745</v>
      </c>
      <c r="E6" s="110">
        <f t="shared" si="4"/>
        <v>5826</v>
      </c>
      <c r="F6" s="110">
        <f t="shared" si="4"/>
        <v>5946</v>
      </c>
      <c r="G6" s="110">
        <f t="shared" si="4"/>
        <v>5974</v>
      </c>
      <c r="H6" s="110">
        <f t="shared" si="4"/>
        <v>6110</v>
      </c>
      <c r="I6" s="110">
        <f t="shared" si="4"/>
        <v>6176</v>
      </c>
      <c r="J6" s="110">
        <f t="shared" si="4"/>
        <v>6280</v>
      </c>
      <c r="K6" s="110">
        <f t="shared" si="4"/>
        <v>6152</v>
      </c>
      <c r="L6" s="110">
        <f t="shared" si="4"/>
        <v>6338</v>
      </c>
      <c r="M6" s="110">
        <f t="shared" si="4"/>
        <v>6365</v>
      </c>
      <c r="N6" s="110">
        <f t="shared" si="4"/>
        <v>6517</v>
      </c>
      <c r="O6" s="110">
        <f t="shared" si="4"/>
        <v>6551</v>
      </c>
      <c r="P6" s="110">
        <f t="shared" si="4"/>
        <v>6513</v>
      </c>
      <c r="Q6" s="110">
        <f t="shared" si="4"/>
        <v>6506</v>
      </c>
      <c r="R6" s="110">
        <f t="shared" si="4"/>
        <v>6332</v>
      </c>
      <c r="S6" s="110">
        <f t="shared" si="4"/>
        <v>6280</v>
      </c>
      <c r="T6" s="110">
        <f t="shared" si="4"/>
        <v>6197</v>
      </c>
      <c r="U6" s="110">
        <f t="shared" si="4"/>
        <v>6174</v>
      </c>
      <c r="V6" s="110">
        <f t="shared" si="4"/>
        <v>3940</v>
      </c>
      <c r="W6" s="110">
        <f t="shared" ref="W6" si="5">SUM(W7:W8)</f>
        <v>4181</v>
      </c>
      <c r="DA6" s="176" t="s">
        <v>377</v>
      </c>
    </row>
    <row r="7" spans="1:105" ht="11.45" customHeight="1" x14ac:dyDescent="0.25">
      <c r="A7" s="111" t="s">
        <v>90</v>
      </c>
      <c r="B7" s="84">
        <v>2742.5890375844979</v>
      </c>
      <c r="C7" s="84">
        <v>2771.6385414223446</v>
      </c>
      <c r="D7" s="84">
        <v>2749.1419191673053</v>
      </c>
      <c r="E7" s="84">
        <v>2877.171417804303</v>
      </c>
      <c r="F7" s="84">
        <v>2910.6965348766025</v>
      </c>
      <c r="G7" s="84">
        <v>3296.2075414999422</v>
      </c>
      <c r="H7" s="84">
        <v>3444.7318668962148</v>
      </c>
      <c r="I7" s="84">
        <v>3458.8108576939867</v>
      </c>
      <c r="J7" s="84">
        <v>3567.5428980362976</v>
      </c>
      <c r="K7" s="84">
        <v>3427.8735391486184</v>
      </c>
      <c r="L7" s="84">
        <v>3515.5049732508933</v>
      </c>
      <c r="M7" s="84">
        <v>3600.5094862421361</v>
      </c>
      <c r="N7" s="84">
        <v>3720.4217363246385</v>
      </c>
      <c r="O7" s="84">
        <v>3793.9574371950271</v>
      </c>
      <c r="P7" s="84">
        <v>3812.121050574689</v>
      </c>
      <c r="Q7" s="84">
        <v>3757.0884778713416</v>
      </c>
      <c r="R7" s="84">
        <v>3637.6464687144748</v>
      </c>
      <c r="S7" s="84">
        <v>3606.8400003035504</v>
      </c>
      <c r="T7" s="84">
        <v>3105.9091181736721</v>
      </c>
      <c r="U7" s="84">
        <v>3092.1005438033362</v>
      </c>
      <c r="V7" s="84">
        <v>1958.2929991429862</v>
      </c>
      <c r="W7" s="84">
        <v>1890.5834659246591</v>
      </c>
      <c r="DA7" s="171" t="s">
        <v>1029</v>
      </c>
    </row>
    <row r="8" spans="1:105" ht="11.45" customHeight="1" x14ac:dyDescent="0.25">
      <c r="A8" s="111" t="s">
        <v>93</v>
      </c>
      <c r="B8" s="84">
        <v>2794.4109624155021</v>
      </c>
      <c r="C8" s="84">
        <v>2949.3614585776554</v>
      </c>
      <c r="D8" s="84">
        <v>2995.8580808326947</v>
      </c>
      <c r="E8" s="84">
        <v>2948.828582195697</v>
      </c>
      <c r="F8" s="84">
        <v>3035.3034651233975</v>
      </c>
      <c r="G8" s="84">
        <v>2677.7924585000578</v>
      </c>
      <c r="H8" s="84">
        <v>2665.2681331037852</v>
      </c>
      <c r="I8" s="84">
        <v>2717.1891423060133</v>
      </c>
      <c r="J8" s="84">
        <v>2712.4571019637024</v>
      </c>
      <c r="K8" s="84">
        <v>2724.1264608513816</v>
      </c>
      <c r="L8" s="84">
        <v>2822.4950267491067</v>
      </c>
      <c r="M8" s="84">
        <v>2764.4905137578639</v>
      </c>
      <c r="N8" s="84">
        <v>2796.5782636753615</v>
      </c>
      <c r="O8" s="84">
        <v>2757.0425628049729</v>
      </c>
      <c r="P8" s="84">
        <v>2700.878949425311</v>
      </c>
      <c r="Q8" s="84">
        <v>2748.9115221286584</v>
      </c>
      <c r="R8" s="84">
        <v>2694.3535312855252</v>
      </c>
      <c r="S8" s="84">
        <v>2673.1599996964496</v>
      </c>
      <c r="T8" s="84">
        <v>3091.0908818263279</v>
      </c>
      <c r="U8" s="84">
        <v>3081.8994561966638</v>
      </c>
      <c r="V8" s="84">
        <v>1981.7070008570138</v>
      </c>
      <c r="W8" s="84">
        <v>2290.4165340753407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2025</v>
      </c>
      <c r="C10" s="28">
        <f t="shared" ref="C10:V10" si="7">SUM(C11:C12)</f>
        <v>2091</v>
      </c>
      <c r="D10" s="28">
        <f t="shared" si="7"/>
        <v>1877</v>
      </c>
      <c r="E10" s="28">
        <f t="shared" si="7"/>
        <v>1985</v>
      </c>
      <c r="F10" s="28">
        <f t="shared" si="7"/>
        <v>2321</v>
      </c>
      <c r="G10" s="28">
        <f t="shared" si="7"/>
        <v>1976</v>
      </c>
      <c r="H10" s="28">
        <f t="shared" si="7"/>
        <v>1892</v>
      </c>
      <c r="I10" s="28">
        <f t="shared" si="7"/>
        <v>1779</v>
      </c>
      <c r="J10" s="28">
        <f t="shared" si="7"/>
        <v>1866</v>
      </c>
      <c r="K10" s="28">
        <f t="shared" si="7"/>
        <v>1700</v>
      </c>
      <c r="L10" s="28">
        <f t="shared" si="7"/>
        <v>2239</v>
      </c>
      <c r="M10" s="28">
        <f t="shared" si="7"/>
        <v>2614</v>
      </c>
      <c r="N10" s="28">
        <f t="shared" si="7"/>
        <v>2278</v>
      </c>
      <c r="O10" s="28">
        <f t="shared" si="7"/>
        <v>2449</v>
      </c>
      <c r="P10" s="28">
        <f t="shared" si="7"/>
        <v>2453</v>
      </c>
      <c r="Q10" s="28">
        <f t="shared" si="7"/>
        <v>2603</v>
      </c>
      <c r="R10" s="28">
        <f t="shared" si="7"/>
        <v>2616</v>
      </c>
      <c r="S10" s="28">
        <f t="shared" si="7"/>
        <v>2653</v>
      </c>
      <c r="T10" s="28">
        <f t="shared" si="7"/>
        <v>2594</v>
      </c>
      <c r="U10" s="28">
        <f t="shared" si="7"/>
        <v>2525</v>
      </c>
      <c r="V10" s="28">
        <f t="shared" si="7"/>
        <v>2450</v>
      </c>
      <c r="W10" s="28">
        <f t="shared" ref="W10" si="8">SUM(W11:W12)</f>
        <v>1986</v>
      </c>
      <c r="DA10" s="173" t="s">
        <v>383</v>
      </c>
    </row>
    <row r="11" spans="1:105" ht="11.45" customHeight="1" x14ac:dyDescent="0.25">
      <c r="A11" s="83" t="s">
        <v>90</v>
      </c>
      <c r="B11" s="84">
        <v>1139.1645886932861</v>
      </c>
      <c r="C11" s="84">
        <v>1152.6621812793846</v>
      </c>
      <c r="D11" s="84">
        <v>1021.113714246211</v>
      </c>
      <c r="E11" s="84">
        <v>1099.00977187791</v>
      </c>
      <c r="F11" s="84">
        <v>1262.0776347750236</v>
      </c>
      <c r="G11" s="84">
        <v>1092.7403352167657</v>
      </c>
      <c r="H11" s="84">
        <v>1041.3286813556754</v>
      </c>
      <c r="I11" s="84">
        <v>994.49673932311327</v>
      </c>
      <c r="J11" s="84">
        <v>1037.5318271705501</v>
      </c>
      <c r="K11" s="84">
        <v>925.93679424963727</v>
      </c>
      <c r="L11" s="84">
        <v>1230.6337742366538</v>
      </c>
      <c r="M11" s="84">
        <v>1454.6343342639491</v>
      </c>
      <c r="N11" s="84">
        <v>1278.5769852061269</v>
      </c>
      <c r="O11" s="84">
        <v>1368.7099742568516</v>
      </c>
      <c r="P11" s="84">
        <v>1381.5721302041459</v>
      </c>
      <c r="Q11" s="84">
        <v>1446.3446116886946</v>
      </c>
      <c r="R11" s="84">
        <v>1441.7434018661429</v>
      </c>
      <c r="S11" s="84">
        <v>1456.1122562791415</v>
      </c>
      <c r="T11" s="84">
        <v>1391.9097946399918</v>
      </c>
      <c r="U11" s="84">
        <v>1345.0857804515936</v>
      </c>
      <c r="V11" s="84">
        <v>1238.4287786157033</v>
      </c>
      <c r="W11" s="84">
        <v>958.12025653428975</v>
      </c>
      <c r="DA11" s="171" t="s">
        <v>1031</v>
      </c>
    </row>
    <row r="12" spans="1:105" ht="11.45" customHeight="1" x14ac:dyDescent="0.25">
      <c r="A12" s="85" t="s">
        <v>93</v>
      </c>
      <c r="B12" s="86">
        <v>885.83541130671392</v>
      </c>
      <c r="C12" s="86">
        <v>938.33781872061536</v>
      </c>
      <c r="D12" s="86">
        <v>855.88628575378902</v>
      </c>
      <c r="E12" s="86">
        <v>885.99022812209</v>
      </c>
      <c r="F12" s="86">
        <v>1058.9223652249764</v>
      </c>
      <c r="G12" s="86">
        <v>883.25966478323426</v>
      </c>
      <c r="H12" s="86">
        <v>850.67131864432463</v>
      </c>
      <c r="I12" s="86">
        <v>784.50326067688673</v>
      </c>
      <c r="J12" s="86">
        <v>828.46817282944994</v>
      </c>
      <c r="K12" s="86">
        <v>774.06320575036273</v>
      </c>
      <c r="L12" s="86">
        <v>1008.3662257633462</v>
      </c>
      <c r="M12" s="86">
        <v>1159.3656657360509</v>
      </c>
      <c r="N12" s="86">
        <v>999.42301479387311</v>
      </c>
      <c r="O12" s="86">
        <v>1080.2900257431484</v>
      </c>
      <c r="P12" s="86">
        <v>1071.4278697958541</v>
      </c>
      <c r="Q12" s="86">
        <v>1156.6553883113054</v>
      </c>
      <c r="R12" s="86">
        <v>1174.2565981338571</v>
      </c>
      <c r="S12" s="86">
        <v>1196.8877437208585</v>
      </c>
      <c r="T12" s="86">
        <v>1202.0902053600082</v>
      </c>
      <c r="U12" s="86">
        <v>1179.9142195484064</v>
      </c>
      <c r="V12" s="86">
        <v>1211.5712213842967</v>
      </c>
      <c r="W12" s="86">
        <v>1027.8797434657104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46.18577916199925</v>
      </c>
      <c r="C14" s="62">
        <f t="shared" ref="C14:V14" si="10">C15+C21</f>
        <v>45.373328588182915</v>
      </c>
      <c r="D14" s="62">
        <f t="shared" si="10"/>
        <v>47.796082899242428</v>
      </c>
      <c r="E14" s="62">
        <f t="shared" si="10"/>
        <v>49.759768005353507</v>
      </c>
      <c r="F14" s="62">
        <f t="shared" si="10"/>
        <v>51.645900966136452</v>
      </c>
      <c r="G14" s="62">
        <f t="shared" si="10"/>
        <v>56.232144382164286</v>
      </c>
      <c r="H14" s="62">
        <f t="shared" si="10"/>
        <v>56.782214797928695</v>
      </c>
      <c r="I14" s="62">
        <f t="shared" si="10"/>
        <v>55.615660344449346</v>
      </c>
      <c r="J14" s="62">
        <f t="shared" si="10"/>
        <v>59.624857391717143</v>
      </c>
      <c r="K14" s="62">
        <f t="shared" si="10"/>
        <v>61.961576902030323</v>
      </c>
      <c r="L14" s="62">
        <f t="shared" si="10"/>
        <v>64.586080495015523</v>
      </c>
      <c r="M14" s="62">
        <f t="shared" si="10"/>
        <v>66.10018605624451</v>
      </c>
      <c r="N14" s="62">
        <f t="shared" si="10"/>
        <v>65.863844478643244</v>
      </c>
      <c r="O14" s="62">
        <f t="shared" si="10"/>
        <v>67.349767637434383</v>
      </c>
      <c r="P14" s="62">
        <f t="shared" si="10"/>
        <v>69.557947607743813</v>
      </c>
      <c r="Q14" s="62">
        <f t="shared" si="10"/>
        <v>70.921276703639009</v>
      </c>
      <c r="R14" s="62">
        <f t="shared" si="10"/>
        <v>74.041095810116573</v>
      </c>
      <c r="S14" s="62">
        <f t="shared" si="10"/>
        <v>73.132552947437887</v>
      </c>
      <c r="T14" s="62">
        <f t="shared" si="10"/>
        <v>70.526712386243034</v>
      </c>
      <c r="U14" s="62">
        <f t="shared" si="10"/>
        <v>73.149097690381666</v>
      </c>
      <c r="V14" s="62">
        <f t="shared" si="10"/>
        <v>69.444140085561031</v>
      </c>
      <c r="W14" s="62">
        <f t="shared" ref="W14" si="11">W15+W21</f>
        <v>70.327720873188966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42.549986100717717</v>
      </c>
      <c r="C15" s="29">
        <f t="shared" ref="C15:V15" si="13">SUM(C16,C17,C20)</f>
        <v>41.745054480679819</v>
      </c>
      <c r="D15" s="29">
        <f t="shared" si="13"/>
        <v>44.4809111597027</v>
      </c>
      <c r="E15" s="29">
        <f t="shared" si="13"/>
        <v>46.335795547941181</v>
      </c>
      <c r="F15" s="29">
        <f t="shared" si="13"/>
        <v>47.611716929199417</v>
      </c>
      <c r="G15" s="29">
        <f t="shared" si="13"/>
        <v>52.427594295334593</v>
      </c>
      <c r="H15" s="29">
        <f t="shared" si="13"/>
        <v>53.344439174338341</v>
      </c>
      <c r="I15" s="29">
        <f t="shared" si="13"/>
        <v>52.462542555483829</v>
      </c>
      <c r="J15" s="29">
        <f t="shared" si="13"/>
        <v>55.91018494916203</v>
      </c>
      <c r="K15" s="29">
        <f t="shared" si="13"/>
        <v>58.762557092552115</v>
      </c>
      <c r="L15" s="29">
        <f t="shared" si="13"/>
        <v>60.484232661618265</v>
      </c>
      <c r="M15" s="29">
        <f t="shared" si="13"/>
        <v>61.458080743808978</v>
      </c>
      <c r="N15" s="29">
        <f t="shared" si="13"/>
        <v>61.893334095953286</v>
      </c>
      <c r="O15" s="29">
        <f t="shared" si="13"/>
        <v>63.215855863424629</v>
      </c>
      <c r="P15" s="29">
        <f t="shared" si="13"/>
        <v>65.276119295560051</v>
      </c>
      <c r="Q15" s="29">
        <f t="shared" si="13"/>
        <v>66.111031650567114</v>
      </c>
      <c r="R15" s="29">
        <f t="shared" si="13"/>
        <v>68.878077682291675</v>
      </c>
      <c r="S15" s="29">
        <f t="shared" si="13"/>
        <v>68.648974181892768</v>
      </c>
      <c r="T15" s="29">
        <f t="shared" si="13"/>
        <v>66.201024759638869</v>
      </c>
      <c r="U15" s="29">
        <f t="shared" si="13"/>
        <v>69.303837265816625</v>
      </c>
      <c r="V15" s="29">
        <f t="shared" si="13"/>
        <v>64.878946725302711</v>
      </c>
      <c r="W15" s="29">
        <f t="shared" ref="W15" si="14">SUM(W16,W17,W20)</f>
        <v>66.429400161263004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0.10908413559359739</v>
      </c>
      <c r="E16" s="115">
        <v>0.83780320579400025</v>
      </c>
      <c r="F16" s="115">
        <v>1.6005792588303289</v>
      </c>
      <c r="G16" s="115">
        <v>2.0490644496682529</v>
      </c>
      <c r="H16" s="115">
        <v>2.0736759447282345</v>
      </c>
      <c r="I16" s="115">
        <v>2.2226043872962746</v>
      </c>
      <c r="J16" s="115">
        <v>2.4597349286155108</v>
      </c>
      <c r="K16" s="115">
        <v>2.7275202060646642</v>
      </c>
      <c r="L16" s="115">
        <v>3.0176847117873735</v>
      </c>
      <c r="M16" s="115">
        <v>3.5186271166982261</v>
      </c>
      <c r="N16" s="115">
        <v>3.4404009999056528</v>
      </c>
      <c r="O16" s="115">
        <v>3.5761700618923742</v>
      </c>
      <c r="P16" s="115">
        <v>3.7199073631106705</v>
      </c>
      <c r="Q16" s="115">
        <v>3.7961519512134667</v>
      </c>
      <c r="R16" s="115">
        <v>4.0527779980175813</v>
      </c>
      <c r="S16" s="115">
        <v>4.2923174838272837</v>
      </c>
      <c r="T16" s="115">
        <v>4.4438210237379128</v>
      </c>
      <c r="U16" s="115">
        <v>5.0817519990452329</v>
      </c>
      <c r="V16" s="115">
        <v>5.083382160986222</v>
      </c>
      <c r="W16" s="115">
        <v>5.1209483014792738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42.549986100717717</v>
      </c>
      <c r="C17" s="116">
        <f t="shared" ref="C17:V17" si="16">SUM(C18:C19)</f>
        <v>41.745054480679819</v>
      </c>
      <c r="D17" s="116">
        <f t="shared" si="16"/>
        <v>44.371827024109102</v>
      </c>
      <c r="E17" s="116">
        <f t="shared" si="16"/>
        <v>45.497992342147178</v>
      </c>
      <c r="F17" s="116">
        <f t="shared" si="16"/>
        <v>46.011137670369088</v>
      </c>
      <c r="G17" s="116">
        <f t="shared" si="16"/>
        <v>50.378529845666343</v>
      </c>
      <c r="H17" s="116">
        <f t="shared" si="16"/>
        <v>51.270763229610104</v>
      </c>
      <c r="I17" s="116">
        <f t="shared" si="16"/>
        <v>50.239938168187557</v>
      </c>
      <c r="J17" s="116">
        <f t="shared" si="16"/>
        <v>53.450450020546519</v>
      </c>
      <c r="K17" s="116">
        <f t="shared" si="16"/>
        <v>56.035036886487454</v>
      </c>
      <c r="L17" s="116">
        <f t="shared" si="16"/>
        <v>57.46654794983089</v>
      </c>
      <c r="M17" s="116">
        <f t="shared" si="16"/>
        <v>57.939453627110751</v>
      </c>
      <c r="N17" s="116">
        <f t="shared" si="16"/>
        <v>58.45293309604763</v>
      </c>
      <c r="O17" s="116">
        <f t="shared" si="16"/>
        <v>59.639685801532252</v>
      </c>
      <c r="P17" s="116">
        <f t="shared" si="16"/>
        <v>61.556211932449379</v>
      </c>
      <c r="Q17" s="116">
        <f t="shared" si="16"/>
        <v>62.314879699353654</v>
      </c>
      <c r="R17" s="116">
        <f t="shared" si="16"/>
        <v>64.8252996842741</v>
      </c>
      <c r="S17" s="116">
        <f t="shared" si="16"/>
        <v>64.356656698065478</v>
      </c>
      <c r="T17" s="116">
        <f t="shared" si="16"/>
        <v>61.757203735900951</v>
      </c>
      <c r="U17" s="116">
        <f t="shared" si="16"/>
        <v>64.222085266771387</v>
      </c>
      <c r="V17" s="116">
        <f t="shared" si="16"/>
        <v>59.795564564316493</v>
      </c>
      <c r="W17" s="116">
        <f t="shared" ref="W17" si="17">SUM(W18:W19)</f>
        <v>61.308451859783723</v>
      </c>
      <c r="DA17" s="176" t="s">
        <v>1036</v>
      </c>
    </row>
    <row r="18" spans="1:105" ht="11.45" customHeight="1" x14ac:dyDescent="0.25">
      <c r="A18" s="111" t="s">
        <v>92</v>
      </c>
      <c r="B18" s="87">
        <v>23.649889405758394</v>
      </c>
      <c r="C18" s="87">
        <v>22.571872495505719</v>
      </c>
      <c r="D18" s="87">
        <v>23.67172925688029</v>
      </c>
      <c r="E18" s="87">
        <v>25.768467724150863</v>
      </c>
      <c r="F18" s="87">
        <v>25.774636640729856</v>
      </c>
      <c r="G18" s="87">
        <v>29.551714430961997</v>
      </c>
      <c r="H18" s="87">
        <v>29.562464570075182</v>
      </c>
      <c r="I18" s="87">
        <v>29.74313590473918</v>
      </c>
      <c r="J18" s="87">
        <v>31.774361957499238</v>
      </c>
      <c r="K18" s="87">
        <v>32.234408236048154</v>
      </c>
      <c r="L18" s="87">
        <v>33.631589423077685</v>
      </c>
      <c r="M18" s="87">
        <v>34.295906028543655</v>
      </c>
      <c r="N18" s="87">
        <v>35.69301233998597</v>
      </c>
      <c r="O18" s="87">
        <v>35.982870024192401</v>
      </c>
      <c r="P18" s="87">
        <v>38.318947708332132</v>
      </c>
      <c r="Q18" s="87">
        <v>38.549576391392407</v>
      </c>
      <c r="R18" s="87">
        <v>39.880422513556752</v>
      </c>
      <c r="S18" s="87">
        <v>39.194662560217331</v>
      </c>
      <c r="T18" s="87">
        <v>36.728637483990489</v>
      </c>
      <c r="U18" s="87">
        <v>37.906617072181213</v>
      </c>
      <c r="V18" s="87">
        <v>33.711972344108766</v>
      </c>
      <c r="W18" s="87">
        <v>32.658909650675945</v>
      </c>
      <c r="DA18" s="171" t="s">
        <v>1037</v>
      </c>
    </row>
    <row r="19" spans="1:105" ht="11.45" customHeight="1" x14ac:dyDescent="0.25">
      <c r="A19" s="111" t="s">
        <v>93</v>
      </c>
      <c r="B19" s="87">
        <v>18.900096694959323</v>
      </c>
      <c r="C19" s="87">
        <v>19.1731819851741</v>
      </c>
      <c r="D19" s="87">
        <v>20.700097767228812</v>
      </c>
      <c r="E19" s="87">
        <v>19.729524617996315</v>
      </c>
      <c r="F19" s="87">
        <v>20.236501029639232</v>
      </c>
      <c r="G19" s="87">
        <v>20.826815414704345</v>
      </c>
      <c r="H19" s="87">
        <v>21.708298659534922</v>
      </c>
      <c r="I19" s="87">
        <v>20.496802263448377</v>
      </c>
      <c r="J19" s="87">
        <v>21.676088063047281</v>
      </c>
      <c r="K19" s="87">
        <v>23.8006286504393</v>
      </c>
      <c r="L19" s="87">
        <v>23.834958526753205</v>
      </c>
      <c r="M19" s="87">
        <v>23.643547598567096</v>
      </c>
      <c r="N19" s="87">
        <v>22.759920756061661</v>
      </c>
      <c r="O19" s="87">
        <v>23.656815777339851</v>
      </c>
      <c r="P19" s="87">
        <v>23.237264224117247</v>
      </c>
      <c r="Q19" s="87">
        <v>23.765303307961247</v>
      </c>
      <c r="R19" s="87">
        <v>24.944877170717348</v>
      </c>
      <c r="S19" s="87">
        <v>25.161994137848147</v>
      </c>
      <c r="T19" s="87">
        <v>25.028566251910462</v>
      </c>
      <c r="U19" s="87">
        <v>26.315468194590174</v>
      </c>
      <c r="V19" s="87">
        <v>26.083592220207731</v>
      </c>
      <c r="W19" s="87">
        <v>28.649542209107778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3.6357930612815341</v>
      </c>
      <c r="C21" s="29">
        <f t="shared" ref="C21:V21" si="19">SUM(C22:C23)</f>
        <v>3.6282741075030964</v>
      </c>
      <c r="D21" s="29">
        <f t="shared" si="19"/>
        <v>3.3151717395397311</v>
      </c>
      <c r="E21" s="29">
        <f t="shared" si="19"/>
        <v>3.4239724574123236</v>
      </c>
      <c r="F21" s="29">
        <f t="shared" si="19"/>
        <v>4.0341840369370328</v>
      </c>
      <c r="G21" s="29">
        <f t="shared" si="19"/>
        <v>3.804550086829694</v>
      </c>
      <c r="H21" s="29">
        <f t="shared" si="19"/>
        <v>3.437775623590352</v>
      </c>
      <c r="I21" s="29">
        <f t="shared" si="19"/>
        <v>3.1531177889655182</v>
      </c>
      <c r="J21" s="29">
        <f t="shared" si="19"/>
        <v>3.7146724425551119</v>
      </c>
      <c r="K21" s="29">
        <f t="shared" si="19"/>
        <v>3.1990198094782105</v>
      </c>
      <c r="L21" s="29">
        <f t="shared" si="19"/>
        <v>4.1018478333972617</v>
      </c>
      <c r="M21" s="29">
        <f t="shared" si="19"/>
        <v>4.6421053124355316</v>
      </c>
      <c r="N21" s="29">
        <f t="shared" si="19"/>
        <v>3.970510382689957</v>
      </c>
      <c r="O21" s="29">
        <f t="shared" si="19"/>
        <v>4.1339117740097597</v>
      </c>
      <c r="P21" s="29">
        <f t="shared" si="19"/>
        <v>4.2818283121837606</v>
      </c>
      <c r="Q21" s="29">
        <f t="shared" si="19"/>
        <v>4.8102450530718901</v>
      </c>
      <c r="R21" s="29">
        <f t="shared" si="19"/>
        <v>5.163018127824893</v>
      </c>
      <c r="S21" s="29">
        <f t="shared" si="19"/>
        <v>4.4835787655451202</v>
      </c>
      <c r="T21" s="29">
        <f t="shared" si="19"/>
        <v>4.3256876266041644</v>
      </c>
      <c r="U21" s="29">
        <f t="shared" si="19"/>
        <v>3.8452604245650446</v>
      </c>
      <c r="V21" s="29">
        <f t="shared" si="19"/>
        <v>4.5651933602583235</v>
      </c>
      <c r="W21" s="29">
        <f t="shared" ref="W21" si="20">SUM(W22:W23)</f>
        <v>3.898320711925964</v>
      </c>
      <c r="DA21" s="173" t="s">
        <v>1040</v>
      </c>
    </row>
    <row r="22" spans="1:105" ht="11.45" customHeight="1" x14ac:dyDescent="0.25">
      <c r="A22" s="83" t="s">
        <v>92</v>
      </c>
      <c r="B22" s="87">
        <v>1.9554616332882206</v>
      </c>
      <c r="C22" s="87">
        <v>1.8503789737171386</v>
      </c>
      <c r="D22" s="87">
        <v>1.6673535326137632</v>
      </c>
      <c r="E22" s="87">
        <v>1.587806917355385</v>
      </c>
      <c r="F22" s="87">
        <v>1.7950823387479853</v>
      </c>
      <c r="G22" s="87">
        <v>1.6409690824887564</v>
      </c>
      <c r="H22" s="87">
        <v>1.6599946664318317</v>
      </c>
      <c r="I22" s="87">
        <v>1.4971999408526939</v>
      </c>
      <c r="J22" s="87">
        <v>1.5172899873879522</v>
      </c>
      <c r="K22" s="87">
        <v>1.4781342037698022</v>
      </c>
      <c r="L22" s="87">
        <v>1.9396984026976496</v>
      </c>
      <c r="M22" s="87">
        <v>2.2814063580431578</v>
      </c>
      <c r="N22" s="87">
        <v>1.8653046602973149</v>
      </c>
      <c r="O22" s="87">
        <v>1.9948597402970527</v>
      </c>
      <c r="P22" s="87">
        <v>2.2566437973099132</v>
      </c>
      <c r="Q22" s="87">
        <v>2.390034036422005</v>
      </c>
      <c r="R22" s="87">
        <v>2.4158144924193703</v>
      </c>
      <c r="S22" s="87">
        <v>2.2881038747052531</v>
      </c>
      <c r="T22" s="87">
        <v>2.0848730577044008</v>
      </c>
      <c r="U22" s="87">
        <v>1.9539394795504641</v>
      </c>
      <c r="V22" s="87">
        <v>1.8295250874492501</v>
      </c>
      <c r="W22" s="87">
        <v>1.4775434216609216</v>
      </c>
      <c r="DA22" s="171" t="s">
        <v>1041</v>
      </c>
    </row>
    <row r="23" spans="1:105" ht="11.45" customHeight="1" x14ac:dyDescent="0.25">
      <c r="A23" s="85" t="s">
        <v>93</v>
      </c>
      <c r="B23" s="88">
        <v>1.6803314279933135</v>
      </c>
      <c r="C23" s="88">
        <v>1.7778951337859576</v>
      </c>
      <c r="D23" s="88">
        <v>1.6478182069259679</v>
      </c>
      <c r="E23" s="88">
        <v>1.8361655400569385</v>
      </c>
      <c r="F23" s="88">
        <v>2.2391016981890477</v>
      </c>
      <c r="G23" s="88">
        <v>2.1635810043409376</v>
      </c>
      <c r="H23" s="88">
        <v>1.7777809571585204</v>
      </c>
      <c r="I23" s="88">
        <v>1.6559178481128243</v>
      </c>
      <c r="J23" s="88">
        <v>2.1973824551671597</v>
      </c>
      <c r="K23" s="88">
        <v>1.7208856057084083</v>
      </c>
      <c r="L23" s="88">
        <v>2.1621494306996123</v>
      </c>
      <c r="M23" s="88">
        <v>2.3606989543923738</v>
      </c>
      <c r="N23" s="88">
        <v>2.1052057223926424</v>
      </c>
      <c r="O23" s="88">
        <v>2.1390520337127068</v>
      </c>
      <c r="P23" s="88">
        <v>2.0251845148738474</v>
      </c>
      <c r="Q23" s="88">
        <v>2.4202110166498851</v>
      </c>
      <c r="R23" s="88">
        <v>2.7472036354055227</v>
      </c>
      <c r="S23" s="88">
        <v>2.1954748908398671</v>
      </c>
      <c r="T23" s="88">
        <v>2.2408145688997636</v>
      </c>
      <c r="U23" s="88">
        <v>1.8913209450145805</v>
      </c>
      <c r="V23" s="88">
        <v>2.7356682728090735</v>
      </c>
      <c r="W23" s="88">
        <v>2.4207772902650424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301.84554199999997</v>
      </c>
      <c r="C25" s="62">
        <f t="shared" ref="C25:V25" si="22">C26+C32</f>
        <v>296.44173499999999</v>
      </c>
      <c r="D25" s="62">
        <f t="shared" si="22"/>
        <v>313.37971499999998</v>
      </c>
      <c r="E25" s="62">
        <f t="shared" si="22"/>
        <v>328.05620600000003</v>
      </c>
      <c r="F25" s="62">
        <f t="shared" si="22"/>
        <v>341.46256</v>
      </c>
      <c r="G25" s="62">
        <f t="shared" si="22"/>
        <v>373.50747799999999</v>
      </c>
      <c r="H25" s="62">
        <f t="shared" si="22"/>
        <v>378.93440500000003</v>
      </c>
      <c r="I25" s="62">
        <f t="shared" si="22"/>
        <v>371.76199300000002</v>
      </c>
      <c r="J25" s="62">
        <f t="shared" si="22"/>
        <v>397.27092399999992</v>
      </c>
      <c r="K25" s="62">
        <f t="shared" si="22"/>
        <v>415.89997199999999</v>
      </c>
      <c r="L25" s="62">
        <f t="shared" si="22"/>
        <v>431.05305999999996</v>
      </c>
      <c r="M25" s="62">
        <f t="shared" si="22"/>
        <v>441.461072</v>
      </c>
      <c r="N25" s="62">
        <f t="shared" si="22"/>
        <v>443.06637400000005</v>
      </c>
      <c r="O25" s="62">
        <f t="shared" si="22"/>
        <v>450.77810399999993</v>
      </c>
      <c r="P25" s="62">
        <f t="shared" si="22"/>
        <v>465.60122899999999</v>
      </c>
      <c r="Q25" s="62">
        <f t="shared" si="22"/>
        <v>473.99423200000001</v>
      </c>
      <c r="R25" s="62">
        <f t="shared" si="22"/>
        <v>494.82719500000002</v>
      </c>
      <c r="S25" s="62">
        <f t="shared" si="22"/>
        <v>492.40182199999998</v>
      </c>
      <c r="T25" s="62">
        <f t="shared" si="22"/>
        <v>475.30511900000005</v>
      </c>
      <c r="U25" s="62">
        <f t="shared" si="22"/>
        <v>495.33020400000004</v>
      </c>
      <c r="V25" s="62">
        <f t="shared" si="22"/>
        <v>479.87333699999994</v>
      </c>
      <c r="W25" s="62">
        <f t="shared" ref="W25" si="23">W26+W32</f>
        <v>479.736693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283.66657499999997</v>
      </c>
      <c r="C26" s="29">
        <f t="shared" ref="C26:V26" si="25">SUM(C27,C28,C31)</f>
        <v>278.300364</v>
      </c>
      <c r="D26" s="29">
        <f t="shared" si="25"/>
        <v>296.803855</v>
      </c>
      <c r="E26" s="29">
        <f t="shared" si="25"/>
        <v>310.93634300000002</v>
      </c>
      <c r="F26" s="29">
        <f t="shared" si="25"/>
        <v>321.29163899999998</v>
      </c>
      <c r="G26" s="29">
        <f t="shared" si="25"/>
        <v>354.48472599999997</v>
      </c>
      <c r="H26" s="29">
        <f t="shared" si="25"/>
        <v>360.65669000000003</v>
      </c>
      <c r="I26" s="29">
        <f t="shared" si="25"/>
        <v>355.138417</v>
      </c>
      <c r="J26" s="29">
        <f t="shared" si="25"/>
        <v>378.69756099999995</v>
      </c>
      <c r="K26" s="29">
        <f t="shared" si="25"/>
        <v>398.36255199999999</v>
      </c>
      <c r="L26" s="29">
        <f t="shared" si="25"/>
        <v>410.54381899999998</v>
      </c>
      <c r="M26" s="29">
        <f t="shared" si="25"/>
        <v>418.25054499999999</v>
      </c>
      <c r="N26" s="29">
        <f t="shared" si="25"/>
        <v>421.67374200000006</v>
      </c>
      <c r="O26" s="29">
        <f t="shared" si="25"/>
        <v>430.10854399999994</v>
      </c>
      <c r="P26" s="29">
        <f t="shared" si="25"/>
        <v>444.19208700000001</v>
      </c>
      <c r="Q26" s="29">
        <f t="shared" si="25"/>
        <v>449.94300500000003</v>
      </c>
      <c r="R26" s="29">
        <f t="shared" si="25"/>
        <v>469.01210300000002</v>
      </c>
      <c r="S26" s="29">
        <f t="shared" si="25"/>
        <v>468.065448</v>
      </c>
      <c r="T26" s="29">
        <f t="shared" si="25"/>
        <v>452.78664000000003</v>
      </c>
      <c r="U26" s="29">
        <f t="shared" si="25"/>
        <v>474.34498200000002</v>
      </c>
      <c r="V26" s="29">
        <f t="shared" si="25"/>
        <v>457.04736899999995</v>
      </c>
      <c r="W26" s="29">
        <f t="shared" ref="W26" si="26">SUM(W27,W28,W31)</f>
        <v>458.72861999999998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0.99167400000000006</v>
      </c>
      <c r="E27" s="115">
        <v>7.6163930000000004</v>
      </c>
      <c r="F27" s="115">
        <v>14.550720999999999</v>
      </c>
      <c r="G27" s="115">
        <v>18.627859000000001</v>
      </c>
      <c r="H27" s="115">
        <v>18.851600000000001</v>
      </c>
      <c r="I27" s="115">
        <v>20.205495000000003</v>
      </c>
      <c r="J27" s="115">
        <v>22.361227</v>
      </c>
      <c r="K27" s="115">
        <v>24.795639000000001</v>
      </c>
      <c r="L27" s="115">
        <v>27.433498</v>
      </c>
      <c r="M27" s="115">
        <v>31.98752</v>
      </c>
      <c r="N27" s="115">
        <v>31.98752</v>
      </c>
      <c r="O27" s="115">
        <v>32.510636999999996</v>
      </c>
      <c r="P27" s="115">
        <v>33.817339999999994</v>
      </c>
      <c r="Q27" s="115">
        <v>34.510472999999998</v>
      </c>
      <c r="R27" s="115">
        <v>36.843436999999994</v>
      </c>
      <c r="S27" s="115">
        <v>39.021068999999997</v>
      </c>
      <c r="T27" s="115">
        <v>40.398372999999999</v>
      </c>
      <c r="U27" s="115">
        <v>46.197745999999995</v>
      </c>
      <c r="V27" s="115">
        <v>46.212565999999995</v>
      </c>
      <c r="W27" s="115">
        <v>46.554075999999995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283.66657499999997</v>
      </c>
      <c r="C28" s="116">
        <f t="shared" ref="C28:V28" si="28">SUM(C29:C30)</f>
        <v>278.300364</v>
      </c>
      <c r="D28" s="116">
        <f t="shared" si="28"/>
        <v>295.81218100000001</v>
      </c>
      <c r="E28" s="116">
        <f t="shared" si="28"/>
        <v>303.31995000000001</v>
      </c>
      <c r="F28" s="116">
        <f t="shared" si="28"/>
        <v>306.74091799999997</v>
      </c>
      <c r="G28" s="116">
        <f t="shared" si="28"/>
        <v>335.85686699999997</v>
      </c>
      <c r="H28" s="116">
        <f t="shared" si="28"/>
        <v>341.80509000000001</v>
      </c>
      <c r="I28" s="116">
        <f t="shared" si="28"/>
        <v>334.93292200000002</v>
      </c>
      <c r="J28" s="116">
        <f t="shared" si="28"/>
        <v>356.33633399999997</v>
      </c>
      <c r="K28" s="116">
        <f t="shared" si="28"/>
        <v>373.566913</v>
      </c>
      <c r="L28" s="116">
        <f t="shared" si="28"/>
        <v>383.110321</v>
      </c>
      <c r="M28" s="116">
        <f t="shared" si="28"/>
        <v>386.26302499999997</v>
      </c>
      <c r="N28" s="116">
        <f t="shared" si="28"/>
        <v>389.68622200000004</v>
      </c>
      <c r="O28" s="116">
        <f t="shared" si="28"/>
        <v>397.59790699999996</v>
      </c>
      <c r="P28" s="116">
        <f t="shared" si="28"/>
        <v>410.37474700000001</v>
      </c>
      <c r="Q28" s="116">
        <f t="shared" si="28"/>
        <v>415.43253200000004</v>
      </c>
      <c r="R28" s="116">
        <f t="shared" si="28"/>
        <v>432.16866600000003</v>
      </c>
      <c r="S28" s="116">
        <f t="shared" si="28"/>
        <v>429.04437899999999</v>
      </c>
      <c r="T28" s="116">
        <f t="shared" si="28"/>
        <v>412.38826700000004</v>
      </c>
      <c r="U28" s="116">
        <f t="shared" si="28"/>
        <v>428.14723600000002</v>
      </c>
      <c r="V28" s="116">
        <f t="shared" si="28"/>
        <v>410.83480299999997</v>
      </c>
      <c r="W28" s="116">
        <f t="shared" ref="W28" si="29">SUM(W29:W30)</f>
        <v>412.17454399999997</v>
      </c>
      <c r="DA28" s="176" t="s">
        <v>1046</v>
      </c>
    </row>
    <row r="29" spans="1:105" ht="11.45" customHeight="1" x14ac:dyDescent="0.25">
      <c r="A29" s="111" t="s">
        <v>92</v>
      </c>
      <c r="B29" s="87">
        <v>157.66593</v>
      </c>
      <c r="C29" s="87">
        <v>150.47915</v>
      </c>
      <c r="D29" s="87">
        <v>157.81152900000001</v>
      </c>
      <c r="E29" s="87">
        <v>171.78978499999999</v>
      </c>
      <c r="F29" s="87">
        <v>171.83091099999999</v>
      </c>
      <c r="G29" s="87">
        <v>197.01142999999999</v>
      </c>
      <c r="H29" s="87">
        <v>197.08309800000001</v>
      </c>
      <c r="I29" s="87">
        <v>198.28757300000001</v>
      </c>
      <c r="J29" s="87">
        <v>211.82908</v>
      </c>
      <c r="K29" s="87">
        <v>214.89605499999999</v>
      </c>
      <c r="L29" s="87">
        <v>224.21059700000001</v>
      </c>
      <c r="M29" s="87">
        <v>228.639374</v>
      </c>
      <c r="N29" s="87">
        <v>237.953416</v>
      </c>
      <c r="O29" s="87">
        <v>239.88580099999999</v>
      </c>
      <c r="P29" s="87">
        <v>255.45965200000001</v>
      </c>
      <c r="Q29" s="87">
        <v>256.99717600000002</v>
      </c>
      <c r="R29" s="87">
        <v>265.869484</v>
      </c>
      <c r="S29" s="87">
        <v>261.29775100000001</v>
      </c>
      <c r="T29" s="87">
        <v>245.531158</v>
      </c>
      <c r="U29" s="87">
        <v>252.710781</v>
      </c>
      <c r="V29" s="87">
        <v>236.944188</v>
      </c>
      <c r="W29" s="87">
        <v>221.177595</v>
      </c>
      <c r="DA29" s="171" t="s">
        <v>1047</v>
      </c>
    </row>
    <row r="30" spans="1:105" ht="11.45" customHeight="1" x14ac:dyDescent="0.25">
      <c r="A30" s="111" t="s">
        <v>93</v>
      </c>
      <c r="B30" s="87">
        <v>126.00064499999999</v>
      </c>
      <c r="C30" s="87">
        <v>127.821214</v>
      </c>
      <c r="D30" s="87">
        <v>138.000652</v>
      </c>
      <c r="E30" s="87">
        <v>131.53016500000001</v>
      </c>
      <c r="F30" s="87">
        <v>134.91000700000001</v>
      </c>
      <c r="G30" s="87">
        <v>138.845437</v>
      </c>
      <c r="H30" s="87">
        <v>144.721992</v>
      </c>
      <c r="I30" s="87">
        <v>136.64534900000001</v>
      </c>
      <c r="J30" s="87">
        <v>144.50725399999999</v>
      </c>
      <c r="K30" s="87">
        <v>158.67085800000001</v>
      </c>
      <c r="L30" s="87">
        <v>158.89972399999999</v>
      </c>
      <c r="M30" s="87">
        <v>157.623651</v>
      </c>
      <c r="N30" s="87">
        <v>151.73280600000001</v>
      </c>
      <c r="O30" s="87">
        <v>157.71210600000001</v>
      </c>
      <c r="P30" s="87">
        <v>154.91509500000001</v>
      </c>
      <c r="Q30" s="87">
        <v>158.43535599999998</v>
      </c>
      <c r="R30" s="87">
        <v>166.299182</v>
      </c>
      <c r="S30" s="87">
        <v>167.74662799999999</v>
      </c>
      <c r="T30" s="87">
        <v>166.85710900000001</v>
      </c>
      <c r="U30" s="87">
        <v>175.436455</v>
      </c>
      <c r="V30" s="87">
        <v>173.890615</v>
      </c>
      <c r="W30" s="87">
        <v>190.996949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18.178967</v>
      </c>
      <c r="C32" s="29">
        <f t="shared" ref="C32:V32" si="31">SUM(C33:C34)</f>
        <v>18.141370999999999</v>
      </c>
      <c r="D32" s="29">
        <f t="shared" si="31"/>
        <v>16.575859999999999</v>
      </c>
      <c r="E32" s="29">
        <f t="shared" si="31"/>
        <v>17.119863000000002</v>
      </c>
      <c r="F32" s="29">
        <f t="shared" si="31"/>
        <v>20.170921</v>
      </c>
      <c r="G32" s="29">
        <f t="shared" si="31"/>
        <v>19.022751999999997</v>
      </c>
      <c r="H32" s="29">
        <f t="shared" si="31"/>
        <v>18.277715000000001</v>
      </c>
      <c r="I32" s="29">
        <f t="shared" si="31"/>
        <v>16.623576</v>
      </c>
      <c r="J32" s="29">
        <f t="shared" si="31"/>
        <v>18.573363000000001</v>
      </c>
      <c r="K32" s="29">
        <f t="shared" si="31"/>
        <v>17.537419999999997</v>
      </c>
      <c r="L32" s="29">
        <f t="shared" si="31"/>
        <v>20.509240999999996</v>
      </c>
      <c r="M32" s="29">
        <f t="shared" si="31"/>
        <v>23.210526999999999</v>
      </c>
      <c r="N32" s="29">
        <f t="shared" si="31"/>
        <v>21.392631999999999</v>
      </c>
      <c r="O32" s="29">
        <f t="shared" si="31"/>
        <v>20.669559999999997</v>
      </c>
      <c r="P32" s="29">
        <f t="shared" si="31"/>
        <v>21.409141999999996</v>
      </c>
      <c r="Q32" s="29">
        <f t="shared" si="31"/>
        <v>24.051226999999997</v>
      </c>
      <c r="R32" s="29">
        <f t="shared" si="31"/>
        <v>25.815092</v>
      </c>
      <c r="S32" s="29">
        <f t="shared" si="31"/>
        <v>24.336373999999999</v>
      </c>
      <c r="T32" s="29">
        <f t="shared" si="31"/>
        <v>22.518478999999999</v>
      </c>
      <c r="U32" s="29">
        <f t="shared" si="31"/>
        <v>20.985222</v>
      </c>
      <c r="V32" s="29">
        <f t="shared" si="31"/>
        <v>22.825967999999996</v>
      </c>
      <c r="W32" s="29">
        <f t="shared" ref="W32" si="32">SUM(W33:W34)</f>
        <v>21.008073</v>
      </c>
      <c r="DA32" s="173" t="s">
        <v>1050</v>
      </c>
    </row>
    <row r="33" spans="1:105" ht="11.45" customHeight="1" x14ac:dyDescent="0.25">
      <c r="A33" s="83" t="s">
        <v>92</v>
      </c>
      <c r="B33" s="87">
        <v>9.7773089999999989</v>
      </c>
      <c r="C33" s="87">
        <v>9.2518949999999993</v>
      </c>
      <c r="D33" s="87">
        <v>8.3367679999999993</v>
      </c>
      <c r="E33" s="87">
        <v>7.9390350000000005</v>
      </c>
      <c r="F33" s="87">
        <v>8.9754119999999986</v>
      </c>
      <c r="G33" s="87">
        <v>8.2048459999999999</v>
      </c>
      <c r="H33" s="87">
        <v>8.2999739999999989</v>
      </c>
      <c r="I33" s="87">
        <v>7.4859999999999998</v>
      </c>
      <c r="J33" s="87">
        <v>7.5864500000000001</v>
      </c>
      <c r="K33" s="87">
        <v>7.3906720000000004</v>
      </c>
      <c r="L33" s="87">
        <v>9.6984929999999991</v>
      </c>
      <c r="M33" s="87">
        <v>11.407031999999999</v>
      </c>
      <c r="N33" s="87">
        <v>10.429302</v>
      </c>
      <c r="O33" s="87">
        <v>9.9742989999999985</v>
      </c>
      <c r="P33" s="87">
        <v>11.283218999999999</v>
      </c>
      <c r="Q33" s="87">
        <v>11.950170999999999</v>
      </c>
      <c r="R33" s="87">
        <v>12.079072999999999</v>
      </c>
      <c r="S33" s="87">
        <v>11.440519999999999</v>
      </c>
      <c r="T33" s="87">
        <v>10.46279</v>
      </c>
      <c r="U33" s="87">
        <v>9.769698</v>
      </c>
      <c r="V33" s="87">
        <v>9.1476259999999989</v>
      </c>
      <c r="W33" s="87">
        <v>8.1698959999999996</v>
      </c>
      <c r="DA33" s="171" t="s">
        <v>1051</v>
      </c>
    </row>
    <row r="34" spans="1:105" ht="11.45" customHeight="1" x14ac:dyDescent="0.25">
      <c r="A34" s="85" t="s">
        <v>93</v>
      </c>
      <c r="B34" s="88">
        <v>8.4016579999999994</v>
      </c>
      <c r="C34" s="88">
        <v>8.8894759999999984</v>
      </c>
      <c r="D34" s="88">
        <v>8.2390919999999994</v>
      </c>
      <c r="E34" s="88">
        <v>9.180828</v>
      </c>
      <c r="F34" s="88">
        <v>11.195508999999999</v>
      </c>
      <c r="G34" s="88">
        <v>10.817905999999999</v>
      </c>
      <c r="H34" s="88">
        <v>9.977741</v>
      </c>
      <c r="I34" s="88">
        <v>9.1375759999999993</v>
      </c>
      <c r="J34" s="88">
        <v>10.986912999999999</v>
      </c>
      <c r="K34" s="88">
        <v>10.146747999999999</v>
      </c>
      <c r="L34" s="88">
        <v>10.810747999999998</v>
      </c>
      <c r="M34" s="88">
        <v>11.803495</v>
      </c>
      <c r="N34" s="88">
        <v>10.963329999999999</v>
      </c>
      <c r="O34" s="88">
        <v>10.695260999999999</v>
      </c>
      <c r="P34" s="88">
        <v>10.125922999999998</v>
      </c>
      <c r="Q34" s="88">
        <v>12.101056</v>
      </c>
      <c r="R34" s="88">
        <v>13.736018999999999</v>
      </c>
      <c r="S34" s="88">
        <v>12.895854</v>
      </c>
      <c r="T34" s="88">
        <v>12.055688999999999</v>
      </c>
      <c r="U34" s="88">
        <v>11.215523999999998</v>
      </c>
      <c r="V34" s="88">
        <v>13.678341999999999</v>
      </c>
      <c r="W34" s="88">
        <v>12.838177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6.2567380000000163</v>
      </c>
      <c r="D36" s="54">
        <f t="shared" ref="D36:V36" si="34">D37+D43</f>
        <v>27.171498000000025</v>
      </c>
      <c r="E36" s="54">
        <f t="shared" si="34"/>
        <v>26.856998999999991</v>
      </c>
      <c r="F36" s="54">
        <f t="shared" si="34"/>
        <v>22.740753000000002</v>
      </c>
      <c r="G36" s="54">
        <f t="shared" si="34"/>
        <v>41.861094000000023</v>
      </c>
      <c r="H36" s="54">
        <f t="shared" si="34"/>
        <v>15.305175000000029</v>
      </c>
      <c r="I36" s="54">
        <f t="shared" si="34"/>
        <v>7.5743420000000086</v>
      </c>
      <c r="J36" s="54">
        <f t="shared" si="34"/>
        <v>34.843329999999995</v>
      </c>
      <c r="K36" s="54">
        <f t="shared" si="34"/>
        <v>28.507296000000025</v>
      </c>
      <c r="L36" s="54">
        <f t="shared" si="34"/>
        <v>24.487487000000012</v>
      </c>
      <c r="M36" s="54">
        <f t="shared" si="34"/>
        <v>19.742411000000018</v>
      </c>
      <c r="N36" s="54">
        <f t="shared" si="34"/>
        <v>14.330014000000006</v>
      </c>
      <c r="O36" s="54">
        <f t="shared" si="34"/>
        <v>17.131055999999987</v>
      </c>
      <c r="P36" s="54">
        <f t="shared" si="34"/>
        <v>24.430546000000007</v>
      </c>
      <c r="Q36" s="54">
        <f t="shared" si="34"/>
        <v>17.727401999999987</v>
      </c>
      <c r="R36" s="54">
        <f t="shared" si="34"/>
        <v>30.167361999999976</v>
      </c>
      <c r="S36" s="54">
        <f t="shared" si="34"/>
        <v>7.7213519999999818</v>
      </c>
      <c r="T36" s="54">
        <f t="shared" si="34"/>
        <v>4.1398200000000358</v>
      </c>
      <c r="U36" s="54">
        <f t="shared" si="34"/>
        <v>30.226348999999963</v>
      </c>
      <c r="V36" s="54">
        <f t="shared" si="34"/>
        <v>4.8801490000000136</v>
      </c>
      <c r="W36" s="54">
        <f t="shared" ref="W36" si="35">W37+W43</f>
        <v>21.099879000000016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5.4726040000000182</v>
      </c>
      <c r="D37" s="28">
        <f t="shared" ref="D37:V37" si="37">SUM(D38,D39,D42)</f>
        <v>27.171498000000025</v>
      </c>
      <c r="E37" s="28">
        <f t="shared" si="37"/>
        <v>25.618946999999991</v>
      </c>
      <c r="F37" s="28">
        <f t="shared" si="37"/>
        <v>19.023303000000006</v>
      </c>
      <c r="G37" s="28">
        <f t="shared" si="37"/>
        <v>41.861094000000023</v>
      </c>
      <c r="H37" s="28">
        <f t="shared" si="37"/>
        <v>14.83997100000003</v>
      </c>
      <c r="I37" s="28">
        <f t="shared" si="37"/>
        <v>7.5743420000000086</v>
      </c>
      <c r="J37" s="28">
        <f t="shared" si="37"/>
        <v>32.227150999999992</v>
      </c>
      <c r="K37" s="28">
        <f t="shared" si="37"/>
        <v>28.332998000000025</v>
      </c>
      <c r="L37" s="28">
        <f t="shared" si="37"/>
        <v>20.849274000000015</v>
      </c>
      <c r="M37" s="28">
        <f t="shared" si="37"/>
        <v>16.374733000000017</v>
      </c>
      <c r="N37" s="28">
        <f t="shared" si="37"/>
        <v>14.330014000000006</v>
      </c>
      <c r="O37" s="28">
        <f t="shared" si="37"/>
        <v>17.10280899999999</v>
      </c>
      <c r="P37" s="28">
        <f t="shared" si="37"/>
        <v>22.751550000000009</v>
      </c>
      <c r="Q37" s="28">
        <f t="shared" si="37"/>
        <v>14.418924999999987</v>
      </c>
      <c r="R37" s="28">
        <f t="shared" si="37"/>
        <v>27.737104999999978</v>
      </c>
      <c r="S37" s="28">
        <f t="shared" si="37"/>
        <v>7.7213519999999818</v>
      </c>
      <c r="T37" s="28">
        <f t="shared" si="37"/>
        <v>4.1398200000000358</v>
      </c>
      <c r="U37" s="28">
        <f t="shared" si="37"/>
        <v>30.226348999999963</v>
      </c>
      <c r="V37" s="28">
        <f t="shared" si="37"/>
        <v>2.1210150000000141</v>
      </c>
      <c r="W37" s="28">
        <f t="shared" ref="W37" si="38">SUM(W38,W39,W42)</f>
        <v>21.099879000000016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0.99167400000000006</v>
      </c>
      <c r="E38" s="108">
        <v>6.6247190000000007</v>
      </c>
      <c r="F38" s="108">
        <v>6.9343279999999989</v>
      </c>
      <c r="G38" s="108">
        <v>4.0771380000000015</v>
      </c>
      <c r="H38" s="108">
        <v>0.22374100000000041</v>
      </c>
      <c r="I38" s="108">
        <v>1.3538950000000014</v>
      </c>
      <c r="J38" s="108">
        <v>2.1557319999999969</v>
      </c>
      <c r="K38" s="108">
        <v>2.4344120000000018</v>
      </c>
      <c r="L38" s="108">
        <v>2.6378589999999988</v>
      </c>
      <c r="M38" s="108">
        <v>4.5540219999999998</v>
      </c>
      <c r="N38" s="108">
        <v>0</v>
      </c>
      <c r="O38" s="108">
        <v>0.52311699999999561</v>
      </c>
      <c r="P38" s="108">
        <v>1.3067029999999988</v>
      </c>
      <c r="Q38" s="108">
        <v>0.69313300000000311</v>
      </c>
      <c r="R38" s="108">
        <v>2.3329639999999969</v>
      </c>
      <c r="S38" s="108">
        <v>2.1776320000000027</v>
      </c>
      <c r="T38" s="108">
        <v>1.3773040000000023</v>
      </c>
      <c r="U38" s="108">
        <v>5.7993729999999957</v>
      </c>
      <c r="V38" s="108">
        <v>1.4820000000000277E-2</v>
      </c>
      <c r="W38" s="108">
        <v>0.34150999999999954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5.4726040000000182</v>
      </c>
      <c r="D39" s="110">
        <f t="shared" ref="D39:V39" si="40">SUM(D40:D41)</f>
        <v>26.179824000000025</v>
      </c>
      <c r="E39" s="110">
        <f t="shared" si="40"/>
        <v>18.994227999999993</v>
      </c>
      <c r="F39" s="110">
        <f t="shared" si="40"/>
        <v>12.088975000000005</v>
      </c>
      <c r="G39" s="110">
        <f t="shared" si="40"/>
        <v>37.783956000000018</v>
      </c>
      <c r="H39" s="110">
        <f t="shared" si="40"/>
        <v>14.61623000000003</v>
      </c>
      <c r="I39" s="110">
        <f t="shared" si="40"/>
        <v>6.2204470000000072</v>
      </c>
      <c r="J39" s="110">
        <f t="shared" si="40"/>
        <v>30.071418999999992</v>
      </c>
      <c r="K39" s="110">
        <f t="shared" si="40"/>
        <v>25.898586000000023</v>
      </c>
      <c r="L39" s="110">
        <f t="shared" si="40"/>
        <v>18.211415000000017</v>
      </c>
      <c r="M39" s="110">
        <f t="shared" si="40"/>
        <v>11.820711000000017</v>
      </c>
      <c r="N39" s="110">
        <f t="shared" si="40"/>
        <v>14.330014000000006</v>
      </c>
      <c r="O39" s="110">
        <f t="shared" si="40"/>
        <v>16.579691999999994</v>
      </c>
      <c r="P39" s="110">
        <f t="shared" si="40"/>
        <v>21.44484700000001</v>
      </c>
      <c r="Q39" s="110">
        <f t="shared" si="40"/>
        <v>13.725791999999984</v>
      </c>
      <c r="R39" s="110">
        <f t="shared" si="40"/>
        <v>25.404140999999981</v>
      </c>
      <c r="S39" s="110">
        <f t="shared" si="40"/>
        <v>5.5437199999999791</v>
      </c>
      <c r="T39" s="110">
        <f t="shared" si="40"/>
        <v>2.7625160000000335</v>
      </c>
      <c r="U39" s="110">
        <f t="shared" si="40"/>
        <v>24.426975999999968</v>
      </c>
      <c r="V39" s="110">
        <f t="shared" si="40"/>
        <v>2.1061950000000138</v>
      </c>
      <c r="W39" s="110">
        <f t="shared" ref="W39" si="41">SUM(W40:W41)</f>
        <v>20.758369000000016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12.348351000000008</v>
      </c>
      <c r="E40" s="84">
        <v>18.994227999999993</v>
      </c>
      <c r="F40" s="84">
        <v>5.0570979999999963</v>
      </c>
      <c r="G40" s="84">
        <v>30.196491000000009</v>
      </c>
      <c r="H40" s="84">
        <v>5.0876400000000217</v>
      </c>
      <c r="I40" s="84">
        <v>6.2204470000000072</v>
      </c>
      <c r="J40" s="84">
        <v>18.557479000000001</v>
      </c>
      <c r="K40" s="84">
        <v>8.0829469999999901</v>
      </c>
      <c r="L40" s="84">
        <v>14.330514000000022</v>
      </c>
      <c r="M40" s="84">
        <v>9.4447490000000016</v>
      </c>
      <c r="N40" s="84">
        <v>14.330014000000006</v>
      </c>
      <c r="O40" s="84">
        <v>6.9483569999999872</v>
      </c>
      <c r="P40" s="84">
        <v>20.589822999999996</v>
      </c>
      <c r="Q40" s="84">
        <v>6.5534959999999955</v>
      </c>
      <c r="R40" s="84">
        <v>13.888279999999952</v>
      </c>
      <c r="S40" s="84">
        <v>0.44423899999998184</v>
      </c>
      <c r="T40" s="84">
        <v>0</v>
      </c>
      <c r="U40" s="84">
        <v>12.195594999999969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5.4726040000000182</v>
      </c>
      <c r="D41" s="84">
        <v>13.831473000000017</v>
      </c>
      <c r="E41" s="84">
        <v>0</v>
      </c>
      <c r="F41" s="84">
        <v>7.0318770000000086</v>
      </c>
      <c r="G41" s="84">
        <v>7.5874650000000088</v>
      </c>
      <c r="H41" s="84">
        <v>9.5285900000000083</v>
      </c>
      <c r="I41" s="84">
        <v>0</v>
      </c>
      <c r="J41" s="84">
        <v>11.513939999999991</v>
      </c>
      <c r="K41" s="84">
        <v>17.815639000000033</v>
      </c>
      <c r="L41" s="84">
        <v>3.8809009999999944</v>
      </c>
      <c r="M41" s="84">
        <v>2.3759620000000155</v>
      </c>
      <c r="N41" s="84">
        <v>0</v>
      </c>
      <c r="O41" s="84">
        <v>9.6313350000000071</v>
      </c>
      <c r="P41" s="84">
        <v>0.85502400000001444</v>
      </c>
      <c r="Q41" s="84">
        <v>7.1722959999999887</v>
      </c>
      <c r="R41" s="84">
        <v>11.515861000000029</v>
      </c>
      <c r="S41" s="84">
        <v>5.0994809999999973</v>
      </c>
      <c r="T41" s="84">
        <v>2.7625160000000335</v>
      </c>
      <c r="U41" s="84">
        <v>12.231380999999999</v>
      </c>
      <c r="V41" s="84">
        <v>2.1061950000000138</v>
      </c>
      <c r="W41" s="84">
        <v>20.758369000000016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0.78413399999999811</v>
      </c>
      <c r="D43" s="28">
        <f t="shared" ref="D43:V43" si="43">SUM(D44:D45)</f>
        <v>0</v>
      </c>
      <c r="E43" s="28">
        <f t="shared" si="43"/>
        <v>1.2380519999999997</v>
      </c>
      <c r="F43" s="28">
        <f t="shared" si="43"/>
        <v>3.7174499999999959</v>
      </c>
      <c r="G43" s="28">
        <f t="shared" si="43"/>
        <v>0</v>
      </c>
      <c r="H43" s="28">
        <f t="shared" si="43"/>
        <v>0.46520399999999817</v>
      </c>
      <c r="I43" s="28">
        <f t="shared" si="43"/>
        <v>0</v>
      </c>
      <c r="J43" s="28">
        <f t="shared" si="43"/>
        <v>2.6161789999999998</v>
      </c>
      <c r="K43" s="28">
        <f t="shared" si="43"/>
        <v>0.17429800000000029</v>
      </c>
      <c r="L43" s="28">
        <f t="shared" si="43"/>
        <v>3.6382129999999968</v>
      </c>
      <c r="M43" s="28">
        <f t="shared" si="43"/>
        <v>3.3676779999999997</v>
      </c>
      <c r="N43" s="28">
        <f t="shared" si="43"/>
        <v>0</v>
      </c>
      <c r="O43" s="28">
        <f t="shared" si="43"/>
        <v>2.8246999999998579E-2</v>
      </c>
      <c r="P43" s="28">
        <f t="shared" si="43"/>
        <v>1.6789959999999997</v>
      </c>
      <c r="Q43" s="28">
        <f t="shared" si="43"/>
        <v>3.3084769999999999</v>
      </c>
      <c r="R43" s="28">
        <f t="shared" si="43"/>
        <v>2.4302569999999974</v>
      </c>
      <c r="S43" s="28">
        <f t="shared" si="43"/>
        <v>0</v>
      </c>
      <c r="T43" s="28">
        <f t="shared" si="43"/>
        <v>0</v>
      </c>
      <c r="U43" s="28">
        <f t="shared" si="43"/>
        <v>0</v>
      </c>
      <c r="V43" s="28">
        <f t="shared" si="43"/>
        <v>2.7591339999999995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1.4064529999999973</v>
      </c>
      <c r="G44" s="84">
        <v>0</v>
      </c>
      <c r="H44" s="84">
        <v>0.46520399999999817</v>
      </c>
      <c r="I44" s="84">
        <v>0</v>
      </c>
      <c r="J44" s="84">
        <v>0.47052600000000044</v>
      </c>
      <c r="K44" s="84">
        <v>0.17429800000000029</v>
      </c>
      <c r="L44" s="84">
        <v>2.677896999999998</v>
      </c>
      <c r="M44" s="84">
        <v>2.0786149999999992</v>
      </c>
      <c r="N44" s="84">
        <v>0</v>
      </c>
      <c r="O44" s="84">
        <v>0</v>
      </c>
      <c r="P44" s="84">
        <v>1.6789959999999997</v>
      </c>
      <c r="Q44" s="84">
        <v>1.0370279999999994</v>
      </c>
      <c r="R44" s="84">
        <v>0.49897799999999926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0.78413399999999811</v>
      </c>
      <c r="D45" s="86">
        <v>0</v>
      </c>
      <c r="E45" s="86">
        <v>1.2380519999999997</v>
      </c>
      <c r="F45" s="86">
        <v>2.3109969999999986</v>
      </c>
      <c r="G45" s="86">
        <v>0</v>
      </c>
      <c r="H45" s="86">
        <v>0</v>
      </c>
      <c r="I45" s="86">
        <v>0</v>
      </c>
      <c r="J45" s="86">
        <v>2.1456529999999994</v>
      </c>
      <c r="K45" s="86">
        <v>0</v>
      </c>
      <c r="L45" s="86">
        <v>0.96031599999999884</v>
      </c>
      <c r="M45" s="86">
        <v>1.2890630000000005</v>
      </c>
      <c r="N45" s="86">
        <v>0</v>
      </c>
      <c r="O45" s="86">
        <v>2.8246999999998579E-2</v>
      </c>
      <c r="P45" s="86">
        <v>0</v>
      </c>
      <c r="Q45" s="86">
        <v>2.2714490000000005</v>
      </c>
      <c r="R45" s="86">
        <v>1.9312789999999982</v>
      </c>
      <c r="S45" s="86">
        <v>0</v>
      </c>
      <c r="T45" s="86">
        <v>0</v>
      </c>
      <c r="U45" s="86">
        <v>0</v>
      </c>
      <c r="V45" s="86">
        <v>2.7591339999999995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130.12930220220693</v>
      </c>
      <c r="C50" s="29">
        <f t="shared" si="45"/>
        <v>137.0461740000305</v>
      </c>
      <c r="D50" s="29">
        <f t="shared" si="45"/>
        <v>129.35886091319131</v>
      </c>
      <c r="E50" s="29">
        <f t="shared" si="45"/>
        <v>127.18029183081202</v>
      </c>
      <c r="F50" s="29">
        <f t="shared" si="45"/>
        <v>127.57363925842641</v>
      </c>
      <c r="G50" s="29">
        <f t="shared" si="45"/>
        <v>117.03760362214499</v>
      </c>
      <c r="H50" s="29">
        <f t="shared" si="45"/>
        <v>117.6130089116795</v>
      </c>
      <c r="I50" s="29">
        <f t="shared" si="45"/>
        <v>121.09592273918358</v>
      </c>
      <c r="J50" s="29">
        <f t="shared" si="45"/>
        <v>115.81074192273881</v>
      </c>
      <c r="K50" s="29">
        <f t="shared" ref="K50:V50" si="46">IF(K4=0,0,K4/K15)</f>
        <v>108.35130932052289</v>
      </c>
      <c r="L50" s="29">
        <f t="shared" si="46"/>
        <v>108.73908307302698</v>
      </c>
      <c r="M50" s="29">
        <f t="shared" si="46"/>
        <v>108.08993576762788</v>
      </c>
      <c r="N50" s="29">
        <f t="shared" si="46"/>
        <v>109.72102406814774</v>
      </c>
      <c r="O50" s="29">
        <f t="shared" si="46"/>
        <v>108.12160820485843</v>
      </c>
      <c r="P50" s="29">
        <f t="shared" si="46"/>
        <v>104.29541574269209</v>
      </c>
      <c r="Q50" s="29">
        <f t="shared" si="46"/>
        <v>102.97827503258452</v>
      </c>
      <c r="R50" s="29">
        <f t="shared" si="46"/>
        <v>96.590965135347616</v>
      </c>
      <c r="S50" s="29">
        <f t="shared" si="46"/>
        <v>96.44718044084614</v>
      </c>
      <c r="T50" s="29">
        <f t="shared" si="46"/>
        <v>98.925961097701375</v>
      </c>
      <c r="U50" s="29">
        <f t="shared" si="46"/>
        <v>94.857662423297811</v>
      </c>
      <c r="V50" s="29">
        <f t="shared" si="46"/>
        <v>65.182932421908376</v>
      </c>
      <c r="W50" s="29">
        <f t="shared" ref="W50" si="47">IF(W4=0,0,W4/W15)</f>
        <v>67.921733284460458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82.505122775417107</v>
      </c>
      <c r="E51" s="115">
        <f t="shared" si="48"/>
        <v>79.971047540338503</v>
      </c>
      <c r="F51" s="115">
        <f t="shared" si="48"/>
        <v>79.971047540338503</v>
      </c>
      <c r="G51" s="115">
        <f t="shared" si="48"/>
        <v>79.060470755923802</v>
      </c>
      <c r="H51" s="115">
        <f t="shared" si="48"/>
        <v>79.086609659009682</v>
      </c>
      <c r="I51" s="115">
        <f t="shared" si="48"/>
        <v>79.636304603589252</v>
      </c>
      <c r="J51" s="115">
        <f t="shared" si="48"/>
        <v>79.27683496764341</v>
      </c>
      <c r="K51" s="115">
        <f t="shared" ref="K51:V51" si="49">IF(K5=0,0,K5/K16)</f>
        <v>78.82618047043087</v>
      </c>
      <c r="L51" s="115">
        <f t="shared" si="49"/>
        <v>79.199791504540713</v>
      </c>
      <c r="M51" s="115">
        <f t="shared" si="49"/>
        <v>79.008087751243963</v>
      </c>
      <c r="N51" s="115">
        <f t="shared" si="49"/>
        <v>79.641878957573255</v>
      </c>
      <c r="O51" s="115">
        <f t="shared" si="49"/>
        <v>79.414567843487262</v>
      </c>
      <c r="P51" s="115">
        <f t="shared" si="49"/>
        <v>79.30305010426774</v>
      </c>
      <c r="Q51" s="115">
        <f t="shared" si="49"/>
        <v>79.554244371978726</v>
      </c>
      <c r="R51" s="115">
        <f t="shared" si="49"/>
        <v>79.204930582681143</v>
      </c>
      <c r="S51" s="115">
        <f t="shared" si="49"/>
        <v>79.444263217907235</v>
      </c>
      <c r="T51" s="115">
        <f t="shared" si="49"/>
        <v>79.211110915514723</v>
      </c>
      <c r="U51" s="115">
        <f t="shared" si="49"/>
        <v>78.713010803193981</v>
      </c>
      <c r="V51" s="115">
        <f t="shared" si="49"/>
        <v>56.851912928759894</v>
      </c>
      <c r="W51" s="115">
        <f t="shared" ref="W51" si="50">IF(W5=0,0,W5/W16)</f>
        <v>64.636465848402523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130.12930220220693</v>
      </c>
      <c r="C52" s="116">
        <f t="shared" si="51"/>
        <v>137.0461740000305</v>
      </c>
      <c r="D52" s="116">
        <f t="shared" si="51"/>
        <v>129.47404660345623</v>
      </c>
      <c r="E52" s="116">
        <f t="shared" si="51"/>
        <v>128.04960614939202</v>
      </c>
      <c r="F52" s="116">
        <f t="shared" si="51"/>
        <v>129.22958007685148</v>
      </c>
      <c r="G52" s="116">
        <f t="shared" si="51"/>
        <v>118.58226149713448</v>
      </c>
      <c r="H52" s="116">
        <f t="shared" si="51"/>
        <v>119.1712316166834</v>
      </c>
      <c r="I52" s="116">
        <f t="shared" si="51"/>
        <v>122.93008759932565</v>
      </c>
      <c r="J52" s="116">
        <f t="shared" si="51"/>
        <v>117.4919948772358</v>
      </c>
      <c r="K52" s="116">
        <f t="shared" ref="K52:V52" si="52">IF(K6=0,0,K6/K17)</f>
        <v>109.78845275791228</v>
      </c>
      <c r="L52" s="116">
        <f t="shared" si="52"/>
        <v>110.29025104367089</v>
      </c>
      <c r="M52" s="116">
        <f t="shared" si="52"/>
        <v>109.85605837714907</v>
      </c>
      <c r="N52" s="116">
        <f t="shared" si="52"/>
        <v>111.49141120585881</v>
      </c>
      <c r="O52" s="116">
        <f t="shared" si="52"/>
        <v>109.842966339566</v>
      </c>
      <c r="P52" s="116">
        <f t="shared" si="52"/>
        <v>105.80573098206958</v>
      </c>
      <c r="Q52" s="116">
        <f t="shared" si="52"/>
        <v>104.40524047208395</v>
      </c>
      <c r="R52" s="116">
        <f t="shared" si="52"/>
        <v>97.67791326595399</v>
      </c>
      <c r="S52" s="116">
        <f t="shared" si="52"/>
        <v>97.581203285048417</v>
      </c>
      <c r="T52" s="116">
        <f t="shared" si="52"/>
        <v>100.34456913724438</v>
      </c>
      <c r="U52" s="116">
        <f t="shared" si="52"/>
        <v>96.135153107437915</v>
      </c>
      <c r="V52" s="116">
        <f t="shared" si="52"/>
        <v>65.891174850638137</v>
      </c>
      <c r="W52" s="116">
        <f t="shared" ref="W52" si="53">IF(W6=0,0,W6/W17)</f>
        <v>68.196143813290362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115.96625212618197</v>
      </c>
      <c r="C53" s="87">
        <f t="shared" si="54"/>
        <v>122.79169758619737</v>
      </c>
      <c r="D53" s="87">
        <f t="shared" si="54"/>
        <v>116.13608322967175</v>
      </c>
      <c r="E53" s="87">
        <f t="shared" si="54"/>
        <v>111.65473432895449</v>
      </c>
      <c r="F53" s="87">
        <f t="shared" si="54"/>
        <v>112.92871265067738</v>
      </c>
      <c r="G53" s="87">
        <f t="shared" si="54"/>
        <v>111.54031517191541</v>
      </c>
      <c r="H53" s="87">
        <f t="shared" si="54"/>
        <v>116.52383916539792</v>
      </c>
      <c r="I53" s="87">
        <f t="shared" si="54"/>
        <v>116.2893808094684</v>
      </c>
      <c r="J53" s="87">
        <f t="shared" si="54"/>
        <v>112.27740474563024</v>
      </c>
      <c r="K53" s="87">
        <f t="shared" ref="K53:V53" si="55">IF(K7=0,0,K7/K18)</f>
        <v>106.34206510157625</v>
      </c>
      <c r="L53" s="87">
        <f t="shared" si="55"/>
        <v>104.52984927434284</v>
      </c>
      <c r="M53" s="87">
        <f t="shared" si="55"/>
        <v>104.98365266237664</v>
      </c>
      <c r="N53" s="87">
        <f t="shared" si="55"/>
        <v>104.23389600425361</v>
      </c>
      <c r="O53" s="87">
        <f t="shared" si="55"/>
        <v>105.43787737454605</v>
      </c>
      <c r="P53" s="87">
        <f t="shared" si="55"/>
        <v>99.483970165124745</v>
      </c>
      <c r="Q53" s="87">
        <f t="shared" si="55"/>
        <v>97.46121305525547</v>
      </c>
      <c r="R53" s="87">
        <f t="shared" si="55"/>
        <v>91.21383976004546</v>
      </c>
      <c r="S53" s="87">
        <f t="shared" si="55"/>
        <v>92.023754376303799</v>
      </c>
      <c r="T53" s="87">
        <f t="shared" si="55"/>
        <v>84.563690104962248</v>
      </c>
      <c r="U53" s="87">
        <f t="shared" si="55"/>
        <v>81.571524515506212</v>
      </c>
      <c r="V53" s="87">
        <f t="shared" si="55"/>
        <v>58.088947723202608</v>
      </c>
      <c r="W53" s="87">
        <f t="shared" ref="W53" si="56">IF(W7=0,0,W7/W18)</f>
        <v>57.888750302646109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147.85167544464335</v>
      </c>
      <c r="C54" s="87">
        <f t="shared" si="57"/>
        <v>153.82743776480532</v>
      </c>
      <c r="D54" s="87">
        <f t="shared" si="57"/>
        <v>144.72675996610812</v>
      </c>
      <c r="E54" s="87">
        <f t="shared" si="57"/>
        <v>149.46272853963845</v>
      </c>
      <c r="F54" s="87">
        <f t="shared" si="57"/>
        <v>149.99151585927646</v>
      </c>
      <c r="G54" s="87">
        <f t="shared" si="57"/>
        <v>128.57426376427466</v>
      </c>
      <c r="H54" s="87">
        <f t="shared" si="57"/>
        <v>122.7764632735565</v>
      </c>
      <c r="I54" s="87">
        <f t="shared" si="57"/>
        <v>132.56649048869119</v>
      </c>
      <c r="J54" s="87">
        <f t="shared" si="57"/>
        <v>125.13591447286167</v>
      </c>
      <c r="K54" s="87">
        <f t="shared" ref="K54:V54" si="58">IF(K8=0,0,K8/K19)</f>
        <v>114.45607176435237</v>
      </c>
      <c r="L54" s="87">
        <f t="shared" si="58"/>
        <v>118.41828982337175</v>
      </c>
      <c r="M54" s="87">
        <f t="shared" si="58"/>
        <v>116.92367662818097</v>
      </c>
      <c r="N54" s="87">
        <f t="shared" si="58"/>
        <v>122.87293500046776</v>
      </c>
      <c r="O54" s="87">
        <f t="shared" si="58"/>
        <v>116.54326553305035</v>
      </c>
      <c r="P54" s="87">
        <f t="shared" si="58"/>
        <v>116.23050473481088</v>
      </c>
      <c r="Q54" s="87">
        <f t="shared" si="58"/>
        <v>115.6691116669985</v>
      </c>
      <c r="R54" s="87">
        <f t="shared" si="58"/>
        <v>108.0122989921318</v>
      </c>
      <c r="S54" s="87">
        <f t="shared" si="58"/>
        <v>106.23800264206953</v>
      </c>
      <c r="T54" s="87">
        <f t="shared" si="58"/>
        <v>123.5025151147194</v>
      </c>
      <c r="U54" s="87">
        <f t="shared" si="58"/>
        <v>117.11360912933436</v>
      </c>
      <c r="V54" s="87">
        <f t="shared" si="58"/>
        <v>75.97523317059553</v>
      </c>
      <c r="W54" s="87">
        <f t="shared" ref="W54" si="59">IF(W8=0,0,W8/W19)</f>
        <v>79.946008119711252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556.96239193718952</v>
      </c>
      <c r="C56" s="29">
        <f t="shared" si="63"/>
        <v>576.30706447341242</v>
      </c>
      <c r="D56" s="29">
        <f t="shared" si="63"/>
        <v>566.18484575420439</v>
      </c>
      <c r="E56" s="29">
        <f t="shared" si="63"/>
        <v>579.73597179580383</v>
      </c>
      <c r="F56" s="29">
        <f t="shared" si="63"/>
        <v>575.3331971840895</v>
      </c>
      <c r="G56" s="29">
        <f t="shared" si="63"/>
        <v>519.37810119529468</v>
      </c>
      <c r="H56" s="29">
        <f t="shared" si="63"/>
        <v>550.3558716912504</v>
      </c>
      <c r="I56" s="29">
        <f t="shared" si="63"/>
        <v>564.20347068089018</v>
      </c>
      <c r="J56" s="29">
        <f t="shared" si="63"/>
        <v>502.33231297144596</v>
      </c>
      <c r="K56" s="29">
        <f t="shared" ref="K56:V56" si="64">IF(K10=0,0,K10/K21)</f>
        <v>531.41277680218104</v>
      </c>
      <c r="L56" s="29">
        <f t="shared" si="64"/>
        <v>545.8515505548628</v>
      </c>
      <c r="M56" s="29">
        <f t="shared" si="64"/>
        <v>563.10656998613763</v>
      </c>
      <c r="N56" s="29">
        <f t="shared" si="64"/>
        <v>573.72976782312094</v>
      </c>
      <c r="O56" s="29">
        <f t="shared" si="64"/>
        <v>592.41709399727938</v>
      </c>
      <c r="P56" s="29">
        <f t="shared" si="64"/>
        <v>572.8861180678573</v>
      </c>
      <c r="Q56" s="29">
        <f t="shared" si="64"/>
        <v>541.13667209899995</v>
      </c>
      <c r="R56" s="29">
        <f t="shared" si="64"/>
        <v>506.6803825269705</v>
      </c>
      <c r="S56" s="29">
        <f t="shared" si="64"/>
        <v>591.7148195070115</v>
      </c>
      <c r="T56" s="29">
        <f t="shared" si="64"/>
        <v>599.67344475966991</v>
      </c>
      <c r="U56" s="29">
        <f t="shared" si="64"/>
        <v>656.65253356295489</v>
      </c>
      <c r="V56" s="29">
        <f t="shared" si="64"/>
        <v>536.66949166450331</v>
      </c>
      <c r="W56" s="29">
        <f t="shared" ref="W56" si="65">IF(W10=0,0,W10/W21)</f>
        <v>509.45013167447104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582.55532570982518</v>
      </c>
      <c r="C57" s="87">
        <f t="shared" si="66"/>
        <v>622.93303028830701</v>
      </c>
      <c r="D57" s="87">
        <f t="shared" si="66"/>
        <v>612.41583999615307</v>
      </c>
      <c r="E57" s="87">
        <f t="shared" si="66"/>
        <v>692.15580299171108</v>
      </c>
      <c r="F57" s="87">
        <f t="shared" si="66"/>
        <v>703.07506654835902</v>
      </c>
      <c r="G57" s="87">
        <f t="shared" si="66"/>
        <v>665.91159265442957</v>
      </c>
      <c r="H57" s="87">
        <f t="shared" si="66"/>
        <v>627.30845008919061</v>
      </c>
      <c r="I57" s="87">
        <f t="shared" si="66"/>
        <v>664.23776289806813</v>
      </c>
      <c r="J57" s="87">
        <f t="shared" si="66"/>
        <v>683.80588799421514</v>
      </c>
      <c r="K57" s="87">
        <f t="shared" ref="K57:V57" si="67">IF(K11=0,0,K11/K22)</f>
        <v>626.42268333155926</v>
      </c>
      <c r="L57" s="87">
        <f t="shared" si="67"/>
        <v>634.44593887644646</v>
      </c>
      <c r="M57" s="87">
        <f t="shared" si="67"/>
        <v>637.60422562845838</v>
      </c>
      <c r="N57" s="87">
        <f t="shared" si="67"/>
        <v>685.45209392353729</v>
      </c>
      <c r="O57" s="87">
        <f t="shared" si="67"/>
        <v>686.1184005112251</v>
      </c>
      <c r="P57" s="87">
        <f t="shared" si="67"/>
        <v>612.22428273841103</v>
      </c>
      <c r="Q57" s="87">
        <f t="shared" si="67"/>
        <v>605.15649135019919</v>
      </c>
      <c r="R57" s="87">
        <f t="shared" si="67"/>
        <v>596.79392039008656</v>
      </c>
      <c r="S57" s="87">
        <f t="shared" si="67"/>
        <v>636.38380773543929</v>
      </c>
      <c r="T57" s="87">
        <f t="shared" si="67"/>
        <v>667.62328262450058</v>
      </c>
      <c r="U57" s="87">
        <f t="shared" si="67"/>
        <v>688.39684879137235</v>
      </c>
      <c r="V57" s="87">
        <f t="shared" si="67"/>
        <v>676.91270653322294</v>
      </c>
      <c r="W57" s="87">
        <f t="shared" ref="W57" si="68">IF(W11=0,0,W11/W22)</f>
        <v>648.45488970960798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527.17898180634336</v>
      </c>
      <c r="C58" s="88">
        <f t="shared" si="69"/>
        <v>527.78018280665515</v>
      </c>
      <c r="D58" s="88">
        <f t="shared" si="69"/>
        <v>519.40577070723054</v>
      </c>
      <c r="E58" s="88">
        <f t="shared" si="69"/>
        <v>482.52197789019385</v>
      </c>
      <c r="F58" s="88">
        <f t="shared" si="69"/>
        <v>472.92285387547031</v>
      </c>
      <c r="G58" s="88">
        <f t="shared" si="69"/>
        <v>408.23970214708447</v>
      </c>
      <c r="H58" s="88">
        <f t="shared" si="69"/>
        <v>478.50176098408525</v>
      </c>
      <c r="I58" s="88">
        <f t="shared" si="69"/>
        <v>473.75735551793832</v>
      </c>
      <c r="J58" s="88">
        <f t="shared" si="69"/>
        <v>377.02502396945124</v>
      </c>
      <c r="K58" s="88">
        <f t="shared" ref="K58:V58" si="70">IF(K12=0,0,K12/K23)</f>
        <v>449.80514868779846</v>
      </c>
      <c r="L58" s="88">
        <f t="shared" si="70"/>
        <v>466.37212555520108</v>
      </c>
      <c r="M58" s="88">
        <f t="shared" si="70"/>
        <v>491.11118704013785</v>
      </c>
      <c r="N58" s="88">
        <f t="shared" si="70"/>
        <v>474.73888378851296</v>
      </c>
      <c r="O58" s="88">
        <f t="shared" si="70"/>
        <v>505.03213980639458</v>
      </c>
      <c r="P58" s="88">
        <f t="shared" si="70"/>
        <v>529.05197621590321</v>
      </c>
      <c r="Q58" s="88">
        <f t="shared" si="70"/>
        <v>477.91509928434914</v>
      </c>
      <c r="R58" s="88">
        <f t="shared" si="70"/>
        <v>427.43704288980445</v>
      </c>
      <c r="S58" s="88">
        <f t="shared" si="70"/>
        <v>545.16120804414913</v>
      </c>
      <c r="T58" s="88">
        <f t="shared" si="70"/>
        <v>536.45233391633678</v>
      </c>
      <c r="U58" s="88">
        <f t="shared" si="70"/>
        <v>623.85721612114344</v>
      </c>
      <c r="V58" s="88">
        <f t="shared" si="70"/>
        <v>442.87943586822968</v>
      </c>
      <c r="W58" s="88">
        <f t="shared" ref="W58" si="71">IF(W12=0,0,W12/W23)</f>
        <v>424.60731418757297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320.00000000000006</v>
      </c>
      <c r="C61" s="29">
        <f t="shared" ref="C61" si="73">IF(C26=0,0,(C62*C27+C64*C29+C65*C30+C66*C31)/(C27+C29+C30+C31))</f>
        <v>320</v>
      </c>
      <c r="D61" s="29">
        <f t="shared" ref="D61" si="74">IF(D26=0,0,(D62*D27+D64*D29+D65*D30+D66*D31)/(D27+D29+D30+D31))</f>
        <v>320.26729410236271</v>
      </c>
      <c r="E61" s="29">
        <f t="shared" ref="E61" si="75">IF(E26=0,0,(E62*E27+E64*E29+E65*E30+E66*E31)/(E27+E29+E30+E31))</f>
        <v>321.959601872593</v>
      </c>
      <c r="F61" s="29">
        <f t="shared" ref="F61" si="76">IF(F26=0,0,(F62*F27+F64*F29+F65*F30+F66*F31)/(F27+F29+F30+F31))</f>
        <v>323.62305624766037</v>
      </c>
      <c r="G61" s="29">
        <f t="shared" ref="G61" si="77">IF(G26=0,0,(G62*G27+G64*G29+G65*G30+G66*G31)/(G27+G29+G30+G31))</f>
        <v>324.20392928297844</v>
      </c>
      <c r="H61" s="29">
        <f t="shared" ref="H61" si="78">IF(H26=0,0,(H62*H27+H64*H29+H65*H30+H66*H31)/(H27+H29+H30+H31))</f>
        <v>324.18161659499509</v>
      </c>
      <c r="I61" s="29">
        <f t="shared" ref="I61" si="79">IF(I26=0,0,(I62*I27+I64*I29+I65*I30+I66*I31)/(I27+I29+I30+I31))</f>
        <v>324.55157629426503</v>
      </c>
      <c r="J61" s="29">
        <f t="shared" ref="J61" si="80">IF(J26=0,0,(J62*J27+J64*J29+J65*J30+J66*J31)/(J27+J29+J30+J31))</f>
        <v>324.72381748452824</v>
      </c>
      <c r="K61" s="29">
        <f t="shared" ref="K61" si="81">IF(K26=0,0,(K62*K27+K64*K29+K65*K30+K66*K31)/(K27+K29+K30+K31))</f>
        <v>324.9795120300364</v>
      </c>
      <c r="L61" s="29">
        <f t="shared" ref="L61" si="82">IF(L26=0,0,(L62*L27+L64*L29+L65*L30+L66*L31)/(L27+L29+L30+L31))</f>
        <v>325.34578707175712</v>
      </c>
      <c r="M61" s="29">
        <f t="shared" ref="M61" si="83">IF(M26=0,0,(M62*M27+M64*M29+M65*M30+M66*M31)/(M27+M29+M30+M31))</f>
        <v>326.11834612193991</v>
      </c>
      <c r="N61" s="29">
        <f t="shared" ref="N61" si="84">IF(N26=0,0,(N62*N27+N64*N29+N65*N30+N66*N31)/(N27+N29+N30+N31))</f>
        <v>326.06867666898734</v>
      </c>
      <c r="O61" s="29">
        <f t="shared" ref="O61" si="85">IF(O26=0,0,(O62*O27+O64*O29+O65*O30+O66*O31)/(O27+O29+O30+O31))</f>
        <v>326.04696418213905</v>
      </c>
      <c r="P61" s="29">
        <f t="shared" ref="P61" si="86">IF(P26=0,0,(P62*P27+P64*P29+P65*P30+P66*P31)/(P27+P29+P30+P31))</f>
        <v>326.09057945690057</v>
      </c>
      <c r="Q61" s="29">
        <f t="shared" ref="Q61" si="87">IF(Q26=0,0,(Q62*Q27+Q64*Q29+Q65*Q30+Q66*Q31)/(Q27+Q29+Q30+Q31))</f>
        <v>326.13597235498747</v>
      </c>
      <c r="R61" s="29">
        <f t="shared" ref="R61" si="88">IF(R26=0,0,(R62*R27+R64*R29+R65*R30+R66*R31)/(R27+R29+R30+R31))</f>
        <v>326.28443262156071</v>
      </c>
      <c r="S61" s="29">
        <f t="shared" ref="S61" si="89">IF(S26=0,0,(S62*S27+S64*S29+S65*S30+S66*S31)/(S27+S29+S30+S31))</f>
        <v>326.66933552420642</v>
      </c>
      <c r="T61" s="29">
        <f t="shared" ref="T61" si="90">IF(T26=0,0,(T62*T27+T64*T29+T65*T30+T66*T31)/(T27+T29+T30+T31))</f>
        <v>327.13773233238504</v>
      </c>
      <c r="U61" s="29">
        <f t="shared" ref="U61" si="91">IF(U26=0,0,(U62*U27+U64*U29+U65*U30+U66*U31)/(U27+U29+U30+U31))</f>
        <v>327.79141726010715</v>
      </c>
      <c r="V61" s="29">
        <f t="shared" ref="V61" si="92">IF(V26=0,0,(V62*V27+V64*V29+V65*V30+V66*V31)/(V27+V29+V30+V31))</f>
        <v>328.08888865959102</v>
      </c>
      <c r="W61" s="29">
        <f t="shared" ref="W61" si="93">IF(W26=0,0,(W62*W27+W64*W29+W65*W30+W66*W31)/(W27+W29+W30+W31))</f>
        <v>328.118800348668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319.99999999999994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319.99999999999994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319.99999999999994</v>
      </c>
      <c r="U63" s="116">
        <f t="shared" ref="U63" si="113">IF(U28=0,0,(U64*U29+U65*U30)/(U29+U30))</f>
        <v>319.99999999999994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320.00000000000006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2099.9999999999995</v>
      </c>
      <c r="C67" s="29">
        <f t="shared" ref="C67" si="117">IF(C32=0,0,(C68*C33+C69*C34)/(C33+C34))</f>
        <v>2099.9999999999995</v>
      </c>
      <c r="D67" s="29">
        <f t="shared" ref="D67" si="118">IF(D32=0,0,(D68*D33+D69*D34)/(D33+D34))</f>
        <v>2100</v>
      </c>
      <c r="E67" s="29">
        <f t="shared" ref="E67" si="119">IF(E32=0,0,(E68*E33+E69*E34)/(E33+E34))</f>
        <v>2099.9999999999995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2100.0000000000005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2099.9999999999995</v>
      </c>
      <c r="V67" s="29">
        <f t="shared" ref="V67" si="136">IF(V32=0,0,(V68*V33+V69*V34)/(V33+V34))</f>
        <v>2100.0000000000005</v>
      </c>
      <c r="W67" s="29">
        <f t="shared" ref="W67" si="137">IF(W32=0,0,(W68*W33+W69*W34)/(W33+W34))</f>
        <v>2099.9999999999995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0.40665406938189658</v>
      </c>
      <c r="C72" s="30">
        <f t="shared" ref="C72:J72" si="138">IF(C50=0,0,C50/C61)</f>
        <v>0.42826929375009531</v>
      </c>
      <c r="D72" s="30">
        <f t="shared" si="138"/>
        <v>0.40390905751320982</v>
      </c>
      <c r="E72" s="30">
        <f t="shared" si="138"/>
        <v>0.39501940955045739</v>
      </c>
      <c r="F72" s="30">
        <f t="shared" si="138"/>
        <v>0.39420442022152341</v>
      </c>
      <c r="G72" s="30">
        <f t="shared" si="138"/>
        <v>0.36099995419854947</v>
      </c>
      <c r="H72" s="30">
        <f t="shared" si="138"/>
        <v>0.36279974832322209</v>
      </c>
      <c r="I72" s="30">
        <f t="shared" si="138"/>
        <v>0.37311765397000601</v>
      </c>
      <c r="J72" s="30">
        <f t="shared" si="138"/>
        <v>0.35664381756739083</v>
      </c>
      <c r="K72" s="30">
        <f t="shared" ref="K72:V72" si="139">IF(K50=0,0,K50/K61)</f>
        <v>0.33340966217743739</v>
      </c>
      <c r="L72" s="30">
        <f t="shared" si="139"/>
        <v>0.33422619069920173</v>
      </c>
      <c r="M72" s="30">
        <f t="shared" si="139"/>
        <v>0.33144389775364441</v>
      </c>
      <c r="N72" s="30">
        <f t="shared" si="139"/>
        <v>0.33649667054505944</v>
      </c>
      <c r="O72" s="30">
        <f t="shared" si="139"/>
        <v>0.33161360197317663</v>
      </c>
      <c r="P72" s="30">
        <f t="shared" si="139"/>
        <v>0.3198357214624068</v>
      </c>
      <c r="Q72" s="30">
        <f t="shared" si="139"/>
        <v>0.31575258101395914</v>
      </c>
      <c r="R72" s="30">
        <f t="shared" si="139"/>
        <v>0.29603301744824012</v>
      </c>
      <c r="S72" s="30">
        <f t="shared" si="139"/>
        <v>0.29524405860157432</v>
      </c>
      <c r="T72" s="30">
        <f t="shared" si="139"/>
        <v>0.30239850472885421</v>
      </c>
      <c r="U72" s="30">
        <f t="shared" si="139"/>
        <v>0.28938421639034834</v>
      </c>
      <c r="V72" s="30">
        <f t="shared" si="139"/>
        <v>0.19867461128663519</v>
      </c>
      <c r="W72" s="30">
        <f t="shared" ref="W72" si="140">IF(W50=0,0,W50/W61)</f>
        <v>0.20700347926508622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0.20626280693854276</v>
      </c>
      <c r="E73" s="118">
        <f t="shared" si="141"/>
        <v>0.19992761885084626</v>
      </c>
      <c r="F73" s="118">
        <f t="shared" si="141"/>
        <v>0.19992761885084626</v>
      </c>
      <c r="G73" s="118">
        <f t="shared" si="141"/>
        <v>0.19765117688980952</v>
      </c>
      <c r="H73" s="118">
        <f t="shared" si="141"/>
        <v>0.19771652414752419</v>
      </c>
      <c r="I73" s="118">
        <f t="shared" si="141"/>
        <v>0.19909076150897312</v>
      </c>
      <c r="J73" s="118">
        <f t="shared" si="141"/>
        <v>0.19819208741910851</v>
      </c>
      <c r="K73" s="118">
        <f t="shared" ref="K73:V73" si="142">IF(K51=0,0,K51/K62)</f>
        <v>0.19706545117607718</v>
      </c>
      <c r="L73" s="118">
        <f t="shared" si="142"/>
        <v>0.19799947876135179</v>
      </c>
      <c r="M73" s="118">
        <f t="shared" si="142"/>
        <v>0.1975202193781099</v>
      </c>
      <c r="N73" s="118">
        <f t="shared" si="142"/>
        <v>0.19910469739393313</v>
      </c>
      <c r="O73" s="118">
        <f t="shared" si="142"/>
        <v>0.19853641960871815</v>
      </c>
      <c r="P73" s="118">
        <f t="shared" si="142"/>
        <v>0.19825762526066934</v>
      </c>
      <c r="Q73" s="118">
        <f t="shared" si="142"/>
        <v>0.1988856109299468</v>
      </c>
      <c r="R73" s="118">
        <f t="shared" si="142"/>
        <v>0.19801232645670286</v>
      </c>
      <c r="S73" s="118">
        <f t="shared" si="142"/>
        <v>0.19861065804476807</v>
      </c>
      <c r="T73" s="118">
        <f t="shared" si="142"/>
        <v>0.19802777728878682</v>
      </c>
      <c r="U73" s="118">
        <f t="shared" si="142"/>
        <v>0.19678252700798496</v>
      </c>
      <c r="V73" s="118">
        <f t="shared" si="142"/>
        <v>0.14212978232189974</v>
      </c>
      <c r="W73" s="118">
        <f t="shared" ref="W73" si="143">IF(W51=0,0,W51/W62)</f>
        <v>0.16159116462100631</v>
      </c>
      <c r="DA73" s="203"/>
    </row>
    <row r="74" spans="1:105" ht="11.45" customHeight="1" x14ac:dyDescent="0.25">
      <c r="A74" s="109" t="s">
        <v>24</v>
      </c>
      <c r="B74" s="119">
        <f t="shared" si="141"/>
        <v>0.40665406938189658</v>
      </c>
      <c r="C74" s="119">
        <f t="shared" si="141"/>
        <v>0.42826929375009531</v>
      </c>
      <c r="D74" s="119">
        <f t="shared" si="141"/>
        <v>0.4046063956358007</v>
      </c>
      <c r="E74" s="119">
        <f t="shared" si="141"/>
        <v>0.40015501921685015</v>
      </c>
      <c r="F74" s="119">
        <f t="shared" si="141"/>
        <v>0.40384243774016088</v>
      </c>
      <c r="G74" s="119">
        <f t="shared" si="141"/>
        <v>0.37056956717854528</v>
      </c>
      <c r="H74" s="119">
        <f t="shared" si="141"/>
        <v>0.3724100988021356</v>
      </c>
      <c r="I74" s="119">
        <f t="shared" si="141"/>
        <v>0.38415652374789255</v>
      </c>
      <c r="J74" s="119">
        <f t="shared" si="141"/>
        <v>0.36716248399136187</v>
      </c>
      <c r="K74" s="119">
        <f t="shared" ref="K74:V74" si="144">IF(K52=0,0,K52/K63)</f>
        <v>0.34308891486847587</v>
      </c>
      <c r="L74" s="119">
        <f t="shared" si="144"/>
        <v>0.34465703451147156</v>
      </c>
      <c r="M74" s="119">
        <f t="shared" si="144"/>
        <v>0.34330018242859078</v>
      </c>
      <c r="N74" s="119">
        <f t="shared" si="144"/>
        <v>0.34841066001830884</v>
      </c>
      <c r="O74" s="119">
        <f t="shared" si="144"/>
        <v>0.34325926981114374</v>
      </c>
      <c r="P74" s="119">
        <f t="shared" si="144"/>
        <v>0.33064290931896745</v>
      </c>
      <c r="Q74" s="119">
        <f t="shared" si="144"/>
        <v>0.32626637647526241</v>
      </c>
      <c r="R74" s="119">
        <f t="shared" si="144"/>
        <v>0.30524347895610621</v>
      </c>
      <c r="S74" s="119">
        <f t="shared" si="144"/>
        <v>0.30494126026577628</v>
      </c>
      <c r="T74" s="119">
        <f t="shared" si="144"/>
        <v>0.31357677855388871</v>
      </c>
      <c r="U74" s="119">
        <f t="shared" si="144"/>
        <v>0.30042235346074353</v>
      </c>
      <c r="V74" s="119">
        <f t="shared" si="144"/>
        <v>0.20590992140824413</v>
      </c>
      <c r="W74" s="119">
        <f t="shared" ref="W74" si="145">IF(W52=0,0,W52/W63)</f>
        <v>0.21311294941653233</v>
      </c>
      <c r="DA74" s="176"/>
    </row>
    <row r="75" spans="1:105" ht="11.45" customHeight="1" x14ac:dyDescent="0.25">
      <c r="A75" s="111" t="s">
        <v>92</v>
      </c>
      <c r="B75" s="120">
        <f t="shared" si="141"/>
        <v>0.36239453789431864</v>
      </c>
      <c r="C75" s="120">
        <f t="shared" si="141"/>
        <v>0.38372405495686679</v>
      </c>
      <c r="D75" s="120">
        <f t="shared" si="141"/>
        <v>0.36292526009272424</v>
      </c>
      <c r="E75" s="120">
        <f t="shared" si="141"/>
        <v>0.3489210447779828</v>
      </c>
      <c r="F75" s="120">
        <f t="shared" si="141"/>
        <v>0.35290222703336682</v>
      </c>
      <c r="G75" s="120">
        <f t="shared" si="141"/>
        <v>0.34856348491223565</v>
      </c>
      <c r="H75" s="120">
        <f t="shared" si="141"/>
        <v>0.3641369973918685</v>
      </c>
      <c r="I75" s="120">
        <f t="shared" si="141"/>
        <v>0.36340431502958875</v>
      </c>
      <c r="J75" s="120">
        <f t="shared" si="141"/>
        <v>0.35086688983009451</v>
      </c>
      <c r="K75" s="120">
        <f t="shared" ref="K75:V75" si="146">IF(K53=0,0,K53/K64)</f>
        <v>0.33231895344242579</v>
      </c>
      <c r="L75" s="120">
        <f t="shared" si="146"/>
        <v>0.32665577898232134</v>
      </c>
      <c r="M75" s="120">
        <f t="shared" si="146"/>
        <v>0.32807391456992702</v>
      </c>
      <c r="N75" s="120">
        <f t="shared" si="146"/>
        <v>0.32573092501329254</v>
      </c>
      <c r="O75" s="120">
        <f t="shared" si="146"/>
        <v>0.32949336679545638</v>
      </c>
      <c r="P75" s="120">
        <f t="shared" si="146"/>
        <v>0.31088740676601484</v>
      </c>
      <c r="Q75" s="120">
        <f t="shared" si="146"/>
        <v>0.30456629079767333</v>
      </c>
      <c r="R75" s="120">
        <f t="shared" si="146"/>
        <v>0.28504324925014207</v>
      </c>
      <c r="S75" s="120">
        <f t="shared" si="146"/>
        <v>0.28757423242594937</v>
      </c>
      <c r="T75" s="120">
        <f t="shared" si="146"/>
        <v>0.26426153157800703</v>
      </c>
      <c r="U75" s="120">
        <f t="shared" si="146"/>
        <v>0.2549110141109569</v>
      </c>
      <c r="V75" s="120">
        <f t="shared" si="146"/>
        <v>0.18152796163500814</v>
      </c>
      <c r="W75" s="120">
        <f t="shared" ref="W75" si="147">IF(W53=0,0,W53/W64)</f>
        <v>0.1809023446957691</v>
      </c>
      <c r="DA75" s="171"/>
    </row>
    <row r="76" spans="1:105" ht="11.45" customHeight="1" x14ac:dyDescent="0.25">
      <c r="A76" s="111" t="s">
        <v>93</v>
      </c>
      <c r="B76" s="120">
        <f t="shared" si="141"/>
        <v>0.46203648576451045</v>
      </c>
      <c r="C76" s="120">
        <f t="shared" si="141"/>
        <v>0.48071074301501665</v>
      </c>
      <c r="D76" s="120">
        <f t="shared" si="141"/>
        <v>0.45227112489408788</v>
      </c>
      <c r="E76" s="120">
        <f t="shared" si="141"/>
        <v>0.46707102668637013</v>
      </c>
      <c r="F76" s="120">
        <f t="shared" si="141"/>
        <v>0.46872348706023892</v>
      </c>
      <c r="G76" s="120">
        <f t="shared" si="141"/>
        <v>0.4017945742633583</v>
      </c>
      <c r="H76" s="120">
        <f t="shared" si="141"/>
        <v>0.38367644772986409</v>
      </c>
      <c r="I76" s="120">
        <f t="shared" si="141"/>
        <v>0.41427028277715994</v>
      </c>
      <c r="J76" s="120">
        <f t="shared" si="141"/>
        <v>0.39104973272769272</v>
      </c>
      <c r="K76" s="120">
        <f t="shared" ref="K76:V76" si="148">IF(K54=0,0,K54/K65)</f>
        <v>0.35767522426360115</v>
      </c>
      <c r="L76" s="120">
        <f t="shared" si="148"/>
        <v>0.37005715569803671</v>
      </c>
      <c r="M76" s="120">
        <f t="shared" si="148"/>
        <v>0.36538648946306551</v>
      </c>
      <c r="N76" s="120">
        <f t="shared" si="148"/>
        <v>0.38397792187646174</v>
      </c>
      <c r="O76" s="120">
        <f t="shared" si="148"/>
        <v>0.36419770479078234</v>
      </c>
      <c r="P76" s="120">
        <f t="shared" si="148"/>
        <v>0.36322032729628401</v>
      </c>
      <c r="Q76" s="120">
        <f t="shared" si="148"/>
        <v>0.3614659739593703</v>
      </c>
      <c r="R76" s="120">
        <f t="shared" si="148"/>
        <v>0.33753843435041186</v>
      </c>
      <c r="S76" s="120">
        <f t="shared" si="148"/>
        <v>0.33199375825646726</v>
      </c>
      <c r="T76" s="120">
        <f t="shared" si="148"/>
        <v>0.38594535973349814</v>
      </c>
      <c r="U76" s="120">
        <f t="shared" si="148"/>
        <v>0.36598002852916989</v>
      </c>
      <c r="V76" s="120">
        <f t="shared" si="148"/>
        <v>0.23742260365811102</v>
      </c>
      <c r="W76" s="120">
        <f t="shared" ref="W76" si="149">IF(W54=0,0,W54/W65)</f>
        <v>0.24983127537409766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0.26522018663675695</v>
      </c>
      <c r="C78" s="30">
        <f t="shared" si="141"/>
        <v>0.27443193546352979</v>
      </c>
      <c r="D78" s="30">
        <f t="shared" si="141"/>
        <v>0.26961183131152588</v>
      </c>
      <c r="E78" s="30">
        <f t="shared" si="141"/>
        <v>0.27606474847419238</v>
      </c>
      <c r="F78" s="30">
        <f t="shared" si="141"/>
        <v>0.2739681891352807</v>
      </c>
      <c r="G78" s="30">
        <f t="shared" si="141"/>
        <v>0.24732290533109269</v>
      </c>
      <c r="H78" s="30">
        <f t="shared" si="141"/>
        <v>0.26207422461488122</v>
      </c>
      <c r="I78" s="30">
        <f t="shared" si="141"/>
        <v>0.26866831937185248</v>
      </c>
      <c r="J78" s="30">
        <f t="shared" si="141"/>
        <v>0.23920586331973617</v>
      </c>
      <c r="K78" s="30">
        <f t="shared" ref="K78:V78" si="152">IF(K56=0,0,K56/K67)</f>
        <v>0.25305370323913384</v>
      </c>
      <c r="L78" s="30">
        <f t="shared" si="152"/>
        <v>0.25992930978802992</v>
      </c>
      <c r="M78" s="30">
        <f t="shared" si="152"/>
        <v>0.26814598570768461</v>
      </c>
      <c r="N78" s="30">
        <f t="shared" si="152"/>
        <v>0.2732046513443433</v>
      </c>
      <c r="O78" s="30">
        <f t="shared" si="152"/>
        <v>0.28210337809394254</v>
      </c>
      <c r="P78" s="30">
        <f t="shared" si="152"/>
        <v>0.27280291336564627</v>
      </c>
      <c r="Q78" s="30">
        <f t="shared" si="152"/>
        <v>0.25768412957095238</v>
      </c>
      <c r="R78" s="30">
        <f t="shared" si="152"/>
        <v>0.24127637263189072</v>
      </c>
      <c r="S78" s="30">
        <f t="shared" si="152"/>
        <v>0.28176896167000548</v>
      </c>
      <c r="T78" s="30">
        <f t="shared" si="152"/>
        <v>0.28555878321889044</v>
      </c>
      <c r="U78" s="30">
        <f t="shared" si="152"/>
        <v>0.31269168264902619</v>
      </c>
      <c r="V78" s="30">
        <f t="shared" si="152"/>
        <v>0.25555690079262056</v>
      </c>
      <c r="W78" s="30">
        <f t="shared" ref="W78" si="153">IF(W56=0,0,W56/W67)</f>
        <v>0.24259530079736721</v>
      </c>
      <c r="DA78" s="173"/>
    </row>
    <row r="79" spans="1:105" ht="11.45" customHeight="1" x14ac:dyDescent="0.25">
      <c r="A79" s="83" t="s">
        <v>92</v>
      </c>
      <c r="B79" s="120">
        <f t="shared" si="141"/>
        <v>0.2774072979570596</v>
      </c>
      <c r="C79" s="120">
        <f t="shared" si="141"/>
        <v>0.29663477632776525</v>
      </c>
      <c r="D79" s="120">
        <f t="shared" si="141"/>
        <v>0.29162659047435863</v>
      </c>
      <c r="E79" s="120">
        <f t="shared" si="141"/>
        <v>0.32959800142462431</v>
      </c>
      <c r="F79" s="120">
        <f t="shared" si="141"/>
        <v>0.33479765073731382</v>
      </c>
      <c r="G79" s="120">
        <f t="shared" si="141"/>
        <v>0.31710075840687124</v>
      </c>
      <c r="H79" s="120">
        <f t="shared" si="141"/>
        <v>0.29871830956628126</v>
      </c>
      <c r="I79" s="120">
        <f t="shared" si="141"/>
        <v>0.31630369661812768</v>
      </c>
      <c r="J79" s="120">
        <f t="shared" si="141"/>
        <v>0.32562185142581673</v>
      </c>
      <c r="K79" s="120">
        <f t="shared" ref="K79:V79" si="154">IF(K57=0,0,K57/K68)</f>
        <v>0.2982965158721711</v>
      </c>
      <c r="L79" s="120">
        <f t="shared" si="154"/>
        <v>0.30211711375068878</v>
      </c>
      <c r="M79" s="120">
        <f t="shared" si="154"/>
        <v>0.30362105982307541</v>
      </c>
      <c r="N79" s="120">
        <f t="shared" si="154"/>
        <v>0.32640575901120822</v>
      </c>
      <c r="O79" s="120">
        <f t="shared" si="154"/>
        <v>0.32672304786248813</v>
      </c>
      <c r="P79" s="120">
        <f t="shared" si="154"/>
        <v>0.29153537273257668</v>
      </c>
      <c r="Q79" s="120">
        <f t="shared" si="154"/>
        <v>0.28816975778580911</v>
      </c>
      <c r="R79" s="120">
        <f t="shared" si="154"/>
        <v>0.28418758113813647</v>
      </c>
      <c r="S79" s="120">
        <f t="shared" si="154"/>
        <v>0.30303990844544726</v>
      </c>
      <c r="T79" s="120">
        <f t="shared" si="154"/>
        <v>0.3179158488688098</v>
      </c>
      <c r="U79" s="120">
        <f t="shared" si="154"/>
        <v>0.32780802323398683</v>
      </c>
      <c r="V79" s="120">
        <f t="shared" si="154"/>
        <v>0.32233938406343948</v>
      </c>
      <c r="W79" s="120">
        <f t="shared" ref="W79" si="155">IF(W57=0,0,W57/W68)</f>
        <v>0.30878804271886096</v>
      </c>
      <c r="DA79" s="171"/>
    </row>
    <row r="80" spans="1:105" ht="11.45" customHeight="1" x14ac:dyDescent="0.25">
      <c r="A80" s="85" t="s">
        <v>93</v>
      </c>
      <c r="B80" s="122">
        <f t="shared" si="141"/>
        <v>0.25103761038397304</v>
      </c>
      <c r="C80" s="122">
        <f t="shared" si="141"/>
        <v>0.25132389657459769</v>
      </c>
      <c r="D80" s="122">
        <f t="shared" si="141"/>
        <v>0.24733608128915741</v>
      </c>
      <c r="E80" s="122">
        <f t="shared" si="141"/>
        <v>0.22977237042390183</v>
      </c>
      <c r="F80" s="122">
        <f t="shared" si="141"/>
        <v>0.22520135898831919</v>
      </c>
      <c r="G80" s="122">
        <f t="shared" si="141"/>
        <v>0.19439985816527833</v>
      </c>
      <c r="H80" s="122">
        <f t="shared" si="141"/>
        <v>0.22785798142099298</v>
      </c>
      <c r="I80" s="122">
        <f t="shared" si="141"/>
        <v>0.22559874072282776</v>
      </c>
      <c r="J80" s="122">
        <f t="shared" si="141"/>
        <v>0.17953572569973869</v>
      </c>
      <c r="K80" s="122">
        <f t="shared" ref="K80:V80" si="156">IF(K58=0,0,K58/K69)</f>
        <v>0.21419292794657069</v>
      </c>
      <c r="L80" s="122">
        <f t="shared" si="156"/>
        <v>0.22208196455009574</v>
      </c>
      <c r="M80" s="122">
        <f t="shared" si="156"/>
        <v>0.23386247001911326</v>
      </c>
      <c r="N80" s="122">
        <f t="shared" si="156"/>
        <v>0.22606613513738713</v>
      </c>
      <c r="O80" s="122">
        <f t="shared" si="156"/>
        <v>0.24049149514590218</v>
      </c>
      <c r="P80" s="122">
        <f t="shared" si="156"/>
        <v>0.25192951248376344</v>
      </c>
      <c r="Q80" s="122">
        <f t="shared" si="156"/>
        <v>0.22757861870683294</v>
      </c>
      <c r="R80" s="122">
        <f t="shared" si="156"/>
        <v>0.20354144899514498</v>
      </c>
      <c r="S80" s="122">
        <f t="shared" si="156"/>
        <v>0.25960057525911862</v>
      </c>
      <c r="T80" s="122">
        <f t="shared" si="156"/>
        <v>0.25545349234111275</v>
      </c>
      <c r="U80" s="122">
        <f t="shared" si="156"/>
        <v>0.29707486481959211</v>
      </c>
      <c r="V80" s="122">
        <f t="shared" si="156"/>
        <v>0.21089496946106176</v>
      </c>
      <c r="W80" s="122">
        <f t="shared" ref="W80" si="157">IF(W58=0,0,W58/W69)</f>
        <v>0.20219395913693952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153011.3012634762</v>
      </c>
      <c r="C82" s="54">
        <f t="shared" si="158"/>
        <v>153059.8536949695</v>
      </c>
      <c r="D82" s="54">
        <f t="shared" si="158"/>
        <v>152518.11336685412</v>
      </c>
      <c r="E82" s="54">
        <f t="shared" si="158"/>
        <v>151680.61781874506</v>
      </c>
      <c r="F82" s="54">
        <f t="shared" si="158"/>
        <v>151249.08852711832</v>
      </c>
      <c r="G82" s="54">
        <f t="shared" si="158"/>
        <v>150551.58917638668</v>
      </c>
      <c r="H82" s="54">
        <f t="shared" si="158"/>
        <v>149847.08183974135</v>
      </c>
      <c r="I82" s="54">
        <f t="shared" si="158"/>
        <v>149600.17804845731</v>
      </c>
      <c r="J82" s="54">
        <f t="shared" si="158"/>
        <v>150086.13464930333</v>
      </c>
      <c r="K82" s="54">
        <f t="shared" ref="K82:V82" si="159">IF(K14=0,0,K14/K25*1000000)</f>
        <v>148981.92131167138</v>
      </c>
      <c r="L82" s="54">
        <f t="shared" si="159"/>
        <v>149833.24905526836</v>
      </c>
      <c r="M82" s="54">
        <f t="shared" si="159"/>
        <v>149730.49776910909</v>
      </c>
      <c r="N82" s="54">
        <f t="shared" si="159"/>
        <v>148654.57715516735</v>
      </c>
      <c r="O82" s="54">
        <f t="shared" si="159"/>
        <v>149407.80627941591</v>
      </c>
      <c r="P82" s="54">
        <f t="shared" si="159"/>
        <v>149393.8230299298</v>
      </c>
      <c r="Q82" s="54">
        <f t="shared" si="159"/>
        <v>149624.7673824837</v>
      </c>
      <c r="R82" s="54">
        <f t="shared" si="159"/>
        <v>149630.20739011036</v>
      </c>
      <c r="S82" s="54">
        <f t="shared" si="159"/>
        <v>148522.10060960718</v>
      </c>
      <c r="T82" s="54">
        <f t="shared" si="159"/>
        <v>148381.975213364</v>
      </c>
      <c r="U82" s="54">
        <f t="shared" si="159"/>
        <v>147677.44244076352</v>
      </c>
      <c r="V82" s="54">
        <f t="shared" si="159"/>
        <v>144713.47901865412</v>
      </c>
      <c r="W82" s="54">
        <f t="shared" ref="W82" si="160">IF(W14=0,0,W14/W25*1000000)</f>
        <v>146596.50157964666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149999.99947374032</v>
      </c>
      <c r="C83" s="28">
        <f t="shared" si="161"/>
        <v>149999.99957125395</v>
      </c>
      <c r="D83" s="28">
        <f t="shared" si="161"/>
        <v>149866.35250981731</v>
      </c>
      <c r="E83" s="28">
        <f t="shared" si="161"/>
        <v>149020.19847818554</v>
      </c>
      <c r="F83" s="28">
        <f t="shared" si="161"/>
        <v>148188.47162468306</v>
      </c>
      <c r="G83" s="28">
        <f t="shared" si="161"/>
        <v>147898.03466831063</v>
      </c>
      <c r="H83" s="28">
        <f t="shared" si="161"/>
        <v>147909.19079953386</v>
      </c>
      <c r="I83" s="28">
        <f t="shared" si="161"/>
        <v>147724.21130514817</v>
      </c>
      <c r="J83" s="28">
        <f t="shared" si="161"/>
        <v>147638.09093864757</v>
      </c>
      <c r="K83" s="28">
        <f t="shared" ref="K83:V83" si="162">IF(K15=0,0,K15/K26*1000000)</f>
        <v>147510.2436148469</v>
      </c>
      <c r="L83" s="28">
        <f t="shared" si="162"/>
        <v>147327.10581039893</v>
      </c>
      <c r="M83" s="28">
        <f t="shared" si="162"/>
        <v>146940.8264460456</v>
      </c>
      <c r="N83" s="28">
        <f t="shared" si="162"/>
        <v>146780.14761458227</v>
      </c>
      <c r="O83" s="28">
        <f t="shared" si="162"/>
        <v>146976.51731239413</v>
      </c>
      <c r="P83" s="28">
        <f t="shared" si="162"/>
        <v>146954.70992386239</v>
      </c>
      <c r="Q83" s="28">
        <f t="shared" si="162"/>
        <v>146932.01342371598</v>
      </c>
      <c r="R83" s="28">
        <f t="shared" si="162"/>
        <v>146857.78307578486</v>
      </c>
      <c r="S83" s="28">
        <f t="shared" si="162"/>
        <v>146665.33168646274</v>
      </c>
      <c r="T83" s="28">
        <f t="shared" si="162"/>
        <v>146207.9904999822</v>
      </c>
      <c r="U83" s="28">
        <f t="shared" si="162"/>
        <v>146104.29096057481</v>
      </c>
      <c r="V83" s="28">
        <f t="shared" si="162"/>
        <v>141952.34701220371</v>
      </c>
      <c r="W83" s="28">
        <f t="shared" ref="W83" si="163">IF(W15=0,0,W15/W26*1000000)</f>
        <v>144811.98090771621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109999.99555660166</v>
      </c>
      <c r="E84" s="108">
        <f t="shared" si="161"/>
        <v>109999.99682185519</v>
      </c>
      <c r="F84" s="108">
        <f t="shared" si="161"/>
        <v>109999.99648335838</v>
      </c>
      <c r="G84" s="108">
        <f t="shared" si="161"/>
        <v>109999.99783486941</v>
      </c>
      <c r="H84" s="108">
        <f t="shared" si="161"/>
        <v>109999.9970680597</v>
      </c>
      <c r="I84" s="108">
        <f t="shared" si="161"/>
        <v>109999.99689669936</v>
      </c>
      <c r="J84" s="108">
        <f t="shared" si="161"/>
        <v>109999.99814927467</v>
      </c>
      <c r="K84" s="108">
        <f t="shared" ref="K84:V84" si="164">IF(K16=0,0,K16/K27*1000000)</f>
        <v>109999.99661491539</v>
      </c>
      <c r="L84" s="108">
        <f t="shared" si="164"/>
        <v>109999.99751352792</v>
      </c>
      <c r="M84" s="108">
        <f t="shared" si="164"/>
        <v>109999.99739580393</v>
      </c>
      <c r="N84" s="108">
        <f t="shared" si="164"/>
        <v>107554.47749327403</v>
      </c>
      <c r="O84" s="108">
        <f t="shared" si="164"/>
        <v>109999.99975061622</v>
      </c>
      <c r="P84" s="108">
        <f t="shared" si="164"/>
        <v>109999.99890915936</v>
      </c>
      <c r="Q84" s="108">
        <f t="shared" si="164"/>
        <v>109999.99771702541</v>
      </c>
      <c r="R84" s="108">
        <f t="shared" si="164"/>
        <v>109999.99804626213</v>
      </c>
      <c r="S84" s="108">
        <f t="shared" si="164"/>
        <v>109999.99727909258</v>
      </c>
      <c r="T84" s="108">
        <f t="shared" si="164"/>
        <v>109999.9998449916</v>
      </c>
      <c r="U84" s="108">
        <f t="shared" si="164"/>
        <v>109999.99868056839</v>
      </c>
      <c r="V84" s="108">
        <f t="shared" si="164"/>
        <v>109999.99785742741</v>
      </c>
      <c r="W84" s="108">
        <f t="shared" ref="W84" si="165">IF(W16=0,0,W16/W27*1000000)</f>
        <v>109999.99874295162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149999.99947374032</v>
      </c>
      <c r="C85" s="110">
        <f t="shared" si="161"/>
        <v>149999.99957125395</v>
      </c>
      <c r="D85" s="110">
        <f t="shared" si="161"/>
        <v>149999.99957442287</v>
      </c>
      <c r="E85" s="110">
        <f t="shared" si="161"/>
        <v>149999.99947958312</v>
      </c>
      <c r="F85" s="110">
        <f t="shared" si="161"/>
        <v>149999.99990340087</v>
      </c>
      <c r="G85" s="110">
        <f t="shared" si="161"/>
        <v>149999.99939160497</v>
      </c>
      <c r="H85" s="110">
        <f t="shared" si="161"/>
        <v>149999.99920893542</v>
      </c>
      <c r="I85" s="110">
        <f t="shared" si="161"/>
        <v>149999.99960645122</v>
      </c>
      <c r="J85" s="110">
        <f t="shared" si="161"/>
        <v>149999.99977702674</v>
      </c>
      <c r="K85" s="110">
        <f t="shared" ref="K85:V85" si="166">IF(K17=0,0,K17/K28*1000000)</f>
        <v>149999.99982998348</v>
      </c>
      <c r="L85" s="110">
        <f t="shared" si="166"/>
        <v>149999.99947751575</v>
      </c>
      <c r="M85" s="110">
        <f t="shared" si="166"/>
        <v>149999.99968185087</v>
      </c>
      <c r="N85" s="110">
        <f t="shared" si="166"/>
        <v>149999.9994766241</v>
      </c>
      <c r="O85" s="110">
        <f t="shared" si="166"/>
        <v>149999.99937507787</v>
      </c>
      <c r="P85" s="110">
        <f t="shared" si="166"/>
        <v>149999.999713553</v>
      </c>
      <c r="Q85" s="110">
        <f t="shared" si="166"/>
        <v>149999.99975773119</v>
      </c>
      <c r="R85" s="110">
        <f t="shared" si="166"/>
        <v>149999.99950082938</v>
      </c>
      <c r="S85" s="110">
        <f t="shared" si="166"/>
        <v>149999.9996458769</v>
      </c>
      <c r="T85" s="110">
        <f t="shared" si="166"/>
        <v>149754.99711756094</v>
      </c>
      <c r="U85" s="110">
        <f t="shared" si="166"/>
        <v>149999.99968882525</v>
      </c>
      <c r="V85" s="110">
        <f t="shared" si="166"/>
        <v>145546.4924774557</v>
      </c>
      <c r="W85" s="110">
        <f t="shared" ref="W85" si="167">IF(W17=0,0,W17/W28*1000000)</f>
        <v>148743.90656154577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149999.99940227033</v>
      </c>
      <c r="C86" s="84">
        <f t="shared" si="161"/>
        <v>149999.99997013353</v>
      </c>
      <c r="D86" s="84">
        <f t="shared" si="161"/>
        <v>149999.99940993087</v>
      </c>
      <c r="E86" s="84">
        <f t="shared" si="161"/>
        <v>149999.9998495304</v>
      </c>
      <c r="F86" s="84">
        <f t="shared" si="161"/>
        <v>149999.99994605078</v>
      </c>
      <c r="G86" s="84">
        <f t="shared" si="161"/>
        <v>149999.99964957361</v>
      </c>
      <c r="H86" s="84">
        <f t="shared" si="161"/>
        <v>149999.99934076122</v>
      </c>
      <c r="I86" s="84">
        <f t="shared" si="161"/>
        <v>149999.99977174154</v>
      </c>
      <c r="J86" s="84">
        <f t="shared" si="161"/>
        <v>149999.99979936294</v>
      </c>
      <c r="K86" s="84">
        <f t="shared" ref="K86:V86" si="168">IF(K18=0,0,K18/K29*1000000)</f>
        <v>149999.99993507631</v>
      </c>
      <c r="L86" s="84">
        <f t="shared" si="168"/>
        <v>149999.99943391472</v>
      </c>
      <c r="M86" s="84">
        <f t="shared" si="168"/>
        <v>149999.99968747137</v>
      </c>
      <c r="N86" s="84">
        <f t="shared" si="168"/>
        <v>149999.99974779086</v>
      </c>
      <c r="O86" s="84">
        <f t="shared" si="168"/>
        <v>149999.99947555212</v>
      </c>
      <c r="P86" s="84">
        <f t="shared" si="168"/>
        <v>149999.99964116496</v>
      </c>
      <c r="Q86" s="84">
        <f t="shared" si="168"/>
        <v>149999.99996650705</v>
      </c>
      <c r="R86" s="84">
        <f t="shared" si="168"/>
        <v>149999.99967486586</v>
      </c>
      <c r="S86" s="84">
        <f t="shared" si="168"/>
        <v>149999.99965639706</v>
      </c>
      <c r="T86" s="84">
        <f t="shared" si="168"/>
        <v>149588.49941151048</v>
      </c>
      <c r="U86" s="84">
        <f t="shared" si="168"/>
        <v>149999.99969206384</v>
      </c>
      <c r="V86" s="84">
        <f t="shared" si="168"/>
        <v>142278.11464237631</v>
      </c>
      <c r="W86" s="84">
        <f t="shared" ref="W86" si="169">IF(W18=0,0,W18/W29*1000000)</f>
        <v>147659.21317968913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149999.99956317147</v>
      </c>
      <c r="C87" s="84">
        <f t="shared" si="161"/>
        <v>149999.9991016679</v>
      </c>
      <c r="D87" s="84">
        <f t="shared" si="161"/>
        <v>149999.99976252872</v>
      </c>
      <c r="E87" s="84">
        <f t="shared" si="161"/>
        <v>149999.9989963999</v>
      </c>
      <c r="F87" s="84">
        <f t="shared" si="161"/>
        <v>149999.99984907889</v>
      </c>
      <c r="G87" s="84">
        <f t="shared" si="161"/>
        <v>149999.99902556645</v>
      </c>
      <c r="H87" s="84">
        <f t="shared" si="161"/>
        <v>149999.99902941441</v>
      </c>
      <c r="I87" s="84">
        <f t="shared" si="161"/>
        <v>149999.99936659663</v>
      </c>
      <c r="J87" s="84">
        <f t="shared" si="161"/>
        <v>149999.99974428469</v>
      </c>
      <c r="K87" s="84">
        <f t="shared" ref="K87:V87" si="170">IF(K19=0,0,K19/K30*1000000)</f>
        <v>149999.99968765091</v>
      </c>
      <c r="L87" s="84">
        <f t="shared" si="170"/>
        <v>149999.99953903761</v>
      </c>
      <c r="M87" s="84">
        <f t="shared" si="170"/>
        <v>149999.99967369807</v>
      </c>
      <c r="N87" s="84">
        <f t="shared" si="170"/>
        <v>149999.99905136967</v>
      </c>
      <c r="O87" s="84">
        <f t="shared" si="170"/>
        <v>149999.99922225281</v>
      </c>
      <c r="P87" s="84">
        <f t="shared" si="170"/>
        <v>149999.99983292297</v>
      </c>
      <c r="Q87" s="84">
        <f t="shared" si="170"/>
        <v>149999.99941907692</v>
      </c>
      <c r="R87" s="84">
        <f t="shared" si="170"/>
        <v>149999.99922258998</v>
      </c>
      <c r="S87" s="84">
        <f t="shared" si="170"/>
        <v>149999.9996294897</v>
      </c>
      <c r="T87" s="84">
        <f t="shared" si="170"/>
        <v>149999.99941213449</v>
      </c>
      <c r="U87" s="84">
        <f t="shared" si="170"/>
        <v>149999.99968416014</v>
      </c>
      <c r="V87" s="84">
        <f t="shared" si="170"/>
        <v>149999.99982867236</v>
      </c>
      <c r="W87" s="84">
        <f t="shared" ref="W87" si="171">IF(W19=0,0,W19/W30*1000000)</f>
        <v>149999.9992623326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199999.98136756252</v>
      </c>
      <c r="C89" s="28">
        <f t="shared" si="161"/>
        <v>199999.99490132782</v>
      </c>
      <c r="D89" s="28">
        <f t="shared" si="161"/>
        <v>199999.98428677194</v>
      </c>
      <c r="E89" s="28">
        <f t="shared" si="161"/>
        <v>199999.99167121391</v>
      </c>
      <c r="F89" s="28">
        <f t="shared" si="161"/>
        <v>199999.99191593842</v>
      </c>
      <c r="G89" s="28">
        <f t="shared" si="161"/>
        <v>199999.98353706626</v>
      </c>
      <c r="H89" s="28">
        <f t="shared" si="161"/>
        <v>188085.63453311051</v>
      </c>
      <c r="I89" s="28">
        <f t="shared" si="161"/>
        <v>189677.46704833655</v>
      </c>
      <c r="J89" s="28">
        <f t="shared" si="161"/>
        <v>199999.99152308129</v>
      </c>
      <c r="K89" s="28">
        <f t="shared" ref="K89:V89" si="174">IF(K21=0,0,K21/K32*1000000)</f>
        <v>182411.08495310092</v>
      </c>
      <c r="L89" s="28">
        <f t="shared" si="174"/>
        <v>199999.98212499733</v>
      </c>
      <c r="M89" s="28">
        <f t="shared" si="174"/>
        <v>199999.99622738129</v>
      </c>
      <c r="N89" s="28">
        <f t="shared" si="174"/>
        <v>185601.77086624765</v>
      </c>
      <c r="O89" s="28">
        <f t="shared" si="174"/>
        <v>199999.98906651908</v>
      </c>
      <c r="P89" s="28">
        <f t="shared" si="174"/>
        <v>199999.99589818972</v>
      </c>
      <c r="Q89" s="28">
        <f t="shared" si="174"/>
        <v>199999.9855754507</v>
      </c>
      <c r="R89" s="28">
        <f t="shared" si="174"/>
        <v>199999.98945674463</v>
      </c>
      <c r="S89" s="28">
        <f t="shared" si="174"/>
        <v>184233.63996399465</v>
      </c>
      <c r="T89" s="28">
        <f t="shared" si="174"/>
        <v>192095.01790081669</v>
      </c>
      <c r="U89" s="28">
        <f t="shared" si="174"/>
        <v>183236.58546786135</v>
      </c>
      <c r="V89" s="28">
        <f t="shared" si="174"/>
        <v>199999.9894969766</v>
      </c>
      <c r="W89" s="28">
        <f t="shared" ref="W89" si="175">IF(W21=0,0,W21/W32*1000000)</f>
        <v>185562.98390271037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199999.9829491142</v>
      </c>
      <c r="C90" s="84">
        <f t="shared" si="161"/>
        <v>199999.99715919155</v>
      </c>
      <c r="D90" s="84">
        <f t="shared" si="161"/>
        <v>199999.9919169831</v>
      </c>
      <c r="E90" s="84">
        <f t="shared" si="161"/>
        <v>199999.98959009314</v>
      </c>
      <c r="F90" s="84">
        <f t="shared" si="161"/>
        <v>199999.9931755763</v>
      </c>
      <c r="G90" s="84">
        <f t="shared" si="161"/>
        <v>199999.98567782459</v>
      </c>
      <c r="H90" s="84">
        <f t="shared" si="161"/>
        <v>199999.98390739923</v>
      </c>
      <c r="I90" s="84">
        <f t="shared" si="161"/>
        <v>199999.99209894388</v>
      </c>
      <c r="J90" s="84">
        <f t="shared" si="161"/>
        <v>199999.99833755606</v>
      </c>
      <c r="K90" s="84">
        <f t="shared" ref="K90:V90" si="176">IF(K22=0,0,K22/K33*1000000)</f>
        <v>199999.973448937</v>
      </c>
      <c r="L90" s="84">
        <f t="shared" si="176"/>
        <v>199999.97965639093</v>
      </c>
      <c r="M90" s="84">
        <f t="shared" si="176"/>
        <v>199999.99632184408</v>
      </c>
      <c r="N90" s="84">
        <f t="shared" si="176"/>
        <v>178852.30097827397</v>
      </c>
      <c r="O90" s="84">
        <f t="shared" si="176"/>
        <v>199999.99401432151</v>
      </c>
      <c r="P90" s="84">
        <f t="shared" si="176"/>
        <v>199999.99976158518</v>
      </c>
      <c r="Q90" s="84">
        <f t="shared" si="176"/>
        <v>199999.98631166073</v>
      </c>
      <c r="R90" s="84">
        <f t="shared" si="176"/>
        <v>199999.99109363527</v>
      </c>
      <c r="S90" s="84">
        <f t="shared" si="176"/>
        <v>199999.9890481598</v>
      </c>
      <c r="T90" s="84">
        <f t="shared" si="176"/>
        <v>199265.49779785326</v>
      </c>
      <c r="U90" s="84">
        <f t="shared" si="176"/>
        <v>199999.98767110961</v>
      </c>
      <c r="V90" s="84">
        <f t="shared" si="176"/>
        <v>199999.98769617936</v>
      </c>
      <c r="W90" s="84">
        <f t="shared" ref="W90" si="177">IF(W22=0,0,W22/W33*1000000)</f>
        <v>180852.17016972086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199999.9795270545</v>
      </c>
      <c r="C91" s="86">
        <f t="shared" si="161"/>
        <v>199999.99255141226</v>
      </c>
      <c r="D91" s="86">
        <f t="shared" si="161"/>
        <v>199999.97656610317</v>
      </c>
      <c r="E91" s="86">
        <f t="shared" si="161"/>
        <v>199999.99347084365</v>
      </c>
      <c r="F91" s="86">
        <f t="shared" si="161"/>
        <v>199999.99090608992</v>
      </c>
      <c r="G91" s="86">
        <f t="shared" si="161"/>
        <v>199999.98191340707</v>
      </c>
      <c r="H91" s="86">
        <f t="shared" si="161"/>
        <v>178174.69476893821</v>
      </c>
      <c r="I91" s="86">
        <f t="shared" si="161"/>
        <v>181220.69223969511</v>
      </c>
      <c r="J91" s="86">
        <f t="shared" si="161"/>
        <v>199999.98681769482</v>
      </c>
      <c r="K91" s="86">
        <f t="shared" ref="K91:V91" si="178">IF(K23=0,0,K23/K34*1000000)</f>
        <v>169599.71862003556</v>
      </c>
      <c r="L91" s="86">
        <f t="shared" si="178"/>
        <v>199999.98433962319</v>
      </c>
      <c r="M91" s="86">
        <f t="shared" si="178"/>
        <v>199999.99613609139</v>
      </c>
      <c r="N91" s="86">
        <f t="shared" si="178"/>
        <v>192022.47149293529</v>
      </c>
      <c r="O91" s="86">
        <f t="shared" si="178"/>
        <v>199999.98445224547</v>
      </c>
      <c r="P91" s="86">
        <f t="shared" si="178"/>
        <v>199999.99159324515</v>
      </c>
      <c r="Q91" s="86">
        <f t="shared" si="178"/>
        <v>199999.98484842028</v>
      </c>
      <c r="R91" s="86">
        <f t="shared" si="178"/>
        <v>199999.98801730858</v>
      </c>
      <c r="S91" s="86">
        <f t="shared" si="178"/>
        <v>170246.56845834848</v>
      </c>
      <c r="T91" s="86">
        <f t="shared" si="178"/>
        <v>185871.96210019715</v>
      </c>
      <c r="U91" s="86">
        <f t="shared" si="178"/>
        <v>168634.20246923648</v>
      </c>
      <c r="V91" s="86">
        <f t="shared" si="178"/>
        <v>199999.99070129069</v>
      </c>
      <c r="W91" s="86">
        <f t="shared" ref="W91" si="179">IF(W23=0,0,W23/W34*1000000)</f>
        <v>188560.82839993891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19519395.261849232</v>
      </c>
      <c r="C94" s="28">
        <f t="shared" si="180"/>
        <v>20556926.041246574</v>
      </c>
      <c r="D94" s="28">
        <f t="shared" si="180"/>
        <v>19386540.649884753</v>
      </c>
      <c r="E94" s="28">
        <f t="shared" si="180"/>
        <v>18952432.331141166</v>
      </c>
      <c r="F94" s="28">
        <f t="shared" si="180"/>
        <v>18904942.621304877</v>
      </c>
      <c r="G94" s="28">
        <f t="shared" si="180"/>
        <v>17309631.558003999</v>
      </c>
      <c r="H94" s="28">
        <f t="shared" si="180"/>
        <v>17396044.975624878</v>
      </c>
      <c r="I94" s="28">
        <f t="shared" si="180"/>
        <v>17888799.678915054</v>
      </c>
      <c r="J94" s="28">
        <f t="shared" si="180"/>
        <v>17098076.847661559</v>
      </c>
      <c r="K94" s="28">
        <f t="shared" ref="K94:V94" si="181">IF(K4=0,0,K4/K26*1000000)</f>
        <v>15982928.03385796</v>
      </c>
      <c r="L94" s="28">
        <f t="shared" si="181"/>
        <v>16020214.397625605</v>
      </c>
      <c r="M94" s="28">
        <f t="shared" si="181"/>
        <v>15882824.492195223</v>
      </c>
      <c r="N94" s="28">
        <f t="shared" si="181"/>
        <v>16104868.109145857</v>
      </c>
      <c r="O94" s="28">
        <f t="shared" si="181"/>
        <v>15891337.420165272</v>
      </c>
      <c r="P94" s="28">
        <f t="shared" si="181"/>
        <v>15326702.566855947</v>
      </c>
      <c r="Q94" s="28">
        <f t="shared" si="181"/>
        <v>15130805.289438825</v>
      </c>
      <c r="R94" s="28">
        <f t="shared" si="181"/>
        <v>14185135.004927581</v>
      </c>
      <c r="S94" s="28">
        <f t="shared" si="181"/>
        <v>14145457.70958082</v>
      </c>
      <c r="T94" s="28">
        <f t="shared" si="181"/>
        <v>14463765.980374331</v>
      </c>
      <c r="U94" s="28">
        <f t="shared" si="181"/>
        <v>13859111.510533487</v>
      </c>
      <c r="V94" s="28">
        <f t="shared" si="181"/>
        <v>9252870.2424277607</v>
      </c>
      <c r="W94" s="28">
        <f t="shared" ref="W94" si="182">IF(W4=0,0,W4/W26*1000000)</f>
        <v>9835880.743608281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9075563.1386927553</v>
      </c>
      <c r="E95" s="108">
        <f t="shared" si="180"/>
        <v>8796814.9752776679</v>
      </c>
      <c r="F95" s="108">
        <f t="shared" si="180"/>
        <v>8796814.9482077211</v>
      </c>
      <c r="G95" s="108">
        <f t="shared" si="180"/>
        <v>8696651.6119753737</v>
      </c>
      <c r="H95" s="108">
        <f t="shared" si="180"/>
        <v>8699526.830613846</v>
      </c>
      <c r="I95" s="108">
        <f t="shared" si="180"/>
        <v>8759993.2592594232</v>
      </c>
      <c r="J95" s="108">
        <f t="shared" si="180"/>
        <v>8720451.6997211296</v>
      </c>
      <c r="K95" s="108">
        <f t="shared" ref="K95:V95" si="183">IF(K5=0,0,K5/K27*1000000)</f>
        <v>8670879.5849141032</v>
      </c>
      <c r="L95" s="108">
        <f t="shared" si="183"/>
        <v>8711976.8685714081</v>
      </c>
      <c r="M95" s="108">
        <f t="shared" si="183"/>
        <v>8690889.4468842838</v>
      </c>
      <c r="N95" s="108">
        <f t="shared" si="183"/>
        <v>8565840.6778643671</v>
      </c>
      <c r="O95" s="108">
        <f t="shared" si="183"/>
        <v>8735602.4429788943</v>
      </c>
      <c r="P95" s="108">
        <f t="shared" si="183"/>
        <v>8723335.4249624629</v>
      </c>
      <c r="Q95" s="108">
        <f t="shared" si="183"/>
        <v>8750966.6992973424</v>
      </c>
      <c r="R95" s="108">
        <f t="shared" si="183"/>
        <v>8712542.2093492541</v>
      </c>
      <c r="S95" s="108">
        <f t="shared" si="183"/>
        <v>8738868.7378093097</v>
      </c>
      <c r="T95" s="108">
        <f t="shared" si="183"/>
        <v>8713222.1884282306</v>
      </c>
      <c r="U95" s="108">
        <f t="shared" si="183"/>
        <v>8658431.0844949018</v>
      </c>
      <c r="V95" s="108">
        <f t="shared" si="183"/>
        <v>6253710.3003542377</v>
      </c>
      <c r="W95" s="108">
        <f t="shared" ref="W95" si="184">IF(W5=0,0,W5/W27*1000000)</f>
        <v>7110011.162073113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19519395.261849232</v>
      </c>
      <c r="C96" s="110">
        <f t="shared" si="180"/>
        <v>20556926.041246574</v>
      </c>
      <c r="D96" s="110">
        <f t="shared" si="180"/>
        <v>19421106.935417239</v>
      </c>
      <c r="E96" s="110">
        <f t="shared" si="180"/>
        <v>19207440.855769627</v>
      </c>
      <c r="F96" s="110">
        <f t="shared" si="180"/>
        <v>19384436.999044258</v>
      </c>
      <c r="G96" s="110">
        <f t="shared" si="180"/>
        <v>17787339.152425312</v>
      </c>
      <c r="H96" s="110">
        <f t="shared" si="180"/>
        <v>17875684.64823037</v>
      </c>
      <c r="I96" s="110">
        <f t="shared" si="180"/>
        <v>18439513.091519859</v>
      </c>
      <c r="J96" s="110">
        <f t="shared" si="180"/>
        <v>17623799.205387797</v>
      </c>
      <c r="K96" s="110">
        <f t="shared" ref="K96:V96" si="185">IF(K6=0,0,K6/K28*1000000)</f>
        <v>16468267.895020993</v>
      </c>
      <c r="L96" s="110">
        <f t="shared" si="185"/>
        <v>16543537.598925717</v>
      </c>
      <c r="M96" s="110">
        <f t="shared" si="185"/>
        <v>16478408.72162175</v>
      </c>
      <c r="N96" s="110">
        <f t="shared" si="185"/>
        <v>16723711.622526903</v>
      </c>
      <c r="O96" s="110">
        <f t="shared" si="185"/>
        <v>16476444.882291598</v>
      </c>
      <c r="P96" s="110">
        <f t="shared" si="185"/>
        <v>15870859.6170027</v>
      </c>
      <c r="Q96" s="110">
        <f t="shared" si="185"/>
        <v>15660786.045518456</v>
      </c>
      <c r="R96" s="110">
        <f t="shared" si="185"/>
        <v>14651686.941135153</v>
      </c>
      <c r="S96" s="110">
        <f t="shared" si="185"/>
        <v>14637180.458201503</v>
      </c>
      <c r="T96" s="110">
        <f t="shared" si="185"/>
        <v>15027100.661910925</v>
      </c>
      <c r="U96" s="110">
        <f t="shared" si="185"/>
        <v>14420272.936200853</v>
      </c>
      <c r="V96" s="110">
        <f t="shared" si="185"/>
        <v>9590229.3847291227</v>
      </c>
      <c r="W96" s="110">
        <f t="shared" ref="W96" si="186">IF(W6=0,0,W6/W28*1000000)</f>
        <v>10143760.843221799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17394937.749610826</v>
      </c>
      <c r="C97" s="84">
        <f t="shared" si="180"/>
        <v>18418754.634262253</v>
      </c>
      <c r="D97" s="84">
        <f t="shared" si="180"/>
        <v>17420412.415922444</v>
      </c>
      <c r="E97" s="84">
        <f t="shared" si="180"/>
        <v>16748210.132542532</v>
      </c>
      <c r="F97" s="84">
        <f t="shared" si="180"/>
        <v>16939306.891509194</v>
      </c>
      <c r="G97" s="84">
        <f t="shared" si="180"/>
        <v>16731047.236700643</v>
      </c>
      <c r="H97" s="84">
        <f t="shared" si="180"/>
        <v>17478575.797992654</v>
      </c>
      <c r="I97" s="84">
        <f t="shared" si="180"/>
        <v>17443407.094876222</v>
      </c>
      <c r="J97" s="84">
        <f t="shared" si="180"/>
        <v>16841610.689317528</v>
      </c>
      <c r="K97" s="84">
        <f t="shared" ref="K97:V97" si="187">IF(K7=0,0,K7/K29*1000000)</f>
        <v>15951309.758332318</v>
      </c>
      <c r="L97" s="84">
        <f t="shared" si="187"/>
        <v>15679477.331978617</v>
      </c>
      <c r="M97" s="84">
        <f t="shared" si="187"/>
        <v>15747547.866546102</v>
      </c>
      <c r="N97" s="84">
        <f t="shared" si="187"/>
        <v>15635084.3743493</v>
      </c>
      <c r="O97" s="84">
        <f t="shared" si="187"/>
        <v>15815681.550885238</v>
      </c>
      <c r="P97" s="84">
        <f t="shared" si="187"/>
        <v>14922595.48907038</v>
      </c>
      <c r="Q97" s="84">
        <f t="shared" si="187"/>
        <v>14619181.955024056</v>
      </c>
      <c r="R97" s="84">
        <f t="shared" si="187"/>
        <v>13682075.934350085</v>
      </c>
      <c r="S97" s="84">
        <f t="shared" si="187"/>
        <v>13803563.12482594</v>
      </c>
      <c r="T97" s="84">
        <f t="shared" si="187"/>
        <v>12649755.5075013</v>
      </c>
      <c r="U97" s="84">
        <f t="shared" si="187"/>
        <v>12235728.65220711</v>
      </c>
      <c r="V97" s="84">
        <f t="shared" si="187"/>
        <v>8264785.9636168256</v>
      </c>
      <c r="W97" s="84">
        <f t="shared" ref="W97" si="188">IF(W7=0,0,W7/W29*1000000)</f>
        <v>8547807.3216442168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22177751.252110671</v>
      </c>
      <c r="C98" s="84">
        <f t="shared" si="180"/>
        <v>23074115.526532672</v>
      </c>
      <c r="D98" s="84">
        <f t="shared" si="180"/>
        <v>21709013.960547771</v>
      </c>
      <c r="E98" s="84">
        <f t="shared" si="180"/>
        <v>22419409.130944956</v>
      </c>
      <c r="F98" s="84">
        <f t="shared" si="180"/>
        <v>22498727.356254585</v>
      </c>
      <c r="G98" s="84">
        <f t="shared" si="180"/>
        <v>19286139.439354118</v>
      </c>
      <c r="H98" s="84">
        <f t="shared" si="180"/>
        <v>18416469.371868413</v>
      </c>
      <c r="I98" s="84">
        <f t="shared" si="180"/>
        <v>19884973.489335619</v>
      </c>
      <c r="J98" s="84">
        <f t="shared" si="180"/>
        <v>18770387.138930082</v>
      </c>
      <c r="K98" s="84">
        <f t="shared" ref="K98:V98" si="189">IF(K8=0,0,K8/K30*1000000)</f>
        <v>17168410.728902604</v>
      </c>
      <c r="L98" s="84">
        <f t="shared" si="189"/>
        <v>17762743.418919384</v>
      </c>
      <c r="M98" s="84">
        <f t="shared" si="189"/>
        <v>17538551.456074726</v>
      </c>
      <c r="N98" s="84">
        <f t="shared" si="189"/>
        <v>18430940.13350917</v>
      </c>
      <c r="O98" s="84">
        <f t="shared" si="189"/>
        <v>17481489.739316352</v>
      </c>
      <c r="P98" s="84">
        <f t="shared" si="189"/>
        <v>17434575.690802183</v>
      </c>
      <c r="Q98" s="84">
        <f t="shared" si="189"/>
        <v>17350366.682854921</v>
      </c>
      <c r="R98" s="84">
        <f t="shared" si="189"/>
        <v>16201844.764849927</v>
      </c>
      <c r="S98" s="84">
        <f t="shared" si="189"/>
        <v>15935700.356948158</v>
      </c>
      <c r="T98" s="84">
        <f t="shared" si="189"/>
        <v>18525377.194605041</v>
      </c>
      <c r="U98" s="84">
        <f t="shared" si="189"/>
        <v>17567041.33241101</v>
      </c>
      <c r="V98" s="84">
        <f t="shared" si="189"/>
        <v>11396284.962572671</v>
      </c>
      <c r="W98" s="84">
        <f t="shared" ref="W98" si="190">IF(W8=0,0,W8/W30*1000000)</f>
        <v>11991901.158983124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111392468.00987096</v>
      </c>
      <c r="C100" s="28">
        <f t="shared" si="180"/>
        <v>115261409.95628169</v>
      </c>
      <c r="D100" s="28">
        <f t="shared" si="180"/>
        <v>113236960.25424926</v>
      </c>
      <c r="E100" s="28">
        <f t="shared" si="180"/>
        <v>115947189.53066386</v>
      </c>
      <c r="F100" s="28">
        <f t="shared" si="180"/>
        <v>115066634.78578891</v>
      </c>
      <c r="G100" s="28">
        <f t="shared" si="180"/>
        <v>103875611.68857168</v>
      </c>
      <c r="H100" s="28">
        <f t="shared" si="180"/>
        <v>103514033.34607197</v>
      </c>
      <c r="I100" s="28">
        <f t="shared" si="180"/>
        <v>107016685.21863167</v>
      </c>
      <c r="J100" s="28">
        <f t="shared" si="180"/>
        <v>100466458.336059</v>
      </c>
      <c r="K100" s="28">
        <f t="shared" ref="K100:V100" si="193">IF(K10=0,0,K10/K32*1000000)</f>
        <v>96935581.1744259</v>
      </c>
      <c r="L100" s="28">
        <f t="shared" si="193"/>
        <v>109170300.35387465</v>
      </c>
      <c r="M100" s="28">
        <f t="shared" si="193"/>
        <v>112621311.87284115</v>
      </c>
      <c r="N100" s="28">
        <f t="shared" si="193"/>
        <v>106485260.90665236</v>
      </c>
      <c r="O100" s="28">
        <f t="shared" si="193"/>
        <v>118483412.32227491</v>
      </c>
      <c r="P100" s="28">
        <f t="shared" si="193"/>
        <v>114577221.26370129</v>
      </c>
      <c r="Q100" s="28">
        <f t="shared" si="193"/>
        <v>108227326.61414738</v>
      </c>
      <c r="R100" s="28">
        <f t="shared" si="193"/>
        <v>101336071.16333345</v>
      </c>
      <c r="S100" s="28">
        <f t="shared" si="193"/>
        <v>109013775.01841483</v>
      </c>
      <c r="T100" s="28">
        <f t="shared" si="193"/>
        <v>115194281.1057532</v>
      </c>
      <c r="U100" s="28">
        <f t="shared" si="193"/>
        <v>120322768.08889608</v>
      </c>
      <c r="V100" s="28">
        <f t="shared" si="193"/>
        <v>107333892.69624843</v>
      </c>
      <c r="W100" s="28">
        <f t="shared" ref="W100" si="194">IF(W10=0,0,W10/W32*1000000)</f>
        <v>94535086.583143532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116511055.20888071</v>
      </c>
      <c r="C101" s="84">
        <f t="shared" si="180"/>
        <v>124586604.28802799</v>
      </c>
      <c r="D101" s="84">
        <f t="shared" si="180"/>
        <v>122483163.04906303</v>
      </c>
      <c r="E101" s="84">
        <f t="shared" si="180"/>
        <v>138431153.39306477</v>
      </c>
      <c r="F101" s="84">
        <f t="shared" si="180"/>
        <v>140615008.51158965</v>
      </c>
      <c r="G101" s="84">
        <f t="shared" si="180"/>
        <v>133182308.99358326</v>
      </c>
      <c r="H101" s="84">
        <f t="shared" si="180"/>
        <v>125461679.92281367</v>
      </c>
      <c r="I101" s="84">
        <f t="shared" si="180"/>
        <v>132847547.33143379</v>
      </c>
      <c r="J101" s="84">
        <f t="shared" si="180"/>
        <v>136761176.46205407</v>
      </c>
      <c r="K101" s="84">
        <f t="shared" ref="K101:V101" si="195">IF(K11=0,0,K11/K33*1000000)</f>
        <v>125284520.03412372</v>
      </c>
      <c r="L101" s="84">
        <f t="shared" si="195"/>
        <v>126889174.86836912</v>
      </c>
      <c r="M101" s="84">
        <f t="shared" si="195"/>
        <v>127520842.78048393</v>
      </c>
      <c r="N101" s="84">
        <f t="shared" si="195"/>
        <v>122594684.20860063</v>
      </c>
      <c r="O101" s="84">
        <f t="shared" si="195"/>
        <v>137223675.99536085</v>
      </c>
      <c r="P101" s="84">
        <f t="shared" si="195"/>
        <v>122444856.40171887</v>
      </c>
      <c r="Q101" s="84">
        <f t="shared" si="195"/>
        <v>121031289.98645246</v>
      </c>
      <c r="R101" s="84">
        <f t="shared" si="195"/>
        <v>119358778.76275299</v>
      </c>
      <c r="S101" s="84">
        <f t="shared" si="195"/>
        <v>127276754.5775141</v>
      </c>
      <c r="T101" s="84">
        <f t="shared" si="195"/>
        <v>133034285.75360794</v>
      </c>
      <c r="U101" s="84">
        <f t="shared" si="195"/>
        <v>137679361.27110517</v>
      </c>
      <c r="V101" s="84">
        <f t="shared" si="195"/>
        <v>135382532.97803205</v>
      </c>
      <c r="W101" s="84">
        <f t="shared" ref="W101" si="196">IF(W11=0,0,W11/W33*1000000)</f>
        <v>117274474.0611496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105435785.5683621</v>
      </c>
      <c r="C102" s="86">
        <f t="shared" si="180"/>
        <v>105556032.63011403</v>
      </c>
      <c r="D102" s="86">
        <f t="shared" si="180"/>
        <v>103881141.96974486</v>
      </c>
      <c r="E102" s="86">
        <f t="shared" si="180"/>
        <v>96504392.427577347</v>
      </c>
      <c r="F102" s="86">
        <f t="shared" si="180"/>
        <v>94584566.474376142</v>
      </c>
      <c r="G102" s="86">
        <f t="shared" si="180"/>
        <v>81647933.045751587</v>
      </c>
      <c r="H102" s="86">
        <f t="shared" si="180"/>
        <v>85256905.209738821</v>
      </c>
      <c r="I102" s="86">
        <f t="shared" si="180"/>
        <v>85854635.920608133</v>
      </c>
      <c r="J102" s="86">
        <f t="shared" si="180"/>
        <v>75404999.82383132</v>
      </c>
      <c r="K102" s="86">
        <f t="shared" ref="K102:V102" si="197">IF(K12=0,0,K12/K34*1000000)</f>
        <v>76286826.651293874</v>
      </c>
      <c r="L102" s="86">
        <f t="shared" si="197"/>
        <v>93274417.807476997</v>
      </c>
      <c r="M102" s="86">
        <f t="shared" si="197"/>
        <v>98222235.510418817</v>
      </c>
      <c r="N102" s="86">
        <f t="shared" si="197"/>
        <v>91160533.778867662</v>
      </c>
      <c r="O102" s="86">
        <f t="shared" si="197"/>
        <v>101006420.10916317</v>
      </c>
      <c r="P102" s="86">
        <f t="shared" si="197"/>
        <v>105810390.79557037</v>
      </c>
      <c r="Q102" s="86">
        <f t="shared" si="197"/>
        <v>95583012.615701094</v>
      </c>
      <c r="R102" s="86">
        <f t="shared" si="197"/>
        <v>85487403.456114709</v>
      </c>
      <c r="S102" s="86">
        <f t="shared" si="197"/>
        <v>92811824.9261242</v>
      </c>
      <c r="T102" s="86">
        <f t="shared" si="197"/>
        <v>99711447.878259659</v>
      </c>
      <c r="U102" s="86">
        <f t="shared" si="197"/>
        <v>105203664.09526712</v>
      </c>
      <c r="V102" s="86">
        <f t="shared" si="197"/>
        <v>88575883.055438787</v>
      </c>
      <c r="W102" s="86">
        <f t="shared" ref="W102" si="198">IF(W12=0,0,W12/W34*1000000)</f>
        <v>80064306.907881886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1.5641293013555788E-3</v>
      </c>
      <c r="E106" s="123">
        <f t="shared" si="199"/>
        <v>1.1369421347361276E-2</v>
      </c>
      <c r="F106" s="123">
        <f t="shared" si="199"/>
        <v>2.1073427724728349E-2</v>
      </c>
      <c r="G106" s="123">
        <f t="shared" si="199"/>
        <v>2.6401564537157758E-2</v>
      </c>
      <c r="H106" s="123">
        <f t="shared" si="199"/>
        <v>2.6139623844437361E-2</v>
      </c>
      <c r="I106" s="123">
        <f t="shared" si="199"/>
        <v>2.7860853140248703E-2</v>
      </c>
      <c r="J106" s="123">
        <f t="shared" si="199"/>
        <v>3.0115830115830116E-2</v>
      </c>
      <c r="K106" s="123">
        <f t="shared" ref="K106:V106" si="202">IF(K5=0,0,K5/K$4)</f>
        <v>3.3767865556777132E-2</v>
      </c>
      <c r="L106" s="123">
        <f t="shared" si="202"/>
        <v>3.6338756271856468E-2</v>
      </c>
      <c r="M106" s="123">
        <f t="shared" si="202"/>
        <v>4.1848562396507603E-2</v>
      </c>
      <c r="N106" s="123">
        <f t="shared" si="202"/>
        <v>4.0347518774849066E-2</v>
      </c>
      <c r="O106" s="123">
        <f t="shared" si="202"/>
        <v>4.15508412582297E-2</v>
      </c>
      <c r="P106" s="123">
        <f t="shared" si="202"/>
        <v>4.3331374853113981E-2</v>
      </c>
      <c r="Q106" s="123">
        <f t="shared" si="202"/>
        <v>4.435957696827262E-2</v>
      </c>
      <c r="R106" s="123">
        <f t="shared" si="202"/>
        <v>4.8248910266045393E-2</v>
      </c>
      <c r="S106" s="123">
        <f t="shared" si="202"/>
        <v>5.1502794139858026E-2</v>
      </c>
      <c r="T106" s="123">
        <f t="shared" si="202"/>
        <v>5.3748663918155443E-2</v>
      </c>
      <c r="U106" s="123">
        <f t="shared" si="202"/>
        <v>6.0845756008518409E-2</v>
      </c>
      <c r="V106" s="123">
        <f t="shared" si="202"/>
        <v>6.833766847954599E-2</v>
      </c>
      <c r="W106" s="123">
        <f t="shared" ref="W106" si="203">IF(W5=0,0,W5/W$4)</f>
        <v>7.3359929078014183E-2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0.99843587069864437</v>
      </c>
      <c r="E107" s="124">
        <f t="shared" si="199"/>
        <v>0.9886305786526387</v>
      </c>
      <c r="F107" s="124">
        <f t="shared" si="199"/>
        <v>0.97892657227527169</v>
      </c>
      <c r="G107" s="124">
        <f t="shared" si="199"/>
        <v>0.97359843546284219</v>
      </c>
      <c r="H107" s="124">
        <f t="shared" si="199"/>
        <v>0.97386037615556265</v>
      </c>
      <c r="I107" s="124">
        <f t="shared" si="199"/>
        <v>0.97213914685975134</v>
      </c>
      <c r="J107" s="124">
        <f t="shared" si="199"/>
        <v>0.96988416988416992</v>
      </c>
      <c r="K107" s="124">
        <f t="shared" ref="K107:V107" si="204">IF(K6=0,0,K6/K$4)</f>
        <v>0.96623213444322287</v>
      </c>
      <c r="L107" s="124">
        <f t="shared" si="204"/>
        <v>0.96366124372814355</v>
      </c>
      <c r="M107" s="124">
        <f t="shared" si="204"/>
        <v>0.95815143760349242</v>
      </c>
      <c r="N107" s="124">
        <f t="shared" si="204"/>
        <v>0.9596524812251509</v>
      </c>
      <c r="O107" s="124">
        <f t="shared" si="204"/>
        <v>0.95844915874177028</v>
      </c>
      <c r="P107" s="124">
        <f t="shared" si="204"/>
        <v>0.956668625146886</v>
      </c>
      <c r="Q107" s="124">
        <f t="shared" si="204"/>
        <v>0.95564042303172736</v>
      </c>
      <c r="R107" s="124">
        <f t="shared" si="204"/>
        <v>0.95175108973395461</v>
      </c>
      <c r="S107" s="124">
        <f t="shared" si="204"/>
        <v>0.94849720586014197</v>
      </c>
      <c r="T107" s="124">
        <f t="shared" si="204"/>
        <v>0.94625133608184453</v>
      </c>
      <c r="U107" s="124">
        <f t="shared" si="204"/>
        <v>0.93915424399148162</v>
      </c>
      <c r="V107" s="124">
        <f t="shared" si="204"/>
        <v>0.93166233152045397</v>
      </c>
      <c r="W107" s="124">
        <f t="shared" ref="W107" si="205">IF(W6=0,0,W6/W$4)</f>
        <v>0.92664007092198586</v>
      </c>
      <c r="DA107" s="176"/>
    </row>
    <row r="108" spans="1:105" ht="11.45" customHeight="1" x14ac:dyDescent="0.25">
      <c r="A108" s="111" t="s">
        <v>92</v>
      </c>
      <c r="B108" s="125">
        <f t="shared" si="199"/>
        <v>0.49532039689082497</v>
      </c>
      <c r="C108" s="125">
        <f t="shared" si="199"/>
        <v>0.4844674954417662</v>
      </c>
      <c r="D108" s="125">
        <f t="shared" si="199"/>
        <v>0.47777926992827691</v>
      </c>
      <c r="E108" s="125">
        <f t="shared" si="199"/>
        <v>0.48823543488958138</v>
      </c>
      <c r="F108" s="125">
        <f t="shared" si="199"/>
        <v>0.47920588325265107</v>
      </c>
      <c r="G108" s="125">
        <f t="shared" si="199"/>
        <v>0.53719158107886933</v>
      </c>
      <c r="H108" s="125">
        <f t="shared" si="199"/>
        <v>0.54904875149764343</v>
      </c>
      <c r="I108" s="125">
        <f t="shared" si="199"/>
        <v>0.54443740873508373</v>
      </c>
      <c r="J108" s="125">
        <f t="shared" si="199"/>
        <v>0.55097187614460197</v>
      </c>
      <c r="K108" s="125">
        <f t="shared" ref="K108:V108" si="206">IF(K7=0,0,K7/K$4)</f>
        <v>0.53838126890978777</v>
      </c>
      <c r="L108" s="125">
        <f t="shared" si="206"/>
        <v>0.53451497236595613</v>
      </c>
      <c r="M108" s="125">
        <f t="shared" si="206"/>
        <v>0.54200052479935812</v>
      </c>
      <c r="N108" s="125">
        <f t="shared" si="206"/>
        <v>0.547845933783631</v>
      </c>
      <c r="O108" s="125">
        <f t="shared" si="206"/>
        <v>0.55507789863862866</v>
      </c>
      <c r="P108" s="125">
        <f t="shared" si="206"/>
        <v>0.55994727534880862</v>
      </c>
      <c r="Q108" s="125">
        <f t="shared" si="206"/>
        <v>0.551863759969351</v>
      </c>
      <c r="R108" s="125">
        <f t="shared" si="206"/>
        <v>0.54676784438816695</v>
      </c>
      <c r="S108" s="125">
        <f t="shared" si="206"/>
        <v>0.54475758953383935</v>
      </c>
      <c r="T108" s="125">
        <f t="shared" si="206"/>
        <v>0.47425700384389557</v>
      </c>
      <c r="U108" s="125">
        <f t="shared" si="206"/>
        <v>0.47035298810516218</v>
      </c>
      <c r="V108" s="125">
        <f t="shared" si="206"/>
        <v>0.46306289882785201</v>
      </c>
      <c r="W108" s="125">
        <f t="shared" ref="W108" si="207">IF(W7=0,0,W7/W$4)</f>
        <v>0.41901229297975601</v>
      </c>
      <c r="DA108" s="171"/>
    </row>
    <row r="109" spans="1:105" ht="11.45" customHeight="1" x14ac:dyDescent="0.25">
      <c r="A109" s="111" t="s">
        <v>93</v>
      </c>
      <c r="B109" s="125">
        <f t="shared" si="199"/>
        <v>0.50467960310917503</v>
      </c>
      <c r="C109" s="125">
        <f t="shared" si="199"/>
        <v>0.51553250455823374</v>
      </c>
      <c r="D109" s="125">
        <f t="shared" si="199"/>
        <v>0.52065660077036746</v>
      </c>
      <c r="E109" s="125">
        <f t="shared" si="199"/>
        <v>0.50039514376305738</v>
      </c>
      <c r="F109" s="125">
        <f t="shared" si="199"/>
        <v>0.49972068902262057</v>
      </c>
      <c r="G109" s="125">
        <f t="shared" si="199"/>
        <v>0.43640685438397292</v>
      </c>
      <c r="H109" s="125">
        <f t="shared" si="199"/>
        <v>0.42481162465791922</v>
      </c>
      <c r="I109" s="125">
        <f t="shared" si="199"/>
        <v>0.42770173812466761</v>
      </c>
      <c r="J109" s="125">
        <f t="shared" si="199"/>
        <v>0.41891229373956795</v>
      </c>
      <c r="K109" s="125">
        <f t="shared" ref="K109:V109" si="208">IF(K8=0,0,K8/K$4)</f>
        <v>0.42785086553343515</v>
      </c>
      <c r="L109" s="125">
        <f t="shared" si="208"/>
        <v>0.42914627136218741</v>
      </c>
      <c r="M109" s="125">
        <f t="shared" si="208"/>
        <v>0.41615091280413424</v>
      </c>
      <c r="N109" s="125">
        <f t="shared" si="208"/>
        <v>0.4118065474415199</v>
      </c>
      <c r="O109" s="125">
        <f t="shared" si="208"/>
        <v>0.40337126010314162</v>
      </c>
      <c r="P109" s="125">
        <f t="shared" si="208"/>
        <v>0.39672134979807744</v>
      </c>
      <c r="Q109" s="125">
        <f t="shared" si="208"/>
        <v>0.40377666306237636</v>
      </c>
      <c r="R109" s="125">
        <f t="shared" si="208"/>
        <v>0.40498324534578761</v>
      </c>
      <c r="S109" s="125">
        <f t="shared" si="208"/>
        <v>0.40373961632630262</v>
      </c>
      <c r="T109" s="125">
        <f t="shared" si="208"/>
        <v>0.47199433223794895</v>
      </c>
      <c r="U109" s="125">
        <f t="shared" si="208"/>
        <v>0.46880125588631938</v>
      </c>
      <c r="V109" s="125">
        <f t="shared" si="208"/>
        <v>0.46859943269260196</v>
      </c>
      <c r="W109" s="125">
        <f t="shared" ref="W109" si="209">IF(W8=0,0,W8/W$4)</f>
        <v>0.5076277779422298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0.562550414169524</v>
      </c>
      <c r="C112" s="125">
        <f t="shared" si="212"/>
        <v>0.55124924977493284</v>
      </c>
      <c r="D112" s="125">
        <f t="shared" si="212"/>
        <v>0.544013699651684</v>
      </c>
      <c r="E112" s="125">
        <f t="shared" si="212"/>
        <v>0.55365731580751132</v>
      </c>
      <c r="F112" s="125">
        <f t="shared" si="212"/>
        <v>0.54376459921371112</v>
      </c>
      <c r="G112" s="125">
        <f t="shared" si="212"/>
        <v>0.55300624251860619</v>
      </c>
      <c r="H112" s="125">
        <f t="shared" si="212"/>
        <v>0.5503851381372491</v>
      </c>
      <c r="I112" s="125">
        <f t="shared" si="212"/>
        <v>0.55902008955768034</v>
      </c>
      <c r="J112" s="125">
        <f t="shared" si="212"/>
        <v>0.55601919998421756</v>
      </c>
      <c r="K112" s="125">
        <f t="shared" ref="K112:V112" si="215">IF(K11=0,0,K11/K$10)</f>
        <v>0.54466870249978661</v>
      </c>
      <c r="L112" s="125">
        <f t="shared" si="215"/>
        <v>0.54963545075330678</v>
      </c>
      <c r="M112" s="125">
        <f t="shared" si="215"/>
        <v>0.55647832221268134</v>
      </c>
      <c r="N112" s="125">
        <f t="shared" si="215"/>
        <v>0.56127172309311979</v>
      </c>
      <c r="O112" s="125">
        <f t="shared" si="215"/>
        <v>0.55888524877780799</v>
      </c>
      <c r="P112" s="125">
        <f t="shared" si="215"/>
        <v>0.56321733803674923</v>
      </c>
      <c r="Q112" s="125">
        <f t="shared" si="215"/>
        <v>0.55564525996492298</v>
      </c>
      <c r="R112" s="125">
        <f t="shared" si="215"/>
        <v>0.55112515361855619</v>
      </c>
      <c r="S112" s="125">
        <f t="shared" si="215"/>
        <v>0.5488549778662426</v>
      </c>
      <c r="T112" s="125">
        <f t="shared" si="215"/>
        <v>0.53658820148033604</v>
      </c>
      <c r="U112" s="125">
        <f t="shared" si="215"/>
        <v>0.53270723978280932</v>
      </c>
      <c r="V112" s="125">
        <f t="shared" si="215"/>
        <v>0.50548113412885853</v>
      </c>
      <c r="W112" s="125">
        <f t="shared" ref="W112" si="216">IF(W11=0,0,W11/W$10)</f>
        <v>0.48243718858725565</v>
      </c>
      <c r="DA112" s="171"/>
    </row>
    <row r="113" spans="1:105" ht="11.45" customHeight="1" x14ac:dyDescent="0.25">
      <c r="A113" s="85" t="s">
        <v>93</v>
      </c>
      <c r="B113" s="127">
        <f t="shared" si="212"/>
        <v>0.437449585830476</v>
      </c>
      <c r="C113" s="127">
        <f t="shared" si="212"/>
        <v>0.44875075022506711</v>
      </c>
      <c r="D113" s="127">
        <f t="shared" si="212"/>
        <v>0.45598630034831594</v>
      </c>
      <c r="E113" s="127">
        <f t="shared" si="212"/>
        <v>0.44634268419248868</v>
      </c>
      <c r="F113" s="127">
        <f t="shared" si="212"/>
        <v>0.45623540078628882</v>
      </c>
      <c r="G113" s="127">
        <f t="shared" si="212"/>
        <v>0.44699375748139386</v>
      </c>
      <c r="H113" s="127">
        <f t="shared" si="212"/>
        <v>0.44961486186275085</v>
      </c>
      <c r="I113" s="127">
        <f t="shared" si="212"/>
        <v>0.44097991044231971</v>
      </c>
      <c r="J113" s="127">
        <f t="shared" si="212"/>
        <v>0.44398080001578238</v>
      </c>
      <c r="K113" s="127">
        <f t="shared" ref="K113:V113" si="217">IF(K12=0,0,K12/K$10)</f>
        <v>0.45533129750021339</v>
      </c>
      <c r="L113" s="127">
        <f t="shared" si="217"/>
        <v>0.45036454924669322</v>
      </c>
      <c r="M113" s="127">
        <f t="shared" si="217"/>
        <v>0.44352167778731866</v>
      </c>
      <c r="N113" s="127">
        <f t="shared" si="217"/>
        <v>0.43872827690688021</v>
      </c>
      <c r="O113" s="127">
        <f t="shared" si="217"/>
        <v>0.44111475122219207</v>
      </c>
      <c r="P113" s="127">
        <f t="shared" si="217"/>
        <v>0.43678266196325077</v>
      </c>
      <c r="Q113" s="127">
        <f t="shared" si="217"/>
        <v>0.44435474003507697</v>
      </c>
      <c r="R113" s="127">
        <f t="shared" si="217"/>
        <v>0.44887484638144387</v>
      </c>
      <c r="S113" s="127">
        <f t="shared" si="217"/>
        <v>0.4511450221337574</v>
      </c>
      <c r="T113" s="127">
        <f t="shared" si="217"/>
        <v>0.46341179851966391</v>
      </c>
      <c r="U113" s="127">
        <f t="shared" si="217"/>
        <v>0.46729276021719068</v>
      </c>
      <c r="V113" s="127">
        <f t="shared" si="217"/>
        <v>0.49451886587114152</v>
      </c>
      <c r="W113" s="127">
        <f t="shared" ref="W113" si="218">IF(W12=0,0,W12/W$10)</f>
        <v>0.51756281141274441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2.4523808696711616E-3</v>
      </c>
      <c r="E117" s="123">
        <f t="shared" si="219"/>
        <v>1.8081122723514479E-2</v>
      </c>
      <c r="F117" s="123">
        <f t="shared" si="219"/>
        <v>3.3617339639535705E-2</v>
      </c>
      <c r="G117" s="123">
        <f t="shared" si="219"/>
        <v>3.9083701573745376E-2</v>
      </c>
      <c r="H117" s="123">
        <f t="shared" si="219"/>
        <v>3.8873329194653687E-2</v>
      </c>
      <c r="I117" s="123">
        <f t="shared" si="219"/>
        <v>4.2365548428112722E-2</v>
      </c>
      <c r="J117" s="123">
        <f t="shared" si="219"/>
        <v>4.3994397994785682E-2</v>
      </c>
      <c r="K117" s="123">
        <f t="shared" ref="K117:V117" si="222">IF(K16=0,0,K16/K$15)</f>
        <v>4.6415955006327746E-2</v>
      </c>
      <c r="L117" s="123">
        <f t="shared" si="222"/>
        <v>4.989208887992256E-2</v>
      </c>
      <c r="M117" s="123">
        <f t="shared" si="222"/>
        <v>5.7252473134750105E-2</v>
      </c>
      <c r="N117" s="123">
        <f t="shared" si="222"/>
        <v>5.5585969800431116E-2</v>
      </c>
      <c r="O117" s="123">
        <f t="shared" si="222"/>
        <v>5.6570776635826131E-2</v>
      </c>
      <c r="P117" s="123">
        <f t="shared" si="222"/>
        <v>5.6987262773197531E-2</v>
      </c>
      <c r="Q117" s="123">
        <f t="shared" si="222"/>
        <v>5.7420854832189006E-2</v>
      </c>
      <c r="R117" s="123">
        <f t="shared" si="222"/>
        <v>5.8839882505308902E-2</v>
      </c>
      <c r="S117" s="123">
        <f t="shared" si="222"/>
        <v>6.2525588109362443E-2</v>
      </c>
      <c r="T117" s="123">
        <f t="shared" si="222"/>
        <v>6.7126166700174725E-2</v>
      </c>
      <c r="U117" s="123">
        <f t="shared" si="222"/>
        <v>7.3325694500205582E-2</v>
      </c>
      <c r="V117" s="123">
        <f t="shared" si="222"/>
        <v>7.8351798504208897E-2</v>
      </c>
      <c r="W117" s="123">
        <f t="shared" ref="W117" si="223">IF(W16=0,0,W16/W$15)</f>
        <v>7.7088582601193709E-2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0.99754761913032886</v>
      </c>
      <c r="E118" s="124">
        <f t="shared" si="219"/>
        <v>0.98191887727648541</v>
      </c>
      <c r="F118" s="124">
        <f t="shared" si="219"/>
        <v>0.96638266036046427</v>
      </c>
      <c r="G118" s="124">
        <f t="shared" si="219"/>
        <v>0.9609162984262547</v>
      </c>
      <c r="H118" s="124">
        <f t="shared" si="219"/>
        <v>0.96112667080534631</v>
      </c>
      <c r="I118" s="124">
        <f t="shared" si="219"/>
        <v>0.95763445157188731</v>
      </c>
      <c r="J118" s="124">
        <f t="shared" si="219"/>
        <v>0.95600560200521434</v>
      </c>
      <c r="K118" s="124">
        <f t="shared" ref="K118:V118" si="224">IF(K17=0,0,K17/K$15)</f>
        <v>0.95358404499367233</v>
      </c>
      <c r="L118" s="124">
        <f t="shared" si="224"/>
        <v>0.95010791112007742</v>
      </c>
      <c r="M118" s="124">
        <f t="shared" si="224"/>
        <v>0.94274752686524987</v>
      </c>
      <c r="N118" s="124">
        <f t="shared" si="224"/>
        <v>0.94441403019956882</v>
      </c>
      <c r="O118" s="124">
        <f t="shared" si="224"/>
        <v>0.94342922336417379</v>
      </c>
      <c r="P118" s="124">
        <f t="shared" si="224"/>
        <v>0.94301273722680246</v>
      </c>
      <c r="Q118" s="124">
        <f t="shared" si="224"/>
        <v>0.94257914516781105</v>
      </c>
      <c r="R118" s="124">
        <f t="shared" si="224"/>
        <v>0.9411601174946912</v>
      </c>
      <c r="S118" s="124">
        <f t="shared" si="224"/>
        <v>0.93747441189063752</v>
      </c>
      <c r="T118" s="124">
        <f t="shared" si="224"/>
        <v>0.93287383329982521</v>
      </c>
      <c r="U118" s="124">
        <f t="shared" si="224"/>
        <v>0.92667430549979435</v>
      </c>
      <c r="V118" s="124">
        <f t="shared" si="224"/>
        <v>0.92164820149579119</v>
      </c>
      <c r="W118" s="124">
        <f t="shared" ref="W118" si="225">IF(W17=0,0,W17/W$15)</f>
        <v>0.92291141739880622</v>
      </c>
      <c r="DA118" s="176"/>
    </row>
    <row r="119" spans="1:105" ht="11.45" customHeight="1" x14ac:dyDescent="0.25">
      <c r="A119" s="111" t="s">
        <v>92</v>
      </c>
      <c r="B119" s="125">
        <f t="shared" si="219"/>
        <v>0.55581426865282746</v>
      </c>
      <c r="C119" s="125">
        <f t="shared" si="219"/>
        <v>0.5407077024166369</v>
      </c>
      <c r="D119" s="125">
        <f t="shared" si="219"/>
        <v>0.53217725625921075</v>
      </c>
      <c r="E119" s="125">
        <f t="shared" si="219"/>
        <v>0.55612442647045091</v>
      </c>
      <c r="F119" s="125">
        <f t="shared" si="219"/>
        <v>0.54135070741216496</v>
      </c>
      <c r="G119" s="125">
        <f t="shared" si="219"/>
        <v>0.56366718382101566</v>
      </c>
      <c r="H119" s="125">
        <f t="shared" si="219"/>
        <v>0.5541808111143548</v>
      </c>
      <c r="I119" s="125">
        <f t="shared" si="219"/>
        <v>0.56694041988687749</v>
      </c>
      <c r="J119" s="125">
        <f t="shared" si="219"/>
        <v>0.56831080037368875</v>
      </c>
      <c r="K119" s="125">
        <f t="shared" ref="K119:V119" si="226">IF(K18=0,0,K18/K$15)</f>
        <v>0.54855353189069644</v>
      </c>
      <c r="L119" s="125">
        <f t="shared" si="226"/>
        <v>0.55603895334559517</v>
      </c>
      <c r="M119" s="125">
        <f t="shared" si="226"/>
        <v>0.55803737463764647</v>
      </c>
      <c r="N119" s="125">
        <f t="shared" si="226"/>
        <v>0.57668588809016275</v>
      </c>
      <c r="O119" s="125">
        <f t="shared" si="226"/>
        <v>0.56920640451237392</v>
      </c>
      <c r="P119" s="125">
        <f t="shared" si="226"/>
        <v>0.58702858138410363</v>
      </c>
      <c r="Q119" s="125">
        <f t="shared" si="226"/>
        <v>0.58310353701857143</v>
      </c>
      <c r="R119" s="125">
        <f t="shared" si="226"/>
        <v>0.57900022555086317</v>
      </c>
      <c r="S119" s="125">
        <f t="shared" si="226"/>
        <v>0.57094316451644123</v>
      </c>
      <c r="T119" s="125">
        <f t="shared" si="226"/>
        <v>0.55480466680604967</v>
      </c>
      <c r="U119" s="125">
        <f t="shared" si="226"/>
        <v>0.54696274503227604</v>
      </c>
      <c r="V119" s="125">
        <f t="shared" si="226"/>
        <v>0.5196134346453738</v>
      </c>
      <c r="W119" s="125">
        <f t="shared" ref="W119" si="227">IF(W18=0,0,W18/W$15)</f>
        <v>0.49163336672307251</v>
      </c>
      <c r="DA119" s="171"/>
    </row>
    <row r="120" spans="1:105" ht="11.45" customHeight="1" x14ac:dyDescent="0.25">
      <c r="A120" s="111" t="s">
        <v>93</v>
      </c>
      <c r="B120" s="125">
        <f t="shared" si="219"/>
        <v>0.44418573134717249</v>
      </c>
      <c r="C120" s="125">
        <f t="shared" si="219"/>
        <v>0.4592922975833631</v>
      </c>
      <c r="D120" s="125">
        <f t="shared" si="219"/>
        <v>0.4653703628711181</v>
      </c>
      <c r="E120" s="125">
        <f t="shared" si="219"/>
        <v>0.42579445080603451</v>
      </c>
      <c r="F120" s="125">
        <f t="shared" si="219"/>
        <v>0.42503195294829932</v>
      </c>
      <c r="G120" s="125">
        <f t="shared" si="219"/>
        <v>0.39724911460523898</v>
      </c>
      <c r="H120" s="125">
        <f t="shared" si="219"/>
        <v>0.40694585969099151</v>
      </c>
      <c r="I120" s="125">
        <f t="shared" si="219"/>
        <v>0.39069403168500982</v>
      </c>
      <c r="J120" s="125">
        <f t="shared" si="219"/>
        <v>0.38769480163152559</v>
      </c>
      <c r="K120" s="125">
        <f t="shared" ref="K120:V120" si="228">IF(K19=0,0,K19/K$15)</f>
        <v>0.40503051310297594</v>
      </c>
      <c r="L120" s="125">
        <f t="shared" si="228"/>
        <v>0.3940689577744822</v>
      </c>
      <c r="M120" s="125">
        <f t="shared" si="228"/>
        <v>0.38471015222760346</v>
      </c>
      <c r="N120" s="125">
        <f t="shared" si="228"/>
        <v>0.36772814210940613</v>
      </c>
      <c r="O120" s="125">
        <f t="shared" si="228"/>
        <v>0.37422281885179998</v>
      </c>
      <c r="P120" s="125">
        <f t="shared" si="228"/>
        <v>0.35598415584269882</v>
      </c>
      <c r="Q120" s="125">
        <f t="shared" si="228"/>
        <v>0.35947560814923968</v>
      </c>
      <c r="R120" s="125">
        <f t="shared" si="228"/>
        <v>0.36215989194382808</v>
      </c>
      <c r="S120" s="125">
        <f t="shared" si="228"/>
        <v>0.36653124737419623</v>
      </c>
      <c r="T120" s="125">
        <f t="shared" si="228"/>
        <v>0.37806916649377548</v>
      </c>
      <c r="U120" s="125">
        <f t="shared" si="228"/>
        <v>0.37971156046751825</v>
      </c>
      <c r="V120" s="125">
        <f t="shared" si="228"/>
        <v>0.40203476685041745</v>
      </c>
      <c r="W120" s="125">
        <f t="shared" ref="W120" si="229">IF(W19=0,0,W19/W$15)</f>
        <v>0.43127805067573372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0.53783634005807934</v>
      </c>
      <c r="C123" s="125">
        <f t="shared" si="232"/>
        <v>0.50998874916606873</v>
      </c>
      <c r="D123" s="125">
        <f t="shared" si="232"/>
        <v>0.50294635198756066</v>
      </c>
      <c r="E123" s="125">
        <f t="shared" si="232"/>
        <v>0.4637323860237399</v>
      </c>
      <c r="F123" s="125">
        <f t="shared" si="232"/>
        <v>0.44496788503255974</v>
      </c>
      <c r="G123" s="125">
        <f t="shared" si="232"/>
        <v>0.43131751325060486</v>
      </c>
      <c r="H123" s="125">
        <f t="shared" si="232"/>
        <v>0.48286882222352911</v>
      </c>
      <c r="I123" s="125">
        <f t="shared" si="232"/>
        <v>0.47483159242963091</v>
      </c>
      <c r="J123" s="125">
        <f t="shared" si="232"/>
        <v>0.40845862208628408</v>
      </c>
      <c r="K123" s="125">
        <f t="shared" ref="K123:V123" si="235">IF(K22=0,0,K22/K$21)</f>
        <v>0.46205847159505381</v>
      </c>
      <c r="L123" s="125">
        <f t="shared" si="235"/>
        <v>0.47288404677146173</v>
      </c>
      <c r="M123" s="125">
        <f t="shared" si="235"/>
        <v>0.49145941431608603</v>
      </c>
      <c r="N123" s="125">
        <f t="shared" si="235"/>
        <v>0.46978964428084458</v>
      </c>
      <c r="O123" s="125">
        <f t="shared" si="235"/>
        <v>0.48255982453203244</v>
      </c>
      <c r="P123" s="125">
        <f t="shared" si="235"/>
        <v>0.52702809005413154</v>
      </c>
      <c r="Q123" s="125">
        <f t="shared" si="235"/>
        <v>0.49686325957462307</v>
      </c>
      <c r="R123" s="125">
        <f t="shared" si="235"/>
        <v>0.46790742015796855</v>
      </c>
      <c r="S123" s="125">
        <f t="shared" si="235"/>
        <v>0.51032980446080378</v>
      </c>
      <c r="T123" s="125">
        <f t="shared" si="235"/>
        <v>0.48197494541257674</v>
      </c>
      <c r="U123" s="125">
        <f t="shared" si="235"/>
        <v>0.50814230086158163</v>
      </c>
      <c r="V123" s="125">
        <f t="shared" si="235"/>
        <v>0.40075522394646734</v>
      </c>
      <c r="W123" s="125">
        <f t="shared" ref="W123" si="236">IF(W22=0,0,W22/W$21)</f>
        <v>0.37902048878142242</v>
      </c>
      <c r="DA123" s="171"/>
    </row>
    <row r="124" spans="1:105" ht="11.45" customHeight="1" x14ac:dyDescent="0.25">
      <c r="A124" s="85" t="s">
        <v>93</v>
      </c>
      <c r="B124" s="127">
        <f t="shared" si="232"/>
        <v>0.4621636599419206</v>
      </c>
      <c r="C124" s="127">
        <f t="shared" si="232"/>
        <v>0.49001125083393121</v>
      </c>
      <c r="D124" s="127">
        <f t="shared" si="232"/>
        <v>0.4970536480124394</v>
      </c>
      <c r="E124" s="127">
        <f t="shared" si="232"/>
        <v>0.5362676139762601</v>
      </c>
      <c r="F124" s="127">
        <f t="shared" si="232"/>
        <v>0.55503211496744032</v>
      </c>
      <c r="G124" s="127">
        <f t="shared" si="232"/>
        <v>0.56868248674939514</v>
      </c>
      <c r="H124" s="127">
        <f t="shared" si="232"/>
        <v>0.51713117777647089</v>
      </c>
      <c r="I124" s="127">
        <f t="shared" si="232"/>
        <v>0.52516840757036909</v>
      </c>
      <c r="J124" s="127">
        <f t="shared" si="232"/>
        <v>0.59154137791371597</v>
      </c>
      <c r="K124" s="127">
        <f t="shared" ref="K124:V124" si="237">IF(K23=0,0,K23/K$21)</f>
        <v>0.53794152840494613</v>
      </c>
      <c r="L124" s="127">
        <f t="shared" si="237"/>
        <v>0.52711595322853833</v>
      </c>
      <c r="M124" s="127">
        <f t="shared" si="237"/>
        <v>0.50854058568391403</v>
      </c>
      <c r="N124" s="127">
        <f t="shared" si="237"/>
        <v>0.53021035571915553</v>
      </c>
      <c r="O124" s="127">
        <f t="shared" si="237"/>
        <v>0.5174401754679675</v>
      </c>
      <c r="P124" s="127">
        <f t="shared" si="237"/>
        <v>0.47297190994586841</v>
      </c>
      <c r="Q124" s="127">
        <f t="shared" si="237"/>
        <v>0.50313674042537693</v>
      </c>
      <c r="R124" s="127">
        <f t="shared" si="237"/>
        <v>0.53209257984203151</v>
      </c>
      <c r="S124" s="127">
        <f t="shared" si="237"/>
        <v>0.48967019553919622</v>
      </c>
      <c r="T124" s="127">
        <f t="shared" si="237"/>
        <v>0.51802505458742321</v>
      </c>
      <c r="U124" s="127">
        <f t="shared" si="237"/>
        <v>0.49185769913841837</v>
      </c>
      <c r="V124" s="127">
        <f t="shared" si="237"/>
        <v>0.59924477605353277</v>
      </c>
      <c r="W124" s="127">
        <f t="shared" ref="W124" si="238">IF(W23=0,0,W23/W$21)</f>
        <v>0.62097951121857753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103.35339638865003</v>
      </c>
      <c r="C4" s="146">
        <f t="shared" ref="C4:V4" si="0">SUM(C5,C8)</f>
        <v>98.253998280309531</v>
      </c>
      <c r="D4" s="146">
        <f t="shared" si="0"/>
        <v>99.629750644883913</v>
      </c>
      <c r="E4" s="146">
        <f t="shared" si="0"/>
        <v>100.7237317282889</v>
      </c>
      <c r="F4" s="146">
        <f t="shared" si="0"/>
        <v>101.16560619088564</v>
      </c>
      <c r="G4" s="146">
        <f t="shared" si="0"/>
        <v>106.69484092863283</v>
      </c>
      <c r="H4" s="146">
        <f t="shared" si="0"/>
        <v>105.76096302665519</v>
      </c>
      <c r="I4" s="146">
        <f t="shared" si="0"/>
        <v>104.04127257093722</v>
      </c>
      <c r="J4" s="146">
        <f t="shared" si="0"/>
        <v>108.99251934651762</v>
      </c>
      <c r="K4" s="146">
        <f t="shared" si="0"/>
        <v>108.41453138435081</v>
      </c>
      <c r="L4" s="146">
        <f t="shared" si="0"/>
        <v>113.26792777300086</v>
      </c>
      <c r="M4" s="146">
        <f t="shared" si="0"/>
        <v>114.70576096302663</v>
      </c>
      <c r="N4" s="146">
        <f t="shared" si="0"/>
        <v>113.67394668959585</v>
      </c>
      <c r="O4" s="146">
        <f t="shared" si="0"/>
        <v>112.74006878761823</v>
      </c>
      <c r="P4" s="146">
        <f t="shared" si="0"/>
        <v>114.6938091143594</v>
      </c>
      <c r="Q4" s="146">
        <f t="shared" si="0"/>
        <v>114.28048151332759</v>
      </c>
      <c r="R4" s="146">
        <f t="shared" si="0"/>
        <v>117.67171109200343</v>
      </c>
      <c r="S4" s="146">
        <f t="shared" si="0"/>
        <v>113.74239036973344</v>
      </c>
      <c r="T4" s="146">
        <f t="shared" si="0"/>
        <v>106.973086844368</v>
      </c>
      <c r="U4" s="146">
        <f t="shared" si="0"/>
        <v>107.59475494411005</v>
      </c>
      <c r="V4" s="146">
        <f t="shared" si="0"/>
        <v>99.847033533963881</v>
      </c>
      <c r="W4" s="146">
        <f t="shared" ref="W4" si="1">SUM(W5,W8)</f>
        <v>98.490541702493545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73.430782459157342</v>
      </c>
      <c r="C5" s="101">
        <f t="shared" ref="C5:V5" si="2">SUM(C6:C7)</f>
        <v>68.331384350816847</v>
      </c>
      <c r="D5" s="101">
        <f t="shared" si="2"/>
        <v>68.331384350816847</v>
      </c>
      <c r="E5" s="101">
        <f t="shared" si="2"/>
        <v>70.371195184866721</v>
      </c>
      <c r="F5" s="101">
        <f t="shared" si="2"/>
        <v>69.351332760103176</v>
      </c>
      <c r="G5" s="101">
        <f t="shared" si="2"/>
        <v>74.450644883920887</v>
      </c>
      <c r="H5" s="101">
        <f t="shared" si="2"/>
        <v>73.430782459157342</v>
      </c>
      <c r="I5" s="101">
        <f t="shared" si="2"/>
        <v>73.430782459157342</v>
      </c>
      <c r="J5" s="101">
        <f t="shared" si="2"/>
        <v>76.490369733447977</v>
      </c>
      <c r="K5" s="101">
        <f t="shared" si="2"/>
        <v>74.450644883920887</v>
      </c>
      <c r="L5" s="101">
        <f t="shared" si="2"/>
        <v>78.530180567497851</v>
      </c>
      <c r="M5" s="101">
        <f t="shared" si="2"/>
        <v>80.569905417024927</v>
      </c>
      <c r="N5" s="101">
        <f t="shared" si="2"/>
        <v>80.569905417024927</v>
      </c>
      <c r="O5" s="101">
        <f t="shared" si="2"/>
        <v>79.550042992261396</v>
      </c>
      <c r="P5" s="101">
        <f t="shared" si="2"/>
        <v>81.589767841788472</v>
      </c>
      <c r="Q5" s="101">
        <f t="shared" si="2"/>
        <v>80.144625967325879</v>
      </c>
      <c r="R5" s="101">
        <f t="shared" si="2"/>
        <v>81.816165090283747</v>
      </c>
      <c r="S5" s="101">
        <f t="shared" si="2"/>
        <v>78.741272570937227</v>
      </c>
      <c r="T5" s="101">
        <f t="shared" si="2"/>
        <v>72.315047291487531</v>
      </c>
      <c r="U5" s="101">
        <f t="shared" si="2"/>
        <v>72.182459157351673</v>
      </c>
      <c r="V5" s="101">
        <f t="shared" si="2"/>
        <v>63.396302665520203</v>
      </c>
      <c r="W5" s="101">
        <f t="shared" ref="W5" si="3">SUM(W6:W7)</f>
        <v>59.553396388650043</v>
      </c>
      <c r="DA5" s="175"/>
    </row>
    <row r="6" spans="1:105" ht="11.45" customHeight="1" x14ac:dyDescent="0.25">
      <c r="A6" s="164" t="s">
        <v>182</v>
      </c>
      <c r="B6" s="165">
        <v>73.430782459157342</v>
      </c>
      <c r="C6" s="165">
        <v>68.331384350816847</v>
      </c>
      <c r="D6" s="165">
        <v>68.331384350816847</v>
      </c>
      <c r="E6" s="165">
        <v>70.371195184866721</v>
      </c>
      <c r="F6" s="165">
        <v>69.351332760103176</v>
      </c>
      <c r="G6" s="165">
        <v>74.450644883920887</v>
      </c>
      <c r="H6" s="165">
        <v>73.430782459157342</v>
      </c>
      <c r="I6" s="165">
        <v>73.430782459157342</v>
      </c>
      <c r="J6" s="165">
        <v>76.490369733447977</v>
      </c>
      <c r="K6" s="165">
        <v>74.450644883920887</v>
      </c>
      <c r="L6" s="165">
        <v>78.530180567497851</v>
      </c>
      <c r="M6" s="165">
        <v>80.569905417024927</v>
      </c>
      <c r="N6" s="165">
        <v>80.569905417024927</v>
      </c>
      <c r="O6" s="165">
        <v>79.550042992261396</v>
      </c>
      <c r="P6" s="165">
        <v>81.589767841788472</v>
      </c>
      <c r="Q6" s="165">
        <v>80.144625967325879</v>
      </c>
      <c r="R6" s="165">
        <v>81.816165090283747</v>
      </c>
      <c r="S6" s="165">
        <v>78.741272570937227</v>
      </c>
      <c r="T6" s="165">
        <v>72.315047291487531</v>
      </c>
      <c r="U6" s="165">
        <v>72.182459157351673</v>
      </c>
      <c r="V6" s="165">
        <v>63.396302665520203</v>
      </c>
      <c r="W6" s="165">
        <v>59.553396388650043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29.922613929492691</v>
      </c>
      <c r="C8" s="88">
        <v>29.922613929492691</v>
      </c>
      <c r="D8" s="88">
        <v>31.298366294067069</v>
      </c>
      <c r="E8" s="88">
        <v>30.352536543422179</v>
      </c>
      <c r="F8" s="88">
        <v>31.81427343078246</v>
      </c>
      <c r="G8" s="88">
        <v>32.244196044711948</v>
      </c>
      <c r="H8" s="88">
        <v>32.330180567497848</v>
      </c>
      <c r="I8" s="88">
        <v>30.610490111779882</v>
      </c>
      <c r="J8" s="88">
        <v>32.502149613069648</v>
      </c>
      <c r="K8" s="88">
        <v>33.963886500429922</v>
      </c>
      <c r="L8" s="88">
        <v>34.737747205503013</v>
      </c>
      <c r="M8" s="88">
        <v>34.135855546001707</v>
      </c>
      <c r="N8" s="88">
        <v>33.104041272570932</v>
      </c>
      <c r="O8" s="88">
        <v>33.190025795356831</v>
      </c>
      <c r="P8" s="88">
        <v>33.104041272570932</v>
      </c>
      <c r="Q8" s="88">
        <v>34.135855546001707</v>
      </c>
      <c r="R8" s="88">
        <v>35.855546001719688</v>
      </c>
      <c r="S8" s="88">
        <v>35.001117798796223</v>
      </c>
      <c r="T8" s="88">
        <v>34.658039552880467</v>
      </c>
      <c r="U8" s="88">
        <v>35.412295786758378</v>
      </c>
      <c r="V8" s="88">
        <v>36.450730868443678</v>
      </c>
      <c r="W8" s="88">
        <v>38.937145313843509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103.35339638865003</v>
      </c>
      <c r="C10" s="62">
        <f t="shared" ref="C10:V10" si="5">SUM(C11,C17)</f>
        <v>98.253998280309531</v>
      </c>
      <c r="D10" s="62">
        <f t="shared" si="5"/>
        <v>99.629750644883941</v>
      </c>
      <c r="E10" s="62">
        <f t="shared" si="5"/>
        <v>100.7237317282889</v>
      </c>
      <c r="F10" s="62">
        <f t="shared" si="5"/>
        <v>101.16560619088563</v>
      </c>
      <c r="G10" s="62">
        <f t="shared" si="5"/>
        <v>106.69484092863283</v>
      </c>
      <c r="H10" s="62">
        <f t="shared" si="5"/>
        <v>105.7609630266552</v>
      </c>
      <c r="I10" s="62">
        <f t="shared" si="5"/>
        <v>104.04127257093722</v>
      </c>
      <c r="J10" s="62">
        <f t="shared" si="5"/>
        <v>108.99251934651764</v>
      </c>
      <c r="K10" s="62">
        <f t="shared" si="5"/>
        <v>108.41453138435082</v>
      </c>
      <c r="L10" s="62">
        <f t="shared" si="5"/>
        <v>113.26792777300086</v>
      </c>
      <c r="M10" s="62">
        <f t="shared" si="5"/>
        <v>114.70576096302665</v>
      </c>
      <c r="N10" s="62">
        <f t="shared" si="5"/>
        <v>113.67394668959585</v>
      </c>
      <c r="O10" s="62">
        <f t="shared" si="5"/>
        <v>112.74006878761823</v>
      </c>
      <c r="P10" s="62">
        <f t="shared" si="5"/>
        <v>114.6938091143594</v>
      </c>
      <c r="Q10" s="62">
        <f t="shared" si="5"/>
        <v>114.2804815133276</v>
      </c>
      <c r="R10" s="62">
        <f t="shared" si="5"/>
        <v>117.67171109200343</v>
      </c>
      <c r="S10" s="62">
        <f t="shared" si="5"/>
        <v>113.74239036973346</v>
      </c>
      <c r="T10" s="62">
        <f t="shared" si="5"/>
        <v>106.973086844368</v>
      </c>
      <c r="U10" s="62">
        <f t="shared" si="5"/>
        <v>107.59475494411006</v>
      </c>
      <c r="V10" s="62">
        <f t="shared" si="5"/>
        <v>99.847033533963881</v>
      </c>
      <c r="W10" s="62">
        <f t="shared" ref="W10" si="6">SUM(W11,W17)</f>
        <v>98.490541702493573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89.871730930969861</v>
      </c>
      <c r="C11" s="29">
        <f t="shared" ref="C11:V11" si="8">SUM(C12,C13,C16)</f>
        <v>85.365321944193013</v>
      </c>
      <c r="D11" s="29">
        <f t="shared" si="8"/>
        <v>88.050167592038036</v>
      </c>
      <c r="E11" s="29">
        <f t="shared" si="8"/>
        <v>89.420555670870797</v>
      </c>
      <c r="F11" s="29">
        <f t="shared" si="8"/>
        <v>88.190394146718518</v>
      </c>
      <c r="G11" s="29">
        <f t="shared" si="8"/>
        <v>94.5972550970246</v>
      </c>
      <c r="H11" s="29">
        <f t="shared" si="8"/>
        <v>94.65594155864747</v>
      </c>
      <c r="I11" s="29">
        <f t="shared" si="8"/>
        <v>93.943689166180036</v>
      </c>
      <c r="J11" s="29">
        <f t="shared" si="8"/>
        <v>98.109124545659952</v>
      </c>
      <c r="K11" s="29">
        <f t="shared" si="8"/>
        <v>98.844950225850894</v>
      </c>
      <c r="L11" s="29">
        <f t="shared" si="8"/>
        <v>101.08013896893516</v>
      </c>
      <c r="M11" s="29">
        <f t="shared" si="8"/>
        <v>100.90098312181274</v>
      </c>
      <c r="N11" s="29">
        <f t="shared" si="8"/>
        <v>102.21614707348188</v>
      </c>
      <c r="O11" s="29">
        <f t="shared" si="8"/>
        <v>100.91060630818114</v>
      </c>
      <c r="P11" s="29">
        <f t="shared" si="8"/>
        <v>102.38360121407389</v>
      </c>
      <c r="Q11" s="29">
        <f t="shared" si="8"/>
        <v>101.02410794131255</v>
      </c>
      <c r="R11" s="29">
        <f t="shared" si="8"/>
        <v>104.04838941463289</v>
      </c>
      <c r="S11" s="29">
        <f t="shared" si="8"/>
        <v>101.67741444535758</v>
      </c>
      <c r="T11" s="29">
        <f t="shared" si="8"/>
        <v>95.738804103252818</v>
      </c>
      <c r="U11" s="29">
        <f t="shared" si="8"/>
        <v>97.534824762967077</v>
      </c>
      <c r="V11" s="29">
        <f t="shared" si="8"/>
        <v>88.956313713878302</v>
      </c>
      <c r="W11" s="29">
        <f t="shared" ref="W11" si="9">SUM(W12,W13,W16)</f>
        <v>89.392958998558754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4.09618427296096E-2</v>
      </c>
      <c r="E12" s="115">
        <v>0.31247756389811876</v>
      </c>
      <c r="F12" s="115">
        <v>0.59371176122776581</v>
      </c>
      <c r="G12" s="115">
        <v>0.75592416902596504</v>
      </c>
      <c r="H12" s="115">
        <v>0.76062061087540023</v>
      </c>
      <c r="I12" s="115">
        <v>0.81070194974420673</v>
      </c>
      <c r="J12" s="115">
        <v>0.89186032652531155</v>
      </c>
      <c r="K12" s="115">
        <v>0.98315725228874595</v>
      </c>
      <c r="L12" s="115">
        <v>1.0817347674089566</v>
      </c>
      <c r="M12" s="115">
        <v>1.2529292518905577</v>
      </c>
      <c r="N12" s="115">
        <v>1.2188387591037089</v>
      </c>
      <c r="O12" s="115">
        <v>1.259612978879036</v>
      </c>
      <c r="P12" s="115">
        <v>1.3032468791469836</v>
      </c>
      <c r="Q12" s="115">
        <v>1.3215202821987322</v>
      </c>
      <c r="R12" s="115">
        <v>1.4041380641794627</v>
      </c>
      <c r="S12" s="115">
        <v>1.4818147242265765</v>
      </c>
      <c r="T12" s="115">
        <v>1.5300035203189966</v>
      </c>
      <c r="U12" s="115">
        <v>1.746122418115319</v>
      </c>
      <c r="V12" s="115">
        <v>1.7440462392793343</v>
      </c>
      <c r="W12" s="115">
        <v>1.7549455070421456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89.871730930969861</v>
      </c>
      <c r="C13" s="116">
        <f t="shared" ref="C13:V13" si="11">SUM(C14:C15)</f>
        <v>85.365321944193013</v>
      </c>
      <c r="D13" s="116">
        <f t="shared" si="11"/>
        <v>88.009205749308421</v>
      </c>
      <c r="E13" s="116">
        <f t="shared" si="11"/>
        <v>89.108078106972684</v>
      </c>
      <c r="F13" s="116">
        <f t="shared" si="11"/>
        <v>87.596682385490752</v>
      </c>
      <c r="G13" s="116">
        <f t="shared" si="11"/>
        <v>93.841330927998641</v>
      </c>
      <c r="H13" s="116">
        <f t="shared" si="11"/>
        <v>93.895320947772063</v>
      </c>
      <c r="I13" s="116">
        <f t="shared" si="11"/>
        <v>93.132987216435822</v>
      </c>
      <c r="J13" s="116">
        <f t="shared" si="11"/>
        <v>97.217264219134634</v>
      </c>
      <c r="K13" s="116">
        <f t="shared" si="11"/>
        <v>97.861792973562146</v>
      </c>
      <c r="L13" s="116">
        <f t="shared" si="11"/>
        <v>99.998404201526199</v>
      </c>
      <c r="M13" s="116">
        <f t="shared" si="11"/>
        <v>99.64805386992218</v>
      </c>
      <c r="N13" s="116">
        <f t="shared" si="11"/>
        <v>100.99730831437817</v>
      </c>
      <c r="O13" s="116">
        <f t="shared" si="11"/>
        <v>99.650993329302111</v>
      </c>
      <c r="P13" s="116">
        <f t="shared" si="11"/>
        <v>101.08035433492691</v>
      </c>
      <c r="Q13" s="116">
        <f t="shared" si="11"/>
        <v>99.702587659113817</v>
      </c>
      <c r="R13" s="116">
        <f t="shared" si="11"/>
        <v>102.64425135045343</v>
      </c>
      <c r="S13" s="116">
        <f t="shared" si="11"/>
        <v>100.195599721131</v>
      </c>
      <c r="T13" s="116">
        <f t="shared" si="11"/>
        <v>94.208800582933819</v>
      </c>
      <c r="U13" s="116">
        <f t="shared" si="11"/>
        <v>95.788702344851757</v>
      </c>
      <c r="V13" s="116">
        <f t="shared" si="11"/>
        <v>87.212267474598974</v>
      </c>
      <c r="W13" s="116">
        <f t="shared" ref="W13" si="12">SUM(W14:W15)</f>
        <v>87.638013491516602</v>
      </c>
      <c r="DA13" s="176" t="s">
        <v>396</v>
      </c>
    </row>
    <row r="14" spans="1:105" ht="11.45" customHeight="1" x14ac:dyDescent="0.25">
      <c r="A14" s="111" t="s">
        <v>95</v>
      </c>
      <c r="B14" s="87">
        <v>63.680268060263856</v>
      </c>
      <c r="C14" s="87">
        <v>59.18666630352493</v>
      </c>
      <c r="D14" s="87">
        <v>60.216276319704633</v>
      </c>
      <c r="E14" s="87">
        <v>62.819437646847241</v>
      </c>
      <c r="F14" s="87">
        <v>60.833320199199996</v>
      </c>
      <c r="G14" s="87">
        <v>66.749860839880355</v>
      </c>
      <c r="H14" s="87">
        <v>65.849212119502283</v>
      </c>
      <c r="I14" s="87">
        <v>66.614868892370083</v>
      </c>
      <c r="J14" s="87">
        <v>69.817077952719146</v>
      </c>
      <c r="K14" s="87">
        <v>68.111420140355051</v>
      </c>
      <c r="L14" s="87">
        <v>70.29174513222155</v>
      </c>
      <c r="M14" s="87">
        <v>71.088943841831025</v>
      </c>
      <c r="N14" s="87">
        <v>72.902010370761033</v>
      </c>
      <c r="O14" s="87">
        <v>71.539798332878249</v>
      </c>
      <c r="P14" s="87">
        <v>72.798886983665213</v>
      </c>
      <c r="Q14" s="87">
        <v>70.930975554927969</v>
      </c>
      <c r="R14" s="87">
        <v>72.714493643506898</v>
      </c>
      <c r="S14" s="87">
        <v>70.267910697818962</v>
      </c>
      <c r="T14" s="87">
        <v>64.693353981987869</v>
      </c>
      <c r="U14" s="87">
        <v>65.108267272211449</v>
      </c>
      <c r="V14" s="87">
        <v>56.820488919058</v>
      </c>
      <c r="W14" s="87">
        <v>54.271553942286573</v>
      </c>
      <c r="DA14" s="171" t="s">
        <v>1106</v>
      </c>
    </row>
    <row r="15" spans="1:105" ht="11.45" customHeight="1" x14ac:dyDescent="0.25">
      <c r="A15" s="111" t="s">
        <v>93</v>
      </c>
      <c r="B15" s="87">
        <v>26.191462870706001</v>
      </c>
      <c r="C15" s="87">
        <v>26.178655640668083</v>
      </c>
      <c r="D15" s="87">
        <v>27.792929429603788</v>
      </c>
      <c r="E15" s="87">
        <v>26.288640460125439</v>
      </c>
      <c r="F15" s="87">
        <v>26.763362186290756</v>
      </c>
      <c r="G15" s="87">
        <v>27.091470088118289</v>
      </c>
      <c r="H15" s="87">
        <v>28.046108828269777</v>
      </c>
      <c r="I15" s="87">
        <v>26.518118324065743</v>
      </c>
      <c r="J15" s="87">
        <v>27.400186266415492</v>
      </c>
      <c r="K15" s="87">
        <v>29.750372833207098</v>
      </c>
      <c r="L15" s="87">
        <v>29.706659069304656</v>
      </c>
      <c r="M15" s="87">
        <v>28.559110028091155</v>
      </c>
      <c r="N15" s="87">
        <v>28.095297943617144</v>
      </c>
      <c r="O15" s="87">
        <v>28.111194996423858</v>
      </c>
      <c r="P15" s="87">
        <v>28.281467351261696</v>
      </c>
      <c r="Q15" s="87">
        <v>28.771612104185849</v>
      </c>
      <c r="R15" s="87">
        <v>29.929757706946532</v>
      </c>
      <c r="S15" s="87">
        <v>29.927689023312041</v>
      </c>
      <c r="T15" s="87">
        <v>29.515446600945946</v>
      </c>
      <c r="U15" s="87">
        <v>30.680435072640304</v>
      </c>
      <c r="V15" s="87">
        <v>30.391778555540974</v>
      </c>
      <c r="W15" s="87">
        <v>33.366459549230022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13.481665457680165</v>
      </c>
      <c r="C17" s="29">
        <f t="shared" si="13"/>
        <v>12.888676336116518</v>
      </c>
      <c r="D17" s="29">
        <f t="shared" si="13"/>
        <v>11.5795830528459</v>
      </c>
      <c r="E17" s="29">
        <f t="shared" si="13"/>
        <v>11.303176057418106</v>
      </c>
      <c r="F17" s="29">
        <f t="shared" si="13"/>
        <v>12.975212044167115</v>
      </c>
      <c r="G17" s="29">
        <f t="shared" si="13"/>
        <v>12.097585831608232</v>
      </c>
      <c r="H17" s="29">
        <f t="shared" si="13"/>
        <v>11.105021468007729</v>
      </c>
      <c r="I17" s="29">
        <f t="shared" si="13"/>
        <v>10.097583404757184</v>
      </c>
      <c r="J17" s="29">
        <f t="shared" si="13"/>
        <v>10.88339480085768</v>
      </c>
      <c r="K17" s="29">
        <f t="shared" si="13"/>
        <v>9.569581158499922</v>
      </c>
      <c r="L17" s="29">
        <f t="shared" si="13"/>
        <v>12.187788804065702</v>
      </c>
      <c r="M17" s="29">
        <f t="shared" si="13"/>
        <v>13.8047778412139</v>
      </c>
      <c r="N17" s="29">
        <f t="shared" si="13"/>
        <v>11.457799616113981</v>
      </c>
      <c r="O17" s="29">
        <f t="shared" si="13"/>
        <v>11.829462479437082</v>
      </c>
      <c r="P17" s="29">
        <f t="shared" si="13"/>
        <v>12.310207900285507</v>
      </c>
      <c r="Q17" s="29">
        <f t="shared" si="13"/>
        <v>13.256373572015043</v>
      </c>
      <c r="R17" s="29">
        <f t="shared" si="13"/>
        <v>13.623321677370544</v>
      </c>
      <c r="S17" s="29">
        <f t="shared" si="13"/>
        <v>12.064975924375878</v>
      </c>
      <c r="T17" s="29">
        <f t="shared" si="13"/>
        <v>11.234282741115184</v>
      </c>
      <c r="U17" s="29">
        <f t="shared" si="13"/>
        <v>10.059930181142985</v>
      </c>
      <c r="V17" s="29">
        <f t="shared" si="13"/>
        <v>10.890719820085573</v>
      </c>
      <c r="W17" s="29">
        <f t="shared" si="13"/>
        <v>9.0975827039348136</v>
      </c>
      <c r="DA17" s="173" t="s">
        <v>401</v>
      </c>
    </row>
    <row r="18" spans="1:105" ht="11.45" customHeight="1" x14ac:dyDescent="0.25">
      <c r="A18" s="83" t="s">
        <v>95</v>
      </c>
      <c r="B18" s="87">
        <v>9.7505143988934737</v>
      </c>
      <c r="C18" s="87">
        <v>9.1447180472919118</v>
      </c>
      <c r="D18" s="87">
        <v>8.1151080311122286</v>
      </c>
      <c r="E18" s="87">
        <v>7.5517575380194817</v>
      </c>
      <c r="F18" s="87">
        <v>8.5180125609031769</v>
      </c>
      <c r="G18" s="87">
        <v>7.7007840440405344</v>
      </c>
      <c r="H18" s="87">
        <v>7.5815703396550598</v>
      </c>
      <c r="I18" s="87">
        <v>6.8159135667872519</v>
      </c>
      <c r="J18" s="87">
        <v>6.6732917807288326</v>
      </c>
      <c r="K18" s="87">
        <v>6.3392247435658389</v>
      </c>
      <c r="L18" s="87">
        <v>8.238435435276303</v>
      </c>
      <c r="M18" s="87">
        <v>9.4809615751939038</v>
      </c>
      <c r="N18" s="87">
        <v>7.6678950462638964</v>
      </c>
      <c r="O18" s="87">
        <v>8.0102446593831438</v>
      </c>
      <c r="P18" s="87">
        <v>8.7908808581232556</v>
      </c>
      <c r="Q18" s="87">
        <v>9.2136504123979144</v>
      </c>
      <c r="R18" s="87">
        <v>9.1016714467768516</v>
      </c>
      <c r="S18" s="87">
        <v>8.4733618731182698</v>
      </c>
      <c r="T18" s="87">
        <v>7.6216933094996575</v>
      </c>
      <c r="U18" s="87">
        <v>7.0741918851402241</v>
      </c>
      <c r="V18" s="87">
        <v>6.5758137464622042</v>
      </c>
      <c r="W18" s="87">
        <v>5.2818424463634699</v>
      </c>
      <c r="DA18" s="171" t="s">
        <v>1108</v>
      </c>
    </row>
    <row r="19" spans="1:105" ht="11.45" customHeight="1" x14ac:dyDescent="0.25">
      <c r="A19" s="85" t="s">
        <v>93</v>
      </c>
      <c r="B19" s="88">
        <v>3.7311510587866912</v>
      </c>
      <c r="C19" s="88">
        <v>3.7439582888246052</v>
      </c>
      <c r="D19" s="88">
        <v>3.4644750217336715</v>
      </c>
      <c r="E19" s="88">
        <v>3.7514185193986256</v>
      </c>
      <c r="F19" s="88">
        <v>4.4571994832639374</v>
      </c>
      <c r="G19" s="88">
        <v>4.3968017875676972</v>
      </c>
      <c r="H19" s="88">
        <v>3.5234511283526695</v>
      </c>
      <c r="I19" s="88">
        <v>3.2816698379699321</v>
      </c>
      <c r="J19" s="88">
        <v>4.2101030201288472</v>
      </c>
      <c r="K19" s="88">
        <v>3.2303564149340827</v>
      </c>
      <c r="L19" s="88">
        <v>3.9493533687893989</v>
      </c>
      <c r="M19" s="88">
        <v>4.3238162660199961</v>
      </c>
      <c r="N19" s="88">
        <v>3.7899045698500835</v>
      </c>
      <c r="O19" s="88">
        <v>3.8192178200539373</v>
      </c>
      <c r="P19" s="88">
        <v>3.5193270421622516</v>
      </c>
      <c r="Q19" s="88">
        <v>4.042723159617128</v>
      </c>
      <c r="R19" s="88">
        <v>4.5216502305936919</v>
      </c>
      <c r="S19" s="88">
        <v>3.5916140512576074</v>
      </c>
      <c r="T19" s="88">
        <v>3.6125894316155258</v>
      </c>
      <c r="U19" s="88">
        <v>2.9857382960027605</v>
      </c>
      <c r="V19" s="88">
        <v>4.3149060736233693</v>
      </c>
      <c r="W19" s="88">
        <v>3.8157402575713433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223.7775312312738</v>
      </c>
      <c r="C23" s="62">
        <f>IF(C10=0,0,C10/TrRail_act!C14*100)</f>
        <v>216.54571383131659</v>
      </c>
      <c r="D23" s="62">
        <f>IF(D10=0,0,D10/TrRail_act!D14*100)</f>
        <v>208.44752247775324</v>
      </c>
      <c r="E23" s="62">
        <f>IF(E10=0,0,E10/TrRail_act!E14*100)</f>
        <v>202.42001875380998</v>
      </c>
      <c r="F23" s="62">
        <f>IF(F10=0,0,F10/TrRail_act!F14*100)</f>
        <v>195.88312779598638</v>
      </c>
      <c r="G23" s="62">
        <f>IF(G10=0,0,G10/TrRail_act!G14*100)</f>
        <v>189.73994696612405</v>
      </c>
      <c r="H23" s="62">
        <f>IF(H10=0,0,H10/TrRail_act!H14*100)</f>
        <v>186.25719937664911</v>
      </c>
      <c r="I23" s="62">
        <f>IF(I10=0,0,I10/TrRail_act!I14*100)</f>
        <v>187.07190012052232</v>
      </c>
      <c r="J23" s="62">
        <f>IF(J10=0,0,J10/TrRail_act!J14*100)</f>
        <v>182.79711535487624</v>
      </c>
      <c r="K23" s="62">
        <f>IF(K10=0,0,K10/TrRail_act!K14*100)</f>
        <v>174.97058145529274</v>
      </c>
      <c r="L23" s="62">
        <f>IF(L10=0,0,L10/TrRail_act!L14*100)</f>
        <v>175.37513796295846</v>
      </c>
      <c r="M23" s="62">
        <f>IF(M10=0,0,M10/TrRail_act!M14*100)</f>
        <v>173.53318924915544</v>
      </c>
      <c r="N23" s="62">
        <f>IF(N10=0,0,N10/TrRail_act!N14*100)</f>
        <v>172.58929779972885</v>
      </c>
      <c r="O23" s="62">
        <f>IF(O10=0,0,O10/TrRail_act!O14*100)</f>
        <v>167.39488901362591</v>
      </c>
      <c r="P23" s="62">
        <f>IF(P10=0,0,P10/TrRail_act!P14*100)</f>
        <v>164.88958208075516</v>
      </c>
      <c r="Q23" s="62">
        <f>IF(Q10=0,0,Q10/TrRail_act!Q14*100)</f>
        <v>161.13709005955303</v>
      </c>
      <c r="R23" s="62">
        <f>IF(R10=0,0,R10/TrRail_act!R14*100)</f>
        <v>158.92756556950553</v>
      </c>
      <c r="S23" s="62">
        <f>IF(S10=0,0,S10/TrRail_act!S14*100)</f>
        <v>155.52908490899097</v>
      </c>
      <c r="T23" s="62">
        <f>IF(T10=0,0,T10/TrRail_act!T14*100)</f>
        <v>151.67740452514587</v>
      </c>
      <c r="U23" s="62">
        <f>IF(U10=0,0,U10/TrRail_act!U14*100)</f>
        <v>147.08965433794768</v>
      </c>
      <c r="V23" s="62">
        <f>IF(V10=0,0,V10/TrRail_act!V14*100)</f>
        <v>143.78035844485066</v>
      </c>
      <c r="W23" s="62">
        <f>IF(W10=0,0,W10/TrRail_act!W14*100)</f>
        <v>140.04512087073923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211.21447776325817</v>
      </c>
      <c r="C24" s="29">
        <f>IF(C11=0,0,C11/TrRail_act!C15*100)</f>
        <v>204.49206021206953</v>
      </c>
      <c r="D24" s="29">
        <f>IF(D11=0,0,D11/TrRail_act!D15*100)</f>
        <v>197.95045851445312</v>
      </c>
      <c r="E24" s="29">
        <f>IF(E11=0,0,E11/TrRail_act!E15*100)</f>
        <v>192.98374963337386</v>
      </c>
      <c r="F24" s="29">
        <f>IF(F11=0,0,F11/TrRail_act!F15*100)</f>
        <v>185.22834259025203</v>
      </c>
      <c r="G24" s="29">
        <f>IF(G11=0,0,G11/TrRail_act!G15*100)</f>
        <v>180.43409461845664</v>
      </c>
      <c r="H24" s="29">
        <f>IF(H11=0,0,H11/TrRail_act!H15*100)</f>
        <v>177.44294067708987</v>
      </c>
      <c r="I24" s="29">
        <f>IF(I11=0,0,I11/TrRail_act!I15*100)</f>
        <v>179.06812096807201</v>
      </c>
      <c r="J24" s="29">
        <f>IF(J11=0,0,J11/TrRail_act!J15*100)</f>
        <v>175.47630120499252</v>
      </c>
      <c r="K24" s="29">
        <f>IF(K11=0,0,K11/TrRail_act!K15*100)</f>
        <v>168.21077079775182</v>
      </c>
      <c r="L24" s="29">
        <f>IF(L11=0,0,L11/TrRail_act!L15*100)</f>
        <v>167.11816372778091</v>
      </c>
      <c r="M24" s="29">
        <f>IF(M11=0,0,M11/TrRail_act!M15*100)</f>
        <v>164.17854560480572</v>
      </c>
      <c r="N24" s="29">
        <f>IF(N11=0,0,N11/TrRail_act!N15*100)</f>
        <v>165.14887841559172</v>
      </c>
      <c r="O24" s="29">
        <f>IF(O11=0,0,O11/TrRail_act!O15*100)</f>
        <v>159.62863261108816</v>
      </c>
      <c r="P24" s="29">
        <f>IF(P11=0,0,P11/TrRail_act!P15*100)</f>
        <v>156.84694849964498</v>
      </c>
      <c r="Q24" s="29">
        <f>IF(Q11=0,0,Q11/TrRail_act!Q15*100)</f>
        <v>152.80975870302569</v>
      </c>
      <c r="R24" s="29">
        <f>IF(R11=0,0,R11/TrRail_act!R15*100)</f>
        <v>151.06169178322378</v>
      </c>
      <c r="S24" s="29">
        <f>IF(S11=0,0,S11/TrRail_act!S15*100)</f>
        <v>148.11206672360819</v>
      </c>
      <c r="T24" s="29">
        <f>IF(T11=0,0,T11/TrRail_act!T15*100)</f>
        <v>144.61831134919592</v>
      </c>
      <c r="U24" s="29">
        <f>IF(U11=0,0,U11/TrRail_act!U15*100)</f>
        <v>140.73510011988193</v>
      </c>
      <c r="V24" s="29">
        <f>IF(V11=0,0,V11/TrRail_act!V15*100)</f>
        <v>137.11121743470821</v>
      </c>
      <c r="W24" s="29">
        <f>IF(W11=0,0,W11/TrRail_act!W15*100)</f>
        <v>134.56836699044362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37.550687372375187</v>
      </c>
      <c r="E25" s="115">
        <f>IF(E12=0,0,E12/TrRail_act!E16*100)</f>
        <v>37.297250922068088</v>
      </c>
      <c r="F25" s="115">
        <f>IF(F12=0,0,F12/TrRail_act!F16*100)</f>
        <v>37.09355584562794</v>
      </c>
      <c r="G25" s="115">
        <f>IF(G12=0,0,G12/TrRail_act!G16*100)</f>
        <v>36.891185591958831</v>
      </c>
      <c r="H25" s="115">
        <f>IF(H12=0,0,H12/TrRail_act!H16*100)</f>
        <v>36.679820335914798</v>
      </c>
      <c r="I25" s="115">
        <f>IF(I12=0,0,I12/TrRail_act!I16*100)</f>
        <v>36.475314922346527</v>
      </c>
      <c r="J25" s="115">
        <f>IF(J12=0,0,J12/TrRail_act!J16*100)</f>
        <v>36.258391753915738</v>
      </c>
      <c r="K25" s="115">
        <f>IF(K12=0,0,K12/TrRail_act!K16*100)</f>
        <v>36.045828371965406</v>
      </c>
      <c r="L25" s="115">
        <f>IF(L12=0,0,L12/TrRail_act!L16*100)</f>
        <v>35.846513825105518</v>
      </c>
      <c r="M25" s="115">
        <f>IF(M12=0,0,M12/TrRail_act!M16*100)</f>
        <v>35.608469165276851</v>
      </c>
      <c r="N25" s="115">
        <f>IF(N12=0,0,N12/TrRail_act!N16*100)</f>
        <v>35.42722953333444</v>
      </c>
      <c r="O25" s="115">
        <f>IF(O12=0,0,O12/TrRail_act!O16*100)</f>
        <v>35.222401537931795</v>
      </c>
      <c r="P25" s="115">
        <f>IF(P12=0,0,P12/TrRail_act!P16*100)</f>
        <v>35.034390696686032</v>
      </c>
      <c r="Q25" s="115">
        <f>IF(Q12=0,0,Q12/TrRail_act!Q16*100)</f>
        <v>34.812101812107358</v>
      </c>
      <c r="R25" s="115">
        <f>IF(R12=0,0,R12/TrRail_act!R16*100)</f>
        <v>34.646310872845682</v>
      </c>
      <c r="S25" s="115">
        <f>IF(S12=0,0,S12/TrRail_act!S16*100)</f>
        <v>34.522486507808431</v>
      </c>
      <c r="T25" s="115">
        <f>IF(T12=0,0,T12/TrRail_act!T16*100)</f>
        <v>34.429908678726143</v>
      </c>
      <c r="U25" s="115">
        <f>IF(U12=0,0,U12/TrRail_act!U16*100)</f>
        <v>34.360638190202572</v>
      </c>
      <c r="V25" s="115">
        <f>IF(V12=0,0,V12/TrRail_act!V16*100)</f>
        <v>34.308776795584727</v>
      </c>
      <c r="W25" s="115">
        <f>IF(W12=0,0,W12/TrRail_act!W16*100)</f>
        <v>34.269932124391872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211.21447776325817</v>
      </c>
      <c r="C26" s="116">
        <f>IF(C13=0,0,C13/TrRail_act!C17*100)</f>
        <v>204.49206021206953</v>
      </c>
      <c r="D26" s="116">
        <f>IF(D13=0,0,D13/TrRail_act!D17*100)</f>
        <v>198.34478688806138</v>
      </c>
      <c r="E26" s="116">
        <f>IF(E13=0,0,E13/TrRail_act!E17*100)</f>
        <v>195.85057168429648</v>
      </c>
      <c r="F26" s="116">
        <f>IF(F13=0,0,F13/TrRail_act!F17*100)</f>
        <v>190.38147461826949</v>
      </c>
      <c r="G26" s="116">
        <f>IF(G13=0,0,G13/TrRail_act!G17*100)</f>
        <v>186.27246808408216</v>
      </c>
      <c r="H26" s="116">
        <f>IF(H13=0,0,H13/TrRail_act!H17*100)</f>
        <v>183.13618724042175</v>
      </c>
      <c r="I26" s="116">
        <f>IF(I13=0,0,I13/TrRail_act!I17*100)</f>
        <v>185.37639697058501</v>
      </c>
      <c r="J26" s="116">
        <f>IF(J13=0,0,J13/TrRail_act!J17*100)</f>
        <v>181.88296671358989</v>
      </c>
      <c r="K26" s="116">
        <f>IF(K13=0,0,K13/TrRail_act!K17*100)</f>
        <v>174.64393424386409</v>
      </c>
      <c r="L26" s="116">
        <f>IF(L13=0,0,L13/TrRail_act!L17*100)</f>
        <v>174.01150368180498</v>
      </c>
      <c r="M26" s="116">
        <f>IF(M13=0,0,M13/TrRail_act!M17*100)</f>
        <v>171.98652667876615</v>
      </c>
      <c r="N26" s="116">
        <f>IF(N13=0,0,N13/TrRail_act!N17*100)</f>
        <v>172.7839869873138</v>
      </c>
      <c r="O26" s="116">
        <f>IF(O13=0,0,O13/TrRail_act!O17*100)</f>
        <v>167.08839422950464</v>
      </c>
      <c r="P26" s="116">
        <f>IF(P13=0,0,P13/TrRail_act!P17*100)</f>
        <v>164.20821093710342</v>
      </c>
      <c r="Q26" s="116">
        <f>IF(Q13=0,0,Q13/TrRail_act!Q17*100)</f>
        <v>159.99804242604992</v>
      </c>
      <c r="R26" s="116">
        <f>IF(R13=0,0,R13/TrRail_act!R17*100)</f>
        <v>158.33980228456051</v>
      </c>
      <c r="S26" s="116">
        <f>IF(S13=0,0,S13/TrRail_act!S17*100)</f>
        <v>155.68801249450678</v>
      </c>
      <c r="T26" s="116">
        <f>IF(T13=0,0,T13/TrRail_act!T17*100)</f>
        <v>152.54706315041264</v>
      </c>
      <c r="U26" s="116">
        <f>IF(U13=0,0,U13/TrRail_act!U17*100)</f>
        <v>149.15227673931199</v>
      </c>
      <c r="V26" s="116">
        <f>IF(V13=0,0,V13/TrRail_act!V17*100)</f>
        <v>145.85073008348789</v>
      </c>
      <c r="W26" s="116">
        <f>IF(W13=0,0,W13/TrRail_act!W17*100)</f>
        <v>142.94605528769546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269.26243487954184</v>
      </c>
      <c r="C27" s="87">
        <f>IF(C14=0,0,C14/TrRail_act!C18*100)</f>
        <v>262.21425056919657</v>
      </c>
      <c r="D27" s="87">
        <f>IF(D14=0,0,D14/TrRail_act!D18*100)</f>
        <v>254.38055524482866</v>
      </c>
      <c r="E27" s="87">
        <f>IF(E14=0,0,E14/TrRail_act!E18*100)</f>
        <v>243.78414083182474</v>
      </c>
      <c r="F27" s="87">
        <f>IF(F14=0,0,F14/TrRail_act!F18*100)</f>
        <v>236.02008845808265</v>
      </c>
      <c r="G27" s="87">
        <f>IF(G14=0,0,G14/TrRail_act!G18*100)</f>
        <v>225.87474914803934</v>
      </c>
      <c r="H27" s="87">
        <f>IF(H14=0,0,H14/TrRail_act!H18*100)</f>
        <v>222.74601619703463</v>
      </c>
      <c r="I27" s="87">
        <f>IF(I14=0,0,I14/TrRail_act!I18*100)</f>
        <v>223.96720072060683</v>
      </c>
      <c r="J27" s="87">
        <f>IF(J14=0,0,J14/TrRail_act!J18*100)</f>
        <v>219.72771017748553</v>
      </c>
      <c r="K27" s="87">
        <f>IF(K14=0,0,K14/TrRail_act!K18*100)</f>
        <v>211.30035842936672</v>
      </c>
      <c r="L27" s="87">
        <f>IF(L14=0,0,L14/TrRail_act!L18*100)</f>
        <v>209.00512386722943</v>
      </c>
      <c r="M27" s="87">
        <f>IF(M14=0,0,M14/TrRail_act!M18*100)</f>
        <v>207.28113665422748</v>
      </c>
      <c r="N27" s="87">
        <f>IF(N14=0,0,N14/TrRail_act!N18*100)</f>
        <v>204.24728985143901</v>
      </c>
      <c r="O27" s="87">
        <f>IF(O14=0,0,O14/TrRail_act!O18*100)</f>
        <v>198.81626530840876</v>
      </c>
      <c r="P27" s="87">
        <f>IF(P14=0,0,P14/TrRail_act!P18*100)</f>
        <v>189.98143565366152</v>
      </c>
      <c r="Q27" s="87">
        <f>IF(Q14=0,0,Q14/TrRail_act!Q18*100)</f>
        <v>183.99936444117682</v>
      </c>
      <c r="R27" s="87">
        <f>IF(R14=0,0,R14/TrRail_act!R18*100)</f>
        <v>182.33130207883002</v>
      </c>
      <c r="S27" s="87">
        <f>IF(S14=0,0,S14/TrRail_act!S18*100)</f>
        <v>179.27928474919707</v>
      </c>
      <c r="T27" s="87">
        <f>IF(T14=0,0,T14/TrRail_act!T18*100)</f>
        <v>176.13872556581174</v>
      </c>
      <c r="U27" s="87">
        <f>IF(U14=0,0,U14/TrRail_act!U18*100)</f>
        <v>171.75963539092203</v>
      </c>
      <c r="V27" s="87">
        <f>IF(V14=0,0,V14/TrRail_act!V18*100)</f>
        <v>168.5469136574784</v>
      </c>
      <c r="W27" s="87">
        <f>IF(W14=0,0,W14/TrRail_act!W18*100)</f>
        <v>166.17687033272804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138.57845964190909</v>
      </c>
      <c r="C28" s="87">
        <f>IF(C15=0,0,C15/TrRail_act!C19*100)</f>
        <v>136.53787702485195</v>
      </c>
      <c r="D28" s="87">
        <f>IF(D15=0,0,D15/TrRail_act!D19*100)</f>
        <v>134.26472542368344</v>
      </c>
      <c r="E28" s="87">
        <f>IF(E15=0,0,E15/TrRail_act!E19*100)</f>
        <v>133.24517933973036</v>
      </c>
      <c r="F28" s="87">
        <f>IF(F15=0,0,F15/TrRail_act!F19*100)</f>
        <v>132.25291342160389</v>
      </c>
      <c r="G28" s="87">
        <f>IF(G15=0,0,G15/TrRail_act!G19*100)</f>
        <v>130.07975318680221</v>
      </c>
      <c r="H28" s="87">
        <f>IF(H15=0,0,H15/TrRail_act!H19*100)</f>
        <v>129.19533339823064</v>
      </c>
      <c r="I28" s="87">
        <f>IF(I15=0,0,I15/TrRail_act!I19*100)</f>
        <v>129.37685587841713</v>
      </c>
      <c r="J28" s="87">
        <f>IF(J15=0,0,J15/TrRail_act!J19*100)</f>
        <v>126.40743194398843</v>
      </c>
      <c r="K28" s="87">
        <f>IF(K15=0,0,K15/TrRail_act!K19*100)</f>
        <v>124.99826483641212</v>
      </c>
      <c r="L28" s="87">
        <f>IF(L15=0,0,L15/TrRail_act!L19*100)</f>
        <v>124.63482592579653</v>
      </c>
      <c r="M28" s="87">
        <f>IF(M15=0,0,M15/TrRail_act!M19*100)</f>
        <v>120.79029134283539</v>
      </c>
      <c r="N28" s="87">
        <f>IF(N15=0,0,N15/TrRail_act!N19*100)</f>
        <v>123.44198490293297</v>
      </c>
      <c r="O28" s="87">
        <f>IF(O15=0,0,O15/TrRail_act!O19*100)</f>
        <v>118.82915799408103</v>
      </c>
      <c r="P28" s="87">
        <f>IF(P15=0,0,P15/TrRail_act!P19*100)</f>
        <v>121.70738809222313</v>
      </c>
      <c r="Q28" s="87">
        <f>IF(Q15=0,0,Q15/TrRail_act!Q19*100)</f>
        <v>121.06562130241154</v>
      </c>
      <c r="R28" s="87">
        <f>IF(R15=0,0,R15/TrRail_act!R19*100)</f>
        <v>119.98358421295778</v>
      </c>
      <c r="S28" s="87">
        <f>IF(S15=0,0,S15/TrRail_act!S19*100)</f>
        <v>118.94005244320216</v>
      </c>
      <c r="T28" s="87">
        <f>IF(T15=0,0,T15/TrRail_act!T19*100)</f>
        <v>117.92703706586866</v>
      </c>
      <c r="U28" s="87">
        <f>IF(U15=0,0,U15/TrRail_act!U19*100)</f>
        <v>116.58707664166683</v>
      </c>
      <c r="V28" s="87">
        <f>IF(V15=0,0,V15/TrRail_act!V19*100)</f>
        <v>116.51684437849616</v>
      </c>
      <c r="W28" s="87">
        <f>IF(W15=0,0,W15/TrRail_act!W19*100)</f>
        <v>116.46419794666988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370.80398225217431</v>
      </c>
      <c r="C30" s="29">
        <f>IF(C17=0,0,C17/TrRail_act!C21*100)</f>
        <v>355.22884859948579</v>
      </c>
      <c r="D30" s="29">
        <f>IF(D17=0,0,D17/TrRail_act!D21*100)</f>
        <v>349.29059374925703</v>
      </c>
      <c r="E30" s="29">
        <f>IF(E17=0,0,E17/TrRail_act!E21*100)</f>
        <v>330.11877864112591</v>
      </c>
      <c r="F30" s="29">
        <f>IF(F17=0,0,F17/TrRail_act!F21*100)</f>
        <v>321.63163418837451</v>
      </c>
      <c r="G30" s="29">
        <f>IF(G17=0,0,G17/TrRail_act!G21*100)</f>
        <v>317.97677926456396</v>
      </c>
      <c r="H30" s="29">
        <f>IF(H17=0,0,H17/TrRail_act!H21*100)</f>
        <v>323.029269036757</v>
      </c>
      <c r="I30" s="29">
        <f>IF(I17=0,0,I17/TrRail_act!I21*100)</f>
        <v>320.24123678773265</v>
      </c>
      <c r="J30" s="29">
        <f>IF(J17=0,0,J17/TrRail_act!J21*100)</f>
        <v>292.98397016592969</v>
      </c>
      <c r="K30" s="29">
        <f>IF(K17=0,0,K17/TrRail_act!K21*100)</f>
        <v>299.14104095719273</v>
      </c>
      <c r="L30" s="29">
        <f>IF(L17=0,0,L17/TrRail_act!L21*100)</f>
        <v>297.12922807210634</v>
      </c>
      <c r="M30" s="29">
        <f>IF(M17=0,0,M17/TrRail_act!M21*100)</f>
        <v>297.38183242488896</v>
      </c>
      <c r="N30" s="29">
        <f>IF(N17=0,0,N17/TrRail_act!N21*100)</f>
        <v>288.57246327993494</v>
      </c>
      <c r="O30" s="29">
        <f>IF(O17=0,0,O17/TrRail_act!O21*100)</f>
        <v>286.15662660751195</v>
      </c>
      <c r="P30" s="29">
        <f>IF(P17=0,0,P17/TrRail_act!P21*100)</f>
        <v>287.49886737068209</v>
      </c>
      <c r="Q30" s="29">
        <f>IF(Q17=0,0,Q17/TrRail_act!Q21*100)</f>
        <v>275.5862419846851</v>
      </c>
      <c r="R30" s="29">
        <f>IF(R17=0,0,R17/TrRail_act!R21*100)</f>
        <v>263.8635259471742</v>
      </c>
      <c r="S30" s="29">
        <f>IF(S17=0,0,S17/TrRail_act!S21*100)</f>
        <v>269.09253869010598</v>
      </c>
      <c r="T30" s="29">
        <f>IF(T17=0,0,T17/TrRail_act!T21*100)</f>
        <v>259.71091097797415</v>
      </c>
      <c r="U30" s="29">
        <f>IF(U17=0,0,U17/TrRail_act!U21*100)</f>
        <v>261.61895607580107</v>
      </c>
      <c r="V30" s="29">
        <f>IF(V17=0,0,V17/TrRail_act!V21*100)</f>
        <v>238.55988039615735</v>
      </c>
      <c r="W30" s="29">
        <f>IF(W17=0,0,W17/TrRail_act!W21*100)</f>
        <v>233.37183818927397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498.62979835085923</v>
      </c>
      <c r="C31" s="87">
        <f>IF(C18=0,0,C18/TrRail_act!C22*100)</f>
        <v>494.20784483524056</v>
      </c>
      <c r="D31" s="87">
        <f>IF(D18=0,0,D18/TrRail_act!D22*100)</f>
        <v>486.70590084101059</v>
      </c>
      <c r="E31" s="87">
        <f>IF(E18=0,0,E18/TrRail_act!E22*100)</f>
        <v>475.60931089766984</v>
      </c>
      <c r="F31" s="87">
        <f>IF(F18=0,0,F18/TrRail_act!F22*100)</f>
        <v>474.51932298794873</v>
      </c>
      <c r="G31" s="87">
        <f>IF(G18=0,0,G18/TrRail_act!G22*100)</f>
        <v>469.28270168023101</v>
      </c>
      <c r="H31" s="87">
        <f>IF(H18=0,0,H18/TrRail_act!H22*100)</f>
        <v>456.72257224486697</v>
      </c>
      <c r="I31" s="87">
        <f>IF(I18=0,0,I18/TrRail_act!I22*100)</f>
        <v>455.24404462008016</v>
      </c>
      <c r="J31" s="87">
        <f>IF(J18=0,0,J18/TrRail_act!J22*100)</f>
        <v>439.81650417512145</v>
      </c>
      <c r="K31" s="87">
        <f>IF(K18=0,0,K18/TrRail_act!K22*100)</f>
        <v>428.8666568568953</v>
      </c>
      <c r="L31" s="87">
        <f>IF(L18=0,0,L18/TrRail_act!L22*100)</f>
        <v>424.7276496087556</v>
      </c>
      <c r="M31" s="87">
        <f>IF(M18=0,0,M18/TrRail_act!M22*100)</f>
        <v>415.57531133235102</v>
      </c>
      <c r="N31" s="87">
        <f>IF(N18=0,0,N18/TrRail_act!N22*100)</f>
        <v>411.08003477789492</v>
      </c>
      <c r="O31" s="87">
        <f>IF(O18=0,0,O18/TrRail_act!O22*100)</f>
        <v>401.5442538426459</v>
      </c>
      <c r="P31" s="87">
        <f>IF(P18=0,0,P18/TrRail_act!P22*100)</f>
        <v>389.5555367932962</v>
      </c>
      <c r="Q31" s="87">
        <f>IF(Q18=0,0,Q18/TrRail_act!Q22*100)</f>
        <v>385.50289543956404</v>
      </c>
      <c r="R31" s="87">
        <f>IF(R18=0,0,R18/TrRail_act!R22*100)</f>
        <v>376.75373979819881</v>
      </c>
      <c r="S31" s="87">
        <f>IF(S18=0,0,S18/TrRail_act!S22*100)</f>
        <v>370.3224301479662</v>
      </c>
      <c r="T31" s="87">
        <f>IF(T18=0,0,T18/TrRail_act!T22*100)</f>
        <v>365.57109706677801</v>
      </c>
      <c r="U31" s="87">
        <f>IF(U18=0,0,U18/TrRail_act!U22*100)</f>
        <v>362.04764575245486</v>
      </c>
      <c r="V31" s="87">
        <f>IF(V18=0,0,V18/TrRail_act!V22*100)</f>
        <v>359.42736131759182</v>
      </c>
      <c r="W31" s="87">
        <f>IF(W18=0,0,W18/TrRail_act!W22*100)</f>
        <v>357.47460067373839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222.04851951394548</v>
      </c>
      <c r="C32" s="88">
        <f>IF(C19=0,0,C19/TrRail_act!C23*100)</f>
        <v>210.58375253280511</v>
      </c>
      <c r="D32" s="88">
        <f>IF(D19=0,0,D19/TrRail_act!D23*100)</f>
        <v>210.24619142888986</v>
      </c>
      <c r="E32" s="88">
        <f>IF(E19=0,0,E19/TrRail_act!E23*100)</f>
        <v>204.30720637978516</v>
      </c>
      <c r="F32" s="88">
        <f>IF(F19=0,0,F19/TrRail_act!F23*100)</f>
        <v>199.0619491231173</v>
      </c>
      <c r="G32" s="88">
        <f>IF(G19=0,0,G19/TrRail_act!G23*100)</f>
        <v>203.21872759772336</v>
      </c>
      <c r="H32" s="88">
        <f>IF(H19=0,0,H19/TrRail_act!H23*100)</f>
        <v>198.19377151976613</v>
      </c>
      <c r="I32" s="88">
        <f>IF(I19=0,0,I19/TrRail_act!I23*100)</f>
        <v>198.17829982990429</v>
      </c>
      <c r="J32" s="88">
        <f>IF(J19=0,0,J19/TrRail_act!J23*100)</f>
        <v>191.59627902865802</v>
      </c>
      <c r="K32" s="88">
        <f>IF(K19=0,0,K19/TrRail_act!K23*100)</f>
        <v>187.71476757191513</v>
      </c>
      <c r="L32" s="88">
        <f>IF(L19=0,0,L19/TrRail_act!L23*100)</f>
        <v>182.65866885581059</v>
      </c>
      <c r="M32" s="88">
        <f>IF(M19=0,0,M19/TrRail_act!M23*100)</f>
        <v>183.15830817711841</v>
      </c>
      <c r="N32" s="88">
        <f>IF(N19=0,0,N19/TrRail_act!N23*100)</f>
        <v>180.02537849568071</v>
      </c>
      <c r="O32" s="88">
        <f>IF(O19=0,0,O19/TrRail_act!O23*100)</f>
        <v>178.54721436696434</v>
      </c>
      <c r="P32" s="88">
        <f>IF(P19=0,0,P19/TrRail_act!P23*100)</f>
        <v>173.77809361639706</v>
      </c>
      <c r="Q32" s="88">
        <f>IF(Q19=0,0,Q19/TrRail_act!Q23*100)</f>
        <v>167.04011062693053</v>
      </c>
      <c r="R32" s="88">
        <f>IF(R19=0,0,R19/TrRail_act!R23*100)</f>
        <v>164.59101073977132</v>
      </c>
      <c r="S32" s="88">
        <f>IF(S19=0,0,S19/TrRail_act!S23*100)</f>
        <v>163.59167058766292</v>
      </c>
      <c r="T32" s="88">
        <f>IF(T19=0,0,T19/TrRail_act!T23*100)</f>
        <v>161.21768761032743</v>
      </c>
      <c r="U32" s="88">
        <f>IF(U19=0,0,U19/TrRail_act!U23*100)</f>
        <v>157.86523719694455</v>
      </c>
      <c r="V32" s="88">
        <f>IF(V19=0,0,V19/TrRail_act!V23*100)</f>
        <v>157.72767906514787</v>
      </c>
      <c r="W32" s="88">
        <f>IF(W19=0,0,W19/TrRail_act!W23*100)</f>
        <v>157.62458913159961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16.231123520131817</v>
      </c>
      <c r="C35" s="29">
        <f>IF(C11=0,0,C11/TrRail_act!C4*1000)</f>
        <v>14.921398696765079</v>
      </c>
      <c r="D35" s="29">
        <f>IF(D11=0,0,D11/TrRail_act!D4*1000)</f>
        <v>15.302427457775119</v>
      </c>
      <c r="E35" s="29">
        <f>IF(E11=0,0,E11/TrRail_act!E4*1000)</f>
        <v>15.174029470706058</v>
      </c>
      <c r="F35" s="29">
        <f>IF(F11=0,0,F11/TrRail_act!F4*1000)</f>
        <v>14.519327320829523</v>
      </c>
      <c r="G35" s="29">
        <f>IF(G11=0,0,G11/TrRail_act!G4*1000)</f>
        <v>15.41676256470414</v>
      </c>
      <c r="H35" s="29">
        <f>IF(H11=0,0,H11/TrRail_act!H4*1000)</f>
        <v>15.087016506000554</v>
      </c>
      <c r="I35" s="29">
        <f>IF(I11=0,0,I11/TrRail_act!I4*1000)</f>
        <v>14.787295634531723</v>
      </c>
      <c r="J35" s="29">
        <f>IF(J11=0,0,J11/TrRail_act!J4*1000)</f>
        <v>15.151988346820069</v>
      </c>
      <c r="K35" s="29">
        <f>IF(K11=0,0,K11/TrRail_act!K4*1000)</f>
        <v>15.524572047408654</v>
      </c>
      <c r="L35" s="29">
        <f>IF(L11=0,0,L11/TrRail_act!L4*1000)</f>
        <v>15.368730267437305</v>
      </c>
      <c r="M35" s="29">
        <f>IF(M11=0,0,M11/TrRail_act!M4*1000)</f>
        <v>15.189068662022089</v>
      </c>
      <c r="N35" s="29">
        <f>IF(N11=0,0,N11/TrRail_act!N4*1000)</f>
        <v>15.051707712189939</v>
      </c>
      <c r="O35" s="29">
        <f>IF(O11=0,0,O11/TrRail_act!O4*1000)</f>
        <v>14.763804873179392</v>
      </c>
      <c r="P35" s="29">
        <f>IF(P11=0,0,P11/TrRail_act!P4*1000)</f>
        <v>15.038719332267023</v>
      </c>
      <c r="Q35" s="29">
        <f>IF(Q11=0,0,Q11/TrRail_act!Q4*1000)</f>
        <v>14.839028781038859</v>
      </c>
      <c r="R35" s="29">
        <f>IF(R11=0,0,R11/TrRail_act!R4*1000)</f>
        <v>15.639319016178099</v>
      </c>
      <c r="S35" s="29">
        <f>IF(S11=0,0,S11/TrRail_act!S4*1000)</f>
        <v>15.356806289889381</v>
      </c>
      <c r="T35" s="29">
        <f>IF(T11=0,0,T11/TrRail_act!T4*1000)</f>
        <v>14.618843197931412</v>
      </c>
      <c r="U35" s="29">
        <f>IF(U11=0,0,U11/TrRail_act!U4*1000)</f>
        <v>14.836450374652735</v>
      </c>
      <c r="V35" s="29">
        <f>IF(V11=0,0,V11/TrRail_act!V4*1000)</f>
        <v>21.034834172115939</v>
      </c>
      <c r="W35" s="29">
        <f>IF(W11=0,0,W11/TrRail_act!W4*1000)</f>
        <v>19.812269281595469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4.5513158588455118</v>
      </c>
      <c r="E36" s="115">
        <f>IF(E12=0,0,E12/TrRail_act!E5*1000)</f>
        <v>4.663844237285355</v>
      </c>
      <c r="F36" s="115">
        <f>IF(F12=0,0,F12/TrRail_act!F5*1000)</f>
        <v>4.6383731345919204</v>
      </c>
      <c r="G36" s="115">
        <f>IF(G12=0,0,G12/TrRail_act!G5*1000)</f>
        <v>4.6661985742343521</v>
      </c>
      <c r="H36" s="115">
        <f>IF(H12=0,0,H12/TrRail_act!H5*1000)</f>
        <v>4.6379305541182942</v>
      </c>
      <c r="I36" s="115">
        <f>IF(I12=0,0,I12/TrRail_act!I5*1000)</f>
        <v>4.5802370042045579</v>
      </c>
      <c r="J36" s="115">
        <f>IF(J12=0,0,J12/TrRail_act!J5*1000)</f>
        <v>4.5736427001298035</v>
      </c>
      <c r="K36" s="115">
        <f>IF(K12=0,0,K12/TrRail_act!K5*1000)</f>
        <v>4.5728244292499811</v>
      </c>
      <c r="L36" s="115">
        <f>IF(L12=0,0,L12/TrRail_act!L5*1000)</f>
        <v>4.5260868929245044</v>
      </c>
      <c r="M36" s="115">
        <f>IF(M12=0,0,M12/TrRail_act!M5*1000)</f>
        <v>4.5069397550020058</v>
      </c>
      <c r="N36" s="115">
        <f>IF(N12=0,0,N12/TrRail_act!N5*1000)</f>
        <v>4.4483166390646307</v>
      </c>
      <c r="O36" s="115">
        <f>IF(O12=0,0,O12/TrRail_act!O5*1000)</f>
        <v>4.4352569678839293</v>
      </c>
      <c r="P36" s="115">
        <f>IF(P12=0,0,P12/TrRail_act!P5*1000)</f>
        <v>4.4177860310067238</v>
      </c>
      <c r="Q36" s="115">
        <f>IF(Q12=0,0,Q12/TrRail_act!Q5*1000)</f>
        <v>4.3758949741679878</v>
      </c>
      <c r="R36" s="115">
        <f>IF(R12=0,0,R12/TrRail_act!R5*1000)</f>
        <v>4.3742618821790122</v>
      </c>
      <c r="S36" s="115">
        <f>IF(S12=0,0,S12/TrRail_act!S5*1000)</f>
        <v>4.3454977250046234</v>
      </c>
      <c r="T36" s="115">
        <f>IF(T12=0,0,T12/TrRail_act!T5*1000)</f>
        <v>4.3466009099971492</v>
      </c>
      <c r="U36" s="115">
        <f>IF(U12=0,0,U12/TrRail_act!U5*1000)</f>
        <v>4.3653060452882979</v>
      </c>
      <c r="V36" s="115">
        <f>IF(V12=0,0,V12/TrRail_act!V5*1000)</f>
        <v>6.0347620736309144</v>
      </c>
      <c r="W36" s="115">
        <f>IF(W12=0,0,W12/TrRail_act!W5*1000)</f>
        <v>5.3019501723327656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16.231123520131817</v>
      </c>
      <c r="C37" s="116">
        <f>IF(C13=0,0,C13/TrRail_act!C6*1000)</f>
        <v>14.921398696765079</v>
      </c>
      <c r="D37" s="116">
        <f>IF(D13=0,0,D13/TrRail_act!D6*1000)</f>
        <v>15.31926993025386</v>
      </c>
      <c r="E37" s="116">
        <f>IF(E13=0,0,E13/TrRail_act!E6*1000)</f>
        <v>15.294898404904341</v>
      </c>
      <c r="F37" s="116">
        <f>IF(F13=0,0,F13/TrRail_act!F6*1000)</f>
        <v>14.732035382692693</v>
      </c>
      <c r="G37" s="116">
        <f>IF(G13=0,0,G13/TrRail_act!G6*1000)</f>
        <v>15.708291082691437</v>
      </c>
      <c r="H37" s="116">
        <f>IF(H13=0,0,H13/TrRail_act!H6*1000)</f>
        <v>15.367482970175461</v>
      </c>
      <c r="I37" s="116">
        <f>IF(I13=0,0,I13/TrRail_act!I6*1000)</f>
        <v>15.079823059656059</v>
      </c>
      <c r="J37" s="116">
        <f>IF(J13=0,0,J13/TrRail_act!J6*1000)</f>
        <v>15.480456085849465</v>
      </c>
      <c r="K37" s="116">
        <f>IF(K13=0,0,K13/TrRail_act!K6*1000)</f>
        <v>15.907313552269528</v>
      </c>
      <c r="L37" s="116">
        <f>IF(L13=0,0,L13/TrRail_act!L6*1000)</f>
        <v>15.777596118890218</v>
      </c>
      <c r="M37" s="116">
        <f>IF(M13=0,0,M13/TrRail_act!M6*1000)</f>
        <v>15.655625117034122</v>
      </c>
      <c r="N37" s="116">
        <f>IF(N13=0,0,N13/TrRail_act!N6*1000)</f>
        <v>15.497515469445784</v>
      </c>
      <c r="O37" s="116">
        <f>IF(O13=0,0,O13/TrRail_act!O6*1000)</f>
        <v>15.211569734285163</v>
      </c>
      <c r="P37" s="116">
        <f>IF(P13=0,0,P13/TrRail_act!P6*1000)</f>
        <v>15.519784175483942</v>
      </c>
      <c r="Q37" s="116">
        <f>IF(Q13=0,0,Q13/TrRail_act!Q6*1000)</f>
        <v>15.324713750248051</v>
      </c>
      <c r="R37" s="116">
        <f>IF(R13=0,0,R13/TrRail_act!R6*1000)</f>
        <v>16.21039977107603</v>
      </c>
      <c r="S37" s="116">
        <f>IF(S13=0,0,S13/TrRail_act!S6*1000)</f>
        <v>15.954713331390286</v>
      </c>
      <c r="T37" s="116">
        <f>IF(T13=0,0,T13/TrRail_act!T6*1000)</f>
        <v>15.202323799085658</v>
      </c>
      <c r="U37" s="116">
        <f>IF(U13=0,0,U13/TrRail_act!U6*1000)</f>
        <v>15.514852987504334</v>
      </c>
      <c r="V37" s="116">
        <f>IF(V13=0,0,V13/TrRail_act!V6*1000)</f>
        <v>22.135093267664715</v>
      </c>
      <c r="W37" s="116">
        <f>IF(W13=0,0,W13/TrRail_act!W6*1000)</f>
        <v>20.961017338320161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23.219033981244774</v>
      </c>
      <c r="C38" s="87">
        <f>IF(C14=0,0,C14/TrRail_act!C7*1000)</f>
        <v>21.354395755065383</v>
      </c>
      <c r="D38" s="87">
        <f>IF(D14=0,0,D14/TrRail_act!D7*1000)</f>
        <v>21.903662339099501</v>
      </c>
      <c r="E38" s="87">
        <f>IF(E14=0,0,E14/TrRail_act!E7*1000)</f>
        <v>21.833748680427089</v>
      </c>
      <c r="F38" s="87">
        <f>IF(F14=0,0,F14/TrRail_act!F7*1000)</f>
        <v>20.899918445733469</v>
      </c>
      <c r="G38" s="87">
        <f>IF(G14=0,0,G14/TrRail_act!G7*1000)</f>
        <v>20.25050304008035</v>
      </c>
      <c r="H38" s="87">
        <f>IF(H14=0,0,H14/TrRail_act!H7*1000)</f>
        <v>19.115918063844539</v>
      </c>
      <c r="I38" s="87">
        <f>IF(I14=0,0,I14/TrRail_act!I7*1000)</f>
        <v>19.259471429086087</v>
      </c>
      <c r="J38" s="87">
        <f>IF(J14=0,0,J14/TrRail_act!J7*1000)</f>
        <v>19.570073843022026</v>
      </c>
      <c r="K38" s="87">
        <f>IF(K14=0,0,K14/TrRail_act!K7*1000)</f>
        <v>19.869875408902015</v>
      </c>
      <c r="L38" s="87">
        <f>IF(L14=0,0,L14/TrRail_act!L7*1000)</f>
        <v>19.994779033755897</v>
      </c>
      <c r="M38" s="87">
        <f>IF(M14=0,0,M14/TrRail_act!M7*1000)</f>
        <v>19.744134576917002</v>
      </c>
      <c r="N38" s="87">
        <f>IF(N14=0,0,N14/TrRail_act!N7*1000)</f>
        <v>19.595093120485874</v>
      </c>
      <c r="O38" s="87">
        <f>IF(O14=0,0,O14/TrRail_act!O7*1000)</f>
        <v>18.856246944554421</v>
      </c>
      <c r="P38" s="87">
        <f>IF(P14=0,0,P14/TrRail_act!P7*1000)</f>
        <v>19.09668817381614</v>
      </c>
      <c r="Q38" s="87">
        <f>IF(Q14=0,0,Q14/TrRail_act!Q7*1000)</f>
        <v>18.879240127747916</v>
      </c>
      <c r="R38" s="87">
        <f>IF(R14=0,0,R14/TrRail_act!R7*1000)</f>
        <v>19.989433901531342</v>
      </c>
      <c r="S38" s="87">
        <f>IF(S14=0,0,S14/TrRail_act!S7*1000)</f>
        <v>19.481848568804061</v>
      </c>
      <c r="T38" s="87">
        <f>IF(T14=0,0,T14/TrRail_act!T7*1000)</f>
        <v>20.829120080637992</v>
      </c>
      <c r="U38" s="87">
        <f>IF(U14=0,0,U14/TrRail_act!U7*1000)</f>
        <v>21.056322829699184</v>
      </c>
      <c r="V38" s="87">
        <f>IF(V14=0,0,V14/TrRail_act!V7*1000)</f>
        <v>29.015315350626551</v>
      </c>
      <c r="W38" s="87">
        <f>IF(W14=0,0,W14/TrRail_act!W7*1000)</f>
        <v>28.706245939659205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9.3728027920653361</v>
      </c>
      <c r="C39" s="87">
        <f>IF(C15=0,0,C15/TrRail_act!C8*1000)</f>
        <v>8.8760418172999636</v>
      </c>
      <c r="D39" s="87">
        <f>IF(D15=0,0,D15/TrRail_act!D8*1000)</f>
        <v>9.2771181677200083</v>
      </c>
      <c r="E39" s="87">
        <f>IF(E15=0,0,E15/TrRail_act!E8*1000)</f>
        <v>8.9149435877181187</v>
      </c>
      <c r="F39" s="87">
        <f>IF(F15=0,0,F15/TrRail_act!F8*1000)</f>
        <v>8.8173596129053653</v>
      </c>
      <c r="G39" s="87">
        <f>IF(G15=0,0,G15/TrRail_act!G8*1000)</f>
        <v>10.117091039719091</v>
      </c>
      <c r="H39" s="87">
        <f>IF(H15=0,0,H15/TrRail_act!H8*1000)</f>
        <v>10.5228094989487</v>
      </c>
      <c r="I39" s="87">
        <f>IF(I15=0,0,I15/TrRail_act!I8*1000)</f>
        <v>9.7593935995049836</v>
      </c>
      <c r="J39" s="87">
        <f>IF(J15=0,0,J15/TrRail_act!J8*1000)</f>
        <v>10.10161091453905</v>
      </c>
      <c r="K39" s="87">
        <f>IF(K15=0,0,K15/TrRail_act!K8*1000)</f>
        <v>10.921068922736099</v>
      </c>
      <c r="L39" s="87">
        <f>IF(L15=0,0,L15/TrRail_act!L8*1000)</f>
        <v>10.524964185152239</v>
      </c>
      <c r="M39" s="87">
        <f>IF(M15=0,0,M15/TrRail_act!M8*1000)</f>
        <v>10.330695614965164</v>
      </c>
      <c r="N39" s="87">
        <f>IF(N15=0,0,N15/TrRail_act!N8*1000)</f>
        <v>10.046312062331957</v>
      </c>
      <c r="O39" s="87">
        <f>IF(O15=0,0,O15/TrRail_act!O8*1000)</f>
        <v>10.196141102669072</v>
      </c>
      <c r="P39" s="87">
        <f>IF(P15=0,0,P15/TrRail_act!P8*1000)</f>
        <v>10.4712087734548</v>
      </c>
      <c r="Q39" s="87">
        <f>IF(Q15=0,0,Q15/TrRail_act!Q8*1000)</f>
        <v>10.466547166969619</v>
      </c>
      <c r="R39" s="87">
        <f>IF(R15=0,0,R15/TrRail_act!R8*1000)</f>
        <v>11.108326119574404</v>
      </c>
      <c r="S39" s="87">
        <f>IF(S15=0,0,S15/TrRail_act!S8*1000)</f>
        <v>11.195622045336036</v>
      </c>
      <c r="T39" s="87">
        <f>IF(T15=0,0,T15/TrRail_act!T8*1000)</f>
        <v>9.5485534813868558</v>
      </c>
      <c r="U39" s="87">
        <f>IF(U15=0,0,U15/TrRail_act!U8*1000)</f>
        <v>9.9550408794006113</v>
      </c>
      <c r="V39" s="87">
        <f>IF(V15=0,0,V15/TrRail_act!V8*1000)</f>
        <v>15.336161472103431</v>
      </c>
      <c r="W39" s="87">
        <f>IF(W15=0,0,W15/TrRail_act!W8*1000)</f>
        <v>14.567856567932228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6.6576125716939085</v>
      </c>
      <c r="C41" s="29">
        <f>IF(C17=0,0,C17/TrRail_act!C10*1000)</f>
        <v>6.1638815572054124</v>
      </c>
      <c r="D41" s="29">
        <f>IF(D17=0,0,D17/TrRail_act!D10*1000)</f>
        <v>6.1691971512231749</v>
      </c>
      <c r="E41" s="29">
        <f>IF(E17=0,0,E17/TrRail_act!E10*1000)</f>
        <v>5.6942952430317924</v>
      </c>
      <c r="F41" s="29">
        <f>IF(F17=0,0,F17/TrRail_act!F10*1000)</f>
        <v>5.5903541767199973</v>
      </c>
      <c r="G41" s="29">
        <f>IF(G17=0,0,G17/TrRail_act!G10*1000)</f>
        <v>6.1222600362389832</v>
      </c>
      <c r="H41" s="29">
        <f>IF(H17=0,0,H17/TrRail_act!H10*1000)</f>
        <v>5.8694616638518653</v>
      </c>
      <c r="I41" s="29">
        <f>IF(I17=0,0,I17/TrRail_act!I10*1000)</f>
        <v>5.6759884231350108</v>
      </c>
      <c r="J41" s="29">
        <f>IF(J17=0,0,J17/TrRail_act!J10*1000)</f>
        <v>5.8324730979944697</v>
      </c>
      <c r="K41" s="29">
        <f>IF(K17=0,0,K17/TrRail_act!K10*1000)</f>
        <v>5.629165387352896</v>
      </c>
      <c r="L41" s="29">
        <f>IF(L17=0,0,L17/TrRail_act!L10*1000)</f>
        <v>5.44340723718879</v>
      </c>
      <c r="M41" s="29">
        <f>IF(M17=0,0,M17/TrRail_act!M10*1000)</f>
        <v>5.2810932827903212</v>
      </c>
      <c r="N41" s="29">
        <f>IF(N17=0,0,N17/TrRail_act!N10*1000)</f>
        <v>5.029762781437217</v>
      </c>
      <c r="O41" s="29">
        <f>IF(O17=0,0,O17/TrRail_act!O10*1000)</f>
        <v>4.8303235930735333</v>
      </c>
      <c r="P41" s="29">
        <f>IF(P17=0,0,P17/TrRail_act!P10*1000)</f>
        <v>5.0184296372953554</v>
      </c>
      <c r="Q41" s="29">
        <f>IF(Q17=0,0,Q17/TrRail_act!Q10*1000)</f>
        <v>5.0927289942431972</v>
      </c>
      <c r="R41" s="29">
        <f>IF(R17=0,0,R17/TrRail_act!R10*1000)</f>
        <v>5.2076917726951626</v>
      </c>
      <c r="S41" s="29">
        <f>IF(S17=0,0,S17/TrRail_act!S10*1000)</f>
        <v>4.5476727947138622</v>
      </c>
      <c r="T41" s="29">
        <f>IF(T17=0,0,T17/TrRail_act!T10*1000)</f>
        <v>4.330872298039778</v>
      </c>
      <c r="U41" s="29">
        <f>IF(U17=0,0,U17/TrRail_act!U10*1000)</f>
        <v>3.9841307648091031</v>
      </c>
      <c r="V41" s="29">
        <f>IF(V17=0,0,V17/TrRail_act!V10*1000)</f>
        <v>4.445191763300234</v>
      </c>
      <c r="W41" s="29">
        <f>IF(W17=0,0,W17/TrRail_act!W10*1000)</f>
        <v>4.5808573534414974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8.5593552465303571</v>
      </c>
      <c r="C42" s="87">
        <f>IF(C18=0,0,C18/TrRail_act!C11*1000)</f>
        <v>7.9335630124880412</v>
      </c>
      <c r="D42" s="87">
        <f>IF(D18=0,0,D18/TrRail_act!D11*1000)</f>
        <v>7.9473107822303852</v>
      </c>
      <c r="E42" s="87">
        <f>IF(E18=0,0,E18/TrRail_act!E11*1000)</f>
        <v>6.8714198283383539</v>
      </c>
      <c r="F42" s="87">
        <f>IF(F18=0,0,F18/TrRail_act!F11*1000)</f>
        <v>6.7491985644936863</v>
      </c>
      <c r="G42" s="87">
        <f>IF(G18=0,0,G18/TrRail_act!G11*1000)</f>
        <v>7.0472222868143124</v>
      </c>
      <c r="H42" s="87">
        <f>IF(H18=0,0,H18/TrRail_act!H11*1000)</f>
        <v>7.2806698551554678</v>
      </c>
      <c r="I42" s="87">
        <f>IF(I18=0,0,I18/TrRail_act!I11*1000)</f>
        <v>6.8536308841257574</v>
      </c>
      <c r="J42" s="87">
        <f>IF(J18=0,0,J18/TrRail_act!J11*1000)</f>
        <v>6.4318911535731358</v>
      </c>
      <c r="K42" s="87">
        <f>IF(K18=0,0,K18/TrRail_act!K11*1000)</f>
        <v>6.8462823628291325</v>
      </c>
      <c r="L42" s="87">
        <f>IF(L18=0,0,L18/TrRail_act!L11*1000)</f>
        <v>6.6944655735509109</v>
      </c>
      <c r="M42" s="87">
        <f>IF(M18=0,0,M18/TrRail_act!M11*1000)</f>
        <v>6.5177628163103334</v>
      </c>
      <c r="N42" s="87">
        <f>IF(N18=0,0,N18/TrRail_act!N11*1000)</f>
        <v>5.9972102853296008</v>
      </c>
      <c r="O42" s="87">
        <f>IF(O18=0,0,O18/TrRail_act!O11*1000)</f>
        <v>5.8524046803504506</v>
      </c>
      <c r="P42" s="87">
        <f>IF(P18=0,0,P18/TrRail_act!P11*1000)</f>
        <v>6.3629546846926361</v>
      </c>
      <c r="Q42" s="87">
        <f>IF(Q18=0,0,Q18/TrRail_act!Q11*1000)</f>
        <v>6.3703009213277477</v>
      </c>
      <c r="R42" s="87">
        <f>IF(R18=0,0,R18/TrRail_act!R11*1000)</f>
        <v>6.3129620950551688</v>
      </c>
      <c r="S42" s="87">
        <f>IF(S18=0,0,S18/TrRail_act!S11*1000)</f>
        <v>5.819168018522535</v>
      </c>
      <c r="T42" s="87">
        <f>IF(T18=0,0,T18/TrRail_act!T11*1000)</f>
        <v>5.4757092297572045</v>
      </c>
      <c r="U42" s="87">
        <f>IF(U18=0,0,U18/TrRail_act!U11*1000)</f>
        <v>5.2592867963894196</v>
      </c>
      <c r="V42" s="87">
        <f>IF(V18=0,0,V18/TrRail_act!V11*1000)</f>
        <v>5.3098037287316178</v>
      </c>
      <c r="W42" s="87">
        <f>IF(W18=0,0,W18/TrRail_act!W11*1000)</f>
        <v>5.5127134723870022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4.212013892380746</v>
      </c>
      <c r="C43" s="88">
        <f>IF(C19=0,0,C19/TrRail_act!C12*1000)</f>
        <v>3.9899897607551797</v>
      </c>
      <c r="D43" s="88">
        <f>IF(D19=0,0,D19/TrRail_act!D12*1000)</f>
        <v>4.0478216316814422</v>
      </c>
      <c r="E43" s="88">
        <f>IF(E19=0,0,E19/TrRail_act!E12*1000)</f>
        <v>4.2341533803933533</v>
      </c>
      <c r="F43" s="88">
        <f>IF(F19=0,0,F19/TrRail_act!F12*1000)</f>
        <v>4.2091843837078375</v>
      </c>
      <c r="G43" s="88">
        <f>IF(G19=0,0,G19/TrRail_act!G12*1000)</f>
        <v>4.9779266085322043</v>
      </c>
      <c r="H43" s="88">
        <f>IF(H19=0,0,H19/TrRail_act!H12*1000)</f>
        <v>4.1419653526908959</v>
      </c>
      <c r="I43" s="88">
        <f>IF(I19=0,0,I19/TrRail_act!I12*1000)</f>
        <v>4.1831181621073634</v>
      </c>
      <c r="J43" s="88">
        <f>IF(J19=0,0,J19/TrRail_act!J12*1000)</f>
        <v>5.0817921052418598</v>
      </c>
      <c r="K43" s="88">
        <f>IF(K19=0,0,K19/TrRail_act!K12*1000)</f>
        <v>4.1732463071961083</v>
      </c>
      <c r="L43" s="88">
        <f>IF(L19=0,0,L19/TrRail_act!L12*1000)</f>
        <v>3.9165863233863147</v>
      </c>
      <c r="M43" s="88">
        <f>IF(M19=0,0,M19/TrRail_act!M12*1000)</f>
        <v>3.7294672369609279</v>
      </c>
      <c r="N43" s="88">
        <f>IF(N19=0,0,N19/TrRail_act!N12*1000)</f>
        <v>3.7920925511523622</v>
      </c>
      <c r="O43" s="88">
        <f>IF(O19=0,0,O19/TrRail_act!O12*1000)</f>
        <v>3.5353634015334334</v>
      </c>
      <c r="P43" s="88">
        <f>IF(P19=0,0,P19/TrRail_act!P12*1000)</f>
        <v>3.2847073903657282</v>
      </c>
      <c r="Q43" s="88">
        <f>IF(Q19=0,0,Q19/TrRail_act!Q12*1000)</f>
        <v>3.4951837863474844</v>
      </c>
      <c r="R43" s="88">
        <f>IF(R19=0,0,R19/TrRail_act!R12*1000)</f>
        <v>3.8506492003362411</v>
      </c>
      <c r="S43" s="88">
        <f>IF(S19=0,0,S19/TrRail_act!S12*1000)</f>
        <v>3.0007944104198745</v>
      </c>
      <c r="T43" s="88">
        <f>IF(T19=0,0,T19/TrRail_act!T12*1000)</f>
        <v>3.0052565236014122</v>
      </c>
      <c r="U43" s="88">
        <f>IF(U19=0,0,U19/TrRail_act!U12*1000)</f>
        <v>2.5304706448452707</v>
      </c>
      <c r="V43" s="88">
        <f>IF(V19=0,0,V19/TrRail_act!V12*1000)</f>
        <v>3.5614134748870283</v>
      </c>
      <c r="W43" s="88">
        <f>IF(W19=0,0,W19/TrRail_act!W12*1000)</f>
        <v>3.712243851314533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342404.9124722539</v>
      </c>
      <c r="C45" s="54">
        <f>IF(C10=0,0,1000000*C10/TrRail_act!C25)</f>
        <v>331444.55277294049</v>
      </c>
      <c r="D45" s="54">
        <f>IF(D10=0,0,1000000*D10/TrRail_act!D25)</f>
        <v>317920.22864301846</v>
      </c>
      <c r="E45" s="54">
        <f>IF(E10=0,0,1000000*E10/TrRail_act!E25)</f>
        <v>307031.93503459857</v>
      </c>
      <c r="F45" s="54">
        <f>IF(F10=0,0,1000000*F10/TrRail_act!F25)</f>
        <v>296271.44536983978</v>
      </c>
      <c r="G45" s="54">
        <f>IF(G10=0,0,1000000*G10/TrRail_act!G25)</f>
        <v>285656.50545993308</v>
      </c>
      <c r="H45" s="54">
        <f>IF(H10=0,0,1000000*H10/TrRail_act!H25)</f>
        <v>279100.97798233759</v>
      </c>
      <c r="I45" s="54">
        <f>IF(I10=0,0,1000000*I10/TrRail_act!I25)</f>
        <v>279859.89565893367</v>
      </c>
      <c r="J45" s="54">
        <f>IF(J10=0,0,1000000*J10/TrRail_act!J25)</f>
        <v>274353.12468656193</v>
      </c>
      <c r="K45" s="54">
        <f>IF(K10=0,0,1000000*K10/TrRail_act!K25)</f>
        <v>260674.53398229807</v>
      </c>
      <c r="L45" s="54">
        <f>IF(L10=0,0,1000000*L10/TrRail_act!L25)</f>
        <v>262770.26724506001</v>
      </c>
      <c r="M45" s="54">
        <f>IF(M10=0,0,1000000*M10/TrRail_act!M25)</f>
        <v>259832.10805737055</v>
      </c>
      <c r="N45" s="54">
        <f>IF(N10=0,0,1000000*N10/TrRail_act!N25)</f>
        <v>256561.89085925947</v>
      </c>
      <c r="O45" s="54">
        <f>IF(O10=0,0,1000000*O10/TrRail_act!O25)</f>
        <v>250101.03149912145</v>
      </c>
      <c r="P45" s="54">
        <f>IF(P10=0,0,1000000*P10/TrRail_act!P25)</f>
        <v>246334.85044851416</v>
      </c>
      <c r="Q45" s="54">
        <f>IF(Q10=0,0,1000000*Q10/TrRail_act!Q25)</f>
        <v>241100.99616850947</v>
      </c>
      <c r="R45" s="54">
        <f>IF(R10=0,0,1000000*R10/TrRail_act!R25)</f>
        <v>237803.64596170472</v>
      </c>
      <c r="S45" s="54">
        <f>IF(S10=0,0,1000000*S10/TrRail_act!S25)</f>
        <v>230995.06396573296</v>
      </c>
      <c r="T45" s="54">
        <f>IF(T10=0,0,1000000*T10/TrRail_act!T25)</f>
        <v>225061.92878677577</v>
      </c>
      <c r="U45" s="54">
        <f>IF(U10=0,0,1000000*U10/TrRail_act!U25)</f>
        <v>217218.23962124073</v>
      </c>
      <c r="V45" s="54">
        <f>IF(V10=0,0,1000000*V10/TrRail_act!V25)</f>
        <v>208069.55885103467</v>
      </c>
      <c r="W45" s="54">
        <f>IF(W10=0,0,1000000*W10/TrRail_act!W25)</f>
        <v>205301.24782949127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316821.71553335065</v>
      </c>
      <c r="C46" s="28">
        <f>IF(C11=0,0,1000000*C11/TrRail_act!C26)</f>
        <v>306738.0894413527</v>
      </c>
      <c r="D46" s="28">
        <f>IF(D11=0,0,1000000*D11/TrRail_act!D26)</f>
        <v>296661.13195206993</v>
      </c>
      <c r="E46" s="28">
        <f>IF(E11=0,0,1000000*E11/TrRail_act!E26)</f>
        <v>287584.76673429838</v>
      </c>
      <c r="F46" s="28">
        <f>IF(F11=0,0,1000000*F11/TrRail_act!F26)</f>
        <v>274487.04990022641</v>
      </c>
      <c r="G46" s="28">
        <f>IF(G11=0,0,1000000*G11/TrRail_act!G26)</f>
        <v>266858.47981225746</v>
      </c>
      <c r="H46" s="28">
        <f>IF(H11=0,0,1000000*H11/TrRail_act!H26)</f>
        <v>262454.41768638056</v>
      </c>
      <c r="I46" s="28">
        <f>IF(I11=0,0,1000000*I11/TrRail_act!I26)</f>
        <v>264526.969399033</v>
      </c>
      <c r="J46" s="28">
        <f>IF(J11=0,0,1000000*J11/TrRail_act!J26)</f>
        <v>259069.86114880198</v>
      </c>
      <c r="K46" s="28">
        <f>IF(K11=0,0,1000000*K11/TrRail_act!K26)</f>
        <v>248128.11779017546</v>
      </c>
      <c r="L46" s="28">
        <f>IF(L11=0,0,1000000*L11/TrRail_act!L26)</f>
        <v>246210.35390362353</v>
      </c>
      <c r="M46" s="28">
        <f>IF(M11=0,0,1000000*M11/TrRail_act!M26)</f>
        <v>241245.31175879939</v>
      </c>
      <c r="N46" s="28">
        <f>IF(N11=0,0,1000000*N11/TrRail_act!N26)</f>
        <v>242405.76752223252</v>
      </c>
      <c r="O46" s="28">
        <f>IF(O11=0,0,1000000*O11/TrRail_act!O26)</f>
        <v>234616.60484517404</v>
      </c>
      <c r="P46" s="28">
        <f>IF(P11=0,0,1000000*P11/TrRail_act!P26)</f>
        <v>230493.97819208313</v>
      </c>
      <c r="Q46" s="28">
        <f>IF(Q11=0,0,1000000*Q11/TrRail_act!Q26)</f>
        <v>224526.45517027771</v>
      </c>
      <c r="R46" s="28">
        <f>IF(R11=0,0,1000000*R11/TrRail_act!R26)</f>
        <v>221845.85162961751</v>
      </c>
      <c r="S46" s="28">
        <f>IF(S11=0,0,1000000*S11/TrRail_act!S26)</f>
        <v>217229.05392785495</v>
      </c>
      <c r="T46" s="28">
        <f>IF(T11=0,0,1000000*T11/TrRail_act!T26)</f>
        <v>211443.52691866705</v>
      </c>
      <c r="U46" s="28">
        <f>IF(U11=0,0,1000000*U11/TrRail_act!U26)</f>
        <v>205620.02016280859</v>
      </c>
      <c r="V46" s="28">
        <f>IF(V11=0,0,1000000*V11/TrRail_act!V26)</f>
        <v>194632.59116557415</v>
      </c>
      <c r="W46" s="28">
        <f>IF(W11=0,0,1000000*W11/TrRail_act!W26)</f>
        <v>194871.11791402675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41305.754441086079</v>
      </c>
      <c r="E47" s="108">
        <f>IF(E12=0,0,1000000*E12/TrRail_act!E27)</f>
        <v>41026.974828914252</v>
      </c>
      <c r="F47" s="108">
        <f>IF(F12=0,0,1000000*F12/TrRail_act!F27)</f>
        <v>40802.910125743314</v>
      </c>
      <c r="G47" s="108">
        <f>IF(G12=0,0,1000000*G12/TrRail_act!G27)</f>
        <v>40580.303352412375</v>
      </c>
      <c r="H47" s="108">
        <f>IF(H12=0,0,1000000*H12/TrRail_act!H27)</f>
        <v>40347.801294075842</v>
      </c>
      <c r="I47" s="108">
        <f>IF(I12=0,0,1000000*I12/TrRail_act!I27)</f>
        <v>40122.845282642498</v>
      </c>
      <c r="J47" s="108">
        <f>IF(J12=0,0,1000000*J12/TrRail_act!J27)</f>
        <v>39884.230258264077</v>
      </c>
      <c r="K47" s="108">
        <f>IF(K12=0,0,1000000*K12/TrRail_act!K27)</f>
        <v>39650.409988980158</v>
      </c>
      <c r="L47" s="108">
        <f>IF(L12=0,0,1000000*L12/TrRail_act!L27)</f>
        <v>39431.164316302522</v>
      </c>
      <c r="M47" s="108">
        <f>IF(M12=0,0,1000000*M12/TrRail_act!M27)</f>
        <v>39169.315154490185</v>
      </c>
      <c r="N47" s="108">
        <f>IF(N12=0,0,1000000*N12/TrRail_act!N27)</f>
        <v>38103.571614920722</v>
      </c>
      <c r="O47" s="108">
        <f>IF(O12=0,0,1000000*O12/TrRail_act!O27)</f>
        <v>38744.641603886019</v>
      </c>
      <c r="P47" s="108">
        <f>IF(P12=0,0,1000000*P12/TrRail_act!P27)</f>
        <v>38537.829384185265</v>
      </c>
      <c r="Q47" s="108">
        <f>IF(Q12=0,0,1000000*Q12/TrRail_act!Q27)</f>
        <v>38293.311198566662</v>
      </c>
      <c r="R47" s="108">
        <f>IF(R12=0,0,1000000*R12/TrRail_act!R27)</f>
        <v>38110.941283232154</v>
      </c>
      <c r="S47" s="108">
        <f>IF(S12=0,0,1000000*S12/TrRail_act!S27)</f>
        <v>37974.734219264385</v>
      </c>
      <c r="T47" s="108">
        <f>IF(T12=0,0,1000000*T12/TrRail_act!T27)</f>
        <v>37872.89949322951</v>
      </c>
      <c r="U47" s="108">
        <f>IF(U12=0,0,1000000*U12/TrRail_act!U27)</f>
        <v>37796.701555857704</v>
      </c>
      <c r="V47" s="108">
        <f>IF(V12=0,0,1000000*V12/TrRail_act!V27)</f>
        <v>37739.653740052752</v>
      </c>
      <c r="W47" s="108">
        <f>IF(W12=0,0,1000000*W12/TrRail_act!W27)</f>
        <v>37696.924906041437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316821.71553335065</v>
      </c>
      <c r="C48" s="110">
        <f>IF(C13=0,0,1000000*C13/TrRail_act!C28)</f>
        <v>306738.0894413527</v>
      </c>
      <c r="D48" s="110">
        <f>IF(D13=0,0,1000000*D13/TrRail_act!D28)</f>
        <v>297517.17948798201</v>
      </c>
      <c r="E48" s="110">
        <f>IF(E13=0,0,1000000*E13/TrRail_act!E28)</f>
        <v>293775.85650720529</v>
      </c>
      <c r="F48" s="110">
        <f>IF(F13=0,0,1000000*F13/TrRail_act!F28)</f>
        <v>285572.21174349735</v>
      </c>
      <c r="G48" s="110">
        <f>IF(G13=0,0,1000000*G13/TrRail_act!G28)</f>
        <v>279408.70099285082</v>
      </c>
      <c r="H48" s="110">
        <f>IF(H13=0,0,1000000*H13/TrRail_act!H28)</f>
        <v>274704.27941190713</v>
      </c>
      <c r="I48" s="110">
        <f>IF(I13=0,0,1000000*I13/TrRail_act!I28)</f>
        <v>278064.59472633095</v>
      </c>
      <c r="J48" s="110">
        <f>IF(J13=0,0,1000000*J13/TrRail_act!J28)</f>
        <v>272824.44966483448</v>
      </c>
      <c r="K48" s="110">
        <f>IF(K13=0,0,1000000*K13/TrRail_act!K28)</f>
        <v>261965.90106887263</v>
      </c>
      <c r="L48" s="110">
        <f>IF(L13=0,0,1000000*L13/TrRail_act!L28)</f>
        <v>261017.25461352474</v>
      </c>
      <c r="M48" s="110">
        <f>IF(M13=0,0,1000000*M13/TrRail_act!M28)</f>
        <v>257979.78947097561</v>
      </c>
      <c r="N48" s="110">
        <f>IF(N13=0,0,1000000*N13/TrRail_act!N28)</f>
        <v>259175.97957666093</v>
      </c>
      <c r="O48" s="110">
        <f>IF(O13=0,0,1000000*O13/TrRail_act!O28)</f>
        <v>250632.59030008456</v>
      </c>
      <c r="P48" s="110">
        <f>IF(P13=0,0,1000000*P13/TrRail_act!P28)</f>
        <v>246312.31593528562</v>
      </c>
      <c r="Q48" s="110">
        <f>IF(Q13=0,0,1000000*Q13/TrRail_act!Q28)</f>
        <v>239997.06325144949</v>
      </c>
      <c r="R48" s="110">
        <f>IF(R13=0,0,1000000*R13/TrRail_act!R28)</f>
        <v>237509.70263645498</v>
      </c>
      <c r="S48" s="110">
        <f>IF(S13=0,0,1000000*S13/TrRail_act!S28)</f>
        <v>233532.01819043292</v>
      </c>
      <c r="T48" s="110">
        <f>IF(T13=0,0,1000000*T13/TrRail_act!T28)</f>
        <v>228446.85002382429</v>
      </c>
      <c r="U48" s="110">
        <f>IF(U13=0,0,1000000*U13/TrRail_act!U28)</f>
        <v>223728.41464484372</v>
      </c>
      <c r="V48" s="110">
        <f>IF(V13=0,0,1000000*V13/TrRail_act!V28)</f>
        <v>212280.62188927791</v>
      </c>
      <c r="W48" s="110">
        <f>IF(W13=0,0,1000000*W13/TrRail_act!W28)</f>
        <v>212623.54691054529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403893.65070985124</v>
      </c>
      <c r="C49" s="84">
        <f>IF(C14=0,0,1000000*C14/TrRail_act!C29)</f>
        <v>393321.37577548076</v>
      </c>
      <c r="D49" s="84">
        <f>IF(D14=0,0,1000000*D14/TrRail_act!D29)</f>
        <v>381570.83136622183</v>
      </c>
      <c r="E49" s="84">
        <f>IF(E14=0,0,1000000*E14/TrRail_act!E29)</f>
        <v>365676.21088091616</v>
      </c>
      <c r="F49" s="84">
        <f>IF(F14=0,0,1000000*F14/TrRail_act!F29)</f>
        <v>354030.13255979307</v>
      </c>
      <c r="G49" s="84">
        <f>IF(G14=0,0,1000000*G14/TrRail_act!G29)</f>
        <v>338812.1229305343</v>
      </c>
      <c r="H49" s="84">
        <f>IF(H14=0,0,1000000*H14/TrRail_act!H29)</f>
        <v>334119.02282712382</v>
      </c>
      <c r="I49" s="84">
        <f>IF(I14=0,0,1000000*I14/TrRail_act!I29)</f>
        <v>335950.80056968611</v>
      </c>
      <c r="J49" s="84">
        <f>IF(J14=0,0,1000000*J14/TrRail_act!J29)</f>
        <v>329591.56482537312</v>
      </c>
      <c r="K49" s="84">
        <f>IF(K14=0,0,1000000*K14/TrRail_act!K29)</f>
        <v>316950.53750686609</v>
      </c>
      <c r="L49" s="84">
        <f>IF(L14=0,0,1000000*L14/TrRail_act!L29)</f>
        <v>313507.68461769691</v>
      </c>
      <c r="M49" s="84">
        <f>IF(M14=0,0,1000000*M14/TrRail_act!M29)</f>
        <v>310921.70433352841</v>
      </c>
      <c r="N49" s="84">
        <f>IF(N14=0,0,1000000*N14/TrRail_act!N29)</f>
        <v>306370.93426202814</v>
      </c>
      <c r="O49" s="84">
        <f>IF(O14=0,0,1000000*O14/TrRail_act!O29)</f>
        <v>298224.39691992546</v>
      </c>
      <c r="P49" s="84">
        <f>IF(P14=0,0,1000000*P14/TrRail_act!P29)</f>
        <v>284972.15279877238</v>
      </c>
      <c r="Q49" s="84">
        <f>IF(Q14=0,0,1000000*Q14/TrRail_act!Q29)</f>
        <v>275999.04660013842</v>
      </c>
      <c r="R49" s="84">
        <f>IF(R14=0,0,1000000*R14/TrRail_act!R29)</f>
        <v>273496.95252542372</v>
      </c>
      <c r="S49" s="84">
        <f>IF(S14=0,0,1000000*S14/TrRail_act!S29)</f>
        <v>268918.92650778673</v>
      </c>
      <c r="T49" s="84">
        <f>IF(T14=0,0,1000000*T14/TrRail_act!T29)</f>
        <v>263483.2764564564</v>
      </c>
      <c r="U49" s="84">
        <f>IF(U14=0,0,1000000*U14/TrRail_act!U29)</f>
        <v>257639.45255747301</v>
      </c>
      <c r="V49" s="84">
        <f>IF(V14=0,0,1000000*V14/TrRail_act!V29)</f>
        <v>239805.37103977415</v>
      </c>
      <c r="W49" s="84">
        <f>IF(W14=0,0,1000000*W14/TrRail_act!W29)</f>
        <v>245375.45921993849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207867.68885751339</v>
      </c>
      <c r="C50" s="84">
        <f>IF(C15=0,0,1000000*C15/TrRail_act!C30)</f>
        <v>204806.81431071437</v>
      </c>
      <c r="D50" s="84">
        <f>IF(D15=0,0,1000000*D15/TrRail_act!D30)</f>
        <v>201397.087816685</v>
      </c>
      <c r="E50" s="84">
        <f>IF(E15=0,0,1000000*E15/TrRail_act!E30)</f>
        <v>199867.76767234676</v>
      </c>
      <c r="F50" s="84">
        <f>IF(F15=0,0,1000000*F15/TrRail_act!F30)</f>
        <v>198379.36993280827</v>
      </c>
      <c r="G50" s="84">
        <f>IF(G15=0,0,1000000*G15/TrRail_act!G30)</f>
        <v>195119.62851266252</v>
      </c>
      <c r="H50" s="84">
        <f>IF(H15=0,0,1000000*H15/TrRail_act!H30)</f>
        <v>193792.99884339469</v>
      </c>
      <c r="I50" s="84">
        <f>IF(I15=0,0,1000000*I15/TrRail_act!I30)</f>
        <v>194065.28299814829</v>
      </c>
      <c r="J50" s="84">
        <f>IF(J15=0,0,1000000*J15/TrRail_act!J30)</f>
        <v>189611.14759273949</v>
      </c>
      <c r="K50" s="84">
        <f>IF(K15=0,0,1000000*K15/TrRail_act!K30)</f>
        <v>187497.39686418721</v>
      </c>
      <c r="L50" s="84">
        <f>IF(L15=0,0,1000000*L15/TrRail_act!L30)</f>
        <v>186952.23831417516</v>
      </c>
      <c r="M50" s="84">
        <f>IF(M15=0,0,1000000*M15/TrRail_act!M30)</f>
        <v>181185.43662011201</v>
      </c>
      <c r="N50" s="84">
        <f>IF(N15=0,0,1000000*N15/TrRail_act!N30)</f>
        <v>185162.97618339135</v>
      </c>
      <c r="O50" s="84">
        <f>IF(O15=0,0,1000000*O15/TrRail_act!O30)</f>
        <v>178243.73606693107</v>
      </c>
      <c r="P50" s="84">
        <f>IF(P15=0,0,1000000*P15/TrRail_act!P30)</f>
        <v>182561.0819349896</v>
      </c>
      <c r="Q50" s="84">
        <f>IF(Q15=0,0,1000000*Q15/TrRail_act!Q30)</f>
        <v>181598.43125031923</v>
      </c>
      <c r="R50" s="84">
        <f>IF(R15=0,0,1000000*R15/TrRail_act!R30)</f>
        <v>179975.37538667227</v>
      </c>
      <c r="S50" s="84">
        <f>IF(S15=0,0,1000000*S15/TrRail_act!S30)</f>
        <v>178410.0782241181</v>
      </c>
      <c r="T50" s="84">
        <f>IF(T15=0,0,1000000*T15/TrRail_act!T30)</f>
        <v>176890.55490555061</v>
      </c>
      <c r="U50" s="84">
        <f>IF(U15=0,0,1000000*U15/TrRail_act!U30)</f>
        <v>174880.61459427178</v>
      </c>
      <c r="V50" s="84">
        <f>IF(V15=0,0,1000000*V15/TrRail_act!V30)</f>
        <v>174775.2663681187</v>
      </c>
      <c r="W50" s="84">
        <f>IF(W15=0,0,1000000*W15/TrRail_act!W30)</f>
        <v>174696.29606088641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741607.89541452855</v>
      </c>
      <c r="C52" s="28">
        <f>IF(C17=0,0,1000000*C17/TrRail_act!C32)</f>
        <v>710457.6790870172</v>
      </c>
      <c r="D52" s="28">
        <f>IF(D17=0,0,1000000*D17/TrRail_act!D32)</f>
        <v>698581.13261368638</v>
      </c>
      <c r="E52" s="28">
        <f>IF(E17=0,0,1000000*E17/TrRail_act!E32)</f>
        <v>660237.52978736477</v>
      </c>
      <c r="F52" s="28">
        <f>IF(F17=0,0,1000000*F17/TrRail_act!F32)</f>
        <v>643263.24237584963</v>
      </c>
      <c r="G52" s="28">
        <f>IF(G17=0,0,1000000*G17/TrRail_act!G32)</f>
        <v>635953.50618082145</v>
      </c>
      <c r="H52" s="28">
        <f>IF(H17=0,0,1000000*H17/TrRail_act!H32)</f>
        <v>607571.65039545309</v>
      </c>
      <c r="I52" s="28">
        <f>IF(I17=0,0,1000000*I17/TrRail_act!I32)</f>
        <v>607425.46638323693</v>
      </c>
      <c r="J52" s="28">
        <f>IF(J17=0,0,1000000*J17/TrRail_act!J32)</f>
        <v>585967.91549584642</v>
      </c>
      <c r="K52" s="28">
        <f>IF(K17=0,0,1000000*K17/TrRail_act!K32)</f>
        <v>545666.41835001518</v>
      </c>
      <c r="L52" s="28">
        <f>IF(L17=0,0,1000000*L17/TrRail_act!L32)</f>
        <v>594258.40303235524</v>
      </c>
      <c r="M52" s="28">
        <f>IF(M17=0,0,1000000*M17/TrRail_act!M32)</f>
        <v>594763.65363069531</v>
      </c>
      <c r="N52" s="28">
        <f>IF(N17=0,0,1000000*N17/TrRail_act!N32)</f>
        <v>535595.60207991151</v>
      </c>
      <c r="O52" s="28">
        <f>IF(O17=0,0,1000000*O17/TrRail_act!O32)</f>
        <v>572313.22192814376</v>
      </c>
      <c r="P52" s="28">
        <f>IF(P17=0,0,1000000*P17/TrRail_act!P32)</f>
        <v>574997.72294870613</v>
      </c>
      <c r="Q52" s="28">
        <f>IF(Q17=0,0,1000000*Q17/TrRail_act!Q32)</f>
        <v>551172.4442172969</v>
      </c>
      <c r="R52" s="28">
        <f>IF(R17=0,0,1000000*R17/TrRail_act!R32)</f>
        <v>527727.02407454303</v>
      </c>
      <c r="S52" s="28">
        <f>IF(S17=0,0,1000000*S17/TrRail_act!S32)</f>
        <v>495758.97890030278</v>
      </c>
      <c r="T52" s="28">
        <f>IF(T17=0,0,1000000*T17/TrRail_act!T32)</f>
        <v>498891.72093351354</v>
      </c>
      <c r="U52" s="28">
        <f>IF(U17=0,0,1000000*U17/TrRail_act!U32)</f>
        <v>479381.64204996184</v>
      </c>
      <c r="V52" s="28">
        <f>IF(V17=0,0,1000000*V17/TrRail_act!V32)</f>
        <v>477119.73573631473</v>
      </c>
      <c r="W52" s="28">
        <f>IF(W17=0,0,1000000*W17/TrRail_act!W32)</f>
        <v>433051.74653262168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997259.51168092107</v>
      </c>
      <c r="C53" s="84">
        <f>IF(C18=0,0,1000000*C18/TrRail_act!C33)</f>
        <v>988415.67563098297</v>
      </c>
      <c r="D53" s="84">
        <f>IF(D18=0,0,1000000*D18/TrRail_act!D33)</f>
        <v>973411.76234150084</v>
      </c>
      <c r="E53" s="84">
        <f>IF(E18=0,0,1000000*E18/TrRail_act!E33)</f>
        <v>951218.57228485344</v>
      </c>
      <c r="F53" s="84">
        <f>IF(F18=0,0,1000000*F18/TrRail_act!F33)</f>
        <v>949038.61359268834</v>
      </c>
      <c r="G53" s="84">
        <f>IF(G18=0,0,1000000*G18/TrRail_act!G33)</f>
        <v>938565.33614897029</v>
      </c>
      <c r="H53" s="84">
        <f>IF(H18=0,0,1000000*H18/TrRail_act!H33)</f>
        <v>913445.07099119353</v>
      </c>
      <c r="I53" s="84">
        <f>IF(I18=0,0,1000000*I18/TrRail_act!I33)</f>
        <v>910488.05327107303</v>
      </c>
      <c r="J53" s="84">
        <f>IF(J18=0,0,1000000*J18/TrRail_act!J33)</f>
        <v>879633.00103854015</v>
      </c>
      <c r="K53" s="84">
        <f>IF(K18=0,0,1000000*K18/TrRail_act!K33)</f>
        <v>857733.19984513428</v>
      </c>
      <c r="L53" s="84">
        <f>IF(L18=0,0,1000000*L18/TrRail_act!L33)</f>
        <v>849455.21281257854</v>
      </c>
      <c r="M53" s="84">
        <f>IF(M18=0,0,1000000*M18/TrRail_act!M33)</f>
        <v>831150.60737919423</v>
      </c>
      <c r="N53" s="84">
        <f>IF(N18=0,0,1000000*N18/TrRail_act!N33)</f>
        <v>735226.10106255405</v>
      </c>
      <c r="O53" s="84">
        <f>IF(O18=0,0,1000000*O18/TrRail_act!O33)</f>
        <v>803088.48365014372</v>
      </c>
      <c r="P53" s="84">
        <f>IF(P18=0,0,1000000*P18/TrRail_act!P33)</f>
        <v>779111.07265783427</v>
      </c>
      <c r="Q53" s="84">
        <f>IF(Q18=0,0,1000000*Q18/TrRail_act!Q33)</f>
        <v>771005.73811018385</v>
      </c>
      <c r="R53" s="84">
        <f>IF(R18=0,0,1000000*R18/TrRail_act!R33)</f>
        <v>753507.44604133547</v>
      </c>
      <c r="S53" s="84">
        <f>IF(S18=0,0,1000000*S18/TrRail_act!S33)</f>
        <v>740644.81973881181</v>
      </c>
      <c r="T53" s="84">
        <f>IF(T18=0,0,1000000*T18/TrRail_act!T33)</f>
        <v>728457.06637518841</v>
      </c>
      <c r="U53" s="84">
        <f>IF(U18=0,0,1000000*U18/TrRail_act!U33)</f>
        <v>724095.24686845229</v>
      </c>
      <c r="V53" s="84">
        <f>IF(V18=0,0,1000000*V18/TrRail_act!V33)</f>
        <v>718854.67841188575</v>
      </c>
      <c r="W53" s="84">
        <f>IF(W18=0,0,1000000*W18/TrRail_act!W33)</f>
        <v>646500.57312399941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444096.99356801854</v>
      </c>
      <c r="C54" s="86">
        <f>IF(C19=0,0,1000000*C19/TrRail_act!C34)</f>
        <v>421167.48938009463</v>
      </c>
      <c r="D54" s="86">
        <f>IF(D19=0,0,1000000*D19/TrRail_act!D34)</f>
        <v>420492.33358890418</v>
      </c>
      <c r="E54" s="86">
        <f>IF(E19=0,0,1000000*E19/TrRail_act!E34)</f>
        <v>408614.39942003333</v>
      </c>
      <c r="F54" s="86">
        <f>IF(F19=0,0,1000000*F19/TrRail_act!F34)</f>
        <v>398123.88014371996</v>
      </c>
      <c r="G54" s="86">
        <f>IF(G19=0,0,1000000*G19/TrRail_act!G34)</f>
        <v>406437.41844010272</v>
      </c>
      <c r="H54" s="86">
        <f>IF(H19=0,0,1000000*H19/TrRail_act!H34)</f>
        <v>353131.14745639014</v>
      </c>
      <c r="I54" s="86">
        <f>IF(I19=0,0,1000000*I19/TrRail_act!I34)</f>
        <v>359140.08682061115</v>
      </c>
      <c r="J54" s="86">
        <f>IF(J19=0,0,1000000*J19/TrRail_act!J34)</f>
        <v>383192.53280050977</v>
      </c>
      <c r="K54" s="86">
        <f>IF(K19=0,0,1000000*K19/TrRail_act!K34)</f>
        <v>318363.71761022182</v>
      </c>
      <c r="L54" s="86">
        <f>IF(L19=0,0,1000000*L19/TrRail_act!L34)</f>
        <v>365317.3091065854</v>
      </c>
      <c r="M54" s="86">
        <f>IF(M19=0,0,1000000*M19/TrRail_act!M34)</f>
        <v>366316.60927716718</v>
      </c>
      <c r="N54" s="86">
        <f>IF(N19=0,0,1000000*N19/TrRail_act!N34)</f>
        <v>345689.18110191735</v>
      </c>
      <c r="O54" s="86">
        <f>IF(O19=0,0,1000000*O19/TrRail_act!O34)</f>
        <v>357094.40097384609</v>
      </c>
      <c r="P54" s="86">
        <f>IF(P19=0,0,1000000*P19/TrRail_act!P34)</f>
        <v>347556.17262369586</v>
      </c>
      <c r="Q54" s="86">
        <f>IF(Q19=0,0,1000000*Q19/TrRail_act!Q34)</f>
        <v>334080.1959446455</v>
      </c>
      <c r="R54" s="86">
        <f>IF(R19=0,0,1000000*R19/TrRail_act!R34)</f>
        <v>329182.00175710965</v>
      </c>
      <c r="S54" s="86">
        <f>IF(S19=0,0,1000000*S19/TrRail_act!S34)</f>
        <v>278509.20545918151</v>
      </c>
      <c r="T54" s="86">
        <f>IF(T19=0,0,1000000*T19/TrRail_act!T34)</f>
        <v>299658.479213882</v>
      </c>
      <c r="U54" s="86">
        <f>IF(U19=0,0,1000000*U19/TrRail_act!U34)</f>
        <v>266214.78372323583</v>
      </c>
      <c r="V54" s="86">
        <f>IF(V19=0,0,1000000*V19/TrRail_act!V34)</f>
        <v>315455.34346365737</v>
      </c>
      <c r="W54" s="86">
        <f>IF(W19=0,0,1000000*W19/TrRail_act!W34)</f>
        <v>297218.23102854425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0.86955759627885165</v>
      </c>
      <c r="C57" s="31">
        <f t="shared" ref="C57:V57" si="17">IF(C11=0,0,C11/C$10)</f>
        <v>0.86882288190098567</v>
      </c>
      <c r="D57" s="31">
        <f t="shared" si="17"/>
        <v>0.88377384287430694</v>
      </c>
      <c r="E57" s="31">
        <f t="shared" si="17"/>
        <v>0.88778040821690951</v>
      </c>
      <c r="F57" s="31">
        <f t="shared" si="17"/>
        <v>0.87174285280627228</v>
      </c>
      <c r="G57" s="31">
        <f t="shared" si="17"/>
        <v>0.8866150816073648</v>
      </c>
      <c r="H57" s="31">
        <f t="shared" si="17"/>
        <v>0.8949988620545285</v>
      </c>
      <c r="I57" s="31">
        <f t="shared" si="17"/>
        <v>0.90294636777080484</v>
      </c>
      <c r="J57" s="31">
        <f t="shared" si="17"/>
        <v>0.90014548827652718</v>
      </c>
      <c r="K57" s="31">
        <f t="shared" si="17"/>
        <v>0.91173156369072073</v>
      </c>
      <c r="L57" s="31">
        <f t="shared" si="17"/>
        <v>0.89239858940042471</v>
      </c>
      <c r="M57" s="31">
        <f t="shared" si="17"/>
        <v>0.87965052735525961</v>
      </c>
      <c r="N57" s="31">
        <f t="shared" si="17"/>
        <v>0.89920469949546789</v>
      </c>
      <c r="O57" s="31">
        <f t="shared" si="17"/>
        <v>0.89507313055022486</v>
      </c>
      <c r="P57" s="31">
        <f t="shared" si="17"/>
        <v>0.89266894180826106</v>
      </c>
      <c r="Q57" s="31">
        <f t="shared" si="17"/>
        <v>0.88400142004591509</v>
      </c>
      <c r="R57" s="31">
        <f t="shared" si="17"/>
        <v>0.88422602551671114</v>
      </c>
      <c r="S57" s="31">
        <f t="shared" si="17"/>
        <v>0.89392718154456574</v>
      </c>
      <c r="T57" s="31">
        <f t="shared" si="17"/>
        <v>0.89498028829008547</v>
      </c>
      <c r="U57" s="31">
        <f t="shared" si="17"/>
        <v>0.90650166742450777</v>
      </c>
      <c r="V57" s="31">
        <f t="shared" si="17"/>
        <v>0.89092595508727856</v>
      </c>
      <c r="W57" s="31">
        <f t="shared" ref="W57" si="18">IF(W11=0,0,W11/W$10)</f>
        <v>0.90762988458916671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4.1114067298644814E-4</v>
      </c>
      <c r="E58" s="123">
        <f t="shared" si="19"/>
        <v>3.102323142087849E-3</v>
      </c>
      <c r="F58" s="123">
        <f t="shared" si="19"/>
        <v>5.8687115471587562E-3</v>
      </c>
      <c r="G58" s="123">
        <f t="shared" si="19"/>
        <v>7.0849177190450618E-3</v>
      </c>
      <c r="H58" s="123">
        <f t="shared" si="19"/>
        <v>7.1918843125861011E-3</v>
      </c>
      <c r="I58" s="123">
        <f t="shared" si="19"/>
        <v>7.7921187401034089E-3</v>
      </c>
      <c r="J58" s="123">
        <f t="shared" si="19"/>
        <v>8.182766412526337E-3</v>
      </c>
      <c r="K58" s="123">
        <f t="shared" si="19"/>
        <v>9.0685006865293752E-3</v>
      </c>
      <c r="L58" s="123">
        <f t="shared" si="19"/>
        <v>9.5502300490289769E-3</v>
      </c>
      <c r="M58" s="123">
        <f t="shared" si="19"/>
        <v>1.0922984524678034E-2</v>
      </c>
      <c r="N58" s="123">
        <f t="shared" si="19"/>
        <v>1.0722234906050504E-2</v>
      </c>
      <c r="O58" s="123">
        <f t="shared" si="19"/>
        <v>1.1172717849338177E-2</v>
      </c>
      <c r="P58" s="123">
        <f t="shared" si="19"/>
        <v>1.1362835441689242E-2</v>
      </c>
      <c r="Q58" s="123">
        <f t="shared" si="19"/>
        <v>1.1563831939617913E-2</v>
      </c>
      <c r="R58" s="123">
        <f t="shared" si="19"/>
        <v>1.1932673122103374E-2</v>
      </c>
      <c r="S58" s="123">
        <f t="shared" si="19"/>
        <v>1.3027814163301454E-2</v>
      </c>
      <c r="T58" s="123">
        <f t="shared" si="19"/>
        <v>1.4302695803711393E-2</v>
      </c>
      <c r="U58" s="123">
        <f t="shared" si="19"/>
        <v>1.6228694595961855E-2</v>
      </c>
      <c r="V58" s="123">
        <f t="shared" si="19"/>
        <v>1.746718132277892E-2</v>
      </c>
      <c r="W58" s="123">
        <f t="shared" ref="W58" si="20">IF(W12=0,0,W12/W$10)</f>
        <v>1.7818416638861009E-2</v>
      </c>
      <c r="DA58" s="203"/>
    </row>
    <row r="59" spans="1:105" ht="11.45" customHeight="1" x14ac:dyDescent="0.25">
      <c r="A59" s="109" t="s">
        <v>24</v>
      </c>
      <c r="B59" s="124">
        <f t="shared" si="14"/>
        <v>0.86955759627885165</v>
      </c>
      <c r="C59" s="124">
        <f t="shared" ref="C59:V59" si="21">IF(C13=0,0,C13/C$10)</f>
        <v>0.86882288190098567</v>
      </c>
      <c r="D59" s="124">
        <f t="shared" si="21"/>
        <v>0.8833627022013204</v>
      </c>
      <c r="E59" s="124">
        <f t="shared" si="21"/>
        <v>0.88467808507482171</v>
      </c>
      <c r="F59" s="124">
        <f t="shared" si="21"/>
        <v>0.86587414125911355</v>
      </c>
      <c r="G59" s="124">
        <f t="shared" si="21"/>
        <v>0.87953016388831973</v>
      </c>
      <c r="H59" s="124">
        <f t="shared" si="21"/>
        <v>0.88780697774194228</v>
      </c>
      <c r="I59" s="124">
        <f t="shared" si="21"/>
        <v>0.8951542490307014</v>
      </c>
      <c r="J59" s="124">
        <f t="shared" si="21"/>
        <v>0.89196272186400072</v>
      </c>
      <c r="K59" s="124">
        <f t="shared" si="21"/>
        <v>0.9026630630041913</v>
      </c>
      <c r="L59" s="124">
        <f t="shared" si="21"/>
        <v>0.88284835935139572</v>
      </c>
      <c r="M59" s="124">
        <f t="shared" si="21"/>
        <v>0.86872754283058151</v>
      </c>
      <c r="N59" s="124">
        <f t="shared" si="21"/>
        <v>0.88848246458941749</v>
      </c>
      <c r="O59" s="124">
        <f t="shared" si="21"/>
        <v>0.88390041270088671</v>
      </c>
      <c r="P59" s="124">
        <f t="shared" si="21"/>
        <v>0.88130610636657181</v>
      </c>
      <c r="Q59" s="124">
        <f t="shared" si="21"/>
        <v>0.87243758810629723</v>
      </c>
      <c r="R59" s="124">
        <f t="shared" si="21"/>
        <v>0.87229335239460781</v>
      </c>
      <c r="S59" s="124">
        <f t="shared" si="21"/>
        <v>0.88089936738126429</v>
      </c>
      <c r="T59" s="124">
        <f t="shared" si="21"/>
        <v>0.88067759248637401</v>
      </c>
      <c r="U59" s="124">
        <f t="shared" si="21"/>
        <v>0.89027297282854589</v>
      </c>
      <c r="V59" s="124">
        <f t="shared" si="21"/>
        <v>0.87345877376449976</v>
      </c>
      <c r="W59" s="124">
        <f t="shared" ref="W59" si="22">IF(W13=0,0,W13/W$10)</f>
        <v>0.88981146795030563</v>
      </c>
      <c r="DA59" s="176"/>
    </row>
    <row r="60" spans="1:105" ht="11.45" customHeight="1" x14ac:dyDescent="0.25">
      <c r="A60" s="111" t="s">
        <v>92</v>
      </c>
      <c r="B60" s="125">
        <f t="shared" si="14"/>
        <v>0.61614102956811045</v>
      </c>
      <c r="C60" s="125">
        <f t="shared" ref="C60:V60" si="23">IF(C14=0,0,C14/C$10)</f>
        <v>0.60238430333054604</v>
      </c>
      <c r="D60" s="125">
        <f t="shared" si="23"/>
        <v>0.60440055234441947</v>
      </c>
      <c r="E60" s="125">
        <f t="shared" si="23"/>
        <v>0.62368060206812215</v>
      </c>
      <c r="F60" s="125">
        <f t="shared" si="23"/>
        <v>0.60132413069730306</v>
      </c>
      <c r="G60" s="125">
        <f t="shared" si="23"/>
        <v>0.62561469944482795</v>
      </c>
      <c r="H60" s="125">
        <f t="shared" si="23"/>
        <v>0.62262303817057851</v>
      </c>
      <c r="I60" s="125">
        <f t="shared" si="23"/>
        <v>0.64027349191592076</v>
      </c>
      <c r="J60" s="125">
        <f t="shared" si="23"/>
        <v>0.6405676130005874</v>
      </c>
      <c r="K60" s="125">
        <f t="shared" si="23"/>
        <v>0.62824991512333972</v>
      </c>
      <c r="L60" s="125">
        <f t="shared" si="23"/>
        <v>0.62057942185622517</v>
      </c>
      <c r="M60" s="125">
        <f t="shared" si="23"/>
        <v>0.61975042269014957</v>
      </c>
      <c r="N60" s="125">
        <f t="shared" si="23"/>
        <v>0.64132558509498361</v>
      </c>
      <c r="O60" s="125">
        <f t="shared" si="23"/>
        <v>0.6345552127313866</v>
      </c>
      <c r="P60" s="125">
        <f t="shared" si="23"/>
        <v>0.63472377058362917</v>
      </c>
      <c r="Q60" s="125">
        <f t="shared" si="23"/>
        <v>0.62067445477691541</v>
      </c>
      <c r="R60" s="125">
        <f t="shared" si="23"/>
        <v>0.61794370939888821</v>
      </c>
      <c r="S60" s="125">
        <f t="shared" si="23"/>
        <v>0.61778120249982948</v>
      </c>
      <c r="T60" s="125">
        <f t="shared" si="23"/>
        <v>0.60476289775678183</v>
      </c>
      <c r="U60" s="125">
        <f t="shared" si="23"/>
        <v>0.60512491808761348</v>
      </c>
      <c r="V60" s="125">
        <f t="shared" si="23"/>
        <v>0.56907538369409838</v>
      </c>
      <c r="W60" s="125">
        <f t="shared" ref="W60" si="24">IF(W14=0,0,W14/W$10)</f>
        <v>0.5510331551046036</v>
      </c>
      <c r="DA60" s="171"/>
    </row>
    <row r="61" spans="1:105" ht="11.45" customHeight="1" x14ac:dyDescent="0.25">
      <c r="A61" s="111" t="s">
        <v>93</v>
      </c>
      <c r="B61" s="125">
        <f t="shared" si="14"/>
        <v>0.25341656671074114</v>
      </c>
      <c r="C61" s="125">
        <f t="shared" ref="C61:V61" si="25">IF(C15=0,0,C15/C$10)</f>
        <v>0.26643857857043957</v>
      </c>
      <c r="D61" s="125">
        <f t="shared" si="25"/>
        <v>0.27896214985690093</v>
      </c>
      <c r="E61" s="125">
        <f t="shared" si="25"/>
        <v>0.2609974830066995</v>
      </c>
      <c r="F61" s="125">
        <f t="shared" si="25"/>
        <v>0.26455001056181054</v>
      </c>
      <c r="G61" s="125">
        <f t="shared" si="25"/>
        <v>0.25391546444349183</v>
      </c>
      <c r="H61" s="125">
        <f t="shared" si="25"/>
        <v>0.26518393957136382</v>
      </c>
      <c r="I61" s="125">
        <f t="shared" si="25"/>
        <v>0.25488075711478064</v>
      </c>
      <c r="J61" s="125">
        <f t="shared" si="25"/>
        <v>0.25139510886341337</v>
      </c>
      <c r="K61" s="125">
        <f t="shared" si="25"/>
        <v>0.27441314788085169</v>
      </c>
      <c r="L61" s="125">
        <f t="shared" si="25"/>
        <v>0.26226893749517055</v>
      </c>
      <c r="M61" s="125">
        <f t="shared" si="25"/>
        <v>0.24897712014043194</v>
      </c>
      <c r="N61" s="125">
        <f t="shared" si="25"/>
        <v>0.24715687949443388</v>
      </c>
      <c r="O61" s="125">
        <f t="shared" si="25"/>
        <v>0.24934519996950005</v>
      </c>
      <c r="P61" s="125">
        <f t="shared" si="25"/>
        <v>0.24658233578294264</v>
      </c>
      <c r="Q61" s="125">
        <f t="shared" si="25"/>
        <v>0.25176313332938177</v>
      </c>
      <c r="R61" s="125">
        <f t="shared" si="25"/>
        <v>0.2543496429957196</v>
      </c>
      <c r="S61" s="125">
        <f t="shared" si="25"/>
        <v>0.26311816488143475</v>
      </c>
      <c r="T61" s="125">
        <f t="shared" si="25"/>
        <v>0.27591469472959212</v>
      </c>
      <c r="U61" s="125">
        <f t="shared" si="25"/>
        <v>0.28514805474093241</v>
      </c>
      <c r="V61" s="125">
        <f t="shared" si="25"/>
        <v>0.30438339007040138</v>
      </c>
      <c r="W61" s="125">
        <f t="shared" ref="W61" si="26">IF(W15=0,0,W15/W$10)</f>
        <v>0.33877831284570198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0.13044240372114838</v>
      </c>
      <c r="C63" s="31">
        <f t="shared" ref="C63:V63" si="29">IF(C17=0,0,C17/C$10)</f>
        <v>0.13117711809901436</v>
      </c>
      <c r="D63" s="31">
        <f t="shared" si="29"/>
        <v>0.11622615712569305</v>
      </c>
      <c r="E63" s="31">
        <f t="shared" si="29"/>
        <v>0.11221959178309056</v>
      </c>
      <c r="F63" s="31">
        <f t="shared" si="29"/>
        <v>0.12825714719372777</v>
      </c>
      <c r="G63" s="31">
        <f t="shared" si="29"/>
        <v>0.11338491839263524</v>
      </c>
      <c r="H63" s="31">
        <f t="shared" si="29"/>
        <v>0.10500113794547146</v>
      </c>
      <c r="I63" s="31">
        <f t="shared" si="29"/>
        <v>9.7053632229195094E-2</v>
      </c>
      <c r="J63" s="31">
        <f t="shared" si="29"/>
        <v>9.9854511723472789E-2</v>
      </c>
      <c r="K63" s="31">
        <f t="shared" si="29"/>
        <v>8.8268436309279205E-2</v>
      </c>
      <c r="L63" s="31">
        <f t="shared" si="29"/>
        <v>0.10760141059957527</v>
      </c>
      <c r="M63" s="31">
        <f t="shared" si="29"/>
        <v>0.12034947264474034</v>
      </c>
      <c r="N63" s="31">
        <f t="shared" si="29"/>
        <v>0.10079530050453214</v>
      </c>
      <c r="O63" s="31">
        <f t="shared" si="29"/>
        <v>0.1049268694497751</v>
      </c>
      <c r="P63" s="31">
        <f t="shared" si="29"/>
        <v>0.10733105819173894</v>
      </c>
      <c r="Q63" s="31">
        <f t="shared" si="29"/>
        <v>0.11599857995408482</v>
      </c>
      <c r="R63" s="31">
        <f t="shared" si="29"/>
        <v>0.11577397448328886</v>
      </c>
      <c r="S63" s="31">
        <f t="shared" si="29"/>
        <v>0.10607281845543431</v>
      </c>
      <c r="T63" s="31">
        <f t="shared" si="29"/>
        <v>0.10501971170991459</v>
      </c>
      <c r="U63" s="31">
        <f t="shared" si="29"/>
        <v>9.3498332575492185E-2</v>
      </c>
      <c r="V63" s="31">
        <f t="shared" si="29"/>
        <v>0.10907404491272138</v>
      </c>
      <c r="W63" s="31">
        <f t="shared" ref="W63" si="30">IF(W17=0,0,W17/W$10)</f>
        <v>9.2370115410833217E-2</v>
      </c>
      <c r="DA63" s="173"/>
    </row>
    <row r="64" spans="1:105" ht="11.45" customHeight="1" x14ac:dyDescent="0.25">
      <c r="A64" s="83" t="s">
        <v>92</v>
      </c>
      <c r="B64" s="125">
        <f t="shared" si="14"/>
        <v>9.4341499550025895E-2</v>
      </c>
      <c r="C64" s="125">
        <f t="shared" ref="C64:V64" si="31">IF(C18=0,0,C18/C$10)</f>
        <v>9.3072223088600234E-2</v>
      </c>
      <c r="D64" s="125">
        <f t="shared" si="31"/>
        <v>8.1452658253029012E-2</v>
      </c>
      <c r="E64" s="125">
        <f t="shared" si="31"/>
        <v>7.4974957822164595E-2</v>
      </c>
      <c r="F64" s="125">
        <f t="shared" si="31"/>
        <v>8.4198700345163302E-2</v>
      </c>
      <c r="G64" s="125">
        <f t="shared" si="31"/>
        <v>7.2175786354951463E-2</v>
      </c>
      <c r="H64" s="125">
        <f t="shared" si="31"/>
        <v>7.1685904918852308E-2</v>
      </c>
      <c r="I64" s="125">
        <f t="shared" si="31"/>
        <v>6.5511632051021271E-2</v>
      </c>
      <c r="J64" s="125">
        <f t="shared" si="31"/>
        <v>6.1227062377671768E-2</v>
      </c>
      <c r="K64" s="125">
        <f t="shared" si="31"/>
        <v>5.8472094677899232E-2</v>
      </c>
      <c r="L64" s="125">
        <f t="shared" si="31"/>
        <v>7.2734052765464824E-2</v>
      </c>
      <c r="M64" s="125">
        <f t="shared" si="31"/>
        <v>8.2654624280378758E-2</v>
      </c>
      <c r="N64" s="125">
        <f t="shared" si="31"/>
        <v>6.7455166901192062E-2</v>
      </c>
      <c r="O64" s="125">
        <f t="shared" si="31"/>
        <v>7.1050556785387339E-2</v>
      </c>
      <c r="P64" s="125">
        <f t="shared" si="31"/>
        <v>7.664651584949983E-2</v>
      </c>
      <c r="Q64" s="125">
        <f t="shared" si="31"/>
        <v>8.0623132580373333E-2</v>
      </c>
      <c r="R64" s="125">
        <f t="shared" si="31"/>
        <v>7.7347999466588616E-2</v>
      </c>
      <c r="S64" s="125">
        <f t="shared" si="31"/>
        <v>7.4496077017324649E-2</v>
      </c>
      <c r="T64" s="125">
        <f t="shared" si="31"/>
        <v>7.1248699409677083E-2</v>
      </c>
      <c r="U64" s="125">
        <f t="shared" si="31"/>
        <v>6.5748482710099601E-2</v>
      </c>
      <c r="V64" s="125">
        <f t="shared" si="31"/>
        <v>6.5858879465110806E-2</v>
      </c>
      <c r="W64" s="125">
        <f t="shared" ref="W64" si="32">IF(W18=0,0,W18/W$10)</f>
        <v>5.3627915483682884E-2</v>
      </c>
      <c r="DA64" s="171"/>
    </row>
    <row r="65" spans="1:105" ht="11.45" customHeight="1" x14ac:dyDescent="0.25">
      <c r="A65" s="85" t="s">
        <v>93</v>
      </c>
      <c r="B65" s="127">
        <f t="shared" si="14"/>
        <v>3.610090417112248E-2</v>
      </c>
      <c r="C65" s="127">
        <f t="shared" ref="C65:V65" si="33">IF(C19=0,0,C19/C$10)</f>
        <v>3.8104895010414128E-2</v>
      </c>
      <c r="D65" s="127">
        <f t="shared" si="33"/>
        <v>3.4773498872664045E-2</v>
      </c>
      <c r="E65" s="127">
        <f t="shared" si="33"/>
        <v>3.724463396092597E-2</v>
      </c>
      <c r="F65" s="127">
        <f t="shared" si="33"/>
        <v>4.4058446848564456E-2</v>
      </c>
      <c r="G65" s="127">
        <f t="shared" si="33"/>
        <v>4.1209132037683775E-2</v>
      </c>
      <c r="H65" s="127">
        <f t="shared" si="33"/>
        <v>3.3315233026619144E-2</v>
      </c>
      <c r="I65" s="127">
        <f t="shared" si="33"/>
        <v>3.154200017817381E-2</v>
      </c>
      <c r="J65" s="127">
        <f t="shared" si="33"/>
        <v>3.8627449345801014E-2</v>
      </c>
      <c r="K65" s="127">
        <f t="shared" si="33"/>
        <v>2.979634163137997E-2</v>
      </c>
      <c r="L65" s="127">
        <f t="shared" si="33"/>
        <v>3.4867357834110456E-2</v>
      </c>
      <c r="M65" s="127">
        <f t="shared" si="33"/>
        <v>3.7694848364361586E-2</v>
      </c>
      <c r="N65" s="127">
        <f t="shared" si="33"/>
        <v>3.334013360334008E-2</v>
      </c>
      <c r="O65" s="127">
        <f t="shared" si="33"/>
        <v>3.3876312664387752E-2</v>
      </c>
      <c r="P65" s="127">
        <f t="shared" si="33"/>
        <v>3.0684542342239118E-2</v>
      </c>
      <c r="Q65" s="127">
        <f t="shared" si="33"/>
        <v>3.5375447373711476E-2</v>
      </c>
      <c r="R65" s="127">
        <f t="shared" si="33"/>
        <v>3.8425975016700233E-2</v>
      </c>
      <c r="S65" s="127">
        <f t="shared" si="33"/>
        <v>3.1576741438109658E-2</v>
      </c>
      <c r="T65" s="127">
        <f t="shared" si="33"/>
        <v>3.3771012300237498E-2</v>
      </c>
      <c r="U65" s="127">
        <f t="shared" si="33"/>
        <v>2.7749849865392581E-2</v>
      </c>
      <c r="V65" s="127">
        <f t="shared" si="33"/>
        <v>4.3215165447610566E-2</v>
      </c>
      <c r="W65" s="127">
        <f t="shared" ref="W65" si="34">IF(W19=0,0,W19/W$10)</f>
        <v>3.8742199927150334E-2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227.81303999999997</v>
      </c>
      <c r="C4" s="26">
        <f t="shared" ref="C4:W4" si="0">SUM(C5:C6)</f>
        <v>211.99257144000001</v>
      </c>
      <c r="D4" s="26">
        <f t="shared" si="0"/>
        <v>211.99257144000001</v>
      </c>
      <c r="E4" s="26">
        <f t="shared" si="0"/>
        <v>218.32091892</v>
      </c>
      <c r="F4" s="26">
        <f t="shared" si="0"/>
        <v>215.15687856</v>
      </c>
      <c r="G4" s="26">
        <f t="shared" si="0"/>
        <v>230.97708036</v>
      </c>
      <c r="H4" s="26">
        <f t="shared" si="0"/>
        <v>227.81303999999997</v>
      </c>
      <c r="I4" s="26">
        <f t="shared" si="0"/>
        <v>227.81303999999997</v>
      </c>
      <c r="J4" s="26">
        <f t="shared" si="0"/>
        <v>237.30516108</v>
      </c>
      <c r="K4" s="26">
        <f t="shared" si="0"/>
        <v>230.97708036</v>
      </c>
      <c r="L4" s="26">
        <f t="shared" si="0"/>
        <v>243.63350856000002</v>
      </c>
      <c r="M4" s="26">
        <f t="shared" si="0"/>
        <v>249.96158928</v>
      </c>
      <c r="N4" s="26">
        <f t="shared" si="0"/>
        <v>249.96158928</v>
      </c>
      <c r="O4" s="26">
        <f t="shared" si="0"/>
        <v>246.79754892000003</v>
      </c>
      <c r="P4" s="26">
        <f t="shared" si="0"/>
        <v>253.12562964</v>
      </c>
      <c r="Q4" s="26">
        <f t="shared" si="0"/>
        <v>248.64219432000002</v>
      </c>
      <c r="R4" s="26">
        <f t="shared" si="0"/>
        <v>253.82800872000001</v>
      </c>
      <c r="S4" s="26">
        <f t="shared" si="0"/>
        <v>244.28798963999998</v>
      </c>
      <c r="T4" s="26">
        <f t="shared" si="0"/>
        <v>224.35114751999998</v>
      </c>
      <c r="U4" s="26">
        <f t="shared" si="0"/>
        <v>223.93980359999998</v>
      </c>
      <c r="V4" s="26">
        <f t="shared" si="0"/>
        <v>196.68146651999999</v>
      </c>
      <c r="W4" s="26">
        <f t="shared" si="0"/>
        <v>184.75957656</v>
      </c>
      <c r="DA4" s="202" t="s">
        <v>1135</v>
      </c>
    </row>
    <row r="5" spans="1:105" ht="11.45" customHeight="1" x14ac:dyDescent="0.25">
      <c r="A5" s="107" t="s">
        <v>92</v>
      </c>
      <c r="B5" s="129">
        <v>227.81303999999997</v>
      </c>
      <c r="C5" s="129">
        <v>211.99257144000001</v>
      </c>
      <c r="D5" s="129">
        <v>211.99257144000001</v>
      </c>
      <c r="E5" s="129">
        <v>218.32091892</v>
      </c>
      <c r="F5" s="129">
        <v>215.15687856</v>
      </c>
      <c r="G5" s="129">
        <v>230.97708036</v>
      </c>
      <c r="H5" s="129">
        <v>227.81303999999997</v>
      </c>
      <c r="I5" s="129">
        <v>227.81303999999997</v>
      </c>
      <c r="J5" s="129">
        <v>237.30516108</v>
      </c>
      <c r="K5" s="129">
        <v>230.97708036</v>
      </c>
      <c r="L5" s="129">
        <v>243.63350856000002</v>
      </c>
      <c r="M5" s="129">
        <v>249.96158928</v>
      </c>
      <c r="N5" s="129">
        <v>249.96158928</v>
      </c>
      <c r="O5" s="129">
        <v>246.79754892000003</v>
      </c>
      <c r="P5" s="129">
        <v>253.12562964</v>
      </c>
      <c r="Q5" s="129">
        <v>248.64219432000002</v>
      </c>
      <c r="R5" s="129">
        <v>253.82800872000001</v>
      </c>
      <c r="S5" s="129">
        <v>244.28798963999998</v>
      </c>
      <c r="T5" s="129">
        <v>224.35114751999998</v>
      </c>
      <c r="U5" s="129">
        <v>223.93980359999998</v>
      </c>
      <c r="V5" s="129">
        <v>196.68146651999999</v>
      </c>
      <c r="W5" s="129">
        <v>184.75957656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227.81303999999994</v>
      </c>
      <c r="C8" s="79">
        <f t="shared" si="1"/>
        <v>211.99257143999998</v>
      </c>
      <c r="D8" s="79">
        <f t="shared" si="1"/>
        <v>211.99257144000003</v>
      </c>
      <c r="E8" s="79">
        <f t="shared" si="1"/>
        <v>218.32091892000003</v>
      </c>
      <c r="F8" s="79">
        <f t="shared" si="1"/>
        <v>215.15687856</v>
      </c>
      <c r="G8" s="79">
        <f t="shared" si="1"/>
        <v>230.97708036</v>
      </c>
      <c r="H8" s="79">
        <f t="shared" si="1"/>
        <v>227.81304</v>
      </c>
      <c r="I8" s="79">
        <f t="shared" si="1"/>
        <v>227.81303999999997</v>
      </c>
      <c r="J8" s="79">
        <f t="shared" si="1"/>
        <v>237.30516108</v>
      </c>
      <c r="K8" s="79">
        <f t="shared" si="1"/>
        <v>230.97708036</v>
      </c>
      <c r="L8" s="79">
        <f t="shared" si="1"/>
        <v>243.63350856000002</v>
      </c>
      <c r="M8" s="79">
        <f t="shared" si="1"/>
        <v>249.96158928</v>
      </c>
      <c r="N8" s="79">
        <f t="shared" si="1"/>
        <v>249.96158928</v>
      </c>
      <c r="O8" s="79">
        <f t="shared" si="1"/>
        <v>246.79754892</v>
      </c>
      <c r="P8" s="79">
        <f t="shared" si="1"/>
        <v>253.12562963999997</v>
      </c>
      <c r="Q8" s="79">
        <f t="shared" si="1"/>
        <v>248.64219432000002</v>
      </c>
      <c r="R8" s="79">
        <f t="shared" si="1"/>
        <v>253.82800872000001</v>
      </c>
      <c r="S8" s="79">
        <f t="shared" si="1"/>
        <v>244.28798963999998</v>
      </c>
      <c r="T8" s="79">
        <f t="shared" si="1"/>
        <v>224.35114752000001</v>
      </c>
      <c r="U8" s="79">
        <f t="shared" si="1"/>
        <v>223.93980359999998</v>
      </c>
      <c r="V8" s="79">
        <f t="shared" si="1"/>
        <v>196.68146651999999</v>
      </c>
      <c r="W8" s="79">
        <f t="shared" si="1"/>
        <v>184.75957656000003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197.56286081920211</v>
      </c>
      <c r="C9" s="32">
        <f t="shared" si="2"/>
        <v>183.62182624938225</v>
      </c>
      <c r="D9" s="32">
        <f t="shared" si="2"/>
        <v>186.81610772024646</v>
      </c>
      <c r="E9" s="32">
        <f t="shared" si="2"/>
        <v>194.89220436100666</v>
      </c>
      <c r="F9" s="32">
        <f t="shared" si="2"/>
        <v>188.73043625241783</v>
      </c>
      <c r="G9" s="32">
        <f t="shared" si="2"/>
        <v>207.08602316702863</v>
      </c>
      <c r="H9" s="32">
        <f t="shared" si="2"/>
        <v>204.29183364473175</v>
      </c>
      <c r="I9" s="32">
        <f t="shared" si="2"/>
        <v>206.66722161122414</v>
      </c>
      <c r="J9" s="32">
        <f t="shared" si="2"/>
        <v>216.60181520158139</v>
      </c>
      <c r="K9" s="32">
        <f t="shared" si="2"/>
        <v>211.31015033813617</v>
      </c>
      <c r="L9" s="32">
        <f t="shared" si="2"/>
        <v>218.07443158301263</v>
      </c>
      <c r="M9" s="32">
        <f t="shared" si="2"/>
        <v>220.54767584704081</v>
      </c>
      <c r="N9" s="32">
        <f t="shared" si="2"/>
        <v>226.17256753204401</v>
      </c>
      <c r="O9" s="32">
        <f t="shared" si="2"/>
        <v>221.94641529613014</v>
      </c>
      <c r="P9" s="32">
        <f t="shared" si="2"/>
        <v>225.85263559719826</v>
      </c>
      <c r="Q9" s="32">
        <f t="shared" si="2"/>
        <v>220.05759206394896</v>
      </c>
      <c r="R9" s="32">
        <f t="shared" si="2"/>
        <v>225.5908121120963</v>
      </c>
      <c r="S9" s="32">
        <f t="shared" si="2"/>
        <v>218.00011709372512</v>
      </c>
      <c r="T9" s="32">
        <f t="shared" si="2"/>
        <v>200.70550661846889</v>
      </c>
      <c r="U9" s="32">
        <f t="shared" si="2"/>
        <v>201.99273834507969</v>
      </c>
      <c r="V9" s="32">
        <f t="shared" si="2"/>
        <v>176.28058134472019</v>
      </c>
      <c r="W9" s="32">
        <f t="shared" si="2"/>
        <v>168.373089255764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197.56286081920211</v>
      </c>
      <c r="C11" s="130">
        <f t="shared" si="3"/>
        <v>183.62182624938225</v>
      </c>
      <c r="D11" s="130">
        <f t="shared" si="3"/>
        <v>186.81610772024646</v>
      </c>
      <c r="E11" s="130">
        <f t="shared" si="3"/>
        <v>194.89220436100666</v>
      </c>
      <c r="F11" s="130">
        <f t="shared" si="3"/>
        <v>188.73043625241783</v>
      </c>
      <c r="G11" s="130">
        <f t="shared" si="3"/>
        <v>207.08602316702863</v>
      </c>
      <c r="H11" s="130">
        <f t="shared" si="3"/>
        <v>204.29183364473175</v>
      </c>
      <c r="I11" s="130">
        <f t="shared" si="3"/>
        <v>206.66722161122414</v>
      </c>
      <c r="J11" s="130">
        <f t="shared" si="3"/>
        <v>216.60181520158139</v>
      </c>
      <c r="K11" s="130">
        <f t="shared" si="3"/>
        <v>211.31015033813617</v>
      </c>
      <c r="L11" s="130">
        <f t="shared" si="3"/>
        <v>218.07443158301263</v>
      </c>
      <c r="M11" s="130">
        <f t="shared" si="3"/>
        <v>220.54767584704081</v>
      </c>
      <c r="N11" s="130">
        <f t="shared" si="3"/>
        <v>226.17256753204401</v>
      </c>
      <c r="O11" s="130">
        <f t="shared" si="3"/>
        <v>221.94641529613014</v>
      </c>
      <c r="P11" s="130">
        <f t="shared" si="3"/>
        <v>225.85263559719826</v>
      </c>
      <c r="Q11" s="130">
        <f t="shared" si="3"/>
        <v>220.05759206394896</v>
      </c>
      <c r="R11" s="130">
        <f t="shared" si="3"/>
        <v>225.5908121120963</v>
      </c>
      <c r="S11" s="130">
        <f t="shared" si="3"/>
        <v>218.00011709372512</v>
      </c>
      <c r="T11" s="130">
        <f t="shared" si="3"/>
        <v>200.70550661846889</v>
      </c>
      <c r="U11" s="130">
        <f t="shared" si="3"/>
        <v>201.99273834507969</v>
      </c>
      <c r="V11" s="130">
        <f t="shared" si="3"/>
        <v>176.28058134472019</v>
      </c>
      <c r="W11" s="130">
        <f t="shared" si="3"/>
        <v>168.373089255764</v>
      </c>
      <c r="DA11" s="176" t="s">
        <v>408</v>
      </c>
    </row>
    <row r="12" spans="1:105" ht="11.45" customHeight="1" x14ac:dyDescent="0.25">
      <c r="A12" s="111" t="s">
        <v>92</v>
      </c>
      <c r="B12" s="96">
        <v>197.56286081920211</v>
      </c>
      <c r="C12" s="96">
        <v>183.62182624938225</v>
      </c>
      <c r="D12" s="96">
        <v>186.81610772024646</v>
      </c>
      <c r="E12" s="96">
        <v>194.89220436100666</v>
      </c>
      <c r="F12" s="96">
        <v>188.73043625241783</v>
      </c>
      <c r="G12" s="96">
        <v>207.08602316702863</v>
      </c>
      <c r="H12" s="96">
        <v>204.29183364473175</v>
      </c>
      <c r="I12" s="96">
        <v>206.66722161122414</v>
      </c>
      <c r="J12" s="96">
        <v>216.60181520158139</v>
      </c>
      <c r="K12" s="96">
        <v>211.31015033813617</v>
      </c>
      <c r="L12" s="96">
        <v>218.07443158301263</v>
      </c>
      <c r="M12" s="96">
        <v>220.54767584704081</v>
      </c>
      <c r="N12" s="96">
        <v>226.17256753204401</v>
      </c>
      <c r="O12" s="96">
        <v>221.94641529613014</v>
      </c>
      <c r="P12" s="96">
        <v>225.85263559719826</v>
      </c>
      <c r="Q12" s="96">
        <v>220.05759206394896</v>
      </c>
      <c r="R12" s="96">
        <v>225.5908121120963</v>
      </c>
      <c r="S12" s="96">
        <v>218.00011709372512</v>
      </c>
      <c r="T12" s="96">
        <v>200.70550661846889</v>
      </c>
      <c r="U12" s="96">
        <v>201.99273834507969</v>
      </c>
      <c r="V12" s="96">
        <v>176.28058134472019</v>
      </c>
      <c r="W12" s="96">
        <v>168.373089255764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30.250179180797815</v>
      </c>
      <c r="C15" s="32">
        <f t="shared" si="4"/>
        <v>28.370745190617718</v>
      </c>
      <c r="D15" s="32">
        <f t="shared" si="4"/>
        <v>25.176463719753563</v>
      </c>
      <c r="E15" s="32">
        <f t="shared" si="4"/>
        <v>23.428714558993356</v>
      </c>
      <c r="F15" s="32">
        <f t="shared" si="4"/>
        <v>26.426442307582164</v>
      </c>
      <c r="G15" s="32">
        <f t="shared" si="4"/>
        <v>23.891057192971385</v>
      </c>
      <c r="H15" s="32">
        <f t="shared" si="4"/>
        <v>23.521206355268244</v>
      </c>
      <c r="I15" s="32">
        <f t="shared" si="4"/>
        <v>21.145818388775826</v>
      </c>
      <c r="J15" s="32">
        <f t="shared" si="4"/>
        <v>20.70334587841861</v>
      </c>
      <c r="K15" s="32">
        <f t="shared" si="4"/>
        <v>19.666930021863838</v>
      </c>
      <c r="L15" s="32">
        <f t="shared" si="4"/>
        <v>25.559076976987388</v>
      </c>
      <c r="M15" s="32">
        <f t="shared" si="4"/>
        <v>29.41391343295918</v>
      </c>
      <c r="N15" s="32">
        <f t="shared" si="4"/>
        <v>23.789021747955982</v>
      </c>
      <c r="O15" s="32">
        <f t="shared" si="4"/>
        <v>24.851133623869863</v>
      </c>
      <c r="P15" s="32">
        <f t="shared" si="4"/>
        <v>27.272994042801724</v>
      </c>
      <c r="Q15" s="32">
        <f t="shared" si="4"/>
        <v>28.584602256051046</v>
      </c>
      <c r="R15" s="32">
        <f t="shared" si="4"/>
        <v>28.237196607903705</v>
      </c>
      <c r="S15" s="32">
        <f t="shared" si="4"/>
        <v>26.287872546274865</v>
      </c>
      <c r="T15" s="32">
        <f t="shared" si="4"/>
        <v>23.64564090153112</v>
      </c>
      <c r="U15" s="32">
        <f t="shared" si="4"/>
        <v>21.947065254920282</v>
      </c>
      <c r="V15" s="32">
        <f t="shared" si="4"/>
        <v>20.40088517527979</v>
      </c>
      <c r="W15" s="32">
        <f t="shared" si="4"/>
        <v>16.38648730423602</v>
      </c>
      <c r="DA15" s="173" t="s">
        <v>413</v>
      </c>
    </row>
    <row r="16" spans="1:105" ht="11.45" customHeight="1" x14ac:dyDescent="0.25">
      <c r="A16" s="83" t="s">
        <v>92</v>
      </c>
      <c r="B16" s="96">
        <v>30.250179180797815</v>
      </c>
      <c r="C16" s="96">
        <v>28.370745190617718</v>
      </c>
      <c r="D16" s="96">
        <v>25.176463719753563</v>
      </c>
      <c r="E16" s="96">
        <v>23.428714558993356</v>
      </c>
      <c r="F16" s="96">
        <v>26.426442307582164</v>
      </c>
      <c r="G16" s="96">
        <v>23.891057192971385</v>
      </c>
      <c r="H16" s="96">
        <v>23.521206355268244</v>
      </c>
      <c r="I16" s="96">
        <v>21.145818388775826</v>
      </c>
      <c r="J16" s="96">
        <v>20.70334587841861</v>
      </c>
      <c r="K16" s="96">
        <v>19.666930021863838</v>
      </c>
      <c r="L16" s="96">
        <v>25.559076976987388</v>
      </c>
      <c r="M16" s="96">
        <v>29.41391343295918</v>
      </c>
      <c r="N16" s="96">
        <v>23.789021747955982</v>
      </c>
      <c r="O16" s="96">
        <v>24.851133623869863</v>
      </c>
      <c r="P16" s="96">
        <v>27.272994042801724</v>
      </c>
      <c r="Q16" s="96">
        <v>28.584602256051046</v>
      </c>
      <c r="R16" s="96">
        <v>28.237196607903705</v>
      </c>
      <c r="S16" s="96">
        <v>26.287872546274865</v>
      </c>
      <c r="T16" s="96">
        <v>23.64564090153112</v>
      </c>
      <c r="U16" s="96">
        <v>21.947065254920282</v>
      </c>
      <c r="V16" s="96">
        <v>20.40088517527979</v>
      </c>
      <c r="W16" s="96">
        <v>16.38648730423602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2.2042143554076539</v>
      </c>
      <c r="C22" s="134">
        <f>IF(C4=0,0,C4/TrRail_ene!C4)</f>
        <v>2.1575974021454565</v>
      </c>
      <c r="D22" s="134">
        <f>IF(D4=0,0,D4/TrRail_ene!D4)</f>
        <v>2.1278038945978839</v>
      </c>
      <c r="E22" s="134">
        <f>IF(E4=0,0,E4/TrRail_ene!E4)</f>
        <v>2.1675221437281516</v>
      </c>
      <c r="F22" s="134">
        <f>IF(F4=0,0,F4/TrRail_ene!F4)</f>
        <v>2.1267789188553712</v>
      </c>
      <c r="G22" s="134">
        <f>IF(G4=0,0,G4/TrRail_ene!G4)</f>
        <v>2.1648383216063687</v>
      </c>
      <c r="H22" s="134">
        <f>IF(H4=0,0,H4/TrRail_ene!H4)</f>
        <v>2.1540371180487803</v>
      </c>
      <c r="I22" s="134">
        <f>IF(I4=0,0,I4/TrRail_ene!I4)</f>
        <v>2.1896410373553716</v>
      </c>
      <c r="J22" s="134">
        <f>IF(J4=0,0,J4/TrRail_ene!J4)</f>
        <v>2.1772609946334085</v>
      </c>
      <c r="K22" s="134">
        <f>IF(K4=0,0,K4/TrRail_ene!K4)</f>
        <v>2.1304992735811483</v>
      </c>
      <c r="L22" s="134">
        <f>IF(L4=0,0,L4/TrRail_ene!L4)</f>
        <v>2.1509487579596542</v>
      </c>
      <c r="M22" s="134">
        <f>IF(M4=0,0,M4/TrRail_ene!M4)</f>
        <v>2.1791546229362506</v>
      </c>
      <c r="N22" s="134">
        <f>IF(N4=0,0,N4/TrRail_ene!N4)</f>
        <v>2.1989347300710729</v>
      </c>
      <c r="O22" s="134">
        <f>IF(O4=0,0,O4/TrRail_ene!O4)</f>
        <v>2.1890846047373067</v>
      </c>
      <c r="P22" s="134">
        <f>IF(P4=0,0,P4/TrRail_ene!P4)</f>
        <v>2.2069685503915246</v>
      </c>
      <c r="Q22" s="134">
        <f>IF(Q4=0,0,Q4/TrRail_ene!Q4)</f>
        <v>2.175718819411895</v>
      </c>
      <c r="R22" s="134">
        <f>IF(R4=0,0,R4/TrRail_ene!R4)</f>
        <v>2.1570860690683822</v>
      </c>
      <c r="S22" s="134">
        <f>IF(S4=0,0,S4/TrRail_ene!S4)</f>
        <v>2.1477304006528457</v>
      </c>
      <c r="T22" s="134">
        <f>IF(T4=0,0,T4/TrRail_ene!T4)</f>
        <v>2.0972672112042714</v>
      </c>
      <c r="U22" s="134">
        <f>IF(U4=0,0,U4/TrRail_ene!U4)</f>
        <v>2.0813263965917783</v>
      </c>
      <c r="V22" s="134">
        <f>IF(V4=0,0,V4/TrRail_ene!V4)</f>
        <v>1.9698278412357337</v>
      </c>
      <c r="W22" s="134">
        <f>IF(W4=0,0,W4/TrRail_ene!W4)</f>
        <v>1.8759118730212276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1.5512067665652938</v>
      </c>
      <c r="T23" s="129">
        <f>IF(T5=0,0,T5/SUM(TrRail_ene!T5:T7))</f>
        <v>1.5512065325469901</v>
      </c>
      <c r="U23" s="129">
        <f>IF(U5=0,0,U5/SUM(TrRail_ene!U5:U7))</f>
        <v>1.5512065272799178</v>
      </c>
      <c r="V23" s="129">
        <f>IF(V5=0,0,V5/SUM(TrRail_ene!V5:V7))</f>
        <v>1.5512061291467911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4932.5364675765832</v>
      </c>
      <c r="C26" s="54">
        <f>IF(C8=0,0,C8/TrRail_act!C14*1000)</f>
        <v>4672.1846960818202</v>
      </c>
      <c r="D26" s="54">
        <f>IF(D8=0,0,D8/TrRail_act!D14*1000)</f>
        <v>4435.3545014744323</v>
      </c>
      <c r="E26" s="54">
        <f>IF(E8=0,0,E8/TrRail_act!E14*1000)</f>
        <v>4387.4987298275082</v>
      </c>
      <c r="F26" s="54">
        <f>IF(F8=0,0,F8/TrRail_act!F14*1000)</f>
        <v>4166.0010675595649</v>
      </c>
      <c r="G26" s="54">
        <f>IF(G8=0,0,G8/TrRail_act!G14*1000)</f>
        <v>4107.563083318254</v>
      </c>
      <c r="H26" s="54">
        <f>IF(H8=0,0,H8/TrRail_act!H14*1000)</f>
        <v>4012.0492096111439</v>
      </c>
      <c r="I26" s="54">
        <f>IF(I8=0,0,I8/TrRail_act!I14*1000)</f>
        <v>4096.2030943994105</v>
      </c>
      <c r="J26" s="54">
        <f>IF(J8=0,0,J8/TrRail_act!J14*1000)</f>
        <v>3979.9702919367573</v>
      </c>
      <c r="K26" s="54">
        <f>IF(K8=0,0,K8/TrRail_act!K14*1000)</f>
        <v>3727.7469668857229</v>
      </c>
      <c r="L26" s="54">
        <f>IF(L8=0,0,L8/TrRail_act!L14*1000)</f>
        <v>3772.2293517842845</v>
      </c>
      <c r="M26" s="54">
        <f>IF(M8=0,0,M8/TrRail_act!M14*1000)</f>
        <v>3781.5565158516833</v>
      </c>
      <c r="N26" s="54">
        <f>IF(N8=0,0,N8/TrRail_act!N14*1000)</f>
        <v>3795.1260097040276</v>
      </c>
      <c r="O26" s="54">
        <f>IF(O8=0,0,O8/TrRail_act!O14*1000)</f>
        <v>3664.4157445143856</v>
      </c>
      <c r="P26" s="54">
        <f>IF(P8=0,0,P8/TrRail_act!P14*1000)</f>
        <v>3639.0612193942848</v>
      </c>
      <c r="Q26" s="54">
        <f>IF(Q8=0,0,Q8/TrRail_act!Q14*1000)</f>
        <v>3505.8899934783894</v>
      </c>
      <c r="R26" s="54">
        <f>IF(R8=0,0,R8/TrRail_act!R14*1000)</f>
        <v>3428.2043768093226</v>
      </c>
      <c r="S26" s="54">
        <f>IF(S8=0,0,S8/TrRail_act!S14*1000)</f>
        <v>3340.3454384475763</v>
      </c>
      <c r="T26" s="54">
        <f>IF(T8=0,0,T8/TrRail_act!T14*1000)</f>
        <v>3181.0804719115481</v>
      </c>
      <c r="U26" s="54">
        <f>IF(U8=0,0,U8/TrRail_act!U14*1000)</f>
        <v>3061.4158023913083</v>
      </c>
      <c r="V26" s="54">
        <f>IF(V8=0,0,V8/TrRail_act!V14*1000)</f>
        <v>2832.2255308752019</v>
      </c>
      <c r="W26" s="54">
        <f>IF(W8=0,0,W8/TrRail_act!W14*1000)</f>
        <v>2627.1230500011256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4643.0769766072772</v>
      </c>
      <c r="C27" s="28">
        <f>IF(C9=0,0,C9/TrRail_act!C15*1000)</f>
        <v>4398.6486191882905</v>
      </c>
      <c r="D27" s="28">
        <f>IF(D9=0,0,D9/TrRail_act!D15*1000)</f>
        <v>4199.9163877176088</v>
      </c>
      <c r="E27" s="28">
        <f>IF(E9=0,0,E9/TrRail_act!E15*1000)</f>
        <v>4206.0830521267744</v>
      </c>
      <c r="F27" s="28">
        <f>IF(F9=0,0,F9/TrRail_act!F15*1000)</f>
        <v>3963.9493894552838</v>
      </c>
      <c r="G27" s="28">
        <f>IF(G9=0,0,G9/TrRail_act!G15*1000)</f>
        <v>3949.9432684336753</v>
      </c>
      <c r="H27" s="28">
        <f>IF(H9=0,0,H9/TrRail_act!H15*1000)</f>
        <v>3829.6744104305358</v>
      </c>
      <c r="I27" s="28">
        <f>IF(I9=0,0,I9/TrRail_act!I15*1000)</f>
        <v>3939.3291202509881</v>
      </c>
      <c r="J27" s="28">
        <f>IF(J9=0,0,J9/TrRail_act!J15*1000)</f>
        <v>3874.1029992752287</v>
      </c>
      <c r="K27" s="28">
        <f>IF(K9=0,0,K9/TrRail_act!K15*1000)</f>
        <v>3595.9999154788106</v>
      </c>
      <c r="L27" s="28">
        <f>IF(L9=0,0,L9/TrRail_act!L15*1000)</f>
        <v>3605.4757080748591</v>
      </c>
      <c r="M27" s="28">
        <f>IF(M9=0,0,M9/TrRail_act!M15*1000)</f>
        <v>3588.5871016116594</v>
      </c>
      <c r="N27" s="28">
        <f>IF(N9=0,0,N9/TrRail_act!N15*1000)</f>
        <v>3654.2314424588681</v>
      </c>
      <c r="O27" s="28">
        <f>IF(O9=0,0,O9/TrRail_act!O15*1000)</f>
        <v>3510.9295328633475</v>
      </c>
      <c r="P27" s="28">
        <f>IF(P9=0,0,P9/TrRail_act!P15*1000)</f>
        <v>3459.9580678896195</v>
      </c>
      <c r="Q27" s="28">
        <f>IF(Q9=0,0,Q9/TrRail_act!Q15*1000)</f>
        <v>3328.6062336324358</v>
      </c>
      <c r="R27" s="28">
        <f>IF(R9=0,0,R9/TrRail_act!R15*1000)</f>
        <v>3275.2193397826918</v>
      </c>
      <c r="S27" s="28">
        <f>IF(S9=0,0,S9/TrRail_act!S15*1000)</f>
        <v>3175.5771982274723</v>
      </c>
      <c r="T27" s="28">
        <f>IF(T9=0,0,T9/TrRail_act!T15*1000)</f>
        <v>3031.7583050592607</v>
      </c>
      <c r="U27" s="28">
        <f>IF(U9=0,0,U9/TrRail_act!U15*1000)</f>
        <v>2914.596742606494</v>
      </c>
      <c r="V27" s="28">
        <f>IF(V9=0,0,V9/TrRail_act!V15*1000)</f>
        <v>2717.0690993349772</v>
      </c>
      <c r="W27" s="28">
        <f>IF(W9=0,0,W9/TrRail_act!W15*1000)</f>
        <v>2534.6170347319717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4643.0769766072772</v>
      </c>
      <c r="C29" s="110">
        <f>IF(C11=0,0,C11/TrRail_act!C17*1000)</f>
        <v>4398.6486191882905</v>
      </c>
      <c r="D29" s="110">
        <f>IF(D11=0,0,D11/TrRail_act!D17*1000)</f>
        <v>4210.2415034373344</v>
      </c>
      <c r="E29" s="110">
        <f>IF(E11=0,0,E11/TrRail_act!E17*1000)</f>
        <v>4283.5341589450263</v>
      </c>
      <c r="F29" s="110">
        <f>IF(F11=0,0,F11/TrRail_act!F17*1000)</f>
        <v>4101.8424192097118</v>
      </c>
      <c r="G29" s="110">
        <f>IF(G11=0,0,G11/TrRail_act!G17*1000)</f>
        <v>4110.6007619006086</v>
      </c>
      <c r="H29" s="110">
        <f>IF(H11=0,0,H11/TrRail_act!H17*1000)</f>
        <v>3984.5678272787691</v>
      </c>
      <c r="I29" s="110">
        <f>IF(I11=0,0,I11/TrRail_act!I17*1000)</f>
        <v>4113.6042190053477</v>
      </c>
      <c r="J29" s="110">
        <f>IF(J11=0,0,J11/TrRail_act!J17*1000)</f>
        <v>4052.3852487363338</v>
      </c>
      <c r="K29" s="110">
        <f>IF(K11=0,0,K11/TrRail_act!K17*1000)</f>
        <v>3771.0361602187586</v>
      </c>
      <c r="L29" s="110">
        <f>IF(L11=0,0,L11/TrRail_act!L17*1000)</f>
        <v>3794.8065328962284</v>
      </c>
      <c r="M29" s="110">
        <f>IF(M11=0,0,M11/TrRail_act!M17*1000)</f>
        <v>3806.519772631118</v>
      </c>
      <c r="N29" s="110">
        <f>IF(N11=0,0,N11/TrRail_act!N17*1000)</f>
        <v>3869.310837839495</v>
      </c>
      <c r="O29" s="110">
        <f>IF(O11=0,0,O11/TrRail_act!O17*1000)</f>
        <v>3721.455140369434</v>
      </c>
      <c r="P29" s="110">
        <f>IF(P11=0,0,P11/TrRail_act!P17*1000)</f>
        <v>3669.0470142159602</v>
      </c>
      <c r="Q29" s="110">
        <f>IF(Q11=0,0,Q11/TrRail_act!Q17*1000)</f>
        <v>3531.3811584912914</v>
      </c>
      <c r="R29" s="110">
        <f>IF(R11=0,0,R11/TrRail_act!R17*1000)</f>
        <v>3479.9810137526006</v>
      </c>
      <c r="S29" s="110">
        <f>IF(S11=0,0,S11/TrRail_act!S17*1000)</f>
        <v>3387.3747997272526</v>
      </c>
      <c r="T29" s="110">
        <f>IF(T11=0,0,T11/TrRail_act!T17*1000)</f>
        <v>3249.9124713736664</v>
      </c>
      <c r="U29" s="110">
        <f>IF(U11=0,0,U11/TrRail_act!U17*1000)</f>
        <v>3145.2223562349982</v>
      </c>
      <c r="V29" s="110">
        <f>IF(V11=0,0,V11/TrRail_act!V17*1000)</f>
        <v>2948.0544690754054</v>
      </c>
      <c r="W29" s="110">
        <f>IF(W11=0,0,W11/TrRail_act!W17*1000)</f>
        <v>2746.3275314934363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8353.6484010406639</v>
      </c>
      <c r="C30" s="84">
        <f>IF(C12=0,0,C12/TrRail_act!C18*1000)</f>
        <v>8134.9842059378616</v>
      </c>
      <c r="D30" s="84">
        <f>IF(D12=0,0,D12/TrRail_act!D18*1000)</f>
        <v>7891.9501694599494</v>
      </c>
      <c r="E30" s="84">
        <f>IF(E12=0,0,E12/TrRail_act!E18*1000)</f>
        <v>7563.2050165850078</v>
      </c>
      <c r="F30" s="84">
        <f>IF(F12=0,0,F12/TrRail_act!F18*1000)</f>
        <v>7322.3315961001881</v>
      </c>
      <c r="G30" s="84">
        <f>IF(G12=0,0,G12/TrRail_act!G18*1000)</f>
        <v>7007.580682021613</v>
      </c>
      <c r="H30" s="84">
        <f>IF(H12=0,0,H12/TrRail_act!H18*1000)</f>
        <v>6910.5142827478476</v>
      </c>
      <c r="I30" s="84">
        <f>IF(I12=0,0,I12/TrRail_act!I18*1000)</f>
        <v>6948.4005409898427</v>
      </c>
      <c r="J30" s="84">
        <f>IF(J12=0,0,J12/TrRail_act!J18*1000)</f>
        <v>6816.8737893558246</v>
      </c>
      <c r="K30" s="84">
        <f>IF(K12=0,0,K12/TrRail_act!K18*1000)</f>
        <v>6555.4220443800577</v>
      </c>
      <c r="L30" s="84">
        <f>IF(L12=0,0,L12/TrRail_act!L18*1000)</f>
        <v>6484.214255820214</v>
      </c>
      <c r="M30" s="84">
        <f>IF(M12=0,0,M12/TrRail_act!M18*1000)</f>
        <v>6430.7289524144453</v>
      </c>
      <c r="N30" s="84">
        <f>IF(N12=0,0,N12/TrRail_act!N18*1000)</f>
        <v>6336.6063188415364</v>
      </c>
      <c r="O30" s="84">
        <f>IF(O12=0,0,O12/TrRail_act!O18*1000)</f>
        <v>6168.1131923859512</v>
      </c>
      <c r="P30" s="84">
        <f>IF(P12=0,0,P12/TrRail_act!P18*1000)</f>
        <v>5894.0197762290982</v>
      </c>
      <c r="Q30" s="84">
        <f>IF(Q12=0,0,Q12/TrRail_act!Q18*1000)</f>
        <v>5708.4308743035845</v>
      </c>
      <c r="R30" s="84">
        <f>IF(R12=0,0,R12/TrRail_act!R18*1000)</f>
        <v>5656.6805939784135</v>
      </c>
      <c r="S30" s="84">
        <f>IF(S12=0,0,S12/TrRail_act!S18*1000)</f>
        <v>5561.9847921588116</v>
      </c>
      <c r="T30" s="84">
        <f>IF(T12=0,0,T12/TrRail_act!T18*1000)</f>
        <v>5464.5508346437755</v>
      </c>
      <c r="U30" s="84">
        <f>IF(U12=0,0,U12/TrRail_act!U18*1000)</f>
        <v>5328.6933508323391</v>
      </c>
      <c r="V30" s="84">
        <f>IF(V12=0,0,V12/TrRail_act!V18*1000)</f>
        <v>5229.0201102851106</v>
      </c>
      <c r="W30" s="84">
        <f>IF(W12=0,0,W12/TrRail_act!W18*1000)</f>
        <v>5155.5024664541788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8320.1047669460368</v>
      </c>
      <c r="C33" s="28">
        <f>IF(C15=0,0,C15/TrRail_act!C21*1000)</f>
        <v>7819.3500132606796</v>
      </c>
      <c r="D33" s="28">
        <f>IF(D15=0,0,D15/TrRail_act!D21*1000)</f>
        <v>7594.3165838066034</v>
      </c>
      <c r="E33" s="28">
        <f>IF(E15=0,0,E15/TrRail_act!E21*1000)</f>
        <v>6842.5534522843882</v>
      </c>
      <c r="F33" s="28">
        <f>IF(F15=0,0,F15/TrRail_act!F21*1000)</f>
        <v>6550.6288423188853</v>
      </c>
      <c r="G33" s="28">
        <f>IF(G15=0,0,G15/TrRail_act!G21*1000)</f>
        <v>6279.6011743085355</v>
      </c>
      <c r="H33" s="28">
        <f>IF(H15=0,0,H15/TrRail_act!H21*1000)</f>
        <v>6841.9841579722161</v>
      </c>
      <c r="I33" s="28">
        <f>IF(I15=0,0,I15/TrRail_act!I21*1000)</f>
        <v>6706.3204751743169</v>
      </c>
      <c r="J33" s="28">
        <f>IF(J15=0,0,J15/TrRail_act!J21*1000)</f>
        <v>5573.3974390963949</v>
      </c>
      <c r="K33" s="28">
        <f>IF(K15=0,0,K15/TrRail_act!K21*1000)</f>
        <v>6147.7987612310835</v>
      </c>
      <c r="L33" s="28">
        <f>IF(L15=0,0,L15/TrRail_act!L21*1000)</f>
        <v>6231.1129069404478</v>
      </c>
      <c r="M33" s="28">
        <f>IF(M15=0,0,M15/TrRail_act!M21*1000)</f>
        <v>6336.3304908580039</v>
      </c>
      <c r="N33" s="28">
        <f>IF(N15=0,0,N15/TrRail_act!N21*1000)</f>
        <v>5991.4266568015619</v>
      </c>
      <c r="O33" s="28">
        <f>IF(O15=0,0,O15/TrRail_act!O21*1000)</f>
        <v>6011.5297525484129</v>
      </c>
      <c r="P33" s="28">
        <f>IF(P15=0,0,P15/TrRail_act!P21*1000)</f>
        <v>6369.4739850258775</v>
      </c>
      <c r="Q33" s="28">
        <f>IF(Q15=0,0,Q15/TrRail_act!Q21*1000)</f>
        <v>5942.4420046534879</v>
      </c>
      <c r="R33" s="28">
        <f>IF(R15=0,0,R15/TrRail_act!R21*1000)</f>
        <v>5469.1259857729065</v>
      </c>
      <c r="S33" s="28">
        <f>IF(S15=0,0,S15/TrRail_act!S21*1000)</f>
        <v>5863.1450278712227</v>
      </c>
      <c r="T33" s="28">
        <f>IF(T15=0,0,T15/TrRail_act!T21*1000)</f>
        <v>5466.3311229650399</v>
      </c>
      <c r="U33" s="28">
        <f>IF(U15=0,0,U15/TrRail_act!U21*1000)</f>
        <v>5707.5627738276844</v>
      </c>
      <c r="V33" s="28">
        <f>IF(V15=0,0,V15/TrRail_act!V21*1000)</f>
        <v>4468.7888475605332</v>
      </c>
      <c r="W33" s="28">
        <f>IF(W15=0,0,W15/TrRail_act!W21*1000)</f>
        <v>4203.4733710096116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15469.584606439148</v>
      </c>
      <c r="C34" s="84">
        <f>IF(C16=0,0,C16/TrRail_act!C22*1000)</f>
        <v>15332.397089243332</v>
      </c>
      <c r="D34" s="84">
        <f>IF(D16=0,0,D16/TrRail_act!D22*1000)</f>
        <v>15099.655368400869</v>
      </c>
      <c r="E34" s="84">
        <f>IF(E16=0,0,E16/TrRail_act!E22*1000)</f>
        <v>14755.392675839759</v>
      </c>
      <c r="F34" s="84">
        <f>IF(F16=0,0,F16/TrRail_act!F22*1000)</f>
        <v>14721.576686010845</v>
      </c>
      <c r="G34" s="84">
        <f>IF(G16=0,0,G16/TrRail_act!G22*1000)</f>
        <v>14559.114762075405</v>
      </c>
      <c r="H34" s="84">
        <f>IF(H16=0,0,H16/TrRail_act!H22*1000)</f>
        <v>14169.446945168334</v>
      </c>
      <c r="I34" s="84">
        <f>IF(I16=0,0,I16/TrRail_act!I22*1000)</f>
        <v>14123.576826173756</v>
      </c>
      <c r="J34" s="84">
        <f>IF(J16=0,0,J16/TrRail_act!J22*1000)</f>
        <v>13644.949911031754</v>
      </c>
      <c r="K34" s="84">
        <f>IF(K16=0,0,K16/TrRail_act!K22*1000)</f>
        <v>13305.239789259807</v>
      </c>
      <c r="L34" s="84">
        <f>IF(L16=0,0,L16/TrRail_act!L22*1000)</f>
        <v>13176.830450260162</v>
      </c>
      <c r="M34" s="84">
        <f>IF(M16=0,0,M16/TrRail_act!M22*1000)</f>
        <v>12892.886586933388</v>
      </c>
      <c r="N34" s="84">
        <f>IF(N16=0,0,N16/TrRail_act!N22*1000)</f>
        <v>12753.424281995949</v>
      </c>
      <c r="O34" s="84">
        <f>IF(O16=0,0,O16/TrRail_act!O22*1000)</f>
        <v>12457.584421533969</v>
      </c>
      <c r="P34" s="84">
        <f>IF(P16=0,0,P16/TrRail_act!P22*1000)</f>
        <v>12085.64420991614</v>
      </c>
      <c r="Q34" s="84">
        <f>IF(Q16=0,0,Q16/TrRail_act!Q22*1000)</f>
        <v>11959.91430266138</v>
      </c>
      <c r="R34" s="84">
        <f>IF(R16=0,0,R16/TrRail_act!R22*1000)</f>
        <v>11688.478853202403</v>
      </c>
      <c r="S34" s="84">
        <f>IF(S16=0,0,S16/TrRail_act!S22*1000)</f>
        <v>11488.933189128571</v>
      </c>
      <c r="T34" s="84">
        <f>IF(T16=0,0,T16/TrRail_act!T22*1000)</f>
        <v>11341.52547760712</v>
      </c>
      <c r="U34" s="84">
        <f>IF(U16=0,0,U16/TrRail_act!U22*1000)</f>
        <v>11232.213425550706</v>
      </c>
      <c r="V34" s="84">
        <f>IF(V16=0,0,V16/TrRail_act!V22*1000)</f>
        <v>11150.918517178134</v>
      </c>
      <c r="W34" s="84">
        <f>IF(W16=0,0,W16/TrRail_act!W22*1000)</f>
        <v>11090.359216526986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35.680487776630329</v>
      </c>
      <c r="C38" s="29">
        <f>IF(C9=0,0,C9/TrRail_act!C4*1000)</f>
        <v>32.096106668306632</v>
      </c>
      <c r="D38" s="29">
        <f>IF(D9=0,0,D9/TrRail_act!D4*1000)</f>
        <v>32.467172005604176</v>
      </c>
      <c r="E38" s="29">
        <f>IF(E9=0,0,E9/TrRail_act!E4*1000)</f>
        <v>33.071814756661581</v>
      </c>
      <c r="F38" s="29">
        <f>IF(F9=0,0,F9/TrRail_act!F4*1000)</f>
        <v>31.071853186107642</v>
      </c>
      <c r="G38" s="29">
        <f>IF(G9=0,0,G9/TrRail_act!G4*1000)</f>
        <v>33.749351885108972</v>
      </c>
      <c r="H38" s="29">
        <f>IF(H9=0,0,H9/TrRail_act!H4*1000)</f>
        <v>32.561656621729639</v>
      </c>
      <c r="I38" s="29">
        <f>IF(I9=0,0,I9/TrRail_act!I4*1000)</f>
        <v>32.530650340189538</v>
      </c>
      <c r="J38" s="29">
        <f>IF(J9=0,0,J9/TrRail_act!J4*1000)</f>
        <v>33.452017791750023</v>
      </c>
      <c r="K38" s="29">
        <f>IF(K9=0,0,K9/TrRail_act!K4*1000)</f>
        <v>33.18833836000254</v>
      </c>
      <c r="L38" s="29">
        <f>IF(L9=0,0,L9/TrRail_act!L4*1000)</f>
        <v>33.157128110538643</v>
      </c>
      <c r="M38" s="29">
        <f>IF(M9=0,0,M9/TrRail_act!M4*1000)</f>
        <v>33.200011417588563</v>
      </c>
      <c r="N38" s="29">
        <f>IF(N9=0,0,N9/TrRail_act!N4*1000)</f>
        <v>33.30475151406921</v>
      </c>
      <c r="O38" s="29">
        <f>IF(O9=0,0,O9/TrRail_act!O4*1000)</f>
        <v>32.472043203530376</v>
      </c>
      <c r="P38" s="29">
        <f>IF(P9=0,0,P9/TrRail_act!P4*1000)</f>
        <v>33.174593947884588</v>
      </c>
      <c r="Q38" s="29">
        <f>IF(Q9=0,0,Q9/TrRail_act!Q4*1000)</f>
        <v>32.32338308812411</v>
      </c>
      <c r="R38" s="29">
        <f>IF(R9=0,0,R9/TrRail_act!R4*1000)</f>
        <v>33.908133490469908</v>
      </c>
      <c r="S38" s="29">
        <f>IF(S9=0,0,S9/TrRail_act!S4*1000)</f>
        <v>32.925557633850644</v>
      </c>
      <c r="T38" s="29">
        <f>IF(T9=0,0,T9/TrRail_act!T4*1000)</f>
        <v>30.646740970906841</v>
      </c>
      <c r="U38" s="29">
        <f>IF(U9=0,0,U9/TrRail_act!U4*1000)</f>
        <v>30.726002182093048</v>
      </c>
      <c r="V38" s="29">
        <f>IF(V9=0,0,V9/TrRail_act!V4*1000)</f>
        <v>41.683750613554075</v>
      </c>
      <c r="W38" s="29">
        <f>IF(W9=0,0,W9/TrRail_act!W4*1000)</f>
        <v>37.316730774770392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35.680487776630329</v>
      </c>
      <c r="C40" s="116">
        <f>IF(C11=0,0,C11/TrRail_act!C6*1000)</f>
        <v>32.096106668306632</v>
      </c>
      <c r="D40" s="116">
        <f>IF(D11=0,0,D11/TrRail_act!D6*1000)</f>
        <v>32.518034416056828</v>
      </c>
      <c r="E40" s="116">
        <f>IF(E11=0,0,E11/TrRail_act!E6*1000)</f>
        <v>33.45214630295343</v>
      </c>
      <c r="F40" s="116">
        <f>IF(F11=0,0,F11/TrRail_act!F6*1000)</f>
        <v>31.740739363003332</v>
      </c>
      <c r="G40" s="116">
        <f>IF(G11=0,0,G11/TrRail_act!G6*1000)</f>
        <v>34.664550245568904</v>
      </c>
      <c r="H40" s="116">
        <f>IF(H11=0,0,H11/TrRail_act!H6*1000)</f>
        <v>33.435651987681133</v>
      </c>
      <c r="I40" s="116">
        <f>IF(I11=0,0,I11/TrRail_act!I6*1000)</f>
        <v>33.462956867102349</v>
      </c>
      <c r="J40" s="116">
        <f>IF(J11=0,0,J11/TrRail_act!J6*1000)</f>
        <v>34.490734904710415</v>
      </c>
      <c r="K40" s="116">
        <f>IF(K11=0,0,K11/TrRail_act!K6*1000)</f>
        <v>34.348203891114458</v>
      </c>
      <c r="L40" s="116">
        <f>IF(L11=0,0,L11/TrRail_act!L6*1000)</f>
        <v>34.407452127329222</v>
      </c>
      <c r="M40" s="116">
        <f>IF(M11=0,0,M11/TrRail_act!M6*1000)</f>
        <v>34.650066904484021</v>
      </c>
      <c r="N40" s="116">
        <f>IF(N11=0,0,N11/TrRail_act!N6*1000)</f>
        <v>34.705012664116005</v>
      </c>
      <c r="O40" s="116">
        <f>IF(O11=0,0,O11/TrRail_act!O6*1000)</f>
        <v>33.879776415223652</v>
      </c>
      <c r="P40" s="116">
        <f>IF(P11=0,0,P11/TrRail_act!P6*1000)</f>
        <v>34.677204912820244</v>
      </c>
      <c r="Q40" s="116">
        <f>IF(Q11=0,0,Q11/TrRail_act!Q6*1000)</f>
        <v>33.823792201652161</v>
      </c>
      <c r="R40" s="116">
        <f>IF(R11=0,0,R11/TrRail_act!R6*1000)</f>
        <v>35.627102355037323</v>
      </c>
      <c r="S40" s="116">
        <f>IF(S11=0,0,S11/TrRail_act!S6*1000)</f>
        <v>34.713394441675973</v>
      </c>
      <c r="T40" s="116">
        <f>IF(T11=0,0,T11/TrRail_act!T6*1000)</f>
        <v>32.38752729037742</v>
      </c>
      <c r="U40" s="116">
        <f>IF(U11=0,0,U11/TrRail_act!U6*1000)</f>
        <v>32.716672877401962</v>
      </c>
      <c r="V40" s="116">
        <f>IF(V11=0,0,V11/TrRail_act!V6*1000)</f>
        <v>44.741264300690403</v>
      </c>
      <c r="W40" s="116">
        <f>IF(W11=0,0,W11/TrRail_act!W6*1000)</f>
        <v>40.271009149907677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72.035167541252633</v>
      </c>
      <c r="C41" s="87">
        <f>IF(C12=0,0,C12/TrRail_act!C7*1000)</f>
        <v>66.250278853155038</v>
      </c>
      <c r="D41" s="87">
        <f>IF(D12=0,0,D12/TrRail_act!D7*1000)</f>
        <v>67.954333829674269</v>
      </c>
      <c r="E41" s="87">
        <f>IF(E12=0,0,E12/TrRail_act!E7*1000)</f>
        <v>67.7374323806322</v>
      </c>
      <c r="F41" s="87">
        <f>IF(F12=0,0,F12/TrRail_act!F7*1000)</f>
        <v>64.840299904510303</v>
      </c>
      <c r="G41" s="87">
        <f>IF(G12=0,0,G12/TrRail_act!G7*1000)</f>
        <v>62.825541341002435</v>
      </c>
      <c r="H41" s="87">
        <f>IF(H12=0,0,H12/TrRail_act!H7*1000)</f>
        <v>59.305583580530907</v>
      </c>
      <c r="I41" s="87">
        <f>IF(I12=0,0,I12/TrRail_act!I7*1000)</f>
        <v>59.750946239659548</v>
      </c>
      <c r="J41" s="87">
        <f>IF(J12=0,0,J12/TrRail_act!J7*1000)</f>
        <v>60.714565007979779</v>
      </c>
      <c r="K41" s="87">
        <f>IF(K12=0,0,K12/TrRail_act!K7*1000)</f>
        <v>61.644675022235305</v>
      </c>
      <c r="L41" s="87">
        <f>IF(L12=0,0,L12/TrRail_act!L7*1000)</f>
        <v>62.032178376170137</v>
      </c>
      <c r="M41" s="87">
        <f>IF(M12=0,0,M12/TrRail_act!M7*1000)</f>
        <v>61.254574301157355</v>
      </c>
      <c r="N41" s="87">
        <f>IF(N12=0,0,N12/TrRail_act!N7*1000)</f>
        <v>60.792185284746047</v>
      </c>
      <c r="O41" s="87">
        <f>IF(O12=0,0,O12/TrRail_act!O7*1000)</f>
        <v>58.499975018228191</v>
      </c>
      <c r="P41" s="87">
        <f>IF(P12=0,0,P12/TrRail_act!P7*1000)</f>
        <v>59.245924408184855</v>
      </c>
      <c r="Q41" s="87">
        <f>IF(Q12=0,0,Q12/TrRail_act!Q7*1000)</f>
        <v>58.571309502039533</v>
      </c>
      <c r="R41" s="87">
        <f>IF(R12=0,0,R12/TrRail_act!R7*1000)</f>
        <v>62.015595537468187</v>
      </c>
      <c r="S41" s="87">
        <f>IF(S12=0,0,S12/TrRail_act!S7*1000)</f>
        <v>60.440750650258487</v>
      </c>
      <c r="T41" s="87">
        <f>IF(T12=0,0,T12/TrRail_act!T7*1000)</f>
        <v>64.620534272582702</v>
      </c>
      <c r="U41" s="87">
        <f>IF(U12=0,0,U12/TrRail_act!U7*1000)</f>
        <v>65.325410827885037</v>
      </c>
      <c r="V41" s="87">
        <f>IF(V12=0,0,V12/TrRail_act!V7*1000)</f>
        <v>90.017470022037756</v>
      </c>
      <c r="W41" s="87">
        <f>IF(W12=0,0,W12/TrRail_act!W7*1000)</f>
        <v>89.058797080622398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14.938360089282872</v>
      </c>
      <c r="C44" s="29">
        <f>IF(C15=0,0,C15/TrRail_act!C10*1000)</f>
        <v>13.568027350845394</v>
      </c>
      <c r="D44" s="29">
        <f>IF(D15=0,0,D15/TrRail_act!D10*1000)</f>
        <v>13.413139967902804</v>
      </c>
      <c r="E44" s="29">
        <f>IF(E15=0,0,E15/TrRail_act!E10*1000)</f>
        <v>11.802878871029399</v>
      </c>
      <c r="F44" s="29">
        <f>IF(F15=0,0,F15/TrRail_act!F10*1000)</f>
        <v>11.385800218691152</v>
      </c>
      <c r="G44" s="29">
        <f>IF(G15=0,0,G15/TrRail_act!G10*1000)</f>
        <v>12.090615988345842</v>
      </c>
      <c r="H44" s="29">
        <f>IF(H15=0,0,H15/TrRail_act!H10*1000)</f>
        <v>12.431927249084696</v>
      </c>
      <c r="I44" s="29">
        <f>IF(I15=0,0,I15/TrRail_act!I10*1000)</f>
        <v>11.886350977389448</v>
      </c>
      <c r="J44" s="29">
        <f>IF(J15=0,0,J15/TrRail_act!J10*1000)</f>
        <v>11.095040663675569</v>
      </c>
      <c r="K44" s="29">
        <f>IF(K15=0,0,K15/TrRail_act!K10*1000)</f>
        <v>11.568782365802258</v>
      </c>
      <c r="L44" s="29">
        <f>IF(L15=0,0,L15/TrRail_act!L10*1000)</f>
        <v>11.415398381861271</v>
      </c>
      <c r="M44" s="29">
        <f>IF(M15=0,0,M15/TrRail_act!M10*1000)</f>
        <v>11.252453493863497</v>
      </c>
      <c r="N44" s="29">
        <f>IF(N15=0,0,N15/TrRail_act!N10*1000)</f>
        <v>10.442941943791038</v>
      </c>
      <c r="O44" s="29">
        <f>IF(O15=0,0,O15/TrRail_act!O10*1000)</f>
        <v>10.147461667566297</v>
      </c>
      <c r="P44" s="29">
        <f>IF(P15=0,0,P15/TrRail_act!P10*1000)</f>
        <v>11.118220156054514</v>
      </c>
      <c r="Q44" s="29">
        <f>IF(Q15=0,0,Q15/TrRail_act!Q10*1000)</f>
        <v>10.981406936631213</v>
      </c>
      <c r="R44" s="29">
        <f>IF(R15=0,0,R15/TrRail_act!R10*1000)</f>
        <v>10.794035400574812</v>
      </c>
      <c r="S44" s="29">
        <f>IF(S15=0,0,S15/TrRail_act!S10*1000)</f>
        <v>9.9087344690067329</v>
      </c>
      <c r="T44" s="29">
        <f>IF(T15=0,0,T15/TrRail_act!T10*1000)</f>
        <v>9.1155130692101469</v>
      </c>
      <c r="U44" s="29">
        <f>IF(U15=0,0,U15/TrRail_act!U10*1000)</f>
        <v>8.6919070316515974</v>
      </c>
      <c r="V44" s="29">
        <f>IF(V15=0,0,V15/TrRail_act!V10*1000)</f>
        <v>8.3268919082774655</v>
      </c>
      <c r="W44" s="29">
        <f>IF(W15=0,0,W15/TrRail_act!W10*1000)</f>
        <v>8.251000656715016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26.554704632714415</v>
      </c>
      <c r="C45" s="87">
        <f>IF(C16=0,0,C16/TrRail_act!C11*1000)</f>
        <v>24.613235040927535</v>
      </c>
      <c r="D45" s="87">
        <f>IF(D16=0,0,D16/TrRail_act!D11*1000)</f>
        <v>24.655886380234254</v>
      </c>
      <c r="E45" s="87">
        <f>IF(E16=0,0,E16/TrRail_act!E11*1000)</f>
        <v>21.318022058129685</v>
      </c>
      <c r="F45" s="87">
        <f>IF(F16=0,0,F16/TrRail_act!F11*1000)</f>
        <v>20.938840511418228</v>
      </c>
      <c r="G45" s="87">
        <f>IF(G16=0,0,G16/TrRail_act!G11*1000)</f>
        <v>21.863434910391717</v>
      </c>
      <c r="H45" s="87">
        <f>IF(H16=0,0,H16/TrRail_act!H11*1000)</f>
        <v>22.587687035227603</v>
      </c>
      <c r="I45" s="87">
        <f>IF(I16=0,0,I16/TrRail_act!I11*1000)</f>
        <v>21.262833303172371</v>
      </c>
      <c r="J45" s="87">
        <f>IF(J16=0,0,J16/TrRail_act!J11*1000)</f>
        <v>19.954420034398986</v>
      </c>
      <c r="K45" s="87">
        <f>IF(K16=0,0,K16/TrRail_act!K11*1000)</f>
        <v>21.240035112549524</v>
      </c>
      <c r="L45" s="87">
        <f>IF(L16=0,0,L16/TrRail_act!L11*1000)</f>
        <v>20.769035851337129</v>
      </c>
      <c r="M45" s="87">
        <f>IF(M16=0,0,M16/TrRail_act!M11*1000)</f>
        <v>20.220829895262124</v>
      </c>
      <c r="N45" s="87">
        <f>IF(N16=0,0,N16/TrRail_act!N11*1000)</f>
        <v>18.605857936759914</v>
      </c>
      <c r="O45" s="87">
        <f>IF(O16=0,0,O16/TrRail_act!O11*1000)</f>
        <v>18.156610305527231</v>
      </c>
      <c r="P45" s="87">
        <f>IF(P16=0,0,P16/TrRail_act!P11*1000)</f>
        <v>19.74055023733851</v>
      </c>
      <c r="Q45" s="87">
        <f>IF(Q16=0,0,Q16/TrRail_act!Q11*1000)</f>
        <v>19.763341339984528</v>
      </c>
      <c r="R45" s="87">
        <f>IF(R16=0,0,R16/TrRail_act!R11*1000)</f>
        <v>19.585452287386545</v>
      </c>
      <c r="S45" s="87">
        <f>IF(S16=0,0,S16/TrRail_act!S11*1000)</f>
        <v>18.053465612225018</v>
      </c>
      <c r="T45" s="87">
        <f>IF(T16=0,0,T16/TrRail_act!T11*1000)</f>
        <v>16.987911855054449</v>
      </c>
      <c r="U45" s="87">
        <f>IF(U16=0,0,U16/TrRail_act!U11*1000)</f>
        <v>16.31648001479271</v>
      </c>
      <c r="V45" s="87">
        <f>IF(V16=0,0,V16/TrRail_act!V11*1000)</f>
        <v>16.473200177149941</v>
      </c>
      <c r="W45" s="87">
        <f>IF(W16=0,0,W16/TrRail_act!W11*1000)</f>
        <v>17.102745915746716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754.73382343344315</v>
      </c>
      <c r="C48" s="62">
        <f>IF(C8=0,0,1000000*C8/TrRail_act!C25/1000)</f>
        <v>715.12390601815889</v>
      </c>
      <c r="D48" s="62">
        <f>IF(D8=0,0,1000000*D8/TrRail_act!D25/1000)</f>
        <v>676.47190067806412</v>
      </c>
      <c r="E48" s="62">
        <f>IF(E8=0,0,1000000*E8/TrRail_act!E25/1000)</f>
        <v>665.49851801919579</v>
      </c>
      <c r="F48" s="62">
        <f>IF(F8=0,0,1000000*F8/TrRail_act!F25/1000)</f>
        <v>630.1038642713861</v>
      </c>
      <c r="G48" s="62">
        <f>IF(G8=0,0,1000000*G8/TrRail_act!G25/1000)</f>
        <v>618.40014983582205</v>
      </c>
      <c r="H48" s="62">
        <f>IF(H8=0,0,1000000*H8/TrRail_act!H25/1000)</f>
        <v>601.19386625767061</v>
      </c>
      <c r="I48" s="62">
        <f>IF(I8=0,0,1000000*I8/TrRail_act!I25/1000)</f>
        <v>612.79271224479351</v>
      </c>
      <c r="J48" s="62">
        <f>IF(J8=0,0,1000000*J8/TrRail_act!J25/1000)</f>
        <v>597.33835713584733</v>
      </c>
      <c r="K48" s="62">
        <f>IF(K8=0,0,1000000*K8/TrRail_act!K25/1000)</f>
        <v>555.36690529039038</v>
      </c>
      <c r="L48" s="62">
        <f>IF(L8=0,0,1000000*L8/TrRail_act!L25/1000)</f>
        <v>565.20537995948814</v>
      </c>
      <c r="M48" s="62">
        <f>IF(M8=0,0,1000000*M8/TrRail_act!M25/1000)</f>
        <v>566.21433946049035</v>
      </c>
      <c r="N48" s="62">
        <f>IF(N8=0,0,1000000*N8/TrRail_act!N25/1000)</f>
        <v>564.16285222312979</v>
      </c>
      <c r="O48" s="62">
        <f>IF(O8=0,0,1000000*O8/TrRail_act!O25/1000)</f>
        <v>547.49231768364689</v>
      </c>
      <c r="P48" s="62">
        <f>IF(P8=0,0,1000000*P8/TrRail_act!P25/1000)</f>
        <v>543.65326780527027</v>
      </c>
      <c r="Q48" s="62">
        <f>IF(Q8=0,0,1000000*Q8/TrRail_act!Q25/1000)</f>
        <v>524.5679747427813</v>
      </c>
      <c r="R48" s="62">
        <f>IF(R8=0,0,1000000*R8/TrRail_act!R25/1000)</f>
        <v>512.96293187766287</v>
      </c>
      <c r="S48" s="62">
        <f>IF(S8=0,0,1000000*S8/TrRail_act!S25/1000)</f>
        <v>496.11512127995331</v>
      </c>
      <c r="T48" s="62">
        <f>IF(T8=0,0,1000000*T8/TrRail_act!T25/1000)</f>
        <v>472.01500373489557</v>
      </c>
      <c r="U48" s="62">
        <f>IF(U8=0,0,1000000*U8/TrRail_act!U25/1000)</f>
        <v>452.10205594488627</v>
      </c>
      <c r="V48" s="62">
        <f>IF(V8=0,0,1000000*V8/TrRail_act!V25/1000)</f>
        <v>409.86120993840507</v>
      </c>
      <c r="W48" s="62">
        <f>IF(W8=0,0,1000000*W8/TrRail_act!W25/1000)</f>
        <v>385.12704834941616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696.46154404762763</v>
      </c>
      <c r="C49" s="29">
        <f>IF(C9=0,0,1000000*C9/TrRail_act!C26/1000)</f>
        <v>659.79729099234044</v>
      </c>
      <c r="D49" s="29">
        <f>IF(D9=0,0,1000000*D9/TrRail_act!D26/1000)</f>
        <v>629.42614987344575</v>
      </c>
      <c r="E49" s="29">
        <f>IF(E9=0,0,1000000*E9/TrRail_act!E26/1000)</f>
        <v>626.79133124366444</v>
      </c>
      <c r="F49" s="29">
        <f>IF(F9=0,0,1000000*F9/TrRail_act!F26/1000)</f>
        <v>587.41160162097412</v>
      </c>
      <c r="G49" s="29">
        <f>IF(G9=0,0,1000000*G9/TrRail_act!G26/1000)</f>
        <v>584.18884645266405</v>
      </c>
      <c r="H49" s="29">
        <f>IF(H9=0,0,1000000*H9/TrRail_act!H26/1000)</f>
        <v>566.44404307246248</v>
      </c>
      <c r="I49" s="29">
        <f>IF(I9=0,0,1000000*I9/TrRail_act!I26/1000)</f>
        <v>581.93428736048054</v>
      </c>
      <c r="J49" s="29">
        <f>IF(J9=0,0,1000000*J9/TrRail_act!J26/1000)</f>
        <v>571.96517091268356</v>
      </c>
      <c r="K49" s="29">
        <f>IF(K9=0,0,1000000*K9/TrRail_act!K26/1000)</f>
        <v>530.44682357124816</v>
      </c>
      <c r="L49" s="29">
        <f>IF(L9=0,0,1000000*L9/TrRail_act!L26/1000)</f>
        <v>531.18430114036778</v>
      </c>
      <c r="M49" s="29">
        <f>IF(M9=0,0,1000000*M9/TrRail_act!M26/1000)</f>
        <v>527.30995448443662</v>
      </c>
      <c r="N49" s="29">
        <f>IF(N9=0,0,1000000*N9/TrRail_act!N26/1000)</f>
        <v>536.36863054196056</v>
      </c>
      <c r="O49" s="29">
        <f>IF(O9=0,0,1000000*O9/TrRail_act!O26/1000)</f>
        <v>516.02419526948574</v>
      </c>
      <c r="P49" s="29">
        <f>IF(P9=0,0,1000000*P9/TrRail_act!P26/1000)</f>
        <v>508.45713421544639</v>
      </c>
      <c r="Q49" s="29">
        <f>IF(Q9=0,0,1000000*Q9/TrRail_act!Q26/1000)</f>
        <v>489.07881580234573</v>
      </c>
      <c r="R49" s="29">
        <f>IF(R9=0,0,1000000*R9/TrRail_act!R26/1000)</f>
        <v>480.99145132742194</v>
      </c>
      <c r="S49" s="29">
        <f>IF(S9=0,0,1000000*S9/TrRail_act!S26/1000)</f>
        <v>465.74708307400022</v>
      </c>
      <c r="T49" s="29">
        <f>IF(T9=0,0,1000000*T9/TrRail_act!T26/1000)</f>
        <v>443.26728946434656</v>
      </c>
      <c r="U49" s="29">
        <f>IF(U9=0,0,1000000*U9/TrRail_act!U26/1000)</f>
        <v>425.83509051452279</v>
      </c>
      <c r="V49" s="29">
        <f>IF(V9=0,0,1000000*V9/TrRail_act!V26/1000)</f>
        <v>385.69433564493443</v>
      </c>
      <c r="W49" s="29">
        <f>IF(W9=0,0,1000000*W9/TrRail_act!W26/1000)</f>
        <v>367.0429136419786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696.46154404762763</v>
      </c>
      <c r="C51" s="116">
        <f>IF(C11=0,0,1000000*C11/TrRail_act!C28/1000)</f>
        <v>659.79729099234044</v>
      </c>
      <c r="D51" s="116">
        <f>IF(D11=0,0,1000000*D11/TrRail_act!D28/1000)</f>
        <v>631.53622372381778</v>
      </c>
      <c r="E51" s="116">
        <f>IF(E11=0,0,1000000*E11/TrRail_act!E28/1000)</f>
        <v>642.53012161253059</v>
      </c>
      <c r="F51" s="116">
        <f>IF(F11=0,0,1000000*F11/TrRail_act!F28/1000)</f>
        <v>615.27636248522231</v>
      </c>
      <c r="G51" s="116">
        <f>IF(G11=0,0,1000000*G11/TrRail_act!G28/1000)</f>
        <v>616.59011178422213</v>
      </c>
      <c r="H51" s="116">
        <f>IF(H11=0,0,1000000*H11/TrRail_act!H28/1000)</f>
        <v>597.68517093976493</v>
      </c>
      <c r="I51" s="116">
        <f>IF(I11=0,0,1000000*I11/TrRail_act!I28/1000)</f>
        <v>617.04063123189826</v>
      </c>
      <c r="J51" s="116">
        <f>IF(J11=0,0,1000000*J11/TrRail_act!J28/1000)</f>
        <v>607.85778640687647</v>
      </c>
      <c r="K51" s="116">
        <f>IF(K11=0,0,1000000*K11/TrRail_act!K28/1000)</f>
        <v>565.6554233916753</v>
      </c>
      <c r="L51" s="116">
        <f>IF(L11=0,0,1000000*L11/TrRail_act!L28/1000)</f>
        <v>569.2209779517076</v>
      </c>
      <c r="M51" s="116">
        <f>IF(M11=0,0,1000000*M11/TrRail_act!M28/1000)</f>
        <v>570.97796468362662</v>
      </c>
      <c r="N51" s="116">
        <f>IF(N11=0,0,1000000*N11/TrRail_act!N28/1000)</f>
        <v>580.39662365082017</v>
      </c>
      <c r="O51" s="116">
        <f>IF(O11=0,0,1000000*O11/TrRail_act!O28/1000)</f>
        <v>558.21826872979534</v>
      </c>
      <c r="P51" s="116">
        <f>IF(P11=0,0,1000000*P11/TrRail_act!P28/1000)</f>
        <v>550.35705108140644</v>
      </c>
      <c r="Q51" s="116">
        <f>IF(Q11=0,0,1000000*Q11/TrRail_act!Q28/1000)</f>
        <v>529.70717291815004</v>
      </c>
      <c r="R51" s="116">
        <f>IF(R11=0,0,1000000*R11/TrRail_act!R28/1000)</f>
        <v>521.9971503257857</v>
      </c>
      <c r="S51" s="116">
        <f>IF(S11=0,0,1000000*S11/TrRail_act!S28/1000)</f>
        <v>508.1062187595403</v>
      </c>
      <c r="T51" s="116">
        <f>IF(T11=0,0,1000000*T11/TrRail_act!T28/1000)</f>
        <v>486.69063278288871</v>
      </c>
      <c r="U51" s="116">
        <f>IF(U11=0,0,1000000*U11/TrRail_act!U28/1000)</f>
        <v>471.78335245653597</v>
      </c>
      <c r="V51" s="116">
        <f>IF(V11=0,0,1000000*V11/TrRail_act!V28/1000)</f>
        <v>429.07898760641319</v>
      </c>
      <c r="W51" s="116">
        <f>IF(W11=0,0,1000000*W11/TrRail_act!W28/1000)</f>
        <v>408.49948573186026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1253.0472551628759</v>
      </c>
      <c r="C52" s="87">
        <f>IF(C12=0,0,1000000*C12/TrRail_act!C29/1000)</f>
        <v>1220.2476306477158</v>
      </c>
      <c r="D52" s="87">
        <f>IF(D12=0,0,1000000*D12/TrRail_act!D29/1000)</f>
        <v>1183.7925207621963</v>
      </c>
      <c r="E52" s="87">
        <f>IF(E12=0,0,1000000*E12/TrRail_act!E29/1000)</f>
        <v>1134.480751349719</v>
      </c>
      <c r="F52" s="87">
        <f>IF(F12=0,0,1000000*F12/TrRail_act!F29/1000)</f>
        <v>1098.3497390199941</v>
      </c>
      <c r="G52" s="87">
        <f>IF(G12=0,0,1000000*G12/TrRail_act!G29/1000)</f>
        <v>1051.1370998476011</v>
      </c>
      <c r="H52" s="87">
        <f>IF(H12=0,0,1000000*H12/TrRail_act!H29/1000)</f>
        <v>1036.5771378564982</v>
      </c>
      <c r="I52" s="87">
        <f>IF(I12=0,0,1000000*I12/TrRail_act!I29/1000)</f>
        <v>1042.2600795624451</v>
      </c>
      <c r="J52" s="87">
        <f>IF(J12=0,0,1000000*J12/TrRail_act!J29/1000)</f>
        <v>1022.5310670356562</v>
      </c>
      <c r="K52" s="87">
        <f>IF(K12=0,0,1000000*K12/TrRail_act!K29/1000)</f>
        <v>983.3133062314065</v>
      </c>
      <c r="L52" s="87">
        <f>IF(L12=0,0,1000000*L12/TrRail_act!L29/1000)</f>
        <v>972.63213470241374</v>
      </c>
      <c r="M52" s="87">
        <f>IF(M12=0,0,1000000*M12/TrRail_act!M29/1000)</f>
        <v>964.60934085238</v>
      </c>
      <c r="N52" s="87">
        <f>IF(N12=0,0,1000000*N12/TrRail_act!N29/1000)</f>
        <v>950.49094622808036</v>
      </c>
      <c r="O52" s="87">
        <f>IF(O12=0,0,1000000*O12/TrRail_act!O29/1000)</f>
        <v>925.21697562303893</v>
      </c>
      <c r="P52" s="87">
        <f>IF(P12=0,0,1000000*P12/TrRail_act!P29/1000)</f>
        <v>884.102964319384</v>
      </c>
      <c r="Q52" s="87">
        <f>IF(Q12=0,0,1000000*Q12/TrRail_act!Q29/1000)</f>
        <v>856.26463095434531</v>
      </c>
      <c r="R52" s="87">
        <f>IF(R12=0,0,1000000*R12/TrRail_act!R29/1000)</f>
        <v>848.50208725758205</v>
      </c>
      <c r="S52" s="87">
        <f>IF(S12=0,0,1000000*S12/TrRail_act!S29/1000)</f>
        <v>834.29771691270741</v>
      </c>
      <c r="T52" s="87">
        <f>IF(T12=0,0,1000000*T12/TrRail_act!T29/1000)</f>
        <v>817.43395931227951</v>
      </c>
      <c r="U52" s="87">
        <f>IF(U12=0,0,1000000*U12/TrRail_act!U29/1000)</f>
        <v>799.30400098395364</v>
      </c>
      <c r="V52" s="87">
        <f>IF(V12=0,0,1000000*V12/TrRail_act!V29/1000)</f>
        <v>743.97512271843607</v>
      </c>
      <c r="W52" s="87">
        <f>IF(W12=0,0,1000000*W12/TrRail_act!W29/1000)</f>
        <v>761.25743774257069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1664.0207983653754</v>
      </c>
      <c r="C55" s="29">
        <f>IF(C15=0,0,1000000*C15/TrRail_act!C32/1000)</f>
        <v>1563.8699627838337</v>
      </c>
      <c r="D55" s="29">
        <f>IF(D15=0,0,1000000*D15/TrRail_act!D32/1000)</f>
        <v>1518.8631974300922</v>
      </c>
      <c r="E55" s="29">
        <f>IF(E15=0,0,1000000*E15/TrRail_act!E32/1000)</f>
        <v>1368.5106334667137</v>
      </c>
      <c r="F55" s="29">
        <f>IF(F15=0,0,1000000*F15/TrRail_act!F32/1000)</f>
        <v>1310.12571550809</v>
      </c>
      <c r="G55" s="29">
        <f>IF(G15=0,0,1000000*G15/TrRail_act!G32/1000)</f>
        <v>1255.9201314810491</v>
      </c>
      <c r="H55" s="29">
        <f>IF(H15=0,0,1000000*H15/TrRail_act!H32/1000)</f>
        <v>1286.8789318176941</v>
      </c>
      <c r="I55" s="29">
        <f>IF(I15=0,0,1000000*I15/TrRail_act!I32/1000)</f>
        <v>1272.0378809454612</v>
      </c>
      <c r="J55" s="29">
        <f>IF(J15=0,0,1000000*J15/TrRail_act!J32/1000)</f>
        <v>1114.679440574042</v>
      </c>
      <c r="K55" s="29">
        <f>IF(K15=0,0,1000000*K15/TrRail_act!K32/1000)</f>
        <v>1121.4266421094917</v>
      </c>
      <c r="L55" s="29">
        <f>IF(L15=0,0,1000000*L15/TrRail_act!L32/1000)</f>
        <v>1246.2224700069296</v>
      </c>
      <c r="M55" s="29">
        <f>IF(M15=0,0,1000000*M15/TrRail_act!M32/1000)</f>
        <v>1267.2660742670419</v>
      </c>
      <c r="N55" s="29">
        <f>IF(N15=0,0,1000000*N15/TrRail_act!N32/1000)</f>
        <v>1112.0193975176117</v>
      </c>
      <c r="O55" s="29">
        <f>IF(O15=0,0,1000000*O15/TrRail_act!O32/1000)</f>
        <v>1202.3058847827369</v>
      </c>
      <c r="P55" s="29">
        <f>IF(P15=0,0,1000000*P15/TrRail_act!P32/1000)</f>
        <v>1273.8947708788016</v>
      </c>
      <c r="Q55" s="29">
        <f>IF(Q15=0,0,1000000*Q15/TrRail_act!Q32/1000)</f>
        <v>1188.4883152136499</v>
      </c>
      <c r="R55" s="29">
        <f>IF(R15=0,0,1000000*R15/TrRail_act!R32/1000)</f>
        <v>1093.8251394921895</v>
      </c>
      <c r="S55" s="29">
        <f>IF(S15=0,0,1000000*S15/TrRail_act!S32/1000)</f>
        <v>1080.1885501215122</v>
      </c>
      <c r="T55" s="29">
        <f>IF(T15=0,0,1000000*T15/TrRail_act!T32/1000)</f>
        <v>1050.0549749177605</v>
      </c>
      <c r="U55" s="29">
        <f>IF(U15=0,0,1000000*U15/TrRail_act!U32/1000)</f>
        <v>1045.8343140196603</v>
      </c>
      <c r="V55" s="29">
        <f>IF(V15=0,0,1000000*V15/TrRail_act!V32/1000)</f>
        <v>893.75772257631274</v>
      </c>
      <c r="W55" s="29">
        <f>IF(W15=0,0,1000000*W15/TrRail_act!W32/1000)</f>
        <v>780.00906148012825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3093.9166575177092</v>
      </c>
      <c r="C56" s="87">
        <f>IF(C16=0,0,1000000*C16/TrRail_act!C33/1000)</f>
        <v>3066.4793742922634</v>
      </c>
      <c r="D56" s="87">
        <f>IF(D16=0,0,1000000*D16/TrRail_act!D33/1000)</f>
        <v>3019.9309516294043</v>
      </c>
      <c r="E56" s="87">
        <f>IF(E16=0,0,1000000*E16/TrRail_act!E33/1000)</f>
        <v>2951.0783815656882</v>
      </c>
      <c r="F56" s="87">
        <f>IF(F16=0,0,1000000*F16/TrRail_act!F33/1000)</f>
        <v>2944.3152367358921</v>
      </c>
      <c r="G56" s="87">
        <f>IF(G16=0,0,1000000*G16/TrRail_act!G33/1000)</f>
        <v>2911.8227438968856</v>
      </c>
      <c r="H56" s="87">
        <f>IF(H16=0,0,1000000*H16/TrRail_act!H33/1000)</f>
        <v>2833.8891610104133</v>
      </c>
      <c r="I56" s="87">
        <f>IF(I16=0,0,1000000*I16/TrRail_act!I33/1000)</f>
        <v>2824.7152536435783</v>
      </c>
      <c r="J56" s="87">
        <f>IF(J16=0,0,1000000*J16/TrRail_act!J33/1000)</f>
        <v>2728.9899595223865</v>
      </c>
      <c r="K56" s="87">
        <f>IF(K16=0,0,1000000*K16/TrRail_act!K33/1000)</f>
        <v>2661.0476045837017</v>
      </c>
      <c r="L56" s="87">
        <f>IF(L16=0,0,1000000*L16/TrRail_act!L33/1000)</f>
        <v>2635.3658219877448</v>
      </c>
      <c r="M56" s="87">
        <f>IF(M16=0,0,1000000*M16/TrRail_act!M33/1000)</f>
        <v>2578.5772699646309</v>
      </c>
      <c r="N56" s="87">
        <f>IF(N16=0,0,1000000*N16/TrRail_act!N33/1000)</f>
        <v>2280.9792781871674</v>
      </c>
      <c r="O56" s="87">
        <f>IF(O16=0,0,1000000*O16/TrRail_act!O33/1000)</f>
        <v>2491.5168097396986</v>
      </c>
      <c r="P56" s="87">
        <f>IF(P16=0,0,1000000*P16/TrRail_act!P33/1000)</f>
        <v>2417.1288391018315</v>
      </c>
      <c r="Q56" s="87">
        <f>IF(Q16=0,0,1000000*Q16/TrRail_act!Q33/1000)</f>
        <v>2391.9826968209113</v>
      </c>
      <c r="R56" s="87">
        <f>IF(R16=0,0,1000000*R16/TrRail_act!R33/1000)</f>
        <v>2337.6956665386247</v>
      </c>
      <c r="S56" s="87">
        <f>IF(S16=0,0,1000000*S16/TrRail_act!S33/1000)</f>
        <v>2297.7865120007541</v>
      </c>
      <c r="T56" s="87">
        <f>IF(T16=0,0,1000000*T16/TrRail_act!T33/1000)</f>
        <v>2259.9747200824177</v>
      </c>
      <c r="U56" s="87">
        <f>IF(U16=0,0,1000000*U16/TrRail_act!U33/1000)</f>
        <v>2246.4425466294128</v>
      </c>
      <c r="V56" s="87">
        <f>IF(V16=0,0,1000000*V16/TrRail_act!V33/1000)</f>
        <v>2230.1835662367257</v>
      </c>
      <c r="W56" s="87">
        <f>IF(W16=0,0,1000000*W16/TrRail_act!W33/1000)</f>
        <v>2005.7155322706703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0.86721489173403843</v>
      </c>
      <c r="C60" s="31">
        <f t="shared" ref="C60:V60" si="8">IF(C9=0,0,C9/C$8)</f>
        <v>0.86617104081570395</v>
      </c>
      <c r="D60" s="31">
        <f t="shared" si="8"/>
        <v>0.8812389342289797</v>
      </c>
      <c r="E60" s="31">
        <f t="shared" si="8"/>
        <v>0.8926868085985914</v>
      </c>
      <c r="F60" s="31">
        <f t="shared" si="8"/>
        <v>0.87717593560359852</v>
      </c>
      <c r="G60" s="31">
        <f t="shared" si="8"/>
        <v>0.89656524727156972</v>
      </c>
      <c r="H60" s="31">
        <f t="shared" si="8"/>
        <v>0.89675215099509564</v>
      </c>
      <c r="I60" s="31">
        <f t="shared" si="8"/>
        <v>0.9071790693422298</v>
      </c>
      <c r="J60" s="31">
        <f t="shared" si="8"/>
        <v>0.91275644497491926</v>
      </c>
      <c r="K60" s="31">
        <f t="shared" si="8"/>
        <v>0.91485332661054064</v>
      </c>
      <c r="L60" s="31">
        <f t="shared" si="8"/>
        <v>0.89509211139282618</v>
      </c>
      <c r="M60" s="31">
        <f t="shared" si="8"/>
        <v>0.88232626653685364</v>
      </c>
      <c r="N60" s="31">
        <f t="shared" si="8"/>
        <v>0.90482929070630858</v>
      </c>
      <c r="O60" s="31">
        <f t="shared" si="8"/>
        <v>0.89930558981391906</v>
      </c>
      <c r="P60" s="31">
        <f t="shared" si="8"/>
        <v>0.89225510636125671</v>
      </c>
      <c r="Q60" s="31">
        <f t="shared" si="8"/>
        <v>0.88503720241761152</v>
      </c>
      <c r="R60" s="31">
        <f t="shared" si="8"/>
        <v>0.88875460690765451</v>
      </c>
      <c r="S60" s="31">
        <f t="shared" si="8"/>
        <v>0.89238982814908541</v>
      </c>
      <c r="T60" s="31">
        <f t="shared" si="8"/>
        <v>0.8946043237892366</v>
      </c>
      <c r="U60" s="31">
        <f t="shared" si="8"/>
        <v>0.90199569302953386</v>
      </c>
      <c r="V60" s="31">
        <f t="shared" si="8"/>
        <v>0.89627449125611802</v>
      </c>
      <c r="W60" s="31">
        <f t="shared" ref="W60" si="9">IF(W9=0,0,W9/W$8)</f>
        <v>0.91130913152469484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0.86721489173403843</v>
      </c>
      <c r="C62" s="124">
        <f t="shared" ref="C62:V62" si="12">IF(C11=0,0,C11/C$8)</f>
        <v>0.86617104081570395</v>
      </c>
      <c r="D62" s="124">
        <f t="shared" si="12"/>
        <v>0.8812389342289797</v>
      </c>
      <c r="E62" s="124">
        <f t="shared" si="12"/>
        <v>0.8926868085985914</v>
      </c>
      <c r="F62" s="124">
        <f t="shared" si="12"/>
        <v>0.87717593560359852</v>
      </c>
      <c r="G62" s="124">
        <f t="shared" si="12"/>
        <v>0.89656524727156972</v>
      </c>
      <c r="H62" s="124">
        <f t="shared" si="12"/>
        <v>0.89675215099509564</v>
      </c>
      <c r="I62" s="124">
        <f t="shared" si="12"/>
        <v>0.9071790693422298</v>
      </c>
      <c r="J62" s="124">
        <f t="shared" si="12"/>
        <v>0.91275644497491926</v>
      </c>
      <c r="K62" s="124">
        <f t="shared" si="12"/>
        <v>0.91485332661054064</v>
      </c>
      <c r="L62" s="124">
        <f t="shared" si="12"/>
        <v>0.89509211139282618</v>
      </c>
      <c r="M62" s="124">
        <f t="shared" si="12"/>
        <v>0.88232626653685364</v>
      </c>
      <c r="N62" s="124">
        <f t="shared" si="12"/>
        <v>0.90482929070630858</v>
      </c>
      <c r="O62" s="124">
        <f t="shared" si="12"/>
        <v>0.89930558981391906</v>
      </c>
      <c r="P62" s="124">
        <f t="shared" si="12"/>
        <v>0.89225510636125671</v>
      </c>
      <c r="Q62" s="124">
        <f t="shared" si="12"/>
        <v>0.88503720241761152</v>
      </c>
      <c r="R62" s="124">
        <f t="shared" si="12"/>
        <v>0.88875460690765451</v>
      </c>
      <c r="S62" s="124">
        <f t="shared" si="12"/>
        <v>0.89238982814908541</v>
      </c>
      <c r="T62" s="124">
        <f t="shared" si="12"/>
        <v>0.8946043237892366</v>
      </c>
      <c r="U62" s="124">
        <f t="shared" si="12"/>
        <v>0.90199569302953386</v>
      </c>
      <c r="V62" s="124">
        <f t="shared" si="12"/>
        <v>0.89627449125611802</v>
      </c>
      <c r="W62" s="124">
        <f t="shared" ref="W62" si="13">IF(W11=0,0,W11/W$8)</f>
        <v>0.91130913152469484</v>
      </c>
      <c r="DA62" s="176"/>
    </row>
    <row r="63" spans="1:105" ht="11.45" customHeight="1" x14ac:dyDescent="0.25">
      <c r="A63" s="111" t="s">
        <v>92</v>
      </c>
      <c r="B63" s="125">
        <f t="shared" si="5"/>
        <v>0.86721489173403843</v>
      </c>
      <c r="C63" s="125">
        <f t="shared" ref="C63:V63" si="14">IF(C12=0,0,C12/C$8)</f>
        <v>0.86617104081570395</v>
      </c>
      <c r="D63" s="125">
        <f t="shared" si="14"/>
        <v>0.8812389342289797</v>
      </c>
      <c r="E63" s="125">
        <f t="shared" si="14"/>
        <v>0.8926868085985914</v>
      </c>
      <c r="F63" s="125">
        <f t="shared" si="14"/>
        <v>0.87717593560359852</v>
      </c>
      <c r="G63" s="125">
        <f t="shared" si="14"/>
        <v>0.89656524727156972</v>
      </c>
      <c r="H63" s="125">
        <f t="shared" si="14"/>
        <v>0.89675215099509564</v>
      </c>
      <c r="I63" s="125">
        <f t="shared" si="14"/>
        <v>0.9071790693422298</v>
      </c>
      <c r="J63" s="125">
        <f t="shared" si="14"/>
        <v>0.91275644497491926</v>
      </c>
      <c r="K63" s="125">
        <f t="shared" si="14"/>
        <v>0.91485332661054064</v>
      </c>
      <c r="L63" s="125">
        <f t="shared" si="14"/>
        <v>0.89509211139282618</v>
      </c>
      <c r="M63" s="125">
        <f t="shared" si="14"/>
        <v>0.88232626653685364</v>
      </c>
      <c r="N63" s="125">
        <f t="shared" si="14"/>
        <v>0.90482929070630858</v>
      </c>
      <c r="O63" s="125">
        <f t="shared" si="14"/>
        <v>0.89930558981391906</v>
      </c>
      <c r="P63" s="125">
        <f t="shared" si="14"/>
        <v>0.89225510636125671</v>
      </c>
      <c r="Q63" s="125">
        <f t="shared" si="14"/>
        <v>0.88503720241761152</v>
      </c>
      <c r="R63" s="125">
        <f t="shared" si="14"/>
        <v>0.88875460690765451</v>
      </c>
      <c r="S63" s="125">
        <f t="shared" si="14"/>
        <v>0.89238982814908541</v>
      </c>
      <c r="T63" s="125">
        <f t="shared" si="14"/>
        <v>0.8946043237892366</v>
      </c>
      <c r="U63" s="125">
        <f t="shared" si="14"/>
        <v>0.90199569302953386</v>
      </c>
      <c r="V63" s="125">
        <f t="shared" si="14"/>
        <v>0.89627449125611802</v>
      </c>
      <c r="W63" s="125">
        <f t="shared" ref="W63" si="15">IF(W12=0,0,W12/W$8)</f>
        <v>0.91130913152469484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0.13278510826596152</v>
      </c>
      <c r="C66" s="31">
        <f t="shared" ref="C66:V66" si="20">IF(C15=0,0,C15/C$8)</f>
        <v>0.13382895918429605</v>
      </c>
      <c r="D66" s="31">
        <f t="shared" si="20"/>
        <v>0.1187610657710203</v>
      </c>
      <c r="E66" s="31">
        <f t="shared" si="20"/>
        <v>0.10731319140140853</v>
      </c>
      <c r="F66" s="31">
        <f t="shared" si="20"/>
        <v>0.12282406439640144</v>
      </c>
      <c r="G66" s="31">
        <f t="shared" si="20"/>
        <v>0.10343475272843035</v>
      </c>
      <c r="H66" s="31">
        <f t="shared" si="20"/>
        <v>0.10324784900490439</v>
      </c>
      <c r="I66" s="31">
        <f t="shared" si="20"/>
        <v>9.2820930657770195E-2</v>
      </c>
      <c r="J66" s="31">
        <f t="shared" si="20"/>
        <v>8.724355502508066E-2</v>
      </c>
      <c r="K66" s="31">
        <f t="shared" si="20"/>
        <v>8.5146673389459401E-2</v>
      </c>
      <c r="L66" s="31">
        <f t="shared" si="20"/>
        <v>0.10490788860717372</v>
      </c>
      <c r="M66" s="31">
        <f t="shared" si="20"/>
        <v>0.11767373346314636</v>
      </c>
      <c r="N66" s="31">
        <f t="shared" si="20"/>
        <v>9.5170709293691452E-2</v>
      </c>
      <c r="O66" s="31">
        <f t="shared" si="20"/>
        <v>0.10069441018608097</v>
      </c>
      <c r="P66" s="31">
        <f t="shared" si="20"/>
        <v>0.10774489363874329</v>
      </c>
      <c r="Q66" s="31">
        <f t="shared" si="20"/>
        <v>0.11496279758238841</v>
      </c>
      <c r="R66" s="31">
        <f t="shared" si="20"/>
        <v>0.1112453930923455</v>
      </c>
      <c r="S66" s="31">
        <f t="shared" si="20"/>
        <v>0.10761017185091469</v>
      </c>
      <c r="T66" s="31">
        <f t="shared" si="20"/>
        <v>0.10539567621076333</v>
      </c>
      <c r="U66" s="31">
        <f t="shared" si="20"/>
        <v>9.8004306970466082E-2</v>
      </c>
      <c r="V66" s="31">
        <f t="shared" si="20"/>
        <v>0.10372550874388198</v>
      </c>
      <c r="W66" s="31">
        <f t="shared" ref="W66" si="21">IF(W15=0,0,W15/W$8)</f>
        <v>8.8690868475305065E-2</v>
      </c>
      <c r="DA66" s="173"/>
    </row>
    <row r="67" spans="1:105" ht="11.45" customHeight="1" x14ac:dyDescent="0.25">
      <c r="A67" s="83" t="s">
        <v>92</v>
      </c>
      <c r="B67" s="125">
        <f t="shared" si="5"/>
        <v>0.13278510826596152</v>
      </c>
      <c r="C67" s="125">
        <f t="shared" ref="C67:V67" si="22">IF(C16=0,0,C16/C$8)</f>
        <v>0.13382895918429605</v>
      </c>
      <c r="D67" s="125">
        <f t="shared" si="22"/>
        <v>0.1187610657710203</v>
      </c>
      <c r="E67" s="125">
        <f t="shared" si="22"/>
        <v>0.10731319140140853</v>
      </c>
      <c r="F67" s="125">
        <f t="shared" si="22"/>
        <v>0.12282406439640144</v>
      </c>
      <c r="G67" s="125">
        <f t="shared" si="22"/>
        <v>0.10343475272843035</v>
      </c>
      <c r="H67" s="125">
        <f t="shared" si="22"/>
        <v>0.10324784900490439</v>
      </c>
      <c r="I67" s="125">
        <f t="shared" si="22"/>
        <v>9.2820930657770195E-2</v>
      </c>
      <c r="J67" s="125">
        <f t="shared" si="22"/>
        <v>8.724355502508066E-2</v>
      </c>
      <c r="K67" s="125">
        <f t="shared" si="22"/>
        <v>8.5146673389459401E-2</v>
      </c>
      <c r="L67" s="125">
        <f t="shared" si="22"/>
        <v>0.10490788860717372</v>
      </c>
      <c r="M67" s="125">
        <f t="shared" si="22"/>
        <v>0.11767373346314636</v>
      </c>
      <c r="N67" s="125">
        <f t="shared" si="22"/>
        <v>9.5170709293691452E-2</v>
      </c>
      <c r="O67" s="125">
        <f t="shared" si="22"/>
        <v>0.10069441018608097</v>
      </c>
      <c r="P67" s="125">
        <f t="shared" si="22"/>
        <v>0.10774489363874329</v>
      </c>
      <c r="Q67" s="125">
        <f t="shared" si="22"/>
        <v>0.11496279758238841</v>
      </c>
      <c r="R67" s="125">
        <f t="shared" si="22"/>
        <v>0.1112453930923455</v>
      </c>
      <c r="S67" s="125">
        <f t="shared" si="22"/>
        <v>0.10761017185091469</v>
      </c>
      <c r="T67" s="125">
        <f t="shared" si="22"/>
        <v>0.10539567621076333</v>
      </c>
      <c r="U67" s="125">
        <f t="shared" si="22"/>
        <v>9.8004306970466082E-2</v>
      </c>
      <c r="V67" s="125">
        <f t="shared" si="22"/>
        <v>0.10372550874388198</v>
      </c>
      <c r="W67" s="125">
        <f t="shared" ref="W67" si="23">IF(W16=0,0,W16/W$8)</f>
        <v>8.8690868475305065E-2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16731.518801289996</v>
      </c>
      <c r="C4" s="11">
        <f t="shared" si="0"/>
        <v>17320.29002497804</v>
      </c>
      <c r="D4" s="11">
        <f t="shared" ref="D4:V4" si="1">SUM(D5:D7)</f>
        <v>17289.84964354524</v>
      </c>
      <c r="E4" s="11">
        <f t="shared" si="1"/>
        <v>16801.754556830216</v>
      </c>
      <c r="F4" s="11">
        <f t="shared" si="1"/>
        <v>18340.048659803462</v>
      </c>
      <c r="G4" s="11">
        <f t="shared" si="1"/>
        <v>19749.505171751778</v>
      </c>
      <c r="H4" s="11">
        <f t="shared" si="1"/>
        <v>20374.349854404994</v>
      </c>
      <c r="I4" s="11">
        <f t="shared" si="1"/>
        <v>20359.992785373553</v>
      </c>
      <c r="J4" s="11">
        <f t="shared" si="1"/>
        <v>19830.516917931407</v>
      </c>
      <c r="K4" s="11">
        <f t="shared" si="1"/>
        <v>18716.188063263569</v>
      </c>
      <c r="L4" s="11">
        <f t="shared" si="1"/>
        <v>20651.45298543098</v>
      </c>
      <c r="M4" s="11">
        <f t="shared" si="1"/>
        <v>21172.026514451958</v>
      </c>
      <c r="N4" s="11">
        <f t="shared" si="1"/>
        <v>22348.753129259039</v>
      </c>
      <c r="O4" s="11">
        <f t="shared" si="1"/>
        <v>23383.239341934881</v>
      </c>
      <c r="P4" s="11">
        <f t="shared" si="1"/>
        <v>24900.436249549559</v>
      </c>
      <c r="Q4" s="11">
        <f t="shared" si="1"/>
        <v>25384.75909170759</v>
      </c>
      <c r="R4" s="11">
        <f t="shared" si="1"/>
        <v>27536.416408431891</v>
      </c>
      <c r="S4" s="11">
        <f t="shared" si="1"/>
        <v>28519.323189936091</v>
      </c>
      <c r="T4" s="11">
        <f t="shared" si="1"/>
        <v>30248.467291198445</v>
      </c>
      <c r="U4" s="11">
        <f t="shared" si="1"/>
        <v>30020.081528064999</v>
      </c>
      <c r="V4" s="11">
        <f t="shared" si="1"/>
        <v>7191.14109687991</v>
      </c>
      <c r="W4" s="11">
        <f t="shared" ref="W4" si="2">SUM(W5:W7)</f>
        <v>8975.6629830116872</v>
      </c>
      <c r="DA4" s="189" t="s">
        <v>189</v>
      </c>
    </row>
    <row r="5" spans="1:105" ht="11.45" customHeight="1" x14ac:dyDescent="0.25">
      <c r="A5" s="83" t="s">
        <v>27</v>
      </c>
      <c r="B5" s="84">
        <v>291.40924396035859</v>
      </c>
      <c r="C5" s="84">
        <v>299.46483133744471</v>
      </c>
      <c r="D5" s="84">
        <v>270.63505047752295</v>
      </c>
      <c r="E5" s="84">
        <v>294.26581108181898</v>
      </c>
      <c r="F5" s="84">
        <v>369.96532619028915</v>
      </c>
      <c r="G5" s="84">
        <v>371.63024424271703</v>
      </c>
      <c r="H5" s="84">
        <v>403.57690740271437</v>
      </c>
      <c r="I5" s="84">
        <v>446.8763170177379</v>
      </c>
      <c r="J5" s="84">
        <v>458.44665437170937</v>
      </c>
      <c r="K5" s="84">
        <v>464.32366596496422</v>
      </c>
      <c r="L5" s="84">
        <v>563.06762945161995</v>
      </c>
      <c r="M5" s="84">
        <v>519.51037812927541</v>
      </c>
      <c r="N5" s="84">
        <v>405.46675317223634</v>
      </c>
      <c r="O5" s="84">
        <v>408.17099991910067</v>
      </c>
      <c r="P5" s="84">
        <v>421.85946758049505</v>
      </c>
      <c r="Q5" s="84">
        <v>412.07747383764882</v>
      </c>
      <c r="R5" s="84">
        <v>437.606250558174</v>
      </c>
      <c r="S5" s="84">
        <v>422.72749352524494</v>
      </c>
      <c r="T5" s="84">
        <v>418.01654063879562</v>
      </c>
      <c r="U5" s="84">
        <v>393.61794485666769</v>
      </c>
      <c r="V5" s="84">
        <v>165.67190867400353</v>
      </c>
      <c r="W5" s="84">
        <v>231.30369073079234</v>
      </c>
      <c r="DA5" s="171" t="s">
        <v>190</v>
      </c>
    </row>
    <row r="6" spans="1:105" ht="11.45" customHeight="1" x14ac:dyDescent="0.25">
      <c r="A6" s="83" t="s">
        <v>173</v>
      </c>
      <c r="B6" s="84">
        <v>10186.297917202788</v>
      </c>
      <c r="C6" s="84">
        <v>10566.784446657559</v>
      </c>
      <c r="D6" s="84">
        <v>10520.060983530002</v>
      </c>
      <c r="E6" s="84">
        <v>10218.513228038924</v>
      </c>
      <c r="F6" s="84">
        <v>10696.838536596297</v>
      </c>
      <c r="G6" s="84">
        <v>11149.757139233894</v>
      </c>
      <c r="H6" s="84">
        <v>11392.01850836867</v>
      </c>
      <c r="I6" s="84">
        <v>11336.021346299245</v>
      </c>
      <c r="J6" s="84">
        <v>10757.313683987757</v>
      </c>
      <c r="K6" s="84">
        <v>10035.434119026262</v>
      </c>
      <c r="L6" s="84">
        <v>10883.842524756506</v>
      </c>
      <c r="M6" s="84">
        <v>11526.969338168174</v>
      </c>
      <c r="N6" s="84">
        <v>11914.287257611903</v>
      </c>
      <c r="O6" s="84">
        <v>12547.638627097454</v>
      </c>
      <c r="P6" s="84">
        <v>13032.859656212773</v>
      </c>
      <c r="Q6" s="84">
        <v>13353.18808062169</v>
      </c>
      <c r="R6" s="84">
        <v>15101.974100752148</v>
      </c>
      <c r="S6" s="84">
        <v>15751.286250439953</v>
      </c>
      <c r="T6" s="84">
        <v>16295.38997882581</v>
      </c>
      <c r="U6" s="84">
        <v>15686.817297998425</v>
      </c>
      <c r="V6" s="84">
        <v>3816.1926543588661</v>
      </c>
      <c r="W6" s="84">
        <v>5724.8426153984155</v>
      </c>
      <c r="DA6" s="171" t="s">
        <v>191</v>
      </c>
    </row>
    <row r="7" spans="1:105" ht="11.45" customHeight="1" x14ac:dyDescent="0.25">
      <c r="A7" s="83" t="s">
        <v>174</v>
      </c>
      <c r="B7" s="84">
        <v>6253.811640126848</v>
      </c>
      <c r="C7" s="84">
        <v>6454.0407469830343</v>
      </c>
      <c r="D7" s="84">
        <v>6499.1536095377141</v>
      </c>
      <c r="E7" s="84">
        <v>6288.9755177094721</v>
      </c>
      <c r="F7" s="84">
        <v>7273.244797016876</v>
      </c>
      <c r="G7" s="84">
        <v>8228.1177882751672</v>
      </c>
      <c r="H7" s="84">
        <v>8578.7544386336103</v>
      </c>
      <c r="I7" s="84">
        <v>8577.0951220565712</v>
      </c>
      <c r="J7" s="84">
        <v>8614.7565795719402</v>
      </c>
      <c r="K7" s="84">
        <v>8216.4302782723425</v>
      </c>
      <c r="L7" s="84">
        <v>9204.542831222856</v>
      </c>
      <c r="M7" s="84">
        <v>9125.5467981545098</v>
      </c>
      <c r="N7" s="84">
        <v>10028.9991184749</v>
      </c>
      <c r="O7" s="84">
        <v>10427.429714918328</v>
      </c>
      <c r="P7" s="84">
        <v>11445.717125756293</v>
      </c>
      <c r="Q7" s="84">
        <v>11619.493537248251</v>
      </c>
      <c r="R7" s="84">
        <v>11996.836057121571</v>
      </c>
      <c r="S7" s="84">
        <v>12345.309445970895</v>
      </c>
      <c r="T7" s="84">
        <v>13535.060771733841</v>
      </c>
      <c r="U7" s="84">
        <v>13939.646285209907</v>
      </c>
      <c r="V7" s="84">
        <v>3209.2765338470399</v>
      </c>
      <c r="W7" s="84">
        <v>3019.5166768824793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51.312285706745314</v>
      </c>
      <c r="C8" s="13">
        <f t="shared" si="3"/>
        <v>56.206438743833019</v>
      </c>
      <c r="D8" s="13">
        <f t="shared" ref="D8:V8" si="4">SUM(D9:D11)</f>
        <v>51.50917535445479</v>
      </c>
      <c r="E8" s="13">
        <f t="shared" si="4"/>
        <v>40.183766046170099</v>
      </c>
      <c r="F8" s="13">
        <f t="shared" si="4"/>
        <v>40.256796898335097</v>
      </c>
      <c r="G8" s="13">
        <f t="shared" si="4"/>
        <v>42.399087722145701</v>
      </c>
      <c r="H8" s="13">
        <f t="shared" si="4"/>
        <v>41.294545205241377</v>
      </c>
      <c r="I8" s="13">
        <f t="shared" si="4"/>
        <v>38.369411594142598</v>
      </c>
      <c r="J8" s="13">
        <f t="shared" si="4"/>
        <v>485.76879858313907</v>
      </c>
      <c r="K8" s="13">
        <f t="shared" si="4"/>
        <v>395.58801373987029</v>
      </c>
      <c r="L8" s="13">
        <f t="shared" si="4"/>
        <v>448.0196368403108</v>
      </c>
      <c r="M8" s="13">
        <f t="shared" si="4"/>
        <v>451.05076957861968</v>
      </c>
      <c r="N8" s="13">
        <f t="shared" si="4"/>
        <v>543.23935597761738</v>
      </c>
      <c r="O8" s="13">
        <f t="shared" si="4"/>
        <v>472.45792592151179</v>
      </c>
      <c r="P8" s="13">
        <f t="shared" si="4"/>
        <v>615.12629957068452</v>
      </c>
      <c r="Q8" s="13">
        <f t="shared" si="4"/>
        <v>565.67442203685664</v>
      </c>
      <c r="R8" s="13">
        <f t="shared" si="4"/>
        <v>506.40160880923469</v>
      </c>
      <c r="S8" s="13">
        <f t="shared" si="4"/>
        <v>556.71664874418116</v>
      </c>
      <c r="T8" s="13">
        <f t="shared" si="4"/>
        <v>453.51597256236096</v>
      </c>
      <c r="U8" s="13">
        <f t="shared" si="4"/>
        <v>525.22276359418697</v>
      </c>
      <c r="V8" s="13">
        <f t="shared" si="4"/>
        <v>300.97070261943816</v>
      </c>
      <c r="W8" s="13">
        <f t="shared" ref="W8" si="5">SUM(W9:W11)</f>
        <v>414.46275471394893</v>
      </c>
      <c r="DA8" s="193" t="s">
        <v>193</v>
      </c>
    </row>
    <row r="9" spans="1:105" ht="11.45" customHeight="1" x14ac:dyDescent="0.25">
      <c r="A9" s="92" t="s">
        <v>27</v>
      </c>
      <c r="B9" s="102">
        <v>0.39172366016678484</v>
      </c>
      <c r="C9" s="102">
        <v>0.41211957488556195</v>
      </c>
      <c r="D9" s="102">
        <v>0.38472127495833575</v>
      </c>
      <c r="E9" s="102">
        <v>0.28773505338378291</v>
      </c>
      <c r="F9" s="102">
        <v>0.30105339581717916</v>
      </c>
      <c r="G9" s="102">
        <v>0.33328109776836573</v>
      </c>
      <c r="H9" s="102">
        <v>0.33346815466669566</v>
      </c>
      <c r="I9" s="102">
        <v>0.2698273485077764</v>
      </c>
      <c r="J9" s="102">
        <v>0.45761915652942836</v>
      </c>
      <c r="K9" s="102">
        <v>0.33392210029788355</v>
      </c>
      <c r="L9" s="102">
        <v>0.12517562277821262</v>
      </c>
      <c r="M9" s="102">
        <v>7.1719848184202628E-2</v>
      </c>
      <c r="N9" s="102">
        <v>5.7239893367400617E-2</v>
      </c>
      <c r="O9" s="102">
        <v>7.1353982102432559E-2</v>
      </c>
      <c r="P9" s="102">
        <v>8.6212950052164408E-2</v>
      </c>
      <c r="Q9" s="102">
        <v>8.4131859703813122E-2</v>
      </c>
      <c r="R9" s="102">
        <v>2.4660009783207825E-2</v>
      </c>
      <c r="S9" s="102">
        <v>4.0384429238605649E-2</v>
      </c>
      <c r="T9" s="102">
        <v>5.6031012439184319E-2</v>
      </c>
      <c r="U9" s="102">
        <v>6.3298350329026185E-2</v>
      </c>
      <c r="V9" s="102">
        <v>7.7001122219437279E-2</v>
      </c>
      <c r="W9" s="102">
        <v>0.13964973004104073</v>
      </c>
      <c r="DA9" s="175" t="s">
        <v>194</v>
      </c>
    </row>
    <row r="10" spans="1:105" ht="11.45" customHeight="1" x14ac:dyDescent="0.25">
      <c r="A10" s="92" t="s">
        <v>173</v>
      </c>
      <c r="B10" s="102">
        <v>42.905083456148169</v>
      </c>
      <c r="C10" s="102">
        <v>46.931066716378098</v>
      </c>
      <c r="D10" s="102">
        <v>41.43212304203864</v>
      </c>
      <c r="E10" s="102">
        <v>30.287155976302785</v>
      </c>
      <c r="F10" s="102">
        <v>30.628589715144848</v>
      </c>
      <c r="G10" s="102">
        <v>35.80812073868649</v>
      </c>
      <c r="H10" s="102">
        <v>37.802768006542145</v>
      </c>
      <c r="I10" s="102">
        <v>34.545832813210581</v>
      </c>
      <c r="J10" s="102">
        <v>73.007463946440822</v>
      </c>
      <c r="K10" s="102">
        <v>51.799427558787741</v>
      </c>
      <c r="L10" s="102">
        <v>37.374545680705971</v>
      </c>
      <c r="M10" s="102">
        <v>37.565584873698235</v>
      </c>
      <c r="N10" s="102">
        <v>36.27117486315769</v>
      </c>
      <c r="O10" s="102">
        <v>30.523839864007151</v>
      </c>
      <c r="P10" s="102">
        <v>50.036327319758321</v>
      </c>
      <c r="Q10" s="102">
        <v>48.248824660922544</v>
      </c>
      <c r="R10" s="102">
        <v>42.029275036124417</v>
      </c>
      <c r="S10" s="102">
        <v>46.221980594383972</v>
      </c>
      <c r="T10" s="102">
        <v>46.669987420462135</v>
      </c>
      <c r="U10" s="102">
        <v>53.690768159436494</v>
      </c>
      <c r="V10" s="102">
        <v>51.588895265861069</v>
      </c>
      <c r="W10" s="102">
        <v>75.077321550225236</v>
      </c>
      <c r="DA10" s="175" t="s">
        <v>195</v>
      </c>
    </row>
    <row r="11" spans="1:105" ht="11.45" customHeight="1" x14ac:dyDescent="0.25">
      <c r="A11" s="85" t="s">
        <v>174</v>
      </c>
      <c r="B11" s="86">
        <v>8.0154785904303658</v>
      </c>
      <c r="C11" s="86">
        <v>8.8632524525693519</v>
      </c>
      <c r="D11" s="86">
        <v>9.692331037457814</v>
      </c>
      <c r="E11" s="86">
        <v>9.6088750164835321</v>
      </c>
      <c r="F11" s="86">
        <v>9.3271537873730708</v>
      </c>
      <c r="G11" s="86">
        <v>6.2576858856908482</v>
      </c>
      <c r="H11" s="86">
        <v>3.1583090440325332</v>
      </c>
      <c r="I11" s="86">
        <v>3.553751432424245</v>
      </c>
      <c r="J11" s="86">
        <v>412.30371548016882</v>
      </c>
      <c r="K11" s="86">
        <v>343.45466408078465</v>
      </c>
      <c r="L11" s="86">
        <v>410.5199155368266</v>
      </c>
      <c r="M11" s="86">
        <v>413.41346485673722</v>
      </c>
      <c r="N11" s="86">
        <v>506.91094122109234</v>
      </c>
      <c r="O11" s="86">
        <v>441.86273207540222</v>
      </c>
      <c r="P11" s="86">
        <v>565.00375930087409</v>
      </c>
      <c r="Q11" s="86">
        <v>517.3414655162303</v>
      </c>
      <c r="R11" s="86">
        <v>464.34767376332707</v>
      </c>
      <c r="S11" s="86">
        <v>510.45428372055852</v>
      </c>
      <c r="T11" s="86">
        <v>406.78995412945966</v>
      </c>
      <c r="U11" s="86">
        <v>471.46869708442148</v>
      </c>
      <c r="V11" s="86">
        <v>249.30480623135767</v>
      </c>
      <c r="W11" s="86">
        <v>339.24578343368262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162.95028998835082</v>
      </c>
      <c r="C13" s="54">
        <f t="shared" si="6"/>
        <v>165.78511693231903</v>
      </c>
      <c r="D13" s="54">
        <f t="shared" ref="D13:V13" si="7">SUM(D14,D18)</f>
        <v>151.53292296765073</v>
      </c>
      <c r="E13" s="54">
        <f t="shared" si="7"/>
        <v>150.59808315521343</v>
      </c>
      <c r="F13" s="54">
        <f t="shared" si="7"/>
        <v>165.26048508781548</v>
      </c>
      <c r="G13" s="54">
        <f t="shared" si="7"/>
        <v>167.03202118575686</v>
      </c>
      <c r="H13" s="54">
        <f t="shared" si="7"/>
        <v>162.76605097449482</v>
      </c>
      <c r="I13" s="54">
        <f t="shared" si="7"/>
        <v>163.81039344875612</v>
      </c>
      <c r="J13" s="54">
        <f t="shared" si="7"/>
        <v>176.42592712542267</v>
      </c>
      <c r="K13" s="54">
        <f t="shared" si="7"/>
        <v>160.42765595353609</v>
      </c>
      <c r="L13" s="54">
        <f t="shared" si="7"/>
        <v>171.31888454949942</v>
      </c>
      <c r="M13" s="54">
        <f t="shared" si="7"/>
        <v>175.47723665506146</v>
      </c>
      <c r="N13" s="54">
        <f t="shared" si="7"/>
        <v>173.81739788117389</v>
      </c>
      <c r="O13" s="54">
        <f t="shared" si="7"/>
        <v>177.07214776653655</v>
      </c>
      <c r="P13" s="54">
        <f t="shared" si="7"/>
        <v>181.72547471591992</v>
      </c>
      <c r="Q13" s="54">
        <f t="shared" si="7"/>
        <v>184.70344882534457</v>
      </c>
      <c r="R13" s="54">
        <f t="shared" si="7"/>
        <v>196.38491689395281</v>
      </c>
      <c r="S13" s="54">
        <f t="shared" si="7"/>
        <v>196.78958203185687</v>
      </c>
      <c r="T13" s="54">
        <f t="shared" si="7"/>
        <v>207.01379987901143</v>
      </c>
      <c r="U13" s="54">
        <f t="shared" si="7"/>
        <v>205.84294903003084</v>
      </c>
      <c r="V13" s="54">
        <f t="shared" si="7"/>
        <v>69.581752021629455</v>
      </c>
      <c r="W13" s="54">
        <f t="shared" ref="W13" si="8">SUM(W14,W18)</f>
        <v>91.153023953192232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161.12617197534564</v>
      </c>
      <c r="C14" s="11">
        <f t="shared" si="9"/>
        <v>163.8904277873024</v>
      </c>
      <c r="D14" s="11">
        <f t="shared" ref="D14:V14" si="10">SUM(D15:D17)</f>
        <v>149.73651324569505</v>
      </c>
      <c r="E14" s="11">
        <f t="shared" si="10"/>
        <v>149.26719228320056</v>
      </c>
      <c r="F14" s="11">
        <f t="shared" si="10"/>
        <v>163.79290002621701</v>
      </c>
      <c r="G14" s="11">
        <f t="shared" si="10"/>
        <v>165.35665283541655</v>
      </c>
      <c r="H14" s="11">
        <f t="shared" si="10"/>
        <v>160.78750247917796</v>
      </c>
      <c r="I14" s="11">
        <f t="shared" si="10"/>
        <v>161.94599949091599</v>
      </c>
      <c r="J14" s="11">
        <f t="shared" si="10"/>
        <v>166.23688340134655</v>
      </c>
      <c r="K14" s="11">
        <f t="shared" si="10"/>
        <v>153.09522970251678</v>
      </c>
      <c r="L14" s="11">
        <f t="shared" si="10"/>
        <v>164.08881729955851</v>
      </c>
      <c r="M14" s="11">
        <f t="shared" si="10"/>
        <v>168.33383844420166</v>
      </c>
      <c r="N14" s="11">
        <f t="shared" si="10"/>
        <v>166.16938271894114</v>
      </c>
      <c r="O14" s="11">
        <f t="shared" si="10"/>
        <v>170.46370265234214</v>
      </c>
      <c r="P14" s="11">
        <f t="shared" si="10"/>
        <v>173.77095256905258</v>
      </c>
      <c r="Q14" s="11">
        <f t="shared" si="10"/>
        <v>177.18521824765804</v>
      </c>
      <c r="R14" s="11">
        <f t="shared" si="10"/>
        <v>190.12507726214096</v>
      </c>
      <c r="S14" s="11">
        <f t="shared" si="10"/>
        <v>189.72191194626737</v>
      </c>
      <c r="T14" s="11">
        <f t="shared" si="10"/>
        <v>201.07964090120242</v>
      </c>
      <c r="U14" s="11">
        <f t="shared" si="10"/>
        <v>199.18939956095892</v>
      </c>
      <c r="V14" s="11">
        <f t="shared" si="10"/>
        <v>63.66256876239607</v>
      </c>
      <c r="W14" s="11">
        <f t="shared" ref="W14" si="11">SUM(W15:W17)</f>
        <v>81.762732811355121</v>
      </c>
      <c r="DA14" s="189" t="s">
        <v>198</v>
      </c>
    </row>
    <row r="15" spans="1:105" ht="11.45" customHeight="1" x14ac:dyDescent="0.25">
      <c r="A15" s="83" t="s">
        <v>27</v>
      </c>
      <c r="B15" s="84">
        <v>5.9466133338331533</v>
      </c>
      <c r="C15" s="84">
        <v>6.0848850495559539</v>
      </c>
      <c r="D15" s="84">
        <v>6.2401211942665924</v>
      </c>
      <c r="E15" s="84">
        <v>7.4332085699318942</v>
      </c>
      <c r="F15" s="84">
        <v>10.056652937654059</v>
      </c>
      <c r="G15" s="84">
        <v>9.4239245395286293</v>
      </c>
      <c r="H15" s="84">
        <v>9.4095659999268584</v>
      </c>
      <c r="I15" s="84">
        <v>9.6217516483631158</v>
      </c>
      <c r="J15" s="84">
        <v>10.275532802376452</v>
      </c>
      <c r="K15" s="84">
        <v>9.680774125076395</v>
      </c>
      <c r="L15" s="84">
        <v>10.501935560439561</v>
      </c>
      <c r="M15" s="84">
        <v>10.019797480486904</v>
      </c>
      <c r="N15" s="84">
        <v>6.9092454535434795</v>
      </c>
      <c r="O15" s="84">
        <v>7.2250506576756264</v>
      </c>
      <c r="P15" s="84">
        <v>7.5554662146019753</v>
      </c>
      <c r="Q15" s="84">
        <v>7.5157701753804549</v>
      </c>
      <c r="R15" s="84">
        <v>7.7101355376539766</v>
      </c>
      <c r="S15" s="84">
        <v>7.4795597695120719</v>
      </c>
      <c r="T15" s="84">
        <v>7.2854037692006406</v>
      </c>
      <c r="U15" s="84">
        <v>7.11536435688671</v>
      </c>
      <c r="V15" s="84">
        <v>4.0627238425810983</v>
      </c>
      <c r="W15" s="84">
        <v>4.6613857066064499</v>
      </c>
      <c r="DA15" s="171" t="s">
        <v>199</v>
      </c>
    </row>
    <row r="16" spans="1:105" ht="11.45" customHeight="1" x14ac:dyDescent="0.25">
      <c r="A16" s="83" t="s">
        <v>173</v>
      </c>
      <c r="B16" s="84">
        <v>112.42569262338338</v>
      </c>
      <c r="C16" s="84">
        <v>114.32732723484067</v>
      </c>
      <c r="D16" s="84">
        <v>106.72013392433749</v>
      </c>
      <c r="E16" s="84">
        <v>106.33051110942819</v>
      </c>
      <c r="F16" s="84">
        <v>112.76221123302803</v>
      </c>
      <c r="G16" s="84">
        <v>111.65321239644227</v>
      </c>
      <c r="H16" s="84">
        <v>108.65017400129256</v>
      </c>
      <c r="I16" s="84">
        <v>109.81815941885689</v>
      </c>
      <c r="J16" s="84">
        <v>112.32121589211974</v>
      </c>
      <c r="K16" s="84">
        <v>102.11596761744887</v>
      </c>
      <c r="L16" s="84">
        <v>107.38806222106227</v>
      </c>
      <c r="M16" s="84">
        <v>107.91852838302536</v>
      </c>
      <c r="N16" s="84">
        <v>107.02813323298194</v>
      </c>
      <c r="O16" s="84">
        <v>110.55296002275556</v>
      </c>
      <c r="P16" s="84">
        <v>109.06847418433684</v>
      </c>
      <c r="Q16" s="84">
        <v>110.86770629690174</v>
      </c>
      <c r="R16" s="84">
        <v>121.36744241803648</v>
      </c>
      <c r="S16" s="84">
        <v>122.02839716114001</v>
      </c>
      <c r="T16" s="84">
        <v>127.04796348431954</v>
      </c>
      <c r="U16" s="84">
        <v>122.72693481817653</v>
      </c>
      <c r="V16" s="84">
        <v>37.82114128378457</v>
      </c>
      <c r="W16" s="84">
        <v>48.108601752195298</v>
      </c>
      <c r="DA16" s="171" t="s">
        <v>200</v>
      </c>
    </row>
    <row r="17" spans="1:105" ht="11.45" customHeight="1" x14ac:dyDescent="0.25">
      <c r="A17" s="83" t="s">
        <v>174</v>
      </c>
      <c r="B17" s="84">
        <v>42.753866018129095</v>
      </c>
      <c r="C17" s="84">
        <v>43.478215502905783</v>
      </c>
      <c r="D17" s="84">
        <v>36.776258127090955</v>
      </c>
      <c r="E17" s="84">
        <v>35.503472603840478</v>
      </c>
      <c r="F17" s="84">
        <v>40.974035855534936</v>
      </c>
      <c r="G17" s="84">
        <v>44.279515899445656</v>
      </c>
      <c r="H17" s="84">
        <v>42.727762477958557</v>
      </c>
      <c r="I17" s="84">
        <v>42.506088423695978</v>
      </c>
      <c r="J17" s="84">
        <v>43.640134706850354</v>
      </c>
      <c r="K17" s="84">
        <v>41.298487959991498</v>
      </c>
      <c r="L17" s="84">
        <v>46.198819518056688</v>
      </c>
      <c r="M17" s="84">
        <v>50.395512580689413</v>
      </c>
      <c r="N17" s="84">
        <v>52.232004032415709</v>
      </c>
      <c r="O17" s="84">
        <v>52.68569197191097</v>
      </c>
      <c r="P17" s="84">
        <v>57.147012170113776</v>
      </c>
      <c r="Q17" s="84">
        <v>58.801741775375838</v>
      </c>
      <c r="R17" s="84">
        <v>61.047499306450518</v>
      </c>
      <c r="S17" s="84">
        <v>60.213955015615284</v>
      </c>
      <c r="T17" s="84">
        <v>66.746273647682258</v>
      </c>
      <c r="U17" s="84">
        <v>69.347100385895686</v>
      </c>
      <c r="V17" s="84">
        <v>21.7787036360304</v>
      </c>
      <c r="W17" s="84">
        <v>28.992745352553374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1.8241180130051684</v>
      </c>
      <c r="C18" s="13">
        <f t="shared" si="12"/>
        <v>1.8946891450166246</v>
      </c>
      <c r="D18" s="13">
        <f t="shared" ref="D18:V18" si="13">SUM(D19:D21)</f>
        <v>1.7964097219556783</v>
      </c>
      <c r="E18" s="13">
        <f t="shared" si="13"/>
        <v>1.330890872012872</v>
      </c>
      <c r="F18" s="13">
        <f t="shared" si="13"/>
        <v>1.4675850615984667</v>
      </c>
      <c r="G18" s="13">
        <f t="shared" si="13"/>
        <v>1.6753683503403034</v>
      </c>
      <c r="H18" s="13">
        <f t="shared" si="13"/>
        <v>1.9785484953168704</v>
      </c>
      <c r="I18" s="13">
        <f t="shared" si="13"/>
        <v>1.8643939578401325</v>
      </c>
      <c r="J18" s="13">
        <f t="shared" si="13"/>
        <v>10.189043724076122</v>
      </c>
      <c r="K18" s="13">
        <f t="shared" si="13"/>
        <v>7.3324262510193066</v>
      </c>
      <c r="L18" s="13">
        <f t="shared" si="13"/>
        <v>7.2300672499409</v>
      </c>
      <c r="M18" s="13">
        <f t="shared" si="13"/>
        <v>7.1433982108597966</v>
      </c>
      <c r="N18" s="13">
        <f t="shared" si="13"/>
        <v>7.6480151622327579</v>
      </c>
      <c r="O18" s="13">
        <f t="shared" si="13"/>
        <v>6.6084451141944101</v>
      </c>
      <c r="P18" s="13">
        <f t="shared" si="13"/>
        <v>7.9545221468673279</v>
      </c>
      <c r="Q18" s="13">
        <f t="shared" si="13"/>
        <v>7.5182305776865181</v>
      </c>
      <c r="R18" s="13">
        <f t="shared" si="13"/>
        <v>6.2598396318118326</v>
      </c>
      <c r="S18" s="13">
        <f t="shared" si="13"/>
        <v>7.0676700855895032</v>
      </c>
      <c r="T18" s="13">
        <f t="shared" si="13"/>
        <v>5.934158977809016</v>
      </c>
      <c r="U18" s="13">
        <f t="shared" si="13"/>
        <v>6.6535494690719323</v>
      </c>
      <c r="V18" s="13">
        <f t="shared" si="13"/>
        <v>5.9191832592333853</v>
      </c>
      <c r="W18" s="13">
        <f t="shared" ref="W18" si="14">SUM(W19:W21)</f>
        <v>9.390291141837114</v>
      </c>
      <c r="DA18" s="193" t="s">
        <v>202</v>
      </c>
    </row>
    <row r="19" spans="1:105" ht="11.45" customHeight="1" x14ac:dyDescent="0.25">
      <c r="A19" s="92" t="s">
        <v>27</v>
      </c>
      <c r="B19" s="102">
        <v>3.7345022550293705E-2</v>
      </c>
      <c r="C19" s="102">
        <v>3.959133969617603E-2</v>
      </c>
      <c r="D19" s="102">
        <v>3.5941074334117251E-2</v>
      </c>
      <c r="E19" s="102">
        <v>2.527106789117619E-2</v>
      </c>
      <c r="F19" s="102">
        <v>2.8078964323529101E-2</v>
      </c>
      <c r="G19" s="102">
        <v>3.1763552404438969E-2</v>
      </c>
      <c r="H19" s="102">
        <v>3.3040430556896046E-2</v>
      </c>
      <c r="I19" s="102">
        <v>2.6834456251424933E-2</v>
      </c>
      <c r="J19" s="102">
        <v>4.7303613243305107E-2</v>
      </c>
      <c r="K19" s="102">
        <v>3.4221546796723436E-2</v>
      </c>
      <c r="L19" s="102">
        <v>1.1994148665819567E-2</v>
      </c>
      <c r="M19" s="102">
        <v>6.3340526152321714E-3</v>
      </c>
      <c r="N19" s="102">
        <v>4.8719999999999987E-3</v>
      </c>
      <c r="O19" s="102">
        <v>5.8274661233579522E-3</v>
      </c>
      <c r="P19" s="102">
        <v>6.2854930024096659E-3</v>
      </c>
      <c r="Q19" s="102">
        <v>5.9482365021786849E-3</v>
      </c>
      <c r="R19" s="102">
        <v>1.5089733119056697E-3</v>
      </c>
      <c r="S19" s="102">
        <v>2.6985334426066431E-3</v>
      </c>
      <c r="T19" s="102">
        <v>3.7173750000000002E-3</v>
      </c>
      <c r="U19" s="102">
        <v>3.840000000000001E-3</v>
      </c>
      <c r="V19" s="102">
        <v>5.0871409786594213E-3</v>
      </c>
      <c r="W19" s="102">
        <v>9.2145585618813013E-3</v>
      </c>
      <c r="DA19" s="175" t="s">
        <v>203</v>
      </c>
    </row>
    <row r="20" spans="1:105" ht="11.45" customHeight="1" x14ac:dyDescent="0.25">
      <c r="A20" s="92" t="s">
        <v>173</v>
      </c>
      <c r="B20" s="102">
        <v>1.6949756145069073</v>
      </c>
      <c r="C20" s="102">
        <v>1.7582005751531493</v>
      </c>
      <c r="D20" s="102">
        <v>1.6482718547962671</v>
      </c>
      <c r="E20" s="102">
        <v>1.183223302857739</v>
      </c>
      <c r="F20" s="102">
        <v>1.3171095960109809</v>
      </c>
      <c r="G20" s="102">
        <v>1.5562872966096044</v>
      </c>
      <c r="H20" s="102">
        <v>1.8999194570066438</v>
      </c>
      <c r="I20" s="102">
        <v>1.7853939980488978</v>
      </c>
      <c r="J20" s="102">
        <v>3.9649221288254966</v>
      </c>
      <c r="K20" s="102">
        <v>2.7357813268475377</v>
      </c>
      <c r="L20" s="102">
        <v>1.8540910353410145</v>
      </c>
      <c r="M20" s="102">
        <v>1.7581111580748505</v>
      </c>
      <c r="N20" s="102">
        <v>1.5586377268765568</v>
      </c>
      <c r="O20" s="102">
        <v>1.3008314317124205</v>
      </c>
      <c r="P20" s="102">
        <v>1.9244563478179215</v>
      </c>
      <c r="Q20" s="102">
        <v>1.8849537786221617</v>
      </c>
      <c r="R20" s="102">
        <v>1.4893328987670467</v>
      </c>
      <c r="S20" s="102">
        <v>1.7727549018194746</v>
      </c>
      <c r="T20" s="102">
        <v>1.7687350145737222</v>
      </c>
      <c r="U20" s="102">
        <v>1.9855058797862191</v>
      </c>
      <c r="V20" s="102">
        <v>2.1968703694236069</v>
      </c>
      <c r="W20" s="102">
        <v>3.4348263081856807</v>
      </c>
      <c r="DA20" s="175" t="s">
        <v>204</v>
      </c>
    </row>
    <row r="21" spans="1:105" ht="11.45" customHeight="1" x14ac:dyDescent="0.25">
      <c r="A21" s="85" t="s">
        <v>174</v>
      </c>
      <c r="B21" s="86">
        <v>9.1797375947967622E-2</v>
      </c>
      <c r="C21" s="86">
        <v>9.6897230167299148E-2</v>
      </c>
      <c r="D21" s="86">
        <v>0.11219679282529375</v>
      </c>
      <c r="E21" s="86">
        <v>0.12239650126395683</v>
      </c>
      <c r="F21" s="86">
        <v>0.12239650126395683</v>
      </c>
      <c r="G21" s="86">
        <v>8.7317501326259941E-2</v>
      </c>
      <c r="H21" s="86">
        <v>4.5588607753330429E-2</v>
      </c>
      <c r="I21" s="86">
        <v>5.2165503539809886E-2</v>
      </c>
      <c r="J21" s="86">
        <v>6.1768179820073197</v>
      </c>
      <c r="K21" s="86">
        <v>4.5624233773750458</v>
      </c>
      <c r="L21" s="86">
        <v>5.3639820659340662</v>
      </c>
      <c r="M21" s="86">
        <v>5.3789530001697141</v>
      </c>
      <c r="N21" s="86">
        <v>6.0845054353562009</v>
      </c>
      <c r="O21" s="86">
        <v>5.3017862163586313</v>
      </c>
      <c r="P21" s="86">
        <v>6.023780306046997</v>
      </c>
      <c r="Q21" s="86">
        <v>5.6273285625621776</v>
      </c>
      <c r="R21" s="86">
        <v>4.7689977597328808</v>
      </c>
      <c r="S21" s="86">
        <v>5.2922166503274219</v>
      </c>
      <c r="T21" s="86">
        <v>4.1617065882352939</v>
      </c>
      <c r="U21" s="86">
        <v>4.6642035892857132</v>
      </c>
      <c r="V21" s="86">
        <v>3.7172257488311193</v>
      </c>
      <c r="W21" s="86">
        <v>5.946250275089553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156137</v>
      </c>
      <c r="C23" s="54">
        <f t="shared" si="15"/>
        <v>158992</v>
      </c>
      <c r="D23" s="54">
        <f t="shared" ref="D23:V23" si="16">SUM(D24,D28)</f>
        <v>150578</v>
      </c>
      <c r="E23" s="54">
        <f t="shared" si="16"/>
        <v>154394</v>
      </c>
      <c r="F23" s="54">
        <f t="shared" si="16"/>
        <v>173925</v>
      </c>
      <c r="G23" s="54">
        <f t="shared" si="16"/>
        <v>171582</v>
      </c>
      <c r="H23" s="54">
        <f t="shared" si="16"/>
        <v>166236</v>
      </c>
      <c r="I23" s="54">
        <f t="shared" si="16"/>
        <v>167024</v>
      </c>
      <c r="J23" s="54">
        <f t="shared" si="16"/>
        <v>178394</v>
      </c>
      <c r="K23" s="54">
        <f t="shared" si="16"/>
        <v>158096</v>
      </c>
      <c r="L23" s="54">
        <f t="shared" si="16"/>
        <v>166143</v>
      </c>
      <c r="M23" s="54">
        <f t="shared" si="16"/>
        <v>171628</v>
      </c>
      <c r="N23" s="54">
        <f t="shared" si="16"/>
        <v>159531</v>
      </c>
      <c r="O23" s="54">
        <f t="shared" si="16"/>
        <v>162303</v>
      </c>
      <c r="P23" s="54">
        <f t="shared" si="16"/>
        <v>165112</v>
      </c>
      <c r="Q23" s="54">
        <f t="shared" si="16"/>
        <v>167435</v>
      </c>
      <c r="R23" s="54">
        <f t="shared" si="16"/>
        <v>172858</v>
      </c>
      <c r="S23" s="54">
        <f t="shared" si="16"/>
        <v>168531</v>
      </c>
      <c r="T23" s="54">
        <f t="shared" si="16"/>
        <v>172325</v>
      </c>
      <c r="U23" s="54">
        <f t="shared" si="16"/>
        <v>170885</v>
      </c>
      <c r="V23" s="54">
        <f t="shared" si="16"/>
        <v>67102</v>
      </c>
      <c r="W23" s="54">
        <f t="shared" ref="W23" si="17">SUM(W24,W28)</f>
        <v>75617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153738</v>
      </c>
      <c r="C24" s="11">
        <f t="shared" si="18"/>
        <v>156501</v>
      </c>
      <c r="D24" s="11">
        <f t="shared" ref="D24:V24" si="19">SUM(D25:D27)</f>
        <v>148238</v>
      </c>
      <c r="E24" s="11">
        <f t="shared" si="19"/>
        <v>152701</v>
      </c>
      <c r="F24" s="11">
        <f t="shared" si="19"/>
        <v>172050</v>
      </c>
      <c r="G24" s="11">
        <f t="shared" si="19"/>
        <v>169418</v>
      </c>
      <c r="H24" s="11">
        <f t="shared" si="19"/>
        <v>163667</v>
      </c>
      <c r="I24" s="11">
        <f t="shared" si="19"/>
        <v>164628</v>
      </c>
      <c r="J24" s="11">
        <f t="shared" si="19"/>
        <v>171684</v>
      </c>
      <c r="K24" s="11">
        <f t="shared" si="19"/>
        <v>153581</v>
      </c>
      <c r="L24" s="11">
        <f t="shared" si="19"/>
        <v>162794</v>
      </c>
      <c r="M24" s="11">
        <f t="shared" si="19"/>
        <v>168308</v>
      </c>
      <c r="N24" s="11">
        <f t="shared" si="19"/>
        <v>156305</v>
      </c>
      <c r="O24" s="11">
        <f t="shared" si="19"/>
        <v>159414</v>
      </c>
      <c r="P24" s="11">
        <f t="shared" si="19"/>
        <v>160963</v>
      </c>
      <c r="Q24" s="11">
        <f t="shared" si="19"/>
        <v>163179</v>
      </c>
      <c r="R24" s="11">
        <f t="shared" si="19"/>
        <v>169375</v>
      </c>
      <c r="S24" s="11">
        <f t="shared" si="19"/>
        <v>164312</v>
      </c>
      <c r="T24" s="11">
        <f t="shared" si="19"/>
        <v>168097</v>
      </c>
      <c r="U24" s="11">
        <f t="shared" si="19"/>
        <v>166371</v>
      </c>
      <c r="V24" s="11">
        <f t="shared" si="19"/>
        <v>62144</v>
      </c>
      <c r="W24" s="11">
        <f t="shared" ref="W24" si="20">SUM(W25:W27)</f>
        <v>69158</v>
      </c>
      <c r="DA24" s="189" t="s">
        <v>207</v>
      </c>
    </row>
    <row r="25" spans="1:105" ht="11.45" customHeight="1" x14ac:dyDescent="0.25">
      <c r="A25" s="83" t="s">
        <v>27</v>
      </c>
      <c r="B25" s="84">
        <v>25589</v>
      </c>
      <c r="C25" s="84">
        <v>26184</v>
      </c>
      <c r="D25" s="84">
        <v>26852</v>
      </c>
      <c r="E25" s="84">
        <v>31986</v>
      </c>
      <c r="F25" s="84">
        <v>43275</v>
      </c>
      <c r="G25" s="84">
        <v>42244</v>
      </c>
      <c r="H25" s="84">
        <v>41880</v>
      </c>
      <c r="I25" s="84">
        <v>42098</v>
      </c>
      <c r="J25" s="84">
        <v>43818</v>
      </c>
      <c r="K25" s="84">
        <v>40736</v>
      </c>
      <c r="L25" s="84">
        <v>44859</v>
      </c>
      <c r="M25" s="84">
        <v>45269</v>
      </c>
      <c r="N25" s="84">
        <v>32000</v>
      </c>
      <c r="O25" s="84">
        <v>33581</v>
      </c>
      <c r="P25" s="84">
        <v>35272</v>
      </c>
      <c r="Q25" s="84">
        <v>35027</v>
      </c>
      <c r="R25" s="84">
        <v>35278</v>
      </c>
      <c r="S25" s="84">
        <v>33689</v>
      </c>
      <c r="T25" s="84">
        <v>32459</v>
      </c>
      <c r="U25" s="84">
        <v>31769</v>
      </c>
      <c r="V25" s="84">
        <v>18251</v>
      </c>
      <c r="W25" s="84">
        <v>20264</v>
      </c>
      <c r="DA25" s="171" t="s">
        <v>208</v>
      </c>
    </row>
    <row r="26" spans="1:105" ht="11.45" customHeight="1" x14ac:dyDescent="0.25">
      <c r="A26" s="83" t="s">
        <v>173</v>
      </c>
      <c r="B26" s="84">
        <v>115754</v>
      </c>
      <c r="C26" s="84">
        <v>117712</v>
      </c>
      <c r="D26" s="84">
        <v>110724</v>
      </c>
      <c r="E26" s="84">
        <v>110422</v>
      </c>
      <c r="F26" s="84">
        <v>116896</v>
      </c>
      <c r="G26" s="84">
        <v>114471</v>
      </c>
      <c r="H26" s="84">
        <v>110587</v>
      </c>
      <c r="I26" s="84">
        <v>110978</v>
      </c>
      <c r="J26" s="84">
        <v>115396</v>
      </c>
      <c r="K26" s="84">
        <v>101318</v>
      </c>
      <c r="L26" s="84">
        <v>104772</v>
      </c>
      <c r="M26" s="84">
        <v>108409</v>
      </c>
      <c r="N26" s="84">
        <v>109309</v>
      </c>
      <c r="O26" s="84">
        <v>110972</v>
      </c>
      <c r="P26" s="84">
        <v>110055</v>
      </c>
      <c r="Q26" s="84">
        <v>112533</v>
      </c>
      <c r="R26" s="84">
        <v>118568</v>
      </c>
      <c r="S26" s="84">
        <v>115432</v>
      </c>
      <c r="T26" s="84">
        <v>118280</v>
      </c>
      <c r="U26" s="84">
        <v>116466</v>
      </c>
      <c r="V26" s="84">
        <v>38143</v>
      </c>
      <c r="W26" s="84">
        <v>41344</v>
      </c>
      <c r="DA26" s="171" t="s">
        <v>209</v>
      </c>
    </row>
    <row r="27" spans="1:105" ht="11.45" customHeight="1" x14ac:dyDescent="0.25">
      <c r="A27" s="83" t="s">
        <v>174</v>
      </c>
      <c r="B27" s="84">
        <v>12395</v>
      </c>
      <c r="C27" s="84">
        <v>12605</v>
      </c>
      <c r="D27" s="84">
        <v>10662</v>
      </c>
      <c r="E27" s="84">
        <v>10293</v>
      </c>
      <c r="F27" s="84">
        <v>11879</v>
      </c>
      <c r="G27" s="84">
        <v>12703</v>
      </c>
      <c r="H27" s="84">
        <v>11200</v>
      </c>
      <c r="I27" s="84">
        <v>11552</v>
      </c>
      <c r="J27" s="84">
        <v>12470</v>
      </c>
      <c r="K27" s="84">
        <v>11527</v>
      </c>
      <c r="L27" s="84">
        <v>13163</v>
      </c>
      <c r="M27" s="84">
        <v>14630</v>
      </c>
      <c r="N27" s="84">
        <v>14996</v>
      </c>
      <c r="O27" s="84">
        <v>14861</v>
      </c>
      <c r="P27" s="84">
        <v>15636</v>
      </c>
      <c r="Q27" s="84">
        <v>15619</v>
      </c>
      <c r="R27" s="84">
        <v>15529</v>
      </c>
      <c r="S27" s="84">
        <v>15191</v>
      </c>
      <c r="T27" s="84">
        <v>17358</v>
      </c>
      <c r="U27" s="84">
        <v>18136</v>
      </c>
      <c r="V27" s="84">
        <v>5750</v>
      </c>
      <c r="W27" s="84">
        <v>7550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2399</v>
      </c>
      <c r="C28" s="13">
        <f t="shared" si="21"/>
        <v>2491</v>
      </c>
      <c r="D28" s="13">
        <f t="shared" ref="D28:V28" si="22">SUM(D29:D31)</f>
        <v>2340</v>
      </c>
      <c r="E28" s="13">
        <f t="shared" si="22"/>
        <v>1693</v>
      </c>
      <c r="F28" s="13">
        <f t="shared" si="22"/>
        <v>1875</v>
      </c>
      <c r="G28" s="13">
        <f t="shared" si="22"/>
        <v>2164</v>
      </c>
      <c r="H28" s="13">
        <f t="shared" si="22"/>
        <v>2569</v>
      </c>
      <c r="I28" s="13">
        <f t="shared" si="22"/>
        <v>2396</v>
      </c>
      <c r="J28" s="13">
        <f t="shared" si="22"/>
        <v>6710</v>
      </c>
      <c r="K28" s="13">
        <f t="shared" si="22"/>
        <v>4515</v>
      </c>
      <c r="L28" s="13">
        <f t="shared" si="22"/>
        <v>3349</v>
      </c>
      <c r="M28" s="13">
        <f t="shared" si="22"/>
        <v>3320</v>
      </c>
      <c r="N28" s="13">
        <f t="shared" si="22"/>
        <v>3226</v>
      </c>
      <c r="O28" s="13">
        <f t="shared" si="22"/>
        <v>2889</v>
      </c>
      <c r="P28" s="13">
        <f t="shared" si="22"/>
        <v>4149</v>
      </c>
      <c r="Q28" s="13">
        <f t="shared" si="22"/>
        <v>4256</v>
      </c>
      <c r="R28" s="13">
        <f t="shared" si="22"/>
        <v>3483</v>
      </c>
      <c r="S28" s="13">
        <f t="shared" si="22"/>
        <v>4219</v>
      </c>
      <c r="T28" s="13">
        <f t="shared" si="22"/>
        <v>4228</v>
      </c>
      <c r="U28" s="13">
        <f t="shared" si="22"/>
        <v>4514</v>
      </c>
      <c r="V28" s="13">
        <f t="shared" si="22"/>
        <v>4958</v>
      </c>
      <c r="W28" s="13">
        <f t="shared" ref="W28" si="23">SUM(W29:W31)</f>
        <v>6459</v>
      </c>
      <c r="DA28" s="193" t="s">
        <v>211</v>
      </c>
    </row>
    <row r="29" spans="1:105" ht="11.45" customHeight="1" x14ac:dyDescent="0.25">
      <c r="A29" s="92" t="s">
        <v>27</v>
      </c>
      <c r="B29" s="102">
        <v>133</v>
      </c>
      <c r="C29" s="102">
        <v>141</v>
      </c>
      <c r="D29" s="102">
        <v>128</v>
      </c>
      <c r="E29" s="102">
        <v>90</v>
      </c>
      <c r="F29" s="102">
        <v>100</v>
      </c>
      <c r="G29" s="102">
        <v>117</v>
      </c>
      <c r="H29" s="102">
        <v>138</v>
      </c>
      <c r="I29" s="102">
        <v>128</v>
      </c>
      <c r="J29" s="102">
        <v>260</v>
      </c>
      <c r="K29" s="102">
        <v>226</v>
      </c>
      <c r="L29" s="102">
        <v>105</v>
      </c>
      <c r="M29" s="102">
        <v>62</v>
      </c>
      <c r="N29" s="102">
        <v>50</v>
      </c>
      <c r="O29" s="102">
        <v>55</v>
      </c>
      <c r="P29" s="102">
        <v>55</v>
      </c>
      <c r="Q29" s="102">
        <v>48</v>
      </c>
      <c r="R29" s="102">
        <v>11</v>
      </c>
      <c r="S29" s="102">
        <v>18</v>
      </c>
      <c r="T29" s="102">
        <v>23</v>
      </c>
      <c r="U29" s="102">
        <v>18</v>
      </c>
      <c r="V29" s="102">
        <v>24</v>
      </c>
      <c r="W29" s="102">
        <v>42</v>
      </c>
      <c r="DA29" s="175" t="s">
        <v>212</v>
      </c>
    </row>
    <row r="30" spans="1:105" ht="11.45" customHeight="1" x14ac:dyDescent="0.25">
      <c r="A30" s="92" t="s">
        <v>173</v>
      </c>
      <c r="B30" s="102">
        <v>2248</v>
      </c>
      <c r="C30" s="102">
        <v>2331</v>
      </c>
      <c r="D30" s="102">
        <v>2190</v>
      </c>
      <c r="E30" s="102">
        <v>1579</v>
      </c>
      <c r="F30" s="102">
        <v>1751</v>
      </c>
      <c r="G30" s="102">
        <v>2030</v>
      </c>
      <c r="H30" s="102">
        <v>2423</v>
      </c>
      <c r="I30" s="102">
        <v>2259</v>
      </c>
      <c r="J30" s="102">
        <v>5394</v>
      </c>
      <c r="K30" s="102">
        <v>3549</v>
      </c>
      <c r="L30" s="102">
        <v>2396</v>
      </c>
      <c r="M30" s="102">
        <v>2397</v>
      </c>
      <c r="N30" s="102">
        <v>2206</v>
      </c>
      <c r="O30" s="102">
        <v>1909</v>
      </c>
      <c r="P30" s="102">
        <v>2944</v>
      </c>
      <c r="Q30" s="102">
        <v>3022</v>
      </c>
      <c r="R30" s="102">
        <v>2365</v>
      </c>
      <c r="S30" s="102">
        <v>2785</v>
      </c>
      <c r="T30" s="102">
        <v>2825</v>
      </c>
      <c r="U30" s="102">
        <v>3123</v>
      </c>
      <c r="V30" s="102">
        <v>3828</v>
      </c>
      <c r="W30" s="102">
        <v>4675</v>
      </c>
      <c r="DA30" s="175" t="s">
        <v>213</v>
      </c>
    </row>
    <row r="31" spans="1:105" ht="11.45" customHeight="1" x14ac:dyDescent="0.25">
      <c r="A31" s="85" t="s">
        <v>174</v>
      </c>
      <c r="B31" s="86">
        <v>18</v>
      </c>
      <c r="C31" s="86">
        <v>19</v>
      </c>
      <c r="D31" s="86">
        <v>22</v>
      </c>
      <c r="E31" s="86">
        <v>24</v>
      </c>
      <c r="F31" s="86">
        <v>24</v>
      </c>
      <c r="G31" s="86">
        <v>17</v>
      </c>
      <c r="H31" s="86">
        <v>8</v>
      </c>
      <c r="I31" s="86">
        <v>9</v>
      </c>
      <c r="J31" s="86">
        <v>1056</v>
      </c>
      <c r="K31" s="86">
        <v>740</v>
      </c>
      <c r="L31" s="86">
        <v>848</v>
      </c>
      <c r="M31" s="86">
        <v>861</v>
      </c>
      <c r="N31" s="86">
        <v>970</v>
      </c>
      <c r="O31" s="86">
        <v>925</v>
      </c>
      <c r="P31" s="86">
        <v>1150</v>
      </c>
      <c r="Q31" s="86">
        <v>1186</v>
      </c>
      <c r="R31" s="86">
        <v>1107</v>
      </c>
      <c r="S31" s="86">
        <v>1416</v>
      </c>
      <c r="T31" s="86">
        <v>1380</v>
      </c>
      <c r="U31" s="86">
        <v>1373</v>
      </c>
      <c r="V31" s="86">
        <v>1106</v>
      </c>
      <c r="W31" s="86">
        <v>1742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10032376</v>
      </c>
      <c r="C34" s="11">
        <f t="shared" si="24"/>
        <v>10340068</v>
      </c>
      <c r="D34" s="11">
        <f t="shared" ref="D34:V34" si="25">SUM(D35:D37)</f>
        <v>10303186</v>
      </c>
      <c r="E34" s="11">
        <f t="shared" si="25"/>
        <v>10278595</v>
      </c>
      <c r="F34" s="11">
        <f t="shared" si="25"/>
        <v>11355501</v>
      </c>
      <c r="G34" s="11">
        <f t="shared" si="25"/>
        <v>11942433</v>
      </c>
      <c r="H34" s="11">
        <f t="shared" si="25"/>
        <v>12416930</v>
      </c>
      <c r="I34" s="11">
        <f t="shared" si="25"/>
        <v>13004877</v>
      </c>
      <c r="J34" s="11">
        <f t="shared" si="25"/>
        <v>13105057</v>
      </c>
      <c r="K34" s="11">
        <f t="shared" si="25"/>
        <v>12065290</v>
      </c>
      <c r="L34" s="11">
        <f t="shared" si="25"/>
        <v>13325884</v>
      </c>
      <c r="M34" s="11">
        <f t="shared" si="25"/>
        <v>14033806</v>
      </c>
      <c r="N34" s="11">
        <f t="shared" si="25"/>
        <v>14147058</v>
      </c>
      <c r="O34" s="11">
        <f t="shared" si="25"/>
        <v>14603602</v>
      </c>
      <c r="P34" s="11">
        <f t="shared" si="25"/>
        <v>15481418</v>
      </c>
      <c r="Q34" s="11">
        <f t="shared" si="25"/>
        <v>15986099</v>
      </c>
      <c r="R34" s="11">
        <f t="shared" si="25"/>
        <v>17271301</v>
      </c>
      <c r="S34" s="11">
        <f t="shared" si="25"/>
        <v>17452113</v>
      </c>
      <c r="T34" s="11">
        <f t="shared" si="25"/>
        <v>18147600</v>
      </c>
      <c r="U34" s="11">
        <f t="shared" si="25"/>
        <v>18155594</v>
      </c>
      <c r="V34" s="11">
        <f t="shared" si="25"/>
        <v>4581514</v>
      </c>
      <c r="W34" s="11">
        <f t="shared" ref="W34" si="26">SUM(W35:W37)</f>
        <v>5881658</v>
      </c>
      <c r="DA34" s="189" t="s">
        <v>215</v>
      </c>
    </row>
    <row r="35" spans="1:105" ht="11.45" customHeight="1" x14ac:dyDescent="0.25">
      <c r="A35" s="83" t="s">
        <v>27</v>
      </c>
      <c r="B35" s="84">
        <v>1198254</v>
      </c>
      <c r="C35" s="84">
        <v>1231378</v>
      </c>
      <c r="D35" s="84">
        <v>1112832</v>
      </c>
      <c r="E35" s="84">
        <v>1210000</v>
      </c>
      <c r="F35" s="84">
        <v>1521271</v>
      </c>
      <c r="G35" s="84">
        <v>1591865</v>
      </c>
      <c r="H35" s="84">
        <v>1716427</v>
      </c>
      <c r="I35" s="84">
        <v>1868343</v>
      </c>
      <c r="J35" s="84">
        <v>1868095</v>
      </c>
      <c r="K35" s="84">
        <v>1867029</v>
      </c>
      <c r="L35" s="84">
        <v>2298279</v>
      </c>
      <c r="M35" s="84">
        <v>2258511</v>
      </c>
      <c r="N35" s="84">
        <v>1788809</v>
      </c>
      <c r="O35" s="84">
        <v>1777520</v>
      </c>
      <c r="P35" s="84">
        <v>1847487</v>
      </c>
      <c r="Q35" s="84">
        <v>1797761</v>
      </c>
      <c r="R35" s="84">
        <v>1869847</v>
      </c>
      <c r="S35" s="84">
        <v>1785953</v>
      </c>
      <c r="T35" s="84">
        <v>1765424</v>
      </c>
      <c r="U35" s="84">
        <v>1684878</v>
      </c>
      <c r="V35" s="84">
        <v>716176</v>
      </c>
      <c r="W35" s="84">
        <v>977562</v>
      </c>
      <c r="DA35" s="171" t="s">
        <v>216</v>
      </c>
    </row>
    <row r="36" spans="1:105" ht="11.45" customHeight="1" x14ac:dyDescent="0.25">
      <c r="A36" s="83" t="s">
        <v>173</v>
      </c>
      <c r="B36" s="84">
        <v>7482658</v>
      </c>
      <c r="C36" s="84">
        <v>7713956</v>
      </c>
      <c r="D36" s="84">
        <v>7785871</v>
      </c>
      <c r="E36" s="84">
        <v>7709532</v>
      </c>
      <c r="F36" s="84">
        <v>8262464</v>
      </c>
      <c r="G36" s="84">
        <v>8591055</v>
      </c>
      <c r="H36" s="84">
        <v>9024323</v>
      </c>
      <c r="I36" s="84">
        <v>9398994</v>
      </c>
      <c r="J36" s="84">
        <v>9402064</v>
      </c>
      <c r="K36" s="84">
        <v>8488821</v>
      </c>
      <c r="L36" s="84">
        <v>9072749</v>
      </c>
      <c r="M36" s="84">
        <v>9724891</v>
      </c>
      <c r="N36" s="84">
        <v>10129210</v>
      </c>
      <c r="O36" s="84">
        <v>10533175</v>
      </c>
      <c r="P36" s="84">
        <v>11135939</v>
      </c>
      <c r="Q36" s="84">
        <v>11681536</v>
      </c>
      <c r="R36" s="84">
        <v>12856593</v>
      </c>
      <c r="S36" s="84">
        <v>13058539</v>
      </c>
      <c r="T36" s="84">
        <v>13422452</v>
      </c>
      <c r="U36" s="84">
        <v>13379601</v>
      </c>
      <c r="V36" s="84">
        <v>3167272</v>
      </c>
      <c r="W36" s="84">
        <v>4139201</v>
      </c>
      <c r="DA36" s="171" t="s">
        <v>217</v>
      </c>
    </row>
    <row r="37" spans="1:105" ht="11.45" customHeight="1" x14ac:dyDescent="0.25">
      <c r="A37" s="83" t="s">
        <v>174</v>
      </c>
      <c r="B37" s="84">
        <v>1351464</v>
      </c>
      <c r="C37" s="84">
        <v>1394734</v>
      </c>
      <c r="D37" s="84">
        <v>1404483</v>
      </c>
      <c r="E37" s="84">
        <v>1359063</v>
      </c>
      <c r="F37" s="84">
        <v>1571766</v>
      </c>
      <c r="G37" s="84">
        <v>1759513</v>
      </c>
      <c r="H37" s="84">
        <v>1676180</v>
      </c>
      <c r="I37" s="84">
        <v>1737540</v>
      </c>
      <c r="J37" s="84">
        <v>1834898</v>
      </c>
      <c r="K37" s="84">
        <v>1709440</v>
      </c>
      <c r="L37" s="84">
        <v>1954856</v>
      </c>
      <c r="M37" s="84">
        <v>2050404</v>
      </c>
      <c r="N37" s="84">
        <v>2229039</v>
      </c>
      <c r="O37" s="84">
        <v>2292907</v>
      </c>
      <c r="P37" s="84">
        <v>2497992</v>
      </c>
      <c r="Q37" s="84">
        <v>2506802</v>
      </c>
      <c r="R37" s="84">
        <v>2544861</v>
      </c>
      <c r="S37" s="84">
        <v>2607621</v>
      </c>
      <c r="T37" s="84">
        <v>2959724</v>
      </c>
      <c r="U37" s="84">
        <v>3091115</v>
      </c>
      <c r="V37" s="84">
        <v>698066</v>
      </c>
      <c r="W37" s="84">
        <v>764895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38410.435532868629</v>
      </c>
      <c r="C38" s="13">
        <f t="shared" si="27"/>
        <v>40307.08186195328</v>
      </c>
      <c r="D38" s="13">
        <f t="shared" ref="D38:V38" si="28">SUM(D39:D41)</f>
        <v>38160.806997733169</v>
      </c>
      <c r="E38" s="13">
        <f t="shared" si="28"/>
        <v>29255.999880835683</v>
      </c>
      <c r="F38" s="13">
        <f t="shared" si="28"/>
        <v>30244.880747172334</v>
      </c>
      <c r="G38" s="13">
        <f t="shared" si="28"/>
        <v>32742.230706371101</v>
      </c>
      <c r="H38" s="13">
        <f t="shared" si="28"/>
        <v>35578.541548326299</v>
      </c>
      <c r="I38" s="13">
        <f t="shared" si="28"/>
        <v>32710.549547797866</v>
      </c>
      <c r="J38" s="13">
        <f t="shared" si="28"/>
        <v>123495.37096126168</v>
      </c>
      <c r="K38" s="13">
        <f t="shared" si="28"/>
        <v>87393.720193671819</v>
      </c>
      <c r="L38" s="13">
        <f t="shared" si="28"/>
        <v>80145.530776859421</v>
      </c>
      <c r="M38" s="13">
        <f t="shared" si="28"/>
        <v>85215.711239631084</v>
      </c>
      <c r="N38" s="13">
        <f t="shared" si="28"/>
        <v>93858.916423038812</v>
      </c>
      <c r="O38" s="13">
        <f t="shared" si="28"/>
        <v>87104.991894552644</v>
      </c>
      <c r="P38" s="13">
        <f t="shared" si="28"/>
        <v>130331.2744297489</v>
      </c>
      <c r="Q38" s="13">
        <f t="shared" si="28"/>
        <v>133763.49840072388</v>
      </c>
      <c r="R38" s="13">
        <f t="shared" si="28"/>
        <v>129648.76649435527</v>
      </c>
      <c r="S38" s="13">
        <f t="shared" si="28"/>
        <v>156717.35111226104</v>
      </c>
      <c r="T38" s="13">
        <f t="shared" si="28"/>
        <v>154936.10293832107</v>
      </c>
      <c r="U38" s="13">
        <f t="shared" si="28"/>
        <v>164019.00257427181</v>
      </c>
      <c r="V38" s="13">
        <f t="shared" si="28"/>
        <v>122969.25375382754</v>
      </c>
      <c r="W38" s="13">
        <f t="shared" ref="W38" si="29">SUM(W39:W41)</f>
        <v>175915.06120734854</v>
      </c>
      <c r="DA38" s="193" t="s">
        <v>219</v>
      </c>
    </row>
    <row r="39" spans="1:105" ht="11.45" customHeight="1" x14ac:dyDescent="0.25">
      <c r="A39" s="92" t="s">
        <v>27</v>
      </c>
      <c r="B39" s="102">
        <v>1333.0936754816391</v>
      </c>
      <c r="C39" s="102">
        <v>1402.5039962819912</v>
      </c>
      <c r="D39" s="102">
        <v>1309.263520747827</v>
      </c>
      <c r="E39" s="102">
        <v>979.20503376532372</v>
      </c>
      <c r="F39" s="102">
        <v>1024.529327065095</v>
      </c>
      <c r="G39" s="102">
        <v>1173.0848514427805</v>
      </c>
      <c r="H39" s="102">
        <v>1330.9131125233862</v>
      </c>
      <c r="I39" s="102">
        <v>1229.886643448692</v>
      </c>
      <c r="J39" s="102">
        <v>2403.5058214858277</v>
      </c>
      <c r="K39" s="102">
        <v>2107.2492903086027</v>
      </c>
      <c r="L39" s="102">
        <v>1047.1323614532932</v>
      </c>
      <c r="M39" s="102">
        <v>675.51564152281867</v>
      </c>
      <c r="N39" s="102">
        <v>559.56546842763282</v>
      </c>
      <c r="O39" s="102">
        <v>630.98751964637586</v>
      </c>
      <c r="P39" s="102">
        <v>707.68602812666461</v>
      </c>
      <c r="Q39" s="102">
        <v>635.53156823461416</v>
      </c>
      <c r="R39" s="102">
        <v>167.87459693511485</v>
      </c>
      <c r="S39" s="102">
        <v>252.67140653761211</v>
      </c>
      <c r="T39" s="102">
        <v>328.6199926889617</v>
      </c>
      <c r="U39" s="102">
        <v>284.4597616317937</v>
      </c>
      <c r="V39" s="102">
        <v>349.5715242849115</v>
      </c>
      <c r="W39" s="102">
        <v>618.82303076388496</v>
      </c>
      <c r="DA39" s="175" t="s">
        <v>220</v>
      </c>
    </row>
    <row r="40" spans="1:105" ht="11.45" customHeight="1" x14ac:dyDescent="0.25">
      <c r="A40" s="92" t="s">
        <v>173</v>
      </c>
      <c r="B40" s="102">
        <v>36139.0176282428</v>
      </c>
      <c r="C40" s="102">
        <v>37881.640325770604</v>
      </c>
      <c r="D40" s="102">
        <v>35688.009265783257</v>
      </c>
      <c r="E40" s="102">
        <v>27107.490822119889</v>
      </c>
      <c r="F40" s="102">
        <v>28066.92515714094</v>
      </c>
      <c r="G40" s="102">
        <v>30817.474607421369</v>
      </c>
      <c r="H40" s="102">
        <v>33886.317794458075</v>
      </c>
      <c r="I40" s="102">
        <v>31073.979772316779</v>
      </c>
      <c r="J40" s="102">
        <v>73663.834975936916</v>
      </c>
      <c r="K40" s="102">
        <v>48361.37228737073</v>
      </c>
      <c r="L40" s="102">
        <v>34552.2053179332</v>
      </c>
      <c r="M40" s="102">
        <v>37128.819378699875</v>
      </c>
      <c r="N40" s="102">
        <v>36314.779587680314</v>
      </c>
      <c r="O40" s="102">
        <v>31578.760420634222</v>
      </c>
      <c r="P40" s="102">
        <v>53574.184861505892</v>
      </c>
      <c r="Q40" s="102">
        <v>54927.164135843712</v>
      </c>
      <c r="R40" s="102">
        <v>48656.355746351299</v>
      </c>
      <c r="S40" s="102">
        <v>53271.742007390756</v>
      </c>
      <c r="T40" s="102">
        <v>53706.144048823146</v>
      </c>
      <c r="U40" s="102">
        <v>60875.517393121801</v>
      </c>
      <c r="V40" s="102">
        <v>67063.361377340305</v>
      </c>
      <c r="W40" s="102">
        <v>82515.286964164494</v>
      </c>
      <c r="DA40" s="175" t="s">
        <v>221</v>
      </c>
    </row>
    <row r="41" spans="1:105" ht="11.45" customHeight="1" x14ac:dyDescent="0.25">
      <c r="A41" s="85" t="s">
        <v>174</v>
      </c>
      <c r="B41" s="86">
        <v>938.32422914419112</v>
      </c>
      <c r="C41" s="86">
        <v>1022.9375399006794</v>
      </c>
      <c r="D41" s="86">
        <v>1163.5342112020808</v>
      </c>
      <c r="E41" s="86">
        <v>1169.3040249504693</v>
      </c>
      <c r="F41" s="86">
        <v>1153.4262629662978</v>
      </c>
      <c r="G41" s="86">
        <v>751.67124750695223</v>
      </c>
      <c r="H41" s="86">
        <v>361.3106413448391</v>
      </c>
      <c r="I41" s="86">
        <v>406.6831320323929</v>
      </c>
      <c r="J41" s="86">
        <v>47428.030163838928</v>
      </c>
      <c r="K41" s="86">
        <v>36925.098615992487</v>
      </c>
      <c r="L41" s="86">
        <v>44546.193097472926</v>
      </c>
      <c r="M41" s="86">
        <v>47411.376219408383</v>
      </c>
      <c r="N41" s="86">
        <v>56984.571366930861</v>
      </c>
      <c r="O41" s="86">
        <v>54895.243954272046</v>
      </c>
      <c r="P41" s="86">
        <v>76049.403540116342</v>
      </c>
      <c r="Q41" s="86">
        <v>78200.802696645565</v>
      </c>
      <c r="R41" s="86">
        <v>80824.536151068853</v>
      </c>
      <c r="S41" s="86">
        <v>103192.93769833267</v>
      </c>
      <c r="T41" s="86">
        <v>100901.33889680896</v>
      </c>
      <c r="U41" s="86">
        <v>102859.02541951824</v>
      </c>
      <c r="V41" s="86">
        <v>55556.320852202327</v>
      </c>
      <c r="W41" s="86">
        <v>92780.951212420157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118.26843702768629</v>
      </c>
      <c r="C43" s="54">
        <f t="shared" si="30"/>
        <v>120.37647609620873</v>
      </c>
      <c r="D43" s="54">
        <f t="shared" ref="D43:V43" si="31">SUM(D44,D48)</f>
        <v>113.07273360151643</v>
      </c>
      <c r="E43" s="54">
        <f t="shared" si="31"/>
        <v>112.19655143008468</v>
      </c>
      <c r="F43" s="54">
        <f t="shared" si="31"/>
        <v>124.16577952499991</v>
      </c>
      <c r="G43" s="54">
        <f t="shared" si="31"/>
        <v>124.46845080318673</v>
      </c>
      <c r="H43" s="54">
        <f t="shared" si="31"/>
        <v>120.92776480965668</v>
      </c>
      <c r="I43" s="54">
        <f t="shared" si="31"/>
        <v>121.43420471268932</v>
      </c>
      <c r="J43" s="54">
        <f t="shared" si="31"/>
        <v>131.59852497809331</v>
      </c>
      <c r="K43" s="54">
        <f t="shared" si="31"/>
        <v>122.0441783962689</v>
      </c>
      <c r="L43" s="54">
        <f t="shared" si="31"/>
        <v>128.15000517256101</v>
      </c>
      <c r="M43" s="54">
        <f t="shared" si="31"/>
        <v>131.24296922151223</v>
      </c>
      <c r="N43" s="54">
        <f t="shared" si="31"/>
        <v>131.10221409810143</v>
      </c>
      <c r="O43" s="54">
        <f t="shared" si="31"/>
        <v>131.86064213015592</v>
      </c>
      <c r="P43" s="54">
        <f t="shared" si="31"/>
        <v>132.28274727763824</v>
      </c>
      <c r="Q43" s="54">
        <f t="shared" si="31"/>
        <v>133.42076469945553</v>
      </c>
      <c r="R43" s="54">
        <f t="shared" si="31"/>
        <v>139.94366807619309</v>
      </c>
      <c r="S43" s="54">
        <f t="shared" si="31"/>
        <v>137.825968912831</v>
      </c>
      <c r="T43" s="54">
        <f t="shared" si="31"/>
        <v>143.7920040154149</v>
      </c>
      <c r="U43" s="54">
        <f t="shared" si="31"/>
        <v>143.03400520864372</v>
      </c>
      <c r="V43" s="54">
        <f t="shared" si="31"/>
        <v>135.63691677811559</v>
      </c>
      <c r="W43" s="54">
        <f t="shared" ref="W43" si="32">SUM(W44,W48)</f>
        <v>129.0597198251277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116.21728879059009</v>
      </c>
      <c r="C44" s="11">
        <f t="shared" si="33"/>
        <v>118.24630041491223</v>
      </c>
      <c r="D44" s="11">
        <f t="shared" ref="D44:V44" si="34">SUM(D45:D47)</f>
        <v>111.06383342661775</v>
      </c>
      <c r="E44" s="11">
        <f t="shared" si="34"/>
        <v>110.38187782674662</v>
      </c>
      <c r="F44" s="11">
        <f t="shared" si="34"/>
        <v>122.54211844046122</v>
      </c>
      <c r="G44" s="11">
        <f t="shared" si="34"/>
        <v>122.55930843341733</v>
      </c>
      <c r="H44" s="11">
        <f t="shared" si="34"/>
        <v>118.63271407194476</v>
      </c>
      <c r="I44" s="11">
        <f t="shared" si="34"/>
        <v>119.28883120378553</v>
      </c>
      <c r="J44" s="11">
        <f t="shared" si="34"/>
        <v>123.51312594837096</v>
      </c>
      <c r="K44" s="11">
        <f t="shared" si="34"/>
        <v>114.16389419025616</v>
      </c>
      <c r="L44" s="11">
        <f t="shared" si="34"/>
        <v>120.47483579025788</v>
      </c>
      <c r="M44" s="11">
        <f t="shared" si="34"/>
        <v>123.77291466291874</v>
      </c>
      <c r="N44" s="11">
        <f t="shared" si="34"/>
        <v>123.83727436321756</v>
      </c>
      <c r="O44" s="11">
        <f t="shared" si="34"/>
        <v>124.80081721898165</v>
      </c>
      <c r="P44" s="11">
        <f t="shared" si="34"/>
        <v>125.40832044895205</v>
      </c>
      <c r="Q44" s="11">
        <f t="shared" si="34"/>
        <v>126.75145269447896</v>
      </c>
      <c r="R44" s="11">
        <f t="shared" si="34"/>
        <v>133.47947089492612</v>
      </c>
      <c r="S44" s="11">
        <f t="shared" si="34"/>
        <v>131.56688655527367</v>
      </c>
      <c r="T44" s="11">
        <f t="shared" si="34"/>
        <v>137.60064940274026</v>
      </c>
      <c r="U44" s="11">
        <f t="shared" si="34"/>
        <v>136.76561016259984</v>
      </c>
      <c r="V44" s="11">
        <f t="shared" si="34"/>
        <v>129.01779090989382</v>
      </c>
      <c r="W44" s="11">
        <f t="shared" ref="W44" si="35">SUM(W45:W47)</f>
        <v>121.2699716571878</v>
      </c>
      <c r="DA44" s="189" t="s">
        <v>224</v>
      </c>
    </row>
    <row r="45" spans="1:105" ht="11.45" customHeight="1" x14ac:dyDescent="0.25">
      <c r="A45" s="83" t="s">
        <v>27</v>
      </c>
      <c r="B45" s="84">
        <v>9.8646877409406315</v>
      </c>
      <c r="C45" s="84">
        <v>10.094063222821896</v>
      </c>
      <c r="D45" s="84">
        <v>10.351580570547418</v>
      </c>
      <c r="E45" s="84">
        <v>12.330763299922898</v>
      </c>
      <c r="F45" s="84">
        <v>16.68272937548188</v>
      </c>
      <c r="G45" s="84">
        <v>16.148318042813457</v>
      </c>
      <c r="H45" s="84">
        <v>16.033690658499236</v>
      </c>
      <c r="I45" s="84">
        <v>16.172877449097196</v>
      </c>
      <c r="J45" s="84">
        <v>16.924681344148318</v>
      </c>
      <c r="K45" s="84">
        <v>15.938212570054255</v>
      </c>
      <c r="L45" s="84">
        <v>17.32007722007722</v>
      </c>
      <c r="M45" s="84">
        <v>17.278244274809161</v>
      </c>
      <c r="N45" s="84">
        <v>16.291775500715097</v>
      </c>
      <c r="O45" s="84">
        <v>15.305306726621033</v>
      </c>
      <c r="P45" s="84">
        <v>14.31883795252697</v>
      </c>
      <c r="Q45" s="84">
        <v>13.332369178432906</v>
      </c>
      <c r="R45" s="84">
        <v>13.434120335110434</v>
      </c>
      <c r="S45" s="84">
        <v>12.868220015278839</v>
      </c>
      <c r="T45" s="84">
        <v>12.426875957120981</v>
      </c>
      <c r="U45" s="84">
        <v>12.153404743687835</v>
      </c>
      <c r="V45" s="84">
        <v>11.495758894291793</v>
      </c>
      <c r="W45" s="84">
        <v>10.838113044895751</v>
      </c>
      <c r="DA45" s="171" t="s">
        <v>225</v>
      </c>
    </row>
    <row r="46" spans="1:105" ht="11.45" customHeight="1" x14ac:dyDescent="0.25">
      <c r="A46" s="83" t="s">
        <v>173</v>
      </c>
      <c r="B46" s="84">
        <v>81.159511618755161</v>
      </c>
      <c r="C46" s="84">
        <v>82.532318492903329</v>
      </c>
      <c r="D46" s="84">
        <v>77.611643099972767</v>
      </c>
      <c r="E46" s="84">
        <v>77.13038281950665</v>
      </c>
      <c r="F46" s="84">
        <v>81.715080121889912</v>
      </c>
      <c r="G46" s="84">
        <v>80.380252685685832</v>
      </c>
      <c r="H46" s="84">
        <v>77.929419889216447</v>
      </c>
      <c r="I46" s="84">
        <v>78.432193070927653</v>
      </c>
      <c r="J46" s="84">
        <v>80.982695117569648</v>
      </c>
      <c r="K46" s="84">
        <v>74.110618858695631</v>
      </c>
      <c r="L46" s="84">
        <v>76.07039643026296</v>
      </c>
      <c r="M46" s="84">
        <v>76.819213998657233</v>
      </c>
      <c r="N46" s="84">
        <v>76.878832195835798</v>
      </c>
      <c r="O46" s="84">
        <v>78.66356028489173</v>
      </c>
      <c r="P46" s="84">
        <v>77.821397390042108</v>
      </c>
      <c r="Q46" s="84">
        <v>79.390761075958906</v>
      </c>
      <c r="R46" s="84">
        <v>85.070125334590472</v>
      </c>
      <c r="S46" s="84">
        <v>84.251954521854245</v>
      </c>
      <c r="T46" s="84">
        <v>86.771118578362632</v>
      </c>
      <c r="U46" s="84">
        <v>84.665068855035344</v>
      </c>
      <c r="V46" s="84">
        <v>79.254434747118324</v>
      </c>
      <c r="W46" s="84">
        <v>73.843800639201305</v>
      </c>
      <c r="DA46" s="171" t="s">
        <v>226</v>
      </c>
    </row>
    <row r="47" spans="1:105" ht="11.45" customHeight="1" x14ac:dyDescent="0.25">
      <c r="A47" s="83" t="s">
        <v>174</v>
      </c>
      <c r="B47" s="84">
        <v>25.193089430894307</v>
      </c>
      <c r="C47" s="84">
        <v>25.619918699186993</v>
      </c>
      <c r="D47" s="84">
        <v>23.100609756097562</v>
      </c>
      <c r="E47" s="84">
        <v>20.920731707317074</v>
      </c>
      <c r="F47" s="84">
        <v>24.144308943089431</v>
      </c>
      <c r="G47" s="84">
        <v>26.030737704918032</v>
      </c>
      <c r="H47" s="84">
        <v>24.669603524229075</v>
      </c>
      <c r="I47" s="84">
        <v>24.683760683760685</v>
      </c>
      <c r="J47" s="84">
        <v>25.605749486652979</v>
      </c>
      <c r="K47" s="84">
        <v>24.115062761506277</v>
      </c>
      <c r="L47" s="84">
        <v>27.084362139917694</v>
      </c>
      <c r="M47" s="84">
        <v>29.675456389452332</v>
      </c>
      <c r="N47" s="84">
        <v>30.666666666666668</v>
      </c>
      <c r="O47" s="84">
        <v>30.831950207468878</v>
      </c>
      <c r="P47" s="84">
        <v>33.268085106382976</v>
      </c>
      <c r="Q47" s="84">
        <v>34.028322440087145</v>
      </c>
      <c r="R47" s="84">
        <v>34.975225225225223</v>
      </c>
      <c r="S47" s="84">
        <v>34.446712018140587</v>
      </c>
      <c r="T47" s="84">
        <v>38.402654867256636</v>
      </c>
      <c r="U47" s="84">
        <v>39.947136563876654</v>
      </c>
      <c r="V47" s="84">
        <v>38.267597268483698</v>
      </c>
      <c r="W47" s="84">
        <v>36.588057973090741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2.0511482370961942</v>
      </c>
      <c r="C48" s="13">
        <f t="shared" si="36"/>
        <v>2.130175681296504</v>
      </c>
      <c r="D48" s="13">
        <f t="shared" ref="D48:V48" si="37">SUM(D49:D51)</f>
        <v>2.0089001748986917</v>
      </c>
      <c r="E48" s="13">
        <f t="shared" si="37"/>
        <v>1.8146736033380697</v>
      </c>
      <c r="F48" s="13">
        <f t="shared" si="37"/>
        <v>1.6236610845386859</v>
      </c>
      <c r="G48" s="13">
        <f t="shared" si="37"/>
        <v>1.9091423697694037</v>
      </c>
      <c r="H48" s="13">
        <f t="shared" si="37"/>
        <v>2.2950507377119109</v>
      </c>
      <c r="I48" s="13">
        <f t="shared" si="37"/>
        <v>2.145373508903782</v>
      </c>
      <c r="J48" s="13">
        <f t="shared" si="37"/>
        <v>8.0853990297223604</v>
      </c>
      <c r="K48" s="13">
        <f t="shared" si="37"/>
        <v>7.8802842060127407</v>
      </c>
      <c r="L48" s="13">
        <f t="shared" si="37"/>
        <v>7.6751693823031211</v>
      </c>
      <c r="M48" s="13">
        <f t="shared" si="37"/>
        <v>7.4700545585935005</v>
      </c>
      <c r="N48" s="13">
        <f t="shared" si="37"/>
        <v>7.2649397348838809</v>
      </c>
      <c r="O48" s="13">
        <f t="shared" si="37"/>
        <v>7.0598249111742621</v>
      </c>
      <c r="P48" s="13">
        <f t="shared" si="37"/>
        <v>6.8744268286861949</v>
      </c>
      <c r="Q48" s="13">
        <f t="shared" si="37"/>
        <v>6.6693120049765753</v>
      </c>
      <c r="R48" s="13">
        <f t="shared" si="37"/>
        <v>6.4641971812669556</v>
      </c>
      <c r="S48" s="13">
        <f t="shared" si="37"/>
        <v>6.259082357557336</v>
      </c>
      <c r="T48" s="13">
        <f t="shared" si="37"/>
        <v>6.1913546126746555</v>
      </c>
      <c r="U48" s="13">
        <f t="shared" si="37"/>
        <v>6.2683950460438673</v>
      </c>
      <c r="V48" s="13">
        <f t="shared" si="37"/>
        <v>6.6191258682217793</v>
      </c>
      <c r="W48" s="13">
        <f t="shared" ref="W48" si="38">SUM(W49:W51)</f>
        <v>7.7897481679399085</v>
      </c>
      <c r="DA48" s="193" t="s">
        <v>228</v>
      </c>
    </row>
    <row r="49" spans="1:105" ht="11.45" customHeight="1" x14ac:dyDescent="0.25">
      <c r="A49" s="92" t="s">
        <v>27</v>
      </c>
      <c r="B49" s="102">
        <v>9.0723055934515684E-2</v>
      </c>
      <c r="C49" s="102">
        <v>9.6180081855388816E-2</v>
      </c>
      <c r="D49" s="102">
        <v>8.7312414733969987E-2</v>
      </c>
      <c r="E49" s="102">
        <v>7.8240109140518418E-2</v>
      </c>
      <c r="F49" s="102">
        <v>6.916780354706685E-2</v>
      </c>
      <c r="G49" s="102">
        <v>7.937584803256445E-2</v>
      </c>
      <c r="H49" s="102">
        <v>9.2061374249499672E-2</v>
      </c>
      <c r="I49" s="102">
        <v>8.4044648719632298E-2</v>
      </c>
      <c r="J49" s="102">
        <v>0.16817593790426907</v>
      </c>
      <c r="K49" s="102">
        <v>0.15910363231081751</v>
      </c>
      <c r="L49" s="102">
        <v>0.15003132671736594</v>
      </c>
      <c r="M49" s="102">
        <v>0.14095902112391437</v>
      </c>
      <c r="N49" s="102">
        <v>0.1318867155304628</v>
      </c>
      <c r="O49" s="102">
        <v>0.12281440993701123</v>
      </c>
      <c r="P49" s="102">
        <v>0.11374210434355966</v>
      </c>
      <c r="Q49" s="102">
        <v>0.1046697987501081</v>
      </c>
      <c r="R49" s="102">
        <v>9.5597493156656527E-2</v>
      </c>
      <c r="S49" s="102">
        <v>8.6525187563204958E-2</v>
      </c>
      <c r="T49" s="102">
        <v>7.745288196975339E-2</v>
      </c>
      <c r="U49" s="102">
        <v>6.8380576376301822E-2</v>
      </c>
      <c r="V49" s="102">
        <v>6.2332372647334107E-2</v>
      </c>
      <c r="W49" s="102">
        <v>5.6284168918366392E-2</v>
      </c>
      <c r="DA49" s="175" t="s">
        <v>229</v>
      </c>
    </row>
    <row r="50" spans="1:105" ht="11.45" customHeight="1" x14ac:dyDescent="0.25">
      <c r="A50" s="92" t="s">
        <v>173</v>
      </c>
      <c r="B50" s="102">
        <v>1.908849249929587</v>
      </c>
      <c r="C50" s="102">
        <v>1.9795543386961296</v>
      </c>
      <c r="D50" s="102">
        <v>1.8585505108810543</v>
      </c>
      <c r="E50" s="102">
        <v>1.6676655858880955</v>
      </c>
      <c r="F50" s="102">
        <v>1.4857253726821633</v>
      </c>
      <c r="G50" s="102">
        <v>1.7661562065505929</v>
      </c>
      <c r="H50" s="102">
        <v>2.1445366413993741</v>
      </c>
      <c r="I50" s="102">
        <v>2.0080337312443217</v>
      </c>
      <c r="J50" s="102">
        <v>4.543421174885184</v>
      </c>
      <c r="K50" s="102">
        <v>4.3525362498922249</v>
      </c>
      <c r="L50" s="102">
        <v>4.1616513248992657</v>
      </c>
      <c r="M50" s="102">
        <v>3.970766399906307</v>
      </c>
      <c r="N50" s="102">
        <v>3.7798814749133482</v>
      </c>
      <c r="O50" s="102">
        <v>3.5889965499203895</v>
      </c>
      <c r="P50" s="102">
        <v>3.3981116249274308</v>
      </c>
      <c r="Q50" s="102">
        <v>3.2072266999344716</v>
      </c>
      <c r="R50" s="102">
        <v>3.0163417749415133</v>
      </c>
      <c r="S50" s="102">
        <v>2.8254568499485542</v>
      </c>
      <c r="T50" s="102">
        <v>2.7719590037825346</v>
      </c>
      <c r="U50" s="102">
        <v>2.8632293358684078</v>
      </c>
      <c r="V50" s="102">
        <v>3.2234467571907595</v>
      </c>
      <c r="W50" s="102">
        <v>4.0349501985969143</v>
      </c>
      <c r="DA50" s="175" t="s">
        <v>230</v>
      </c>
    </row>
    <row r="51" spans="1:105" ht="11.45" customHeight="1" x14ac:dyDescent="0.25">
      <c r="A51" s="85" t="s">
        <v>174</v>
      </c>
      <c r="B51" s="86">
        <v>5.1575931232091692E-2</v>
      </c>
      <c r="C51" s="86">
        <v>5.4441260744985676E-2</v>
      </c>
      <c r="D51" s="86">
        <v>6.3037249283667621E-2</v>
      </c>
      <c r="E51" s="86">
        <v>6.8767908309455589E-2</v>
      </c>
      <c r="F51" s="86">
        <v>6.8767908309455589E-2</v>
      </c>
      <c r="G51" s="86">
        <v>6.3610315186246422E-2</v>
      </c>
      <c r="H51" s="86">
        <v>5.8452722063037255E-2</v>
      </c>
      <c r="I51" s="86">
        <v>5.3295128939828088E-2</v>
      </c>
      <c r="J51" s="86">
        <v>3.3738019169329072</v>
      </c>
      <c r="K51" s="86">
        <v>3.3686443238096979</v>
      </c>
      <c r="L51" s="86">
        <v>3.3634867306864886</v>
      </c>
      <c r="M51" s="86">
        <v>3.3583291375632793</v>
      </c>
      <c r="N51" s="86">
        <v>3.35317154444007</v>
      </c>
      <c r="O51" s="86">
        <v>3.3480139513168607</v>
      </c>
      <c r="P51" s="86">
        <v>3.3625730994152048</v>
      </c>
      <c r="Q51" s="86">
        <v>3.3574155062919955</v>
      </c>
      <c r="R51" s="86">
        <v>3.3522579131687862</v>
      </c>
      <c r="S51" s="86">
        <v>3.3471003200455769</v>
      </c>
      <c r="T51" s="86">
        <v>3.3419427269223676</v>
      </c>
      <c r="U51" s="86">
        <v>3.3367851337991583</v>
      </c>
      <c r="V51" s="86">
        <v>3.3333467383836854</v>
      </c>
      <c r="W51" s="86">
        <v>3.6985138004246285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6.7600061147317154</v>
      </c>
      <c r="C53" s="54">
        <f t="shared" si="39"/>
        <v>6.1205882717284332</v>
      </c>
      <c r="D53" s="54">
        <f t="shared" ref="D53:V53" si="40">SUM(D54,D58)</f>
        <v>2.59057978803567</v>
      </c>
      <c r="E53" s="54">
        <f t="shared" si="40"/>
        <v>4.5930138738161412</v>
      </c>
      <c r="F53" s="54">
        <f t="shared" si="40"/>
        <v>16.103598669568612</v>
      </c>
      <c r="G53" s="54">
        <f t="shared" si="40"/>
        <v>5.2815365048960086</v>
      </c>
      <c r="H53" s="54">
        <f t="shared" si="40"/>
        <v>1.8937319589840504</v>
      </c>
      <c r="I53" s="54">
        <f t="shared" si="40"/>
        <v>4.5976604790037712</v>
      </c>
      <c r="J53" s="54">
        <f t="shared" si="40"/>
        <v>14.176869468609992</v>
      </c>
      <c r="K53" s="54">
        <f t="shared" si="40"/>
        <v>0.5111806074482601</v>
      </c>
      <c r="L53" s="54">
        <f t="shared" si="40"/>
        <v>11.038244268665963</v>
      </c>
      <c r="M53" s="54">
        <f t="shared" si="40"/>
        <v>7.2396222198238505</v>
      </c>
      <c r="N53" s="54">
        <f t="shared" si="40"/>
        <v>4.7061196262930203</v>
      </c>
      <c r="O53" s="54">
        <f t="shared" si="40"/>
        <v>5.5550862029271464</v>
      </c>
      <c r="P53" s="54">
        <f t="shared" si="40"/>
        <v>5.2486523640652551</v>
      </c>
      <c r="Q53" s="54">
        <f t="shared" si="40"/>
        <v>6.2220299311608631</v>
      </c>
      <c r="R53" s="54">
        <f t="shared" si="40"/>
        <v>10.669561547610179</v>
      </c>
      <c r="S53" s="54">
        <f t="shared" si="40"/>
        <v>2.9520670189304212</v>
      </c>
      <c r="T53" s="54">
        <f t="shared" si="40"/>
        <v>10.129260099808695</v>
      </c>
      <c r="U53" s="54">
        <f t="shared" si="40"/>
        <v>3.3003509063897445</v>
      </c>
      <c r="V53" s="54">
        <f t="shared" si="40"/>
        <v>0.44029376792116182</v>
      </c>
      <c r="W53" s="54">
        <f t="shared" ref="W53" si="41">SUM(W54,W58)</f>
        <v>1.2578541951450073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6.5257307646281468</v>
      </c>
      <c r="C54" s="11">
        <f t="shared" si="42"/>
        <v>5.9705549714851234</v>
      </c>
      <c r="D54" s="11">
        <f t="shared" ref="D54:V54" si="43">SUM(D55:D57)</f>
        <v>2.569093058182899</v>
      </c>
      <c r="E54" s="11">
        <f t="shared" si="43"/>
        <v>4.5854685060993532</v>
      </c>
      <c r="F54" s="11">
        <f t="shared" si="43"/>
        <v>16.101783960877611</v>
      </c>
      <c r="G54" s="11">
        <f t="shared" si="43"/>
        <v>4.9124194494611579</v>
      </c>
      <c r="H54" s="11">
        <f t="shared" si="43"/>
        <v>1.4241878208374104</v>
      </c>
      <c r="I54" s="11">
        <f t="shared" si="43"/>
        <v>4.5976604790037712</v>
      </c>
      <c r="J54" s="11">
        <f t="shared" si="43"/>
        <v>8.1658380917484141</v>
      </c>
      <c r="K54" s="11">
        <f t="shared" si="43"/>
        <v>0.5111806074482601</v>
      </c>
      <c r="L54" s="11">
        <f t="shared" si="43"/>
        <v>11.038244268665963</v>
      </c>
      <c r="M54" s="11">
        <f t="shared" si="43"/>
        <v>7.2396222198238505</v>
      </c>
      <c r="N54" s="11">
        <f t="shared" si="43"/>
        <v>4.7061196262930203</v>
      </c>
      <c r="O54" s="11">
        <f t="shared" si="43"/>
        <v>5.5550862029271464</v>
      </c>
      <c r="P54" s="11">
        <f t="shared" si="43"/>
        <v>5.232278507275911</v>
      </c>
      <c r="Q54" s="11">
        <f t="shared" si="43"/>
        <v>6.2220299311608631</v>
      </c>
      <c r="R54" s="11">
        <f t="shared" si="43"/>
        <v>10.669561547610179</v>
      </c>
      <c r="S54" s="11">
        <f t="shared" si="43"/>
        <v>2.9520670189304212</v>
      </c>
      <c r="T54" s="11">
        <f t="shared" si="43"/>
        <v>10.080181478693428</v>
      </c>
      <c r="U54" s="11">
        <f t="shared" si="43"/>
        <v>3.1065041070225838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0.56584425597526433</v>
      </c>
      <c r="D55" s="84">
        <v>0.59398612181952082</v>
      </c>
      <c r="E55" s="84">
        <v>2.3156515034694802</v>
      </c>
      <c r="F55" s="84">
        <v>4.6884348496529835</v>
      </c>
      <c r="G55" s="84">
        <v>0</v>
      </c>
      <c r="H55" s="84">
        <v>0.22184138977977952</v>
      </c>
      <c r="I55" s="84">
        <v>0.47565556469196224</v>
      </c>
      <c r="J55" s="84">
        <v>1.0882726691451232</v>
      </c>
      <c r="K55" s="84">
        <v>0</v>
      </c>
      <c r="L55" s="84">
        <v>1.7183334241169668</v>
      </c>
      <c r="M55" s="84">
        <v>0.29463582882594253</v>
      </c>
      <c r="N55" s="84">
        <v>0</v>
      </c>
      <c r="O55" s="84">
        <v>0</v>
      </c>
      <c r="P55" s="84">
        <v>0</v>
      </c>
      <c r="Q55" s="84">
        <v>0</v>
      </c>
      <c r="R55" s="84">
        <v>0.43821993077152754</v>
      </c>
      <c r="S55" s="84">
        <v>0</v>
      </c>
      <c r="T55" s="84">
        <v>0</v>
      </c>
      <c r="U55" s="84">
        <v>6.2997560660853935E-2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4.9806765640860462</v>
      </c>
      <c r="C56" s="84">
        <v>4.1238841572441753</v>
      </c>
      <c r="D56" s="84">
        <v>1.9751069363633782</v>
      </c>
      <c r="E56" s="84">
        <v>2.269817002629873</v>
      </c>
      <c r="F56" s="84">
        <v>7.3357745854792729</v>
      </c>
      <c r="G56" s="84">
        <v>2.1719933976595556</v>
      </c>
      <c r="H56" s="84">
        <v>1.2023464310576308</v>
      </c>
      <c r="I56" s="84">
        <v>3.2538504648072006</v>
      </c>
      <c r="J56" s="84">
        <v>5.3015793297379989</v>
      </c>
      <c r="K56" s="84">
        <v>0.5111806074482601</v>
      </c>
      <c r="L56" s="84">
        <v>5.4966141761645773</v>
      </c>
      <c r="M56" s="84">
        <v>3.4998948514902715</v>
      </c>
      <c r="N56" s="84">
        <v>2.8609120591056865</v>
      </c>
      <c r="O56" s="84">
        <v>4.535805372151934</v>
      </c>
      <c r="P56" s="84">
        <v>1.9421463183888115</v>
      </c>
      <c r="Q56" s="84">
        <v>4.607795307483693</v>
      </c>
      <c r="R56" s="84">
        <v>8.4304415417275713</v>
      </c>
      <c r="S56" s="84">
        <v>2.6265829360420554</v>
      </c>
      <c r="T56" s="84">
        <v>5.270241339604377</v>
      </c>
      <c r="U56" s="84">
        <v>0.64502755976871029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1.5450542005421006</v>
      </c>
      <c r="C57" s="84">
        <v>1.2808265582656837</v>
      </c>
      <c r="D57" s="84">
        <v>0</v>
      </c>
      <c r="E57" s="84">
        <v>0</v>
      </c>
      <c r="F57" s="84">
        <v>4.0775745257453551</v>
      </c>
      <c r="G57" s="84">
        <v>2.7404260518016024</v>
      </c>
      <c r="H57" s="84">
        <v>0</v>
      </c>
      <c r="I57" s="84">
        <v>0.86815444950460829</v>
      </c>
      <c r="J57" s="84">
        <v>1.775986092865292</v>
      </c>
      <c r="K57" s="84">
        <v>0</v>
      </c>
      <c r="L57" s="84">
        <v>3.823296668384419</v>
      </c>
      <c r="M57" s="84">
        <v>3.4450915395076365</v>
      </c>
      <c r="N57" s="84">
        <v>1.8452075671873338</v>
      </c>
      <c r="O57" s="84">
        <v>1.0192808307752124</v>
      </c>
      <c r="P57" s="84">
        <v>3.2901321888870996</v>
      </c>
      <c r="Q57" s="84">
        <v>1.6142346236771701</v>
      </c>
      <c r="R57" s="84">
        <v>1.8009000751110804</v>
      </c>
      <c r="S57" s="84">
        <v>0.32548408288836583</v>
      </c>
      <c r="T57" s="84">
        <v>4.8099401390890506</v>
      </c>
      <c r="U57" s="84">
        <v>2.3984789865930196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0.23427535010356873</v>
      </c>
      <c r="C58" s="13">
        <f t="shared" si="45"/>
        <v>0.15003330024330971</v>
      </c>
      <c r="D58" s="13">
        <f t="shared" ref="D58:V58" si="46">SUM(D59:D61)</f>
        <v>2.1486729852771155E-2</v>
      </c>
      <c r="E58" s="13">
        <f t="shared" si="46"/>
        <v>7.5453677167879735E-3</v>
      </c>
      <c r="F58" s="13">
        <f t="shared" si="46"/>
        <v>1.8147086910000054E-3</v>
      </c>
      <c r="G58" s="13">
        <f t="shared" si="46"/>
        <v>0.36911705543485052</v>
      </c>
      <c r="H58" s="13">
        <f t="shared" si="46"/>
        <v>0.46954413814664009</v>
      </c>
      <c r="I58" s="13">
        <f t="shared" si="46"/>
        <v>0</v>
      </c>
      <c r="J58" s="13">
        <f t="shared" si="46"/>
        <v>6.0110313768615775</v>
      </c>
      <c r="K58" s="13">
        <f t="shared" si="46"/>
        <v>0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1.637385678934411E-2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4.9078621115267618E-2</v>
      </c>
      <c r="U58" s="13">
        <f t="shared" si="46"/>
        <v>0.19384679936716043</v>
      </c>
      <c r="V58" s="13">
        <f t="shared" si="46"/>
        <v>0.44029376792116182</v>
      </c>
      <c r="W58" s="13">
        <f t="shared" ref="W58" si="47">SUM(W59:W61)</f>
        <v>1.2578541951450073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8.6630286498731307E-3</v>
      </c>
      <c r="D59" s="102">
        <v>0</v>
      </c>
      <c r="E59" s="102">
        <v>0</v>
      </c>
      <c r="F59" s="102">
        <v>0</v>
      </c>
      <c r="G59" s="102">
        <v>1.3414047214497599E-2</v>
      </c>
      <c r="H59" s="102">
        <v>1.5891528945935221E-2</v>
      </c>
      <c r="I59" s="102">
        <v>0</v>
      </c>
      <c r="J59" s="102">
        <v>8.7337291913636789E-2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0.23246064141256872</v>
      </c>
      <c r="C60" s="102">
        <v>0.13669023338954259</v>
      </c>
      <c r="D60" s="102">
        <v>1.1076032623089205E-2</v>
      </c>
      <c r="E60" s="102">
        <v>0</v>
      </c>
      <c r="F60" s="102">
        <v>0</v>
      </c>
      <c r="G60" s="102">
        <v>0.35570300822035295</v>
      </c>
      <c r="H60" s="102">
        <v>0.45365260920070488</v>
      </c>
      <c r="I60" s="102">
        <v>0</v>
      </c>
      <c r="J60" s="102">
        <v>2.6013725882638621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4.9078621115267618E-2</v>
      </c>
      <c r="U60" s="102">
        <v>0.19384679936716043</v>
      </c>
      <c r="V60" s="102">
        <v>0.44029376792116182</v>
      </c>
      <c r="W60" s="102">
        <v>0.89087242441306413</v>
      </c>
      <c r="DA60" s="175" t="s">
        <v>239</v>
      </c>
    </row>
    <row r="61" spans="1:105" ht="11.45" customHeight="1" x14ac:dyDescent="0.25">
      <c r="A61" s="85" t="s">
        <v>174</v>
      </c>
      <c r="B61" s="86">
        <v>1.8147086909999985E-3</v>
      </c>
      <c r="C61" s="86">
        <v>4.6800382038939825E-3</v>
      </c>
      <c r="D61" s="86">
        <v>1.0410697229681951E-2</v>
      </c>
      <c r="E61" s="86">
        <v>7.5453677167879735E-3</v>
      </c>
      <c r="F61" s="86">
        <v>1.8147086910000054E-3</v>
      </c>
      <c r="G61" s="86">
        <v>0</v>
      </c>
      <c r="H61" s="86">
        <v>0</v>
      </c>
      <c r="I61" s="86">
        <v>0</v>
      </c>
      <c r="J61" s="86">
        <v>3.3223214966840793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1.637385678934411E-2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0.36698177073194316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65.256319192392255</v>
      </c>
      <c r="C66" s="14">
        <f t="shared" si="48"/>
        <v>66.070299870288366</v>
      </c>
      <c r="D66" s="14">
        <f t="shared" ref="D66:V66" si="49">IF(D34=0,0,D34/D24)</f>
        <v>69.50435111105115</v>
      </c>
      <c r="E66" s="14">
        <f t="shared" si="49"/>
        <v>67.311903654854916</v>
      </c>
      <c r="F66" s="14">
        <f t="shared" si="49"/>
        <v>66.001168265039226</v>
      </c>
      <c r="G66" s="14">
        <f t="shared" si="49"/>
        <v>70.490933667024748</v>
      </c>
      <c r="H66" s="14">
        <f t="shared" si="49"/>
        <v>75.867034894022623</v>
      </c>
      <c r="I66" s="14">
        <f t="shared" si="49"/>
        <v>78.995535388876746</v>
      </c>
      <c r="J66" s="14">
        <f t="shared" si="49"/>
        <v>76.332430511870641</v>
      </c>
      <c r="K66" s="14">
        <f t="shared" si="49"/>
        <v>78.559782785631029</v>
      </c>
      <c r="L66" s="14">
        <f t="shared" si="49"/>
        <v>81.857341179650362</v>
      </c>
      <c r="M66" s="14">
        <f t="shared" si="49"/>
        <v>83.381693086484304</v>
      </c>
      <c r="N66" s="14">
        <f t="shared" si="49"/>
        <v>90.509311922203381</v>
      </c>
      <c r="O66" s="14">
        <f t="shared" si="49"/>
        <v>91.608026898515817</v>
      </c>
      <c r="P66" s="14">
        <f t="shared" si="49"/>
        <v>96.179979249889726</v>
      </c>
      <c r="Q66" s="14">
        <f t="shared" si="49"/>
        <v>97.966643992180366</v>
      </c>
      <c r="R66" s="14">
        <f t="shared" si="49"/>
        <v>101.97078081180811</v>
      </c>
      <c r="S66" s="14">
        <f t="shared" si="49"/>
        <v>106.21325892205073</v>
      </c>
      <c r="T66" s="14">
        <f t="shared" si="49"/>
        <v>107.95909504631254</v>
      </c>
      <c r="U66" s="14">
        <f t="shared" si="49"/>
        <v>109.12715557398826</v>
      </c>
      <c r="V66" s="14">
        <f t="shared" si="49"/>
        <v>73.724156797116379</v>
      </c>
      <c r="W66" s="14">
        <f t="shared" ref="W66" si="50">IF(W34=0,0,W34/W24)</f>
        <v>85.046675728043027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46.826917816249171</v>
      </c>
      <c r="C67" s="87">
        <f t="shared" si="48"/>
        <v>47.027879621142681</v>
      </c>
      <c r="D67" s="87">
        <f t="shared" ref="D67:V67" si="51">IF(D35=0,0,D35/D25)</f>
        <v>41.443169968717413</v>
      </c>
      <c r="E67" s="87">
        <f t="shared" si="51"/>
        <v>37.829050209466644</v>
      </c>
      <c r="F67" s="87">
        <f t="shared" si="51"/>
        <v>35.153575967648756</v>
      </c>
      <c r="G67" s="87">
        <f t="shared" si="51"/>
        <v>37.682629485844146</v>
      </c>
      <c r="H67" s="87">
        <f t="shared" si="51"/>
        <v>40.984407831900668</v>
      </c>
      <c r="I67" s="87">
        <f t="shared" si="51"/>
        <v>44.380801938334365</v>
      </c>
      <c r="J67" s="87">
        <f t="shared" si="51"/>
        <v>42.633050344607241</v>
      </c>
      <c r="K67" s="87">
        <f t="shared" si="51"/>
        <v>45.832408680282796</v>
      </c>
      <c r="L67" s="87">
        <f t="shared" si="51"/>
        <v>51.233397980338395</v>
      </c>
      <c r="M67" s="87">
        <f t="shared" si="51"/>
        <v>49.890896640084826</v>
      </c>
      <c r="N67" s="87">
        <f t="shared" si="51"/>
        <v>55.900281249999999</v>
      </c>
      <c r="O67" s="87">
        <f t="shared" si="51"/>
        <v>52.932312915041244</v>
      </c>
      <c r="P67" s="87">
        <f t="shared" si="51"/>
        <v>52.37828872760263</v>
      </c>
      <c r="Q67" s="87">
        <f t="shared" si="51"/>
        <v>51.325006423616067</v>
      </c>
      <c r="R67" s="87">
        <f t="shared" si="51"/>
        <v>53.003203129429103</v>
      </c>
      <c r="S67" s="87">
        <f t="shared" si="51"/>
        <v>53.012941909822196</v>
      </c>
      <c r="T67" s="87">
        <f t="shared" si="51"/>
        <v>54.389352721895314</v>
      </c>
      <c r="U67" s="87">
        <f t="shared" si="51"/>
        <v>53.03528597060027</v>
      </c>
      <c r="V67" s="87">
        <f t="shared" si="51"/>
        <v>39.240370390663529</v>
      </c>
      <c r="W67" s="87">
        <f t="shared" ref="W67" si="52">IF(W35=0,0,W35/W25)</f>
        <v>48.241314646664037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64.642759645455016</v>
      </c>
      <c r="C68" s="87">
        <f t="shared" si="48"/>
        <v>65.532452086448274</v>
      </c>
      <c r="D68" s="87">
        <f t="shared" ref="D68:V68" si="53">IF(D36=0,0,D36/D26)</f>
        <v>70.317826306853078</v>
      </c>
      <c r="E68" s="87">
        <f t="shared" si="53"/>
        <v>69.818804223795979</v>
      </c>
      <c r="F68" s="87">
        <f t="shared" si="53"/>
        <v>70.682179030933483</v>
      </c>
      <c r="G68" s="87">
        <f t="shared" si="53"/>
        <v>75.050056346148807</v>
      </c>
      <c r="H68" s="87">
        <f t="shared" si="53"/>
        <v>81.6038322768499</v>
      </c>
      <c r="I68" s="87">
        <f t="shared" si="53"/>
        <v>84.692407504190015</v>
      </c>
      <c r="J68" s="87">
        <f t="shared" si="53"/>
        <v>81.476515650455823</v>
      </c>
      <c r="K68" s="87">
        <f t="shared" si="53"/>
        <v>83.783937701099504</v>
      </c>
      <c r="L68" s="87">
        <f t="shared" si="53"/>
        <v>86.595168556484552</v>
      </c>
      <c r="M68" s="87">
        <f t="shared" si="53"/>
        <v>89.70556872584379</v>
      </c>
      <c r="N68" s="87">
        <f t="shared" si="53"/>
        <v>92.665837213770132</v>
      </c>
      <c r="O68" s="87">
        <f t="shared" si="53"/>
        <v>94.91741159932235</v>
      </c>
      <c r="P68" s="87">
        <f t="shared" si="53"/>
        <v>101.18521648266776</v>
      </c>
      <c r="Q68" s="87">
        <f t="shared" si="53"/>
        <v>103.80542596393947</v>
      </c>
      <c r="R68" s="87">
        <f t="shared" si="53"/>
        <v>108.43223298023075</v>
      </c>
      <c r="S68" s="87">
        <f t="shared" si="53"/>
        <v>113.12754695405087</v>
      </c>
      <c r="T68" s="87">
        <f t="shared" si="53"/>
        <v>113.48031788975312</v>
      </c>
      <c r="U68" s="87">
        <f t="shared" si="53"/>
        <v>114.87988769254547</v>
      </c>
      <c r="V68" s="87">
        <f t="shared" si="53"/>
        <v>83.036782633772901</v>
      </c>
      <c r="W68" s="87">
        <f t="shared" ref="W68" si="54">IF(W36=0,0,W36/W26)</f>
        <v>100.11612325851394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109.03299717628076</v>
      </c>
      <c r="C69" s="87">
        <f t="shared" si="48"/>
        <v>110.64926616422055</v>
      </c>
      <c r="D69" s="87">
        <f t="shared" ref="D69:V69" si="55">IF(D37=0,0,D37/D27)</f>
        <v>131.72791221159258</v>
      </c>
      <c r="E69" s="87">
        <f t="shared" si="55"/>
        <v>132.0375983678228</v>
      </c>
      <c r="F69" s="87">
        <f t="shared" si="55"/>
        <v>132.31467295226872</v>
      </c>
      <c r="G69" s="87">
        <f t="shared" si="55"/>
        <v>138.51161143037078</v>
      </c>
      <c r="H69" s="87">
        <f t="shared" si="55"/>
        <v>149.65892857142856</v>
      </c>
      <c r="I69" s="87">
        <f t="shared" si="55"/>
        <v>150.4103185595568</v>
      </c>
      <c r="J69" s="87">
        <f t="shared" si="55"/>
        <v>147.14498797113072</v>
      </c>
      <c r="K69" s="87">
        <f t="shared" si="55"/>
        <v>148.29877678493972</v>
      </c>
      <c r="L69" s="87">
        <f t="shared" si="55"/>
        <v>148.51143356377725</v>
      </c>
      <c r="M69" s="87">
        <f t="shared" si="55"/>
        <v>140.15064935064936</v>
      </c>
      <c r="N69" s="87">
        <f t="shared" si="55"/>
        <v>148.6422379301147</v>
      </c>
      <c r="O69" s="87">
        <f t="shared" si="55"/>
        <v>154.29022273063723</v>
      </c>
      <c r="P69" s="87">
        <f t="shared" si="55"/>
        <v>159.75901765157329</v>
      </c>
      <c r="Q69" s="87">
        <f t="shared" si="55"/>
        <v>160.49695883219155</v>
      </c>
      <c r="R69" s="87">
        <f t="shared" si="55"/>
        <v>163.87797024921116</v>
      </c>
      <c r="S69" s="87">
        <f t="shared" si="55"/>
        <v>171.65565137252321</v>
      </c>
      <c r="T69" s="87">
        <f t="shared" si="55"/>
        <v>170.51065790989745</v>
      </c>
      <c r="U69" s="87">
        <f t="shared" si="55"/>
        <v>170.44083590648435</v>
      </c>
      <c r="V69" s="87">
        <f t="shared" si="55"/>
        <v>121.40278260869565</v>
      </c>
      <c r="W69" s="87">
        <f t="shared" ref="W69" si="56">IF(W37=0,0,W37/W27)</f>
        <v>101.31059602649006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16.011019396777254</v>
      </c>
      <c r="C70" s="15">
        <f t="shared" si="48"/>
        <v>16.181084649519583</v>
      </c>
      <c r="D70" s="15">
        <f t="shared" ref="D70:V70" si="57">IF(D38=0,0,D38/D28)</f>
        <v>16.308037178518447</v>
      </c>
      <c r="E70" s="15">
        <f t="shared" si="57"/>
        <v>17.28056697036957</v>
      </c>
      <c r="F70" s="15">
        <f t="shared" si="57"/>
        <v>16.130603065158578</v>
      </c>
      <c r="G70" s="15">
        <f t="shared" si="57"/>
        <v>15.130420843979252</v>
      </c>
      <c r="H70" s="15">
        <f t="shared" si="57"/>
        <v>13.849179271438809</v>
      </c>
      <c r="I70" s="15">
        <f t="shared" si="57"/>
        <v>13.652149226960711</v>
      </c>
      <c r="J70" s="15">
        <f t="shared" si="57"/>
        <v>18.404675255031545</v>
      </c>
      <c r="K70" s="15">
        <f t="shared" si="57"/>
        <v>19.356305690735731</v>
      </c>
      <c r="L70" s="15">
        <f t="shared" si="57"/>
        <v>23.931182674487733</v>
      </c>
      <c r="M70" s="15">
        <f t="shared" si="57"/>
        <v>25.667382903503338</v>
      </c>
      <c r="N70" s="15">
        <f t="shared" si="57"/>
        <v>29.094518420036831</v>
      </c>
      <c r="O70" s="15">
        <f t="shared" si="57"/>
        <v>30.150568326255673</v>
      </c>
      <c r="P70" s="15">
        <f t="shared" si="57"/>
        <v>31.412695692877538</v>
      </c>
      <c r="Q70" s="15">
        <f t="shared" si="57"/>
        <v>31.429393421222716</v>
      </c>
      <c r="R70" s="15">
        <f t="shared" si="57"/>
        <v>37.223303615950407</v>
      </c>
      <c r="S70" s="15">
        <f t="shared" si="57"/>
        <v>37.14561533829368</v>
      </c>
      <c r="T70" s="15">
        <f t="shared" si="57"/>
        <v>36.645246674153519</v>
      </c>
      <c r="U70" s="15">
        <f t="shared" si="57"/>
        <v>36.335623078039838</v>
      </c>
      <c r="V70" s="15">
        <f t="shared" si="57"/>
        <v>24.802189139537624</v>
      </c>
      <c r="W70" s="15">
        <f t="shared" ref="W70" si="58">IF(W38=0,0,W38/W28)</f>
        <v>27.235649668268856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10.245293270650951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11.191309368552657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15.261326994101351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13.985273542904695</v>
      </c>
      <c r="I72" s="41">
        <f t="shared" si="61"/>
        <v>13.755635136041072</v>
      </c>
      <c r="J72" s="41">
        <f t="shared" si="61"/>
        <v>13.656624949191123</v>
      </c>
      <c r="K72" s="41">
        <f t="shared" si="61"/>
        <v>13.62676029511714</v>
      </c>
      <c r="L72" s="41">
        <f t="shared" si="61"/>
        <v>14.420786860573122</v>
      </c>
      <c r="M72" s="41">
        <f t="shared" si="61"/>
        <v>15.489703537213131</v>
      </c>
      <c r="N72" s="41">
        <f t="shared" si="61"/>
        <v>16.461822115902226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17.519164414143237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48.721001039602889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52.530888086642598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1043.6366139246354</v>
      </c>
      <c r="C75" s="62">
        <f t="shared" si="65"/>
        <v>1042.7261556073199</v>
      </c>
      <c r="D75" s="62">
        <f t="shared" ref="D75:V75" si="66">IF(D13=0,0,D13*1000000/D23)</f>
        <v>1006.3417163705902</v>
      </c>
      <c r="E75" s="62">
        <f t="shared" si="66"/>
        <v>975.41409093108166</v>
      </c>
      <c r="F75" s="62">
        <f t="shared" si="66"/>
        <v>950.18246421052459</v>
      </c>
      <c r="G75" s="62">
        <f t="shared" si="66"/>
        <v>973.48219035654597</v>
      </c>
      <c r="H75" s="62">
        <f t="shared" si="66"/>
        <v>979.12636838287028</v>
      </c>
      <c r="I75" s="62">
        <f t="shared" si="66"/>
        <v>980.75961208422814</v>
      </c>
      <c r="J75" s="62">
        <f t="shared" si="66"/>
        <v>988.96783033859151</v>
      </c>
      <c r="K75" s="62">
        <f t="shared" si="66"/>
        <v>1014.7483551357155</v>
      </c>
      <c r="L75" s="62">
        <f t="shared" si="66"/>
        <v>1031.1531906219307</v>
      </c>
      <c r="M75" s="62">
        <f t="shared" si="66"/>
        <v>1022.4277894927486</v>
      </c>
      <c r="N75" s="62">
        <f t="shared" si="66"/>
        <v>1089.5524874862808</v>
      </c>
      <c r="O75" s="62">
        <f t="shared" si="66"/>
        <v>1090.9973800024432</v>
      </c>
      <c r="P75" s="62">
        <f t="shared" si="66"/>
        <v>1100.6194263040841</v>
      </c>
      <c r="Q75" s="62">
        <f t="shared" si="66"/>
        <v>1103.1352394979817</v>
      </c>
      <c r="R75" s="62">
        <f t="shared" si="66"/>
        <v>1136.1054558883754</v>
      </c>
      <c r="S75" s="62">
        <f t="shared" si="66"/>
        <v>1167.6758699103243</v>
      </c>
      <c r="T75" s="62">
        <f t="shared" si="66"/>
        <v>1201.2987081329547</v>
      </c>
      <c r="U75" s="62">
        <f t="shared" si="66"/>
        <v>1204.5700268018306</v>
      </c>
      <c r="V75" s="62">
        <f t="shared" si="66"/>
        <v>1036.954964406865</v>
      </c>
      <c r="W75" s="62">
        <f t="shared" ref="W75" si="67">IF(W13=0,0,W13*1000000/W23)</f>
        <v>1205.4567617492394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1048.0569018417414</v>
      </c>
      <c r="C76" s="14">
        <f t="shared" si="65"/>
        <v>1047.2164892703715</v>
      </c>
      <c r="D76" s="14">
        <f t="shared" ref="D76:V76" si="68">IF(D14=0,0,D14*1000000/D24)</f>
        <v>1010.1088334009839</v>
      </c>
      <c r="E76" s="14">
        <f t="shared" si="68"/>
        <v>977.51286686531569</v>
      </c>
      <c r="F76" s="14">
        <f t="shared" si="68"/>
        <v>952.00755609542</v>
      </c>
      <c r="G76" s="14">
        <f t="shared" si="68"/>
        <v>976.02765252462291</v>
      </c>
      <c r="H76" s="14">
        <f t="shared" si="68"/>
        <v>982.40636462559928</v>
      </c>
      <c r="I76" s="14">
        <f t="shared" si="68"/>
        <v>983.70872203340855</v>
      </c>
      <c r="J76" s="14">
        <f t="shared" si="68"/>
        <v>968.27242725790722</v>
      </c>
      <c r="K76" s="14">
        <f t="shared" si="68"/>
        <v>996.83704170774229</v>
      </c>
      <c r="L76" s="14">
        <f t="shared" si="68"/>
        <v>1007.9537163504707</v>
      </c>
      <c r="M76" s="14">
        <f t="shared" si="68"/>
        <v>1000.1535188119498</v>
      </c>
      <c r="N76" s="14">
        <f t="shared" si="68"/>
        <v>1063.109834739395</v>
      </c>
      <c r="O76" s="14">
        <f t="shared" si="68"/>
        <v>1069.3145059551994</v>
      </c>
      <c r="P76" s="14">
        <f t="shared" si="68"/>
        <v>1079.5707868830264</v>
      </c>
      <c r="Q76" s="14">
        <f t="shared" si="68"/>
        <v>1085.8334604799518</v>
      </c>
      <c r="R76" s="14">
        <f t="shared" si="68"/>
        <v>1122.5096812524928</v>
      </c>
      <c r="S76" s="14">
        <f t="shared" si="68"/>
        <v>1154.6442861523649</v>
      </c>
      <c r="T76" s="14">
        <f t="shared" si="68"/>
        <v>1196.2119544144298</v>
      </c>
      <c r="U76" s="14">
        <f t="shared" si="68"/>
        <v>1197.2603372039534</v>
      </c>
      <c r="V76" s="14">
        <f t="shared" si="68"/>
        <v>1024.4362893022023</v>
      </c>
      <c r="W76" s="14">
        <f t="shared" ref="W76" si="69">IF(W14=0,0,W14*1000000/W24)</f>
        <v>1182.2599382769185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232.38943818957964</v>
      </c>
      <c r="C77" s="39">
        <f t="shared" si="65"/>
        <v>232.38943818957966</v>
      </c>
      <c r="D77" s="39">
        <f t="shared" ref="D77:V77" si="70">IF(D15=0,0,D15*1000000/D25)</f>
        <v>232.38943818957964</v>
      </c>
      <c r="E77" s="39">
        <f t="shared" si="70"/>
        <v>232.38943818957964</v>
      </c>
      <c r="F77" s="39">
        <f t="shared" si="70"/>
        <v>232.38943818957966</v>
      </c>
      <c r="G77" s="39">
        <f t="shared" si="70"/>
        <v>223.08314883838247</v>
      </c>
      <c r="H77" s="39">
        <f t="shared" si="70"/>
        <v>224.67922635928505</v>
      </c>
      <c r="I77" s="39">
        <f t="shared" si="70"/>
        <v>228.55602756337868</v>
      </c>
      <c r="J77" s="39">
        <f t="shared" si="70"/>
        <v>234.50483368424963</v>
      </c>
      <c r="K77" s="39">
        <f t="shared" si="70"/>
        <v>237.64665468078346</v>
      </c>
      <c r="L77" s="39">
        <f t="shared" si="70"/>
        <v>234.1098901098901</v>
      </c>
      <c r="M77" s="39">
        <f t="shared" si="70"/>
        <v>221.33905057515969</v>
      </c>
      <c r="N77" s="39">
        <f t="shared" si="70"/>
        <v>215.91392042323375</v>
      </c>
      <c r="O77" s="39">
        <f t="shared" si="70"/>
        <v>215.15293343484788</v>
      </c>
      <c r="P77" s="39">
        <f t="shared" si="70"/>
        <v>214.20577836816668</v>
      </c>
      <c r="Q77" s="39">
        <f t="shared" si="70"/>
        <v>214.57076470666786</v>
      </c>
      <c r="R77" s="39">
        <f t="shared" si="70"/>
        <v>218.55364639871809</v>
      </c>
      <c r="S77" s="39">
        <f t="shared" si="70"/>
        <v>222.01786249256648</v>
      </c>
      <c r="T77" s="39">
        <f t="shared" si="70"/>
        <v>224.44942139932348</v>
      </c>
      <c r="U77" s="39">
        <f t="shared" si="70"/>
        <v>223.97193354800939</v>
      </c>
      <c r="V77" s="39">
        <f t="shared" si="70"/>
        <v>222.60280765881862</v>
      </c>
      <c r="W77" s="39">
        <f t="shared" ref="W77" si="71">IF(W15=0,0,W15*1000000/W25)</f>
        <v>230.03285168804035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971.24671824199072</v>
      </c>
      <c r="C78" s="39">
        <f t="shared" si="65"/>
        <v>971.24615361934775</v>
      </c>
      <c r="D78" s="39">
        <f t="shared" ref="D78:V78" si="72">IF(D16=0,0,D16*1000000/D26)</f>
        <v>963.83922116557835</v>
      </c>
      <c r="E78" s="39">
        <f t="shared" si="72"/>
        <v>962.94679601373082</v>
      </c>
      <c r="F78" s="39">
        <f t="shared" si="72"/>
        <v>964.63703833345903</v>
      </c>
      <c r="G78" s="39">
        <f t="shared" si="72"/>
        <v>975.38426672643959</v>
      </c>
      <c r="H78" s="39">
        <f t="shared" si="72"/>
        <v>982.48595224838868</v>
      </c>
      <c r="I78" s="39">
        <f t="shared" si="72"/>
        <v>989.54891436912624</v>
      </c>
      <c r="J78" s="39">
        <f t="shared" si="72"/>
        <v>973.35450008769567</v>
      </c>
      <c r="K78" s="39">
        <f t="shared" si="72"/>
        <v>1007.8758721791672</v>
      </c>
      <c r="L78" s="39">
        <f t="shared" si="72"/>
        <v>1024.9690969062563</v>
      </c>
      <c r="M78" s="39">
        <f t="shared" si="72"/>
        <v>995.47572971824627</v>
      </c>
      <c r="N78" s="39">
        <f t="shared" si="72"/>
        <v>979.1337697077272</v>
      </c>
      <c r="O78" s="39">
        <f t="shared" si="72"/>
        <v>996.22391254330432</v>
      </c>
      <c r="P78" s="39">
        <f t="shared" si="72"/>
        <v>991.0360654612407</v>
      </c>
      <c r="Q78" s="39">
        <f t="shared" si="72"/>
        <v>985.20173013162139</v>
      </c>
      <c r="R78" s="39">
        <f t="shared" si="72"/>
        <v>1023.6104380442993</v>
      </c>
      <c r="S78" s="39">
        <f t="shared" si="72"/>
        <v>1057.1453077235083</v>
      </c>
      <c r="T78" s="39">
        <f t="shared" si="72"/>
        <v>1074.1288762624242</v>
      </c>
      <c r="U78" s="39">
        <f t="shared" si="72"/>
        <v>1053.7576186885146</v>
      </c>
      <c r="V78" s="39">
        <f t="shared" si="72"/>
        <v>991.56178810750509</v>
      </c>
      <c r="W78" s="39">
        <f t="shared" ref="W78" si="73">IF(W16=0,0,W16*1000000/W26)</f>
        <v>1163.6174959412563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3449.2832608413955</v>
      </c>
      <c r="C79" s="39">
        <f t="shared" si="65"/>
        <v>3449.2832608413951</v>
      </c>
      <c r="D79" s="39">
        <f t="shared" ref="D79:V79" si="74">IF(D17=0,0,D17*1000000/D27)</f>
        <v>3449.2832608413951</v>
      </c>
      <c r="E79" s="39">
        <f t="shared" si="74"/>
        <v>3449.2832608413951</v>
      </c>
      <c r="F79" s="39">
        <f t="shared" si="74"/>
        <v>3449.2832608413951</v>
      </c>
      <c r="G79" s="39">
        <f t="shared" si="74"/>
        <v>3485.7526489369166</v>
      </c>
      <c r="H79" s="39">
        <f t="shared" si="74"/>
        <v>3814.9787926748713</v>
      </c>
      <c r="I79" s="39">
        <f t="shared" si="74"/>
        <v>3679.5436654861478</v>
      </c>
      <c r="J79" s="39">
        <f t="shared" si="74"/>
        <v>3499.6098401644231</v>
      </c>
      <c r="K79" s="39">
        <f t="shared" si="74"/>
        <v>3582.7611659574477</v>
      </c>
      <c r="L79" s="39">
        <f t="shared" si="74"/>
        <v>3509.7485009539382</v>
      </c>
      <c r="M79" s="39">
        <f t="shared" si="74"/>
        <v>3444.6693493294201</v>
      </c>
      <c r="N79" s="39">
        <f t="shared" si="74"/>
        <v>3483.0624188060624</v>
      </c>
      <c r="O79" s="39">
        <f t="shared" si="74"/>
        <v>3545.2319475076351</v>
      </c>
      <c r="P79" s="39">
        <f t="shared" si="74"/>
        <v>3654.8357745020321</v>
      </c>
      <c r="Q79" s="39">
        <f t="shared" si="74"/>
        <v>3764.757140365954</v>
      </c>
      <c r="R79" s="39">
        <f t="shared" si="74"/>
        <v>3931.1932066746422</v>
      </c>
      <c r="S79" s="39">
        <f t="shared" si="74"/>
        <v>3963.7913906665317</v>
      </c>
      <c r="T79" s="39">
        <f t="shared" si="74"/>
        <v>3845.274435285301</v>
      </c>
      <c r="U79" s="39">
        <f t="shared" si="74"/>
        <v>3823.7263115293167</v>
      </c>
      <c r="V79" s="39">
        <f t="shared" si="74"/>
        <v>3787.6006323531128</v>
      </c>
      <c r="W79" s="39">
        <f t="shared" ref="W79" si="75">IF(W17=0,0,W17*1000000/W27)</f>
        <v>3840.0987221925002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760.36599124850704</v>
      </c>
      <c r="C80" s="15">
        <f t="shared" si="65"/>
        <v>760.61386793120221</v>
      </c>
      <c r="D80" s="15">
        <f t="shared" ref="D80:V80" si="76">IF(D18=0,0,D18*1000000/D28)</f>
        <v>767.69646237422148</v>
      </c>
      <c r="E80" s="15">
        <f t="shared" si="76"/>
        <v>786.11392322083407</v>
      </c>
      <c r="F80" s="15">
        <f t="shared" si="76"/>
        <v>782.71203285251556</v>
      </c>
      <c r="G80" s="15">
        <f t="shared" si="76"/>
        <v>774.19979220901268</v>
      </c>
      <c r="H80" s="15">
        <f t="shared" si="76"/>
        <v>770.16290203070082</v>
      </c>
      <c r="I80" s="15">
        <f t="shared" si="76"/>
        <v>778.12769525881993</v>
      </c>
      <c r="J80" s="15">
        <f t="shared" si="76"/>
        <v>1518.4863970307185</v>
      </c>
      <c r="K80" s="15">
        <f t="shared" si="76"/>
        <v>1624.0146735369449</v>
      </c>
      <c r="L80" s="15">
        <f t="shared" si="76"/>
        <v>2158.8734696747983</v>
      </c>
      <c r="M80" s="15">
        <f t="shared" si="76"/>
        <v>2151.6259671264447</v>
      </c>
      <c r="N80" s="15">
        <f t="shared" si="76"/>
        <v>2370.7424557448103</v>
      </c>
      <c r="O80" s="15">
        <f t="shared" si="76"/>
        <v>2287.4507145013536</v>
      </c>
      <c r="P80" s="15">
        <f t="shared" si="76"/>
        <v>1917.2143038966808</v>
      </c>
      <c r="Q80" s="15">
        <f t="shared" si="76"/>
        <v>1766.5015455090504</v>
      </c>
      <c r="R80" s="15">
        <f t="shared" si="76"/>
        <v>1797.2551340257919</v>
      </c>
      <c r="S80" s="15">
        <f t="shared" si="76"/>
        <v>1675.2003047142696</v>
      </c>
      <c r="T80" s="15">
        <f t="shared" si="76"/>
        <v>1403.5380742216214</v>
      </c>
      <c r="U80" s="15">
        <f t="shared" si="76"/>
        <v>1473.9808305431839</v>
      </c>
      <c r="V80" s="15">
        <f t="shared" si="76"/>
        <v>1193.8651188449749</v>
      </c>
      <c r="W80" s="15">
        <f t="shared" ref="W80" si="77">IF(W18=0,0,W18*1000000/W28)</f>
        <v>1453.8304910724748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280.78964323529101</v>
      </c>
      <c r="C81" s="41">
        <f t="shared" si="65"/>
        <v>280.78964323529101</v>
      </c>
      <c r="D81" s="41">
        <f t="shared" ref="D81:V81" si="78">IF(D19=0,0,D19*1000000/D29)</f>
        <v>280.78964323529101</v>
      </c>
      <c r="E81" s="41">
        <f t="shared" si="78"/>
        <v>280.78964323529101</v>
      </c>
      <c r="F81" s="41">
        <f t="shared" si="78"/>
        <v>280.78964323529101</v>
      </c>
      <c r="G81" s="41">
        <f t="shared" si="78"/>
        <v>271.48335388409373</v>
      </c>
      <c r="H81" s="41">
        <f t="shared" si="78"/>
        <v>239.42340983258006</v>
      </c>
      <c r="I81" s="41">
        <f t="shared" si="78"/>
        <v>209.64418946425729</v>
      </c>
      <c r="J81" s="41">
        <f t="shared" si="78"/>
        <v>181.93697401271197</v>
      </c>
      <c r="K81" s="41">
        <f t="shared" si="78"/>
        <v>151.42277343682937</v>
      </c>
      <c r="L81" s="41">
        <f t="shared" si="78"/>
        <v>114.2299872935197</v>
      </c>
      <c r="M81" s="41">
        <f t="shared" si="78"/>
        <v>102.16213895535761</v>
      </c>
      <c r="N81" s="41">
        <f t="shared" si="78"/>
        <v>97.439999999999984</v>
      </c>
      <c r="O81" s="41">
        <f t="shared" si="78"/>
        <v>105.95392951559913</v>
      </c>
      <c r="P81" s="41">
        <f t="shared" si="78"/>
        <v>114.28169095290301</v>
      </c>
      <c r="Q81" s="41">
        <f t="shared" si="78"/>
        <v>123.92159379538926</v>
      </c>
      <c r="R81" s="41">
        <f t="shared" si="78"/>
        <v>137.17939199142452</v>
      </c>
      <c r="S81" s="41">
        <f t="shared" si="78"/>
        <v>149.91852458925794</v>
      </c>
      <c r="T81" s="41">
        <f t="shared" si="78"/>
        <v>161.625</v>
      </c>
      <c r="U81" s="41">
        <f t="shared" si="78"/>
        <v>213.33333333333337</v>
      </c>
      <c r="V81" s="41">
        <f t="shared" si="78"/>
        <v>211.96420744414255</v>
      </c>
      <c r="W81" s="41">
        <f t="shared" ref="W81" si="79">IF(W19=0,0,W19*1000000/W29)</f>
        <v>219.39425147336433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753.99271107958509</v>
      </c>
      <c r="C82" s="41">
        <f t="shared" si="65"/>
        <v>754.268801009502</v>
      </c>
      <c r="D82" s="41">
        <f t="shared" ref="D82:V82" si="80">IF(D20=0,0,D20*1000000/D30)</f>
        <v>752.63555013528173</v>
      </c>
      <c r="E82" s="41">
        <f t="shared" si="80"/>
        <v>749.34978015056299</v>
      </c>
      <c r="F82" s="41">
        <f t="shared" si="80"/>
        <v>752.20422387834435</v>
      </c>
      <c r="G82" s="41">
        <f t="shared" si="80"/>
        <v>766.64398847763766</v>
      </c>
      <c r="H82" s="41">
        <f t="shared" si="80"/>
        <v>784.11863681660907</v>
      </c>
      <c r="I82" s="41">
        <f t="shared" si="80"/>
        <v>790.34705535586443</v>
      </c>
      <c r="J82" s="41">
        <f t="shared" si="80"/>
        <v>735.06157375333635</v>
      </c>
      <c r="K82" s="41">
        <f t="shared" si="80"/>
        <v>770.85977087842718</v>
      </c>
      <c r="L82" s="41">
        <f t="shared" si="80"/>
        <v>773.82764413230984</v>
      </c>
      <c r="M82" s="41">
        <f t="shared" si="80"/>
        <v>733.4631447955154</v>
      </c>
      <c r="N82" s="41">
        <f t="shared" si="80"/>
        <v>706.54475379716996</v>
      </c>
      <c r="O82" s="41">
        <f t="shared" si="80"/>
        <v>681.42034138942938</v>
      </c>
      <c r="P82" s="41">
        <f t="shared" si="80"/>
        <v>653.68761814467439</v>
      </c>
      <c r="Q82" s="41">
        <f t="shared" si="80"/>
        <v>623.74380497093375</v>
      </c>
      <c r="R82" s="41">
        <f t="shared" si="80"/>
        <v>629.73906924610856</v>
      </c>
      <c r="S82" s="41">
        <f t="shared" si="80"/>
        <v>636.53676905546661</v>
      </c>
      <c r="T82" s="41">
        <f t="shared" si="80"/>
        <v>626.10089011459195</v>
      </c>
      <c r="U82" s="41">
        <f t="shared" si="80"/>
        <v>635.76877354665999</v>
      </c>
      <c r="V82" s="41">
        <f t="shared" si="80"/>
        <v>573.89508083166322</v>
      </c>
      <c r="W82" s="41">
        <f t="shared" ref="W82" si="81">IF(W20=0,0,W20*1000000/W30)</f>
        <v>734.72220495950387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5099.8542193315343</v>
      </c>
      <c r="C83" s="40">
        <f t="shared" si="65"/>
        <v>5099.8542193315343</v>
      </c>
      <c r="D83" s="40">
        <f t="shared" ref="D83:V83" si="82">IF(D21=0,0,D21*1000000/D31)</f>
        <v>5099.8542193315343</v>
      </c>
      <c r="E83" s="40">
        <f t="shared" si="82"/>
        <v>5099.8542193315343</v>
      </c>
      <c r="F83" s="40">
        <f t="shared" si="82"/>
        <v>5099.8542193315343</v>
      </c>
      <c r="G83" s="40">
        <f t="shared" si="82"/>
        <v>5136.3236074270553</v>
      </c>
      <c r="H83" s="40">
        <f t="shared" si="82"/>
        <v>5698.5759691663034</v>
      </c>
      <c r="I83" s="40">
        <f t="shared" si="82"/>
        <v>5796.1670599788758</v>
      </c>
      <c r="J83" s="40">
        <f t="shared" si="82"/>
        <v>5849.2594526584471</v>
      </c>
      <c r="K83" s="40">
        <f t="shared" si="82"/>
        <v>6165.436996452765</v>
      </c>
      <c r="L83" s="40">
        <f t="shared" si="82"/>
        <v>6325.4505494505502</v>
      </c>
      <c r="M83" s="40">
        <f t="shared" si="82"/>
        <v>6247.3321720902604</v>
      </c>
      <c r="N83" s="40">
        <f t="shared" si="82"/>
        <v>6272.6860158311347</v>
      </c>
      <c r="O83" s="40">
        <f t="shared" si="82"/>
        <v>5731.6607744417634</v>
      </c>
      <c r="P83" s="40">
        <f t="shared" si="82"/>
        <v>5238.0698313452149</v>
      </c>
      <c r="Q83" s="40">
        <f t="shared" si="82"/>
        <v>4744.7964271181936</v>
      </c>
      <c r="R83" s="40">
        <f t="shared" si="82"/>
        <v>4308.0377233359359</v>
      </c>
      <c r="S83" s="40">
        <f t="shared" si="82"/>
        <v>3737.44113723688</v>
      </c>
      <c r="T83" s="40">
        <f t="shared" si="82"/>
        <v>3015.7294117647057</v>
      </c>
      <c r="U83" s="40">
        <f t="shared" si="82"/>
        <v>3397.0892857142853</v>
      </c>
      <c r="V83" s="40">
        <f t="shared" si="82"/>
        <v>3360.9636065380828</v>
      </c>
      <c r="W83" s="40">
        <f t="shared" ref="W83" si="83">IF(W21=0,0,W21*1000000/W31)</f>
        <v>3413.4616963774702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108831.38066899529</v>
      </c>
      <c r="C86" s="11">
        <f t="shared" si="84"/>
        <v>110672.07254252714</v>
      </c>
      <c r="D86" s="11">
        <f t="shared" ref="D86:V86" si="85">IF(D4=0,0,D4*1000000/D24)</f>
        <v>116635.74551427596</v>
      </c>
      <c r="E86" s="11">
        <f t="shared" si="85"/>
        <v>110030.41602104908</v>
      </c>
      <c r="F86" s="11">
        <f t="shared" si="85"/>
        <v>106597.20232376322</v>
      </c>
      <c r="G86" s="11">
        <f t="shared" si="85"/>
        <v>116572.64972878783</v>
      </c>
      <c r="H86" s="11">
        <f t="shared" si="85"/>
        <v>124486.60911732356</v>
      </c>
      <c r="I86" s="11">
        <f t="shared" si="85"/>
        <v>123672.72144090649</v>
      </c>
      <c r="J86" s="11">
        <f t="shared" si="85"/>
        <v>115505.91154639576</v>
      </c>
      <c r="K86" s="11">
        <f t="shared" si="85"/>
        <v>121865.25718196631</v>
      </c>
      <c r="L86" s="11">
        <f t="shared" si="85"/>
        <v>126856.35211021893</v>
      </c>
      <c r="M86" s="11">
        <f t="shared" si="85"/>
        <v>125793.34621320412</v>
      </c>
      <c r="N86" s="11">
        <f t="shared" si="85"/>
        <v>142981.69047221163</v>
      </c>
      <c r="O86" s="11">
        <f t="shared" si="85"/>
        <v>146682.4704350614</v>
      </c>
      <c r="P86" s="11">
        <f t="shared" si="85"/>
        <v>154696.6461208449</v>
      </c>
      <c r="Q86" s="11">
        <f t="shared" si="85"/>
        <v>155563.88439509735</v>
      </c>
      <c r="R86" s="11">
        <f t="shared" si="85"/>
        <v>162576.62824166432</v>
      </c>
      <c r="S86" s="11">
        <f t="shared" si="85"/>
        <v>173568.10938906527</v>
      </c>
      <c r="T86" s="11">
        <f t="shared" si="85"/>
        <v>179946.50285964916</v>
      </c>
      <c r="U86" s="11">
        <f t="shared" si="85"/>
        <v>180440.59077642739</v>
      </c>
      <c r="V86" s="11">
        <f t="shared" si="85"/>
        <v>115717.38376802122</v>
      </c>
      <c r="W86" s="11">
        <f t="shared" ref="W86" si="86">IF(W4=0,0,W4*1000000/W24)</f>
        <v>129784.88364342066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11388.066902198547</v>
      </c>
      <c r="C87" s="36">
        <f t="shared" si="84"/>
        <v>11436.939785267519</v>
      </c>
      <c r="D87" s="36">
        <f t="shared" ref="D87:V87" si="87">IF(D5=0,0,D5*1000000/D25)</f>
        <v>10078.766962517613</v>
      </c>
      <c r="E87" s="36">
        <f t="shared" si="87"/>
        <v>9199.8315225979804</v>
      </c>
      <c r="F87" s="36">
        <f t="shared" si="87"/>
        <v>8549.1698715260336</v>
      </c>
      <c r="G87" s="36">
        <f t="shared" si="87"/>
        <v>8797.2314232250028</v>
      </c>
      <c r="H87" s="36">
        <f t="shared" si="87"/>
        <v>9636.5068625289969</v>
      </c>
      <c r="I87" s="36">
        <f t="shared" si="87"/>
        <v>10615.143641449426</v>
      </c>
      <c r="J87" s="36">
        <f t="shared" si="87"/>
        <v>10462.518927648669</v>
      </c>
      <c r="K87" s="36">
        <f t="shared" si="87"/>
        <v>11398.361792148571</v>
      </c>
      <c r="L87" s="36">
        <f t="shared" si="87"/>
        <v>12551.943410500011</v>
      </c>
      <c r="M87" s="36">
        <f t="shared" si="87"/>
        <v>11476.073651489438</v>
      </c>
      <c r="N87" s="36">
        <f t="shared" si="87"/>
        <v>12670.836036632385</v>
      </c>
      <c r="O87" s="36">
        <f t="shared" si="87"/>
        <v>12154.819687296407</v>
      </c>
      <c r="P87" s="36">
        <f t="shared" si="87"/>
        <v>11960.179960889518</v>
      </c>
      <c r="Q87" s="36">
        <f t="shared" si="87"/>
        <v>11764.566586851537</v>
      </c>
      <c r="R87" s="36">
        <f t="shared" si="87"/>
        <v>12404.508491359318</v>
      </c>
      <c r="S87" s="36">
        <f t="shared" si="87"/>
        <v>12547.938304053101</v>
      </c>
      <c r="T87" s="36">
        <f t="shared" si="87"/>
        <v>12878.293867303231</v>
      </c>
      <c r="U87" s="36">
        <f t="shared" si="87"/>
        <v>12390.001097191214</v>
      </c>
      <c r="V87" s="36">
        <f t="shared" si="87"/>
        <v>9077.4154114297053</v>
      </c>
      <c r="W87" s="36">
        <f t="shared" ref="W87" si="88">IF(W5=0,0,W5*1000000/W25)</f>
        <v>11414.512965396385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87999.532778157023</v>
      </c>
      <c r="C88" s="36">
        <f t="shared" si="84"/>
        <v>89768.115796669488</v>
      </c>
      <c r="D88" s="36">
        <f t="shared" ref="D88:V88" si="89">IF(D6=0,0,D6*1000000/D26)</f>
        <v>95011.569158718994</v>
      </c>
      <c r="E88" s="36">
        <f t="shared" si="89"/>
        <v>92540.555578045358</v>
      </c>
      <c r="F88" s="36">
        <f t="shared" si="89"/>
        <v>91507.310229574126</v>
      </c>
      <c r="G88" s="36">
        <f t="shared" si="89"/>
        <v>97402.461228030632</v>
      </c>
      <c r="H88" s="36">
        <f t="shared" si="89"/>
        <v>103014.08400959127</v>
      </c>
      <c r="I88" s="36">
        <f t="shared" si="89"/>
        <v>102146.56370000582</v>
      </c>
      <c r="J88" s="36">
        <f t="shared" si="89"/>
        <v>93220.854136952374</v>
      </c>
      <c r="K88" s="36">
        <f t="shared" si="89"/>
        <v>99048.876991514466</v>
      </c>
      <c r="L88" s="36">
        <f t="shared" si="89"/>
        <v>103881.21372844372</v>
      </c>
      <c r="M88" s="36">
        <f t="shared" si="89"/>
        <v>106328.52750388042</v>
      </c>
      <c r="N88" s="36">
        <f t="shared" si="89"/>
        <v>108996.39789598205</v>
      </c>
      <c r="O88" s="36">
        <f t="shared" si="89"/>
        <v>113070.31167409306</v>
      </c>
      <c r="P88" s="36">
        <f t="shared" si="89"/>
        <v>118421.33166337533</v>
      </c>
      <c r="Q88" s="36">
        <f t="shared" si="89"/>
        <v>118660.19816961861</v>
      </c>
      <c r="R88" s="36">
        <f t="shared" si="89"/>
        <v>127369.72961298283</v>
      </c>
      <c r="S88" s="36">
        <f t="shared" si="89"/>
        <v>136455.10993866477</v>
      </c>
      <c r="T88" s="36">
        <f t="shared" si="89"/>
        <v>137769.61429511168</v>
      </c>
      <c r="U88" s="36">
        <f t="shared" si="89"/>
        <v>134690.10095648881</v>
      </c>
      <c r="V88" s="36">
        <f t="shared" si="89"/>
        <v>100049.61996588801</v>
      </c>
      <c r="W88" s="36">
        <f t="shared" ref="W88" si="90">IF(W6=0,0,W6*1000000/W26)</f>
        <v>138468.52301176509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504543.09319296881</v>
      </c>
      <c r="C89" s="36">
        <f t="shared" si="84"/>
        <v>512022.27266822959</v>
      </c>
      <c r="D89" s="36">
        <f t="shared" ref="D89:V89" si="91">IF(D7=0,0,D7*1000000/D27)</f>
        <v>609562.33441546746</v>
      </c>
      <c r="E89" s="36">
        <f t="shared" si="91"/>
        <v>610995.38693378726</v>
      </c>
      <c r="F89" s="36">
        <f t="shared" si="91"/>
        <v>612277.53152764344</v>
      </c>
      <c r="G89" s="36">
        <f t="shared" si="91"/>
        <v>647730.28326184105</v>
      </c>
      <c r="H89" s="36">
        <f t="shared" si="91"/>
        <v>765960.21773514384</v>
      </c>
      <c r="I89" s="36">
        <f t="shared" si="91"/>
        <v>742477.07081514644</v>
      </c>
      <c r="J89" s="36">
        <f t="shared" si="91"/>
        <v>690838.53885901684</v>
      </c>
      <c r="K89" s="36">
        <f t="shared" si="91"/>
        <v>712798.67079659435</v>
      </c>
      <c r="L89" s="36">
        <f t="shared" si="91"/>
        <v>699273.93688542559</v>
      </c>
      <c r="M89" s="36">
        <f t="shared" si="91"/>
        <v>623755.76200645999</v>
      </c>
      <c r="N89" s="36">
        <f t="shared" si="91"/>
        <v>668778.28210688848</v>
      </c>
      <c r="O89" s="36">
        <f t="shared" si="91"/>
        <v>701664.06802491937</v>
      </c>
      <c r="P89" s="36">
        <f t="shared" si="91"/>
        <v>732010.56061373069</v>
      </c>
      <c r="Q89" s="36">
        <f t="shared" si="91"/>
        <v>743933.25675448182</v>
      </c>
      <c r="R89" s="36">
        <f t="shared" si="91"/>
        <v>772544.01810300536</v>
      </c>
      <c r="S89" s="36">
        <f t="shared" si="91"/>
        <v>812672.59864201804</v>
      </c>
      <c r="T89" s="36">
        <f t="shared" si="91"/>
        <v>779759.23330647778</v>
      </c>
      <c r="U89" s="36">
        <f t="shared" si="91"/>
        <v>768617.46169000375</v>
      </c>
      <c r="V89" s="36">
        <f t="shared" si="91"/>
        <v>558135.04936470254</v>
      </c>
      <c r="W89" s="36">
        <f t="shared" ref="W89" si="92">IF(W7=0,0,W7*1000000/W27)</f>
        <v>399935.98369304358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21389.031140785875</v>
      </c>
      <c r="C90" s="13">
        <f t="shared" si="84"/>
        <v>22563.805196239671</v>
      </c>
      <c r="D90" s="13">
        <f t="shared" ref="D90:V90" si="93">IF(D8=0,0,D8*1000000/D28)</f>
        <v>22012.468100194357</v>
      </c>
      <c r="E90" s="13">
        <f t="shared" si="93"/>
        <v>23735.242791594861</v>
      </c>
      <c r="F90" s="13">
        <f t="shared" si="93"/>
        <v>21470.291679112051</v>
      </c>
      <c r="G90" s="13">
        <f t="shared" si="93"/>
        <v>19592.924086019269</v>
      </c>
      <c r="H90" s="13">
        <f t="shared" si="93"/>
        <v>16074.170963503844</v>
      </c>
      <c r="I90" s="13">
        <f t="shared" si="93"/>
        <v>16013.944738790735</v>
      </c>
      <c r="J90" s="13">
        <f t="shared" si="93"/>
        <v>72394.753887204031</v>
      </c>
      <c r="K90" s="13">
        <f t="shared" si="93"/>
        <v>87616.392854899299</v>
      </c>
      <c r="L90" s="13">
        <f t="shared" si="93"/>
        <v>133777.1385011379</v>
      </c>
      <c r="M90" s="13">
        <f t="shared" si="93"/>
        <v>135858.66553572883</v>
      </c>
      <c r="N90" s="13">
        <f t="shared" si="93"/>
        <v>168394.09670725896</v>
      </c>
      <c r="O90" s="13">
        <f t="shared" si="93"/>
        <v>163536.83832520311</v>
      </c>
      <c r="P90" s="13">
        <f t="shared" si="93"/>
        <v>148258.92975914307</v>
      </c>
      <c r="Q90" s="13">
        <f t="shared" si="93"/>
        <v>132912.22322294564</v>
      </c>
      <c r="R90" s="13">
        <f t="shared" si="93"/>
        <v>145392.36543475013</v>
      </c>
      <c r="S90" s="13">
        <f t="shared" si="93"/>
        <v>131954.64535297017</v>
      </c>
      <c r="T90" s="13">
        <f t="shared" si="93"/>
        <v>107264.89417274384</v>
      </c>
      <c r="U90" s="13">
        <f t="shared" si="93"/>
        <v>116354.17890876981</v>
      </c>
      <c r="V90" s="13">
        <f t="shared" si="93"/>
        <v>60704.05458237962</v>
      </c>
      <c r="W90" s="13">
        <f t="shared" ref="W90" si="94">IF(W8=0,0,W8*1000000/W28)</f>
        <v>64168.254329454852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2945.2906779457508</v>
      </c>
      <c r="C91" s="34">
        <f t="shared" si="84"/>
        <v>2922.8338644366095</v>
      </c>
      <c r="D91" s="34">
        <f t="shared" ref="D91:V91" si="95">IF(D9=0,0,D9*1000000/D29)</f>
        <v>3005.6349606119979</v>
      </c>
      <c r="E91" s="34">
        <f t="shared" si="95"/>
        <v>3197.0561487086989</v>
      </c>
      <c r="F91" s="34">
        <f t="shared" si="95"/>
        <v>3010.5339581717917</v>
      </c>
      <c r="G91" s="34">
        <f t="shared" si="95"/>
        <v>2848.5563911826134</v>
      </c>
      <c r="H91" s="34">
        <f t="shared" si="95"/>
        <v>2416.4359033818528</v>
      </c>
      <c r="I91" s="34">
        <f t="shared" si="95"/>
        <v>2108.0261602170031</v>
      </c>
      <c r="J91" s="34">
        <f t="shared" si="95"/>
        <v>1760.07367895934</v>
      </c>
      <c r="K91" s="34">
        <f t="shared" si="95"/>
        <v>1477.5314172472724</v>
      </c>
      <c r="L91" s="34">
        <f t="shared" si="95"/>
        <v>1192.1487883639297</v>
      </c>
      <c r="M91" s="34">
        <f t="shared" si="95"/>
        <v>1156.771744906494</v>
      </c>
      <c r="N91" s="34">
        <f t="shared" si="95"/>
        <v>1144.7978673480125</v>
      </c>
      <c r="O91" s="34">
        <f t="shared" si="95"/>
        <v>1297.3451291351375</v>
      </c>
      <c r="P91" s="34">
        <f t="shared" si="95"/>
        <v>1567.5081827666256</v>
      </c>
      <c r="Q91" s="34">
        <f t="shared" si="95"/>
        <v>1752.7470771627734</v>
      </c>
      <c r="R91" s="34">
        <f t="shared" si="95"/>
        <v>2241.8190712007113</v>
      </c>
      <c r="S91" s="34">
        <f t="shared" si="95"/>
        <v>2243.5794021447582</v>
      </c>
      <c r="T91" s="34">
        <f t="shared" si="95"/>
        <v>2436.1309756167097</v>
      </c>
      <c r="U91" s="34">
        <f t="shared" si="95"/>
        <v>3516.5750182792326</v>
      </c>
      <c r="V91" s="34">
        <f t="shared" si="95"/>
        <v>3208.3800924765533</v>
      </c>
      <c r="W91" s="34">
        <f t="shared" ref="W91" si="96">IF(W9=0,0,W9*1000000/W29)</f>
        <v>3324.9935724057314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19085.891217147764</v>
      </c>
      <c r="C92" s="34">
        <f t="shared" si="84"/>
        <v>20133.447754773959</v>
      </c>
      <c r="D92" s="34">
        <f t="shared" ref="D92:V92" si="97">IF(D10=0,0,D10*1000000/D30)</f>
        <v>18918.777644766502</v>
      </c>
      <c r="E92" s="34">
        <f t="shared" si="97"/>
        <v>19181.226077455849</v>
      </c>
      <c r="F92" s="34">
        <f t="shared" si="97"/>
        <v>17492.055805336862</v>
      </c>
      <c r="G92" s="34">
        <f t="shared" si="97"/>
        <v>17639.468344180535</v>
      </c>
      <c r="H92" s="34">
        <f t="shared" si="97"/>
        <v>15601.637641990155</v>
      </c>
      <c r="I92" s="34">
        <f t="shared" si="97"/>
        <v>15292.533339181313</v>
      </c>
      <c r="J92" s="34">
        <f t="shared" si="97"/>
        <v>13534.939552547427</v>
      </c>
      <c r="K92" s="34">
        <f t="shared" si="97"/>
        <v>14595.499453025568</v>
      </c>
      <c r="L92" s="34">
        <f t="shared" si="97"/>
        <v>15598.725242364762</v>
      </c>
      <c r="M92" s="34">
        <f t="shared" si="97"/>
        <v>15671.916926866181</v>
      </c>
      <c r="N92" s="34">
        <f t="shared" si="97"/>
        <v>16442.055694994418</v>
      </c>
      <c r="O92" s="34">
        <f t="shared" si="97"/>
        <v>15989.43942588117</v>
      </c>
      <c r="P92" s="34">
        <f t="shared" si="97"/>
        <v>16996.035095026604</v>
      </c>
      <c r="Q92" s="34">
        <f t="shared" si="97"/>
        <v>15965.8585906428</v>
      </c>
      <c r="R92" s="34">
        <f t="shared" si="97"/>
        <v>17771.363651638232</v>
      </c>
      <c r="S92" s="34">
        <f t="shared" si="97"/>
        <v>16596.76143424918</v>
      </c>
      <c r="T92" s="34">
        <f t="shared" si="97"/>
        <v>16520.349529367126</v>
      </c>
      <c r="U92" s="34">
        <f t="shared" si="97"/>
        <v>17192.048722201886</v>
      </c>
      <c r="V92" s="34">
        <f t="shared" si="97"/>
        <v>13476.722901217627</v>
      </c>
      <c r="W92" s="34">
        <f t="shared" ref="W92" si="98">IF(W10=0,0,W10*1000000/W30)</f>
        <v>16059.320117695239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445304.36613502033</v>
      </c>
      <c r="C93" s="35">
        <f t="shared" si="84"/>
        <v>466486.97118786065</v>
      </c>
      <c r="D93" s="35">
        <f t="shared" ref="D93:V93" si="99">IF(D11=0,0,D11*1000000/D31)</f>
        <v>440560.50170262792</v>
      </c>
      <c r="E93" s="35">
        <f t="shared" si="99"/>
        <v>400369.79235348053</v>
      </c>
      <c r="F93" s="35">
        <f t="shared" si="99"/>
        <v>388631.40780721133</v>
      </c>
      <c r="G93" s="35">
        <f t="shared" si="99"/>
        <v>368099.16974652046</v>
      </c>
      <c r="H93" s="35">
        <f t="shared" si="99"/>
        <v>394788.63050406665</v>
      </c>
      <c r="I93" s="35">
        <f t="shared" si="99"/>
        <v>394861.27026936057</v>
      </c>
      <c r="J93" s="35">
        <f t="shared" si="99"/>
        <v>390439.1245077356</v>
      </c>
      <c r="K93" s="35">
        <f t="shared" si="99"/>
        <v>464127.92443349282</v>
      </c>
      <c r="L93" s="35">
        <f t="shared" si="99"/>
        <v>484103.67398210685</v>
      </c>
      <c r="M93" s="35">
        <f t="shared" si="99"/>
        <v>480155.01144801069</v>
      </c>
      <c r="N93" s="35">
        <f t="shared" si="99"/>
        <v>522588.59919700242</v>
      </c>
      <c r="O93" s="35">
        <f t="shared" si="99"/>
        <v>477689.44008151587</v>
      </c>
      <c r="P93" s="35">
        <f t="shared" si="99"/>
        <v>491307.61678336881</v>
      </c>
      <c r="Q93" s="35">
        <f t="shared" si="99"/>
        <v>436206.96923796821</v>
      </c>
      <c r="R93" s="35">
        <f t="shared" si="99"/>
        <v>419464.9266154716</v>
      </c>
      <c r="S93" s="35">
        <f t="shared" si="99"/>
        <v>360490.31336197635</v>
      </c>
      <c r="T93" s="35">
        <f t="shared" si="99"/>
        <v>294775.32907931862</v>
      </c>
      <c r="U93" s="35">
        <f t="shared" si="99"/>
        <v>343385.7954001613</v>
      </c>
      <c r="V93" s="35">
        <f t="shared" si="99"/>
        <v>225411.21720737583</v>
      </c>
      <c r="W93" s="35">
        <f t="shared" ref="W93" si="100">IF(W11=0,0,W11*1000000/W31)</f>
        <v>194744.99623058704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1320.1916244437118</v>
      </c>
      <c r="C95" s="62">
        <f t="shared" si="101"/>
        <v>1320.789619002707</v>
      </c>
      <c r="D95" s="62">
        <f t="shared" ref="D95:V95" si="102">IF(D23=0,0,D23/D43)</f>
        <v>1331.6915157517742</v>
      </c>
      <c r="E95" s="62">
        <f t="shared" si="102"/>
        <v>1376.1029018455231</v>
      </c>
      <c r="F95" s="62">
        <f t="shared" si="102"/>
        <v>1400.7482630508628</v>
      </c>
      <c r="G95" s="62">
        <f t="shared" si="102"/>
        <v>1378.518001090177</v>
      </c>
      <c r="H95" s="62">
        <f t="shared" si="102"/>
        <v>1374.6718982332934</v>
      </c>
      <c r="I95" s="62">
        <f t="shared" si="102"/>
        <v>1375.4279561938511</v>
      </c>
      <c r="J95" s="62">
        <f t="shared" si="102"/>
        <v>1355.5927015876246</v>
      </c>
      <c r="K95" s="62">
        <f t="shared" si="102"/>
        <v>1295.3997648841009</v>
      </c>
      <c r="L95" s="62">
        <f t="shared" si="102"/>
        <v>1296.4728310098726</v>
      </c>
      <c r="M95" s="62">
        <f t="shared" si="102"/>
        <v>1307.7119560616295</v>
      </c>
      <c r="N95" s="62">
        <f t="shared" si="102"/>
        <v>1216.844437734864</v>
      </c>
      <c r="O95" s="62">
        <f t="shared" si="102"/>
        <v>1230.8676598116008</v>
      </c>
      <c r="P95" s="62">
        <f t="shared" si="102"/>
        <v>1248.1748632983781</v>
      </c>
      <c r="Q95" s="62">
        <f t="shared" si="102"/>
        <v>1254.9395918781095</v>
      </c>
      <c r="R95" s="62">
        <f t="shared" si="102"/>
        <v>1235.1970073121602</v>
      </c>
      <c r="S95" s="62">
        <f t="shared" si="102"/>
        <v>1222.7811734564232</v>
      </c>
      <c r="T95" s="62">
        <f t="shared" si="102"/>
        <v>1198.4324245284618</v>
      </c>
      <c r="U95" s="62">
        <f t="shared" si="102"/>
        <v>1194.715898158134</v>
      </c>
      <c r="V95" s="62">
        <f t="shared" si="102"/>
        <v>494.71782162204534</v>
      </c>
      <c r="W95" s="62">
        <f t="shared" ref="W95" si="103">IF(W23=0,0,W23/W43)</f>
        <v>585.90705219613767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1322.8496517159149</v>
      </c>
      <c r="C96" s="11">
        <f t="shared" si="104"/>
        <v>1323.5170948338898</v>
      </c>
      <c r="D96" s="11">
        <f t="shared" ref="D96:V96" si="105">IF(D24=0,0,D24/D44)</f>
        <v>1334.7099179495187</v>
      </c>
      <c r="E96" s="11">
        <f t="shared" si="105"/>
        <v>1383.388315242079</v>
      </c>
      <c r="F96" s="11">
        <f t="shared" si="105"/>
        <v>1404.0070645881062</v>
      </c>
      <c r="G96" s="11">
        <f t="shared" si="105"/>
        <v>1382.3348235686199</v>
      </c>
      <c r="H96" s="11">
        <f t="shared" si="105"/>
        <v>1379.6110228140294</v>
      </c>
      <c r="I96" s="11">
        <f t="shared" si="105"/>
        <v>1380.0789088021147</v>
      </c>
      <c r="J96" s="11">
        <f t="shared" si="105"/>
        <v>1390.0061121581903</v>
      </c>
      <c r="K96" s="11">
        <f t="shared" si="105"/>
        <v>1345.267705602741</v>
      </c>
      <c r="L96" s="11">
        <f t="shared" si="105"/>
        <v>1351.2697397107738</v>
      </c>
      <c r="M96" s="11">
        <f t="shared" si="105"/>
        <v>1359.8128512879205</v>
      </c>
      <c r="N96" s="11">
        <f t="shared" si="105"/>
        <v>1262.1805575400008</v>
      </c>
      <c r="O96" s="11">
        <f t="shared" si="105"/>
        <v>1277.3474048674245</v>
      </c>
      <c r="P96" s="11">
        <f t="shared" si="105"/>
        <v>1283.511328624488</v>
      </c>
      <c r="Q96" s="11">
        <f t="shared" si="105"/>
        <v>1287.3935290771444</v>
      </c>
      <c r="R96" s="11">
        <f t="shared" si="105"/>
        <v>1268.9217215532008</v>
      </c>
      <c r="S96" s="11">
        <f t="shared" si="105"/>
        <v>1248.885675583495</v>
      </c>
      <c r="T96" s="11">
        <f t="shared" si="105"/>
        <v>1221.6294089426908</v>
      </c>
      <c r="U96" s="11">
        <f t="shared" si="105"/>
        <v>1216.4680858163283</v>
      </c>
      <c r="V96" s="11">
        <f t="shared" si="105"/>
        <v>481.67000505691067</v>
      </c>
      <c r="W96" s="11">
        <f t="shared" ref="W96" si="106">IF(W24=0,0,W24/W44)</f>
        <v>570.28132401563846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2594</v>
      </c>
      <c r="C97" s="36">
        <f t="shared" si="104"/>
        <v>2594</v>
      </c>
      <c r="D97" s="36">
        <f t="shared" ref="D97:V97" si="107">IF(D25=0,0,D25/D45)</f>
        <v>2594</v>
      </c>
      <c r="E97" s="36">
        <f t="shared" si="107"/>
        <v>2594</v>
      </c>
      <c r="F97" s="36">
        <f t="shared" si="107"/>
        <v>2594</v>
      </c>
      <c r="G97" s="36">
        <f t="shared" si="107"/>
        <v>2615.9999999999995</v>
      </c>
      <c r="H97" s="36">
        <f t="shared" si="107"/>
        <v>2612</v>
      </c>
      <c r="I97" s="36">
        <f t="shared" si="107"/>
        <v>2603</v>
      </c>
      <c r="J97" s="36">
        <f t="shared" si="107"/>
        <v>2589</v>
      </c>
      <c r="K97" s="36">
        <f t="shared" si="107"/>
        <v>2555.8700400656867</v>
      </c>
      <c r="L97" s="36">
        <f t="shared" si="107"/>
        <v>2590</v>
      </c>
      <c r="M97" s="36">
        <f t="shared" si="107"/>
        <v>2620</v>
      </c>
      <c r="N97" s="36">
        <f t="shared" si="107"/>
        <v>1964.1812519817388</v>
      </c>
      <c r="O97" s="36">
        <f t="shared" si="107"/>
        <v>2194.075597426051</v>
      </c>
      <c r="P97" s="36">
        <f t="shared" si="107"/>
        <v>2463.3283871876797</v>
      </c>
      <c r="Q97" s="36">
        <f t="shared" si="107"/>
        <v>2627.2149781646754</v>
      </c>
      <c r="R97" s="36">
        <f t="shared" si="107"/>
        <v>2626</v>
      </c>
      <c r="S97" s="36">
        <f t="shared" si="107"/>
        <v>2618</v>
      </c>
      <c r="T97" s="36">
        <f t="shared" si="107"/>
        <v>2612</v>
      </c>
      <c r="U97" s="36">
        <f t="shared" si="107"/>
        <v>2614</v>
      </c>
      <c r="V97" s="36">
        <f t="shared" si="107"/>
        <v>1587.628982812306</v>
      </c>
      <c r="W97" s="36">
        <f t="shared" ref="W97" si="108">IF(W25=0,0,W25/W45)</f>
        <v>1869.6981583471677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1426.2530378910067</v>
      </c>
      <c r="C98" s="36">
        <f t="shared" si="104"/>
        <v>1426.2534016916252</v>
      </c>
      <c r="D98" s="36">
        <f t="shared" ref="D98:V98" si="109">IF(D26=0,0,D26/D46)</f>
        <v>1426.6416168689366</v>
      </c>
      <c r="E98" s="36">
        <f t="shared" si="109"/>
        <v>1431.6277965117754</v>
      </c>
      <c r="F98" s="36">
        <f t="shared" si="109"/>
        <v>1430.5315472448003</v>
      </c>
      <c r="G98" s="36">
        <f t="shared" si="109"/>
        <v>1424.1184392343305</v>
      </c>
      <c r="H98" s="36">
        <f t="shared" si="109"/>
        <v>1419.0661262102192</v>
      </c>
      <c r="I98" s="36">
        <f t="shared" si="109"/>
        <v>1414.9546972330684</v>
      </c>
      <c r="J98" s="36">
        <f t="shared" si="109"/>
        <v>1424.9464016043125</v>
      </c>
      <c r="K98" s="36">
        <f t="shared" si="109"/>
        <v>1367.1185257969553</v>
      </c>
      <c r="L98" s="36">
        <f t="shared" si="109"/>
        <v>1377.3031943648282</v>
      </c>
      <c r="M98" s="36">
        <f t="shared" si="109"/>
        <v>1411.2224579894157</v>
      </c>
      <c r="N98" s="36">
        <f t="shared" si="109"/>
        <v>1421.8348130152895</v>
      </c>
      <c r="O98" s="36">
        <f t="shared" si="109"/>
        <v>1410.7167231955746</v>
      </c>
      <c r="P98" s="36">
        <f t="shared" si="109"/>
        <v>1414.1997405726672</v>
      </c>
      <c r="Q98" s="36">
        <f t="shared" si="109"/>
        <v>1417.4571256765194</v>
      </c>
      <c r="R98" s="36">
        <f t="shared" si="109"/>
        <v>1393.767783151354</v>
      </c>
      <c r="S98" s="36">
        <f t="shared" si="109"/>
        <v>1370.0809750361093</v>
      </c>
      <c r="T98" s="36">
        <f t="shared" si="109"/>
        <v>1363.1263712842635</v>
      </c>
      <c r="U98" s="36">
        <f t="shared" si="109"/>
        <v>1375.608637363948</v>
      </c>
      <c r="V98" s="36">
        <f t="shared" si="109"/>
        <v>481.27275302265497</v>
      </c>
      <c r="W98" s="36">
        <f t="shared" ref="W98" si="110">IF(W26=0,0,W26/W46)</f>
        <v>559.88450813908673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492.00000000000006</v>
      </c>
      <c r="C99" s="36">
        <f t="shared" si="104"/>
        <v>492</v>
      </c>
      <c r="D99" s="36">
        <f t="shared" ref="D99:V99" si="111">IF(D27=0,0,D27/D47)</f>
        <v>461.54625841362014</v>
      </c>
      <c r="E99" s="36">
        <f t="shared" si="111"/>
        <v>492</v>
      </c>
      <c r="F99" s="36">
        <f t="shared" si="111"/>
        <v>492</v>
      </c>
      <c r="G99" s="36">
        <f t="shared" si="111"/>
        <v>488</v>
      </c>
      <c r="H99" s="36">
        <f t="shared" si="111"/>
        <v>454</v>
      </c>
      <c r="I99" s="36">
        <f t="shared" si="111"/>
        <v>468</v>
      </c>
      <c r="J99" s="36">
        <f t="shared" si="111"/>
        <v>487</v>
      </c>
      <c r="K99" s="36">
        <f t="shared" si="111"/>
        <v>478</v>
      </c>
      <c r="L99" s="36">
        <f t="shared" si="111"/>
        <v>486</v>
      </c>
      <c r="M99" s="36">
        <f t="shared" si="111"/>
        <v>493</v>
      </c>
      <c r="N99" s="36">
        <f t="shared" si="111"/>
        <v>489</v>
      </c>
      <c r="O99" s="36">
        <f t="shared" si="111"/>
        <v>482</v>
      </c>
      <c r="P99" s="36">
        <f t="shared" si="111"/>
        <v>470.00000000000006</v>
      </c>
      <c r="Q99" s="36">
        <f t="shared" si="111"/>
        <v>459</v>
      </c>
      <c r="R99" s="36">
        <f t="shared" si="111"/>
        <v>444</v>
      </c>
      <c r="S99" s="36">
        <f t="shared" si="111"/>
        <v>441</v>
      </c>
      <c r="T99" s="36">
        <f t="shared" si="111"/>
        <v>452</v>
      </c>
      <c r="U99" s="36">
        <f t="shared" si="111"/>
        <v>454</v>
      </c>
      <c r="V99" s="36">
        <f t="shared" si="111"/>
        <v>150.2576699461496</v>
      </c>
      <c r="W99" s="36">
        <f t="shared" ref="W99" si="112">IF(W27=0,0,W27/W47)</f>
        <v>206.3514823758278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1169.5887974416996</v>
      </c>
      <c r="C100" s="13">
        <f t="shared" si="104"/>
        <v>1169.3871176314833</v>
      </c>
      <c r="D100" s="13">
        <f t="shared" ref="D100:V100" si="113">IF(D28=0,0,D28/D48)</f>
        <v>1164.8164648688955</v>
      </c>
      <c r="E100" s="13">
        <f t="shared" si="113"/>
        <v>932.95014424949329</v>
      </c>
      <c r="F100" s="13">
        <f t="shared" si="113"/>
        <v>1154.7976470303372</v>
      </c>
      <c r="G100" s="13">
        <f t="shared" si="113"/>
        <v>1133.4932555403814</v>
      </c>
      <c r="H100" s="13">
        <f t="shared" si="113"/>
        <v>1119.3652313592017</v>
      </c>
      <c r="I100" s="13">
        <f t="shared" si="113"/>
        <v>1116.8218448004795</v>
      </c>
      <c r="J100" s="13">
        <f t="shared" si="113"/>
        <v>829.89101407780618</v>
      </c>
      <c r="K100" s="13">
        <f t="shared" si="113"/>
        <v>572.94887874158235</v>
      </c>
      <c r="L100" s="13">
        <f t="shared" si="113"/>
        <v>436.34216174067694</v>
      </c>
      <c r="M100" s="13">
        <f t="shared" si="113"/>
        <v>444.44119838197088</v>
      </c>
      <c r="N100" s="13">
        <f t="shared" si="113"/>
        <v>444.05048324211083</v>
      </c>
      <c r="O100" s="13">
        <f t="shared" si="113"/>
        <v>409.2169474950154</v>
      </c>
      <c r="P100" s="13">
        <f t="shared" si="113"/>
        <v>603.54122654803723</v>
      </c>
      <c r="Q100" s="13">
        <f t="shared" si="113"/>
        <v>638.14678288018536</v>
      </c>
      <c r="R100" s="13">
        <f t="shared" si="113"/>
        <v>538.81400927769141</v>
      </c>
      <c r="S100" s="13">
        <f t="shared" si="113"/>
        <v>674.06047068639361</v>
      </c>
      <c r="T100" s="13">
        <f t="shared" si="113"/>
        <v>682.88771432097167</v>
      </c>
      <c r="U100" s="13">
        <f t="shared" si="113"/>
        <v>720.12053593349901</v>
      </c>
      <c r="V100" s="13">
        <f t="shared" si="113"/>
        <v>749.04150468012801</v>
      </c>
      <c r="W100" s="13">
        <f t="shared" ref="W100" si="114">IF(W28=0,0,W28/W48)</f>
        <v>829.16672795446209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1466</v>
      </c>
      <c r="C101" s="34">
        <f t="shared" si="104"/>
        <v>1466</v>
      </c>
      <c r="D101" s="34">
        <f t="shared" ref="D101:V101" si="115">IF(D29=0,0,D29/D49)</f>
        <v>1466</v>
      </c>
      <c r="E101" s="34">
        <f t="shared" si="115"/>
        <v>1150.305143853531</v>
      </c>
      <c r="F101" s="34">
        <f t="shared" si="115"/>
        <v>1445.759368836292</v>
      </c>
      <c r="G101" s="34">
        <f t="shared" si="115"/>
        <v>1474</v>
      </c>
      <c r="H101" s="34">
        <f t="shared" si="115"/>
        <v>1499</v>
      </c>
      <c r="I101" s="34">
        <f t="shared" si="115"/>
        <v>1523.0000000000002</v>
      </c>
      <c r="J101" s="34">
        <f t="shared" si="115"/>
        <v>1546</v>
      </c>
      <c r="K101" s="34">
        <f t="shared" si="115"/>
        <v>1420.4578281311444</v>
      </c>
      <c r="L101" s="34">
        <f t="shared" si="115"/>
        <v>699.85383917721754</v>
      </c>
      <c r="M101" s="34">
        <f t="shared" si="115"/>
        <v>439.84414410410096</v>
      </c>
      <c r="N101" s="34">
        <f t="shared" si="115"/>
        <v>379.1132397140571</v>
      </c>
      <c r="O101" s="34">
        <f t="shared" si="115"/>
        <v>447.83018562893614</v>
      </c>
      <c r="P101" s="34">
        <f t="shared" si="115"/>
        <v>483.55004786856858</v>
      </c>
      <c r="Q101" s="34">
        <f t="shared" si="115"/>
        <v>458.58500325004616</v>
      </c>
      <c r="R101" s="34">
        <f t="shared" si="115"/>
        <v>115.06577878537249</v>
      </c>
      <c r="S101" s="34">
        <f t="shared" si="115"/>
        <v>208.03190963153187</v>
      </c>
      <c r="T101" s="34">
        <f t="shared" si="115"/>
        <v>296.9547344794978</v>
      </c>
      <c r="U101" s="34">
        <f t="shared" si="115"/>
        <v>263.23264520241941</v>
      </c>
      <c r="V101" s="34">
        <f t="shared" si="115"/>
        <v>385.03267212027833</v>
      </c>
      <c r="W101" s="34">
        <f t="shared" ref="W101" si="116">IF(W29=0,0,W29/W49)</f>
        <v>746.21338126029877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1177.6728833263933</v>
      </c>
      <c r="C102" s="34">
        <f t="shared" si="104"/>
        <v>1177.5377692007974</v>
      </c>
      <c r="D102" s="34">
        <f t="shared" ref="D102:V102" si="117">IF(D30=0,0,D30/D50)</f>
        <v>1178.3376277257166</v>
      </c>
      <c r="E102" s="34">
        <f t="shared" si="117"/>
        <v>946.8325144810866</v>
      </c>
      <c r="F102" s="34">
        <f t="shared" si="117"/>
        <v>1178.5488975253477</v>
      </c>
      <c r="G102" s="34">
        <f t="shared" si="117"/>
        <v>1149.388707788599</v>
      </c>
      <c r="H102" s="34">
        <f t="shared" si="117"/>
        <v>1129.8477970602173</v>
      </c>
      <c r="I102" s="34">
        <f t="shared" si="117"/>
        <v>1124.9811020854522</v>
      </c>
      <c r="J102" s="34">
        <f t="shared" si="117"/>
        <v>1187.2110888192774</v>
      </c>
      <c r="K102" s="34">
        <f t="shared" si="117"/>
        <v>815.38666107327151</v>
      </c>
      <c r="L102" s="34">
        <f t="shared" si="117"/>
        <v>575.73299946217765</v>
      </c>
      <c r="M102" s="34">
        <f t="shared" si="117"/>
        <v>603.66180192734555</v>
      </c>
      <c r="N102" s="34">
        <f t="shared" si="117"/>
        <v>583.616183375319</v>
      </c>
      <c r="O102" s="34">
        <f t="shared" si="117"/>
        <v>531.90354837269069</v>
      </c>
      <c r="P102" s="34">
        <f t="shared" si="117"/>
        <v>866.36353508924867</v>
      </c>
      <c r="Q102" s="34">
        <f t="shared" si="117"/>
        <v>942.24708221022979</v>
      </c>
      <c r="R102" s="34">
        <f t="shared" si="117"/>
        <v>784.06234321568456</v>
      </c>
      <c r="S102" s="34">
        <f t="shared" si="117"/>
        <v>985.68130674184931</v>
      </c>
      <c r="T102" s="34">
        <f t="shared" si="117"/>
        <v>1019.1348415128389</v>
      </c>
      <c r="U102" s="34">
        <f t="shared" si="117"/>
        <v>1090.7264608103089</v>
      </c>
      <c r="V102" s="34">
        <f t="shared" si="117"/>
        <v>1187.5486981320919</v>
      </c>
      <c r="W102" s="34">
        <f t="shared" ref="W102" si="118">IF(W30=0,0,W30/W50)</f>
        <v>1158.6264439213282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349</v>
      </c>
      <c r="C103" s="35">
        <f t="shared" si="104"/>
        <v>349</v>
      </c>
      <c r="D103" s="35">
        <f t="shared" ref="D103:V103" si="119">IF(D31=0,0,D31/D51)</f>
        <v>349</v>
      </c>
      <c r="E103" s="35">
        <f t="shared" si="119"/>
        <v>349</v>
      </c>
      <c r="F103" s="35">
        <f t="shared" si="119"/>
        <v>349</v>
      </c>
      <c r="G103" s="35">
        <f t="shared" si="119"/>
        <v>267.25225225225222</v>
      </c>
      <c r="H103" s="35">
        <f t="shared" si="119"/>
        <v>136.8627450980392</v>
      </c>
      <c r="I103" s="35">
        <f t="shared" si="119"/>
        <v>168.87096774193546</v>
      </c>
      <c r="J103" s="35">
        <f t="shared" si="119"/>
        <v>313</v>
      </c>
      <c r="K103" s="35">
        <f t="shared" si="119"/>
        <v>219.67293927995118</v>
      </c>
      <c r="L103" s="35">
        <f t="shared" si="119"/>
        <v>252.11932375512092</v>
      </c>
      <c r="M103" s="35">
        <f t="shared" si="119"/>
        <v>256.37749152387141</v>
      </c>
      <c r="N103" s="35">
        <f t="shared" si="119"/>
        <v>289.2783703859015</v>
      </c>
      <c r="O103" s="35">
        <f t="shared" si="119"/>
        <v>276.28319757633432</v>
      </c>
      <c r="P103" s="35">
        <f t="shared" si="119"/>
        <v>342</v>
      </c>
      <c r="Q103" s="35">
        <f t="shared" si="119"/>
        <v>353.24790684303616</v>
      </c>
      <c r="R103" s="35">
        <f t="shared" si="119"/>
        <v>330.22518811912863</v>
      </c>
      <c r="S103" s="35">
        <f t="shared" si="119"/>
        <v>423.05275151738465</v>
      </c>
      <c r="T103" s="35">
        <f t="shared" si="119"/>
        <v>412.93346797443695</v>
      </c>
      <c r="U103" s="35">
        <f t="shared" si="119"/>
        <v>411.47390225775354</v>
      </c>
      <c r="V103" s="35">
        <f t="shared" si="119"/>
        <v>331.79866566665402</v>
      </c>
      <c r="W103" s="35">
        <f t="shared" ref="W103" si="120">IF(W31=0,0,W31/W51)</f>
        <v>471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1.7416783701542444E-2</v>
      </c>
      <c r="C107" s="43">
        <f t="shared" si="124"/>
        <v>1.7289827763021213E-2</v>
      </c>
      <c r="D107" s="43">
        <f t="shared" ref="D107:V107" si="125">IF(D5=0,0,D5/D$4)</f>
        <v>1.5652828454674167E-2</v>
      </c>
      <c r="E107" s="43">
        <f t="shared" si="125"/>
        <v>1.7513992963442894E-2</v>
      </c>
      <c r="F107" s="43">
        <f t="shared" si="125"/>
        <v>2.0172537873422079E-2</v>
      </c>
      <c r="G107" s="43">
        <f t="shared" si="125"/>
        <v>1.8817192684618209E-2</v>
      </c>
      <c r="H107" s="43">
        <f t="shared" si="125"/>
        <v>1.9808087634043441E-2</v>
      </c>
      <c r="I107" s="43">
        <f t="shared" si="125"/>
        <v>2.1948746334466782E-2</v>
      </c>
      <c r="J107" s="43">
        <f t="shared" si="125"/>
        <v>2.311824024905608E-2</v>
      </c>
      <c r="K107" s="43">
        <f t="shared" si="125"/>
        <v>2.4808666401271426E-2</v>
      </c>
      <c r="L107" s="43">
        <f t="shared" si="125"/>
        <v>2.7265279099192116E-2</v>
      </c>
      <c r="M107" s="43">
        <f t="shared" si="125"/>
        <v>2.453758395657871E-2</v>
      </c>
      <c r="N107" s="43">
        <f t="shared" si="125"/>
        <v>1.8142701332245617E-2</v>
      </c>
      <c r="O107" s="43">
        <f t="shared" si="125"/>
        <v>1.745570808006475E-2</v>
      </c>
      <c r="P107" s="43">
        <f t="shared" si="125"/>
        <v>1.694185047011481E-2</v>
      </c>
      <c r="Q107" s="43">
        <f t="shared" si="125"/>
        <v>1.6233263130405743E-2</v>
      </c>
      <c r="R107" s="43">
        <f t="shared" si="125"/>
        <v>1.5891909973593191E-2</v>
      </c>
      <c r="S107" s="43">
        <f t="shared" si="125"/>
        <v>1.482249388282879E-2</v>
      </c>
      <c r="T107" s="43">
        <f t="shared" si="125"/>
        <v>1.3819428819800998E-2</v>
      </c>
      <c r="U107" s="43">
        <f t="shared" si="125"/>
        <v>1.3111821314964932E-2</v>
      </c>
      <c r="V107" s="43">
        <f t="shared" si="125"/>
        <v>2.3038333755665732E-2</v>
      </c>
      <c r="W107" s="43">
        <f t="shared" ref="W107" si="126">IF(W5=0,0,W5/W$4)</f>
        <v>2.5770095330961376E-2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0.60880892154377686</v>
      </c>
      <c r="C108" s="43">
        <f t="shared" si="127"/>
        <v>0.61008126488753511</v>
      </c>
      <c r="D108" s="43">
        <f t="shared" ref="D108:V108" si="128">IF(D6=0,0,D6/D$4)</f>
        <v>0.60845300568923222</v>
      </c>
      <c r="E108" s="43">
        <f t="shared" si="128"/>
        <v>0.60818131781867479</v>
      </c>
      <c r="F108" s="43">
        <f t="shared" si="128"/>
        <v>0.58325028112062427</v>
      </c>
      <c r="G108" s="43">
        <f t="shared" si="128"/>
        <v>0.56455881006991893</v>
      </c>
      <c r="H108" s="43">
        <f t="shared" si="128"/>
        <v>0.55913531424442886</v>
      </c>
      <c r="I108" s="43">
        <f t="shared" si="128"/>
        <v>0.55677924181009275</v>
      </c>
      <c r="J108" s="43">
        <f t="shared" si="128"/>
        <v>0.54246259583181311</v>
      </c>
      <c r="K108" s="43">
        <f t="shared" si="128"/>
        <v>0.53619006632680566</v>
      </c>
      <c r="L108" s="43">
        <f t="shared" si="128"/>
        <v>0.52702550917045654</v>
      </c>
      <c r="M108" s="43">
        <f t="shared" si="128"/>
        <v>0.5444433639972962</v>
      </c>
      <c r="N108" s="43">
        <f t="shared" si="128"/>
        <v>0.53310747085991528</v>
      </c>
      <c r="O108" s="43">
        <f t="shared" si="128"/>
        <v>0.53660822795389396</v>
      </c>
      <c r="P108" s="43">
        <f t="shared" si="128"/>
        <v>0.52339884834140338</v>
      </c>
      <c r="Q108" s="43">
        <f t="shared" si="128"/>
        <v>0.52603170399926158</v>
      </c>
      <c r="R108" s="43">
        <f t="shared" si="128"/>
        <v>0.54843643692604072</v>
      </c>
      <c r="S108" s="43">
        <f t="shared" si="128"/>
        <v>0.55230224593823019</v>
      </c>
      <c r="T108" s="43">
        <f t="shared" si="128"/>
        <v>0.53871787360172674</v>
      </c>
      <c r="U108" s="43">
        <f t="shared" si="128"/>
        <v>0.5225441271148189</v>
      </c>
      <c r="V108" s="43">
        <f t="shared" si="128"/>
        <v>0.53067970756610994</v>
      </c>
      <c r="W108" s="43">
        <f t="shared" ref="W108" si="129">IF(W6=0,0,W6/W$4)</f>
        <v>0.63781835684270605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0.37377429475468066</v>
      </c>
      <c r="C109" s="43">
        <f t="shared" si="130"/>
        <v>0.37262890734944359</v>
      </c>
      <c r="D109" s="43">
        <f t="shared" ref="D109:V109" si="131">IF(D7=0,0,D7/D$4)</f>
        <v>0.37589416585609353</v>
      </c>
      <c r="E109" s="43">
        <f t="shared" si="131"/>
        <v>0.37430468921788235</v>
      </c>
      <c r="F109" s="43">
        <f t="shared" si="131"/>
        <v>0.39657718100595368</v>
      </c>
      <c r="G109" s="43">
        <f t="shared" si="131"/>
        <v>0.41662399724546284</v>
      </c>
      <c r="H109" s="43">
        <f t="shared" si="131"/>
        <v>0.42105659812152774</v>
      </c>
      <c r="I109" s="43">
        <f t="shared" si="131"/>
        <v>0.42127201185544055</v>
      </c>
      <c r="J109" s="43">
        <f t="shared" si="131"/>
        <v>0.43441916391913077</v>
      </c>
      <c r="K109" s="43">
        <f t="shared" si="131"/>
        <v>0.43900126727192285</v>
      </c>
      <c r="L109" s="43">
        <f t="shared" si="131"/>
        <v>0.4457092117303515</v>
      </c>
      <c r="M109" s="43">
        <f t="shared" si="131"/>
        <v>0.43101905204612512</v>
      </c>
      <c r="N109" s="43">
        <f t="shared" si="131"/>
        <v>0.44874982780783912</v>
      </c>
      <c r="O109" s="43">
        <f t="shared" si="131"/>
        <v>0.44593606396604135</v>
      </c>
      <c r="P109" s="43">
        <f t="shared" si="131"/>
        <v>0.45965930118848192</v>
      </c>
      <c r="Q109" s="43">
        <f t="shared" si="131"/>
        <v>0.45773503287033268</v>
      </c>
      <c r="R109" s="43">
        <f t="shared" si="131"/>
        <v>0.43567165310036621</v>
      </c>
      <c r="S109" s="43">
        <f t="shared" si="131"/>
        <v>0.43287526017894118</v>
      </c>
      <c r="T109" s="43">
        <f t="shared" si="131"/>
        <v>0.44746269757847229</v>
      </c>
      <c r="U109" s="43">
        <f t="shared" si="131"/>
        <v>0.46434405157021613</v>
      </c>
      <c r="V109" s="43">
        <f t="shared" si="131"/>
        <v>0.44628195867822423</v>
      </c>
      <c r="W109" s="43">
        <f t="shared" ref="W109" si="132">IF(W7=0,0,W7/W$4)</f>
        <v>0.33641154782633259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7.634110520929111E-3</v>
      </c>
      <c r="C111" s="44">
        <f t="shared" si="136"/>
        <v>7.3322484771512018E-3</v>
      </c>
      <c r="D111" s="44">
        <f t="shared" ref="D111:V111" si="137">IF(D9=0,0,D9/D$8)</f>
        <v>7.4689853275832531E-3</v>
      </c>
      <c r="E111" s="44">
        <f t="shared" si="137"/>
        <v>7.1604800071049298E-3</v>
      </c>
      <c r="F111" s="44">
        <f t="shared" si="137"/>
        <v>7.4783246311787375E-3</v>
      </c>
      <c r="G111" s="44">
        <f t="shared" si="137"/>
        <v>7.8605723772280089E-3</v>
      </c>
      <c r="H111" s="44">
        <f t="shared" si="137"/>
        <v>8.0753560309067083E-3</v>
      </c>
      <c r="I111" s="44">
        <f t="shared" si="137"/>
        <v>7.0323556525158631E-3</v>
      </c>
      <c r="J111" s="44">
        <f t="shared" si="137"/>
        <v>9.4205135830910532E-4</v>
      </c>
      <c r="K111" s="44">
        <f t="shared" si="137"/>
        <v>8.441158192357748E-4</v>
      </c>
      <c r="L111" s="44">
        <f t="shared" si="137"/>
        <v>2.7939762565101453E-4</v>
      </c>
      <c r="M111" s="44">
        <f t="shared" si="137"/>
        <v>1.5900615412141894E-4</v>
      </c>
      <c r="N111" s="44">
        <f t="shared" si="137"/>
        <v>1.0536772186615842E-4</v>
      </c>
      <c r="O111" s="44">
        <f t="shared" si="137"/>
        <v>1.5102716705039766E-4</v>
      </c>
      <c r="P111" s="44">
        <f t="shared" si="137"/>
        <v>1.401548756935528E-4</v>
      </c>
      <c r="Q111" s="44">
        <f t="shared" si="137"/>
        <v>1.4872841413064898E-4</v>
      </c>
      <c r="R111" s="44">
        <f t="shared" si="137"/>
        <v>4.8696547076921785E-5</v>
      </c>
      <c r="S111" s="44">
        <f t="shared" si="137"/>
        <v>7.2540365605561118E-5</v>
      </c>
      <c r="T111" s="44">
        <f t="shared" si="137"/>
        <v>1.2354804643948839E-4</v>
      </c>
      <c r="U111" s="44">
        <f t="shared" si="137"/>
        <v>1.2051714951550275E-4</v>
      </c>
      <c r="V111" s="44">
        <f t="shared" si="137"/>
        <v>2.558425838437876E-4</v>
      </c>
      <c r="W111" s="44">
        <f t="shared" ref="W111" si="138">IF(W9=0,0,W9/W$8)</f>
        <v>3.3694156701106527E-4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0.83615615373976671</v>
      </c>
      <c r="C112" s="44">
        <f t="shared" si="139"/>
        <v>0.8349766995605532</v>
      </c>
      <c r="D112" s="44">
        <f t="shared" ref="D112:V112" si="140">IF(D10=0,0,D10/D$8)</f>
        <v>0.80436393626820835</v>
      </c>
      <c r="E112" s="44">
        <f t="shared" si="140"/>
        <v>0.75371621319673299</v>
      </c>
      <c r="F112" s="44">
        <f t="shared" si="140"/>
        <v>0.76083027153140337</v>
      </c>
      <c r="G112" s="44">
        <f t="shared" si="140"/>
        <v>0.84454932080963985</v>
      </c>
      <c r="H112" s="44">
        <f t="shared" si="140"/>
        <v>0.91544216841850501</v>
      </c>
      <c r="I112" s="44">
        <f t="shared" si="140"/>
        <v>0.90034825601767332</v>
      </c>
      <c r="J112" s="44">
        <f t="shared" si="140"/>
        <v>0.15029261689796578</v>
      </c>
      <c r="K112" s="44">
        <f t="shared" si="140"/>
        <v>0.13094286419115284</v>
      </c>
      <c r="L112" s="44">
        <f t="shared" si="140"/>
        <v>8.342166862214459E-2</v>
      </c>
      <c r="M112" s="44">
        <f t="shared" si="140"/>
        <v>8.3284604322464026E-2</v>
      </c>
      <c r="N112" s="44">
        <f t="shared" si="140"/>
        <v>6.6768312096762261E-2</v>
      </c>
      <c r="O112" s="44">
        <f t="shared" si="140"/>
        <v>6.4606472215428548E-2</v>
      </c>
      <c r="P112" s="44">
        <f t="shared" si="140"/>
        <v>8.134317676659282E-2</v>
      </c>
      <c r="Q112" s="44">
        <f t="shared" si="140"/>
        <v>8.5294336779786165E-2</v>
      </c>
      <c r="R112" s="44">
        <f t="shared" si="140"/>
        <v>8.2995935054300279E-2</v>
      </c>
      <c r="S112" s="44">
        <f t="shared" si="140"/>
        <v>8.302604331781642E-2</v>
      </c>
      <c r="T112" s="44">
        <f t="shared" si="140"/>
        <v>0.10290704240641657</v>
      </c>
      <c r="U112" s="44">
        <f t="shared" si="140"/>
        <v>0.10222475467746601</v>
      </c>
      <c r="V112" s="44">
        <f t="shared" si="140"/>
        <v>0.17140836239829146</v>
      </c>
      <c r="W112" s="44">
        <f t="shared" ref="W112" si="141">IF(W10=0,0,W10/W$8)</f>
        <v>0.18114371121728801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0.15620973573930427</v>
      </c>
      <c r="C113" s="45">
        <f t="shared" si="142"/>
        <v>0.15769105196229552</v>
      </c>
      <c r="D113" s="45">
        <f t="shared" ref="D113:V113" si="143">IF(D11=0,0,D11/D$8)</f>
        <v>0.1881670784042084</v>
      </c>
      <c r="E113" s="45">
        <f t="shared" si="143"/>
        <v>0.23912330679616203</v>
      </c>
      <c r="F113" s="45">
        <f t="shared" si="143"/>
        <v>0.23169140383741793</v>
      </c>
      <c r="G113" s="45">
        <f t="shared" si="143"/>
        <v>0.14759010681313225</v>
      </c>
      <c r="H113" s="45">
        <f t="shared" si="143"/>
        <v>7.6482475550588208E-2</v>
      </c>
      <c r="I113" s="45">
        <f t="shared" si="143"/>
        <v>9.2619388329810981E-2</v>
      </c>
      <c r="J113" s="45">
        <f t="shared" si="143"/>
        <v>0.84876533174372515</v>
      </c>
      <c r="K113" s="45">
        <f t="shared" si="143"/>
        <v>0.86821301998961131</v>
      </c>
      <c r="L113" s="45">
        <f t="shared" si="143"/>
        <v>0.91629893375220439</v>
      </c>
      <c r="M113" s="45">
        <f t="shared" si="143"/>
        <v>0.91655638952341456</v>
      </c>
      <c r="N113" s="45">
        <f t="shared" si="143"/>
        <v>0.93312632018137165</v>
      </c>
      <c r="O113" s="45">
        <f t="shared" si="143"/>
        <v>0.93524250061752112</v>
      </c>
      <c r="P113" s="45">
        <f t="shared" si="143"/>
        <v>0.91851666835771373</v>
      </c>
      <c r="Q113" s="45">
        <f t="shared" si="143"/>
        <v>0.91455693480608324</v>
      </c>
      <c r="R113" s="45">
        <f t="shared" si="143"/>
        <v>0.91695536839862279</v>
      </c>
      <c r="S113" s="45">
        <f t="shared" si="143"/>
        <v>0.91690141631657796</v>
      </c>
      <c r="T113" s="45">
        <f t="shared" si="143"/>
        <v>0.89696940954714399</v>
      </c>
      <c r="U113" s="45">
        <f t="shared" si="143"/>
        <v>0.8976547281730185</v>
      </c>
      <c r="V113" s="45">
        <f t="shared" si="143"/>
        <v>0.82833579501786481</v>
      </c>
      <c r="W113" s="45">
        <f t="shared" ref="W113" si="144">IF(W11=0,0,W11/W$8)</f>
        <v>0.81851934721570085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3.6906563725370829E-2</v>
      </c>
      <c r="C117" s="43">
        <f t="shared" si="148"/>
        <v>3.7127763541217551E-2</v>
      </c>
      <c r="D117" s="43">
        <f t="shared" ref="D117:V117" si="149">IF(D15=0,0,D15/D$14)</f>
        <v>4.1674011628863659E-2</v>
      </c>
      <c r="E117" s="43">
        <f t="shared" si="149"/>
        <v>4.979800622114651E-2</v>
      </c>
      <c r="F117" s="43">
        <f t="shared" si="149"/>
        <v>6.1398588925676088E-2</v>
      </c>
      <c r="G117" s="43">
        <f t="shared" si="149"/>
        <v>5.6991505197607546E-2</v>
      </c>
      <c r="H117" s="43">
        <f t="shared" si="149"/>
        <v>5.8521749855187911E-2</v>
      </c>
      <c r="I117" s="43">
        <f t="shared" si="149"/>
        <v>5.9413333324747096E-2</v>
      </c>
      <c r="J117" s="43">
        <f t="shared" si="149"/>
        <v>6.1812592922403271E-2</v>
      </c>
      <c r="K117" s="43">
        <f t="shared" si="149"/>
        <v>6.323367582312886E-2</v>
      </c>
      <c r="L117" s="43">
        <f t="shared" si="149"/>
        <v>6.4001531202868972E-2</v>
      </c>
      <c r="M117" s="43">
        <f t="shared" si="149"/>
        <v>5.9523370779715271E-2</v>
      </c>
      <c r="N117" s="43">
        <f t="shared" si="149"/>
        <v>4.1579533729325914E-2</v>
      </c>
      <c r="O117" s="43">
        <f t="shared" si="149"/>
        <v>4.23846868585918E-2</v>
      </c>
      <c r="P117" s="43">
        <f t="shared" si="149"/>
        <v>4.3479454436434688E-2</v>
      </c>
      <c r="Q117" s="43">
        <f t="shared" si="149"/>
        <v>4.2417591318906732E-2</v>
      </c>
      <c r="R117" s="43">
        <f t="shared" si="149"/>
        <v>4.055296465191377E-2</v>
      </c>
      <c r="S117" s="43">
        <f t="shared" si="149"/>
        <v>3.9423805573024252E-2</v>
      </c>
      <c r="T117" s="43">
        <f t="shared" si="149"/>
        <v>3.6231434154888997E-2</v>
      </c>
      <c r="U117" s="43">
        <f t="shared" si="149"/>
        <v>3.5721601513785173E-2</v>
      </c>
      <c r="V117" s="43">
        <f t="shared" si="149"/>
        <v>6.3816523925450688E-2</v>
      </c>
      <c r="W117" s="43">
        <f t="shared" ref="W117" si="150">IF(W15=0,0,W15/W$14)</f>
        <v>5.7011128986616769E-2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0.69774941739809937</v>
      </c>
      <c r="C118" s="43">
        <f t="shared" si="151"/>
        <v>0.69758392102810962</v>
      </c>
      <c r="D118" s="43">
        <f t="shared" ref="D118:V118" si="152">IF(D16=0,0,D16/D$14)</f>
        <v>0.7127195071600595</v>
      </c>
      <c r="E118" s="43">
        <f t="shared" si="152"/>
        <v>0.7123501787833606</v>
      </c>
      <c r="F118" s="43">
        <f t="shared" si="152"/>
        <v>0.68844382885325972</v>
      </c>
      <c r="G118" s="43">
        <f t="shared" si="152"/>
        <v>0.67522661158104957</v>
      </c>
      <c r="H118" s="43">
        <f t="shared" si="152"/>
        <v>0.67573768064071271</v>
      </c>
      <c r="I118" s="43">
        <f t="shared" si="152"/>
        <v>0.67811591372479008</v>
      </c>
      <c r="J118" s="43">
        <f t="shared" si="152"/>
        <v>0.67566964438897748</v>
      </c>
      <c r="K118" s="43">
        <f t="shared" si="152"/>
        <v>0.66700946734834909</v>
      </c>
      <c r="L118" s="43">
        <f t="shared" si="152"/>
        <v>0.65445082723105963</v>
      </c>
      <c r="M118" s="43">
        <f t="shared" si="152"/>
        <v>0.64109824489505463</v>
      </c>
      <c r="N118" s="43">
        <f t="shared" si="152"/>
        <v>0.64409057482032839</v>
      </c>
      <c r="O118" s="43">
        <f t="shared" si="152"/>
        <v>0.64854252431807413</v>
      </c>
      <c r="P118" s="43">
        <f t="shared" si="152"/>
        <v>0.62765653621536965</v>
      </c>
      <c r="Q118" s="43">
        <f t="shared" si="152"/>
        <v>0.6257164530617787</v>
      </c>
      <c r="R118" s="43">
        <f t="shared" si="152"/>
        <v>0.63835578223433032</v>
      </c>
      <c r="S118" s="43">
        <f t="shared" si="152"/>
        <v>0.64319611746112182</v>
      </c>
      <c r="T118" s="43">
        <f t="shared" si="152"/>
        <v>0.63182907486264472</v>
      </c>
      <c r="U118" s="43">
        <f t="shared" si="152"/>
        <v>0.61613185786333879</v>
      </c>
      <c r="V118" s="43">
        <f t="shared" si="152"/>
        <v>0.59408757797603351</v>
      </c>
      <c r="W118" s="43">
        <f t="shared" ref="W118" si="153">IF(W16=0,0,W16/W$14)</f>
        <v>0.58839278113651827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0.26534401887652975</v>
      </c>
      <c r="C119" s="43">
        <f t="shared" si="154"/>
        <v>0.26528831543067283</v>
      </c>
      <c r="D119" s="43">
        <f t="shared" ref="D119:V119" si="155">IF(D17=0,0,D17/D$14)</f>
        <v>0.24560648121107681</v>
      </c>
      <c r="E119" s="43">
        <f t="shared" si="155"/>
        <v>0.23785181499549285</v>
      </c>
      <c r="F119" s="43">
        <f t="shared" si="155"/>
        <v>0.25015758222106421</v>
      </c>
      <c r="G119" s="43">
        <f t="shared" si="155"/>
        <v>0.26778188322134289</v>
      </c>
      <c r="H119" s="43">
        <f t="shared" si="155"/>
        <v>0.26574056950409947</v>
      </c>
      <c r="I119" s="43">
        <f t="shared" si="155"/>
        <v>0.26247075295046274</v>
      </c>
      <c r="J119" s="43">
        <f t="shared" si="155"/>
        <v>0.26251776268861921</v>
      </c>
      <c r="K119" s="43">
        <f t="shared" si="155"/>
        <v>0.26975685682852196</v>
      </c>
      <c r="L119" s="43">
        <f t="shared" si="155"/>
        <v>0.28154764156607148</v>
      </c>
      <c r="M119" s="43">
        <f t="shared" si="155"/>
        <v>0.29937838432523017</v>
      </c>
      <c r="N119" s="43">
        <f t="shared" si="155"/>
        <v>0.31432989145034562</v>
      </c>
      <c r="O119" s="43">
        <f t="shared" si="155"/>
        <v>0.30907278882333417</v>
      </c>
      <c r="P119" s="43">
        <f t="shared" si="155"/>
        <v>0.32886400934819565</v>
      </c>
      <c r="Q119" s="43">
        <f t="shared" si="155"/>
        <v>0.33186595561931448</v>
      </c>
      <c r="R119" s="43">
        <f t="shared" si="155"/>
        <v>0.32109125311375597</v>
      </c>
      <c r="S119" s="43">
        <f t="shared" si="155"/>
        <v>0.31738007696585385</v>
      </c>
      <c r="T119" s="43">
        <f t="shared" si="155"/>
        <v>0.33193949098246639</v>
      </c>
      <c r="U119" s="43">
        <f t="shared" si="155"/>
        <v>0.34814654062287614</v>
      </c>
      <c r="V119" s="43">
        <f t="shared" si="155"/>
        <v>0.34209589809851576</v>
      </c>
      <c r="W119" s="43">
        <f t="shared" ref="W119" si="156">IF(W17=0,0,W17/W$14)</f>
        <v>0.35459608987686492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2.0472920218998953E-2</v>
      </c>
      <c r="C121" s="44">
        <f t="shared" si="160"/>
        <v>2.0895955307660054E-2</v>
      </c>
      <c r="D121" s="44">
        <f t="shared" ref="D121:V121" si="161">IF(D19=0,0,D19/D$18)</f>
        <v>2.0007169798095761E-2</v>
      </c>
      <c r="E121" s="44">
        <f t="shared" si="161"/>
        <v>1.8988084164222725E-2</v>
      </c>
      <c r="F121" s="44">
        <f t="shared" si="161"/>
        <v>1.9132767877145063E-2</v>
      </c>
      <c r="G121" s="44">
        <f t="shared" si="161"/>
        <v>1.8959145550282781E-2</v>
      </c>
      <c r="H121" s="44">
        <f t="shared" si="161"/>
        <v>1.6699328136308592E-2</v>
      </c>
      <c r="I121" s="44">
        <f t="shared" si="161"/>
        <v>1.4393125518660324E-2</v>
      </c>
      <c r="J121" s="44">
        <f t="shared" si="161"/>
        <v>4.6425959613392766E-3</v>
      </c>
      <c r="K121" s="44">
        <f t="shared" si="161"/>
        <v>4.6671518574041134E-3</v>
      </c>
      <c r="L121" s="44">
        <f t="shared" si="161"/>
        <v>1.6589262936548218E-3</v>
      </c>
      <c r="M121" s="44">
        <f t="shared" si="161"/>
        <v>8.867001990177151E-4</v>
      </c>
      <c r="N121" s="44">
        <f t="shared" si="161"/>
        <v>6.3702802578880727E-4</v>
      </c>
      <c r="O121" s="44">
        <f t="shared" si="161"/>
        <v>8.8182106723426099E-4</v>
      </c>
      <c r="P121" s="44">
        <f t="shared" si="161"/>
        <v>7.9017857846873125E-4</v>
      </c>
      <c r="Q121" s="44">
        <f t="shared" si="161"/>
        <v>7.9117505651297201E-4</v>
      </c>
      <c r="R121" s="44">
        <f t="shared" si="161"/>
        <v>2.4105622518462446E-4</v>
      </c>
      <c r="S121" s="44">
        <f t="shared" si="161"/>
        <v>3.8181372502216378E-4</v>
      </c>
      <c r="T121" s="44">
        <f t="shared" si="161"/>
        <v>6.2643670550473066E-4</v>
      </c>
      <c r="U121" s="44">
        <f t="shared" si="161"/>
        <v>5.7713556017726904E-4</v>
      </c>
      <c r="V121" s="44">
        <f t="shared" si="161"/>
        <v>8.5943292441975768E-4</v>
      </c>
      <c r="W121" s="44">
        <f t="shared" ref="W121" si="162">IF(W19=0,0,W19/W$18)</f>
        <v>9.8128571550110295E-4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0.92920282702241197</v>
      </c>
      <c r="C122" s="44">
        <f t="shared" si="163"/>
        <v>0.92796255247333581</v>
      </c>
      <c r="D122" s="44">
        <f t="shared" ref="D122:V122" si="164">IF(D20=0,0,D20/D$18)</f>
        <v>0.91753670371025409</v>
      </c>
      <c r="E122" s="44">
        <f t="shared" si="164"/>
        <v>0.88904607262667823</v>
      </c>
      <c r="F122" s="44">
        <f t="shared" si="164"/>
        <v>0.8974672954059707</v>
      </c>
      <c r="G122" s="44">
        <f t="shared" si="164"/>
        <v>0.92892246430075442</v>
      </c>
      <c r="H122" s="44">
        <f t="shared" si="164"/>
        <v>0.96025923120088397</v>
      </c>
      <c r="I122" s="44">
        <f t="shared" si="164"/>
        <v>0.95762700288797609</v>
      </c>
      <c r="J122" s="44">
        <f t="shared" si="164"/>
        <v>0.38913584397097195</v>
      </c>
      <c r="K122" s="44">
        <f t="shared" si="164"/>
        <v>0.37310724079457697</v>
      </c>
      <c r="L122" s="44">
        <f t="shared" si="164"/>
        <v>0.25644174130692493</v>
      </c>
      <c r="M122" s="44">
        <f t="shared" si="164"/>
        <v>0.2461169188919177</v>
      </c>
      <c r="N122" s="44">
        <f t="shared" si="164"/>
        <v>0.2037963698834416</v>
      </c>
      <c r="O122" s="44">
        <f t="shared" si="164"/>
        <v>0.19684379747943112</v>
      </c>
      <c r="P122" s="44">
        <f t="shared" si="164"/>
        <v>0.24193236404223431</v>
      </c>
      <c r="Q122" s="44">
        <f t="shared" si="164"/>
        <v>0.25071773991829238</v>
      </c>
      <c r="R122" s="44">
        <f t="shared" si="164"/>
        <v>0.23791869861943696</v>
      </c>
      <c r="S122" s="44">
        <f t="shared" si="164"/>
        <v>0.25082592712328222</v>
      </c>
      <c r="T122" s="44">
        <f t="shared" si="164"/>
        <v>0.29805993084916754</v>
      </c>
      <c r="U122" s="44">
        <f t="shared" si="164"/>
        <v>0.29841303337647934</v>
      </c>
      <c r="V122" s="44">
        <f t="shared" si="164"/>
        <v>0.37114417195931376</v>
      </c>
      <c r="W122" s="44">
        <f t="shared" ref="W122" si="165">IF(W20=0,0,W20/W$18)</f>
        <v>0.36578485760492535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5.0324252758589212E-2</v>
      </c>
      <c r="C123" s="45">
        <f t="shared" si="166"/>
        <v>5.1141492219004055E-2</v>
      </c>
      <c r="D123" s="45">
        <f t="shared" ref="D123:V123" si="167">IF(D21=0,0,D21/D$18)</f>
        <v>6.2456126491650062E-2</v>
      </c>
      <c r="E123" s="45">
        <f t="shared" si="167"/>
        <v>9.1965843209098994E-2</v>
      </c>
      <c r="F123" s="45">
        <f t="shared" si="167"/>
        <v>8.3399936716884282E-2</v>
      </c>
      <c r="G123" s="45">
        <f t="shared" si="167"/>
        <v>5.211839014896269E-2</v>
      </c>
      <c r="H123" s="45">
        <f t="shared" si="167"/>
        <v>2.3041440662807347E-2</v>
      </c>
      <c r="I123" s="45">
        <f t="shared" si="167"/>
        <v>2.7979871593363615E-2</v>
      </c>
      <c r="J123" s="45">
        <f t="shared" si="167"/>
        <v>0.60622156006768879</v>
      </c>
      <c r="K123" s="45">
        <f t="shared" si="167"/>
        <v>0.62222560734801902</v>
      </c>
      <c r="L123" s="45">
        <f t="shared" si="167"/>
        <v>0.7418993323994203</v>
      </c>
      <c r="M123" s="45">
        <f t="shared" si="167"/>
        <v>0.75299638090906462</v>
      </c>
      <c r="N123" s="45">
        <f t="shared" si="167"/>
        <v>0.79556660209076957</v>
      </c>
      <c r="O123" s="45">
        <f t="shared" si="167"/>
        <v>0.80227438145333463</v>
      </c>
      <c r="P123" s="45">
        <f t="shared" si="167"/>
        <v>0.75727745737929697</v>
      </c>
      <c r="Q123" s="45">
        <f t="shared" si="167"/>
        <v>0.74849108502519457</v>
      </c>
      <c r="R123" s="45">
        <f t="shared" si="167"/>
        <v>0.76184024515537851</v>
      </c>
      <c r="S123" s="45">
        <f t="shared" si="167"/>
        <v>0.74879225915169556</v>
      </c>
      <c r="T123" s="45">
        <f t="shared" si="167"/>
        <v>0.70131363244532774</v>
      </c>
      <c r="U123" s="45">
        <f t="shared" si="167"/>
        <v>0.70100983106334336</v>
      </c>
      <c r="V123" s="45">
        <f t="shared" si="167"/>
        <v>0.62799639511626648</v>
      </c>
      <c r="W123" s="45">
        <f t="shared" ref="W123" si="168">IF(W21=0,0,W21/W$18)</f>
        <v>0.63323385667957366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831.19802235597581</v>
      </c>
      <c r="C3" s="79">
        <f t="shared" si="0"/>
        <v>844.70472914875313</v>
      </c>
      <c r="D3" s="79">
        <f t="shared" ref="D3" si="1">SUM(D4:D5)</f>
        <v>731.46319862424741</v>
      </c>
      <c r="E3" s="79">
        <f t="shared" ref="E3" si="2">SUM(E4:E5)</f>
        <v>756.39140154772156</v>
      </c>
      <c r="F3" s="79">
        <f t="shared" ref="F3" si="3">SUM(F4:F5)</f>
        <v>855.10180567497832</v>
      </c>
      <c r="G3" s="79">
        <f t="shared" ref="G3" si="4">SUM(G4:G5)</f>
        <v>898.73886500429933</v>
      </c>
      <c r="H3" s="79">
        <f t="shared" ref="H3" si="5">SUM(H4:H5)</f>
        <v>903.92656921754076</v>
      </c>
      <c r="I3" s="79">
        <f t="shared" ref="I3" si="6">SUM(I4:I5)</f>
        <v>930.94006878761832</v>
      </c>
      <c r="J3" s="79">
        <f t="shared" ref="J3" si="7">SUM(J4:J5)</f>
        <v>931.97910576096297</v>
      </c>
      <c r="K3" s="79">
        <f t="shared" ref="K3" si="8">SUM(K4:K5)</f>
        <v>819.76930352536533</v>
      </c>
      <c r="L3" s="79">
        <f t="shared" ref="L3" si="9">SUM(L4:L5)</f>
        <v>854.04849527085105</v>
      </c>
      <c r="M3" s="79">
        <f t="shared" ref="M3" si="10">SUM(M4:M5)</f>
        <v>873.78907996560622</v>
      </c>
      <c r="N3" s="79">
        <f t="shared" ref="N3" si="11">SUM(N4:N5)</f>
        <v>875.86706792777284</v>
      </c>
      <c r="O3" s="79">
        <f t="shared" ref="O3" si="12">SUM(O4:O5)</f>
        <v>866.51625107480641</v>
      </c>
      <c r="P3" s="79">
        <f t="shared" ref="P3" si="13">SUM(P4:P5)</f>
        <v>934.0498710232157</v>
      </c>
      <c r="Q3" s="79">
        <f t="shared" ref="Q3" si="14">SUM(Q4:Q5)</f>
        <v>913.49217540842676</v>
      </c>
      <c r="R3" s="79">
        <f t="shared" ref="R3" si="15">SUM(R4:R5)</f>
        <v>980.836887360275</v>
      </c>
      <c r="S3" s="79">
        <f t="shared" ref="S3" si="16">SUM(S4:S5)</f>
        <v>1009.4257953568355</v>
      </c>
      <c r="T3" s="79">
        <f t="shared" ref="T3" si="17">SUM(T4:T5)</f>
        <v>1054.4072226999142</v>
      </c>
      <c r="U3" s="79">
        <f t="shared" ref="U3" si="18">SUM(U4:U5)</f>
        <v>1077.2882201203777</v>
      </c>
      <c r="V3" s="79">
        <f t="shared" ref="V3:W3" si="19">SUM(V4:V5)</f>
        <v>349.79544282029241</v>
      </c>
      <c r="W3" s="79">
        <f t="shared" si="19"/>
        <v>445.64350816852954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46.768357695614775</v>
      </c>
      <c r="C4" s="96">
        <f t="shared" si="20"/>
        <v>47.807308684436791</v>
      </c>
      <c r="D4" s="96">
        <f t="shared" ref="D4:V4" si="21">SUM(D7,D11)</f>
        <v>39.49552880481513</v>
      </c>
      <c r="E4" s="96">
        <f t="shared" si="21"/>
        <v>38.456491831470331</v>
      </c>
      <c r="F4" s="96">
        <f t="shared" si="21"/>
        <v>32.222699914015472</v>
      </c>
      <c r="G4" s="96">
        <f t="shared" si="21"/>
        <v>34.300601891659511</v>
      </c>
      <c r="H4" s="96">
        <f t="shared" si="21"/>
        <v>36.378589853826306</v>
      </c>
      <c r="I4" s="96">
        <f t="shared" si="21"/>
        <v>42.612467755803955</v>
      </c>
      <c r="J4" s="96">
        <f t="shared" si="21"/>
        <v>44.690455717970757</v>
      </c>
      <c r="K4" s="96">
        <f t="shared" si="21"/>
        <v>44.690455717970757</v>
      </c>
      <c r="L4" s="96">
        <f t="shared" si="21"/>
        <v>46.761306964746346</v>
      </c>
      <c r="M4" s="96">
        <f t="shared" si="21"/>
        <v>44.683319002579523</v>
      </c>
      <c r="N4" s="96">
        <f t="shared" si="21"/>
        <v>38.449441100601888</v>
      </c>
      <c r="O4" s="96">
        <f t="shared" si="21"/>
        <v>37.410490111779879</v>
      </c>
      <c r="P4" s="96">
        <f t="shared" si="21"/>
        <v>36.371453138435079</v>
      </c>
      <c r="Q4" s="96">
        <f t="shared" si="21"/>
        <v>33.783834909716255</v>
      </c>
      <c r="R4" s="96">
        <f t="shared" si="21"/>
        <v>35.069131556319853</v>
      </c>
      <c r="S4" s="96">
        <f t="shared" si="21"/>
        <v>33.474806534823728</v>
      </c>
      <c r="T4" s="96">
        <f t="shared" si="21"/>
        <v>31.683404987102321</v>
      </c>
      <c r="U4" s="96">
        <f t="shared" si="21"/>
        <v>31.782717110920036</v>
      </c>
      <c r="V4" s="96">
        <f t="shared" si="21"/>
        <v>17.064316423043849</v>
      </c>
      <c r="W4" s="96">
        <f t="shared" ref="W4" si="22">SUM(W7,W11)</f>
        <v>18.278933791917456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784.42966466036103</v>
      </c>
      <c r="C5" s="96">
        <f t="shared" si="23"/>
        <v>796.89742046431638</v>
      </c>
      <c r="D5" s="96">
        <f t="shared" ref="D5:V5" si="24">SUM(D8:D9,D12:D13)</f>
        <v>691.96766981943233</v>
      </c>
      <c r="E5" s="96">
        <f t="shared" si="24"/>
        <v>717.93490971625124</v>
      </c>
      <c r="F5" s="96">
        <f t="shared" si="24"/>
        <v>822.87910576096283</v>
      </c>
      <c r="G5" s="96">
        <f t="shared" si="24"/>
        <v>864.43826311263979</v>
      </c>
      <c r="H5" s="96">
        <f t="shared" si="24"/>
        <v>867.54797936371449</v>
      </c>
      <c r="I5" s="96">
        <f t="shared" si="24"/>
        <v>888.32760103181431</v>
      </c>
      <c r="J5" s="96">
        <f t="shared" si="24"/>
        <v>887.28865004299223</v>
      </c>
      <c r="K5" s="96">
        <f t="shared" si="24"/>
        <v>775.0788478073946</v>
      </c>
      <c r="L5" s="96">
        <f t="shared" si="24"/>
        <v>807.28718830610467</v>
      </c>
      <c r="M5" s="96">
        <f t="shared" si="24"/>
        <v>829.10576096302668</v>
      </c>
      <c r="N5" s="96">
        <f t="shared" si="24"/>
        <v>837.41762682717092</v>
      </c>
      <c r="O5" s="96">
        <f t="shared" si="24"/>
        <v>829.10576096302657</v>
      </c>
      <c r="P5" s="96">
        <f t="shared" si="24"/>
        <v>897.67841788478063</v>
      </c>
      <c r="Q5" s="96">
        <f t="shared" si="24"/>
        <v>879.70834049871053</v>
      </c>
      <c r="R5" s="96">
        <f t="shared" si="24"/>
        <v>945.7677558039552</v>
      </c>
      <c r="S5" s="96">
        <f t="shared" si="24"/>
        <v>975.95098882201171</v>
      </c>
      <c r="T5" s="96">
        <f t="shared" si="24"/>
        <v>1022.723817712812</v>
      </c>
      <c r="U5" s="96">
        <f t="shared" si="24"/>
        <v>1045.5055030094577</v>
      </c>
      <c r="V5" s="96">
        <f t="shared" si="24"/>
        <v>332.73112639724854</v>
      </c>
      <c r="W5" s="96">
        <f t="shared" ref="W5" si="25">SUM(W8:W9,W12:W13)</f>
        <v>427.3645743766121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823.40315284326448</v>
      </c>
      <c r="C6" s="21">
        <f t="shared" si="26"/>
        <v>836.61090000374611</v>
      </c>
      <c r="D6" s="21">
        <f t="shared" ref="D6:V6" si="27">SUM(D7:D9)</f>
        <v>723.99547232436794</v>
      </c>
      <c r="E6" s="21">
        <f t="shared" si="27"/>
        <v>750.4275724458555</v>
      </c>
      <c r="F6" s="21">
        <f t="shared" si="27"/>
        <v>848.34346806352028</v>
      </c>
      <c r="G6" s="21">
        <f t="shared" si="27"/>
        <v>890.94523141101922</v>
      </c>
      <c r="H6" s="21">
        <f t="shared" si="27"/>
        <v>894.62909464373831</v>
      </c>
      <c r="I6" s="21">
        <f t="shared" si="27"/>
        <v>921.88049921982986</v>
      </c>
      <c r="J6" s="21">
        <f t="shared" si="27"/>
        <v>862.93386093541301</v>
      </c>
      <c r="K6" s="21">
        <f t="shared" si="27"/>
        <v>770.84250158608302</v>
      </c>
      <c r="L6" s="21">
        <f t="shared" si="27"/>
        <v>802.79085774283362</v>
      </c>
      <c r="M6" s="21">
        <f t="shared" si="27"/>
        <v>824.92572053890819</v>
      </c>
      <c r="N6" s="21">
        <f t="shared" si="27"/>
        <v>824.29525675983177</v>
      </c>
      <c r="O6" s="21">
        <f t="shared" si="27"/>
        <v>822.74825235403671</v>
      </c>
      <c r="P6" s="21">
        <f t="shared" si="27"/>
        <v>882.17435162240872</v>
      </c>
      <c r="Q6" s="21">
        <f t="shared" si="27"/>
        <v>867.07151377229866</v>
      </c>
      <c r="R6" s="21">
        <f t="shared" si="27"/>
        <v>944.08204622827566</v>
      </c>
      <c r="S6" s="21">
        <f t="shared" si="27"/>
        <v>972.03385811830015</v>
      </c>
      <c r="T6" s="21">
        <f t="shared" si="27"/>
        <v>1026.5601157625943</v>
      </c>
      <c r="U6" s="21">
        <f t="shared" si="27"/>
        <v>1044.7254847420431</v>
      </c>
      <c r="V6" s="21">
        <f t="shared" si="27"/>
        <v>320.18566305968818</v>
      </c>
      <c r="W6" s="21">
        <f t="shared" ref="W6" si="28">SUM(W7:W9)</f>
        <v>403.21565152284427</v>
      </c>
      <c r="DA6" s="189" t="s">
        <v>279</v>
      </c>
    </row>
    <row r="7" spans="1:105" ht="11.45" customHeight="1" x14ac:dyDescent="0.25">
      <c r="A7" s="83" t="s">
        <v>27</v>
      </c>
      <c r="B7" s="96">
        <v>46.518694134263129</v>
      </c>
      <c r="C7" s="96">
        <v>47.542946982934829</v>
      </c>
      <c r="D7" s="96">
        <v>39.302074620897528</v>
      </c>
      <c r="E7" s="96">
        <v>38.345082498809049</v>
      </c>
      <c r="F7" s="96">
        <v>32.145995717365345</v>
      </c>
      <c r="G7" s="96">
        <v>34.202785503090944</v>
      </c>
      <c r="H7" s="96">
        <v>36.257862173756955</v>
      </c>
      <c r="I7" s="96">
        <v>42.484730805414863</v>
      </c>
      <c r="J7" s="96">
        <v>44.435310698950808</v>
      </c>
      <c r="K7" s="96">
        <v>44.456889458139642</v>
      </c>
      <c r="L7" s="96">
        <v>46.660095618340186</v>
      </c>
      <c r="M7" s="96">
        <v>44.626663321550886</v>
      </c>
      <c r="N7" s="96">
        <v>38.393818155638776</v>
      </c>
      <c r="O7" s="96">
        <v>37.353395088861141</v>
      </c>
      <c r="P7" s="96">
        <v>36.318256640179207</v>
      </c>
      <c r="Q7" s="96">
        <v>33.740119295318955</v>
      </c>
      <c r="R7" s="96">
        <v>35.058728458456578</v>
      </c>
      <c r="S7" s="96">
        <v>33.457683369515891</v>
      </c>
      <c r="T7" s="96">
        <v>31.661774931035541</v>
      </c>
      <c r="U7" s="96">
        <v>31.764557743491224</v>
      </c>
      <c r="V7" s="96">
        <v>17.041705069313146</v>
      </c>
      <c r="W7" s="96">
        <v>18.240787122025473</v>
      </c>
      <c r="DA7" s="171" t="s">
        <v>280</v>
      </c>
    </row>
    <row r="8" spans="1:105" ht="11.45" customHeight="1" x14ac:dyDescent="0.25">
      <c r="A8" s="83" t="s">
        <v>173</v>
      </c>
      <c r="B8" s="96">
        <v>437.88959573977871</v>
      </c>
      <c r="C8" s="96">
        <v>444.7515106874983</v>
      </c>
      <c r="D8" s="96">
        <v>402.43666734145893</v>
      </c>
      <c r="E8" s="96">
        <v>424.01103517259531</v>
      </c>
      <c r="F8" s="96">
        <v>469.25399046303369</v>
      </c>
      <c r="G8" s="96">
        <v>490.36003615241128</v>
      </c>
      <c r="H8" s="96">
        <v>494.95945706970787</v>
      </c>
      <c r="I8" s="96">
        <v>512.92330564860617</v>
      </c>
      <c r="J8" s="96">
        <v>476.53297891364605</v>
      </c>
      <c r="K8" s="96">
        <v>408.8696623318595</v>
      </c>
      <c r="L8" s="96">
        <v>423.06013518215968</v>
      </c>
      <c r="M8" s="96">
        <v>438.47827678723405</v>
      </c>
      <c r="N8" s="96">
        <v>438.00948312880394</v>
      </c>
      <c r="O8" s="96">
        <v>439.04688135298278</v>
      </c>
      <c r="P8" s="96">
        <v>474.3282022564689</v>
      </c>
      <c r="Q8" s="96">
        <v>470.62805171809333</v>
      </c>
      <c r="R8" s="96">
        <v>528.47211404824156</v>
      </c>
      <c r="S8" s="96">
        <v>549.1639114984614</v>
      </c>
      <c r="T8" s="96">
        <v>577.22782990725375</v>
      </c>
      <c r="U8" s="96">
        <v>576.86913357685387</v>
      </c>
      <c r="V8" s="96">
        <v>150.71755051577895</v>
      </c>
      <c r="W8" s="96">
        <v>204.52316394970336</v>
      </c>
      <c r="DA8" s="171" t="s">
        <v>281</v>
      </c>
    </row>
    <row r="9" spans="1:105" ht="11.45" customHeight="1" x14ac:dyDescent="0.25">
      <c r="A9" s="83" t="s">
        <v>174</v>
      </c>
      <c r="B9" s="96">
        <v>338.99486296922271</v>
      </c>
      <c r="C9" s="96">
        <v>344.31644233331292</v>
      </c>
      <c r="D9" s="96">
        <v>282.25673036201141</v>
      </c>
      <c r="E9" s="96">
        <v>288.07145477445107</v>
      </c>
      <c r="F9" s="96">
        <v>346.94348188312119</v>
      </c>
      <c r="G9" s="96">
        <v>366.38240975551702</v>
      </c>
      <c r="H9" s="96">
        <v>363.41177540027354</v>
      </c>
      <c r="I9" s="96">
        <v>366.47246276580881</v>
      </c>
      <c r="J9" s="96">
        <v>341.96557132281612</v>
      </c>
      <c r="K9" s="96">
        <v>317.51594979608387</v>
      </c>
      <c r="L9" s="96">
        <v>333.07062694233372</v>
      </c>
      <c r="M9" s="96">
        <v>341.82078043012325</v>
      </c>
      <c r="N9" s="96">
        <v>347.89195547538901</v>
      </c>
      <c r="O9" s="96">
        <v>346.34797591219279</v>
      </c>
      <c r="P9" s="96">
        <v>371.52789272576069</v>
      </c>
      <c r="Q9" s="96">
        <v>362.70334275888632</v>
      </c>
      <c r="R9" s="96">
        <v>380.55120372157756</v>
      </c>
      <c r="S9" s="96">
        <v>389.41226325032289</v>
      </c>
      <c r="T9" s="96">
        <v>417.67051092430506</v>
      </c>
      <c r="U9" s="96">
        <v>436.09179342169813</v>
      </c>
      <c r="V9" s="96">
        <v>152.42640747459606</v>
      </c>
      <c r="W9" s="96">
        <v>180.45170045111544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7.794869512711303</v>
      </c>
      <c r="C10" s="22">
        <f t="shared" si="29"/>
        <v>8.0938291450070441</v>
      </c>
      <c r="D10" s="22">
        <f t="shared" ref="D10:V10" si="30">SUM(D11:D13)</f>
        <v>7.4677262998796001</v>
      </c>
      <c r="E10" s="22">
        <f t="shared" si="30"/>
        <v>5.9638291018661524</v>
      </c>
      <c r="F10" s="22">
        <f t="shared" si="30"/>
        <v>6.7583376114580407</v>
      </c>
      <c r="G10" s="22">
        <f t="shared" si="30"/>
        <v>7.7936335932800871</v>
      </c>
      <c r="H10" s="22">
        <f t="shared" si="30"/>
        <v>9.2974745738024929</v>
      </c>
      <c r="I10" s="22">
        <f t="shared" si="30"/>
        <v>9.0595695677883974</v>
      </c>
      <c r="J10" s="22">
        <f t="shared" si="30"/>
        <v>69.045244825550071</v>
      </c>
      <c r="K10" s="22">
        <f t="shared" si="30"/>
        <v>48.926801939282242</v>
      </c>
      <c r="L10" s="22">
        <f t="shared" si="30"/>
        <v>51.25763752801744</v>
      </c>
      <c r="M10" s="22">
        <f t="shared" si="30"/>
        <v>48.863359426697883</v>
      </c>
      <c r="N10" s="22">
        <f t="shared" si="30"/>
        <v>51.571811167941178</v>
      </c>
      <c r="O10" s="22">
        <f t="shared" si="30"/>
        <v>43.767998720769825</v>
      </c>
      <c r="P10" s="22">
        <f t="shared" si="30"/>
        <v>51.875519400806894</v>
      </c>
      <c r="Q10" s="22">
        <f t="shared" si="30"/>
        <v>46.420661636128116</v>
      </c>
      <c r="R10" s="22">
        <f t="shared" si="30"/>
        <v>36.754841131999328</v>
      </c>
      <c r="S10" s="22">
        <f t="shared" si="30"/>
        <v>37.391937238535291</v>
      </c>
      <c r="T10" s="22">
        <f t="shared" si="30"/>
        <v>27.847106937319936</v>
      </c>
      <c r="U10" s="22">
        <f t="shared" si="30"/>
        <v>32.562735378334636</v>
      </c>
      <c r="V10" s="22">
        <f t="shared" si="30"/>
        <v>29.609779760604169</v>
      </c>
      <c r="W10" s="22">
        <f t="shared" ref="W10" si="31">SUM(W11:W13)</f>
        <v>42.427856645685317</v>
      </c>
      <c r="DA10" s="193" t="s">
        <v>283</v>
      </c>
    </row>
    <row r="11" spans="1:105" ht="11.45" customHeight="1" x14ac:dyDescent="0.25">
      <c r="A11" s="92" t="s">
        <v>27</v>
      </c>
      <c r="B11" s="97">
        <v>0.24966356135164591</v>
      </c>
      <c r="C11" s="97">
        <v>0.26436170150196214</v>
      </c>
      <c r="D11" s="97">
        <v>0.19345418391760336</v>
      </c>
      <c r="E11" s="97">
        <v>0.11140933266128164</v>
      </c>
      <c r="F11" s="97">
        <v>7.6704196650124179E-2</v>
      </c>
      <c r="G11" s="97">
        <v>9.7816388568565907E-2</v>
      </c>
      <c r="H11" s="97">
        <v>0.12072768006935068</v>
      </c>
      <c r="I11" s="97">
        <v>0.12773695038909577</v>
      </c>
      <c r="J11" s="97">
        <v>0.25514501901994752</v>
      </c>
      <c r="K11" s="97">
        <v>0.23356625983111692</v>
      </c>
      <c r="L11" s="97">
        <v>0.101211346406161</v>
      </c>
      <c r="M11" s="97">
        <v>5.6655681028634747E-2</v>
      </c>
      <c r="N11" s="97">
        <v>5.5622944963113263E-2</v>
      </c>
      <c r="O11" s="97">
        <v>5.7095022918738761E-2</v>
      </c>
      <c r="P11" s="97">
        <v>5.3196498255871957E-2</v>
      </c>
      <c r="Q11" s="97">
        <v>4.3715614397300998E-2</v>
      </c>
      <c r="R11" s="97">
        <v>1.0403097863274934E-2</v>
      </c>
      <c r="S11" s="97">
        <v>1.7123165307833105E-2</v>
      </c>
      <c r="T11" s="97">
        <v>2.163005606678119E-2</v>
      </c>
      <c r="U11" s="97">
        <v>1.8159367428811767E-2</v>
      </c>
      <c r="V11" s="97">
        <v>2.2611353730703474E-2</v>
      </c>
      <c r="W11" s="97">
        <v>3.8146669891982142E-2</v>
      </c>
      <c r="DA11" s="175" t="s">
        <v>284</v>
      </c>
    </row>
    <row r="12" spans="1:105" ht="11.45" customHeight="1" x14ac:dyDescent="0.25">
      <c r="A12" s="92" t="s">
        <v>173</v>
      </c>
      <c r="B12" s="97">
        <v>6.8414114543649456</v>
      </c>
      <c r="C12" s="97">
        <v>7.0874821645859054</v>
      </c>
      <c r="D12" s="97">
        <v>6.4416363067228524</v>
      </c>
      <c r="E12" s="97">
        <v>4.8921433365473135</v>
      </c>
      <c r="F12" s="97">
        <v>5.6795200187307504</v>
      </c>
      <c r="G12" s="97">
        <v>7.0042210299989032</v>
      </c>
      <c r="H12" s="97">
        <v>8.8281281540045509</v>
      </c>
      <c r="I12" s="97">
        <v>8.4959428782666215</v>
      </c>
      <c r="J12" s="97">
        <v>17.63846816531035</v>
      </c>
      <c r="K12" s="97">
        <v>11.315934721266441</v>
      </c>
      <c r="L12" s="97">
        <v>7.6678594377559897</v>
      </c>
      <c r="M12" s="97">
        <v>7.4527124338619322</v>
      </c>
      <c r="N12" s="97">
        <v>6.6009079273362765</v>
      </c>
      <c r="O12" s="97">
        <v>5.4324125954521447</v>
      </c>
      <c r="P12" s="97">
        <v>9.04529982432447</v>
      </c>
      <c r="Q12" s="97">
        <v>8.8892946506736639</v>
      </c>
      <c r="R12" s="97">
        <v>7.2405867961278076</v>
      </c>
      <c r="S12" s="97">
        <v>8.9145579074591215</v>
      </c>
      <c r="T12" s="97">
        <v>9.0762230459739328</v>
      </c>
      <c r="U12" s="97">
        <v>10.500219155249365</v>
      </c>
      <c r="V12" s="97">
        <v>10.010536055282149</v>
      </c>
      <c r="W12" s="97">
        <v>14.589206152015743</v>
      </c>
      <c r="DA12" s="175" t="s">
        <v>285</v>
      </c>
    </row>
    <row r="13" spans="1:105" ht="11.45" customHeight="1" x14ac:dyDescent="0.25">
      <c r="A13" s="85" t="s">
        <v>174</v>
      </c>
      <c r="B13" s="98">
        <v>0.7037944969947113</v>
      </c>
      <c r="C13" s="98">
        <v>0.74198527891917709</v>
      </c>
      <c r="D13" s="98">
        <v>0.83263580923914449</v>
      </c>
      <c r="E13" s="98">
        <v>0.96027643265755713</v>
      </c>
      <c r="F13" s="98">
        <v>1.0021133960771662</v>
      </c>
      <c r="G13" s="98">
        <v>0.69159617471261825</v>
      </c>
      <c r="H13" s="98">
        <v>0.34861873972859136</v>
      </c>
      <c r="I13" s="98">
        <v>0.43588973913268064</v>
      </c>
      <c r="J13" s="98">
        <v>51.15163164121978</v>
      </c>
      <c r="K13" s="98">
        <v>37.377300958184684</v>
      </c>
      <c r="L13" s="98">
        <v>43.488566743855287</v>
      </c>
      <c r="M13" s="98">
        <v>41.353991311807313</v>
      </c>
      <c r="N13" s="98">
        <v>44.915280295641786</v>
      </c>
      <c r="O13" s="98">
        <v>38.278491102398945</v>
      </c>
      <c r="P13" s="98">
        <v>42.777023078226549</v>
      </c>
      <c r="Q13" s="98">
        <v>37.487651371057147</v>
      </c>
      <c r="R13" s="98">
        <v>29.503851238008245</v>
      </c>
      <c r="S13" s="98">
        <v>28.460256165768339</v>
      </c>
      <c r="T13" s="98">
        <v>18.749253835279223</v>
      </c>
      <c r="U13" s="98">
        <v>22.04435685565646</v>
      </c>
      <c r="V13" s="98">
        <v>19.576632351591318</v>
      </c>
      <c r="W13" s="98">
        <v>27.800503823777589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510.09299978257019</v>
      </c>
      <c r="C17" s="62">
        <f>IF(C3=0,0,C3/TrAvia_act!C13*100)</f>
        <v>509.51782933180897</v>
      </c>
      <c r="D17" s="62">
        <f>IF(D3=0,0,D3/TrAvia_act!D13*100)</f>
        <v>482.70909337662562</v>
      </c>
      <c r="E17" s="62">
        <f>IF(E3=0,0,E3/TrAvia_act!E13*100)</f>
        <v>502.25831942903892</v>
      </c>
      <c r="F17" s="62">
        <f>IF(F3=0,0,F3/TrAvia_act!F13*100)</f>
        <v>517.42665841782912</v>
      </c>
      <c r="G17" s="62">
        <f>IF(G3=0,0,G3/TrAvia_act!G13*100)</f>
        <v>538.06381472496753</v>
      </c>
      <c r="H17" s="62">
        <f>IF(H3=0,0,H3/TrAvia_act!H13*100)</f>
        <v>555.3532593594623</v>
      </c>
      <c r="I17" s="62">
        <f>IF(I3=0,0,I3/TrAvia_act!I13*100)</f>
        <v>568.30342030698989</v>
      </c>
      <c r="J17" s="62">
        <f>IF(J3=0,0,J3/TrAvia_act!J13*100)</f>
        <v>528.25518388712294</v>
      </c>
      <c r="K17" s="62">
        <f>IF(K3=0,0,K3/TrAvia_act!K13*100)</f>
        <v>510.99001518964491</v>
      </c>
      <c r="L17" s="62">
        <f>IF(L3=0,0,L3/TrAvia_act!L13*100)</f>
        <v>498.51392478806946</v>
      </c>
      <c r="M17" s="62">
        <f>IF(M3=0,0,M3/TrAvia_act!M13*100)</f>
        <v>497.95010260118698</v>
      </c>
      <c r="N17" s="62">
        <f>IF(N3=0,0,N3/TrAvia_act!N13*100)</f>
        <v>503.90069038229325</v>
      </c>
      <c r="O17" s="62">
        <f>IF(O3=0,0,O3/TrAvia_act!O13*100)</f>
        <v>489.35773468861851</v>
      </c>
      <c r="P17" s="62">
        <f>IF(P3=0,0,P3/TrAvia_act!P13*100)</f>
        <v>513.98950669043927</v>
      </c>
      <c r="Q17" s="62">
        <f>IF(Q3=0,0,Q3/TrAvia_act!Q13*100)</f>
        <v>494.57234351494117</v>
      </c>
      <c r="R17" s="62">
        <f>IF(R3=0,0,R3/TrAvia_act!R13*100)</f>
        <v>499.44614019921073</v>
      </c>
      <c r="S17" s="62">
        <f>IF(S3=0,0,S3/TrAvia_act!S13*100)</f>
        <v>512.9467652375148</v>
      </c>
      <c r="T17" s="62">
        <f>IF(T3=0,0,T3/TrAvia_act!T13*100)</f>
        <v>509.34151410010304</v>
      </c>
      <c r="U17" s="62">
        <f>IF(U3=0,0,U3/TrAvia_act!U13*100)</f>
        <v>523.35444337382182</v>
      </c>
      <c r="V17" s="62">
        <f>IF(V3=0,0,V3/TrAvia_act!V13*100)</f>
        <v>502.71146192403819</v>
      </c>
      <c r="W17" s="62">
        <f>IF(W3=0,0,W3/TrAvia_act!W13*100)</f>
        <v>488.89602214115337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511.03004729067578</v>
      </c>
      <c r="C18" s="14">
        <f>IF(C6=0,0,C6/TrAvia_act!C14*100)</f>
        <v>510.46965420671359</v>
      </c>
      <c r="D18" s="14">
        <f>IF(D6=0,0,D6/TrAvia_act!D14*100)</f>
        <v>483.51297664878877</v>
      </c>
      <c r="E18" s="14">
        <f>IF(E6=0,0,E6/TrAvia_act!E14*100)</f>
        <v>502.7411321719577</v>
      </c>
      <c r="F18" s="14">
        <f>IF(F6=0,0,F6/TrAvia_act!F14*100)</f>
        <v>517.93665532982982</v>
      </c>
      <c r="G18" s="14">
        <f>IF(G6=0,0,G6/TrAvia_act!G14*100)</f>
        <v>538.80216860569772</v>
      </c>
      <c r="H18" s="14">
        <f>IF(H6=0,0,H6/TrAvia_act!H14*100)</f>
        <v>556.40462153430929</v>
      </c>
      <c r="I18" s="14">
        <f>IF(I6=0,0,I6/TrAvia_act!I14*100)</f>
        <v>569.25178894063424</v>
      </c>
      <c r="J18" s="14">
        <f>IF(J6=0,0,J6/TrAvia_act!J14*100)</f>
        <v>519.09891672597553</v>
      </c>
      <c r="K18" s="14">
        <f>IF(K6=0,0,K6/TrAvia_act!K14*100)</f>
        <v>503.50523859164429</v>
      </c>
      <c r="L18" s="14">
        <f>IF(L6=0,0,L6/TrAvia_act!L14*100)</f>
        <v>489.2416625060248</v>
      </c>
      <c r="M18" s="14">
        <f>IF(M6=0,0,M6/TrAvia_act!M14*100)</f>
        <v>490.05341300546047</v>
      </c>
      <c r="N18" s="14">
        <f>IF(N6=0,0,N6/TrAvia_act!N14*100)</f>
        <v>496.05724187713002</v>
      </c>
      <c r="O18" s="14">
        <f>IF(O6=0,0,O6/TrAvia_act!O14*100)</f>
        <v>482.65304551785897</v>
      </c>
      <c r="P18" s="14">
        <f>IF(P6=0,0,P6/TrAvia_act!P14*100)</f>
        <v>507.66502604734984</v>
      </c>
      <c r="Q18" s="14">
        <f>IF(Q6=0,0,Q6/TrAvia_act!Q14*100)</f>
        <v>489.35883159302944</v>
      </c>
      <c r="R18" s="14">
        <f>IF(R6=0,0,R6/TrAvia_act!R14*100)</f>
        <v>496.5584024071652</v>
      </c>
      <c r="S18" s="14">
        <f>IF(S6=0,0,S6/TrAvia_act!S14*100)</f>
        <v>512.34664891717796</v>
      </c>
      <c r="T18" s="14">
        <f>IF(T6=0,0,T6/TrAvia_act!T14*100)</f>
        <v>510.52414414594057</v>
      </c>
      <c r="U18" s="14">
        <f>IF(U6=0,0,U6/TrAvia_act!U14*100)</f>
        <v>524.48849539421428</v>
      </c>
      <c r="V18" s="14">
        <f>IF(V6=0,0,V6/TrAvia_act!V14*100)</f>
        <v>502.9417902609265</v>
      </c>
      <c r="W18" s="14">
        <f>IF(W6=0,0,W6/TrAvia_act!W14*100)</f>
        <v>493.15334463337075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782.27205171716525</v>
      </c>
      <c r="C19" s="87">
        <f>IF(C7=0,0,C7/TrAvia_act!C15*100)</f>
        <v>781.32859693716466</v>
      </c>
      <c r="D19" s="87">
        <f>IF(D7=0,0,D7/TrAvia_act!D15*100)</f>
        <v>629.82870680473604</v>
      </c>
      <c r="E19" s="87">
        <f>IF(E7=0,0,E7/TrAvia_act!E15*100)</f>
        <v>515.8617861729175</v>
      </c>
      <c r="F19" s="87">
        <f>IF(F7=0,0,F7/TrAvia_act!F15*100)</f>
        <v>319.64905139566372</v>
      </c>
      <c r="G19" s="87">
        <f>IF(G7=0,0,G7/TrAvia_act!G15*100)</f>
        <v>362.9356894744588</v>
      </c>
      <c r="H19" s="87">
        <f>IF(H7=0,0,H7/TrAvia_act!H15*100)</f>
        <v>385.32980345787246</v>
      </c>
      <c r="I19" s="87">
        <f>IF(I7=0,0,I7/TrAvia_act!I15*100)</f>
        <v>441.54881936328616</v>
      </c>
      <c r="J19" s="87">
        <f>IF(J7=0,0,J7/TrAvia_act!J15*100)</f>
        <v>432.43802101117444</v>
      </c>
      <c r="K19" s="87">
        <f>IF(K7=0,0,K7/TrAvia_act!K15*100)</f>
        <v>459.22866171395992</v>
      </c>
      <c r="L19" s="87">
        <f>IF(L7=0,0,L7/TrAvia_act!L15*100)</f>
        <v>444.29996118151018</v>
      </c>
      <c r="M19" s="87">
        <f>IF(M7=0,0,M7/TrAvia_act!M15*100)</f>
        <v>445.3848833617572</v>
      </c>
      <c r="N19" s="87">
        <f>IF(N7=0,0,N7/TrAvia_act!N15*100)</f>
        <v>555.68756984813876</v>
      </c>
      <c r="O19" s="87">
        <f>IF(O7=0,0,O7/TrAvia_act!O15*100)</f>
        <v>516.99838324563552</v>
      </c>
      <c r="P19" s="87">
        <f>IF(P7=0,0,P7/TrAvia_act!P15*100)</f>
        <v>480.68849239229195</v>
      </c>
      <c r="Q19" s="87">
        <f>IF(Q7=0,0,Q7/TrAvia_act!Q15*100)</f>
        <v>448.92430859370972</v>
      </c>
      <c r="R19" s="87">
        <f>IF(R7=0,0,R7/TrAvia_act!R15*100)</f>
        <v>454.70962588452977</v>
      </c>
      <c r="S19" s="87">
        <f>IF(S7=0,0,S7/TrAvia_act!S15*100)</f>
        <v>447.32155902938251</v>
      </c>
      <c r="T19" s="87">
        <f>IF(T7=0,0,T7/TrAvia_act!T15*100)</f>
        <v>434.59190367577241</v>
      </c>
      <c r="U19" s="87">
        <f>IF(U7=0,0,U7/TrAvia_act!U15*100)</f>
        <v>446.42208255642498</v>
      </c>
      <c r="V19" s="87">
        <f>IF(V7=0,0,V7/TrAvia_act!V15*100)</f>
        <v>419.46501238160312</v>
      </c>
      <c r="W19" s="87">
        <f>IF(W7=0,0,W7/TrAvia_act!W15*100)</f>
        <v>391.3168373124181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389.49245988341119</v>
      </c>
      <c r="C20" s="87">
        <f>IF(C8=0,0,C8/TrAvia_act!C16*100)</f>
        <v>389.01592597711192</v>
      </c>
      <c r="D20" s="87">
        <f>IF(D8=0,0,D8/TrAvia_act!D16*100)</f>
        <v>377.09535449681761</v>
      </c>
      <c r="E20" s="87">
        <f>IF(E8=0,0,E8/TrAvia_act!E16*100)</f>
        <v>398.76704320195711</v>
      </c>
      <c r="F20" s="87">
        <f>IF(F8=0,0,F8/TrAvia_act!F16*100)</f>
        <v>416.14472200558384</v>
      </c>
      <c r="G20" s="87">
        <f>IF(G8=0,0,G8/TrAvia_act!G16*100)</f>
        <v>439.18130578394016</v>
      </c>
      <c r="H20" s="87">
        <f>IF(H8=0,0,H8/TrAvia_act!H16*100)</f>
        <v>455.55330363651291</v>
      </c>
      <c r="I20" s="87">
        <f>IF(I8=0,0,I8/TrAvia_act!I16*100)</f>
        <v>467.06601928399476</v>
      </c>
      <c r="J20" s="87">
        <f>IF(J8=0,0,J8/TrAvia_act!J16*100)</f>
        <v>424.25909934178236</v>
      </c>
      <c r="K20" s="87">
        <f>IF(K8=0,0,K8/TrAvia_act!K16*100)</f>
        <v>400.39738335887318</v>
      </c>
      <c r="L20" s="87">
        <f>IF(L8=0,0,L8/TrAvia_act!L16*100)</f>
        <v>393.95452942550992</v>
      </c>
      <c r="M20" s="87">
        <f>IF(M8=0,0,M8/TrAvia_act!M16*100)</f>
        <v>406.30490737511093</v>
      </c>
      <c r="N20" s="87">
        <f>IF(N8=0,0,N8/TrAvia_act!N16*100)</f>
        <v>409.24705486111037</v>
      </c>
      <c r="O20" s="87">
        <f>IF(O8=0,0,O8/TrAvia_act!O16*100)</f>
        <v>397.13715604051851</v>
      </c>
      <c r="P20" s="87">
        <f>IF(P8=0,0,P8/TrAvia_act!P16*100)</f>
        <v>434.89028869589379</v>
      </c>
      <c r="Q20" s="87">
        <f>IF(Q8=0,0,Q8/TrAvia_act!Q16*100)</f>
        <v>424.4951640451186</v>
      </c>
      <c r="R20" s="87">
        <f>IF(R8=0,0,R8/TrAvia_act!R16*100)</f>
        <v>435.43153214680001</v>
      </c>
      <c r="S20" s="87">
        <f>IF(S8=0,0,S8/TrAvia_act!S16*100)</f>
        <v>450.02960316956688</v>
      </c>
      <c r="T20" s="87">
        <f>IF(T8=0,0,T8/TrAvia_act!T16*100)</f>
        <v>454.33851442923452</v>
      </c>
      <c r="U20" s="87">
        <f>IF(U8=0,0,U8/TrAvia_act!U16*100)</f>
        <v>470.04281043236517</v>
      </c>
      <c r="V20" s="87">
        <f>IF(V8=0,0,V8/TrAvia_act!V16*100)</f>
        <v>398.50079981694677</v>
      </c>
      <c r="W20" s="87">
        <f>IF(W8=0,0,W8/TrAvia_act!W16*100)</f>
        <v>425.12805714701642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792.89873534589208</v>
      </c>
      <c r="C21" s="87">
        <f>IF(C9=0,0,C9/TrAvia_act!C17*100)</f>
        <v>791.92864369123242</v>
      </c>
      <c r="D21" s="87">
        <f>IF(D9=0,0,D9/TrAvia_act!D17*100)</f>
        <v>767.49714282130594</v>
      </c>
      <c r="E21" s="87">
        <f>IF(E9=0,0,E9/TrAvia_act!E17*100)</f>
        <v>811.38951670685253</v>
      </c>
      <c r="F21" s="87">
        <f>IF(F9=0,0,F9/TrAvia_act!F17*100)</f>
        <v>846.73983081960603</v>
      </c>
      <c r="G21" s="87">
        <f>IF(G9=0,0,G9/TrAvia_act!G17*100)</f>
        <v>827.43092898200314</v>
      </c>
      <c r="H21" s="87">
        <f>IF(H9=0,0,H9/TrAvia_act!H17*100)</f>
        <v>850.52844877552923</v>
      </c>
      <c r="I21" s="87">
        <f>IF(I9=0,0,I9/TrAvia_act!I17*100)</f>
        <v>862.16463654065728</v>
      </c>
      <c r="J21" s="87">
        <f>IF(J9=0,0,J9/TrAvia_act!J17*100)</f>
        <v>783.60338165761095</v>
      </c>
      <c r="K21" s="87">
        <f>IF(K9=0,0,K9/TrAvia_act!K17*100)</f>
        <v>768.83190034386246</v>
      </c>
      <c r="L21" s="87">
        <f>IF(L9=0,0,L9/TrAvia_act!L17*100)</f>
        <v>720.9505143570907</v>
      </c>
      <c r="M21" s="87">
        <f>IF(M9=0,0,M9/TrAvia_act!M17*100)</f>
        <v>678.27622525483036</v>
      </c>
      <c r="N21" s="87">
        <f>IF(N9=0,0,N9/TrAvia_act!N17*100)</f>
        <v>666.05132604041717</v>
      </c>
      <c r="O21" s="87">
        <f>IF(O9=0,0,O9/TrAvia_act!O17*100)</f>
        <v>657.38526523832309</v>
      </c>
      <c r="P21" s="87">
        <f>IF(P9=0,0,P9/TrAvia_act!P17*100)</f>
        <v>650.12653963396349</v>
      </c>
      <c r="Q21" s="87">
        <f>IF(Q9=0,0,Q9/TrAvia_act!Q17*100)</f>
        <v>616.82414807442672</v>
      </c>
      <c r="R21" s="87">
        <f>IF(R9=0,0,R9/TrAvia_act!R17*100)</f>
        <v>623.36902910839967</v>
      </c>
      <c r="S21" s="87">
        <f>IF(S9=0,0,S9/TrAvia_act!S17*100)</f>
        <v>646.71430924830736</v>
      </c>
      <c r="T21" s="87">
        <f>IF(T9=0,0,T9/TrAvia_act!T17*100)</f>
        <v>625.75854515708761</v>
      </c>
      <c r="U21" s="87">
        <f>IF(U9=0,0,U9/TrAvia_act!U17*100)</f>
        <v>628.85368096860418</v>
      </c>
      <c r="V21" s="87">
        <f>IF(V9=0,0,V9/TrAvia_act!V17*100)</f>
        <v>699.8874222358387</v>
      </c>
      <c r="W21" s="87">
        <f>IF(W9=0,0,W9/TrAvia_act!W17*100)</f>
        <v>622.40294341502636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427.32265440817275</v>
      </c>
      <c r="C22" s="15">
        <f>IF(C10=0,0,C10/TrAvia_act!C18*100)</f>
        <v>427.18506971422096</v>
      </c>
      <c r="D22" s="15">
        <f>IF(D10=0,0,D10/TrAvia_act!D18*100)</f>
        <v>415.70284376716631</v>
      </c>
      <c r="E22" s="15">
        <f>IF(E10=0,0,E10/TrAvia_act!E18*100)</f>
        <v>448.10804757014455</v>
      </c>
      <c r="F22" s="15">
        <f>IF(F10=0,0,F10/TrAvia_act!F18*100)</f>
        <v>460.50738647455188</v>
      </c>
      <c r="G22" s="15">
        <f>IF(G10=0,0,G10/TrAvia_act!G18*100)</f>
        <v>465.18925773529338</v>
      </c>
      <c r="H22" s="15">
        <f>IF(H10=0,0,H10/TrAvia_act!H18*100)</f>
        <v>469.91390889883019</v>
      </c>
      <c r="I22" s="15">
        <f>IF(I10=0,0,I10/TrAvia_act!I18*100)</f>
        <v>485.92570951494338</v>
      </c>
      <c r="J22" s="15">
        <f>IF(J10=0,0,J10/TrAvia_act!J18*100)</f>
        <v>677.64205057242168</v>
      </c>
      <c r="K22" s="15">
        <f>IF(K10=0,0,K10/TrAvia_act!K18*100)</f>
        <v>667.26619899492005</v>
      </c>
      <c r="L22" s="15">
        <f>IF(L10=0,0,L10/TrAvia_act!L18*100)</f>
        <v>708.95104784034243</v>
      </c>
      <c r="M22" s="15">
        <f>IF(M10=0,0,M10/TrAvia_act!M18*100)</f>
        <v>684.03521663419303</v>
      </c>
      <c r="N22" s="15">
        <f>IF(N10=0,0,N10/TrAvia_act!N18*100)</f>
        <v>674.31627780514657</v>
      </c>
      <c r="O22" s="15">
        <f>IF(O10=0,0,O10/TrAvia_act!O18*100)</f>
        <v>662.30403619089873</v>
      </c>
      <c r="P22" s="15">
        <f>IF(P10=0,0,P10/TrAvia_act!P18*100)</f>
        <v>652.15129762680533</v>
      </c>
      <c r="Q22" s="15">
        <f>IF(Q10=0,0,Q10/TrAvia_act!Q18*100)</f>
        <v>617.44131357051981</v>
      </c>
      <c r="R22" s="15">
        <f>IF(R10=0,0,R10/TrAvia_act!R18*100)</f>
        <v>587.15307889382939</v>
      </c>
      <c r="S22" s="15">
        <f>IF(S10=0,0,S10/TrAvia_act!S18*100)</f>
        <v>529.05606495095037</v>
      </c>
      <c r="T22" s="15">
        <f>IF(T10=0,0,T10/TrAvia_act!T18*100)</f>
        <v>469.26796267938073</v>
      </c>
      <c r="U22" s="15">
        <f>IF(U10=0,0,U10/TrAvia_act!U18*100)</f>
        <v>489.40397196560764</v>
      </c>
      <c r="V22" s="15">
        <f>IF(V10=0,0,V10/TrAvia_act!V18*100)</f>
        <v>500.2342124551663</v>
      </c>
      <c r="W22" s="15">
        <f>IF(W10=0,0,W10/TrAvia_act!W18*100)</f>
        <v>451.82684971985589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668.53236201803395</v>
      </c>
      <c r="C23" s="101">
        <f>IF(C11=0,0,C11/TrAvia_act!C19*100)</f>
        <v>667.72608234698305</v>
      </c>
      <c r="D23" s="101">
        <f>IF(D11=0,0,D11/TrAvia_act!D19*100)</f>
        <v>538.25375980474234</v>
      </c>
      <c r="E23" s="101">
        <f>IF(E11=0,0,E11/TrAvia_act!E19*100)</f>
        <v>440.85724094066501</v>
      </c>
      <c r="F23" s="101">
        <f>IF(F11=0,0,F11/TrAvia_act!F19*100)</f>
        <v>273.1731689471502</v>
      </c>
      <c r="G23" s="101">
        <f>IF(G11=0,0,G11/TrAvia_act!G19*100)</f>
        <v>307.95166523910603</v>
      </c>
      <c r="H23" s="101">
        <f>IF(H11=0,0,H11/TrAvia_act!H19*100)</f>
        <v>365.39378583900736</v>
      </c>
      <c r="I23" s="101">
        <f>IF(I11=0,0,I11/TrAvia_act!I19*100)</f>
        <v>476.01840407074701</v>
      </c>
      <c r="J23" s="101">
        <f>IF(J11=0,0,J11/TrAvia_act!J19*100)</f>
        <v>539.37744186181862</v>
      </c>
      <c r="K23" s="101">
        <f>IF(K11=0,0,K11/TrAvia_act!K19*100)</f>
        <v>682.51228157074377</v>
      </c>
      <c r="L23" s="101">
        <f>IF(L11=0,0,L11/TrAvia_act!L19*100)</f>
        <v>843.83935222171237</v>
      </c>
      <c r="M23" s="101">
        <f>IF(M11=0,0,M11/TrAvia_act!M19*100)</f>
        <v>894.46179989709583</v>
      </c>
      <c r="N23" s="101">
        <f>IF(N11=0,0,N11/TrAvia_act!N19*100)</f>
        <v>1141.6860624612741</v>
      </c>
      <c r="O23" s="101">
        <f>IF(O11=0,0,O11/TrAvia_act!O19*100)</f>
        <v>979.75726859891165</v>
      </c>
      <c r="P23" s="101">
        <f>IF(P11=0,0,P11/TrAvia_act!P19*100)</f>
        <v>846.33772140829763</v>
      </c>
      <c r="Q23" s="101">
        <f>IF(Q11=0,0,Q11/TrAvia_act!Q19*100)</f>
        <v>734.93403265470533</v>
      </c>
      <c r="R23" s="101">
        <f>IF(R11=0,0,R11/TrAvia_act!R19*100)</f>
        <v>689.41562989851354</v>
      </c>
      <c r="S23" s="101">
        <f>IF(S11=0,0,S11/TrAvia_act!S19*100)</f>
        <v>634.53596822179884</v>
      </c>
      <c r="T23" s="101">
        <f>IF(T11=0,0,T11/TrAvia_act!T19*100)</f>
        <v>581.86370938582172</v>
      </c>
      <c r="U23" s="101">
        <f>IF(U11=0,0,U11/TrAvia_act!U19*100)</f>
        <v>472.90019345863959</v>
      </c>
      <c r="V23" s="101">
        <f>IF(V11=0,0,V11/TrAvia_act!V19*100)</f>
        <v>444.48058006566367</v>
      </c>
      <c r="W23" s="101">
        <f>IF(W11=0,0,W11/TrAvia_act!W19*100)</f>
        <v>413.98260845383226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403.62890154943091</v>
      </c>
      <c r="C24" s="101">
        <f>IF(C12=0,0,C12/TrAvia_act!C20*100)</f>
        <v>403.10999010841215</v>
      </c>
      <c r="D24" s="101">
        <f>IF(D12=0,0,D12/TrAvia_act!D20*100)</f>
        <v>390.81152104724038</v>
      </c>
      <c r="E24" s="101">
        <f>IF(E12=0,0,E12/TrAvia_act!E20*100)</f>
        <v>413.45900851781181</v>
      </c>
      <c r="F24" s="101">
        <f>IF(F12=0,0,F12/TrAvia_act!F20*100)</f>
        <v>431.21089056915503</v>
      </c>
      <c r="G24" s="101">
        <f>IF(G12=0,0,G12/TrAvia_act!G20*100)</f>
        <v>450.05964163928508</v>
      </c>
      <c r="H24" s="101">
        <f>IF(H12=0,0,H12/TrAvia_act!H20*100)</f>
        <v>464.65802123598553</v>
      </c>
      <c r="I24" s="101">
        <f>IF(I12=0,0,I12/TrAvia_act!I20*100)</f>
        <v>475.85815162093638</v>
      </c>
      <c r="J24" s="101">
        <f>IF(J12=0,0,J12/TrAvia_act!J20*100)</f>
        <v>444.86291513965443</v>
      </c>
      <c r="K24" s="101">
        <f>IF(K12=0,0,K12/TrAvia_act!K20*100)</f>
        <v>413.62716421147161</v>
      </c>
      <c r="L24" s="101">
        <f>IF(L12=0,0,L12/TrAvia_act!L20*100)</f>
        <v>413.56434455472544</v>
      </c>
      <c r="M24" s="101">
        <f>IF(M12=0,0,M12/TrAvia_act!M20*100)</f>
        <v>423.90450681302354</v>
      </c>
      <c r="N24" s="101">
        <f>IF(N12=0,0,N12/TrAvia_act!N20*100)</f>
        <v>423.50495009281042</v>
      </c>
      <c r="O24" s="101">
        <f>IF(O12=0,0,O12/TrAvia_act!O20*100)</f>
        <v>417.61080359973244</v>
      </c>
      <c r="P24" s="101">
        <f>IF(P12=0,0,P12/TrAvia_act!P20*100)</f>
        <v>470.01844622667807</v>
      </c>
      <c r="Q24" s="101">
        <f>IF(Q12=0,0,Q12/TrAvia_act!Q20*100)</f>
        <v>471.59218180784472</v>
      </c>
      <c r="R24" s="101">
        <f>IF(R12=0,0,R12/TrAvia_act!R20*100)</f>
        <v>486.16308698491599</v>
      </c>
      <c r="S24" s="101">
        <f>IF(S12=0,0,S12/TrAvia_act!S20*100)</f>
        <v>502.86465987540782</v>
      </c>
      <c r="T24" s="101">
        <f>IF(T12=0,0,T12/TrAvia_act!T20*100)</f>
        <v>513.14769997705775</v>
      </c>
      <c r="U24" s="101">
        <f>IF(U12=0,0,U12/TrAvia_act!U20*100)</f>
        <v>528.8435185283829</v>
      </c>
      <c r="V24" s="101">
        <f>IF(V12=0,0,V12/TrAvia_act!V20*100)</f>
        <v>455.67258745032888</v>
      </c>
      <c r="W24" s="101">
        <f>IF(W12=0,0,W12/TrAvia_act!W20*100)</f>
        <v>424.74363600999521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766.68258730362243</v>
      </c>
      <c r="C25" s="88">
        <f>IF(C13=0,0,C13/TrAvia_act!C21*100)</f>
        <v>765.74457044653695</v>
      </c>
      <c r="D25" s="88">
        <f>IF(D13=0,0,D13/TrAvia_act!D21*100)</f>
        <v>742.12086484118663</v>
      </c>
      <c r="E25" s="88">
        <f>IF(E13=0,0,E13/TrAvia_act!E21*100)</f>
        <v>784.56199543371929</v>
      </c>
      <c r="F25" s="88">
        <f>IF(F13=0,0,F13/TrAvia_act!F21*100)</f>
        <v>818.74349816261235</v>
      </c>
      <c r="G25" s="88">
        <f>IF(G13=0,0,G13/TrAvia_act!G21*100)</f>
        <v>792.04760123458436</v>
      </c>
      <c r="H25" s="88">
        <f>IF(H13=0,0,H13/TrAvia_act!H21*100)</f>
        <v>764.70582654089355</v>
      </c>
      <c r="I25" s="88">
        <f>IF(I13=0,0,I13/TrAvia_act!I21*100)</f>
        <v>835.5900155359052</v>
      </c>
      <c r="J25" s="88">
        <f>IF(J13=0,0,J13/TrAvia_act!J21*100)</f>
        <v>828.12269667361488</v>
      </c>
      <c r="K25" s="88">
        <f>IF(K13=0,0,K13/TrAvia_act!K21*100)</f>
        <v>819.24227250670936</v>
      </c>
      <c r="L25" s="88">
        <f>IF(L13=0,0,L13/TrAvia_act!L21*100)</f>
        <v>810.7515314050986</v>
      </c>
      <c r="M25" s="88">
        <f>IF(M13=0,0,M13/TrAvia_act!M21*100)</f>
        <v>768.81116660626208</v>
      </c>
      <c r="N25" s="88">
        <f>IF(N13=0,0,N13/TrAvia_act!N21*100)</f>
        <v>738.19114425710654</v>
      </c>
      <c r="O25" s="88">
        <f>IF(O13=0,0,O13/TrAvia_act!O21*100)</f>
        <v>721.99235390312197</v>
      </c>
      <c r="P25" s="88">
        <f>IF(P13=0,0,P13/TrAvia_act!P21*100)</f>
        <v>710.13584335545329</v>
      </c>
      <c r="Q25" s="88">
        <f>IF(Q13=0,0,Q13/TrAvia_act!Q21*100)</f>
        <v>666.17136273963456</v>
      </c>
      <c r="R25" s="88">
        <f>IF(R13=0,0,R13/TrAvia_act!R21*100)</f>
        <v>618.65936459699253</v>
      </c>
      <c r="S25" s="88">
        <f>IF(S13=0,0,S13/TrAvia_act!S21*100)</f>
        <v>537.77571944276974</v>
      </c>
      <c r="T25" s="88">
        <f>IF(T13=0,0,T13/TrAvia_act!T21*100)</f>
        <v>450.51839762758357</v>
      </c>
      <c r="U25" s="88">
        <f>IF(U13=0,0,U13/TrAvia_act!U21*100)</f>
        <v>472.62852990155136</v>
      </c>
      <c r="V25" s="88">
        <f>IF(V13=0,0,V13/TrAvia_act!V21*100)</f>
        <v>526.64631298616143</v>
      </c>
      <c r="W25" s="88">
        <f>IF(W13=0,0,W13/TrAvia_act!W21*100)</f>
        <v>467.52999853103063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49.212696266389173</v>
      </c>
      <c r="C28" s="14">
        <f>IF(C6=0,0,C6/TrAvia_act!C4*1000)</f>
        <v>48.30236091874027</v>
      </c>
      <c r="D28" s="14">
        <f>IF(D6=0,0,D6/TrAvia_act!D4*1000)</f>
        <v>41.874017834195264</v>
      </c>
      <c r="E28" s="14">
        <f>IF(E6=0,0,E6/TrAvia_act!E4*1000)</f>
        <v>44.663643306275603</v>
      </c>
      <c r="F28" s="14">
        <f>IF(F6=0,0,F6/TrAvia_act!F4*1000)</f>
        <v>46.256336817844158</v>
      </c>
      <c r="G28" s="14">
        <f>IF(G6=0,0,G6/TrAvia_act!G4*1000)</f>
        <v>45.112281227448726</v>
      </c>
      <c r="H28" s="14">
        <f>IF(H6=0,0,H6/TrAvia_act!H4*1000)</f>
        <v>43.909577534338688</v>
      </c>
      <c r="I28" s="14">
        <f>IF(I6=0,0,I6/TrAvia_act!I4*1000)</f>
        <v>45.279018953390839</v>
      </c>
      <c r="J28" s="14">
        <f>IF(J6=0,0,J6/TrAvia_act!J4*1000)</f>
        <v>43.515449673181223</v>
      </c>
      <c r="K28" s="14">
        <f>IF(K6=0,0,K6/TrAvia_act!K4*1000)</f>
        <v>41.185870700834904</v>
      </c>
      <c r="L28" s="14">
        <f>IF(L6=0,0,L6/TrAvia_act!L4*1000)</f>
        <v>38.873335368178701</v>
      </c>
      <c r="M28" s="14">
        <f>IF(M6=0,0,M6/TrAvia_act!M4*1000)</f>
        <v>38.963002430391654</v>
      </c>
      <c r="N28" s="14">
        <f>IF(N6=0,0,N6/TrAvia_act!N4*1000)</f>
        <v>36.883277200850301</v>
      </c>
      <c r="O28" s="14">
        <f>IF(O6=0,0,O6/TrAvia_act!O4*1000)</f>
        <v>35.185383869314535</v>
      </c>
      <c r="P28" s="14">
        <f>IF(P6=0,0,P6/TrAvia_act!P4*1000)</f>
        <v>35.428068118218896</v>
      </c>
      <c r="Q28" s="14">
        <f>IF(Q6=0,0,Q6/TrAvia_act!Q4*1000)</f>
        <v>34.157169293583884</v>
      </c>
      <c r="R28" s="14">
        <f>IF(R6=0,0,R6/TrAvia_act!R4*1000)</f>
        <v>34.284855088812122</v>
      </c>
      <c r="S28" s="14">
        <f>IF(S6=0,0,S6/TrAvia_act!S4*1000)</f>
        <v>34.083342428733083</v>
      </c>
      <c r="T28" s="14">
        <f>IF(T6=0,0,T6/TrAvia_act!T4*1000)</f>
        <v>33.937591147347092</v>
      </c>
      <c r="U28" s="14">
        <f>IF(U6=0,0,U6/TrAvia_act!U4*1000)</f>
        <v>34.800887657995077</v>
      </c>
      <c r="V28" s="14">
        <f>IF(V6=0,0,V6/TrAvia_act!V4*1000)</f>
        <v>44.525014701576396</v>
      </c>
      <c r="W28" s="14">
        <f>IF(W6=0,0,W6/TrAvia_act!W4*1000)</f>
        <v>44.923216511806864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159.6335569251579</v>
      </c>
      <c r="C29" s="87">
        <f>IF(C7=0,0,C7/TrAvia_act!C5*1000)</f>
        <v>158.75970066535862</v>
      </c>
      <c r="D29" s="87">
        <f>IF(D7=0,0,D7/TrAvia_act!D5*1000)</f>
        <v>145.22167232792222</v>
      </c>
      <c r="E29" s="87">
        <f>IF(E7=0,0,E7/TrAvia_act!E5*1000)</f>
        <v>130.30763702327422</v>
      </c>
      <c r="F29" s="87">
        <f>IF(F7=0,0,F7/TrAvia_act!F5*1000)</f>
        <v>86.889212155063603</v>
      </c>
      <c r="G29" s="87">
        <f>IF(G7=0,0,G7/TrAvia_act!G5*1000)</f>
        <v>92.034450997891909</v>
      </c>
      <c r="H29" s="87">
        <f>IF(H7=0,0,H7/TrAvia_act!H5*1000)</f>
        <v>89.841270669078654</v>
      </c>
      <c r="I29" s="87">
        <f>IF(I7=0,0,I7/TrAvia_act!I5*1000)</f>
        <v>95.070446088841422</v>
      </c>
      <c r="J29" s="87">
        <f>IF(J7=0,0,J7/TrAvia_act!J5*1000)</f>
        <v>96.925804289810742</v>
      </c>
      <c r="K29" s="87">
        <f>IF(K7=0,0,K7/TrAvia_act!K5*1000)</f>
        <v>95.74547393734214</v>
      </c>
      <c r="L29" s="87">
        <f>IF(L7=0,0,L7/TrAvia_act!L5*1000)</f>
        <v>82.86765776925084</v>
      </c>
      <c r="M29" s="87">
        <f>IF(M7=0,0,M7/TrAvia_act!M5*1000)</f>
        <v>85.901389462610396</v>
      </c>
      <c r="N29" s="87">
        <f>IF(N7=0,0,N7/TrAvia_act!N5*1000)</f>
        <v>94.690422470543822</v>
      </c>
      <c r="O29" s="87">
        <f>IF(O7=0,0,O7/TrAvia_act!O5*1000)</f>
        <v>91.514083793960296</v>
      </c>
      <c r="P29" s="87">
        <f>IF(P7=0,0,P7/TrAvia_act!P5*1000)</f>
        <v>86.090889102185002</v>
      </c>
      <c r="Q29" s="87">
        <f>IF(Q7=0,0,Q7/TrAvia_act!Q5*1000)</f>
        <v>81.87809680810642</v>
      </c>
      <c r="R29" s="87">
        <f>IF(R7=0,0,R7/TrAvia_act!R5*1000)</f>
        <v>80.114779927705769</v>
      </c>
      <c r="S29" s="87">
        <f>IF(S7=0,0,S7/TrAvia_act!S5*1000)</f>
        <v>79.147166630925156</v>
      </c>
      <c r="T29" s="87">
        <f>IF(T7=0,0,T7/TrAvia_act!T5*1000)</f>
        <v>75.742875826519509</v>
      </c>
      <c r="U29" s="87">
        <f>IF(U7=0,0,U7/TrAvia_act!U5*1000)</f>
        <v>80.698957348242828</v>
      </c>
      <c r="V29" s="87">
        <f>IF(V7=0,0,V7/TrAvia_act!V5*1000)</f>
        <v>102.86418020840519</v>
      </c>
      <c r="W29" s="87">
        <f>IF(W7=0,0,W7/TrAvia_act!W5*1000)</f>
        <v>78.860769857993304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42.988100220420961</v>
      </c>
      <c r="C30" s="87">
        <f>IF(C8=0,0,C8/TrAvia_act!C6*1000)</f>
        <v>42.089579183966435</v>
      </c>
      <c r="D30" s="87">
        <f>IF(D8=0,0,D8/TrAvia_act!D6*1000)</f>
        <v>38.254214302702785</v>
      </c>
      <c r="E30" s="87">
        <f>IF(E8=0,0,E8/TrAvia_act!E6*1000)</f>
        <v>41.494396074091981</v>
      </c>
      <c r="F30" s="87">
        <f>IF(F8=0,0,F8/TrAvia_act!F6*1000)</f>
        <v>43.868474676663574</v>
      </c>
      <c r="G30" s="87">
        <f>IF(G8=0,0,G8/TrAvia_act!G6*1000)</f>
        <v>43.979436505116929</v>
      </c>
      <c r="H30" s="87">
        <f>IF(H8=0,0,H8/TrAvia_act!H6*1000)</f>
        <v>43.447915459942998</v>
      </c>
      <c r="I30" s="87">
        <f>IF(I8=0,0,I8/TrAvia_act!I6*1000)</f>
        <v>45.247207109049327</v>
      </c>
      <c r="J30" s="87">
        <f>IF(J8=0,0,J8/TrAvia_act!J6*1000)</f>
        <v>44.298511032820819</v>
      </c>
      <c r="K30" s="87">
        <f>IF(K8=0,0,K8/TrAvia_act!K6*1000)</f>
        <v>40.742598424982944</v>
      </c>
      <c r="L30" s="87">
        <f>IF(L8=0,0,L8/TrAvia_act!L6*1000)</f>
        <v>38.870475589835351</v>
      </c>
      <c r="M30" s="87">
        <f>IF(M8=0,0,M8/TrAvia_act!M6*1000)</f>
        <v>38.039337480957983</v>
      </c>
      <c r="N30" s="87">
        <f>IF(N8=0,0,N8/TrAvia_act!N6*1000)</f>
        <v>36.763381111947311</v>
      </c>
      <c r="O30" s="87">
        <f>IF(O8=0,0,O8/TrAvia_act!O6*1000)</f>
        <v>34.99039894286021</v>
      </c>
      <c r="P30" s="87">
        <f>IF(P8=0,0,P8/TrAvia_act!P6*1000)</f>
        <v>36.394790918381169</v>
      </c>
      <c r="Q30" s="87">
        <f>IF(Q8=0,0,Q8/TrAvia_act!Q6*1000)</f>
        <v>35.244620900762605</v>
      </c>
      <c r="R30" s="87">
        <f>IF(R8=0,0,R8/TrAvia_act!R6*1000)</f>
        <v>34.993578357542091</v>
      </c>
      <c r="S30" s="87">
        <f>IF(S8=0,0,S8/TrAvia_act!S6*1000)</f>
        <v>34.864702651386487</v>
      </c>
      <c r="T30" s="87">
        <f>IF(T8=0,0,T8/TrAvia_act!T6*1000)</f>
        <v>35.422768688402186</v>
      </c>
      <c r="U30" s="87">
        <f>IF(U8=0,0,U8/TrAvia_act!U6*1000)</f>
        <v>36.774134779427818</v>
      </c>
      <c r="V30" s="87">
        <f>IF(V8=0,0,V8/TrAvia_act!V6*1000)</f>
        <v>39.494219544610502</v>
      </c>
      <c r="W30" s="87">
        <f>IF(W8=0,0,W8/TrAvia_act!W6*1000)</f>
        <v>35.725552244805208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54.206119799659774</v>
      </c>
      <c r="C31" s="87">
        <f>IF(C9=0,0,C9/TrAvia_act!C7*1000)</f>
        <v>53.348972501338004</v>
      </c>
      <c r="D31" s="87">
        <f>IF(D9=0,0,D9/TrAvia_act!D7*1000)</f>
        <v>43.42976752354194</v>
      </c>
      <c r="E31" s="87">
        <f>IF(E9=0,0,E9/TrAvia_act!E7*1000)</f>
        <v>45.805784100010378</v>
      </c>
      <c r="F31" s="87">
        <f>IF(F9=0,0,F9/TrAvia_act!F7*1000)</f>
        <v>47.701334351542819</v>
      </c>
      <c r="G31" s="87">
        <f>IF(G9=0,0,G9/TrAvia_act!G7*1000)</f>
        <v>44.528094903745973</v>
      </c>
      <c r="H31" s="87">
        <f>IF(H9=0,0,H9/TrAvia_act!H7*1000)</f>
        <v>42.361834459753609</v>
      </c>
      <c r="I31" s="87">
        <f>IF(I9=0,0,I9/TrAvia_act!I7*1000)</f>
        <v>42.726874023280963</v>
      </c>
      <c r="J31" s="87">
        <f>IF(J9=0,0,J9/TrAvia_act!J7*1000)</f>
        <v>39.69532605642214</v>
      </c>
      <c r="K31" s="87">
        <f>IF(K9=0,0,K9/TrAvia_act!K7*1000)</f>
        <v>38.644026547115971</v>
      </c>
      <c r="L31" s="87">
        <f>IF(L9=0,0,L9/TrAvia_act!L7*1000)</f>
        <v>36.185461141266053</v>
      </c>
      <c r="M31" s="87">
        <f>IF(M9=0,0,M9/TrAvia_act!M7*1000)</f>
        <v>37.457566981000063</v>
      </c>
      <c r="N31" s="87">
        <f>IF(N9=0,0,N9/TrAvia_act!N7*1000)</f>
        <v>34.688601660610431</v>
      </c>
      <c r="O31" s="87">
        <f>IF(O9=0,0,O9/TrAvia_act!O7*1000)</f>
        <v>33.215086112417445</v>
      </c>
      <c r="P31" s="87">
        <f>IF(P9=0,0,P9/TrAvia_act!P7*1000)</f>
        <v>32.459992558239243</v>
      </c>
      <c r="Q31" s="87">
        <f>IF(Q9=0,0,Q9/TrAvia_act!Q7*1000)</f>
        <v>31.215073324511042</v>
      </c>
      <c r="R31" s="87">
        <f>IF(R9=0,0,R9/TrAvia_act!R7*1000)</f>
        <v>31.72096391995575</v>
      </c>
      <c r="S31" s="87">
        <f>IF(S9=0,0,S9/TrAvia_act!S7*1000)</f>
        <v>31.543337569186189</v>
      </c>
      <c r="T31" s="87">
        <f>IF(T9=0,0,T9/TrAvia_act!T7*1000)</f>
        <v>30.858414156259563</v>
      </c>
      <c r="U31" s="87">
        <f>IF(U9=0,0,U9/TrAvia_act!U7*1000)</f>
        <v>31.284279708330587</v>
      </c>
      <c r="V31" s="87">
        <f>IF(V9=0,0,V9/TrAvia_act!V7*1000)</f>
        <v>47.495566638465625</v>
      </c>
      <c r="W31" s="87">
        <f>IF(W9=0,0,W9/TrAvia_act!W7*1000)</f>
        <v>59.761783014036546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151.91039349250076</v>
      </c>
      <c r="C32" s="15">
        <f>IF(C10=0,0,C10/TrAvia_act!C8*1000)</f>
        <v>144.00181413192809</v>
      </c>
      <c r="D32" s="15">
        <f>IF(D10=0,0,D10/TrAvia_act!D8*1000)</f>
        <v>144.97856446916987</v>
      </c>
      <c r="E32" s="15">
        <f>IF(E10=0,0,E10/TrAvia_act!E8*1000)</f>
        <v>148.41389169481698</v>
      </c>
      <c r="F32" s="15">
        <f>IF(F10=0,0,F10/TrAvia_act!F8*1000)</f>
        <v>167.88065947038984</v>
      </c>
      <c r="G32" s="15">
        <f>IF(G10=0,0,G10/TrAvia_act!G8*1000)</f>
        <v>183.81606803321267</v>
      </c>
      <c r="H32" s="15">
        <f>IF(H10=0,0,H10/TrAvia_act!H8*1000)</f>
        <v>225.150186970031</v>
      </c>
      <c r="I32" s="15">
        <f>IF(I10=0,0,I10/TrAvia_act!I8*1000)</f>
        <v>236.11437317874885</v>
      </c>
      <c r="J32" s="15">
        <f>IF(J10=0,0,J10/TrAvia_act!J8*1000)</f>
        <v>142.13602237718243</v>
      </c>
      <c r="K32" s="15">
        <f>IF(K10=0,0,K10/TrAvia_act!K8*1000)</f>
        <v>123.68120428303827</v>
      </c>
      <c r="L32" s="15">
        <f>IF(L10=0,0,L10/TrAvia_act!L8*1000)</f>
        <v>114.40935466470944</v>
      </c>
      <c r="M32" s="15">
        <f>IF(M10=0,0,M10/TrAvia_act!M8*1000)</f>
        <v>108.33228257729606</v>
      </c>
      <c r="N32" s="15">
        <f>IF(N10=0,0,N10/TrAvia_act!N8*1000)</f>
        <v>94.933864051753361</v>
      </c>
      <c r="O32" s="15">
        <f>IF(O10=0,0,O10/TrAvia_act!O8*1000)</f>
        <v>92.638934219172967</v>
      </c>
      <c r="P32" s="15">
        <f>IF(P10=0,0,P10/TrAvia_act!P8*1000)</f>
        <v>84.333118965995126</v>
      </c>
      <c r="Q32" s="15">
        <f>IF(Q10=0,0,Q10/TrAvia_act!Q8*1000)</f>
        <v>82.062507738954423</v>
      </c>
      <c r="R32" s="15">
        <f>IF(R10=0,0,R10/TrAvia_act!R8*1000)</f>
        <v>72.580419360091625</v>
      </c>
      <c r="S32" s="15">
        <f>IF(S10=0,0,S10/TrAvia_act!S8*1000)</f>
        <v>67.165114107656933</v>
      </c>
      <c r="T32" s="15">
        <f>IF(T10=0,0,T10/TrAvia_act!T8*1000)</f>
        <v>61.402703812137077</v>
      </c>
      <c r="U32" s="15">
        <f>IF(U10=0,0,U10/TrAvia_act!U8*1000)</f>
        <v>61.997951413039317</v>
      </c>
      <c r="V32" s="15">
        <f>IF(V10=0,0,V10/TrAvia_act!V8*1000)</f>
        <v>98.380937090890868</v>
      </c>
      <c r="W32" s="15">
        <f>IF(W10=0,0,W10/TrAvia_act!W8*1000)</f>
        <v>102.36832179279386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637.34613642011368</v>
      </c>
      <c r="C33" s="101">
        <f>IF(C11=0,0,C11/TrAvia_act!C9*1000)</f>
        <v>641.46844171469058</v>
      </c>
      <c r="D33" s="101">
        <f>IF(D11=0,0,D11/TrAvia_act!D9*1000)</f>
        <v>502.84243817437425</v>
      </c>
      <c r="E33" s="101">
        <f>IF(E11=0,0,E11/TrAvia_act!E9*1000)</f>
        <v>387.19416126433208</v>
      </c>
      <c r="F33" s="101">
        <f>IF(F11=0,0,F11/TrAvia_act!F9*1000)</f>
        <v>254.78602040650745</v>
      </c>
      <c r="G33" s="101">
        <f>IF(G11=0,0,G11/TrAvia_act!G9*1000)</f>
        <v>293.49515836193456</v>
      </c>
      <c r="H33" s="101">
        <f>IF(H11=0,0,H11/TrAvia_act!H9*1000)</f>
        <v>362.0366094328229</v>
      </c>
      <c r="I33" s="101">
        <f>IF(I11=0,0,I11/TrAvia_act!I9*1000)</f>
        <v>473.40253349231727</v>
      </c>
      <c r="J33" s="101">
        <f>IF(J11=0,0,J11/TrAvia_act!J9*1000)</f>
        <v>557.54881625795701</v>
      </c>
      <c r="K33" s="101">
        <f>IF(K11=0,0,K11/TrAvia_act!K9*1000)</f>
        <v>699.46331681179026</v>
      </c>
      <c r="L33" s="101">
        <f>IF(L11=0,0,L11/TrAvia_act!L9*1000)</f>
        <v>808.55476617430736</v>
      </c>
      <c r="M33" s="101">
        <f>IF(M11=0,0,M11/TrAvia_act!M9*1000)</f>
        <v>789.95818400399253</v>
      </c>
      <c r="N33" s="101">
        <f>IF(N11=0,0,N11/TrAvia_act!N9*1000)</f>
        <v>971.75137287715074</v>
      </c>
      <c r="O33" s="101">
        <f>IF(O11=0,0,O11/TrAvia_act!O9*1000)</f>
        <v>800.16589455057624</v>
      </c>
      <c r="P33" s="101">
        <f>IF(P11=0,0,P11/TrAvia_act!P9*1000)</f>
        <v>617.03605112323191</v>
      </c>
      <c r="Q33" s="101">
        <f>IF(Q11=0,0,Q11/TrAvia_act!Q9*1000)</f>
        <v>519.60832140406933</v>
      </c>
      <c r="R33" s="101">
        <f>IF(R11=0,0,R11/TrAvia_act!R9*1000)</f>
        <v>421.86105985890157</v>
      </c>
      <c r="S33" s="101">
        <f>IF(S11=0,0,S11/TrAvia_act!S9*1000)</f>
        <v>424.00414294983153</v>
      </c>
      <c r="T33" s="101">
        <f>IF(T11=0,0,T11/TrAvia_act!T9*1000)</f>
        <v>386.03721626944201</v>
      </c>
      <c r="U33" s="101">
        <f>IF(U11=0,0,U11/TrAvia_act!U9*1000)</f>
        <v>286.88531903942174</v>
      </c>
      <c r="V33" s="101">
        <f>IF(V11=0,0,V11/TrAvia_act!V9*1000)</f>
        <v>293.64966482262156</v>
      </c>
      <c r="W33" s="101">
        <f>IF(W11=0,0,W11/TrAvia_act!W9*1000)</f>
        <v>273.15963934030856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159.45456582918246</v>
      </c>
      <c r="C34" s="101">
        <f>IF(C12=0,0,C12/TrAvia_act!C10*1000)</f>
        <v>151.01898721838558</v>
      </c>
      <c r="D34" s="101">
        <f>IF(D12=0,0,D12/TrAvia_act!D10*1000)</f>
        <v>155.47444431430458</v>
      </c>
      <c r="E34" s="101">
        <f>IF(E12=0,0,E12/TrAvia_act!E10*1000)</f>
        <v>161.52534560772278</v>
      </c>
      <c r="F34" s="101">
        <f>IF(F12=0,0,F12/TrAvia_act!F10*1000)</f>
        <v>185.43197945292309</v>
      </c>
      <c r="G34" s="101">
        <f>IF(G12=0,0,G12/TrAvia_act!G10*1000)</f>
        <v>195.60426198048592</v>
      </c>
      <c r="H34" s="101">
        <f>IF(H12=0,0,H12/TrAvia_act!H10*1000)</f>
        <v>233.53126290849272</v>
      </c>
      <c r="I34" s="101">
        <f>IF(I12=0,0,I12/TrAvia_act!I10*1000)</f>
        <v>245.93249565596551</v>
      </c>
      <c r="J34" s="101">
        <f>IF(J12=0,0,J12/TrAvia_act!J10*1000)</f>
        <v>241.5981491734893</v>
      </c>
      <c r="K34" s="101">
        <f>IF(K12=0,0,K12/TrAvia_act!K10*1000)</f>
        <v>218.4567524114791</v>
      </c>
      <c r="L34" s="101">
        <f>IF(L12=0,0,L12/TrAvia_act!L10*1000)</f>
        <v>205.1626126311524</v>
      </c>
      <c r="M34" s="101">
        <f>IF(M12=0,0,M12/TrAvia_act!M10*1000)</f>
        <v>198.3920244798316</v>
      </c>
      <c r="N34" s="101">
        <f>IF(N12=0,0,N12/TrAvia_act!N10*1000)</f>
        <v>181.98770655320359</v>
      </c>
      <c r="O34" s="101">
        <f>IF(O12=0,0,O12/TrAvia_act!O10*1000)</f>
        <v>177.97277864302688</v>
      </c>
      <c r="P34" s="101">
        <f>IF(P12=0,0,P12/TrAvia_act!P10*1000)</f>
        <v>180.77465531233477</v>
      </c>
      <c r="Q34" s="101">
        <f>IF(Q12=0,0,Q12/TrAvia_act!Q10*1000)</f>
        <v>184.23857395791111</v>
      </c>
      <c r="R34" s="101">
        <f>IF(R12=0,0,R12/TrAvia_act!R10*1000)</f>
        <v>172.27484390117314</v>
      </c>
      <c r="S34" s="101">
        <f>IF(S12=0,0,S12/TrAvia_act!S10*1000)</f>
        <v>192.86403985341667</v>
      </c>
      <c r="T34" s="101">
        <f>IF(T12=0,0,T12/TrAvia_act!T10*1000)</f>
        <v>194.47665507607411</v>
      </c>
      <c r="U34" s="101">
        <f>IF(U12=0,0,U12/TrAvia_act!U10*1000)</f>
        <v>195.56842852515391</v>
      </c>
      <c r="V34" s="101">
        <f>IF(V12=0,0,V12/TrAvia_act!V10*1000)</f>
        <v>194.04439664182181</v>
      </c>
      <c r="W34" s="101">
        <f>IF(W12=0,0,W12/TrAvia_act!W10*1000)</f>
        <v>194.32241122581675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87.804426030775943</v>
      </c>
      <c r="C35" s="88">
        <f>IF(C13=0,0,C13/TrAvia_act!C11*1000)</f>
        <v>83.714785615080189</v>
      </c>
      <c r="D35" s="88">
        <f>IF(D13=0,0,D13/TrAvia_act!D11*1000)</f>
        <v>85.906662290141426</v>
      </c>
      <c r="E35" s="88">
        <f>IF(E13=0,0,E13/TrAvia_act!E11*1000)</f>
        <v>99.936405771773721</v>
      </c>
      <c r="F35" s="88">
        <f>IF(F13=0,0,F13/TrAvia_act!F11*1000)</f>
        <v>107.4404281222219</v>
      </c>
      <c r="G35" s="88">
        <f>IF(G13=0,0,G13/TrAvia_act!G11*1000)</f>
        <v>110.51947754265811</v>
      </c>
      <c r="H35" s="88">
        <f>IF(H13=0,0,H13/TrAvia_act!H11*1000)</f>
        <v>110.38145250139121</v>
      </c>
      <c r="I35" s="88">
        <f>IF(I13=0,0,I13/TrAvia_act!I11*1000)</f>
        <v>122.65622608144315</v>
      </c>
      <c r="J35" s="88">
        <f>IF(J13=0,0,J13/TrAvia_act!J11*1000)</f>
        <v>124.06298978326838</v>
      </c>
      <c r="K35" s="88">
        <f>IF(K13=0,0,K13/TrAvia_act!K11*1000)</f>
        <v>108.82746652522702</v>
      </c>
      <c r="L35" s="88">
        <f>IF(L13=0,0,L13/TrAvia_act!L11*1000)</f>
        <v>105.93533979219103</v>
      </c>
      <c r="M35" s="88">
        <f>IF(M13=0,0,M13/TrAvia_act!M11*1000)</f>
        <v>100.03058639161154</v>
      </c>
      <c r="N35" s="88">
        <f>IF(N13=0,0,N13/TrAvia_act!N11*1000)</f>
        <v>88.605860799622619</v>
      </c>
      <c r="O35" s="88">
        <f>IF(O13=0,0,O13/TrAvia_act!O11*1000)</f>
        <v>86.629824883866576</v>
      </c>
      <c r="P35" s="88">
        <f>IF(P13=0,0,P13/TrAvia_act!P11*1000)</f>
        <v>75.71104151795042</v>
      </c>
      <c r="Q35" s="88">
        <f>IF(Q13=0,0,Q13/TrAvia_act!Q11*1000)</f>
        <v>72.462104566951766</v>
      </c>
      <c r="R35" s="88">
        <f>IF(R13=0,0,R13/TrAvia_act!R11*1000)</f>
        <v>63.538277254396313</v>
      </c>
      <c r="S35" s="88">
        <f>IF(S13=0,0,S13/TrAvia_act!S11*1000)</f>
        <v>55.754760168392536</v>
      </c>
      <c r="T35" s="88">
        <f>IF(T13=0,0,T13/TrAvia_act!T11*1000)</f>
        <v>46.090749402607742</v>
      </c>
      <c r="U35" s="88">
        <f>IF(U13=0,0,U13/TrAvia_act!U11*1000)</f>
        <v>46.756777262158693</v>
      </c>
      <c r="V35" s="88">
        <f>IF(V13=0,0,V13/TrAvia_act!V11*1000)</f>
        <v>78.524889461713713</v>
      </c>
      <c r="W35" s="88">
        <f>IF(W13=0,0,W13/TrAvia_act!W11*1000)</f>
        <v>81.947971592732159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5323.5173107974133</v>
      </c>
      <c r="C37" s="62">
        <f>IF(C3=0,0,C3/TrAvia_act!C23*1000000)</f>
        <v>5312.8756739254368</v>
      </c>
      <c r="D37" s="62">
        <f>IF(D3=0,0,D3/TrAvia_act!D23*1000000)</f>
        <v>4857.7029753632496</v>
      </c>
      <c r="E37" s="62">
        <f>IF(E3=0,0,E3/TrAvia_act!E23*1000000)</f>
        <v>4899.0984205844888</v>
      </c>
      <c r="F37" s="62">
        <f>IF(F3=0,0,F3/TrAvia_act!F23*1000000)</f>
        <v>4916.4973734367013</v>
      </c>
      <c r="G37" s="62">
        <f>IF(G3=0,0,G3/TrAvia_act!G23*1000000)</f>
        <v>5237.9554091006012</v>
      </c>
      <c r="H37" s="62">
        <f>IF(H3=0,0,H3/TrAvia_act!H23*1000000)</f>
        <v>5437.610200062205</v>
      </c>
      <c r="I37" s="62">
        <f>IF(I3=0,0,I3/TrAvia_act!I23*1000000)</f>
        <v>5573.6904204642351</v>
      </c>
      <c r="J37" s="62">
        <f>IF(J3=0,0,J3/TrAvia_act!J23*1000000)</f>
        <v>5224.2738307396157</v>
      </c>
      <c r="K37" s="62">
        <f>IF(K3=0,0,K3/TrAvia_act!K23*1000000)</f>
        <v>5185.2627740446651</v>
      </c>
      <c r="L37" s="62">
        <f>IF(L3=0,0,L3/TrAvia_act!L23*1000000)</f>
        <v>5140.4422411467895</v>
      </c>
      <c r="M37" s="62">
        <f>IF(M3=0,0,M3/TrAvia_act!M23*1000000)</f>
        <v>5091.1802268021893</v>
      </c>
      <c r="N37" s="62">
        <f>IF(N3=0,0,N3/TrAvia_act!N23*1000000)</f>
        <v>5490.2625065208194</v>
      </c>
      <c r="O37" s="62">
        <f>IF(O3=0,0,O3/TrAvia_act!O23*1000000)</f>
        <v>5338.8800642921351</v>
      </c>
      <c r="P37" s="62">
        <f>IF(P3=0,0,P3/TrAvia_act!P23*1000000)</f>
        <v>5657.0683597995039</v>
      </c>
      <c r="Q37" s="62">
        <f>IF(Q3=0,0,Q3/TrAvia_act!Q23*1000000)</f>
        <v>5455.8018061243274</v>
      </c>
      <c r="R37" s="62">
        <f>IF(R3=0,0,R3/TrAvia_act!R23*1000000)</f>
        <v>5674.2348480271376</v>
      </c>
      <c r="S37" s="62">
        <f>IF(S3=0,0,S3/TrAvia_act!S23*1000000)</f>
        <v>5989.5556031640199</v>
      </c>
      <c r="T37" s="62">
        <f>IF(T3=0,0,T3/TrAvia_act!T23*1000000)</f>
        <v>6118.7130288693697</v>
      </c>
      <c r="U37" s="62">
        <f>IF(U3=0,0,U3/TrAvia_act!U23*1000000)</f>
        <v>6304.1707588166173</v>
      </c>
      <c r="V37" s="62">
        <f>IF(V3=0,0,V3/TrAvia_act!V23*1000000)</f>
        <v>5212.8914610636402</v>
      </c>
      <c r="W37" s="62">
        <f>IF(W3=0,0,W3/TrAvia_act!W23*1000000)</f>
        <v>5893.4301568235924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5355.8856811150436</v>
      </c>
      <c r="C38" s="14">
        <f>IF(C6=0,0,C6/TrAvia_act!C24*1000000)</f>
        <v>5345.7223915741506</v>
      </c>
      <c r="D38" s="14">
        <f>IF(D6=0,0,D6/TrAvia_act!D24*1000000)</f>
        <v>4884.007287769452</v>
      </c>
      <c r="E38" s="14">
        <f>IF(E6=0,0,E6/TrAvia_act!E24*1000000)</f>
        <v>4914.3592540052496</v>
      </c>
      <c r="F38" s="14">
        <f>IF(F6=0,0,F6/TrAvia_act!F24*1000000)</f>
        <v>4930.796094527871</v>
      </c>
      <c r="G38" s="14">
        <f>IF(G6=0,0,G6/TrAvia_act!G24*1000000)</f>
        <v>5258.858157993951</v>
      </c>
      <c r="H38" s="14">
        <f>IF(H6=0,0,H6/TrAvia_act!H24*1000000)</f>
        <v>5466.1544150240325</v>
      </c>
      <c r="I38" s="14">
        <f>IF(I6=0,0,I6/TrAvia_act!I24*1000000)</f>
        <v>5599.7794981402303</v>
      </c>
      <c r="J38" s="14">
        <f>IF(J6=0,0,J6/TrAvia_act!J24*1000000)</f>
        <v>5026.2916808521059</v>
      </c>
      <c r="K38" s="14">
        <f>IF(K6=0,0,K6/TrAvia_act!K24*1000000)</f>
        <v>5019.126725220457</v>
      </c>
      <c r="L38" s="14">
        <f>IF(L6=0,0,L6/TrAvia_act!L24*1000000)</f>
        <v>4931.3295191643037</v>
      </c>
      <c r="M38" s="14">
        <f>IF(M6=0,0,M6/TrAvia_act!M24*1000000)</f>
        <v>4901.2864542321704</v>
      </c>
      <c r="N38" s="14">
        <f>IF(N6=0,0,N6/TrAvia_act!N24*1000000)</f>
        <v>5273.6333243327581</v>
      </c>
      <c r="O38" s="14">
        <f>IF(O6=0,0,O6/TrAvia_act!O24*1000000)</f>
        <v>5161.0790291570165</v>
      </c>
      <c r="P38" s="14">
        <f>IF(P6=0,0,P6/TrAvia_act!P24*1000000)</f>
        <v>5480.6033164292958</v>
      </c>
      <c r="Q38" s="14">
        <f>IF(Q6=0,0,Q6/TrAvia_act!Q24*1000000)</f>
        <v>5313.6219352508506</v>
      </c>
      <c r="R38" s="14">
        <f>IF(R6=0,0,R6/TrAvia_act!R24*1000000)</f>
        <v>5573.9161400931398</v>
      </c>
      <c r="S38" s="14">
        <f>IF(S6=0,0,S6/TrAvia_act!S24*1000000)</f>
        <v>5915.7813070153134</v>
      </c>
      <c r="T38" s="14">
        <f>IF(T6=0,0,T6/TrAvia_act!T24*1000000)</f>
        <v>6106.9508424456963</v>
      </c>
      <c r="U38" s="14">
        <f>IF(U6=0,0,U6/TrAvia_act!U24*1000000)</f>
        <v>6279.492728552711</v>
      </c>
      <c r="V38" s="14">
        <f>IF(V6=0,0,V6/TrAvia_act!V24*1000000)</f>
        <v>5152.3182134991011</v>
      </c>
      <c r="W38" s="14">
        <f>IF(W6=0,0,W6/TrAvia_act!W24*1000000)</f>
        <v>5830.3544278730478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1817.9176260996182</v>
      </c>
      <c r="C39" s="87">
        <f>IF(C7=0,0,C7/TrAvia_act!C25*1000000)</f>
        <v>1815.7251368368022</v>
      </c>
      <c r="D39" s="87">
        <f>IF(D7=0,0,D7/TrAvia_act!D25*1000000)</f>
        <v>1463.6553933002208</v>
      </c>
      <c r="E39" s="87">
        <f>IF(E7=0,0,E7/TrAvia_act!E25*1000000)</f>
        <v>1198.8083067219736</v>
      </c>
      <c r="F39" s="87">
        <f>IF(F7=0,0,F7/TrAvia_act!F25*1000000)</f>
        <v>742.83063471670357</v>
      </c>
      <c r="G39" s="87">
        <f>IF(G7=0,0,G7/TrAvia_act!G25*1000000)</f>
        <v>809.64836433791641</v>
      </c>
      <c r="H39" s="87">
        <f>IF(H7=0,0,H7/TrAvia_act!H25*1000000)</f>
        <v>865.7560213409015</v>
      </c>
      <c r="I39" s="87">
        <f>IF(I7=0,0,I7/TrAvia_act!I25*1000000)</f>
        <v>1009.1864412897255</v>
      </c>
      <c r="J39" s="87">
        <f>IF(J7=0,0,J7/TrAvia_act!J25*1000000)</f>
        <v>1014.0880619597153</v>
      </c>
      <c r="K39" s="87">
        <f>IF(K7=0,0,K7/TrAvia_act!K25*1000000)</f>
        <v>1091.3415518985578</v>
      </c>
      <c r="L39" s="87">
        <f>IF(L7=0,0,L7/TrAvia_act!L25*1000000)</f>
        <v>1040.1501508803181</v>
      </c>
      <c r="M39" s="87">
        <f>IF(M7=0,0,M7/TrAvia_act!M25*1000000)</f>
        <v>985.81067223819582</v>
      </c>
      <c r="N39" s="87">
        <f>IF(N7=0,0,N7/TrAvia_act!N25*1000000)</f>
        <v>1199.8068173637118</v>
      </c>
      <c r="O39" s="87">
        <f>IF(O7=0,0,O7/TrAvia_act!O25*1000000)</f>
        <v>1112.3371873637218</v>
      </c>
      <c r="P39" s="87">
        <f>IF(P7=0,0,P7/TrAvia_act!P25*1000000)</f>
        <v>1029.6625266551148</v>
      </c>
      <c r="Q39" s="87">
        <f>IF(Q7=0,0,Q7/TrAvia_act!Q25*1000000)</f>
        <v>963.26032190364447</v>
      </c>
      <c r="R39" s="87">
        <f>IF(R7=0,0,R7/TrAvia_act!R25*1000000)</f>
        <v>993.78446789660916</v>
      </c>
      <c r="S39" s="87">
        <f>IF(S7=0,0,S7/TrAvia_act!S25*1000000)</f>
        <v>993.13376382545903</v>
      </c>
      <c r="T39" s="87">
        <f>IF(T7=0,0,T7/TrAvia_act!T25*1000000)</f>
        <v>975.43901324857643</v>
      </c>
      <c r="U39" s="87">
        <f>IF(U7=0,0,U7/TrAvia_act!U25*1000000)</f>
        <v>999.86017008691567</v>
      </c>
      <c r="V39" s="87">
        <f>IF(V7=0,0,V7/TrAvia_act!V25*1000000)</f>
        <v>933.74089470785964</v>
      </c>
      <c r="W39" s="87">
        <f>IF(W7=0,0,W7/TrAvia_act!W25*1000000)</f>
        <v>900.15728000520494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3782.9327344176331</v>
      </c>
      <c r="C40" s="87">
        <f>IF(C8=0,0,C8/TrAvia_act!C26*1000000)</f>
        <v>3778.3022180193889</v>
      </c>
      <c r="D40" s="87">
        <f>IF(D8=0,0,D8/TrAvia_act!D26*1000000)</f>
        <v>3634.592927833703</v>
      </c>
      <c r="E40" s="87">
        <f>IF(E8=0,0,E8/TrAvia_act!E26*1000000)</f>
        <v>3839.9144660719362</v>
      </c>
      <c r="F40" s="87">
        <f>IF(F8=0,0,F8/TrAvia_act!F26*1000000)</f>
        <v>4014.2861215356702</v>
      </c>
      <c r="G40" s="87">
        <f>IF(G8=0,0,G8/TrAvia_act!G26*1000000)</f>
        <v>4283.7053590202868</v>
      </c>
      <c r="H40" s="87">
        <f>IF(H8=0,0,H8/TrAvia_act!H26*1000000)</f>
        <v>4475.7472132321864</v>
      </c>
      <c r="I40" s="87">
        <f>IF(I8=0,0,I8/TrAvia_act!I26*1000000)</f>
        <v>4621.8467232118637</v>
      </c>
      <c r="J40" s="87">
        <f>IF(J8=0,0,J8/TrAvia_act!J26*1000000)</f>
        <v>4129.5450354747654</v>
      </c>
      <c r="K40" s="87">
        <f>IF(K8=0,0,K8/TrAvia_act!K26*1000000)</f>
        <v>4035.5086197108062</v>
      </c>
      <c r="L40" s="87">
        <f>IF(L8=0,0,L8/TrAvia_act!L26*1000000)</f>
        <v>4037.9121824739409</v>
      </c>
      <c r="M40" s="87">
        <f>IF(M8=0,0,M8/TrAvia_act!M26*1000000)</f>
        <v>4044.666741573431</v>
      </c>
      <c r="N40" s="87">
        <f>IF(N8=0,0,N8/TrAvia_act!N26*1000000)</f>
        <v>4007.0761156794401</v>
      </c>
      <c r="O40" s="87">
        <f>IF(O8=0,0,O8/TrAvia_act!O26*1000000)</f>
        <v>3956.3753140700605</v>
      </c>
      <c r="P40" s="87">
        <f>IF(P8=0,0,P8/TrAvia_act!P26*1000000)</f>
        <v>4309.9196061648172</v>
      </c>
      <c r="Q40" s="87">
        <f>IF(Q8=0,0,Q8/TrAvia_act!Q26*1000000)</f>
        <v>4182.1337004975721</v>
      </c>
      <c r="R40" s="87">
        <f>IF(R8=0,0,R8/TrAvia_act!R26*1000000)</f>
        <v>4457.1226135908637</v>
      </c>
      <c r="S40" s="87">
        <f>IF(S8=0,0,S8/TrAvia_act!S26*1000000)</f>
        <v>4757.4668332738011</v>
      </c>
      <c r="T40" s="87">
        <f>IF(T8=0,0,T8/TrAvia_act!T26*1000000)</f>
        <v>4880.1811794661298</v>
      </c>
      <c r="U40" s="87">
        <f>IF(U8=0,0,U8/TrAvia_act!U26*1000000)</f>
        <v>4953.1119260286596</v>
      </c>
      <c r="V40" s="87">
        <f>IF(V8=0,0,V8/TrAvia_act!V26*1000000)</f>
        <v>3951.3816562876268</v>
      </c>
      <c r="W40" s="87">
        <f>IF(W8=0,0,W8/TrAvia_act!W26*1000000)</f>
        <v>4946.8644531178252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27349.323353708973</v>
      </c>
      <c r="C41" s="87">
        <f>IF(C9=0,0,C9/TrAvia_act!C27*1000000)</f>
        <v>27315.862144649971</v>
      </c>
      <c r="D41" s="87">
        <f>IF(D9=0,0,D9/TrAvia_act!D27*1000000)</f>
        <v>26473.150474771282</v>
      </c>
      <c r="E41" s="87">
        <f>IF(E9=0,0,E9/TrAvia_act!E27*1000000)</f>
        <v>27987.122779991358</v>
      </c>
      <c r="F41" s="87">
        <f>IF(F9=0,0,F9/TrAvia_act!F27*1000000)</f>
        <v>29206.455247337417</v>
      </c>
      <c r="G41" s="87">
        <f>IF(G9=0,0,G9/TrAvia_act!G27*1000000)</f>
        <v>28842.195525113515</v>
      </c>
      <c r="H41" s="87">
        <f>IF(H9=0,0,H9/TrAvia_act!H27*1000000)</f>
        <v>32447.479946452993</v>
      </c>
      <c r="I41" s="87">
        <f>IF(I9=0,0,I9/TrAvia_act!I27*1000000)</f>
        <v>31723.724269893421</v>
      </c>
      <c r="J41" s="87">
        <f>IF(J9=0,0,J9/TrAvia_act!J27*1000000)</f>
        <v>27423.061052350931</v>
      </c>
      <c r="K41" s="87">
        <f>IF(K9=0,0,K9/TrAvia_act!K27*1000000)</f>
        <v>27545.410757012567</v>
      </c>
      <c r="L41" s="87">
        <f>IF(L9=0,0,L9/TrAvia_act!L27*1000000)</f>
        <v>25303.5498702677</v>
      </c>
      <c r="M41" s="87">
        <f>IF(M9=0,0,M9/TrAvia_act!M27*1000000)</f>
        <v>23364.373235141713</v>
      </c>
      <c r="N41" s="87">
        <f>IF(N9=0,0,N9/TrAvia_act!N27*1000000)</f>
        <v>23198.983427273204</v>
      </c>
      <c r="O41" s="87">
        <f>IF(O9=0,0,O9/TrAvia_act!O27*1000000)</f>
        <v>23305.832441436833</v>
      </c>
      <c r="P41" s="87">
        <f>IF(P9=0,0,P9/TrAvia_act!P27*1000000)</f>
        <v>23761.057350074232</v>
      </c>
      <c r="Q41" s="87">
        <f>IF(Q9=0,0,Q9/TrAvia_act!Q27*1000000)</f>
        <v>23221.931158133448</v>
      </c>
      <c r="R41" s="87">
        <f>IF(R9=0,0,R9/TrAvia_act!R27*1000000)</f>
        <v>24505.840924823078</v>
      </c>
      <c r="S41" s="87">
        <f>IF(S9=0,0,S9/TrAvia_act!S27*1000000)</f>
        <v>25634.406112192937</v>
      </c>
      <c r="T41" s="87">
        <f>IF(T9=0,0,T9/TrAvia_act!T27*1000000)</f>
        <v>24062.13336353872</v>
      </c>
      <c r="U41" s="87">
        <f>IF(U9=0,0,U9/TrAvia_act!U27*1000000)</f>
        <v>24045.643660217142</v>
      </c>
      <c r="V41" s="87">
        <f>IF(V9=0,0,V9/TrAvia_act!V27*1000000)</f>
        <v>26508.940430364535</v>
      </c>
      <c r="W41" s="87">
        <f>IF(W9=0,0,W9/TrAvia_act!W27*1000000)</f>
        <v>23900.887476968932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3249.2161370201343</v>
      </c>
      <c r="C42" s="15">
        <f>IF(C10=0,0,C10/TrAvia_act!C28*1000000)</f>
        <v>3249.2288819779378</v>
      </c>
      <c r="D42" s="15">
        <f>IF(D10=0,0,D10/TrAvia_act!D28*1000000)</f>
        <v>3191.3360255895727</v>
      </c>
      <c r="E42" s="15">
        <f>IF(E10=0,0,E10/TrAvia_act!E28*1000000)</f>
        <v>3522.6397530219447</v>
      </c>
      <c r="F42" s="15">
        <f>IF(F10=0,0,F10/TrAvia_act!F28*1000000)</f>
        <v>3604.4467261109553</v>
      </c>
      <c r="G42" s="15">
        <f>IF(G10=0,0,G10/TrAvia_act!G28*1000000)</f>
        <v>3601.4942667652899</v>
      </c>
      <c r="H42" s="15">
        <f>IF(H10=0,0,H10/TrAvia_act!H28*1000000)</f>
        <v>3619.1025978211337</v>
      </c>
      <c r="I42" s="15">
        <f>IF(I10=0,0,I10/TrAvia_act!I28*1000000)</f>
        <v>3781.1225241186967</v>
      </c>
      <c r="J42" s="15">
        <f>IF(J10=0,0,J10/TrAvia_act!J28*1000000)</f>
        <v>10289.902358502246</v>
      </c>
      <c r="K42" s="15">
        <f>IF(K10=0,0,K10/TrAvia_act!K28*1000000)</f>
        <v>10836.500983229733</v>
      </c>
      <c r="L42" s="15">
        <f>IF(L10=0,0,L10/TrAvia_act!L28*1000000)</f>
        <v>15305.356084806641</v>
      </c>
      <c r="M42" s="15">
        <f>IF(M10=0,0,M10/TrAvia_act!M28*1000000)</f>
        <v>14717.879345390929</v>
      </c>
      <c r="N42" s="15">
        <f>IF(N10=0,0,N10/TrAvia_act!N28*1000000)</f>
        <v>15986.302283924728</v>
      </c>
      <c r="O42" s="15">
        <f>IF(O10=0,0,O10/TrAvia_act!O28*1000000)</f>
        <v>15149.878408020015</v>
      </c>
      <c r="P42" s="15">
        <f>IF(P10=0,0,P10/TrAvia_act!P28*1000000)</f>
        <v>12503.137961148925</v>
      </c>
      <c r="Q42" s="15">
        <f>IF(Q10=0,0,Q10/TrAvia_act!Q28*1000000)</f>
        <v>10907.110346834614</v>
      </c>
      <c r="R42" s="15">
        <f>IF(R10=0,0,R10/TrAvia_act!R28*1000000)</f>
        <v>10552.638855009856</v>
      </c>
      <c r="S42" s="15">
        <f>IF(S10=0,0,S10/TrAvia_act!S28*1000000)</f>
        <v>8862.7488121676433</v>
      </c>
      <c r="T42" s="15">
        <f>IF(T10=0,0,T10/TrAvia_act!T28*1000000)</f>
        <v>6586.3545263292181</v>
      </c>
      <c r="U42" s="15">
        <f>IF(U10=0,0,U10/TrAvia_act!U28*1000000)</f>
        <v>7213.7207306899945</v>
      </c>
      <c r="V42" s="15">
        <f>IF(V10=0,0,V10/TrAvia_act!V28*1000000)</f>
        <v>5972.1217750310952</v>
      </c>
      <c r="W42" s="15">
        <f>IF(W10=0,0,W10/TrAvia_act!W28*1000000)</f>
        <v>6568.7965080794738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1877.1696342229015</v>
      </c>
      <c r="C43" s="101">
        <f>IF(C11=0,0,C11/TrAvia_act!C29*1000000)</f>
        <v>1874.9056844110792</v>
      </c>
      <c r="D43" s="101">
        <f>IF(D11=0,0,D11/TrAvia_act!D29*1000000)</f>
        <v>1511.3608118562763</v>
      </c>
      <c r="E43" s="101">
        <f>IF(E11=0,0,E11/TrAvia_act!E29*1000000)</f>
        <v>1237.8814740142404</v>
      </c>
      <c r="F43" s="101">
        <f>IF(F11=0,0,F11/TrAvia_act!F29*1000000)</f>
        <v>767.04196650124175</v>
      </c>
      <c r="G43" s="101">
        <f>IF(G11=0,0,G11/TrAvia_act!G29*1000000)</f>
        <v>836.03750913304191</v>
      </c>
      <c r="H43" s="101">
        <f>IF(H11=0,0,H11/TrAvia_act!H29*1000000)</f>
        <v>874.83826137210644</v>
      </c>
      <c r="I43" s="101">
        <f>IF(I11=0,0,I11/TrAvia_act!I29*1000000)</f>
        <v>997.94492491481071</v>
      </c>
      <c r="J43" s="101">
        <f>IF(J11=0,0,J11/TrAvia_act!J29*1000000)</f>
        <v>981.32699623056749</v>
      </c>
      <c r="K43" s="101">
        <f>IF(K11=0,0,K11/TrAvia_act!K29*1000000)</f>
        <v>1033.4790258014025</v>
      </c>
      <c r="L43" s="101">
        <f>IF(L11=0,0,L11/TrAvia_act!L29*1000000)</f>
        <v>963.91758482058094</v>
      </c>
      <c r="M43" s="101">
        <f>IF(M11=0,0,M11/TrAvia_act!M29*1000000)</f>
        <v>913.80130691346358</v>
      </c>
      <c r="N43" s="101">
        <f>IF(N11=0,0,N11/TrAvia_act!N29*1000000)</f>
        <v>1112.4588992622653</v>
      </c>
      <c r="O43" s="101">
        <f>IF(O11=0,0,O11/TrAvia_act!O29*1000000)</f>
        <v>1038.0913257952502</v>
      </c>
      <c r="P43" s="101">
        <f>IF(P11=0,0,P11/TrAvia_act!P29*1000000)</f>
        <v>967.20905919767199</v>
      </c>
      <c r="Q43" s="101">
        <f>IF(Q11=0,0,Q11/TrAvia_act!Q29*1000000)</f>
        <v>910.74196661043743</v>
      </c>
      <c r="R43" s="101">
        <f>IF(R11=0,0,R11/TrAvia_act!R29*1000000)</f>
        <v>945.7361693886304</v>
      </c>
      <c r="S43" s="101">
        <f>IF(S11=0,0,S11/TrAvia_act!S29*1000000)</f>
        <v>951.28696154628369</v>
      </c>
      <c r="T43" s="101">
        <f>IF(T11=0,0,T11/TrAvia_act!T29*1000000)</f>
        <v>940.43722029483433</v>
      </c>
      <c r="U43" s="101">
        <f>IF(U11=0,0,U11/TrAvia_act!U29*1000000)</f>
        <v>1008.8537460450982</v>
      </c>
      <c r="V43" s="101">
        <f>IF(V11=0,0,V11/TrAvia_act!V29*1000000)</f>
        <v>942.13973877931141</v>
      </c>
      <c r="W43" s="101">
        <f>IF(W11=0,0,W11/TrAvia_act!W29*1000000)</f>
        <v>908.25404504719393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3043.3324974933034</v>
      </c>
      <c r="C44" s="101">
        <f>IF(C12=0,0,C12/TrAvia_act!C30*1000000)</f>
        <v>3040.5328891402428</v>
      </c>
      <c r="D44" s="101">
        <f>IF(D12=0,0,D12/TrAvia_act!D30*1000000)</f>
        <v>2941.3864414259597</v>
      </c>
      <c r="E44" s="101">
        <f>IF(E12=0,0,E12/TrAvia_act!E30*1000000)</f>
        <v>3098.2541713409205</v>
      </c>
      <c r="F44" s="101">
        <f>IF(F12=0,0,F12/TrAvia_act!F30*1000000)</f>
        <v>3243.5865326846092</v>
      </c>
      <c r="G44" s="101">
        <f>IF(G12=0,0,G12/TrAvia_act!G30*1000000)</f>
        <v>3450.3551871915779</v>
      </c>
      <c r="H44" s="101">
        <f>IF(H12=0,0,H12/TrAvia_act!H30*1000000)</f>
        <v>3643.4701419746393</v>
      </c>
      <c r="I44" s="101">
        <f>IF(I12=0,0,I12/TrAvia_act!I30*1000000)</f>
        <v>3760.9308890069155</v>
      </c>
      <c r="J44" s="101">
        <f>IF(J12=0,0,J12/TrAvia_act!J30*1000000)</f>
        <v>3270.0163450705136</v>
      </c>
      <c r="K44" s="101">
        <f>IF(K12=0,0,K12/TrAvia_act!K30*1000000)</f>
        <v>3188.4854103314851</v>
      </c>
      <c r="L44" s="101">
        <f>IF(L12=0,0,L12/TrAvia_act!L30*1000000)</f>
        <v>3200.2752244390608</v>
      </c>
      <c r="M44" s="101">
        <f>IF(M12=0,0,M12/TrAvia_act!M30*1000000)</f>
        <v>3109.1833266007229</v>
      </c>
      <c r="N44" s="101">
        <f>IF(N12=0,0,N12/TrAvia_act!N30*1000000)</f>
        <v>2992.2520069520747</v>
      </c>
      <c r="O44" s="101">
        <f>IF(O12=0,0,O12/TrAvia_act!O30*1000000)</f>
        <v>2845.6849635684362</v>
      </c>
      <c r="P44" s="101">
        <f>IF(P12=0,0,P12/TrAvia_act!P30*1000000)</f>
        <v>3072.4523859797791</v>
      </c>
      <c r="Q44" s="101">
        <f>IF(Q12=0,0,Q12/TrAvia_act!Q30*1000000)</f>
        <v>2941.5270187536939</v>
      </c>
      <c r="R44" s="101">
        <f>IF(R12=0,0,R12/TrAvia_act!R30*1000000)</f>
        <v>3061.5588989969588</v>
      </c>
      <c r="S44" s="101">
        <f>IF(S12=0,0,S12/TrAvia_act!S30*1000000)</f>
        <v>3200.9184586926831</v>
      </c>
      <c r="T44" s="101">
        <f>IF(T12=0,0,T12/TrAvia_act!T30*1000000)</f>
        <v>3212.8223171589143</v>
      </c>
      <c r="U44" s="101">
        <f>IF(U12=0,0,U12/TrAvia_act!U30*1000000)</f>
        <v>3362.2219517289036</v>
      </c>
      <c r="V44" s="101">
        <f>IF(V12=0,0,V12/TrAvia_act!V30*1000000)</f>
        <v>2615.0825640757962</v>
      </c>
      <c r="W44" s="101">
        <f>IF(W12=0,0,W12/TrAvia_act!W30*1000000)</f>
        <v>3120.685807917806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39099.694277483963</v>
      </c>
      <c r="C45" s="88">
        <f>IF(C13=0,0,C13/TrAvia_act!C31*1000000)</f>
        <v>39051.856785219854</v>
      </c>
      <c r="D45" s="88">
        <f>IF(D13=0,0,D13/TrAvia_act!D31*1000000)</f>
        <v>37847.082238142932</v>
      </c>
      <c r="E45" s="88">
        <f>IF(E13=0,0,E13/TrAvia_act!E31*1000000)</f>
        <v>40011.518027398211</v>
      </c>
      <c r="F45" s="88">
        <f>IF(F13=0,0,F13/TrAvia_act!F31*1000000)</f>
        <v>41754.724836548594</v>
      </c>
      <c r="G45" s="88">
        <f>IF(G13=0,0,G13/TrAvia_act!G31*1000000)</f>
        <v>40682.127924271663</v>
      </c>
      <c r="H45" s="88">
        <f>IF(H13=0,0,H13/TrAvia_act!H31*1000000)</f>
        <v>43577.342466073918</v>
      </c>
      <c r="I45" s="88">
        <f>IF(I13=0,0,I13/TrAvia_act!I31*1000000)</f>
        <v>48432.193236964515</v>
      </c>
      <c r="J45" s="88">
        <f>IF(J13=0,0,J13/TrAvia_act!J31*1000000)</f>
        <v>48439.045114791465</v>
      </c>
      <c r="K45" s="88">
        <f>IF(K13=0,0,K13/TrAvia_act!K31*1000000)</f>
        <v>50509.866159709032</v>
      </c>
      <c r="L45" s="88">
        <f>IF(L13=0,0,L13/TrAvia_act!L31*1000000)</f>
        <v>51283.687197942556</v>
      </c>
      <c r="M45" s="88">
        <f>IF(M13=0,0,M13/TrAvia_act!M31*1000000)</f>
        <v>48030.187354015463</v>
      </c>
      <c r="N45" s="88">
        <f>IF(N13=0,0,N13/TrAvia_act!N31*1000000)</f>
        <v>46304.412675919368</v>
      </c>
      <c r="O45" s="88">
        <f>IF(O13=0,0,O13/TrAvia_act!O31*1000000)</f>
        <v>41382.152543133998</v>
      </c>
      <c r="P45" s="88">
        <f>IF(P13=0,0,P13/TrAvia_act!P31*1000000)</f>
        <v>37197.411372370909</v>
      </c>
      <c r="Q45" s="88">
        <f>IF(Q13=0,0,Q13/TrAvia_act!Q31*1000000)</f>
        <v>31608.475017754761</v>
      </c>
      <c r="R45" s="88">
        <f>IF(R13=0,0,R13/TrAvia_act!R31*1000000)</f>
        <v>26652.078805788839</v>
      </c>
      <c r="S45" s="88">
        <f>IF(S13=0,0,S13/TrAvia_act!S31*1000000)</f>
        <v>20099.050964525664</v>
      </c>
      <c r="T45" s="88">
        <f>IF(T13=0,0,T13/TrAvia_act!T31*1000000)</f>
        <v>13586.415822666102</v>
      </c>
      <c r="U45" s="88">
        <f>IF(U13=0,0,U13/TrAvia_act!U31*1000000)</f>
        <v>16055.613150514539</v>
      </c>
      <c r="V45" s="88">
        <f>IF(V13=0,0,V13/TrAvia_act!V31*1000000)</f>
        <v>17700.390914639527</v>
      </c>
      <c r="W45" s="88">
        <f>IF(W13=0,0,W13/TrAvia_act!W31*1000000)</f>
        <v>15958.957418930879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0.99062212697448759</v>
      </c>
      <c r="C48" s="16">
        <f t="shared" si="35"/>
        <v>0.99041815575820968</v>
      </c>
      <c r="D48" s="16">
        <f t="shared" ref="D48:V48" si="36">IF(D6=0,0,D6/D$3)</f>
        <v>0.98979070127666713</v>
      </c>
      <c r="E48" s="16">
        <f t="shared" si="36"/>
        <v>0.99211541922652358</v>
      </c>
      <c r="F48" s="16">
        <f t="shared" si="36"/>
        <v>0.99209645264855528</v>
      </c>
      <c r="G48" s="16">
        <f t="shared" si="36"/>
        <v>0.99132825574062289</v>
      </c>
      <c r="H48" s="16">
        <f t="shared" si="36"/>
        <v>0.98971434750297194</v>
      </c>
      <c r="I48" s="16">
        <f t="shared" si="36"/>
        <v>0.99026836434316667</v>
      </c>
      <c r="J48" s="16">
        <f t="shared" si="36"/>
        <v>0.92591545840593248</v>
      </c>
      <c r="K48" s="16">
        <f t="shared" si="36"/>
        <v>0.94031637714552652</v>
      </c>
      <c r="L48" s="16">
        <f t="shared" si="36"/>
        <v>0.93998275529803299</v>
      </c>
      <c r="M48" s="16">
        <f t="shared" si="36"/>
        <v>0.94407877078456814</v>
      </c>
      <c r="N48" s="16">
        <f t="shared" si="36"/>
        <v>0.94111913433398564</v>
      </c>
      <c r="O48" s="16">
        <f t="shared" si="36"/>
        <v>0.94948969662544602</v>
      </c>
      <c r="P48" s="16">
        <f t="shared" si="36"/>
        <v>0.9444617241432951</v>
      </c>
      <c r="Q48" s="16">
        <f t="shared" si="36"/>
        <v>0.94918329583351579</v>
      </c>
      <c r="R48" s="16">
        <f t="shared" si="36"/>
        <v>0.96252706071147309</v>
      </c>
      <c r="S48" s="16">
        <f t="shared" si="36"/>
        <v>0.96295722042122256</v>
      </c>
      <c r="T48" s="16">
        <f t="shared" si="36"/>
        <v>0.97358979876293461</v>
      </c>
      <c r="U48" s="16">
        <f t="shared" si="36"/>
        <v>0.96977342296131674</v>
      </c>
      <c r="V48" s="16">
        <f t="shared" si="36"/>
        <v>0.91535115631618946</v>
      </c>
      <c r="W48" s="16">
        <f t="shared" ref="W48" si="37">IF(W6=0,0,W6/W$3)</f>
        <v>0.90479417770483872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5.5965838323831625E-2</v>
      </c>
      <c r="C49" s="103">
        <f t="shared" si="38"/>
        <v>5.6283509896820384E-2</v>
      </c>
      <c r="D49" s="103">
        <f t="shared" ref="D49:V49" si="39">IF(D7=0,0,D7/D$3)</f>
        <v>5.3730761431084656E-2</v>
      </c>
      <c r="E49" s="103">
        <f t="shared" si="39"/>
        <v>5.069476255328613E-2</v>
      </c>
      <c r="F49" s="103">
        <f t="shared" si="39"/>
        <v>3.759317955362141E-2</v>
      </c>
      <c r="G49" s="103">
        <f t="shared" si="39"/>
        <v>3.8056421987411576E-2</v>
      </c>
      <c r="H49" s="103">
        <f t="shared" si="39"/>
        <v>4.0111512824700546E-2</v>
      </c>
      <c r="I49" s="103">
        <f t="shared" si="39"/>
        <v>4.5636375777383359E-2</v>
      </c>
      <c r="J49" s="103">
        <f t="shared" si="39"/>
        <v>4.7678440883789211E-2</v>
      </c>
      <c r="K49" s="103">
        <f t="shared" si="39"/>
        <v>5.4230976040400197E-2</v>
      </c>
      <c r="L49" s="103">
        <f t="shared" si="39"/>
        <v>5.4634011858474746E-2</v>
      </c>
      <c r="M49" s="103">
        <f t="shared" si="39"/>
        <v>5.107258072315056E-2</v>
      </c>
      <c r="N49" s="103">
        <f t="shared" si="39"/>
        <v>4.3835211485317389E-2</v>
      </c>
      <c r="O49" s="103">
        <f t="shared" si="39"/>
        <v>4.3107552850311655E-2</v>
      </c>
      <c r="P49" s="103">
        <f t="shared" si="39"/>
        <v>3.8882566945161026E-2</v>
      </c>
      <c r="Q49" s="103">
        <f t="shared" si="39"/>
        <v>3.6935312861583719E-2</v>
      </c>
      <c r="R49" s="103">
        <f t="shared" si="39"/>
        <v>3.5743688792955253E-2</v>
      </c>
      <c r="S49" s="103">
        <f t="shared" si="39"/>
        <v>3.3145262904331153E-2</v>
      </c>
      <c r="T49" s="103">
        <f t="shared" si="39"/>
        <v>3.0028033049662187E-2</v>
      </c>
      <c r="U49" s="103">
        <f t="shared" si="39"/>
        <v>2.9485663307394012E-2</v>
      </c>
      <c r="V49" s="103">
        <f t="shared" si="39"/>
        <v>4.871905972219407E-2</v>
      </c>
      <c r="W49" s="103">
        <f t="shared" ref="W49" si="40">IF(W7=0,0,W7/W$3)</f>
        <v>4.0931342626284443E-2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0.52681741770584301</v>
      </c>
      <c r="C50" s="103">
        <f t="shared" si="41"/>
        <v>0.5265171311822705</v>
      </c>
      <c r="D50" s="103">
        <f t="shared" ref="D50:V50" si="42">IF(D8=0,0,D8/D$3)</f>
        <v>0.55018033456552695</v>
      </c>
      <c r="E50" s="103">
        <f t="shared" si="42"/>
        <v>0.5605709349749185</v>
      </c>
      <c r="F50" s="103">
        <f t="shared" si="42"/>
        <v>0.54876973402322082</v>
      </c>
      <c r="G50" s="103">
        <f t="shared" si="42"/>
        <v>0.54560902532023636</v>
      </c>
      <c r="H50" s="103">
        <f t="shared" si="42"/>
        <v>0.54756600140446798</v>
      </c>
      <c r="I50" s="103">
        <f t="shared" si="42"/>
        <v>0.55097349748474822</v>
      </c>
      <c r="J50" s="103">
        <f t="shared" si="42"/>
        <v>0.51131294249837911</v>
      </c>
      <c r="K50" s="103">
        <f t="shared" si="42"/>
        <v>0.49876185967630371</v>
      </c>
      <c r="L50" s="103">
        <f t="shared" si="42"/>
        <v>0.49535844571448057</v>
      </c>
      <c r="M50" s="103">
        <f t="shared" si="42"/>
        <v>0.50181249324435739</v>
      </c>
      <c r="N50" s="103">
        <f t="shared" si="42"/>
        <v>0.50008671311857544</v>
      </c>
      <c r="O50" s="103">
        <f t="shared" si="42"/>
        <v>0.50668049307603791</v>
      </c>
      <c r="P50" s="103">
        <f t="shared" si="42"/>
        <v>0.50781892591758571</v>
      </c>
      <c r="Q50" s="103">
        <f t="shared" si="42"/>
        <v>0.51519658776242205</v>
      </c>
      <c r="R50" s="103">
        <f t="shared" si="42"/>
        <v>0.53879714441666016</v>
      </c>
      <c r="S50" s="103">
        <f t="shared" si="42"/>
        <v>0.54403594006068579</v>
      </c>
      <c r="T50" s="103">
        <f t="shared" si="42"/>
        <v>0.54744297789349805</v>
      </c>
      <c r="U50" s="103">
        <f t="shared" si="42"/>
        <v>0.53548263389754114</v>
      </c>
      <c r="V50" s="103">
        <f t="shared" si="42"/>
        <v>0.43087339646448791</v>
      </c>
      <c r="W50" s="103">
        <f t="shared" ref="W50" si="43">IF(W8=0,0,W8/W$3)</f>
        <v>0.45893895053074257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0.40783887094481314</v>
      </c>
      <c r="C51" s="103">
        <f t="shared" si="44"/>
        <v>0.40761751467911878</v>
      </c>
      <c r="D51" s="103">
        <f t="shared" ref="D51:V51" si="45">IF(D9=0,0,D9/D$3)</f>
        <v>0.38587960528005549</v>
      </c>
      <c r="E51" s="103">
        <f t="shared" si="45"/>
        <v>0.38084972169831882</v>
      </c>
      <c r="F51" s="103">
        <f t="shared" si="45"/>
        <v>0.40573353907171306</v>
      </c>
      <c r="G51" s="103">
        <f t="shared" si="45"/>
        <v>0.40766280843297498</v>
      </c>
      <c r="H51" s="103">
        <f t="shared" si="45"/>
        <v>0.40203683327380341</v>
      </c>
      <c r="I51" s="103">
        <f t="shared" si="45"/>
        <v>0.39365849108103507</v>
      </c>
      <c r="J51" s="103">
        <f t="shared" si="45"/>
        <v>0.36692407502376406</v>
      </c>
      <c r="K51" s="103">
        <f t="shared" si="45"/>
        <v>0.38732354142882258</v>
      </c>
      <c r="L51" s="103">
        <f t="shared" si="45"/>
        <v>0.38999029772507759</v>
      </c>
      <c r="M51" s="103">
        <f t="shared" si="45"/>
        <v>0.39119369681706012</v>
      </c>
      <c r="N51" s="103">
        <f t="shared" si="45"/>
        <v>0.39719720973009276</v>
      </c>
      <c r="O51" s="103">
        <f t="shared" si="45"/>
        <v>0.39970165069909641</v>
      </c>
      <c r="P51" s="103">
        <f t="shared" si="45"/>
        <v>0.39776023128054844</v>
      </c>
      <c r="Q51" s="103">
        <f t="shared" si="45"/>
        <v>0.39705139520951005</v>
      </c>
      <c r="R51" s="103">
        <f t="shared" si="45"/>
        <v>0.38798622750185763</v>
      </c>
      <c r="S51" s="103">
        <f t="shared" si="45"/>
        <v>0.38577601745620571</v>
      </c>
      <c r="T51" s="103">
        <f t="shared" si="45"/>
        <v>0.39611878781977455</v>
      </c>
      <c r="U51" s="103">
        <f t="shared" si="45"/>
        <v>0.40480512575638172</v>
      </c>
      <c r="V51" s="103">
        <f t="shared" si="45"/>
        <v>0.4357587001295074</v>
      </c>
      <c r="W51" s="103">
        <f t="shared" ref="W51" si="46">IF(W9=0,0,W9/W$3)</f>
        <v>0.4049238845478117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9.3778730255123337E-3</v>
      </c>
      <c r="C52" s="17">
        <f t="shared" si="47"/>
        <v>9.5818442417903351E-3</v>
      </c>
      <c r="D52" s="17">
        <f t="shared" ref="D52:V52" si="48">IF(D10=0,0,D10/D$3)</f>
        <v>1.0209298723332998E-2</v>
      </c>
      <c r="E52" s="17">
        <f t="shared" si="48"/>
        <v>7.8845807734765575E-3</v>
      </c>
      <c r="F52" s="17">
        <f t="shared" si="48"/>
        <v>7.9035473514446827E-3</v>
      </c>
      <c r="G52" s="17">
        <f t="shared" si="48"/>
        <v>8.6717442593770601E-3</v>
      </c>
      <c r="H52" s="17">
        <f t="shared" si="48"/>
        <v>1.0285652497028156E-2</v>
      </c>
      <c r="I52" s="17">
        <f t="shared" si="48"/>
        <v>9.7316356568332638E-3</v>
      </c>
      <c r="J52" s="17">
        <f t="shared" si="48"/>
        <v>7.4084541594067688E-2</v>
      </c>
      <c r="K52" s="17">
        <f t="shared" si="48"/>
        <v>5.9683622854473407E-2</v>
      </c>
      <c r="L52" s="17">
        <f t="shared" si="48"/>
        <v>6.0017244701967079E-2</v>
      </c>
      <c r="M52" s="17">
        <f t="shared" si="48"/>
        <v>5.5921229215431745E-2</v>
      </c>
      <c r="N52" s="17">
        <f t="shared" si="48"/>
        <v>5.8880865666014484E-2</v>
      </c>
      <c r="O52" s="17">
        <f t="shared" si="48"/>
        <v>5.0510303374554172E-2</v>
      </c>
      <c r="P52" s="17">
        <f t="shared" si="48"/>
        <v>5.5538275856704802E-2</v>
      </c>
      <c r="Q52" s="17">
        <f t="shared" si="48"/>
        <v>5.0816704166484199E-2</v>
      </c>
      <c r="R52" s="17">
        <f t="shared" si="48"/>
        <v>3.7472939288526949E-2</v>
      </c>
      <c r="S52" s="17">
        <f t="shared" si="48"/>
        <v>3.7042779578777371E-2</v>
      </c>
      <c r="T52" s="17">
        <f t="shared" si="48"/>
        <v>2.6410201237065372E-2</v>
      </c>
      <c r="U52" s="17">
        <f t="shared" si="48"/>
        <v>3.0226577038683325E-2</v>
      </c>
      <c r="V52" s="17">
        <f t="shared" si="48"/>
        <v>8.4648843683810399E-2</v>
      </c>
      <c r="W52" s="17">
        <f t="shared" ref="W52" si="49">IF(W10=0,0,W10/W$3)</f>
        <v>9.5205822295161363E-2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3.0036592320562921E-4</v>
      </c>
      <c r="C53" s="104">
        <f t="shared" si="50"/>
        <v>3.1296344436045873E-4</v>
      </c>
      <c r="D53" s="104">
        <f t="shared" ref="D53:V53" si="51">IF(D11=0,0,D11/D$3)</f>
        <v>2.644756213046075E-4</v>
      </c>
      <c r="E53" s="104">
        <f t="shared" si="51"/>
        <v>1.472905858439385E-4</v>
      </c>
      <c r="F53" s="104">
        <f t="shared" si="51"/>
        <v>8.9701829818471018E-5</v>
      </c>
      <c r="G53" s="104">
        <f t="shared" si="51"/>
        <v>1.0883738578290812E-4</v>
      </c>
      <c r="H53" s="104">
        <f t="shared" si="51"/>
        <v>1.3355916750389945E-4</v>
      </c>
      <c r="I53" s="104">
        <f t="shared" si="51"/>
        <v>1.3721286114094341E-4</v>
      </c>
      <c r="J53" s="104">
        <f t="shared" si="51"/>
        <v>2.7376688752224872E-4</v>
      </c>
      <c r="K53" s="104">
        <f t="shared" si="51"/>
        <v>2.8491705999075616E-4</v>
      </c>
      <c r="L53" s="104">
        <f t="shared" si="51"/>
        <v>1.1850772756652777E-4</v>
      </c>
      <c r="M53" s="104">
        <f t="shared" si="51"/>
        <v>6.4839081109671002E-5</v>
      </c>
      <c r="N53" s="104">
        <f t="shared" si="51"/>
        <v>6.3506149505897542E-5</v>
      </c>
      <c r="O53" s="104">
        <f t="shared" si="51"/>
        <v>6.5890308286681794E-5</v>
      </c>
      <c r="P53" s="104">
        <f t="shared" si="51"/>
        <v>5.6952524598710385E-5</v>
      </c>
      <c r="Q53" s="104">
        <f t="shared" si="51"/>
        <v>4.785548861188169E-5</v>
      </c>
      <c r="R53" s="104">
        <f t="shared" si="51"/>
        <v>1.0606348514555543E-5</v>
      </c>
      <c r="S53" s="104">
        <f t="shared" si="51"/>
        <v>1.6963272968252223E-5</v>
      </c>
      <c r="T53" s="104">
        <f t="shared" si="51"/>
        <v>2.0513949071209214E-5</v>
      </c>
      <c r="U53" s="104">
        <f t="shared" si="51"/>
        <v>1.6856554346043636E-5</v>
      </c>
      <c r="V53" s="104">
        <f t="shared" si="51"/>
        <v>6.4641647553767789E-5</v>
      </c>
      <c r="W53" s="104">
        <f t="shared" ref="W53" si="52">IF(W11=0,0,W11/W$3)</f>
        <v>8.5599070092492335E-5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8.2307840855701479E-3</v>
      </c>
      <c r="C54" s="104">
        <f t="shared" si="53"/>
        <v>8.3904847694273935E-3</v>
      </c>
      <c r="D54" s="104">
        <f t="shared" ref="D54:V54" si="54">IF(D12=0,0,D12/D$3)</f>
        <v>8.8065077215619715E-3</v>
      </c>
      <c r="E54" s="104">
        <f t="shared" si="54"/>
        <v>6.4677405461472087E-3</v>
      </c>
      <c r="F54" s="104">
        <f t="shared" si="54"/>
        <v>6.6419226120655855E-3</v>
      </c>
      <c r="G54" s="104">
        <f t="shared" si="54"/>
        <v>7.7933883831377395E-3</v>
      </c>
      <c r="H54" s="104">
        <f t="shared" si="54"/>
        <v>9.7664218030966577E-3</v>
      </c>
      <c r="I54" s="104">
        <f t="shared" si="54"/>
        <v>9.1261974461267475E-3</v>
      </c>
      <c r="J54" s="104">
        <f t="shared" si="54"/>
        <v>1.8925819319638611E-2</v>
      </c>
      <c r="K54" s="104">
        <f t="shared" si="54"/>
        <v>1.3803803914836758E-2</v>
      </c>
      <c r="L54" s="104">
        <f t="shared" si="54"/>
        <v>8.9782482847466667E-3</v>
      </c>
      <c r="M54" s="104">
        <f t="shared" si="54"/>
        <v>8.5291892571549219E-3</v>
      </c>
      <c r="N54" s="104">
        <f t="shared" si="54"/>
        <v>7.5364266668382276E-3</v>
      </c>
      <c r="O54" s="104">
        <f t="shared" si="54"/>
        <v>6.2692564492747918E-3</v>
      </c>
      <c r="P54" s="104">
        <f t="shared" si="54"/>
        <v>9.683958110733094E-3</v>
      </c>
      <c r="Q54" s="104">
        <f t="shared" si="54"/>
        <v>9.7311119788182285E-3</v>
      </c>
      <c r="R54" s="104">
        <f t="shared" si="54"/>
        <v>7.3820498488942326E-3</v>
      </c>
      <c r="S54" s="104">
        <f t="shared" si="54"/>
        <v>8.8313157326317341E-3</v>
      </c>
      <c r="T54" s="104">
        <f t="shared" si="54"/>
        <v>8.6078915722270603E-3</v>
      </c>
      <c r="U54" s="104">
        <f t="shared" si="54"/>
        <v>9.7468987028151623E-3</v>
      </c>
      <c r="V54" s="104">
        <f t="shared" si="54"/>
        <v>2.8618257500927669E-2</v>
      </c>
      <c r="W54" s="104">
        <f t="shared" ref="W54" si="55">IF(W12=0,0,W12/W$3)</f>
        <v>3.2737391849313166E-2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8.4672301673655622E-4</v>
      </c>
      <c r="C55" s="105">
        <f t="shared" si="56"/>
        <v>8.7839602800248199E-4</v>
      </c>
      <c r="D55" s="105">
        <f t="shared" ref="D55:V55" si="57">IF(D13=0,0,D13/D$3)</f>
        <v>1.1383153804664196E-3</v>
      </c>
      <c r="E55" s="105">
        <f t="shared" si="57"/>
        <v>1.2695496414854106E-3</v>
      </c>
      <c r="F55" s="105">
        <f t="shared" si="57"/>
        <v>1.1719229095606266E-3</v>
      </c>
      <c r="G55" s="105">
        <f t="shared" si="57"/>
        <v>7.6951849045641286E-4</v>
      </c>
      <c r="H55" s="105">
        <f t="shared" si="57"/>
        <v>3.8567152642759864E-4</v>
      </c>
      <c r="I55" s="105">
        <f t="shared" si="57"/>
        <v>4.6822534956557246E-4</v>
      </c>
      <c r="J55" s="105">
        <f t="shared" si="57"/>
        <v>5.4884955386906832E-2</v>
      </c>
      <c r="K55" s="105">
        <f t="shared" si="57"/>
        <v>4.5594901879645891E-2</v>
      </c>
      <c r="L55" s="105">
        <f t="shared" si="57"/>
        <v>5.0920488689653882E-2</v>
      </c>
      <c r="M55" s="105">
        <f t="shared" si="57"/>
        <v>4.7327200877167144E-2</v>
      </c>
      <c r="N55" s="105">
        <f t="shared" si="57"/>
        <v>5.1280932849670356E-2</v>
      </c>
      <c r="O55" s="105">
        <f t="shared" si="57"/>
        <v>4.4175156616992707E-2</v>
      </c>
      <c r="P55" s="105">
        <f t="shared" si="57"/>
        <v>4.5797365221372996E-2</v>
      </c>
      <c r="Q55" s="105">
        <f t="shared" si="57"/>
        <v>4.1037736699054084E-2</v>
      </c>
      <c r="R55" s="105">
        <f t="shared" si="57"/>
        <v>3.0080283091118157E-2</v>
      </c>
      <c r="S55" s="105">
        <f t="shared" si="57"/>
        <v>2.8194500573177388E-2</v>
      </c>
      <c r="T55" s="105">
        <f t="shared" si="57"/>
        <v>1.7781795715767101E-2</v>
      </c>
      <c r="U55" s="105">
        <f t="shared" si="57"/>
        <v>2.046282178152212E-2</v>
      </c>
      <c r="V55" s="105">
        <f t="shared" si="57"/>
        <v>5.5965944535328958E-2</v>
      </c>
      <c r="W55" s="105">
        <f t="shared" ref="W55" si="58">IF(W13=0,0,W13/W$3)</f>
        <v>6.2382831375755704E-2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465.71776090558387</v>
      </c>
      <c r="C57" s="62">
        <v>465.79020102605836</v>
      </c>
      <c r="D57" s="62">
        <v>462.02377593683889</v>
      </c>
      <c r="E57" s="62">
        <v>463.57129116191129</v>
      </c>
      <c r="F57" s="62">
        <v>472.70828822206306</v>
      </c>
      <c r="G57" s="62">
        <v>479.17742121558319</v>
      </c>
      <c r="H57" s="62">
        <v>499.96223189176243</v>
      </c>
      <c r="I57" s="62">
        <v>486.5200031705063</v>
      </c>
      <c r="J57" s="62">
        <v>484.5412249928462</v>
      </c>
      <c r="K57" s="62">
        <v>486.82561444460487</v>
      </c>
      <c r="L57" s="62">
        <v>486.68199817530405</v>
      </c>
      <c r="M57" s="62">
        <v>489.4484326451518</v>
      </c>
      <c r="N57" s="62">
        <v>491.00828866083924</v>
      </c>
      <c r="O57" s="62">
        <v>487.86006162550262</v>
      </c>
      <c r="P57" s="62">
        <v>500.11546070438231</v>
      </c>
      <c r="Q57" s="62">
        <v>504.90038887393803</v>
      </c>
      <c r="R57" s="62">
        <v>504.13378801068569</v>
      </c>
      <c r="S57" s="62">
        <v>495.51908867696687</v>
      </c>
      <c r="T57" s="62">
        <v>479.39614240140662</v>
      </c>
      <c r="U57" s="62">
        <v>484.54917125937783</v>
      </c>
      <c r="V57" s="62">
        <v>497.81762176574972</v>
      </c>
      <c r="W57" s="62">
        <v>492.62841075645639</v>
      </c>
      <c r="DA57" s="172" t="s">
        <v>313</v>
      </c>
    </row>
    <row r="58" spans="1:105" ht="11.45" customHeight="1" x14ac:dyDescent="0.25">
      <c r="A58" s="10" t="s">
        <v>33</v>
      </c>
      <c r="B58" s="14">
        <v>466.57477176339779</v>
      </c>
      <c r="C58" s="14">
        <v>466.66309884363926</v>
      </c>
      <c r="D58" s="14">
        <v>462.83360279160723</v>
      </c>
      <c r="E58" s="14">
        <v>464.08753498737235</v>
      </c>
      <c r="F58" s="14">
        <v>473.3402611043274</v>
      </c>
      <c r="G58" s="14">
        <v>480.10402053390948</v>
      </c>
      <c r="H58" s="14">
        <v>501.47984593529242</v>
      </c>
      <c r="I58" s="14">
        <v>487.75187821444803</v>
      </c>
      <c r="J58" s="14">
        <v>475.75081635261978</v>
      </c>
      <c r="K58" s="14">
        <v>479.15659644961386</v>
      </c>
      <c r="L58" s="14">
        <v>476.78781238310251</v>
      </c>
      <c r="M58" s="14">
        <v>480.22906721242111</v>
      </c>
      <c r="N58" s="14">
        <v>480.51381483467776</v>
      </c>
      <c r="O58" s="14">
        <v>478.91058818298455</v>
      </c>
      <c r="P58" s="14">
        <v>490.46319213234881</v>
      </c>
      <c r="Q58" s="14">
        <v>495.96629821173423</v>
      </c>
      <c r="R58" s="14">
        <v>497.86330530688025</v>
      </c>
      <c r="S58" s="14">
        <v>492.03452283654019</v>
      </c>
      <c r="T58" s="14">
        <v>479.05789928868569</v>
      </c>
      <c r="U58" s="14">
        <v>483.83692375509878</v>
      </c>
      <c r="V58" s="14">
        <v>497.53536384543588</v>
      </c>
      <c r="W58" s="14">
        <v>493.30880074840184</v>
      </c>
      <c r="DA58" s="189" t="s">
        <v>314</v>
      </c>
    </row>
    <row r="59" spans="1:105" ht="11.45" customHeight="1" x14ac:dyDescent="0.25">
      <c r="A59" s="83" t="s">
        <v>27</v>
      </c>
      <c r="B59" s="87">
        <v>844.03883026374388</v>
      </c>
      <c r="C59" s="87">
        <v>844.03883026374388</v>
      </c>
      <c r="D59" s="87">
        <v>844.03883026374399</v>
      </c>
      <c r="E59" s="87">
        <v>844.03883026374388</v>
      </c>
      <c r="F59" s="87">
        <v>844.0388302637441</v>
      </c>
      <c r="G59" s="87">
        <v>873.96341752956926</v>
      </c>
      <c r="H59" s="87">
        <v>868.63460023618791</v>
      </c>
      <c r="I59" s="87">
        <v>856.03039525081897</v>
      </c>
      <c r="J59" s="87">
        <v>837.51954080944984</v>
      </c>
      <c r="K59" s="87">
        <v>828.11383200591854</v>
      </c>
      <c r="L59" s="87">
        <v>838.68258054955879</v>
      </c>
      <c r="M59" s="87">
        <v>879.8330996993484</v>
      </c>
      <c r="N59" s="87">
        <v>898.84691700079236</v>
      </c>
      <c r="O59" s="87">
        <v>901.5929606440169</v>
      </c>
      <c r="P59" s="87">
        <v>905.03551446273821</v>
      </c>
      <c r="Q59" s="87">
        <v>903.72128576209718</v>
      </c>
      <c r="R59" s="87">
        <v>889.55609018200005</v>
      </c>
      <c r="S59" s="87">
        <v>877.65505351682771</v>
      </c>
      <c r="T59" s="87">
        <v>869.52700697691398</v>
      </c>
      <c r="U59" s="87">
        <v>871.01049292602795</v>
      </c>
      <c r="V59" s="87">
        <v>875.59057077731427</v>
      </c>
      <c r="W59" s="87">
        <v>851.39808124414105</v>
      </c>
      <c r="DA59" s="171" t="s">
        <v>315</v>
      </c>
    </row>
    <row r="60" spans="1:105" ht="11.45" customHeight="1" x14ac:dyDescent="0.25">
      <c r="A60" s="83" t="s">
        <v>173</v>
      </c>
      <c r="B60" s="87">
        <v>367.30309142192556</v>
      </c>
      <c r="C60" s="87">
        <v>367.30311952859495</v>
      </c>
      <c r="D60" s="87">
        <v>367.38943436165351</v>
      </c>
      <c r="E60" s="87">
        <v>367.06371253085985</v>
      </c>
      <c r="F60" s="87">
        <v>366.96012406039944</v>
      </c>
      <c r="G60" s="87">
        <v>365.98795963493478</v>
      </c>
      <c r="H60" s="87">
        <v>365.19017844642599</v>
      </c>
      <c r="I60" s="87">
        <v>364.62453680815554</v>
      </c>
      <c r="J60" s="87">
        <v>367.05172344161605</v>
      </c>
      <c r="K60" s="87">
        <v>362.76883580994308</v>
      </c>
      <c r="L60" s="87">
        <v>361.99810714230699</v>
      </c>
      <c r="M60" s="87">
        <v>365.8945712167062</v>
      </c>
      <c r="N60" s="87">
        <v>368.75616262304453</v>
      </c>
      <c r="O60" s="87">
        <v>367.19188397550346</v>
      </c>
      <c r="P60" s="87">
        <v>368.62776442358523</v>
      </c>
      <c r="Q60" s="87">
        <v>369.85423358400539</v>
      </c>
      <c r="R60" s="87">
        <v>365.68629368883404</v>
      </c>
      <c r="S60" s="87">
        <v>363.68459967418033</v>
      </c>
      <c r="T60" s="87">
        <v>363.24161407796726</v>
      </c>
      <c r="U60" s="87">
        <v>363.64243965236898</v>
      </c>
      <c r="V60" s="87">
        <v>370.42698514283711</v>
      </c>
      <c r="W60" s="87">
        <v>357.55320186775714</v>
      </c>
      <c r="DA60" s="171" t="s">
        <v>316</v>
      </c>
    </row>
    <row r="61" spans="1:105" ht="11.45" customHeight="1" x14ac:dyDescent="0.25">
      <c r="A61" s="83" t="s">
        <v>174</v>
      </c>
      <c r="B61" s="87">
        <v>675.1185935823529</v>
      </c>
      <c r="C61" s="87">
        <v>675.1185935823529</v>
      </c>
      <c r="D61" s="87">
        <v>675.11859358235301</v>
      </c>
      <c r="E61" s="87">
        <v>675.1185935823529</v>
      </c>
      <c r="F61" s="87">
        <v>675.1185935823529</v>
      </c>
      <c r="G61" s="87">
        <v>684.02954603949092</v>
      </c>
      <c r="H61" s="87">
        <v>767.18833465662499</v>
      </c>
      <c r="I61" s="87">
        <v>722.49786282643788</v>
      </c>
      <c r="J61" s="87">
        <v>670.3388473966985</v>
      </c>
      <c r="K61" s="87">
        <v>685.14168307209513</v>
      </c>
      <c r="L61" s="87">
        <v>661.3476899457545</v>
      </c>
      <c r="M61" s="87">
        <v>645.61798075948343</v>
      </c>
      <c r="N61" s="87">
        <v>654.17835201909259</v>
      </c>
      <c r="O61" s="87">
        <v>655.3708668457914</v>
      </c>
      <c r="P61" s="87">
        <v>668.18231761667175</v>
      </c>
      <c r="Q61" s="87">
        <v>681.62682862685574</v>
      </c>
      <c r="R61" s="87">
        <v>711.17231114615947</v>
      </c>
      <c r="S61" s="87">
        <v>704.24552256858465</v>
      </c>
      <c r="T61" s="87">
        <v>656.88802248156037</v>
      </c>
      <c r="U61" s="87">
        <v>656.82497278984272</v>
      </c>
      <c r="V61" s="87">
        <v>647.74862267492222</v>
      </c>
      <c r="W61" s="87">
        <v>660.99970856923358</v>
      </c>
      <c r="DA61" s="171" t="s">
        <v>317</v>
      </c>
    </row>
    <row r="62" spans="1:105" ht="11.45" customHeight="1" x14ac:dyDescent="0.25">
      <c r="A62" s="12" t="s">
        <v>34</v>
      </c>
      <c r="B62" s="15">
        <v>388.43492777651034</v>
      </c>
      <c r="C62" s="15">
        <v>388.67319063035529</v>
      </c>
      <c r="D62" s="15">
        <v>393.14402069122957</v>
      </c>
      <c r="E62" s="15">
        <v>404.55084269990897</v>
      </c>
      <c r="F62" s="15">
        <v>400.79982509018782</v>
      </c>
      <c r="G62" s="15">
        <v>385.95588645829957</v>
      </c>
      <c r="H62" s="15">
        <v>374.53824820007918</v>
      </c>
      <c r="I62" s="15">
        <v>377.95359480844479</v>
      </c>
      <c r="J62" s="15">
        <v>628.6279517484088</v>
      </c>
      <c r="K62" s="15">
        <v>647.69943466734833</v>
      </c>
      <c r="L62" s="15">
        <v>711.60701930007554</v>
      </c>
      <c r="M62" s="15">
        <v>706.89514979685248</v>
      </c>
      <c r="N62" s="15">
        <v>719.16837942955533</v>
      </c>
      <c r="O62" s="15">
        <v>718.91393466722207</v>
      </c>
      <c r="P62" s="15">
        <v>711.14137465964984</v>
      </c>
      <c r="Q62" s="15">
        <v>715.62047791380269</v>
      </c>
      <c r="R62" s="15">
        <v>694.62803856817811</v>
      </c>
      <c r="S62" s="15">
        <v>589.09320835583435</v>
      </c>
      <c r="T62" s="15">
        <v>490.86473246576372</v>
      </c>
      <c r="U62" s="15">
        <v>505.88426166835984</v>
      </c>
      <c r="V62" s="15">
        <v>500.85600056471088</v>
      </c>
      <c r="W62" s="15">
        <v>486.69832963782176</v>
      </c>
      <c r="DA62" s="193" t="s">
        <v>318</v>
      </c>
    </row>
    <row r="63" spans="1:105" ht="11.45" customHeight="1" x14ac:dyDescent="0.25">
      <c r="A63" s="92" t="s">
        <v>27</v>
      </c>
      <c r="B63" s="101">
        <v>721.31846151544869</v>
      </c>
      <c r="C63" s="101">
        <v>721.3184615154488</v>
      </c>
      <c r="D63" s="101">
        <v>721.3184615154488</v>
      </c>
      <c r="E63" s="101">
        <v>721.3184615154488</v>
      </c>
      <c r="F63" s="101">
        <v>721.31846151544869</v>
      </c>
      <c r="G63" s="101">
        <v>741.55972419249031</v>
      </c>
      <c r="H63" s="101">
        <v>823.69357948133268</v>
      </c>
      <c r="I63" s="101">
        <v>922.85655563736145</v>
      </c>
      <c r="J63" s="101">
        <v>1044.6332780239341</v>
      </c>
      <c r="K63" s="101">
        <v>1230.7547590195848</v>
      </c>
      <c r="L63" s="101">
        <v>1592.8728951687915</v>
      </c>
      <c r="M63" s="101">
        <v>1766.9596058717368</v>
      </c>
      <c r="N63" s="101">
        <v>1846.7229664801318</v>
      </c>
      <c r="O63" s="101">
        <v>1708.5977154572563</v>
      </c>
      <c r="P63" s="101">
        <v>1593.47624756299</v>
      </c>
      <c r="Q63" s="101">
        <v>1479.4822116485848</v>
      </c>
      <c r="R63" s="101">
        <v>1348.7153940273499</v>
      </c>
      <c r="S63" s="101">
        <v>1244.9739743294474</v>
      </c>
      <c r="T63" s="101">
        <v>1164.1869197549522</v>
      </c>
      <c r="U63" s="101">
        <v>922.67171966602245</v>
      </c>
      <c r="V63" s="101">
        <v>927.80802524972421</v>
      </c>
      <c r="W63" s="101">
        <v>900.71258095301016</v>
      </c>
      <c r="DA63" s="175" t="s">
        <v>319</v>
      </c>
    </row>
    <row r="64" spans="1:105" ht="11.45" customHeight="1" x14ac:dyDescent="0.25">
      <c r="A64" s="92" t="s">
        <v>173</v>
      </c>
      <c r="B64" s="101">
        <v>370.18920687511297</v>
      </c>
      <c r="C64" s="101">
        <v>370.1195173764558</v>
      </c>
      <c r="D64" s="101">
        <v>370.53236062696641</v>
      </c>
      <c r="E64" s="101">
        <v>371.36842962552277</v>
      </c>
      <c r="F64" s="101">
        <v>370.64188231414619</v>
      </c>
      <c r="G64" s="101">
        <v>366.79133940136342</v>
      </c>
      <c r="H64" s="101">
        <v>365.13511318185442</v>
      </c>
      <c r="I64" s="101">
        <v>366.26415409973026</v>
      </c>
      <c r="J64" s="101">
        <v>381.69224629220366</v>
      </c>
      <c r="K64" s="101">
        <v>375.06023475924229</v>
      </c>
      <c r="L64" s="101">
        <v>379.61864549076898</v>
      </c>
      <c r="M64" s="101">
        <v>381.94789016843316</v>
      </c>
      <c r="N64" s="101">
        <v>381.79619548176896</v>
      </c>
      <c r="O64" s="101">
        <v>389.42859251553045</v>
      </c>
      <c r="P64" s="101">
        <v>398.71707109580058</v>
      </c>
      <c r="Q64" s="101">
        <v>410.11534515722809</v>
      </c>
      <c r="R64" s="101">
        <v>407.7407811242216</v>
      </c>
      <c r="S64" s="101">
        <v>405.22502900056156</v>
      </c>
      <c r="T64" s="101">
        <v>409.42209124497828</v>
      </c>
      <c r="U64" s="101">
        <v>405.77202315268772</v>
      </c>
      <c r="V64" s="101">
        <v>431.96514370605792</v>
      </c>
      <c r="W64" s="101">
        <v>374.18376124984195</v>
      </c>
      <c r="DA64" s="175" t="s">
        <v>320</v>
      </c>
    </row>
    <row r="65" spans="1:105" ht="11.45" customHeight="1" x14ac:dyDescent="0.25">
      <c r="A65" s="85" t="s">
        <v>174</v>
      </c>
      <c r="B65" s="88">
        <v>725.32965573144554</v>
      </c>
      <c r="C65" s="88">
        <v>725.32965573144565</v>
      </c>
      <c r="D65" s="88">
        <v>725.32965573144565</v>
      </c>
      <c r="E65" s="88">
        <v>725.32965573144554</v>
      </c>
      <c r="F65" s="88">
        <v>725.32965573144554</v>
      </c>
      <c r="G65" s="88">
        <v>727.53163790524331</v>
      </c>
      <c r="H65" s="88">
        <v>766.41683494372842</v>
      </c>
      <c r="I65" s="88">
        <v>778.03134477131755</v>
      </c>
      <c r="J65" s="88">
        <v>787.13688722496704</v>
      </c>
      <c r="K65" s="88">
        <v>811.1829981994083</v>
      </c>
      <c r="L65" s="88">
        <v>826.36069672686415</v>
      </c>
      <c r="M65" s="88">
        <v>813.10418395657553</v>
      </c>
      <c r="N65" s="88">
        <v>805.59134666764328</v>
      </c>
      <c r="O65" s="88">
        <v>799.7555363215821</v>
      </c>
      <c r="P65" s="88">
        <v>810.95360280523448</v>
      </c>
      <c r="Q65" s="88">
        <v>817.95376945272312</v>
      </c>
      <c r="R65" s="88">
        <v>784.22141903818033</v>
      </c>
      <c r="S65" s="88">
        <v>650.68426514307237</v>
      </c>
      <c r="T65" s="88">
        <v>525.4780450942377</v>
      </c>
      <c r="U65" s="88">
        <v>548.50106310216427</v>
      </c>
      <c r="V65" s="88">
        <v>541.57031074739689</v>
      </c>
      <c r="W65" s="88">
        <v>551.69189393029853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1.0952835442451219</v>
      </c>
      <c r="C67" s="59">
        <f t="shared" ref="C67:W67" si="60">IF(C3=0,0,C17/C57)</f>
        <v>1.0938783774528229</v>
      </c>
      <c r="D67" s="59">
        <f t="shared" si="60"/>
        <v>1.0447711103131943</v>
      </c>
      <c r="E67" s="59">
        <f t="shared" si="60"/>
        <v>1.0834543230021021</v>
      </c>
      <c r="F67" s="59">
        <f t="shared" si="60"/>
        <v>1.094600351442873</v>
      </c>
      <c r="G67" s="59">
        <f t="shared" si="60"/>
        <v>1.1228905847859036</v>
      </c>
      <c r="H67" s="59">
        <f t="shared" si="60"/>
        <v>1.1107904236248221</v>
      </c>
      <c r="I67" s="59">
        <f t="shared" si="60"/>
        <v>1.168098776213774</v>
      </c>
      <c r="J67" s="59">
        <f t="shared" si="60"/>
        <v>1.0902172129831103</v>
      </c>
      <c r="K67" s="59">
        <f t="shared" si="60"/>
        <v>1.0496366666585693</v>
      </c>
      <c r="L67" s="59">
        <f t="shared" si="60"/>
        <v>1.024311412086591</v>
      </c>
      <c r="M67" s="59">
        <f t="shared" si="60"/>
        <v>1.0173698992355316</v>
      </c>
      <c r="N67" s="59">
        <f t="shared" si="60"/>
        <v>1.0262569940654491</v>
      </c>
      <c r="O67" s="59">
        <f t="shared" si="60"/>
        <v>1.0030698824948403</v>
      </c>
      <c r="P67" s="59">
        <f t="shared" si="60"/>
        <v>1.0277416858229422</v>
      </c>
      <c r="Q67" s="59">
        <f t="shared" si="60"/>
        <v>0.97954439016767025</v>
      </c>
      <c r="R67" s="59">
        <f t="shared" si="60"/>
        <v>0.99070157977315421</v>
      </c>
      <c r="S67" s="59">
        <f t="shared" si="60"/>
        <v>1.0351705453105342</v>
      </c>
      <c r="T67" s="59">
        <f t="shared" si="60"/>
        <v>1.0624647740148536</v>
      </c>
      <c r="U67" s="59">
        <f t="shared" si="60"/>
        <v>1.0800853131449721</v>
      </c>
      <c r="V67" s="59">
        <f t="shared" si="60"/>
        <v>1.0098305884410643</v>
      </c>
      <c r="W67" s="59">
        <f t="shared" si="60"/>
        <v>0.99242352139298717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1.0952800670281879</v>
      </c>
      <c r="C68" s="23">
        <f t="shared" ref="C68:W68" si="62">IF(C6=0,0,C18/C58)</f>
        <v>1.093871907745918</v>
      </c>
      <c r="D68" s="23">
        <f t="shared" si="62"/>
        <v>1.0446799319073912</v>
      </c>
      <c r="E68" s="23">
        <f t="shared" si="62"/>
        <v>1.0832894535416409</v>
      </c>
      <c r="F68" s="23">
        <f t="shared" si="62"/>
        <v>1.0942163553158497</v>
      </c>
      <c r="G68" s="23">
        <f t="shared" si="62"/>
        <v>1.1222613133014627</v>
      </c>
      <c r="H68" s="23">
        <f t="shared" si="62"/>
        <v>1.109525389792243</v>
      </c>
      <c r="I68" s="23">
        <f t="shared" si="62"/>
        <v>1.1670929715832965</v>
      </c>
      <c r="J68" s="23">
        <f t="shared" si="62"/>
        <v>1.0911151360825553</v>
      </c>
      <c r="K68" s="23">
        <f t="shared" si="62"/>
        <v>1.0508156254603307</v>
      </c>
      <c r="L68" s="23">
        <f t="shared" si="62"/>
        <v>1.0261203197721747</v>
      </c>
      <c r="M68" s="23">
        <f t="shared" si="62"/>
        <v>1.0204576242126837</v>
      </c>
      <c r="N68" s="23">
        <f t="shared" si="62"/>
        <v>1.0323475133546369</v>
      </c>
      <c r="O68" s="23">
        <f t="shared" si="62"/>
        <v>1.0078145220156303</v>
      </c>
      <c r="P68" s="23">
        <f t="shared" si="62"/>
        <v>1.0350726296915655</v>
      </c>
      <c r="Q68" s="23">
        <f t="shared" si="62"/>
        <v>0.98667758950047857</v>
      </c>
      <c r="R68" s="23">
        <f t="shared" si="62"/>
        <v>0.99737899361972315</v>
      </c>
      <c r="S68" s="23">
        <f t="shared" si="62"/>
        <v>1.041281912422608</v>
      </c>
      <c r="T68" s="23">
        <f t="shared" si="62"/>
        <v>1.0656835946218119</v>
      </c>
      <c r="U68" s="23">
        <f t="shared" si="62"/>
        <v>1.0840191594382984</v>
      </c>
      <c r="V68" s="23">
        <f t="shared" si="62"/>
        <v>1.0108664163562255</v>
      </c>
      <c r="W68" s="23">
        <f t="shared" si="62"/>
        <v>0.99968487058249267</v>
      </c>
      <c r="DA68" s="189"/>
    </row>
    <row r="69" spans="1:105" ht="11.45" customHeight="1" x14ac:dyDescent="0.25">
      <c r="A69" s="83" t="s">
        <v>27</v>
      </c>
      <c r="B69" s="91">
        <f t="shared" si="61"/>
        <v>0.9268199799204998</v>
      </c>
      <c r="C69" s="91">
        <f t="shared" ref="C69:W69" si="63">IF(C7=0,0,C19/C59)</f>
        <v>0.92570219392988873</v>
      </c>
      <c r="D69" s="91">
        <f t="shared" si="63"/>
        <v>0.74620821249175007</v>
      </c>
      <c r="E69" s="91">
        <f t="shared" si="63"/>
        <v>0.61118252819212338</v>
      </c>
      <c r="F69" s="91">
        <f t="shared" si="63"/>
        <v>0.37871367990946603</v>
      </c>
      <c r="G69" s="91">
        <f t="shared" si="63"/>
        <v>0.41527560787426138</v>
      </c>
      <c r="H69" s="91">
        <f t="shared" si="63"/>
        <v>0.44360402331785836</v>
      </c>
      <c r="I69" s="91">
        <f t="shared" si="63"/>
        <v>0.51580974438870397</v>
      </c>
      <c r="J69" s="91">
        <f t="shared" si="63"/>
        <v>0.51633185847010765</v>
      </c>
      <c r="K69" s="91">
        <f t="shared" si="63"/>
        <v>0.55454774931313766</v>
      </c>
      <c r="L69" s="91">
        <f t="shared" si="63"/>
        <v>0.52975937677205154</v>
      </c>
      <c r="M69" s="91">
        <f t="shared" si="63"/>
        <v>0.50621519412483074</v>
      </c>
      <c r="N69" s="91">
        <f t="shared" si="63"/>
        <v>0.61822270215079222</v>
      </c>
      <c r="O69" s="91">
        <f t="shared" si="63"/>
        <v>0.57342770608627913</v>
      </c>
      <c r="P69" s="91">
        <f t="shared" si="63"/>
        <v>0.53112666266764796</v>
      </c>
      <c r="Q69" s="91">
        <f t="shared" si="63"/>
        <v>0.49675084084706195</v>
      </c>
      <c r="R69" s="91">
        <f t="shared" si="63"/>
        <v>0.51116464819154661</v>
      </c>
      <c r="S69" s="91">
        <f t="shared" si="63"/>
        <v>0.50967809874384296</v>
      </c>
      <c r="T69" s="91">
        <f t="shared" si="63"/>
        <v>0.49980265154353148</v>
      </c>
      <c r="U69" s="91">
        <f t="shared" si="63"/>
        <v>0.51253352994260437</v>
      </c>
      <c r="V69" s="91">
        <f t="shared" si="63"/>
        <v>0.47906524622486385</v>
      </c>
      <c r="W69" s="91">
        <f t="shared" si="63"/>
        <v>0.45961677144091045</v>
      </c>
      <c r="DA69" s="171"/>
    </row>
    <row r="70" spans="1:105" ht="11.45" customHeight="1" x14ac:dyDescent="0.25">
      <c r="A70" s="83" t="s">
        <v>173</v>
      </c>
      <c r="B70" s="91">
        <f t="shared" si="61"/>
        <v>1.0604116027871828</v>
      </c>
      <c r="C70" s="91">
        <f t="shared" ref="C70:W70" si="64">IF(C8=0,0,C20/C60)</f>
        <v>1.0591141356936573</v>
      </c>
      <c r="D70" s="91">
        <f t="shared" si="64"/>
        <v>1.0264186153094694</v>
      </c>
      <c r="E70" s="91">
        <f t="shared" si="64"/>
        <v>1.0863701030333579</v>
      </c>
      <c r="F70" s="91">
        <f t="shared" si="64"/>
        <v>1.1340325411953722</v>
      </c>
      <c r="G70" s="91">
        <f t="shared" si="64"/>
        <v>1.1999883991320759</v>
      </c>
      <c r="H70" s="91">
        <f t="shared" si="64"/>
        <v>1.247441279977751</v>
      </c>
      <c r="I70" s="91">
        <f t="shared" si="64"/>
        <v>1.2809506002327486</v>
      </c>
      <c r="J70" s="91">
        <f t="shared" si="64"/>
        <v>1.1558564426936027</v>
      </c>
      <c r="K70" s="91">
        <f t="shared" si="64"/>
        <v>1.103725964952083</v>
      </c>
      <c r="L70" s="91">
        <f t="shared" si="64"/>
        <v>1.0882778712172667</v>
      </c>
      <c r="M70" s="91">
        <f t="shared" si="64"/>
        <v>1.1104425682622963</v>
      </c>
      <c r="N70" s="91">
        <f t="shared" si="64"/>
        <v>1.1098039743933907</v>
      </c>
      <c r="O70" s="91">
        <f t="shared" si="64"/>
        <v>1.0815521076904107</v>
      </c>
      <c r="P70" s="91">
        <f t="shared" si="64"/>
        <v>1.1797545672554581</v>
      </c>
      <c r="Q70" s="91">
        <f t="shared" si="64"/>
        <v>1.1477363931504181</v>
      </c>
      <c r="R70" s="91">
        <f t="shared" si="64"/>
        <v>1.1907242345738909</v>
      </c>
      <c r="S70" s="91">
        <f t="shared" si="64"/>
        <v>1.2374172664246486</v>
      </c>
      <c r="T70" s="91">
        <f t="shared" si="64"/>
        <v>1.2507887224939871</v>
      </c>
      <c r="U70" s="91">
        <f t="shared" si="64"/>
        <v>1.292596130643364</v>
      </c>
      <c r="V70" s="91">
        <f t="shared" si="64"/>
        <v>1.0757877147186896</v>
      </c>
      <c r="W70" s="91">
        <f t="shared" si="64"/>
        <v>1.1889924490293118</v>
      </c>
      <c r="DA70" s="171"/>
    </row>
    <row r="71" spans="1:105" ht="11.45" customHeight="1" x14ac:dyDescent="0.25">
      <c r="A71" s="83" t="s">
        <v>174</v>
      </c>
      <c r="B71" s="91">
        <f t="shared" si="61"/>
        <v>1.1744584475722517</v>
      </c>
      <c r="C71" s="91">
        <f t="shared" ref="C71:W71" si="65">IF(C9=0,0,C21/C61)</f>
        <v>1.1730215272091016</v>
      </c>
      <c r="D71" s="91">
        <f t="shared" si="65"/>
        <v>1.1368330692075426</v>
      </c>
      <c r="E71" s="91">
        <f t="shared" si="65"/>
        <v>1.2018473856591789</v>
      </c>
      <c r="F71" s="91">
        <f t="shared" si="65"/>
        <v>1.254209021746219</v>
      </c>
      <c r="G71" s="91">
        <f t="shared" si="65"/>
        <v>1.2096420889606327</v>
      </c>
      <c r="H71" s="91">
        <f t="shared" si="65"/>
        <v>1.1086305804639291</v>
      </c>
      <c r="I71" s="91">
        <f t="shared" si="65"/>
        <v>1.1933109852641473</v>
      </c>
      <c r="J71" s="91">
        <f t="shared" si="65"/>
        <v>1.1689660903597965</v>
      </c>
      <c r="K71" s="91">
        <f t="shared" si="65"/>
        <v>1.1221502345274195</v>
      </c>
      <c r="L71" s="91">
        <f t="shared" si="65"/>
        <v>1.0901232820760665</v>
      </c>
      <c r="M71" s="91">
        <f t="shared" si="65"/>
        <v>1.0505844717288215</v>
      </c>
      <c r="N71" s="91">
        <f t="shared" si="65"/>
        <v>1.0181494450017785</v>
      </c>
      <c r="O71" s="91">
        <f t="shared" si="65"/>
        <v>1.0030736770498003</v>
      </c>
      <c r="P71" s="91">
        <f t="shared" si="65"/>
        <v>0.97297776743462605</v>
      </c>
      <c r="Q71" s="91">
        <f t="shared" si="65"/>
        <v>0.90492938682743063</v>
      </c>
      <c r="R71" s="91">
        <f t="shared" si="65"/>
        <v>0.87653726015253353</v>
      </c>
      <c r="S71" s="91">
        <f t="shared" si="65"/>
        <v>0.91830801691085728</v>
      </c>
      <c r="T71" s="91">
        <f t="shared" si="65"/>
        <v>0.95261067905170005</v>
      </c>
      <c r="U71" s="91">
        <f t="shared" si="65"/>
        <v>0.95741439046930354</v>
      </c>
      <c r="V71" s="91">
        <f t="shared" si="65"/>
        <v>1.0804923356619514</v>
      </c>
      <c r="W71" s="91">
        <f t="shared" si="65"/>
        <v>0.94160849898443699</v>
      </c>
      <c r="DA71" s="171"/>
    </row>
    <row r="72" spans="1:105" ht="11.45" customHeight="1" x14ac:dyDescent="0.25">
      <c r="A72" s="12" t="s">
        <v>34</v>
      </c>
      <c r="B72" s="24">
        <f t="shared" si="61"/>
        <v>1.1001138771280548</v>
      </c>
      <c r="C72" s="24">
        <f t="shared" ref="C72:W72" si="66">IF(C10=0,0,C22/C62)</f>
        <v>1.0990855042546326</v>
      </c>
      <c r="D72" s="24">
        <f t="shared" si="66"/>
        <v>1.0573805574768087</v>
      </c>
      <c r="E72" s="24">
        <f t="shared" si="66"/>
        <v>1.1076680611503404</v>
      </c>
      <c r="F72" s="24">
        <f t="shared" si="66"/>
        <v>1.1489710265490478</v>
      </c>
      <c r="G72" s="24">
        <f t="shared" si="66"/>
        <v>1.2052912626986312</v>
      </c>
      <c r="H72" s="24">
        <f t="shared" si="66"/>
        <v>1.2546486537946349</v>
      </c>
      <c r="I72" s="24">
        <f t="shared" si="66"/>
        <v>1.2856755860761722</v>
      </c>
      <c r="J72" s="24">
        <f t="shared" si="66"/>
        <v>1.0779699640903486</v>
      </c>
      <c r="K72" s="24">
        <f t="shared" si="66"/>
        <v>1.0302096362607156</v>
      </c>
      <c r="L72" s="24">
        <f t="shared" si="66"/>
        <v>0.99626764297189552</v>
      </c>
      <c r="M72" s="24">
        <f t="shared" si="66"/>
        <v>0.96766149383083344</v>
      </c>
      <c r="N72" s="24">
        <f t="shared" si="66"/>
        <v>0.93763337918167999</v>
      </c>
      <c r="O72" s="24">
        <f t="shared" si="66"/>
        <v>0.92125636220623897</v>
      </c>
      <c r="P72" s="24">
        <f t="shared" si="66"/>
        <v>0.91704873442207324</v>
      </c>
      <c r="Q72" s="24">
        <f t="shared" si="66"/>
        <v>0.86280554096286122</v>
      </c>
      <c r="R72" s="24">
        <f t="shared" si="66"/>
        <v>0.84527696305509847</v>
      </c>
      <c r="S72" s="24">
        <f t="shared" si="66"/>
        <v>0.89808549385173131</v>
      </c>
      <c r="T72" s="24">
        <f t="shared" si="66"/>
        <v>0.95600260446926832</v>
      </c>
      <c r="U72" s="24">
        <f t="shared" si="66"/>
        <v>0.96742280606160447</v>
      </c>
      <c r="V72" s="24">
        <f t="shared" si="66"/>
        <v>0.99875854914617468</v>
      </c>
      <c r="W72" s="24">
        <f t="shared" si="66"/>
        <v>0.92835093569374771</v>
      </c>
      <c r="DA72" s="193"/>
    </row>
    <row r="73" spans="1:105" ht="11.45" customHeight="1" x14ac:dyDescent="0.25">
      <c r="A73" s="92" t="s">
        <v>27</v>
      </c>
      <c r="B73" s="93">
        <f t="shared" si="61"/>
        <v>0.9268199799204998</v>
      </c>
      <c r="C73" s="93">
        <f t="shared" ref="C73:W73" si="67">IF(C11=0,0,C23/C63)</f>
        <v>0.92570219392988884</v>
      </c>
      <c r="D73" s="93">
        <f t="shared" si="67"/>
        <v>0.74620821249175018</v>
      </c>
      <c r="E73" s="93">
        <f t="shared" si="67"/>
        <v>0.6111825281921236</v>
      </c>
      <c r="F73" s="93">
        <f t="shared" si="67"/>
        <v>0.37871367990946614</v>
      </c>
      <c r="G73" s="93">
        <f t="shared" si="67"/>
        <v>0.41527560787426138</v>
      </c>
      <c r="H73" s="93">
        <f t="shared" si="67"/>
        <v>0.44360402331785842</v>
      </c>
      <c r="I73" s="93">
        <f t="shared" si="67"/>
        <v>0.51580974438870375</v>
      </c>
      <c r="J73" s="93">
        <f t="shared" si="67"/>
        <v>0.51633185847010776</v>
      </c>
      <c r="K73" s="93">
        <f t="shared" si="67"/>
        <v>0.55454774931313755</v>
      </c>
      <c r="L73" s="93">
        <f t="shared" si="67"/>
        <v>0.52975937677205154</v>
      </c>
      <c r="M73" s="93">
        <f t="shared" si="67"/>
        <v>0.50621519412483085</v>
      </c>
      <c r="N73" s="93">
        <f t="shared" si="67"/>
        <v>0.61822270215079222</v>
      </c>
      <c r="O73" s="93">
        <f t="shared" si="67"/>
        <v>0.57342770608627924</v>
      </c>
      <c r="P73" s="93">
        <f t="shared" si="67"/>
        <v>0.53112666266764796</v>
      </c>
      <c r="Q73" s="93">
        <f t="shared" si="67"/>
        <v>0.49675084084706195</v>
      </c>
      <c r="R73" s="93">
        <f t="shared" si="67"/>
        <v>0.51116464819154661</v>
      </c>
      <c r="S73" s="93">
        <f t="shared" si="67"/>
        <v>0.50967809874384307</v>
      </c>
      <c r="T73" s="93">
        <f t="shared" si="67"/>
        <v>0.49980265154353154</v>
      </c>
      <c r="U73" s="93">
        <f t="shared" si="67"/>
        <v>0.51253352994260437</v>
      </c>
      <c r="V73" s="93">
        <f t="shared" si="67"/>
        <v>0.47906524622486368</v>
      </c>
      <c r="W73" s="93">
        <f t="shared" si="67"/>
        <v>0.45961677144091051</v>
      </c>
      <c r="DA73" s="175"/>
    </row>
    <row r="74" spans="1:105" ht="11.45" customHeight="1" x14ac:dyDescent="0.25">
      <c r="A74" s="92" t="s">
        <v>173</v>
      </c>
      <c r="B74" s="93">
        <f t="shared" si="61"/>
        <v>1.0903313604321239</v>
      </c>
      <c r="C74" s="93">
        <f t="shared" ref="C74:W74" si="68">IF(C12=0,0,C24/C64)</f>
        <v>1.0891346475479191</v>
      </c>
      <c r="D74" s="93">
        <f t="shared" si="68"/>
        <v>1.0547297957618607</v>
      </c>
      <c r="E74" s="93">
        <f t="shared" si="68"/>
        <v>1.1133391412262263</v>
      </c>
      <c r="F74" s="93">
        <f t="shared" si="68"/>
        <v>1.1634165245353254</v>
      </c>
      <c r="G74" s="93">
        <f t="shared" si="68"/>
        <v>1.2270181798016906</v>
      </c>
      <c r="H74" s="93">
        <f t="shared" si="68"/>
        <v>1.2725646054329594</v>
      </c>
      <c r="I74" s="93">
        <f t="shared" si="68"/>
        <v>1.299221194032995</v>
      </c>
      <c r="J74" s="93">
        <f t="shared" si="68"/>
        <v>1.1655015774124231</v>
      </c>
      <c r="K74" s="93">
        <f t="shared" si="68"/>
        <v>1.1028286282521689</v>
      </c>
      <c r="L74" s="93">
        <f t="shared" si="68"/>
        <v>1.0894205262759726</v>
      </c>
      <c r="M74" s="93">
        <f t="shared" si="68"/>
        <v>1.1098490598444939</v>
      </c>
      <c r="N74" s="93">
        <f t="shared" si="68"/>
        <v>1.1092435050548666</v>
      </c>
      <c r="O74" s="93">
        <f t="shared" si="68"/>
        <v>1.0723681096504953</v>
      </c>
      <c r="P74" s="93">
        <f t="shared" si="68"/>
        <v>1.1788269936246241</v>
      </c>
      <c r="Q74" s="93">
        <f t="shared" si="68"/>
        <v>1.1499013323362672</v>
      </c>
      <c r="R74" s="93">
        <f t="shared" si="68"/>
        <v>1.1923337313586064</v>
      </c>
      <c r="S74" s="93">
        <f t="shared" si="68"/>
        <v>1.2409516290631468</v>
      </c>
      <c r="T74" s="93">
        <f t="shared" si="68"/>
        <v>1.2533463898263739</v>
      </c>
      <c r="U74" s="93">
        <f t="shared" si="68"/>
        <v>1.3033020719848512</v>
      </c>
      <c r="V74" s="93">
        <f t="shared" si="68"/>
        <v>1.054882770264453</v>
      </c>
      <c r="W74" s="93">
        <f t="shared" si="68"/>
        <v>1.1351204407996598</v>
      </c>
      <c r="DA74" s="175"/>
    </row>
    <row r="75" spans="1:105" ht="11.45" customHeight="1" x14ac:dyDescent="0.25">
      <c r="A75" s="85" t="s">
        <v>174</v>
      </c>
      <c r="B75" s="94">
        <f t="shared" si="61"/>
        <v>1.0570126028150266</v>
      </c>
      <c r="C75" s="94">
        <f t="shared" ref="C75:W75" si="69">IF(C13=0,0,C25/C65)</f>
        <v>1.0557193744881914</v>
      </c>
      <c r="D75" s="94">
        <f t="shared" si="69"/>
        <v>1.0231497622867882</v>
      </c>
      <c r="E75" s="94">
        <f t="shared" si="69"/>
        <v>1.0816626470932613</v>
      </c>
      <c r="F75" s="94">
        <f t="shared" si="69"/>
        <v>1.1287881195715972</v>
      </c>
      <c r="G75" s="94">
        <f t="shared" si="69"/>
        <v>1.0886778800645696</v>
      </c>
      <c r="H75" s="94">
        <f t="shared" si="69"/>
        <v>0.99776752241753608</v>
      </c>
      <c r="I75" s="94">
        <f t="shared" si="69"/>
        <v>1.0739798867377324</v>
      </c>
      <c r="J75" s="94">
        <f t="shared" si="69"/>
        <v>1.0520694813238169</v>
      </c>
      <c r="K75" s="94">
        <f t="shared" si="69"/>
        <v>1.0099352110746778</v>
      </c>
      <c r="L75" s="94">
        <f t="shared" si="69"/>
        <v>0.9811109538684597</v>
      </c>
      <c r="M75" s="94">
        <f t="shared" si="69"/>
        <v>0.94552602455593937</v>
      </c>
      <c r="N75" s="94">
        <f t="shared" si="69"/>
        <v>0.91633450050160048</v>
      </c>
      <c r="O75" s="94">
        <f t="shared" si="69"/>
        <v>0.90276630934482016</v>
      </c>
      <c r="P75" s="94">
        <f t="shared" si="69"/>
        <v>0.87567999069116353</v>
      </c>
      <c r="Q75" s="94">
        <f t="shared" si="69"/>
        <v>0.81443644814468763</v>
      </c>
      <c r="R75" s="94">
        <f t="shared" si="69"/>
        <v>0.78888353413728007</v>
      </c>
      <c r="S75" s="94">
        <f t="shared" si="69"/>
        <v>0.82647721521977124</v>
      </c>
      <c r="T75" s="94">
        <f t="shared" si="69"/>
        <v>0.85734961114653019</v>
      </c>
      <c r="U75" s="94">
        <f t="shared" si="69"/>
        <v>0.86167295142237343</v>
      </c>
      <c r="V75" s="94">
        <f t="shared" si="69"/>
        <v>0.97244310209575646</v>
      </c>
      <c r="W75" s="94">
        <f t="shared" si="69"/>
        <v>0.84744764908599324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2501.9966160000004</v>
      </c>
      <c r="C3" s="79">
        <f t="shared" si="0"/>
        <v>2542.6559797199998</v>
      </c>
      <c r="D3" s="79">
        <f t="shared" ref="D3" si="1">SUM(D4:D5)</f>
        <v>2201.6807362800009</v>
      </c>
      <c r="E3" s="79">
        <f t="shared" ref="E3" si="2">SUM(E4:E5)</f>
        <v>2276.8055571600007</v>
      </c>
      <c r="F3" s="79">
        <f t="shared" ref="F3" si="3">SUM(F4:F5)</f>
        <v>2573.8711725599996</v>
      </c>
      <c r="G3" s="79">
        <f t="shared" ref="G3" si="4">SUM(G4:G5)</f>
        <v>2705.2322137200003</v>
      </c>
      <c r="H3" s="79">
        <f t="shared" ref="H3" si="5">SUM(H4:H5)</f>
        <v>2720.9320297200002</v>
      </c>
      <c r="I3" s="79">
        <f t="shared" ref="I3" si="6">SUM(I4:I5)</f>
        <v>2802.2510160000002</v>
      </c>
      <c r="J3" s="79">
        <f t="shared" ref="J3" si="7">SUM(J4:J5)</f>
        <v>2805.3788385600001</v>
      </c>
      <c r="K3" s="79">
        <f t="shared" ref="K3" si="8">SUM(K4:K5)</f>
        <v>2467.5926385600001</v>
      </c>
      <c r="L3" s="79">
        <f t="shared" ref="L3" si="9">SUM(L4:L5)</f>
        <v>2570.86682028</v>
      </c>
      <c r="M3" s="79">
        <f t="shared" ref="M3" si="10">SUM(M4:M5)</f>
        <v>2630.2920840000002</v>
      </c>
      <c r="N3" s="79">
        <f t="shared" ref="N3" si="11">SUM(N4:N5)</f>
        <v>2636.5474702800002</v>
      </c>
      <c r="O3" s="79">
        <f t="shared" ref="O3" si="12">SUM(O4:O5)</f>
        <v>2608.3986202799997</v>
      </c>
      <c r="P3" s="79">
        <f t="shared" ref="P3" si="13">SUM(P4:P5)</f>
        <v>2811.6956977200002</v>
      </c>
      <c r="Q3" s="79">
        <f t="shared" ref="Q3" si="14">SUM(Q4:Q5)</f>
        <v>2749.7919366000001</v>
      </c>
      <c r="R3" s="79">
        <f t="shared" ref="R3" si="15">SUM(R4:R5)</f>
        <v>2952.5317577999999</v>
      </c>
      <c r="S3" s="79">
        <f t="shared" ref="S3" si="16">SUM(S4:S5)</f>
        <v>3038.6245744800003</v>
      </c>
      <c r="T3" s="79">
        <f t="shared" ref="T3" si="17">SUM(T4:T5)</f>
        <v>3173.9981137200011</v>
      </c>
      <c r="U3" s="79">
        <f t="shared" ref="U3" si="18">SUM(U4:U5)</f>
        <v>3242.8934683199991</v>
      </c>
      <c r="V3" s="79">
        <f t="shared" ref="V3:W3" si="19">SUM(V4:V5)</f>
        <v>1052.9069342400001</v>
      </c>
      <c r="W3" s="79">
        <f t="shared" si="19"/>
        <v>1341.4744854000003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140.62077972</v>
      </c>
      <c r="C4" s="96">
        <f t="shared" si="20"/>
        <v>143.74834344000001</v>
      </c>
      <c r="D4" s="96">
        <f t="shared" ref="D4:V4" si="21">SUM(D7,D11)</f>
        <v>118.72731600000003</v>
      </c>
      <c r="E4" s="96">
        <f t="shared" si="21"/>
        <v>115.59949344000002</v>
      </c>
      <c r="F4" s="96">
        <f t="shared" si="21"/>
        <v>96.833852279999988</v>
      </c>
      <c r="G4" s="96">
        <f t="shared" si="21"/>
        <v>103.08897972000005</v>
      </c>
      <c r="H4" s="96">
        <f t="shared" si="21"/>
        <v>109.34436600000001</v>
      </c>
      <c r="I4" s="96">
        <f t="shared" si="21"/>
        <v>128.11026600000005</v>
      </c>
      <c r="J4" s="96">
        <f t="shared" si="21"/>
        <v>134.36565227999998</v>
      </c>
      <c r="K4" s="96">
        <f t="shared" si="21"/>
        <v>134.36565227999998</v>
      </c>
      <c r="L4" s="96">
        <f t="shared" si="21"/>
        <v>140.68277028000003</v>
      </c>
      <c r="M4" s="96">
        <f t="shared" si="21"/>
        <v>134.42738399999999</v>
      </c>
      <c r="N4" s="96">
        <f t="shared" si="21"/>
        <v>115.66148400000002</v>
      </c>
      <c r="O4" s="96">
        <f t="shared" si="21"/>
        <v>112.53392028000002</v>
      </c>
      <c r="P4" s="96">
        <f t="shared" si="21"/>
        <v>109.40609772000002</v>
      </c>
      <c r="Q4" s="96">
        <f t="shared" si="21"/>
        <v>101.61165564000004</v>
      </c>
      <c r="R4" s="96">
        <f t="shared" si="21"/>
        <v>105.47963315999999</v>
      </c>
      <c r="S4" s="96">
        <f t="shared" si="21"/>
        <v>100.71033408</v>
      </c>
      <c r="T4" s="96">
        <f t="shared" si="21"/>
        <v>95.28319620000002</v>
      </c>
      <c r="U4" s="96">
        <f t="shared" si="21"/>
        <v>95.598633960000015</v>
      </c>
      <c r="V4" s="96">
        <f t="shared" si="21"/>
        <v>51.283363319999999</v>
      </c>
      <c r="W4" s="96">
        <f t="shared" ref="W4" si="22">SUM(W7,W11)</f>
        <v>54.974975400000012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2361.3758362800004</v>
      </c>
      <c r="C5" s="96">
        <f t="shared" si="23"/>
        <v>2398.9076362799997</v>
      </c>
      <c r="D5" s="96">
        <f t="shared" ref="D5:V5" si="24">SUM(D8:D9,D12:D13)</f>
        <v>2082.953420280001</v>
      </c>
      <c r="E5" s="96">
        <f t="shared" si="24"/>
        <v>2161.2060637200007</v>
      </c>
      <c r="F5" s="96">
        <f t="shared" si="24"/>
        <v>2477.0373202799997</v>
      </c>
      <c r="G5" s="96">
        <f t="shared" si="24"/>
        <v>2602.1432340000001</v>
      </c>
      <c r="H5" s="96">
        <f t="shared" si="24"/>
        <v>2611.5876637200004</v>
      </c>
      <c r="I5" s="96">
        <f t="shared" si="24"/>
        <v>2674.14075</v>
      </c>
      <c r="J5" s="96">
        <f t="shared" si="24"/>
        <v>2671.0131862799999</v>
      </c>
      <c r="K5" s="96">
        <f t="shared" si="24"/>
        <v>2333.2269862799999</v>
      </c>
      <c r="L5" s="96">
        <f t="shared" si="24"/>
        <v>2430.1840499999998</v>
      </c>
      <c r="M5" s="96">
        <f t="shared" si="24"/>
        <v>2495.8647000000001</v>
      </c>
      <c r="N5" s="96">
        <f t="shared" si="24"/>
        <v>2520.88598628</v>
      </c>
      <c r="O5" s="96">
        <f t="shared" si="24"/>
        <v>2495.8646999999996</v>
      </c>
      <c r="P5" s="96">
        <f t="shared" si="24"/>
        <v>2702.2896000000001</v>
      </c>
      <c r="Q5" s="96">
        <f t="shared" si="24"/>
        <v>2648.1802809599999</v>
      </c>
      <c r="R5" s="96">
        <f t="shared" si="24"/>
        <v>2847.0521246399999</v>
      </c>
      <c r="S5" s="96">
        <f t="shared" si="24"/>
        <v>2937.9142404000004</v>
      </c>
      <c r="T5" s="96">
        <f t="shared" si="24"/>
        <v>3078.7149175200011</v>
      </c>
      <c r="U5" s="96">
        <f t="shared" si="24"/>
        <v>3147.2948343599992</v>
      </c>
      <c r="V5" s="96">
        <f t="shared" si="24"/>
        <v>1001.6235709200001</v>
      </c>
      <c r="W5" s="96">
        <f t="shared" ref="W5" si="25">SUM(W8:W9,W12:W13)</f>
        <v>1286.4995100000003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2478.5325370876999</v>
      </c>
      <c r="C6" s="21">
        <f t="shared" si="26"/>
        <v>2518.2919717378804</v>
      </c>
      <c r="D6" s="21">
        <f t="shared" ref="D6:V6" si="27">SUM(D7:D9)</f>
        <v>2179.2022611994144</v>
      </c>
      <c r="E6" s="21">
        <f t="shared" si="27"/>
        <v>2258.8530697212905</v>
      </c>
      <c r="F6" s="21">
        <f t="shared" si="27"/>
        <v>2553.5275586167472</v>
      </c>
      <c r="G6" s="21">
        <f t="shared" si="27"/>
        <v>2681.7721823511006</v>
      </c>
      <c r="H6" s="21">
        <f t="shared" si="27"/>
        <v>2692.9443088216744</v>
      </c>
      <c r="I6" s="21">
        <f t="shared" si="27"/>
        <v>2774.9794093028531</v>
      </c>
      <c r="J6" s="21">
        <f t="shared" si="27"/>
        <v>2597.5322530651792</v>
      </c>
      <c r="K6" s="21">
        <f t="shared" si="27"/>
        <v>2320.308706411035</v>
      </c>
      <c r="L6" s="21">
        <f t="shared" si="27"/>
        <v>2416.5656625875354</v>
      </c>
      <c r="M6" s="21">
        <f t="shared" si="27"/>
        <v>2483.1983690956013</v>
      </c>
      <c r="N6" s="21">
        <f t="shared" si="27"/>
        <v>2481.3004930541274</v>
      </c>
      <c r="O6" s="21">
        <f t="shared" si="27"/>
        <v>2476.6435380771932</v>
      </c>
      <c r="P6" s="21">
        <f t="shared" si="27"/>
        <v>2655.5344661329891</v>
      </c>
      <c r="Q6" s="21">
        <f t="shared" si="27"/>
        <v>2610.0522349344146</v>
      </c>
      <c r="R6" s="21">
        <f t="shared" si="27"/>
        <v>2841.8883965162368</v>
      </c>
      <c r="S6" s="21">
        <f t="shared" si="27"/>
        <v>2926.063312079049</v>
      </c>
      <c r="T6" s="21">
        <f t="shared" si="27"/>
        <v>3090.1697754469892</v>
      </c>
      <c r="U6" s="21">
        <f t="shared" si="27"/>
        <v>3144.8696105262761</v>
      </c>
      <c r="V6" s="21">
        <f t="shared" si="27"/>
        <v>963.77245511701904</v>
      </c>
      <c r="W6" s="21">
        <f t="shared" ref="W6" si="28">SUM(W7:W9)</f>
        <v>1213.753623106747</v>
      </c>
      <c r="DA6" s="189" t="s">
        <v>326</v>
      </c>
    </row>
    <row r="7" spans="1:105" ht="11.45" customHeight="1" x14ac:dyDescent="0.25">
      <c r="A7" s="83" t="s">
        <v>27</v>
      </c>
      <c r="B7" s="96">
        <v>139.87010369897237</v>
      </c>
      <c r="C7" s="96">
        <v>142.95345333416441</v>
      </c>
      <c r="D7" s="96">
        <v>118.14577432375066</v>
      </c>
      <c r="E7" s="96">
        <v>115.26459907478927</v>
      </c>
      <c r="F7" s="96">
        <v>96.60334512611486</v>
      </c>
      <c r="G7" s="96">
        <v>102.79499678263707</v>
      </c>
      <c r="H7" s="96">
        <v>108.98149070195034</v>
      </c>
      <c r="I7" s="96">
        <v>127.72623720387037</v>
      </c>
      <c r="J7" s="96">
        <v>133.59853710169531</v>
      </c>
      <c r="K7" s="96">
        <v>133.66341547465481</v>
      </c>
      <c r="L7" s="96">
        <v>140.37827296116072</v>
      </c>
      <c r="M7" s="96">
        <v>134.25693840286388</v>
      </c>
      <c r="N7" s="96">
        <v>115.49416213068984</v>
      </c>
      <c r="O7" s="96">
        <v>112.36217361914836</v>
      </c>
      <c r="P7" s="96">
        <v>109.246081531909</v>
      </c>
      <c r="Q7" s="96">
        <v>101.48017216667321</v>
      </c>
      <c r="R7" s="96">
        <v>105.44834310810397</v>
      </c>
      <c r="S7" s="96">
        <v>100.65881833197425</v>
      </c>
      <c r="T7" s="96">
        <v>95.218146977011926</v>
      </c>
      <c r="U7" s="96">
        <v>95.544012742005549</v>
      </c>
      <c r="V7" s="96">
        <v>51.215409454179579</v>
      </c>
      <c r="W7" s="96">
        <v>54.860247032209166</v>
      </c>
      <c r="DA7" s="171" t="s">
        <v>327</v>
      </c>
    </row>
    <row r="8" spans="1:105" ht="11.45" customHeight="1" x14ac:dyDescent="0.25">
      <c r="A8" s="83" t="s">
        <v>173</v>
      </c>
      <c r="B8" s="96">
        <v>1318.1830786397368</v>
      </c>
      <c r="C8" s="96">
        <v>1338.8395643364747</v>
      </c>
      <c r="D8" s="96">
        <v>1211.4104014479728</v>
      </c>
      <c r="E8" s="96">
        <v>1276.4043200815872</v>
      </c>
      <c r="F8" s="96">
        <v>1412.5521463962191</v>
      </c>
      <c r="G8" s="96">
        <v>1476.0881195881611</v>
      </c>
      <c r="H8" s="96">
        <v>1489.9810072439468</v>
      </c>
      <c r="I8" s="96">
        <v>1544.0577458884109</v>
      </c>
      <c r="J8" s="96">
        <v>1434.5116105271547</v>
      </c>
      <c r="K8" s="96">
        <v>1230.8241061184904</v>
      </c>
      <c r="L8" s="96">
        <v>1273.5418170920991</v>
      </c>
      <c r="M8" s="96">
        <v>1319.9551906127574</v>
      </c>
      <c r="N8" s="96">
        <v>1318.5439767498835</v>
      </c>
      <c r="O8" s="96">
        <v>1321.6668661681927</v>
      </c>
      <c r="P8" s="96">
        <v>1427.8745510721094</v>
      </c>
      <c r="Q8" s="96">
        <v>1416.7285551935774</v>
      </c>
      <c r="R8" s="96">
        <v>1590.8637674320532</v>
      </c>
      <c r="S8" s="96">
        <v>1653.153175091805</v>
      </c>
      <c r="T8" s="96">
        <v>1737.6342468658413</v>
      </c>
      <c r="U8" s="96">
        <v>1736.5544600024325</v>
      </c>
      <c r="V8" s="96">
        <v>453.70642891911416</v>
      </c>
      <c r="W8" s="96">
        <v>615.67796205090053</v>
      </c>
      <c r="DA8" s="171" t="s">
        <v>328</v>
      </c>
    </row>
    <row r="9" spans="1:105" ht="11.45" customHeight="1" x14ac:dyDescent="0.25">
      <c r="A9" s="83" t="s">
        <v>174</v>
      </c>
      <c r="B9" s="96">
        <v>1020.4793547489905</v>
      </c>
      <c r="C9" s="96">
        <v>1036.4989540672414</v>
      </c>
      <c r="D9" s="96">
        <v>849.64608542769099</v>
      </c>
      <c r="E9" s="96">
        <v>867.18415056491403</v>
      </c>
      <c r="F9" s="96">
        <v>1044.3720670944133</v>
      </c>
      <c r="G9" s="96">
        <v>1102.8890659803023</v>
      </c>
      <c r="H9" s="96">
        <v>1093.9818108757772</v>
      </c>
      <c r="I9" s="96">
        <v>1103.1954262105719</v>
      </c>
      <c r="J9" s="96">
        <v>1029.4221054363293</v>
      </c>
      <c r="K9" s="96">
        <v>955.82118481788962</v>
      </c>
      <c r="L9" s="96">
        <v>1002.6455725342753</v>
      </c>
      <c r="M9" s="96">
        <v>1028.98624007998</v>
      </c>
      <c r="N9" s="96">
        <v>1047.2623541735541</v>
      </c>
      <c r="O9" s="96">
        <v>1042.6144982898522</v>
      </c>
      <c r="P9" s="96">
        <v>1118.4138335289706</v>
      </c>
      <c r="Q9" s="96">
        <v>1091.8435075741638</v>
      </c>
      <c r="R9" s="96">
        <v>1145.5762859760798</v>
      </c>
      <c r="S9" s="96">
        <v>1172.2513186552694</v>
      </c>
      <c r="T9" s="96">
        <v>1257.317381604136</v>
      </c>
      <c r="U9" s="96">
        <v>1312.7711377818378</v>
      </c>
      <c r="V9" s="96">
        <v>458.85061674372537</v>
      </c>
      <c r="W9" s="96">
        <v>543.21541402363721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23.464078912300351</v>
      </c>
      <c r="C10" s="22">
        <f t="shared" si="29"/>
        <v>24.364007982119421</v>
      </c>
      <c r="D10" s="22">
        <f t="shared" ref="D10:V10" si="30">SUM(D11:D13)</f>
        <v>22.478475080586538</v>
      </c>
      <c r="E10" s="22">
        <f t="shared" si="30"/>
        <v>17.952487438710047</v>
      </c>
      <c r="F10" s="22">
        <f t="shared" si="30"/>
        <v>20.343613943252173</v>
      </c>
      <c r="G10" s="22">
        <f t="shared" si="30"/>
        <v>23.460031368899688</v>
      </c>
      <c r="H10" s="22">
        <f t="shared" si="30"/>
        <v>27.987720898325975</v>
      </c>
      <c r="I10" s="22">
        <f t="shared" si="30"/>
        <v>27.271606697146879</v>
      </c>
      <c r="J10" s="22">
        <f t="shared" si="30"/>
        <v>207.84658549482052</v>
      </c>
      <c r="K10" s="22">
        <f t="shared" si="30"/>
        <v>147.28393214896516</v>
      </c>
      <c r="L10" s="22">
        <f t="shared" si="30"/>
        <v>154.30115769246467</v>
      </c>
      <c r="M10" s="22">
        <f t="shared" si="30"/>
        <v>147.09371490439869</v>
      </c>
      <c r="N10" s="22">
        <f t="shared" si="30"/>
        <v>155.24697722587271</v>
      </c>
      <c r="O10" s="22">
        <f t="shared" si="30"/>
        <v>131.75508220280682</v>
      </c>
      <c r="P10" s="22">
        <f t="shared" si="30"/>
        <v>156.16123158701109</v>
      </c>
      <c r="Q10" s="22">
        <f t="shared" si="30"/>
        <v>139.73970166558561</v>
      </c>
      <c r="R10" s="22">
        <f t="shared" si="30"/>
        <v>110.6433612837628</v>
      </c>
      <c r="S10" s="22">
        <f t="shared" si="30"/>
        <v>112.56126240095189</v>
      </c>
      <c r="T10" s="22">
        <f t="shared" si="30"/>
        <v>83.828338273011781</v>
      </c>
      <c r="U10" s="22">
        <f t="shared" si="30"/>
        <v>98.023857793723607</v>
      </c>
      <c r="V10" s="22">
        <f t="shared" si="30"/>
        <v>89.134479122980977</v>
      </c>
      <c r="W10" s="22">
        <f t="shared" ref="W10" si="31">SUM(W11:W13)</f>
        <v>127.72086229325333</v>
      </c>
      <c r="DA10" s="193" t="s">
        <v>330</v>
      </c>
    </row>
    <row r="11" spans="1:105" ht="11.45" customHeight="1" x14ac:dyDescent="0.25">
      <c r="A11" s="92" t="s">
        <v>27</v>
      </c>
      <c r="B11" s="97">
        <v>0.75067602102761866</v>
      </c>
      <c r="C11" s="97">
        <v>0.79489010583559294</v>
      </c>
      <c r="D11" s="97">
        <v>0.58154167624936859</v>
      </c>
      <c r="E11" s="97">
        <v>0.33489436521074889</v>
      </c>
      <c r="F11" s="97">
        <v>0.23050715388512583</v>
      </c>
      <c r="G11" s="97">
        <v>0.29398293736298831</v>
      </c>
      <c r="H11" s="97">
        <v>0.36287529804967178</v>
      </c>
      <c r="I11" s="97">
        <v>0.38402879612967217</v>
      </c>
      <c r="J11" s="97">
        <v>0.76711517830467335</v>
      </c>
      <c r="K11" s="97">
        <v>0.70223680534517929</v>
      </c>
      <c r="L11" s="97">
        <v>0.30449731883931513</v>
      </c>
      <c r="M11" s="97">
        <v>0.17044559713610641</v>
      </c>
      <c r="N11" s="97">
        <v>0.16732186931017046</v>
      </c>
      <c r="O11" s="97">
        <v>0.17174666085165688</v>
      </c>
      <c r="P11" s="97">
        <v>0.16001618809102525</v>
      </c>
      <c r="Q11" s="97">
        <v>0.13148347332682619</v>
      </c>
      <c r="R11" s="97">
        <v>3.1290051896026246E-2</v>
      </c>
      <c r="S11" s="97">
        <v>5.1515748025756862E-2</v>
      </c>
      <c r="T11" s="97">
        <v>6.5049222988094138E-2</v>
      </c>
      <c r="U11" s="97">
        <v>5.4621217994469611E-2</v>
      </c>
      <c r="V11" s="97">
        <v>6.7953865820419568E-2</v>
      </c>
      <c r="W11" s="97">
        <v>0.11472836779084654</v>
      </c>
      <c r="DA11" s="175" t="s">
        <v>331</v>
      </c>
    </row>
    <row r="12" spans="1:105" ht="11.45" customHeight="1" x14ac:dyDescent="0.25">
      <c r="A12" s="92" t="s">
        <v>173</v>
      </c>
      <c r="B12" s="97">
        <v>20.594763842060178</v>
      </c>
      <c r="C12" s="97">
        <v>21.335512764888865</v>
      </c>
      <c r="D12" s="97">
        <v>19.390542307835716</v>
      </c>
      <c r="E12" s="97">
        <v>14.726864093727073</v>
      </c>
      <c r="F12" s="97">
        <v>17.096536962940146</v>
      </c>
      <c r="G12" s="97">
        <v>21.084196686325114</v>
      </c>
      <c r="H12" s="97">
        <v>26.57539540077892</v>
      </c>
      <c r="I12" s="97">
        <v>25.575415009120498</v>
      </c>
      <c r="J12" s="97">
        <v>53.09724299194086</v>
      </c>
      <c r="K12" s="97">
        <v>34.064462398027807</v>
      </c>
      <c r="L12" s="97">
        <v>23.082627809783695</v>
      </c>
      <c r="M12" s="97">
        <v>22.434968804608967</v>
      </c>
      <c r="N12" s="97">
        <v>19.870773862013326</v>
      </c>
      <c r="O12" s="97">
        <v>16.353241614285469</v>
      </c>
      <c r="P12" s="97">
        <v>27.229149277922335</v>
      </c>
      <c r="Q12" s="97">
        <v>26.75938572119485</v>
      </c>
      <c r="R12" s="97">
        <v>21.796395462893191</v>
      </c>
      <c r="S12" s="97">
        <v>26.835575682756946</v>
      </c>
      <c r="T12" s="97">
        <v>27.322237736547354</v>
      </c>
      <c r="U12" s="97">
        <v>31.608906325063408</v>
      </c>
      <c r="V12" s="97">
        <v>30.134808784147562</v>
      </c>
      <c r="W12" s="97">
        <v>43.918021500109603</v>
      </c>
      <c r="DA12" s="175" t="s">
        <v>332</v>
      </c>
    </row>
    <row r="13" spans="1:105" ht="11.45" customHeight="1" x14ac:dyDescent="0.25">
      <c r="A13" s="85" t="s">
        <v>174</v>
      </c>
      <c r="B13" s="98">
        <v>2.1186390492125522</v>
      </c>
      <c r="C13" s="98">
        <v>2.2336051113949651</v>
      </c>
      <c r="D13" s="98">
        <v>2.5063910965014533</v>
      </c>
      <c r="E13" s="98">
        <v>2.8907289797722249</v>
      </c>
      <c r="F13" s="98">
        <v>3.0165698264269039</v>
      </c>
      <c r="G13" s="98">
        <v>2.0818517452115861</v>
      </c>
      <c r="H13" s="98">
        <v>1.0494501994973842</v>
      </c>
      <c r="I13" s="98">
        <v>1.3121628918967088</v>
      </c>
      <c r="J13" s="98">
        <v>153.98222732457498</v>
      </c>
      <c r="K13" s="98">
        <v>112.51723294559218</v>
      </c>
      <c r="L13" s="98">
        <v>130.91403256384166</v>
      </c>
      <c r="M13" s="98">
        <v>124.48830050265362</v>
      </c>
      <c r="N13" s="98">
        <v>135.20888149454922</v>
      </c>
      <c r="O13" s="98">
        <v>115.23009392766969</v>
      </c>
      <c r="P13" s="98">
        <v>128.77206612099772</v>
      </c>
      <c r="Q13" s="98">
        <v>112.84883247106394</v>
      </c>
      <c r="R13" s="98">
        <v>88.815675768973577</v>
      </c>
      <c r="S13" s="98">
        <v>85.674170970169186</v>
      </c>
      <c r="T13" s="98">
        <v>56.441051313476336</v>
      </c>
      <c r="U13" s="98">
        <v>66.360330250665726</v>
      </c>
      <c r="V13" s="98">
        <v>58.93171647301299</v>
      </c>
      <c r="W13" s="98">
        <v>83.688112425352884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3.0067504323160206</v>
      </c>
      <c r="C18" s="97">
        <f>IF(C4=0,0,C4/TrAvia_ene!C4)</f>
        <v>3.0068277716456335</v>
      </c>
      <c r="D18" s="97">
        <f>IF(D4=0,0,D4/TrAvia_ene!D4)</f>
        <v>3.006095109822287</v>
      </c>
      <c r="E18" s="97">
        <f>IF(E4=0,0,E4/TrAvia_ene!E4)</f>
        <v>3.005981251399557</v>
      </c>
      <c r="F18" s="97">
        <f>IF(F4=0,0,F4/TrAvia_ene!F4)</f>
        <v>3.005143968022415</v>
      </c>
      <c r="G18" s="97">
        <f>IF(G4=0,0,G4/TrAvia_ene!G4)</f>
        <v>3.005456873486148</v>
      </c>
      <c r="H18" s="97">
        <f>IF(H4=0,0,H4/TrAvia_ene!H4)</f>
        <v>3.0057340441000946</v>
      </c>
      <c r="I18" s="97">
        <f>IF(I4=0,0,I4/TrAvia_ene!I4)</f>
        <v>3.0064033543927065</v>
      </c>
      <c r="J18" s="97">
        <f>IF(J4=0,0,J4/TrAvia_ene!J4)</f>
        <v>3.0065849658805197</v>
      </c>
      <c r="K18" s="97">
        <f>IF(K4=0,0,K4/TrAvia_ene!K4)</f>
        <v>3.0065849658805197</v>
      </c>
      <c r="L18" s="97">
        <f>IF(L4=0,0,L4/TrAvia_ene!L4)</f>
        <v>3.0085294747228022</v>
      </c>
      <c r="M18" s="97">
        <f>IF(M4=0,0,M4/TrAvia_ene!M4)</f>
        <v>3.0084467089886413</v>
      </c>
      <c r="N18" s="97">
        <f>IF(N4=0,0,N4/TrAvia_ene!N4)</f>
        <v>3.0081447399293784</v>
      </c>
      <c r="O18" s="97">
        <f>IF(O4=0,0,O4/TrAvia_ene!O4)</f>
        <v>3.0080846293046863</v>
      </c>
      <c r="P18" s="97">
        <f>IF(P4=0,0,P4/TrAvia_ene!P4)</f>
        <v>3.0080210791574475</v>
      </c>
      <c r="Q18" s="97">
        <f>IF(Q4=0,0,Q4/TrAvia_ene!Q4)</f>
        <v>3.0077004553078863</v>
      </c>
      <c r="R18" s="97">
        <f>IF(R4=0,0,R4/TrAvia_ene!R4)</f>
        <v>3.0077629094009137</v>
      </c>
      <c r="S18" s="97">
        <f>IF(S4=0,0,S4/TrAvia_ene!S4)</f>
        <v>3.0085411838073322</v>
      </c>
      <c r="T18" s="97">
        <f>IF(T4=0,0,T4/TrAvia_ene!T4)</f>
        <v>3.0073534154169321</v>
      </c>
      <c r="U18" s="97">
        <f>IF(U4=0,0,U4/TrAvia_ene!U4)</f>
        <v>3.0078810954508937</v>
      </c>
      <c r="V18" s="97">
        <f>IF(V4=0,0,V4/TrAvia_ene!V4)</f>
        <v>3.0052984279373978</v>
      </c>
      <c r="W18" s="97">
        <f>IF(W4=0,0,W4/TrAvia_ene!W4)</f>
        <v>3.0075591949629326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3.0103091999999996</v>
      </c>
      <c r="D19" s="98">
        <f>IF(D5=0,0,D5/TrAvia_ene!D5)</f>
        <v>3.0101889309706387</v>
      </c>
      <c r="E19" s="98">
        <f>IF(E5=0,0,E5/TrAvia_ene!E5)</f>
        <v>3.0103092</v>
      </c>
      <c r="F19" s="98">
        <f>IF(F5=0,0,F5/TrAvia_ene!F5)</f>
        <v>3.0102080645119105</v>
      </c>
      <c r="G19" s="98">
        <f>IF(G5=0,0,G5/TrAvia_ene!G5)</f>
        <v>3.0102129267511732</v>
      </c>
      <c r="H19" s="98">
        <f>IF(H5=0,0,H5/TrAvia_ene!H5)</f>
        <v>3.0103092000000005</v>
      </c>
      <c r="I19" s="98">
        <f>IF(I5=0,0,I5/TrAvia_ene!I5)</f>
        <v>3.0103092</v>
      </c>
      <c r="J19" s="98">
        <f>IF(J5=0,0,J5/TrAvia_ene!J5)</f>
        <v>3.0103092</v>
      </c>
      <c r="K19" s="98">
        <f>IF(K5=0,0,K5/TrAvia_ene!K5)</f>
        <v>3.0103092</v>
      </c>
      <c r="L19" s="98">
        <f>IF(L5=0,0,L5/TrAvia_ene!L5)</f>
        <v>3.0103092000000005</v>
      </c>
      <c r="M19" s="98">
        <f>IF(M5=0,0,M5/TrAvia_ene!M5)</f>
        <v>3.0103092</v>
      </c>
      <c r="N19" s="98">
        <f>IF(N5=0,0,N5/TrAvia_ene!N5)</f>
        <v>3.0103092000000005</v>
      </c>
      <c r="O19" s="98">
        <f>IF(O5=0,0,O5/TrAvia_ene!O5)</f>
        <v>3.0103092</v>
      </c>
      <c r="P19" s="98">
        <f>IF(P5=0,0,P5/TrAvia_ene!P5)</f>
        <v>3.0103092000000005</v>
      </c>
      <c r="Q19" s="98">
        <f>IF(Q5=0,0,Q5/TrAvia_ene!Q5)</f>
        <v>3.0102934791532552</v>
      </c>
      <c r="R19" s="98">
        <f>IF(R5=0,0,R5/TrAvia_ene!R5)</f>
        <v>3.0103078765038327</v>
      </c>
      <c r="S19" s="98">
        <f>IF(S5=0,0,S5/TrAvia_ene!S5)</f>
        <v>3.0103092000000014</v>
      </c>
      <c r="T19" s="98">
        <f>IF(T5=0,0,T5/TrAvia_ene!T5)</f>
        <v>3.0103092000000005</v>
      </c>
      <c r="U19" s="98">
        <f>IF(U5=0,0,U5/TrAvia_ene!U5)</f>
        <v>3.0103092000000009</v>
      </c>
      <c r="V19" s="98">
        <f>IF(V5=0,0,V5/TrAvia_ene!V5)</f>
        <v>3.0103092</v>
      </c>
      <c r="W19" s="98">
        <f>IF(W5=0,0,W5/TrAvia_ene!W5)</f>
        <v>3.0103092000000014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15354.355099207654</v>
      </c>
      <c r="C21" s="54">
        <f>IF(C3=0,0,C3/TrAvia_act!C13*1000)</f>
        <v>15337.058155576335</v>
      </c>
      <c r="D21" s="54">
        <f>IF(D3=0,0,D3/TrAvia_act!D13*1000)</f>
        <v>14529.388684398413</v>
      </c>
      <c r="E21" s="54">
        <f>IF(E3=0,0,E3/TrAvia_act!E13*1000)</f>
        <v>15118.423219327555</v>
      </c>
      <c r="F21" s="54">
        <f>IF(F3=0,0,F3/TrAvia_act!F13*1000)</f>
        <v>15574.631595643119</v>
      </c>
      <c r="G21" s="54">
        <f>IF(G3=0,0,G3/TrAvia_act!G13*1000)</f>
        <v>16195.889833072801</v>
      </c>
      <c r="H21" s="54">
        <f>IF(H3=0,0,H3/TrAvia_act!H13*1000)</f>
        <v>16716.827701044156</v>
      </c>
      <c r="I21" s="54">
        <f>IF(I3=0,0,I3/TrAvia_act!I13*1000)</f>
        <v>17106.674106589046</v>
      </c>
      <c r="J21" s="54">
        <f>IF(J3=0,0,J3/TrAvia_act!J13*1000)</f>
        <v>15901.17101419925</v>
      </c>
      <c r="K21" s="54">
        <f>IF(K3=0,0,K3/TrAvia_act!K13*1000)</f>
        <v>15381.341975567339</v>
      </c>
      <c r="L21" s="54">
        <f>IF(L3=0,0,L3/TrAvia_act!L13*1000)</f>
        <v>15006.324767058566</v>
      </c>
      <c r="M21" s="54">
        <f>IF(M3=0,0,M3/TrAvia_act!M13*1000)</f>
        <v>14989.36348747279</v>
      </c>
      <c r="N21" s="54">
        <f>IF(N3=0,0,N3/TrAvia_act!N13*1000)</f>
        <v>15168.490050014516</v>
      </c>
      <c r="O21" s="54">
        <f>IF(O3=0,0,O3/TrAvia_act!O13*1000)</f>
        <v>14730.710917445258</v>
      </c>
      <c r="P21" s="54">
        <f>IF(P3=0,0,P3/TrAvia_act!P13*1000)</f>
        <v>15472.215450890133</v>
      </c>
      <c r="Q21" s="54">
        <f>IF(Q3=0,0,Q3/TrAvia_act!Q13*1000)</f>
        <v>14887.604720365569</v>
      </c>
      <c r="R21" s="54">
        <f>IF(R3=0,0,R3/TrAvia_act!R13*1000)</f>
        <v>15034.412033763047</v>
      </c>
      <c r="S21" s="54">
        <f>IF(S3=0,0,S3/TrAvia_act!S13*1000)</f>
        <v>15440.982917419373</v>
      </c>
      <c r="T21" s="54">
        <f>IF(T3=0,0,T3/TrAvia_act!T13*1000)</f>
        <v>15332.302076359327</v>
      </c>
      <c r="U21" s="54">
        <f>IF(U3=0,0,U3/TrAvia_act!U13*1000)</f>
        <v>15754.212051474677</v>
      </c>
      <c r="V21" s="54">
        <f>IF(V3=0,0,V3/TrAvia_act!V13*1000)</f>
        <v>15131.940539707946</v>
      </c>
      <c r="W21" s="54">
        <f>IF(W3=0,0,W3/TrAvia_act!W13*1000)</f>
        <v>14716.730473899117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15382.557077486748</v>
      </c>
      <c r="C22" s="11">
        <f>IF(C6=0,0,C6/TrAvia_act!C14*1000)</f>
        <v>15365.705036819654</v>
      </c>
      <c r="D22" s="11">
        <f>IF(D6=0,0,D6/TrAvia_act!D14*1000)</f>
        <v>14553.57957763897</v>
      </c>
      <c r="E22" s="11">
        <f>IF(E6=0,0,E6/TrAvia_act!E14*1000)</f>
        <v>15132.950752069019</v>
      </c>
      <c r="F22" s="11">
        <f>IF(F6=0,0,F6/TrAvia_act!F14*1000)</f>
        <v>15589.977088188954</v>
      </c>
      <c r="G22" s="11">
        <f>IF(G6=0,0,G6/TrAvia_act!G14*1000)</f>
        <v>16218.108774978244</v>
      </c>
      <c r="H22" s="11">
        <f>IF(H6=0,0,H6/TrAvia_act!H14*1000)</f>
        <v>16748.467805639382</v>
      </c>
      <c r="I22" s="11">
        <f>IF(I6=0,0,I6/TrAvia_act!I14*1000)</f>
        <v>17135.2143185143</v>
      </c>
      <c r="J22" s="11">
        <f>IF(J6=0,0,J6/TrAvia_act!J14*1000)</f>
        <v>15625.486955226081</v>
      </c>
      <c r="K22" s="11">
        <f>IF(K6=0,0,K6/TrAvia_act!K14*1000)</f>
        <v>15155.983050025045</v>
      </c>
      <c r="L22" s="11">
        <f>IF(L6=0,0,L6/TrAvia_act!L14*1000)</f>
        <v>14727.180696146301</v>
      </c>
      <c r="M22" s="11">
        <f>IF(M6=0,0,M6/TrAvia_act!M14*1000)</f>
        <v>14751.62921517243</v>
      </c>
      <c r="N22" s="11">
        <f>IF(N6=0,0,N6/TrAvia_act!N14*1000)</f>
        <v>14932.356686014768</v>
      </c>
      <c r="O22" s="11">
        <f>IF(O6=0,0,O6/TrAvia_act!O14*1000)</f>
        <v>14528.861567252627</v>
      </c>
      <c r="P22" s="11">
        <f>IF(P6=0,0,P6/TrAvia_act!P14*1000)</f>
        <v>15281.808765350128</v>
      </c>
      <c r="Q22" s="11">
        <f>IF(Q6=0,0,Q6/TrAvia_act!Q14*1000)</f>
        <v>14730.643226040744</v>
      </c>
      <c r="R22" s="11">
        <f>IF(R6=0,0,R6/TrAvia_act!R14*1000)</f>
        <v>14947.467411665495</v>
      </c>
      <c r="S22" s="11">
        <f>IF(S6=0,0,S6/TrAvia_act!S14*1000)</f>
        <v>15422.906516500649</v>
      </c>
      <c r="T22" s="11">
        <f>IF(T6=0,0,T6/TrAvia_act!T14*1000)</f>
        <v>15367.889864918247</v>
      </c>
      <c r="U22" s="11">
        <f>IF(U6=0,0,U6/TrAvia_act!U14*1000)</f>
        <v>15788.338222104214</v>
      </c>
      <c r="V22" s="11">
        <f>IF(V6=0,0,V6/TrAvia_act!V14*1000)</f>
        <v>15138.761659367661</v>
      </c>
      <c r="W22" s="11">
        <f>IF(W6=0,0,W6/TrAvia_act!W14*1000)</f>
        <v>14844.82699357845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23520.968296893265</v>
      </c>
      <c r="C23" s="84">
        <f>IF(C7=0,0,C7/TrAvia_act!C15*1000)</f>
        <v>23493.205240515839</v>
      </c>
      <c r="D23" s="84">
        <f>IF(D7=0,0,D7/TrAvia_act!D15*1000)</f>
        <v>18933.249955514118</v>
      </c>
      <c r="E23" s="84">
        <f>IF(E7=0,0,E7/TrAvia_act!E15*1000)</f>
        <v>15506.708575492774</v>
      </c>
      <c r="F23" s="84">
        <f>IF(F7=0,0,F7/TrAvia_act!F15*1000)</f>
        <v>9605.9141868576571</v>
      </c>
      <c r="G23" s="84">
        <f>IF(G7=0,0,G7/TrAvia_act!G15*1000)</f>
        <v>10907.875625644465</v>
      </c>
      <c r="H23" s="84">
        <f>IF(H7=0,0,H7/TrAvia_act!H15*1000)</f>
        <v>11581.989084597255</v>
      </c>
      <c r="I23" s="84">
        <f>IF(I7=0,0,I7/TrAvia_act!I15*1000)</f>
        <v>13274.738516619225</v>
      </c>
      <c r="J23" s="84">
        <f>IF(J7=0,0,J7/TrAvia_act!J15*1000)</f>
        <v>13001.616526473215</v>
      </c>
      <c r="K23" s="84">
        <f>IF(K7=0,0,K7/TrAvia_act!K15*1000)</f>
        <v>13807.099902106229</v>
      </c>
      <c r="L23" s="84">
        <f>IF(L7=0,0,L7/TrAvia_act!L15*1000)</f>
        <v>13366.895288327703</v>
      </c>
      <c r="M23" s="84">
        <f>IF(M7=0,0,M7/TrAvia_act!M15*1000)</f>
        <v>13399.166865829684</v>
      </c>
      <c r="N23" s="84">
        <f>IF(N7=0,0,N7/TrAvia_act!N15*1000)</f>
        <v>16715.886402828175</v>
      </c>
      <c r="O23" s="84">
        <f>IF(O7=0,0,O7/TrAvia_act!O15*1000)</f>
        <v>15551.748900165696</v>
      </c>
      <c r="P23" s="84">
        <f>IF(P7=0,0,P7/TrAvia_act!P15*1000)</f>
        <v>14459.211176244287</v>
      </c>
      <c r="Q23" s="84">
        <f>IF(Q7=0,0,Q7/TrAvia_act!Q15*1000)</f>
        <v>13502.298473560788</v>
      </c>
      <c r="R23" s="84">
        <f>IF(R7=0,0,R7/TrAvia_act!R15*1000)</f>
        <v>13676.587472830544</v>
      </c>
      <c r="S23" s="84">
        <f>IF(S7=0,0,S7/TrAvia_act!S15*1000)</f>
        <v>13457.853327448001</v>
      </c>
      <c r="T23" s="84">
        <f>IF(T7=0,0,T7/TrAvia_act!T15*1000)</f>
        <v>13069.714458318804</v>
      </c>
      <c r="U23" s="84">
        <f>IF(U7=0,0,U7/TrAvia_act!U15*1000)</f>
        <v>13427.845427132886</v>
      </c>
      <c r="V23" s="84">
        <f>IF(V7=0,0,V7/TrAvia_act!V15*1000)</f>
        <v>12606.175422851729</v>
      </c>
      <c r="W23" s="84">
        <f>IF(W7=0,0,W7/TrAvia_act!W15*1000)</f>
        <v>11769.085522027772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11724.927353176638</v>
      </c>
      <c r="C24" s="84">
        <f>IF(C8=0,0,C8/TrAvia_act!C16*1000)</f>
        <v>11710.582209154192</v>
      </c>
      <c r="D24" s="84">
        <f>IF(D8=0,0,D8/TrAvia_act!D16*1000)</f>
        <v>11351.282620267695</v>
      </c>
      <c r="E24" s="84">
        <f>IF(E8=0,0,E8/TrAvia_act!E16*1000)</f>
        <v>12004.120988076491</v>
      </c>
      <c r="F24" s="84">
        <f>IF(F8=0,0,F8/TrAvia_act!F16*1000)</f>
        <v>12526.821981852754</v>
      </c>
      <c r="G24" s="84">
        <f>IF(G8=0,0,G8/TrAvia_act!G16*1000)</f>
        <v>13220.292438582763</v>
      </c>
      <c r="H24" s="84">
        <f>IF(H8=0,0,H8/TrAvia_act!H16*1000)</f>
        <v>13713.563010273883</v>
      </c>
      <c r="I24" s="84">
        <f>IF(I8=0,0,I8/TrAvia_act!I16*1000)</f>
        <v>14060.131348579864</v>
      </c>
      <c r="J24" s="84">
        <f>IF(J8=0,0,J8/TrAvia_act!J16*1000)</f>
        <v>12771.510699322813</v>
      </c>
      <c r="K24" s="84">
        <f>IF(K8=0,0,K8/TrAvia_act!K16*1000)</f>
        <v>12053.199267811429</v>
      </c>
      <c r="L24" s="84">
        <f>IF(L8=0,0,L8/TrAvia_act!L16*1000)</f>
        <v>11859.249443112834</v>
      </c>
      <c r="M24" s="84">
        <f>IF(M8=0,0,M8/TrAvia_act!M16*1000)</f>
        <v>12231.034006764448</v>
      </c>
      <c r="N24" s="84">
        <f>IF(N8=0,0,N8/TrAvia_act!N16*1000)</f>
        <v>12319.601743213056</v>
      </c>
      <c r="O24" s="84">
        <f>IF(O8=0,0,O8/TrAvia_act!O16*1000)</f>
        <v>11955.056344906085</v>
      </c>
      <c r="P24" s="84">
        <f>IF(P8=0,0,P8/TrAvia_act!P16*1000)</f>
        <v>13091.542370519053</v>
      </c>
      <c r="Q24" s="84">
        <f>IF(Q8=0,0,Q8/TrAvia_act!Q16*1000)</f>
        <v>12778.55024257112</v>
      </c>
      <c r="R24" s="84">
        <f>IF(R8=0,0,R8/TrAvia_act!R16*1000)</f>
        <v>13107.829708996442</v>
      </c>
      <c r="S24" s="84">
        <f>IF(S8=0,0,S8/TrAvia_act!S16*1000)</f>
        <v>13547.282546936971</v>
      </c>
      <c r="T24" s="84">
        <f>IF(T8=0,0,T8/TrAvia_act!T16*1000)</f>
        <v>13676.994099006575</v>
      </c>
      <c r="U24" s="84">
        <f>IF(U8=0,0,U8/TrAvia_act!U16*1000)</f>
        <v>14149.74196638405</v>
      </c>
      <c r="V24" s="84">
        <f>IF(V8=0,0,V8/TrAvia_act!V16*1000)</f>
        <v>11996.106238963132</v>
      </c>
      <c r="W24" s="84">
        <f>IF(W8=0,0,W8/TrAvia_act!W16*1000)</f>
        <v>12797.669016077896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23868.703576801043</v>
      </c>
      <c r="C25" s="84">
        <f>IF(C9=0,0,C9/TrAvia_act!C17*1000)</f>
        <v>23839.500818472388</v>
      </c>
      <c r="D25" s="84">
        <f>IF(D9=0,0,D9/TrAvia_act!D17*1000)</f>
        <v>23103.11403872287</v>
      </c>
      <c r="E25" s="84">
        <f>IF(E9=0,0,E9/TrAvia_act!E17*1000)</f>
        <v>24425.333269261922</v>
      </c>
      <c r="F25" s="84">
        <f>IF(F9=0,0,F9/TrAvia_act!F17*1000)</f>
        <v>25488.630672766285</v>
      </c>
      <c r="G25" s="84">
        <f>IF(G9=0,0,G9/TrAvia_act!G17*1000)</f>
        <v>24907.432784153578</v>
      </c>
      <c r="H25" s="84">
        <f>IF(H9=0,0,H9/TrAvia_act!H17*1000)</f>
        <v>25603.536142107045</v>
      </c>
      <c r="I25" s="84">
        <f>IF(I9=0,0,I9/TrAvia_act!I17*1000)</f>
        <v>25953.821372929971</v>
      </c>
      <c r="J25" s="84">
        <f>IF(J9=0,0,J9/TrAvia_act!J17*1000)</f>
        <v>23588.88468955017</v>
      </c>
      <c r="K25" s="84">
        <f>IF(K9=0,0,K9/TrAvia_act!K17*1000)</f>
        <v>23144.217428586129</v>
      </c>
      <c r="L25" s="84">
        <f>IF(L9=0,0,L9/TrAvia_act!L17*1000)</f>
        <v>21702.839661138827</v>
      </c>
      <c r="M25" s="84">
        <f>IF(M9=0,0,M9/TrAvia_act!M17*1000)</f>
        <v>20418.211610258881</v>
      </c>
      <c r="N25" s="84">
        <f>IF(N9=0,0,N9/TrAvia_act!N17*1000)</f>
        <v>20050.204344516675</v>
      </c>
      <c r="O25" s="84">
        <f>IF(O9=0,0,O9/TrAvia_act!O17*1000)</f>
        <v>19789.32911891364</v>
      </c>
      <c r="P25" s="84">
        <f>IF(P9=0,0,P9/TrAvia_act!P17*1000)</f>
        <v>19570.819034242853</v>
      </c>
      <c r="Q25" s="84">
        <f>IF(Q9=0,0,Q9/TrAvia_act!Q17*1000)</f>
        <v>18568.217107327095</v>
      </c>
      <c r="R25" s="84">
        <f>IF(R9=0,0,R9/TrAvia_act!R17*1000)</f>
        <v>18765.326982935625</v>
      </c>
      <c r="S25" s="84">
        <f>IF(S9=0,0,S9/TrAvia_act!S17*1000)</f>
        <v>19468.100349018256</v>
      </c>
      <c r="T25" s="84">
        <f>IF(T9=0,0,T9/TrAvia_act!T17*1000)</f>
        <v>18837.267054649965</v>
      </c>
      <c r="U25" s="84">
        <f>IF(U9=0,0,U9/TrAvia_act!U17*1000)</f>
        <v>18930.440212736547</v>
      </c>
      <c r="V25" s="84">
        <f>IF(V9=0,0,V9/TrAvia_act!V17*1000)</f>
        <v>21068.775461208304</v>
      </c>
      <c r="W25" s="84">
        <f>IF(W9=0,0,W9/TrAvia_act!W17*1000)</f>
        <v>18736.253066693342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12863.246097572453</v>
      </c>
      <c r="C26" s="13">
        <f>IF(C10=0,0,C10/TrAvia_act!C18*1000)</f>
        <v>12859.105698790312</v>
      </c>
      <c r="D26" s="13">
        <f>IF(D10=0,0,D10/TrAvia_act!D18*1000)</f>
        <v>12513.000127896845</v>
      </c>
      <c r="E26" s="13">
        <f>IF(E10=0,0,E10/TrAvia_act!E18*1000)</f>
        <v>13489.075487878481</v>
      </c>
      <c r="F26" s="13">
        <f>IF(F10=0,0,F10/TrAvia_act!F18*1000)</f>
        <v>13861.965807347673</v>
      </c>
      <c r="G26" s="13">
        <f>IF(G10=0,0,G10/TrAvia_act!G18*1000)</f>
        <v>14002.909488014651</v>
      </c>
      <c r="H26" s="13">
        <f>IF(H10=0,0,H10/TrAvia_act!H18*1000)</f>
        <v>14145.582463392519</v>
      </c>
      <c r="I26" s="13">
        <f>IF(I10=0,0,I10/TrAvia_act!I18*1000)</f>
        <v>14627.598733875191</v>
      </c>
      <c r="J26" s="13">
        <f>IF(J10=0,0,J10/TrAvia_act!J18*1000)</f>
        <v>20399.027732474151</v>
      </c>
      <c r="K26" s="13">
        <f>IF(K10=0,0,K10/TrAvia_act!K18*1000)</f>
        <v>20086.657145510424</v>
      </c>
      <c r="L26" s="13">
        <f>IF(L10=0,0,L10/TrAvia_act!L18*1000)</f>
        <v>21341.593702842245</v>
      </c>
      <c r="M26" s="13">
        <f>IF(M10=0,0,M10/TrAvia_act!M18*1000)</f>
        <v>20591.560285800464</v>
      </c>
      <c r="N26" s="13">
        <f>IF(N10=0,0,N10/TrAvia_act!N18*1000)</f>
        <v>20298.989206050421</v>
      </c>
      <c r="O26" s="13">
        <f>IF(O10=0,0,O10/TrAvia_act!O18*1000)</f>
        <v>19937.380113789168</v>
      </c>
      <c r="P26" s="13">
        <f>IF(P10=0,0,P10/TrAvia_act!P18*1000)</f>
        <v>19631.755208389346</v>
      </c>
      <c r="Q26" s="13">
        <f>IF(Q10=0,0,Q10/TrAvia_act!Q18*1000)</f>
        <v>18586.780522576872</v>
      </c>
      <c r="R26" s="13">
        <f>IF(R10=0,0,R10/TrAvia_act!R18*1000)</f>
        <v>17675.111151647579</v>
      </c>
      <c r="S26" s="13">
        <f>IF(S10=0,0,S10/TrAvia_act!S18*1000)</f>
        <v>15926.219112923312</v>
      </c>
      <c r="T26" s="13">
        <f>IF(T10=0,0,T10/TrAvia_act!T18*1000)</f>
        <v>14126.405879331953</v>
      </c>
      <c r="U26" s="13">
        <f>IF(U10=0,0,U10/TrAvia_act!U18*1000)</f>
        <v>14732.566166280631</v>
      </c>
      <c r="V26" s="13">
        <f>IF(V10=0,0,V10/TrAvia_act!V18*1000)</f>
        <v>15058.577377873769</v>
      </c>
      <c r="W26" s="13">
        <f>IF(W10=0,0,W10/TrAvia_act!W18*1000)</f>
        <v>13601.374053697982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20101.099685149737</v>
      </c>
      <c r="C27" s="102">
        <f>IF(C11=0,0,C11/TrAvia_act!C19*1000)</f>
        <v>20077.373282530476</v>
      </c>
      <c r="D27" s="102">
        <f>IF(D11=0,0,D11/TrAvia_act!D19*1000)</f>
        <v>16180.419951924954</v>
      </c>
      <c r="E27" s="102">
        <f>IF(E11=0,0,E11/TrAvia_act!E19*1000)</f>
        <v>13252.08600811376</v>
      </c>
      <c r="F27" s="102">
        <f>IF(F11=0,0,F11/TrAvia_act!F19*1000)</f>
        <v>8209.2470088709651</v>
      </c>
      <c r="G27" s="102">
        <f>IF(G11=0,0,G11/TrAvia_act!G19*1000)</f>
        <v>9255.3544899437657</v>
      </c>
      <c r="H27" s="102">
        <f>IF(H11=0,0,H11/TrAvia_act!H19*1000)</f>
        <v>10982.765415989234</v>
      </c>
      <c r="I27" s="102">
        <f>IF(I11=0,0,I11/TrAvia_act!I19*1000)</f>
        <v>14311.033267509563</v>
      </c>
      <c r="J27" s="102">
        <f>IF(J11=0,0,J11/TrAvia_act!J19*1000)</f>
        <v>16216.841076368375</v>
      </c>
      <c r="K27" s="102">
        <f>IF(K11=0,0,K11/TrAvia_act!K19*1000)</f>
        <v>20520.311647994105</v>
      </c>
      <c r="L27" s="102">
        <f>IF(L11=0,0,L11/TrAvia_act!L19*1000)</f>
        <v>25387.155630900183</v>
      </c>
      <c r="M27" s="102">
        <f>IF(M11=0,0,M11/TrAvia_act!M19*1000)</f>
        <v>26909.406582164745</v>
      </c>
      <c r="N27" s="102">
        <f>IF(N11=0,0,N11/TrAvia_act!N19*1000)</f>
        <v>34343.569234435658</v>
      </c>
      <c r="O27" s="102">
        <f>IF(O11=0,0,O11/TrAvia_act!O19*1000)</f>
        <v>29471.927801219299</v>
      </c>
      <c r="P27" s="102">
        <f>IF(P11=0,0,P11/TrAvia_act!P19*1000)</f>
        <v>25458.017060822425</v>
      </c>
      <c r="Q27" s="102">
        <f>IF(Q11=0,0,Q11/TrAvia_act!Q19*1000)</f>
        <v>22104.614246368183</v>
      </c>
      <c r="R27" s="102">
        <f>IF(R11=0,0,R11/TrAvia_act!R19*1000)</f>
        <v>20735.987607700168</v>
      </c>
      <c r="S27" s="102">
        <f>IF(S11=0,0,S11/TrAvia_act!S19*1000)</f>
        <v>19090.275930023432</v>
      </c>
      <c r="T27" s="102">
        <f>IF(T11=0,0,T11/TrAvia_act!T19*1000)</f>
        <v>17498.698137286159</v>
      </c>
      <c r="U27" s="102">
        <f>IF(U11=0,0,U11/TrAvia_act!U19*1000)</f>
        <v>14224.275519393124</v>
      </c>
      <c r="V27" s="102">
        <f>IF(V11=0,0,V11/TrAvia_act!V19*1000)</f>
        <v>13357.967885200416</v>
      </c>
      <c r="W27" s="102">
        <f>IF(W11=0,0,W11/TrAvia_act!W19*1000)</f>
        <v>12450.772006100624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12150.477957201461</v>
      </c>
      <c r="C28" s="102">
        <f>IF(C12=0,0,C12/TrAvia_act!C20*1000)</f>
        <v>12134.85711835262</v>
      </c>
      <c r="D28" s="102">
        <f>IF(D12=0,0,D12/TrAvia_act!D20*1000)</f>
        <v>11764.165147522017</v>
      </c>
      <c r="E28" s="102">
        <f>IF(E12=0,0,E12/TrAvia_act!E20*1000)</f>
        <v>12446.394571640472</v>
      </c>
      <c r="F28" s="102">
        <f>IF(F12=0,0,F12/TrAvia_act!F20*1000)</f>
        <v>12980.345002966336</v>
      </c>
      <c r="G28" s="102">
        <f>IF(G12=0,0,G12/TrAvia_act!G20*1000)</f>
        <v>13547.753510715766</v>
      </c>
      <c r="H28" s="102">
        <f>IF(H12=0,0,H12/TrAvia_act!H20*1000)</f>
        <v>13987.643161804826</v>
      </c>
      <c r="I28" s="102">
        <f>IF(I12=0,0,I12/TrAvia_act!I20*1000)</f>
        <v>14324.801717195001</v>
      </c>
      <c r="J28" s="102">
        <f>IF(J12=0,0,J12/TrAvia_act!J20*1000)</f>
        <v>13391.749261837209</v>
      </c>
      <c r="K28" s="102">
        <f>IF(K12=0,0,K12/TrAvia_act!K20*1000)</f>
        <v>12451.456577957037</v>
      </c>
      <c r="L28" s="102">
        <f>IF(L12=0,0,L12/TrAvia_act!L20*1000)</f>
        <v>12449.565512050605</v>
      </c>
      <c r="M28" s="102">
        <f>IF(M12=0,0,M12/TrAvia_act!M20*1000)</f>
        <v>12760.836367807076</v>
      </c>
      <c r="N28" s="102">
        <f>IF(N12=0,0,N12/TrAvia_act!N20*1000)</f>
        <v>12748.808475099282</v>
      </c>
      <c r="O28" s="102">
        <f>IF(O12=0,0,O12/TrAvia_act!O20*1000)</f>
        <v>12571.376440956677</v>
      </c>
      <c r="P28" s="102">
        <f>IF(P12=0,0,P12/TrAvia_act!P20*1000)</f>
        <v>14149.008528458742</v>
      </c>
      <c r="Q28" s="102">
        <f>IF(Q12=0,0,Q12/TrAvia_act!Q20*1000)</f>
        <v>14196.308697158116</v>
      </c>
      <c r="R28" s="102">
        <f>IF(R12=0,0,R12/TrAvia_act!R20*1000)</f>
        <v>14635.005700161106</v>
      </c>
      <c r="S28" s="102">
        <f>IF(S12=0,0,S12/TrAvia_act!S20*1000)</f>
        <v>15137.781119778114</v>
      </c>
      <c r="T28" s="102">
        <f>IF(T12=0,0,T12/TrAvia_act!T20*1000)</f>
        <v>15447.332421997768</v>
      </c>
      <c r="U28" s="102">
        <f>IF(U12=0,0,U12/TrAvia_act!U20*1000)</f>
        <v>15919.825091863624</v>
      </c>
      <c r="V28" s="102">
        <f>IF(V12=0,0,V12/TrAvia_act!V20*1000)</f>
        <v>13717.153821895296</v>
      </c>
      <c r="W28" s="102">
        <f>IF(W12=0,0,W12/TrAvia_act!W20*1000)</f>
        <v>12786.096751223402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23079.51646039898</v>
      </c>
      <c r="C29" s="86">
        <f>IF(C13=0,0,C13/TrAvia_act!C21*1000)</f>
        <v>23051.279252652585</v>
      </c>
      <c r="D29" s="86">
        <f>IF(D13=0,0,D13/TrAvia_act!D21*1000)</f>
        <v>22339.240127872981</v>
      </c>
      <c r="E29" s="86">
        <f>IF(E13=0,0,E13/TrAvia_act!E21*1000)</f>
        <v>23617.741928244832</v>
      </c>
      <c r="F29" s="86">
        <f>IF(F13=0,0,F13/TrAvia_act!F21*1000)</f>
        <v>24645.882809357881</v>
      </c>
      <c r="G29" s="86">
        <f>IF(G13=0,0,G13/TrAvia_act!G21*1000)</f>
        <v>23842.31927838604</v>
      </c>
      <c r="H29" s="86">
        <f>IF(H13=0,0,H13/TrAvia_act!H21*1000)</f>
        <v>23020.009849296563</v>
      </c>
      <c r="I29" s="86">
        <f>IF(I13=0,0,I13/TrAvia_act!I21*1000)</f>
        <v>25153.843111958788</v>
      </c>
      <c r="J29" s="86">
        <f>IF(J13=0,0,J13/TrAvia_act!J21*1000)</f>
        <v>24929.053725253922</v>
      </c>
      <c r="K29" s="86">
        <f>IF(K13=0,0,K13/TrAvia_act!K21*1000)</f>
        <v>24661.725499558546</v>
      </c>
      <c r="L29" s="86">
        <f>IF(L13=0,0,L13/TrAvia_act!L21*1000)</f>
        <v>24406.127939028578</v>
      </c>
      <c r="M29" s="86">
        <f>IF(M13=0,0,M13/TrAvia_act!M21*1000)</f>
        <v>23143.593278975633</v>
      </c>
      <c r="N29" s="86">
        <f>IF(N13=0,0,N13/TrAvia_act!N21*1000)</f>
        <v>22221.835929156958</v>
      </c>
      <c r="O29" s="86">
        <f>IF(O13=0,0,O13/TrAvia_act!O21*1000)</f>
        <v>21734.202252842239</v>
      </c>
      <c r="P29" s="86">
        <f>IF(P13=0,0,P13/TrAvia_act!P21*1000)</f>
        <v>21377.284625026805</v>
      </c>
      <c r="Q29" s="86">
        <f>IF(Q13=0,0,Q13/TrAvia_act!Q21*1000)</f>
        <v>20053.713092537604</v>
      </c>
      <c r="R29" s="86">
        <f>IF(R13=0,0,R13/TrAvia_act!R21*1000)</f>
        <v>18623.55158119183</v>
      </c>
      <c r="S29" s="86">
        <f>IF(S13=0,0,S13/TrAvia_act!S21*1000)</f>
        <v>16188.711957751888</v>
      </c>
      <c r="T29" s="86">
        <f>IF(T13=0,0,T13/TrAvia_act!T21*1000)</f>
        <v>13561.996771475731</v>
      </c>
      <c r="U29" s="86">
        <f>IF(U13=0,0,U13/TrAvia_act!U21*1000)</f>
        <v>14227.580117451154</v>
      </c>
      <c r="V29" s="86">
        <f>IF(V13=0,0,V13/TrAvia_act!V21*1000)</f>
        <v>15853.682411283215</v>
      </c>
      <c r="W29" s="86">
        <f>IF(W13=0,0,W13/TrAvia_act!W21*1000)</f>
        <v>14074.098558539485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148.13553787457749</v>
      </c>
      <c r="C32" s="14">
        <f>IF(C6=0,0,C6/TrAvia_act!C4*1000)</f>
        <v>145.39548518565141</v>
      </c>
      <c r="D32" s="14">
        <f>IF(D6=0,0,D6/TrAvia_act!D4*1000)</f>
        <v>126.03939919240237</v>
      </c>
      <c r="E32" s="14">
        <f>IF(E6=0,0,E6/TrAvia_act!E4*1000)</f>
        <v>134.4414990756442</v>
      </c>
      <c r="F32" s="14">
        <f>IF(F6=0,0,F6/TrAvia_act!F4*1000)</f>
        <v>139.23232189745519</v>
      </c>
      <c r="G32" s="14">
        <f>IF(G6=0,0,G6/TrAvia_act!G4*1000)</f>
        <v>135.78933543038374</v>
      </c>
      <c r="H32" s="14">
        <f>IF(H6=0,0,H6/TrAvia_act!H4*1000)</f>
        <v>132.17326334658242</v>
      </c>
      <c r="I32" s="14">
        <f>IF(I6=0,0,I6/TrAvia_act!I4*1000)</f>
        <v>136.29569708376198</v>
      </c>
      <c r="J32" s="14">
        <f>IF(J6=0,0,J6/TrAvia_act!J4*1000)</f>
        <v>130.98661340070288</v>
      </c>
      <c r="K32" s="14">
        <f>IF(K6=0,0,K6/TrAvia_act!K4*1000)</f>
        <v>123.97335924217248</v>
      </c>
      <c r="L32" s="14">
        <f>IF(L6=0,0,L6/TrAvia_act!L4*1000)</f>
        <v>117.01673796475021</v>
      </c>
      <c r="M32" s="14">
        <f>IF(M6=0,0,M6/TrAvia_act!M4*1000)</f>
        <v>117.28675889389133</v>
      </c>
      <c r="N32" s="14">
        <f>IF(N6=0,0,N6/TrAvia_act!N4*1000)</f>
        <v>111.02635027121951</v>
      </c>
      <c r="O32" s="14">
        <f>IF(O6=0,0,O6/TrAvia_act!O4*1000)</f>
        <v>105.91533114215046</v>
      </c>
      <c r="P32" s="14">
        <f>IF(P6=0,0,P6/TrAvia_act!P4*1000)</f>
        <v>106.64610208108411</v>
      </c>
      <c r="Q32" s="14">
        <f>IF(Q6=0,0,Q6/TrAvia_act!Q4*1000)</f>
        <v>102.81965747656189</v>
      </c>
      <c r="R32" s="14">
        <f>IF(R6=0,0,R6/TrAvia_act!R4*1000)</f>
        <v>103.20472912539287</v>
      </c>
      <c r="S32" s="14">
        <f>IF(S6=0,0,S6/TrAvia_act!S4*1000)</f>
        <v>102.59932511692982</v>
      </c>
      <c r="T32" s="14">
        <f>IF(T6=0,0,T6/TrAvia_act!T4*1000)</f>
        <v>102.15954896816051</v>
      </c>
      <c r="U32" s="14">
        <f>IF(U6=0,0,U6/TrAvia_act!U4*1000)</f>
        <v>104.75886308257421</v>
      </c>
      <c r="V32" s="14">
        <f>IF(V6=0,0,V6/TrAvia_act!V4*1000)</f>
        <v>134.02218676187292</v>
      </c>
      <c r="W32" s="14">
        <f>IF(W6=0,0,W6/TrAvia_act!W4*1000)</f>
        <v>135.22718326256552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479.9782662968625</v>
      </c>
      <c r="C33" s="87">
        <f>IF(C7=0,0,C7/TrAvia_act!C5*1000)</f>
        <v>477.36307697874804</v>
      </c>
      <c r="D33" s="87">
        <f>IF(D7=0,0,D7/TrAvia_act!D5*1000)</f>
        <v>436.55015902518147</v>
      </c>
      <c r="E33" s="87">
        <f>IF(E7=0,0,E7/TrAvia_act!E5*1000)</f>
        <v>391.70231380614104</v>
      </c>
      <c r="F33" s="87">
        <f>IF(F7=0,0,F7/TrAvia_act!F5*1000)</f>
        <v>261.1145917940093</v>
      </c>
      <c r="G33" s="87">
        <f>IF(G7=0,0,G7/TrAvia_act!G5*1000)</f>
        <v>276.60557334913835</v>
      </c>
      <c r="H33" s="87">
        <f>IF(H7=0,0,H7/TrAvia_act!H5*1000)</f>
        <v>270.03896581526101</v>
      </c>
      <c r="I33" s="87">
        <f>IF(I7=0,0,I7/TrAvia_act!I5*1000)</f>
        <v>285.82010802510376</v>
      </c>
      <c r="J33" s="87">
        <f>IF(J7=0,0,J7/TrAvia_act!J5*1000)</f>
        <v>291.41566598362255</v>
      </c>
      <c r="K33" s="87">
        <f>IF(K7=0,0,K7/TrAvia_act!K5*1000)</f>
        <v>287.86690249111803</v>
      </c>
      <c r="L33" s="87">
        <f>IF(L7=0,0,L7/TrAvia_act!L5*1000)</f>
        <v>249.30979090003316</v>
      </c>
      <c r="M33" s="87">
        <f>IF(M7=0,0,M7/TrAvia_act!M5*1000)</f>
        <v>258.42975242634185</v>
      </c>
      <c r="N33" s="87">
        <f>IF(N7=0,0,N7/TrAvia_act!N5*1000)</f>
        <v>284.84249627645704</v>
      </c>
      <c r="O33" s="87">
        <f>IF(O7=0,0,O7/TrAvia_act!O5*1000)</f>
        <v>275.28210882551309</v>
      </c>
      <c r="P33" s="87">
        <f>IF(P7=0,0,P7/TrAvia_act!P5*1000)</f>
        <v>258.96320914277862</v>
      </c>
      <c r="Q33" s="87">
        <f>IF(Q7=0,0,Q7/TrAvia_act!Q5*1000)</f>
        <v>246.26478904948488</v>
      </c>
      <c r="R33" s="87">
        <f>IF(R7=0,0,R7/TrAvia_act!R5*1000)</f>
        <v>240.96626356137023</v>
      </c>
      <c r="S33" s="87">
        <f>IF(S7=0,0,S7/TrAvia_act!S5*1000)</f>
        <v>238.11751039079977</v>
      </c>
      <c r="T33" s="87">
        <f>IF(T7=0,0,T7/TrAvia_act!T5*1000)</f>
        <v>227.78559631038399</v>
      </c>
      <c r="U33" s="87">
        <f>IF(U7=0,0,U7/TrAvia_act!U5*1000)</f>
        <v>242.73286823037759</v>
      </c>
      <c r="V33" s="87">
        <f>IF(V7=0,0,V7/TrAvia_act!V5*1000)</f>
        <v>309.13755907138926</v>
      </c>
      <c r="W33" s="87">
        <f>IF(W7=0,0,W7/TrAvia_act!W5*1000)</f>
        <v>237.17843350826345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129.40747358405525</v>
      </c>
      <c r="C34" s="87">
        <f>IF(C8=0,0,C8/TrAvia_act!C6*1000)</f>
        <v>126.70264744162269</v>
      </c>
      <c r="D34" s="87">
        <f>IF(D8=0,0,D8/TrAvia_act!D6*1000)</f>
        <v>115.15241245697462</v>
      </c>
      <c r="E34" s="87">
        <f>IF(E8=0,0,E8/TrAvia_act!E6*1000)</f>
        <v>124.91096225028296</v>
      </c>
      <c r="F34" s="87">
        <f>IF(F8=0,0,F8/TrAvia_act!F6*1000)</f>
        <v>132.05323624952922</v>
      </c>
      <c r="G34" s="87">
        <f>IF(G8=0,0,G8/TrAvia_act!G6*1000)</f>
        <v>132.38746827893544</v>
      </c>
      <c r="H34" s="87">
        <f>IF(H8=0,0,H8/TrAvia_act!H6*1000)</f>
        <v>130.79165962988864</v>
      </c>
      <c r="I34" s="87">
        <f>IF(I8=0,0,I8/TrAvia_act!I6*1000)</f>
        <v>136.20808383467659</v>
      </c>
      <c r="J34" s="87">
        <f>IF(J8=0,0,J8/TrAvia_act!J6*1000)</f>
        <v>133.35221530840201</v>
      </c>
      <c r="K34" s="87">
        <f>IF(K8=0,0,K8/TrAvia_act!K6*1000)</f>
        <v>122.6478188706317</v>
      </c>
      <c r="L34" s="87">
        <f>IF(L8=0,0,L8/TrAvia_act!L6*1000)</f>
        <v>117.01215027645678</v>
      </c>
      <c r="M34" s="87">
        <f>IF(M8=0,0,M8/TrAvia_act!M6*1000)</f>
        <v>114.51016758083267</v>
      </c>
      <c r="N34" s="87">
        <f>IF(N8=0,0,N8/TrAvia_act!N6*1000)</f>
        <v>110.66914438440125</v>
      </c>
      <c r="O34" s="87">
        <f>IF(O8=0,0,O8/TrAvia_act!O6*1000)</f>
        <v>105.33191984936239</v>
      </c>
      <c r="P34" s="87">
        <f>IF(P8=0,0,P8/TrAvia_act!P6*1000)</f>
        <v>109.55957393367929</v>
      </c>
      <c r="Q34" s="87">
        <f>IF(Q8=0,0,Q8/TrAvia_act!Q6*1000)</f>
        <v>106.0966524727942</v>
      </c>
      <c r="R34" s="87">
        <f>IF(R8=0,0,R8/TrAvia_act!R6*1000)</f>
        <v>105.34144455676301</v>
      </c>
      <c r="S34" s="87">
        <f>IF(S8=0,0,S8/TrAvia_act!S6*1000)</f>
        <v>104.9535351467332</v>
      </c>
      <c r="T34" s="87">
        <f>IF(T8=0,0,T8/TrAvia_act!T6*1000)</f>
        <v>106.63348647216907</v>
      </c>
      <c r="U34" s="87">
        <f>IF(U8=0,0,U8/TrAvia_act!U6*1000)</f>
        <v>110.70151624855157</v>
      </c>
      <c r="V34" s="87">
        <f>IF(V8=0,0,V8/TrAvia_act!V6*1000)</f>
        <v>118.88981244196081</v>
      </c>
      <c r="W34" s="87">
        <f>IF(W8=0,0,W8/TrAvia_act!W6*1000)</f>
        <v>107.54495859761778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163.17718112921801</v>
      </c>
      <c r="C35" s="87">
        <f>IF(C9=0,0,C9/TrAvia_act!C7*1000)</f>
        <v>160.59690273132483</v>
      </c>
      <c r="D35" s="87">
        <f>IF(D9=0,0,D9/TrAvia_act!D7*1000)</f>
        <v>130.73180547399409</v>
      </c>
      <c r="E35" s="87">
        <f>IF(E9=0,0,E9/TrAvia_act!E7*1000)</f>
        <v>137.88957328947495</v>
      </c>
      <c r="F35" s="87">
        <f>IF(F9=0,0,F9/TrAvia_act!F7*1000)</f>
        <v>143.59094135299321</v>
      </c>
      <c r="G35" s="87">
        <f>IF(G9=0,0,G9/TrAvia_act!G7*1000)</f>
        <v>134.03904688285914</v>
      </c>
      <c r="H35" s="87">
        <f>IF(H9=0,0,H9/TrAvia_act!H7*1000)</f>
        <v>127.52222000307334</v>
      </c>
      <c r="I35" s="87">
        <f>IF(I9=0,0,I9/TrAvia_act!I7*1000)</f>
        <v>128.62110195952371</v>
      </c>
      <c r="J35" s="87">
        <f>IF(J9=0,0,J9/TrAvia_act!J7*1000)</f>
        <v>119.49520522464726</v>
      </c>
      <c r="K35" s="87">
        <f>IF(K9=0,0,K9/TrAvia_act!K7*1000)</f>
        <v>116.33046863982746</v>
      </c>
      <c r="L35" s="87">
        <f>IF(L9=0,0,L9/TrAvia_act!L7*1000)</f>
        <v>108.92942657979573</v>
      </c>
      <c r="M35" s="87">
        <f>IF(M9=0,0,M9/TrAvia_act!M7*1000)</f>
        <v>112.75885849252073</v>
      </c>
      <c r="N35" s="87">
        <f>IF(N9=0,0,N9/TrAvia_act!N7*1000)</f>
        <v>104.4234167140709</v>
      </c>
      <c r="O35" s="87">
        <f>IF(O9=0,0,O9/TrAvia_act!O7*1000)</f>
        <v>99.987679303002466</v>
      </c>
      <c r="P35" s="87">
        <f>IF(P9=0,0,P9/TrAvia_act!P7*1000)</f>
        <v>97.714614229999128</v>
      </c>
      <c r="Q35" s="87">
        <f>IF(Q9=0,0,Q9/TrAvia_act!Q7*1000)</f>
        <v>93.966531680066339</v>
      </c>
      <c r="R35" s="87">
        <f>IF(R9=0,0,R9/TrAvia_act!R7*1000)</f>
        <v>95.489867538536714</v>
      </c>
      <c r="S35" s="87">
        <f>IF(S9=0,0,S9/TrAvia_act!S7*1000)</f>
        <v>94.955199283226861</v>
      </c>
      <c r="T35" s="87">
        <f>IF(T9=0,0,T9/TrAvia_act!T7*1000)</f>
        <v>92.893368031998406</v>
      </c>
      <c r="U35" s="87">
        <f>IF(U9=0,0,U9/TrAvia_act!U7*1000)</f>
        <v>94.175355021360915</v>
      </c>
      <c r="V35" s="87">
        <f>IF(V9=0,0,V9/TrAvia_act!V7*1000)</f>
        <v>142.97634121098616</v>
      </c>
      <c r="W35" s="87">
        <f>IF(W9=0,0,W9/TrAvia_act!W7*1000)</f>
        <v>179.90144521555803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457.27993966980614</v>
      </c>
      <c r="C36" s="15">
        <f>IF(C10=0,0,C10/TrAvia_act!C8*1000)</f>
        <v>433.47361132700559</v>
      </c>
      <c r="D36" s="15">
        <f>IF(D10=0,0,D10/TrAvia_act!D8*1000)</f>
        <v>436.39749473571175</v>
      </c>
      <c r="E36" s="15">
        <f>IF(E10=0,0,E10/TrAvia_act!E8*1000)</f>
        <v>446.7597043563091</v>
      </c>
      <c r="F36" s="15">
        <f>IF(F10=0,0,F10/TrAvia_act!F8*1000)</f>
        <v>505.346066022792</v>
      </c>
      <c r="G36" s="15">
        <f>IF(G10=0,0,G10/TrAvia_act!G8*1000)</f>
        <v>553.31453173333614</v>
      </c>
      <c r="H36" s="15">
        <f>IF(H10=0,0,H10/TrAvia_act!H8*1000)</f>
        <v>677.75830340840241</v>
      </c>
      <c r="I36" s="15">
        <f>IF(I10=0,0,I10/TrAvia_act!I8*1000)</f>
        <v>710.76426674497429</v>
      </c>
      <c r="J36" s="15">
        <f>IF(J10=0,0,J10/TrAvia_act!J8*1000)</f>
        <v>427.87141969812552</v>
      </c>
      <c r="K36" s="15">
        <f>IF(K10=0,0,K10/TrAvia_act!K8*1000)</f>
        <v>372.31646822801798</v>
      </c>
      <c r="L36" s="15">
        <f>IF(L10=0,0,L10/TrAvia_act!L8*1000)</f>
        <v>344.40713085855828</v>
      </c>
      <c r="M36" s="15">
        <f>IF(M10=0,0,M10/TrAvia_act!M8*1000)</f>
        <v>326.11343295526683</v>
      </c>
      <c r="N36" s="15">
        <f>IF(N10=0,0,N10/TrAvia_act!N8*1000)</f>
        <v>285.78006272481701</v>
      </c>
      <c r="O36" s="15">
        <f>IF(O10=0,0,O10/TrAvia_act!O8*1000)</f>
        <v>278.87156712594754</v>
      </c>
      <c r="P36" s="15">
        <f>IF(P10=0,0,P10/TrAvia_act!P8*1000)</f>
        <v>253.86856600994102</v>
      </c>
      <c r="Q36" s="15">
        <f>IF(Q10=0,0,Q10/TrAvia_act!Q8*1000)</f>
        <v>247.03203153930272</v>
      </c>
      <c r="R36" s="15">
        <f>IF(R10=0,0,R10/TrAvia_act!R8*1000)</f>
        <v>218.48935579792558</v>
      </c>
      <c r="S36" s="15">
        <f>IF(S10=0,0,S10/TrAvia_act!S8*1000)</f>
        <v>202.1877065377208</v>
      </c>
      <c r="T36" s="15">
        <f>IF(T10=0,0,T10/TrAvia_act!T8*1000)</f>
        <v>184.84098321693605</v>
      </c>
      <c r="U36" s="15">
        <f>IF(U10=0,0,U10/TrAvia_act!U8*1000)</f>
        <v>186.6329195690796</v>
      </c>
      <c r="V36" s="15">
        <f>IF(V10=0,0,V10/TrAvia_act!V8*1000)</f>
        <v>296.1566635796006</v>
      </c>
      <c r="W36" s="15">
        <f>IF(W10=0,0,W10/TrAvia_act!W8*1000)</f>
        <v>308.16004777414281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1916.3407712161222</v>
      </c>
      <c r="C37" s="101">
        <f>IF(C11=0,0,C11/TrAvia_act!C9*1000)</f>
        <v>1928.7851251819798</v>
      </c>
      <c r="D37" s="101">
        <f>IF(D11=0,0,D11/TrAvia_act!D9*1000)</f>
        <v>1511.5921944071015</v>
      </c>
      <c r="E37" s="101">
        <f>IF(E11=0,0,E11/TrAvia_act!E9*1000)</f>
        <v>1163.8983894119588</v>
      </c>
      <c r="F37" s="101">
        <f>IF(F11=0,0,F11/TrAvia_act!F9*1000)</f>
        <v>765.6686723610519</v>
      </c>
      <c r="G37" s="101">
        <f>IF(G11=0,0,G11/TrAvia_act!G9*1000)</f>
        <v>882.08704103378193</v>
      </c>
      <c r="H37" s="101">
        <f>IF(H11=0,0,H11/TrAvia_act!H9*1000)</f>
        <v>1088.1857621828053</v>
      </c>
      <c r="I37" s="101">
        <f>IF(I11=0,0,I11/TrAvia_act!I9*1000)</f>
        <v>1423.2389646693077</v>
      </c>
      <c r="J37" s="101">
        <f>IF(J11=0,0,J11/TrAvia_act!J9*1000)</f>
        <v>1676.3178887056536</v>
      </c>
      <c r="K37" s="101">
        <f>IF(K11=0,0,K11/TrAvia_act!K9*1000)</f>
        <v>2102.9958925112514</v>
      </c>
      <c r="L37" s="101">
        <f>IF(L11=0,0,L11/TrAvia_act!L9*1000)</f>
        <v>2432.5608459630066</v>
      </c>
      <c r="M37" s="101">
        <f>IF(M11=0,0,M11/TrAvia_act!M9*1000)</f>
        <v>2376.5470989054547</v>
      </c>
      <c r="N37" s="101">
        <f>IF(N11=0,0,N11/TrAvia_act!N9*1000)</f>
        <v>2923.1687808395527</v>
      </c>
      <c r="O37" s="101">
        <f>IF(O11=0,0,O11/TrAvia_act!O9*1000)</f>
        <v>2406.9667282914234</v>
      </c>
      <c r="P37" s="101">
        <f>IF(P11=0,0,P11/TrAvia_act!P9*1000)</f>
        <v>1856.0574483787541</v>
      </c>
      <c r="Q37" s="101">
        <f>IF(Q11=0,0,Q11/TrAvia_act!Q9*1000)</f>
        <v>1562.8261848687857</v>
      </c>
      <c r="R37" s="101">
        <f>IF(R11=0,0,R11/TrAvia_act!R9*1000)</f>
        <v>1268.8580487641627</v>
      </c>
      <c r="S37" s="101">
        <f>IF(S11=0,0,S11/TrAvia_act!S9*1000)</f>
        <v>1275.6339261694998</v>
      </c>
      <c r="T37" s="101">
        <f>IF(T11=0,0,T11/TrAvia_act!T9*1000)</f>
        <v>1160.9503408259509</v>
      </c>
      <c r="U37" s="101">
        <f>IF(U11=0,0,U11/TrAvia_act!U9*1000)</f>
        <v>862.91692770107511</v>
      </c>
      <c r="V37" s="101">
        <f>IF(V11=0,0,V11/TrAvia_act!V9*1000)</f>
        <v>882.50487605576836</v>
      </c>
      <c r="W37" s="101">
        <f>IF(W11=0,0,W11/TrAvia_act!W9*1000)</f>
        <v>821.54378499070344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480.00754649759364</v>
      </c>
      <c r="C38" s="101">
        <f>IF(C12=0,0,C12/TrAvia_act!C10*1000)</f>
        <v>454.61384659818856</v>
      </c>
      <c r="D38" s="101">
        <f>IF(D12=0,0,D12/TrAvia_act!D10*1000)</f>
        <v>468.00745132373061</v>
      </c>
      <c r="E38" s="101">
        <f>IF(E12=0,0,E12/TrAvia_act!E10*1000)</f>
        <v>486.24123391610743</v>
      </c>
      <c r="F38" s="101">
        <f>IF(F12=0,0,F12/TrAvia_act!F10*1000)</f>
        <v>558.1888399675961</v>
      </c>
      <c r="G38" s="101">
        <f>IF(G12=0,0,G12/TrAvia_act!G10*1000)</f>
        <v>588.81047794128176</v>
      </c>
      <c r="H38" s="101">
        <f>IF(H12=0,0,H12/TrAvia_act!H10*1000)</f>
        <v>703.0013092210545</v>
      </c>
      <c r="I38" s="101">
        <f>IF(I12=0,0,I12/TrAvia_act!I10*1000)</f>
        <v>740.33285425211318</v>
      </c>
      <c r="J38" s="101">
        <f>IF(J12=0,0,J12/TrAvia_act!J10*1000)</f>
        <v>727.28513115992712</v>
      </c>
      <c r="K38" s="101">
        <f>IF(K12=0,0,K12/TrAvia_act!K10*1000)</f>
        <v>657.62237158639778</v>
      </c>
      <c r="L38" s="101">
        <f>IF(L12=0,0,L12/TrAvia_act!L10*1000)</f>
        <v>617.60290029959469</v>
      </c>
      <c r="M38" s="101">
        <f>IF(M12=0,0,M12/TrAvia_act!M10*1000)</f>
        <v>597.22133649826242</v>
      </c>
      <c r="N38" s="101">
        <f>IF(N12=0,0,N12/TrAvia_act!N10*1000)</f>
        <v>547.83926732400914</v>
      </c>
      <c r="O38" s="101">
        <f>IF(O12=0,0,O12/TrAvia_act!O10*1000)</f>
        <v>535.75309289866732</v>
      </c>
      <c r="P38" s="101">
        <f>IF(P12=0,0,P12/TrAvia_act!P10*1000)</f>
        <v>544.18760801355029</v>
      </c>
      <c r="Q38" s="101">
        <f>IF(Q12=0,0,Q12/TrAvia_act!Q10*1000)</f>
        <v>554.61217779399476</v>
      </c>
      <c r="R38" s="101">
        <f>IF(R12=0,0,R12/TrAvia_act!R10*1000)</f>
        <v>518.60031951916983</v>
      </c>
      <c r="S38" s="101">
        <f>IF(S12=0,0,S12/TrAvia_act!S10*1000)</f>
        <v>580.58039351990692</v>
      </c>
      <c r="T38" s="101">
        <f>IF(T12=0,0,T12/TrAvia_act!T10*1000)</f>
        <v>585.43486396073263</v>
      </c>
      <c r="U38" s="101">
        <f>IF(U12=0,0,U12/TrAvia_act!U10*1000)</f>
        <v>588.72143961881352</v>
      </c>
      <c r="V38" s="101">
        <f>IF(V12=0,0,V12/TrAvia_act!V10*1000)</f>
        <v>584.13363241932541</v>
      </c>
      <c r="W38" s="101">
        <f>IF(W12=0,0,W12/TrAvia_act!W10*1000)</f>
        <v>584.97054227925958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264.31847148116441</v>
      </c>
      <c r="C39" s="88">
        <f>IF(C13=0,0,C13/TrAvia_act!C11*1000)</f>
        <v>252.00738931310363</v>
      </c>
      <c r="D39" s="88">
        <f>IF(D13=0,0,D13/TrAvia_act!D11*1000)</f>
        <v>258.59528392241651</v>
      </c>
      <c r="E39" s="88">
        <f>IF(E13=0,0,E13/TrAvia_act!E11*1000)</f>
        <v>300.83948170970353</v>
      </c>
      <c r="F39" s="88">
        <f>IF(F13=0,0,F13/TrAvia_act!F11*1000)</f>
        <v>323.41804318812461</v>
      </c>
      <c r="G39" s="88">
        <f>IF(G13=0,0,G13/TrAvia_act!G11*1000)</f>
        <v>332.68715995669533</v>
      </c>
      <c r="H39" s="88">
        <f>IF(H13=0,0,H13/TrAvia_act!H11*1000)</f>
        <v>332.28230197430105</v>
      </c>
      <c r="I39" s="88">
        <f>IF(I13=0,0,I13/TrAvia_act!I11*1000)</f>
        <v>369.23316581024835</v>
      </c>
      <c r="J39" s="88">
        <f>IF(J13=0,0,J13/TrAvia_act!J11*1000)</f>
        <v>373.46795952407882</v>
      </c>
      <c r="K39" s="88">
        <f>IF(K13=0,0,K13/TrAvia_act!K11*1000)</f>
        <v>327.60432369358301</v>
      </c>
      <c r="L39" s="88">
        <f>IF(L13=0,0,L13/TrAvia_act!L11*1000)</f>
        <v>318.89812798155884</v>
      </c>
      <c r="M39" s="88">
        <f>IF(M13=0,0,M13/TrAvia_act!M11*1000)</f>
        <v>301.12299449606303</v>
      </c>
      <c r="N39" s="88">
        <f>IF(N13=0,0,N13/TrAvia_act!N11*1000)</f>
        <v>266.73103793902334</v>
      </c>
      <c r="O39" s="88">
        <f>IF(O13=0,0,O13/TrAvia_act!O11*1000)</f>
        <v>260.78255884229247</v>
      </c>
      <c r="P39" s="88">
        <f>IF(P13=0,0,P13/TrAvia_act!P11*1000)</f>
        <v>227.91364482306815</v>
      </c>
      <c r="Q39" s="88">
        <f>IF(Q13=0,0,Q13/TrAvia_act!Q11*1000)</f>
        <v>218.13220086361622</v>
      </c>
      <c r="R39" s="88">
        <f>IF(R13=0,0,R13/TrAvia_act!R11*1000)</f>
        <v>191.26977647839354</v>
      </c>
      <c r="S39" s="88">
        <f>IF(S13=0,0,S13/TrAvia_act!S11*1000)</f>
        <v>167.83906747870566</v>
      </c>
      <c r="T39" s="88">
        <f>IF(T13=0,0,T13/TrAvia_act!T11*1000)</f>
        <v>138.74740696156459</v>
      </c>
      <c r="U39" s="88">
        <f>IF(U13=0,0,U13/TrAvia_act!U11*1000)</f>
        <v>140.75235675462713</v>
      </c>
      <c r="V39" s="88">
        <f>IF(V13=0,0,V13/TrAvia_act!V11*1000)</f>
        <v>236.38419717557991</v>
      </c>
      <c r="W39" s="88">
        <f>IF(W13=0,0,W13/TrAvia_act!W11*1000)</f>
        <v>246.68873280694035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16024.367164733538</v>
      </c>
      <c r="C41" s="54">
        <f>IF(C3=0,0,C3/TrAvia_act!C23*1000000)</f>
        <v>15992.351688890007</v>
      </c>
      <c r="D41" s="54">
        <f>IF(D3=0,0,D3/TrAvia_act!D23*1000000)</f>
        <v>14621.529946472931</v>
      </c>
      <c r="E41" s="54">
        <f>IF(E3=0,0,E3/TrAvia_act!E23*1000000)</f>
        <v>14746.723040791745</v>
      </c>
      <c r="F41" s="54">
        <f>IF(F3=0,0,F3/TrAvia_act!F23*1000000)</f>
        <v>14798.741828719272</v>
      </c>
      <c r="G41" s="54">
        <f>IF(G3=0,0,G3/TrAvia_act!G23*1000000)</f>
        <v>15766.410309473025</v>
      </c>
      <c r="H41" s="54">
        <f>IF(H3=0,0,H3/TrAvia_act!H23*1000000)</f>
        <v>16367.886797805531</v>
      </c>
      <c r="I41" s="54">
        <f>IF(I3=0,0,I3/TrAvia_act!I23*1000000)</f>
        <v>16777.535060829581</v>
      </c>
      <c r="J41" s="54">
        <f>IF(J3=0,0,J3/TrAvia_act!J23*1000000)</f>
        <v>15725.746597755531</v>
      </c>
      <c r="K41" s="54">
        <f>IF(K3=0,0,K3/TrAvia_act!K23*1000000)</f>
        <v>15608.191469486894</v>
      </c>
      <c r="L41" s="54">
        <f>IF(L3=0,0,L3/TrAvia_act!L23*1000000)</f>
        <v>15473.819663061338</v>
      </c>
      <c r="M41" s="54">
        <f>IF(M3=0,0,M3/TrAvia_act!M23*1000000)</f>
        <v>15325.541776400123</v>
      </c>
      <c r="N41" s="54">
        <f>IF(N3=0,0,N3/TrAvia_act!N23*1000000)</f>
        <v>16526.866065404218</v>
      </c>
      <c r="O41" s="54">
        <f>IF(O3=0,0,O3/TrAvia_act!O23*1000000)</f>
        <v>16071.167016506162</v>
      </c>
      <c r="P41" s="54">
        <f>IF(P3=0,0,P3/TrAvia_act!P23*1000000)</f>
        <v>17029.02089321188</v>
      </c>
      <c r="Q41" s="54">
        <f>IF(Q3=0,0,Q3/TrAvia_act!Q23*1000000)</f>
        <v>16423.041398751757</v>
      </c>
      <c r="R41" s="54">
        <f>IF(R3=0,0,R3/TrAvia_act!R23*1000000)</f>
        <v>17080.677537632044</v>
      </c>
      <c r="S41" s="54">
        <f>IF(S3=0,0,S3/TrAvia_act!S23*1000000)</f>
        <v>18030.063160368125</v>
      </c>
      <c r="T41" s="54">
        <f>IF(T3=0,0,T3/TrAvia_act!T23*1000000)</f>
        <v>18418.674677034676</v>
      </c>
      <c r="U41" s="54">
        <f>IF(U3=0,0,U3/TrAvia_act!U23*1000000)</f>
        <v>18977.051633086576</v>
      </c>
      <c r="V41" s="54">
        <f>IF(V3=0,0,V3/TrAvia_act!V23*1000000)</f>
        <v>15691.140863759651</v>
      </c>
      <c r="W41" s="54">
        <f>IF(W3=0,0,W3/TrAvia_act!W23*1000000)</f>
        <v>17740.382260602779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16121.795113034514</v>
      </c>
      <c r="C42" s="11">
        <f>IF(C6=0,0,C6/TrAvia_act!C24*1000000)</f>
        <v>16091.219683822343</v>
      </c>
      <c r="D42" s="11">
        <f>IF(D6=0,0,D6/TrAvia_act!D24*1000000)</f>
        <v>14700.699288977283</v>
      </c>
      <c r="E42" s="11">
        <f>IF(E6=0,0,E6/TrAvia_act!E24*1000000)</f>
        <v>14792.654073786618</v>
      </c>
      <c r="F42" s="11">
        <f>IF(F6=0,0,F6/TrAvia_act!F24*1000000)</f>
        <v>14841.775987310359</v>
      </c>
      <c r="G42" s="11">
        <f>IF(G6=0,0,G6/TrAvia_act!G24*1000000)</f>
        <v>15829.322636031002</v>
      </c>
      <c r="H42" s="11">
        <f>IF(H6=0,0,H6/TrAvia_act!H24*1000000)</f>
        <v>16453.801369987072</v>
      </c>
      <c r="I42" s="11">
        <f>IF(I6=0,0,I6/TrAvia_act!I24*1000000)</f>
        <v>16856.059779034269</v>
      </c>
      <c r="J42" s="11">
        <f>IF(J6=0,0,J6/TrAvia_act!J24*1000000)</f>
        <v>15129.728181223523</v>
      </c>
      <c r="K42" s="11">
        <f>IF(K6=0,0,K6/TrAvia_act!K24*1000000)</f>
        <v>15108.045307759652</v>
      </c>
      <c r="L42" s="11">
        <f>IF(L6=0,0,L6/TrAvia_act!L24*1000000)</f>
        <v>14844.316514045575</v>
      </c>
      <c r="M42" s="11">
        <f>IF(M6=0,0,M6/TrAvia_act!M24*1000000)</f>
        <v>14753.893867763869</v>
      </c>
      <c r="N42" s="11">
        <f>IF(N6=0,0,N6/TrAvia_act!N24*1000000)</f>
        <v>15874.73524873886</v>
      </c>
      <c r="O42" s="11">
        <f>IF(O6=0,0,O6/TrAvia_act!O24*1000000)</f>
        <v>15535.922428878224</v>
      </c>
      <c r="P42" s="11">
        <f>IF(P6=0,0,P6/TrAvia_act!P24*1000000)</f>
        <v>16497.794313804967</v>
      </c>
      <c r="Q42" s="11">
        <f>IF(Q6=0,0,Q6/TrAvia_act!Q24*1000000)</f>
        <v>15995.02530922738</v>
      </c>
      <c r="R42" s="11">
        <f>IF(R6=0,0,R6/TrAvia_act!R24*1000000)</f>
        <v>16778.67687980066</v>
      </c>
      <c r="S42" s="11">
        <f>IF(S6=0,0,S6/TrAvia_act!S24*1000000)</f>
        <v>17807.970885139544</v>
      </c>
      <c r="T42" s="11">
        <f>IF(T6=0,0,T6/TrAvia_act!T24*1000000)</f>
        <v>18383.253570539564</v>
      </c>
      <c r="U42" s="11">
        <f>IF(U6=0,0,U6/TrAvia_act!U24*1000000)</f>
        <v>18902.751143686557</v>
      </c>
      <c r="V42" s="11">
        <f>IF(V6=0,0,V6/TrAvia_act!V24*1000000)</f>
        <v>15508.69681895306</v>
      </c>
      <c r="W42" s="11">
        <f>IF(W6=0,0,W6/TrAvia_act!W24*1000000)</f>
        <v>17550.444245159593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5466.0246081899404</v>
      </c>
      <c r="C43" s="84">
        <f>IF(C7=0,0,C7/TrAvia_act!C25*1000000)</f>
        <v>5459.5727671159639</v>
      </c>
      <c r="D43" s="84">
        <f>IF(D7=0,0,D7/TrAvia_act!D25*1000000)</f>
        <v>4399.8873202648092</v>
      </c>
      <c r="E43" s="84">
        <f>IF(E7=0,0,E7/TrAvia_act!E25*1000000)</f>
        <v>3603.5952940283023</v>
      </c>
      <c r="F43" s="84">
        <f>IF(F7=0,0,F7/TrAvia_act!F25*1000000)</f>
        <v>2232.3130011811636</v>
      </c>
      <c r="G43" s="84">
        <f>IF(G7=0,0,G7/TrAvia_act!G25*1000000)</f>
        <v>2433.3632417062086</v>
      </c>
      <c r="H43" s="84">
        <f>IF(H7=0,0,H7/TrAvia_act!H25*1000000)</f>
        <v>2602.2323472289954</v>
      </c>
      <c r="I43" s="84">
        <f>IF(I7=0,0,I7/TrAvia_act!I25*1000000)</f>
        <v>3034.0215023010683</v>
      </c>
      <c r="J43" s="84">
        <f>IF(J7=0,0,J7/TrAvia_act!J25*1000000)</f>
        <v>3048.9419211669933</v>
      </c>
      <c r="K43" s="84">
        <f>IF(K7=0,0,K7/TrAvia_act!K25*1000000)</f>
        <v>3281.2111025789181</v>
      </c>
      <c r="L43" s="84">
        <f>IF(L7=0,0,L7/TrAvia_act!L25*1000000)</f>
        <v>3129.3223870608067</v>
      </c>
      <c r="M43" s="84">
        <f>IF(M7=0,0,M7/TrAvia_act!M25*1000000)</f>
        <v>2965.7588725808805</v>
      </c>
      <c r="N43" s="84">
        <f>IF(N7=0,0,N7/TrAvia_act!N25*1000000)</f>
        <v>3609.1925665840577</v>
      </c>
      <c r="O43" s="84">
        <f>IF(O7=0,0,O7/TrAvia_act!O25*1000000)</f>
        <v>3346.0043959128188</v>
      </c>
      <c r="P43" s="84">
        <f>IF(P7=0,0,P7/TrAvia_act!P25*1000000)</f>
        <v>3097.2465845971028</v>
      </c>
      <c r="Q43" s="84">
        <f>IF(Q7=0,0,Q7/TrAvia_act!Q25*1000000)</f>
        <v>2897.1985087696125</v>
      </c>
      <c r="R43" s="84">
        <f>IF(R7=0,0,R7/TrAvia_act!R25*1000000)</f>
        <v>2989.0680624781444</v>
      </c>
      <c r="S43" s="84">
        <f>IF(S7=0,0,S7/TrAvia_act!S25*1000000)</f>
        <v>2987.8838294984789</v>
      </c>
      <c r="T43" s="84">
        <f>IF(T7=0,0,T7/TrAvia_act!T25*1000000)</f>
        <v>2933.4898480240281</v>
      </c>
      <c r="U43" s="84">
        <f>IF(U7=0,0,U7/TrAvia_act!U25*1000000)</f>
        <v>3007.4605036987491</v>
      </c>
      <c r="V43" s="84">
        <f>IF(V7=0,0,V7/TrAvia_act!V25*1000000)</f>
        <v>2806.1700429663897</v>
      </c>
      <c r="W43" s="84">
        <f>IF(W7=0,0,W7/TrAvia_act!W25*1000000)</f>
        <v>2707.2763043924774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11387.797213398559</v>
      </c>
      <c r="C44" s="84">
        <f>IF(C8=0,0,C8/TrAvia_act!C26*1000000)</f>
        <v>11373.857927284174</v>
      </c>
      <c r="D44" s="84">
        <f>IF(D8=0,0,D8/TrAvia_act!D26*1000000)</f>
        <v>10940.811399949178</v>
      </c>
      <c r="E44" s="84">
        <f>IF(E8=0,0,E8/TrAvia_act!E26*1000000)</f>
        <v>11559.329844429436</v>
      </c>
      <c r="F44" s="84">
        <f>IF(F8=0,0,F8/TrAvia_act!F26*1000000)</f>
        <v>12083.836456304913</v>
      </c>
      <c r="G44" s="84">
        <f>IF(G8=0,0,G8/TrAvia_act!G26*1000000)</f>
        <v>12894.865246116145</v>
      </c>
      <c r="H44" s="84">
        <f>IF(H8=0,0,H8/TrAvia_act!H26*1000000)</f>
        <v>13473.383012867216</v>
      </c>
      <c r="I44" s="84">
        <f>IF(I8=0,0,I8/TrAvia_act!I26*1000000)</f>
        <v>13913.187711874523</v>
      </c>
      <c r="J44" s="84">
        <f>IF(J8=0,0,J8/TrAvia_act!J26*1000000)</f>
        <v>12431.207412104013</v>
      </c>
      <c r="K44" s="84">
        <f>IF(K8=0,0,K8/TrAvia_act!K26*1000000)</f>
        <v>12148.128724594744</v>
      </c>
      <c r="L44" s="84">
        <f>IF(L8=0,0,L8/TrAvia_act!L26*1000000)</f>
        <v>12155.364191693383</v>
      </c>
      <c r="M44" s="84">
        <f>IF(M8=0,0,M8/TrAvia_act!M26*1000000)</f>
        <v>12175.697503092524</v>
      </c>
      <c r="N44" s="84">
        <f>IF(N8=0,0,N8/TrAvia_act!N26*1000000)</f>
        <v>12062.538096130085</v>
      </c>
      <c r="O44" s="84">
        <f>IF(O8=0,0,O8/TrAvia_act!O26*1000000)</f>
        <v>11909.913006597993</v>
      </c>
      <c r="P44" s="84">
        <f>IF(P8=0,0,P8/TrAvia_act!P26*1000000)</f>
        <v>12974.190641698326</v>
      </c>
      <c r="Q44" s="84">
        <f>IF(Q8=0,0,Q8/TrAvia_act!Q26*1000000)</f>
        <v>12589.449807554916</v>
      </c>
      <c r="R44" s="84">
        <f>IF(R8=0,0,R8/TrAvia_act!R26*1000000)</f>
        <v>13417.311310235926</v>
      </c>
      <c r="S44" s="84">
        <f>IF(S8=0,0,S8/TrAvia_act!S26*1000000)</f>
        <v>14321.446176898997</v>
      </c>
      <c r="T44" s="84">
        <f>IF(T8=0,0,T8/TrAvia_act!T26*1000000)</f>
        <v>14690.854302213742</v>
      </c>
      <c r="U44" s="84">
        <f>IF(U8=0,0,U8/TrAvia_act!U26*1000000)</f>
        <v>14910.398399553796</v>
      </c>
      <c r="V44" s="84">
        <f>IF(V8=0,0,V8/TrAvia_act!V26*1000000)</f>
        <v>11894.880552633882</v>
      </c>
      <c r="W44" s="84">
        <f>IF(W8=0,0,W8/TrAvia_act!W26*1000000)</f>
        <v>14891.591574373562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82329.919705444976</v>
      </c>
      <c r="C45" s="84">
        <f>IF(C9=0,0,C9/TrAvia_act!C27*1000000)</f>
        <v>82229.191119971554</v>
      </c>
      <c r="D45" s="84">
        <f>IF(D9=0,0,D9/TrAvia_act!D27*1000000)</f>
        <v>79689.184527076635</v>
      </c>
      <c r="E45" s="84">
        <f>IF(E9=0,0,E9/TrAvia_act!E27*1000000)</f>
        <v>84249.893186137575</v>
      </c>
      <c r="F45" s="84">
        <f>IF(F9=0,0,F9/TrAvia_act!F27*1000000)</f>
        <v>87917.507121341303</v>
      </c>
      <c r="G45" s="84">
        <f>IF(G9=0,0,G9/TrAvia_act!G27*1000000)</f>
        <v>86821.149805581546</v>
      </c>
      <c r="H45" s="84">
        <f>IF(H9=0,0,H9/TrAvia_act!H27*1000000)</f>
        <v>97676.947399622979</v>
      </c>
      <c r="I45" s="84">
        <f>IF(I9=0,0,I9/TrAvia_act!I27*1000000)</f>
        <v>95498.219027923464</v>
      </c>
      <c r="J45" s="84">
        <f>IF(J9=0,0,J9/TrAvia_act!J27*1000000)</f>
        <v>82551.892978053671</v>
      </c>
      <c r="K45" s="84">
        <f>IF(K9=0,0,K9/TrAvia_act!K27*1000000)</f>
        <v>82920.203419613914</v>
      </c>
      <c r="L45" s="84">
        <f>IF(L9=0,0,L9/TrAvia_act!L27*1000000)</f>
        <v>76171.508967125686</v>
      </c>
      <c r="M45" s="84">
        <f>IF(M9=0,0,M9/TrAvia_act!M27*1000000)</f>
        <v>70333.987701980863</v>
      </c>
      <c r="N45" s="84">
        <f>IF(N9=0,0,N9/TrAvia_act!N27*1000000)</f>
        <v>69836.113241768064</v>
      </c>
      <c r="O45" s="84">
        <f>IF(O9=0,0,O9/TrAvia_act!O27*1000000)</f>
        <v>70157.761812115743</v>
      </c>
      <c r="P45" s="84">
        <f>IF(P9=0,0,P9/TrAvia_act!P27*1000000)</f>
        <v>71528.129542656083</v>
      </c>
      <c r="Q45" s="84">
        <f>IF(Q9=0,0,Q9/TrAvia_act!Q27*1000000)</f>
        <v>69904.827938674935</v>
      </c>
      <c r="R45" s="84">
        <f>IF(R9=0,0,R9/TrAvia_act!R27*1000000)</f>
        <v>73770.125956344898</v>
      </c>
      <c r="S45" s="84">
        <f>IF(S9=0,0,S9/TrAvia_act!S27*1000000)</f>
        <v>77167.488556070675</v>
      </c>
      <c r="T45" s="84">
        <f>IF(T9=0,0,T9/TrAvia_act!T27*1000000)</f>
        <v>72434.461435887541</v>
      </c>
      <c r="U45" s="84">
        <f>IF(U9=0,0,U9/TrAvia_act!U27*1000000)</f>
        <v>72384.822330273368</v>
      </c>
      <c r="V45" s="84">
        <f>IF(V9=0,0,V9/TrAvia_act!V27*1000000)</f>
        <v>79800.10725977832</v>
      </c>
      <c r="W45" s="84">
        <f>IF(W9=0,0,W9/TrAvia_act!W27*1000000)</f>
        <v>71949.061460084398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9780.7748696541694</v>
      </c>
      <c r="C46" s="13">
        <f>IF(C10=0,0,C10/TrAvia_act!C28*1000000)</f>
        <v>9780.8141236930624</v>
      </c>
      <c r="D46" s="13">
        <f>IF(D10=0,0,D10/TrAvia_act!D28*1000000)</f>
        <v>9606.1859318745901</v>
      </c>
      <c r="E46" s="13">
        <f>IF(E10=0,0,E10/TrAvia_act!E28*1000000)</f>
        <v>10603.950052398137</v>
      </c>
      <c r="F46" s="13">
        <f>IF(F10=0,0,F10/TrAvia_act!F28*1000000)</f>
        <v>10849.927436401158</v>
      </c>
      <c r="G46" s="13">
        <f>IF(G10=0,0,G10/TrAvia_act!G28*1000000)</f>
        <v>10841.049615942555</v>
      </c>
      <c r="H46" s="13">
        <f>IF(H10=0,0,H10/TrAvia_act!H28*1000000)</f>
        <v>10894.402840920971</v>
      </c>
      <c r="I46" s="13">
        <f>IF(I10=0,0,I10/TrAvia_act!I28*1000000)</f>
        <v>11382.139689961135</v>
      </c>
      <c r="J46" s="13">
        <f>IF(J10=0,0,J10/TrAvia_act!J28*1000000)</f>
        <v>30975.646124414383</v>
      </c>
      <c r="K46" s="13">
        <f>IF(K10=0,0,K10/TrAvia_act!K28*1000000)</f>
        <v>32621.025946614653</v>
      </c>
      <c r="L46" s="13">
        <f>IF(L10=0,0,L10/TrAvia_act!L28*1000000)</f>
        <v>46073.800445644876</v>
      </c>
      <c r="M46" s="13">
        <f>IF(M10=0,0,M10/TrAvia_act!M28*1000000)</f>
        <v>44305.33581457792</v>
      </c>
      <c r="N46" s="13">
        <f>IF(N10=0,0,N10/TrAvia_act!N28*1000000)</f>
        <v>48123.67551948937</v>
      </c>
      <c r="O46" s="13">
        <f>IF(O10=0,0,O10/TrAvia_act!O28*1000000)</f>
        <v>45605.774386572106</v>
      </c>
      <c r="P46" s="13">
        <f>IF(P10=0,0,P10/TrAvia_act!P28*1000000)</f>
        <v>37638.281896122222</v>
      </c>
      <c r="Q46" s="13">
        <f>IF(Q10=0,0,Q10/TrAvia_act!Q28*1000000)</f>
        <v>32833.576519169554</v>
      </c>
      <c r="R46" s="13">
        <f>IF(R10=0,0,R10/TrAvia_act!R28*1000000)</f>
        <v>31766.684261775139</v>
      </c>
      <c r="S46" s="13">
        <f>IF(S10=0,0,S10/TrAvia_act!S28*1000000)</f>
        <v>26679.607110915356</v>
      </c>
      <c r="T46" s="13">
        <f>IF(T10=0,0,T10/TrAvia_act!T28*1000000)</f>
        <v>19826.948503550564</v>
      </c>
      <c r="U46" s="13">
        <f>IF(U10=0,0,U10/TrAvia_act!U28*1000000)</f>
        <v>21715.520113806739</v>
      </c>
      <c r="V46" s="13">
        <f>IF(V10=0,0,V10/TrAvia_act!V28*1000000)</f>
        <v>17977.910270871515</v>
      </c>
      <c r="W46" s="13">
        <f>IF(W10=0,0,W10/TrAvia_act!W28*1000000)</f>
        <v>19774.092319748153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5644.1806092302149</v>
      </c>
      <c r="C47" s="102">
        <f>IF(C11=0,0,C11/TrAvia_act!C29*1000000)</f>
        <v>5637.518481103496</v>
      </c>
      <c r="D47" s="102">
        <f>IF(D11=0,0,D11/TrAvia_act!D29*1000000)</f>
        <v>4543.294345698192</v>
      </c>
      <c r="E47" s="102">
        <f>IF(E11=0,0,E11/TrAvia_act!E29*1000000)</f>
        <v>3721.0485023416541</v>
      </c>
      <c r="F47" s="102">
        <f>IF(F11=0,0,F11/TrAvia_act!F29*1000000)</f>
        <v>2305.0715388512585</v>
      </c>
      <c r="G47" s="102">
        <f>IF(G11=0,0,G11/TrAvia_act!G29*1000000)</f>
        <v>2512.6746783161393</v>
      </c>
      <c r="H47" s="102">
        <f>IF(H11=0,0,H11/TrAvia_act!H29*1000000)</f>
        <v>2629.5311452874766</v>
      </c>
      <c r="I47" s="102">
        <f>IF(I11=0,0,I11/TrAvia_act!I29*1000000)</f>
        <v>3000.2249697630637</v>
      </c>
      <c r="J47" s="102">
        <f>IF(J11=0,0,J11/TrAvia_act!J29*1000000)</f>
        <v>2950.442993479513</v>
      </c>
      <c r="K47" s="102">
        <f>IF(K11=0,0,K11/TrAvia_act!K29*1000000)</f>
        <v>3107.242501527342</v>
      </c>
      <c r="L47" s="102">
        <f>IF(L11=0,0,L11/TrAvia_act!L29*1000000)</f>
        <v>2899.9744651363344</v>
      </c>
      <c r="M47" s="102">
        <f>IF(M11=0,0,M11/TrAvia_act!M29*1000000)</f>
        <v>2749.1225344533295</v>
      </c>
      <c r="N47" s="102">
        <f>IF(N11=0,0,N11/TrAvia_act!N29*1000000)</f>
        <v>3346.437386203409</v>
      </c>
      <c r="O47" s="102">
        <f>IF(O11=0,0,O11/TrAvia_act!O29*1000000)</f>
        <v>3122.6665609392162</v>
      </c>
      <c r="P47" s="102">
        <f>IF(P11=0,0,P11/TrAvia_act!P29*1000000)</f>
        <v>2909.3852380186408</v>
      </c>
      <c r="Q47" s="102">
        <f>IF(Q11=0,0,Q11/TrAvia_act!Q29*1000000)</f>
        <v>2739.2390276422125</v>
      </c>
      <c r="R47" s="102">
        <f>IF(R11=0,0,R11/TrAvia_act!R29*1000000)</f>
        <v>2844.5501723660223</v>
      </c>
      <c r="S47" s="102">
        <f>IF(S11=0,0,S11/TrAvia_act!S29*1000000)</f>
        <v>2861.986001430937</v>
      </c>
      <c r="T47" s="102">
        <f>IF(T11=0,0,T11/TrAvia_act!T29*1000000)</f>
        <v>2828.2270864388756</v>
      </c>
      <c r="U47" s="102">
        <f>IF(U11=0,0,U11/TrAvia_act!U29*1000000)</f>
        <v>3034.5121108038675</v>
      </c>
      <c r="V47" s="102">
        <f>IF(V11=0,0,V11/TrAvia_act!V29*1000000)</f>
        <v>2831.4110758508155</v>
      </c>
      <c r="W47" s="102">
        <f>IF(W11=0,0,W11/TrAvia_act!W29*1000000)</f>
        <v>2731.6278045439653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9161.3718158630672</v>
      </c>
      <c r="C48" s="102">
        <f>IF(C12=0,0,C12/TrAvia_act!C30*1000000)</f>
        <v>9152.944129081452</v>
      </c>
      <c r="D48" s="102">
        <f>IF(D12=0,0,D12/TrAvia_act!D30*1000000)</f>
        <v>8854.12890768754</v>
      </c>
      <c r="E48" s="102">
        <f>IF(E12=0,0,E12/TrAvia_act!E30*1000000)</f>
        <v>9326.7030359259479</v>
      </c>
      <c r="F48" s="102">
        <f>IF(F12=0,0,F12/TrAvia_act!F30*1000000)</f>
        <v>9763.8703386294383</v>
      </c>
      <c r="G48" s="102">
        <f>IF(G12=0,0,G12/TrAvia_act!G30*1000000)</f>
        <v>10386.303786367051</v>
      </c>
      <c r="H48" s="102">
        <f>IF(H12=0,0,H12/TrAvia_act!H30*1000000)</f>
        <v>10967.971688311563</v>
      </c>
      <c r="I48" s="102">
        <f>IF(I12=0,0,I12/TrAvia_act!I30*1000000)</f>
        <v>11321.564855741699</v>
      </c>
      <c r="J48" s="102">
        <f>IF(J12=0,0,J12/TrAvia_act!J30*1000000)</f>
        <v>9843.7602877161407</v>
      </c>
      <c r="K48" s="102">
        <f>IF(K12=0,0,K12/TrAvia_act!K30*1000000)</f>
        <v>9598.3269647866455</v>
      </c>
      <c r="L48" s="102">
        <f>IF(L12=0,0,L12/TrAvia_act!L30*1000000)</f>
        <v>9633.817950660974</v>
      </c>
      <c r="M48" s="102">
        <f>IF(M12=0,0,M12/TrAvia_act!M30*1000000)</f>
        <v>9359.603172552761</v>
      </c>
      <c r="N48" s="102">
        <f>IF(N12=0,0,N12/TrAvia_act!N30*1000000)</f>
        <v>9007.6037452462951</v>
      </c>
      <c r="O48" s="102">
        <f>IF(O12=0,0,O12/TrAvia_act!O30*1000000)</f>
        <v>8566.3916261317281</v>
      </c>
      <c r="P48" s="102">
        <f>IF(P12=0,0,P12/TrAvia_act!P30*1000000)</f>
        <v>9249.0316840768792</v>
      </c>
      <c r="Q48" s="102">
        <f>IF(Q12=0,0,Q12/TrAvia_act!Q30*1000000)</f>
        <v>8854.8596033073627</v>
      </c>
      <c r="R48" s="102">
        <f>IF(R12=0,0,R12/TrAvia_act!R30*1000000)</f>
        <v>9216.2348680309478</v>
      </c>
      <c r="S48" s="102">
        <f>IF(S12=0,0,S12/TrAvia_act!S30*1000000)</f>
        <v>9635.7542846524047</v>
      </c>
      <c r="T48" s="102">
        <f>IF(T12=0,0,T12/TrAvia_act!T30*1000000)</f>
        <v>9671.5885793087964</v>
      </c>
      <c r="U48" s="102">
        <f>IF(U12=0,0,U12/TrAvia_act!U30*1000000)</f>
        <v>10121.327673731477</v>
      </c>
      <c r="V48" s="102">
        <f>IF(V12=0,0,V12/TrAvia_act!V30*1000000)</f>
        <v>7872.2071013969598</v>
      </c>
      <c r="W48" s="102">
        <f>IF(W12=0,0,W12/TrAvia_act!W30*1000000)</f>
        <v>9394.2291978844078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117702.16940069734</v>
      </c>
      <c r="C49" s="86">
        <f>IF(C13=0,0,C13/TrAvia_act!C31*1000000)</f>
        <v>117558.16375762975</v>
      </c>
      <c r="D49" s="86">
        <f>IF(D13=0,0,D13/TrAvia_act!D31*1000000)</f>
        <v>113926.86802279334</v>
      </c>
      <c r="E49" s="86">
        <f>IF(E13=0,0,E13/TrAvia_act!E31*1000000)</f>
        <v>120447.0408238427</v>
      </c>
      <c r="F49" s="86">
        <f>IF(F13=0,0,F13/TrAvia_act!F31*1000000)</f>
        <v>125690.40943445434</v>
      </c>
      <c r="G49" s="86">
        <f>IF(G13=0,0,G13/TrAvia_act!G31*1000000)</f>
        <v>122461.86736538741</v>
      </c>
      <c r="H49" s="86">
        <f>IF(H13=0,0,H13/TrAvia_act!H31*1000000)</f>
        <v>131181.27493717303</v>
      </c>
      <c r="I49" s="86">
        <f>IF(I13=0,0,I13/TrAvia_act!I31*1000000)</f>
        <v>145795.87687741208</v>
      </c>
      <c r="J49" s="86">
        <f>IF(J13=0,0,J13/TrAvia_act!J31*1000000)</f>
        <v>145816.50314827176</v>
      </c>
      <c r="K49" s="86">
        <f>IF(K13=0,0,K13/TrAvia_act!K31*1000000)</f>
        <v>152050.31479134079</v>
      </c>
      <c r="L49" s="86">
        <f>IF(L13=0,0,L13/TrAvia_act!L31*1000000)</f>
        <v>154379.75538188874</v>
      </c>
      <c r="M49" s="86">
        <f>IF(M13=0,0,M13/TrAvia_act!M31*1000000)</f>
        <v>144585.71486951641</v>
      </c>
      <c r="N49" s="86">
        <f>IF(N13=0,0,N13/TrAvia_act!N31*1000000)</f>
        <v>139390.5994789167</v>
      </c>
      <c r="O49" s="86">
        <f>IF(O13=0,0,O13/TrAvia_act!O31*1000000)</f>
        <v>124573.07451639966</v>
      </c>
      <c r="P49" s="86">
        <f>IF(P13=0,0,P13/TrAvia_act!P31*1000000)</f>
        <v>111975.7096704328</v>
      </c>
      <c r="Q49" s="86">
        <f>IF(Q13=0,0,Q13/TrAvia_act!Q31*1000000)</f>
        <v>95150.786231925755</v>
      </c>
      <c r="R49" s="86">
        <f>IF(R13=0,0,R13/TrAvia_act!R31*1000000)</f>
        <v>80230.962754267006</v>
      </c>
      <c r="S49" s="86">
        <f>IF(S13=0,0,S13/TrAvia_act!S31*1000000)</f>
        <v>60504.358029780502</v>
      </c>
      <c r="T49" s="86">
        <f>IF(T13=0,0,T13/TrAvia_act!T31*1000000)</f>
        <v>40899.312545997345</v>
      </c>
      <c r="U49" s="86">
        <f>IF(U13=0,0,U13/TrAvia_act!U31*1000000)</f>
        <v>48332.359978634908</v>
      </c>
      <c r="V49" s="86">
        <f>IF(V13=0,0,V13/TrAvia_act!V31*1000000)</f>
        <v>53283.649613935791</v>
      </c>
      <c r="W49" s="86">
        <f>IF(W13=0,0,W13/TrAvia_act!W31*1000000)</f>
        <v>48041.396340615887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0.99062185825422377</v>
      </c>
      <c r="C52" s="16">
        <f t="shared" si="35"/>
        <v>0.99041789051431084</v>
      </c>
      <c r="D52" s="16">
        <f t="shared" ref="D52:V52" si="36">IF(D6=0,0,D6/D$3)</f>
        <v>0.98979031123351402</v>
      </c>
      <c r="E52" s="16">
        <f t="shared" si="36"/>
        <v>0.99211505462894978</v>
      </c>
      <c r="F52" s="16">
        <f t="shared" si="36"/>
        <v>0.99209610249334335</v>
      </c>
      <c r="G52" s="16">
        <f t="shared" si="36"/>
        <v>0.99132790477286248</v>
      </c>
      <c r="H52" s="16">
        <f t="shared" si="36"/>
        <v>0.98971392133554847</v>
      </c>
      <c r="I52" s="16">
        <f t="shared" si="36"/>
        <v>0.99026796438240738</v>
      </c>
      <c r="J52" s="16">
        <f t="shared" si="36"/>
        <v>0.92591140182638987</v>
      </c>
      <c r="K52" s="16">
        <f t="shared" si="36"/>
        <v>0.94031270403087486</v>
      </c>
      <c r="L52" s="16">
        <f t="shared" si="36"/>
        <v>0.93998088252752854</v>
      </c>
      <c r="M52" s="16">
        <f t="shared" si="36"/>
        <v>0.94407704155779271</v>
      </c>
      <c r="N52" s="16">
        <f t="shared" si="36"/>
        <v>0.94111732143044413</v>
      </c>
      <c r="O52" s="16">
        <f t="shared" si="36"/>
        <v>0.94948813376206154</v>
      </c>
      <c r="P52" s="16">
        <f t="shared" si="36"/>
        <v>0.94446012357822295</v>
      </c>
      <c r="Q52" s="16">
        <f t="shared" si="36"/>
        <v>0.94918171814905838</v>
      </c>
      <c r="R52" s="16">
        <f t="shared" si="36"/>
        <v>0.96252593693820043</v>
      </c>
      <c r="S52" s="16">
        <f t="shared" si="36"/>
        <v>0.96295650889343121</v>
      </c>
      <c r="T52" s="16">
        <f t="shared" si="36"/>
        <v>0.97358903966872146</v>
      </c>
      <c r="U52" s="16">
        <f t="shared" si="36"/>
        <v>0.96977271725040515</v>
      </c>
      <c r="V52" s="16">
        <f t="shared" si="36"/>
        <v>0.91534438968500165</v>
      </c>
      <c r="W52" s="16">
        <f t="shared" ref="W52" si="37">IF(W6=0,0,W6/W$3)</f>
        <v>0.90479068839302634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5.5903394434875749E-2</v>
      </c>
      <c r="C53" s="103">
        <f t="shared" si="38"/>
        <v>5.6222097867091959E-2</v>
      </c>
      <c r="D53" s="103">
        <f t="shared" ref="D53:V53" si="39">IF(D7=0,0,D7/D$3)</f>
        <v>5.366162876247528E-2</v>
      </c>
      <c r="E53" s="103">
        <f t="shared" si="39"/>
        <v>5.0625578768599758E-2</v>
      </c>
      <c r="F53" s="103">
        <f t="shared" si="39"/>
        <v>3.7532315585955357E-2</v>
      </c>
      <c r="G53" s="103">
        <f t="shared" si="39"/>
        <v>3.7998585208802581E-2</v>
      </c>
      <c r="H53" s="103">
        <f t="shared" si="39"/>
        <v>4.0053000042476312E-2</v>
      </c>
      <c r="I53" s="103">
        <f t="shared" si="39"/>
        <v>4.5579870066811447E-2</v>
      </c>
      <c r="J53" s="103">
        <f t="shared" si="39"/>
        <v>4.7622280194524955E-2</v>
      </c>
      <c r="K53" s="103">
        <f t="shared" si="39"/>
        <v>5.4167536969414877E-2</v>
      </c>
      <c r="L53" s="103">
        <f t="shared" si="39"/>
        <v>5.4603479205457925E-2</v>
      </c>
      <c r="M53" s="103">
        <f t="shared" si="39"/>
        <v>5.1042596835364946E-2</v>
      </c>
      <c r="N53" s="103">
        <f t="shared" si="39"/>
        <v>4.3805075930768059E-2</v>
      </c>
      <c r="O53" s="103">
        <f t="shared" si="39"/>
        <v>4.3077071405246643E-2</v>
      </c>
      <c r="P53" s="103">
        <f t="shared" si="39"/>
        <v>3.8854162497206392E-2</v>
      </c>
      <c r="Q53" s="103">
        <f t="shared" si="39"/>
        <v>3.6904672973966567E-2</v>
      </c>
      <c r="R53" s="103">
        <f t="shared" si="39"/>
        <v>3.5714550005950141E-2</v>
      </c>
      <c r="S53" s="103">
        <f t="shared" si="39"/>
        <v>3.3126441212040808E-2</v>
      </c>
      <c r="T53" s="103">
        <f t="shared" si="39"/>
        <v>2.9999434015231346E-2</v>
      </c>
      <c r="U53" s="103">
        <f t="shared" si="39"/>
        <v>2.9462581387695943E-2</v>
      </c>
      <c r="V53" s="103">
        <f t="shared" si="39"/>
        <v>4.8641914863204343E-2</v>
      </c>
      <c r="W53" s="103">
        <f t="shared" ref="W53" si="40">IF(W7=0,0,W7/W$3)</f>
        <v>4.0895483014610573E-2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0.52685246263328145</v>
      </c>
      <c r="C54" s="103">
        <f t="shared" si="41"/>
        <v>0.52655159605347368</v>
      </c>
      <c r="D54" s="103">
        <f t="shared" ref="D54:V54" si="42">IF(D8=0,0,D8/D$3)</f>
        <v>0.55022073885916511</v>
      </c>
      <c r="E54" s="103">
        <f t="shared" si="42"/>
        <v>0.56061191350645012</v>
      </c>
      <c r="F54" s="103">
        <f t="shared" si="42"/>
        <v>0.54880452504982202</v>
      </c>
      <c r="G54" s="103">
        <f t="shared" si="42"/>
        <v>0.54564192755873364</v>
      </c>
      <c r="H54" s="103">
        <f t="shared" si="42"/>
        <v>0.54759949567622035</v>
      </c>
      <c r="I54" s="103">
        <f t="shared" si="42"/>
        <v>0.55100622216650519</v>
      </c>
      <c r="J54" s="103">
        <f t="shared" si="42"/>
        <v>0.51134327770986143</v>
      </c>
      <c r="K54" s="103">
        <f t="shared" si="42"/>
        <v>0.49879550088006253</v>
      </c>
      <c r="L54" s="103">
        <f t="shared" si="42"/>
        <v>0.49537448110726884</v>
      </c>
      <c r="M54" s="103">
        <f t="shared" si="42"/>
        <v>0.5018283705608253</v>
      </c>
      <c r="N54" s="103">
        <f t="shared" si="42"/>
        <v>0.50010249829101494</v>
      </c>
      <c r="O54" s="103">
        <f t="shared" si="42"/>
        <v>0.50669665897397143</v>
      </c>
      <c r="P54" s="103">
        <f t="shared" si="42"/>
        <v>0.50783395665113074</v>
      </c>
      <c r="Q54" s="103">
        <f t="shared" si="42"/>
        <v>0.51521300078627097</v>
      </c>
      <c r="R54" s="103">
        <f t="shared" si="42"/>
        <v>0.53881343129648263</v>
      </c>
      <c r="S54" s="103">
        <f t="shared" si="42"/>
        <v>0.54404653637565903</v>
      </c>
      <c r="T54" s="103">
        <f t="shared" si="42"/>
        <v>0.54745913028577475</v>
      </c>
      <c r="U54" s="103">
        <f t="shared" si="42"/>
        <v>0.53549537688084003</v>
      </c>
      <c r="V54" s="103">
        <f t="shared" si="42"/>
        <v>0.43090838721335284</v>
      </c>
      <c r="W54" s="103">
        <f t="shared" ref="W54" si="43">IF(W8=0,0,W8/W$3)</f>
        <v>0.45895614769543525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0.40786600118606653</v>
      </c>
      <c r="C55" s="103">
        <f t="shared" si="44"/>
        <v>0.40764419659374518</v>
      </c>
      <c r="D55" s="103">
        <f t="shared" ref="D55:V55" si="45">IF(D9=0,0,D9/D$3)</f>
        <v>0.38590794361187364</v>
      </c>
      <c r="E55" s="103">
        <f t="shared" si="45"/>
        <v>0.38087756235389991</v>
      </c>
      <c r="F55" s="103">
        <f t="shared" si="45"/>
        <v>0.405759261857566</v>
      </c>
      <c r="G55" s="103">
        <f t="shared" si="45"/>
        <v>0.40768739200532628</v>
      </c>
      <c r="H55" s="103">
        <f t="shared" si="45"/>
        <v>0.40206142561685171</v>
      </c>
      <c r="I55" s="103">
        <f t="shared" si="45"/>
        <v>0.39368187214909084</v>
      </c>
      <c r="J55" s="103">
        <f t="shared" si="45"/>
        <v>0.36694584392200352</v>
      </c>
      <c r="K55" s="103">
        <f t="shared" si="45"/>
        <v>0.38734966618139738</v>
      </c>
      <c r="L55" s="103">
        <f t="shared" si="45"/>
        <v>0.39000292221480165</v>
      </c>
      <c r="M55" s="103">
        <f t="shared" si="45"/>
        <v>0.39120607416160247</v>
      </c>
      <c r="N55" s="103">
        <f t="shared" si="45"/>
        <v>0.3972097472086612</v>
      </c>
      <c r="O55" s="103">
        <f t="shared" si="45"/>
        <v>0.39971440338284348</v>
      </c>
      <c r="P55" s="103">
        <f t="shared" si="45"/>
        <v>0.39777200442988575</v>
      </c>
      <c r="Q55" s="103">
        <f t="shared" si="45"/>
        <v>0.39706404438882076</v>
      </c>
      <c r="R55" s="103">
        <f t="shared" si="45"/>
        <v>0.38799795563576778</v>
      </c>
      <c r="S55" s="103">
        <f t="shared" si="45"/>
        <v>0.38578353130573123</v>
      </c>
      <c r="T55" s="103">
        <f t="shared" si="45"/>
        <v>0.3961304753677154</v>
      </c>
      <c r="U55" s="103">
        <f t="shared" si="45"/>
        <v>0.40481475898186903</v>
      </c>
      <c r="V55" s="103">
        <f t="shared" si="45"/>
        <v>0.43579408760844457</v>
      </c>
      <c r="W55" s="103">
        <f t="shared" ref="W55" si="46">IF(W9=0,0,W9/W$3)</f>
        <v>0.40493905768298044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9.3781417457761852E-3</v>
      </c>
      <c r="C56" s="17">
        <f t="shared" si="47"/>
        <v>9.5821094856892181E-3</v>
      </c>
      <c r="D56" s="17">
        <f t="shared" ref="D56:V56" si="48">IF(D10=0,0,D10/D$3)</f>
        <v>1.0209688766485994E-2</v>
      </c>
      <c r="E56" s="17">
        <f t="shared" si="48"/>
        <v>7.8849453710501689E-3</v>
      </c>
      <c r="F56" s="17">
        <f t="shared" si="48"/>
        <v>7.9038975066565587E-3</v>
      </c>
      <c r="G56" s="17">
        <f t="shared" si="48"/>
        <v>8.6720952271374489E-3</v>
      </c>
      <c r="H56" s="17">
        <f t="shared" si="48"/>
        <v>1.0286078664451635E-2</v>
      </c>
      <c r="I56" s="17">
        <f t="shared" si="48"/>
        <v>9.7320356175925379E-3</v>
      </c>
      <c r="J56" s="17">
        <f t="shared" si="48"/>
        <v>7.4088598173609979E-2</v>
      </c>
      <c r="K56" s="17">
        <f t="shared" si="48"/>
        <v>5.9687295969125143E-2</v>
      </c>
      <c r="L56" s="17">
        <f t="shared" si="48"/>
        <v>6.0019117472471531E-2</v>
      </c>
      <c r="M56" s="17">
        <f t="shared" si="48"/>
        <v>5.5922958442207245E-2</v>
      </c>
      <c r="N56" s="17">
        <f t="shared" si="48"/>
        <v>5.8882678569555792E-2</v>
      </c>
      <c r="O56" s="17">
        <f t="shared" si="48"/>
        <v>5.0511866237938553E-2</v>
      </c>
      <c r="P56" s="17">
        <f t="shared" si="48"/>
        <v>5.5539876421777074E-2</v>
      </c>
      <c r="Q56" s="17">
        <f t="shared" si="48"/>
        <v>5.0818281850941699E-2</v>
      </c>
      <c r="R56" s="17">
        <f t="shared" si="48"/>
        <v>3.7474063061799456E-2</v>
      </c>
      <c r="S56" s="17">
        <f t="shared" si="48"/>
        <v>3.7043491106568995E-2</v>
      </c>
      <c r="T56" s="17">
        <f t="shared" si="48"/>
        <v>2.6410960331278516E-2</v>
      </c>
      <c r="U56" s="17">
        <f t="shared" si="48"/>
        <v>3.0227282749595061E-2</v>
      </c>
      <c r="V56" s="17">
        <f t="shared" si="48"/>
        <v>8.4655610314998297E-2</v>
      </c>
      <c r="W56" s="17">
        <f t="shared" ref="W56" si="49">IF(W10=0,0,W10/W$3)</f>
        <v>9.5209311606973712E-2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3.0003078990080401E-4</v>
      </c>
      <c r="C57" s="104">
        <f t="shared" si="50"/>
        <v>3.1262196387382582E-4</v>
      </c>
      <c r="D57" s="104">
        <f t="shared" ref="D57:V57" si="51">IF(D11=0,0,D11/D$3)</f>
        <v>2.6413533382317356E-4</v>
      </c>
      <c r="E57" s="104">
        <f t="shared" si="51"/>
        <v>1.4708957651547687E-4</v>
      </c>
      <c r="F57" s="104">
        <f t="shared" si="51"/>
        <v>8.9556601100536419E-5</v>
      </c>
      <c r="G57" s="104">
        <f t="shared" si="51"/>
        <v>1.0867197864642033E-4</v>
      </c>
      <c r="H57" s="104">
        <f t="shared" si="51"/>
        <v>1.3336433769240967E-4</v>
      </c>
      <c r="I57" s="104">
        <f t="shared" si="51"/>
        <v>1.3704296793434444E-4</v>
      </c>
      <c r="J57" s="104">
        <f t="shared" si="51"/>
        <v>2.7344441604843406E-4</v>
      </c>
      <c r="K57" s="104">
        <f t="shared" si="51"/>
        <v>2.8458376572033375E-4</v>
      </c>
      <c r="L57" s="104">
        <f t="shared" si="51"/>
        <v>1.184414985783478E-4</v>
      </c>
      <c r="M57" s="104">
        <f t="shared" si="51"/>
        <v>6.4801015131712037E-5</v>
      </c>
      <c r="N57" s="104">
        <f t="shared" si="51"/>
        <v>6.3462490699020462E-5</v>
      </c>
      <c r="O57" s="104">
        <f t="shared" si="51"/>
        <v>6.5843717105332878E-5</v>
      </c>
      <c r="P57" s="104">
        <f t="shared" si="51"/>
        <v>5.6910919706133966E-5</v>
      </c>
      <c r="Q57" s="104">
        <f t="shared" si="51"/>
        <v>4.781578983368461E-5</v>
      </c>
      <c r="R57" s="104">
        <f t="shared" si="51"/>
        <v>1.0597702061413623E-5</v>
      </c>
      <c r="S57" s="104">
        <f t="shared" si="51"/>
        <v>1.6953640294498291E-5</v>
      </c>
      <c r="T57" s="104">
        <f t="shared" si="51"/>
        <v>2.0494411356739877E-5</v>
      </c>
      <c r="U57" s="104">
        <f t="shared" si="51"/>
        <v>1.6843358725183924E-5</v>
      </c>
      <c r="V57" s="104">
        <f t="shared" si="51"/>
        <v>6.4539289856106253E-5</v>
      </c>
      <c r="W57" s="104">
        <f t="shared" ref="W57" si="52">IF(W11=0,0,W11/W$3)</f>
        <v>8.5524077453203956E-5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8.2313316134637708E-3</v>
      </c>
      <c r="C58" s="104">
        <f t="shared" si="53"/>
        <v>8.3910339955774738E-3</v>
      </c>
      <c r="D58" s="104">
        <f t="shared" ref="D58:V58" si="54">IF(D12=0,0,D12/D$3)</f>
        <v>8.8071544562806688E-3</v>
      </c>
      <c r="E58" s="104">
        <f t="shared" si="54"/>
        <v>6.4682133471673335E-3</v>
      </c>
      <c r="F58" s="104">
        <f t="shared" si="54"/>
        <v>6.6423436981640962E-3</v>
      </c>
      <c r="G58" s="104">
        <f t="shared" si="54"/>
        <v>7.7938583532287447E-3</v>
      </c>
      <c r="H58" s="104">
        <f t="shared" si="54"/>
        <v>9.7670192090442195E-3</v>
      </c>
      <c r="I58" s="104">
        <f t="shared" si="54"/>
        <v>9.1267394901786685E-3</v>
      </c>
      <c r="J58" s="104">
        <f t="shared" si="54"/>
        <v>1.8926942152025235E-2</v>
      </c>
      <c r="K58" s="104">
        <f t="shared" si="54"/>
        <v>1.3804734973559746E-2</v>
      </c>
      <c r="L58" s="104">
        <f t="shared" si="54"/>
        <v>8.9785389222416835E-3</v>
      </c>
      <c r="M58" s="104">
        <f t="shared" si="54"/>
        <v>8.5294591201792048E-3</v>
      </c>
      <c r="N58" s="104">
        <f t="shared" si="54"/>
        <v>7.5366645531715227E-3</v>
      </c>
      <c r="O58" s="104">
        <f t="shared" si="54"/>
        <v>6.2694564730792655E-3</v>
      </c>
      <c r="P58" s="104">
        <f t="shared" si="54"/>
        <v>9.6842447424173288E-3</v>
      </c>
      <c r="Q58" s="104">
        <f t="shared" si="54"/>
        <v>9.7314219905240123E-3</v>
      </c>
      <c r="R58" s="104">
        <f t="shared" si="54"/>
        <v>7.3822729951376351E-3</v>
      </c>
      <c r="S58" s="104">
        <f t="shared" si="54"/>
        <v>8.8314877422293325E-3</v>
      </c>
      <c r="T58" s="104">
        <f t="shared" si="54"/>
        <v>8.6081455494392348E-3</v>
      </c>
      <c r="U58" s="104">
        <f t="shared" si="54"/>
        <v>9.7471306516395059E-3</v>
      </c>
      <c r="V58" s="104">
        <f t="shared" si="54"/>
        <v>2.8620581557760566E-2</v>
      </c>
      <c r="W58" s="104">
        <f t="shared" ref="W58" si="55">IF(W12=0,0,W12/W$3)</f>
        <v>3.2738618570903454E-2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8.4677934241160935E-4</v>
      </c>
      <c r="C59" s="105">
        <f t="shared" si="56"/>
        <v>8.7845352623791919E-4</v>
      </c>
      <c r="D59" s="105">
        <f t="shared" ref="D59:V59" si="57">IF(D13=0,0,D13/D$3)</f>
        <v>1.1383989763821508E-3</v>
      </c>
      <c r="E59" s="105">
        <f t="shared" si="57"/>
        <v>1.2696424473673583E-3</v>
      </c>
      <c r="F59" s="105">
        <f t="shared" si="57"/>
        <v>1.1719972073919269E-3</v>
      </c>
      <c r="G59" s="105">
        <f t="shared" si="57"/>
        <v>7.6956489526228307E-4</v>
      </c>
      <c r="H59" s="105">
        <f t="shared" si="57"/>
        <v>3.8569511771500547E-4</v>
      </c>
      <c r="I59" s="105">
        <f t="shared" si="57"/>
        <v>4.6825315947952493E-4</v>
      </c>
      <c r="J59" s="105">
        <f t="shared" si="57"/>
        <v>5.4888211605536315E-2</v>
      </c>
      <c r="K59" s="105">
        <f t="shared" si="57"/>
        <v>4.5597977229845064E-2</v>
      </c>
      <c r="L59" s="105">
        <f t="shared" si="57"/>
        <v>5.0922137051651495E-2</v>
      </c>
      <c r="M59" s="105">
        <f t="shared" si="57"/>
        <v>4.7328698306896323E-2</v>
      </c>
      <c r="N59" s="105">
        <f t="shared" si="57"/>
        <v>5.1282551525685255E-2</v>
      </c>
      <c r="O59" s="105">
        <f t="shared" si="57"/>
        <v>4.4176566047753954E-2</v>
      </c>
      <c r="P59" s="105">
        <f t="shared" si="57"/>
        <v>4.5798720759653612E-2</v>
      </c>
      <c r="Q59" s="105">
        <f t="shared" si="57"/>
        <v>4.1039044070584008E-2</v>
      </c>
      <c r="R59" s="105">
        <f t="shared" si="57"/>
        <v>3.0081192364600409E-2</v>
      </c>
      <c r="S59" s="105">
        <f t="shared" si="57"/>
        <v>2.8195049724045164E-2</v>
      </c>
      <c r="T59" s="105">
        <f t="shared" si="57"/>
        <v>1.7782320370482541E-2</v>
      </c>
      <c r="U59" s="105">
        <f t="shared" si="57"/>
        <v>2.0463308739230371E-2</v>
      </c>
      <c r="V59" s="105">
        <f t="shared" si="57"/>
        <v>5.5970489467381618E-2</v>
      </c>
      <c r="W59" s="105">
        <f t="shared" ref="W59" si="58">IF(W13=0,0,W13/W$3)</f>
        <v>6.2385168958617052E-2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19187178</v>
      </c>
      <c r="C4" s="11">
        <f t="shared" si="0"/>
        <v>19372898</v>
      </c>
      <c r="D4" s="11">
        <f t="shared" ref="D4" si="1">SUM(D5:D7)</f>
        <v>18075190</v>
      </c>
      <c r="E4" s="11">
        <f t="shared" ref="E4" si="2">SUM(E5:E7)</f>
        <v>18206867</v>
      </c>
      <c r="F4" s="11">
        <f t="shared" ref="F4" si="3">SUM(F5:F7)</f>
        <v>19796130</v>
      </c>
      <c r="G4" s="11">
        <f t="shared" ref="G4" si="4">SUM(G5:G7)</f>
        <v>19742067</v>
      </c>
      <c r="H4" s="11">
        <f t="shared" ref="H4" si="5">SUM(H5:H7)</f>
        <v>17823974</v>
      </c>
      <c r="I4" s="11">
        <f t="shared" ref="I4" si="6">SUM(I5:I7)</f>
        <v>18554937</v>
      </c>
      <c r="J4" s="11">
        <f t="shared" ref="J4" si="7">SUM(J5:J7)</f>
        <v>19153992</v>
      </c>
      <c r="K4" s="11">
        <f t="shared" ref="K4" si="8">SUM(K5:K7)</f>
        <v>17684022</v>
      </c>
      <c r="L4" s="11">
        <f t="shared" ref="L4" si="9">SUM(L5:L7)</f>
        <v>19383225</v>
      </c>
      <c r="M4" s="11">
        <f t="shared" ref="M4" si="10">SUM(M5:M7)</f>
        <v>20212814</v>
      </c>
      <c r="N4" s="11">
        <f t="shared" ref="N4" si="11">SUM(N5:N7)</f>
        <v>19643668</v>
      </c>
      <c r="O4" s="11">
        <f t="shared" ref="O4" si="12">SUM(O5:O7)</f>
        <v>20432776</v>
      </c>
      <c r="P4" s="11">
        <f t="shared" ref="P4" si="13">SUM(P5:P7)</f>
        <v>20825902</v>
      </c>
      <c r="Q4" s="11">
        <f t="shared" ref="Q4" si="14">SUM(Q5:Q7)</f>
        <v>21518092</v>
      </c>
      <c r="R4" s="11">
        <f t="shared" ref="R4" si="15">SUM(R5:R7)</f>
        <v>23138199</v>
      </c>
      <c r="S4" s="11">
        <f t="shared" ref="S4" si="16">SUM(S5:S7)</f>
        <v>22942427</v>
      </c>
      <c r="T4" s="11">
        <f t="shared" ref="T4" si="17">SUM(T5:T7)</f>
        <v>24223129</v>
      </c>
      <c r="U4" s="11">
        <f t="shared" ref="U4" si="18">SUM(U5:U7)</f>
        <v>24364813</v>
      </c>
      <c r="V4" s="11">
        <f t="shared" ref="V4:W4" si="19">SUM(V5:V7)</f>
        <v>8690938</v>
      </c>
      <c r="W4" s="11">
        <f t="shared" si="19"/>
        <v>10000306</v>
      </c>
      <c r="DA4" s="189" t="s">
        <v>361</v>
      </c>
    </row>
    <row r="5" spans="1:105" ht="11.45" customHeight="1" x14ac:dyDescent="0.25">
      <c r="A5" s="83" t="s">
        <v>27</v>
      </c>
      <c r="B5" s="84">
        <v>2798523</v>
      </c>
      <c r="C5" s="84">
        <v>2817671</v>
      </c>
      <c r="D5" s="84">
        <v>2494020</v>
      </c>
      <c r="E5" s="84">
        <v>2653766</v>
      </c>
      <c r="F5" s="84">
        <v>2985292</v>
      </c>
      <c r="G5" s="84">
        <v>3091628</v>
      </c>
      <c r="H5" s="84">
        <v>2990266</v>
      </c>
      <c r="I5" s="84">
        <v>3173555</v>
      </c>
      <c r="J5" s="84">
        <v>3070692</v>
      </c>
      <c r="K5" s="84">
        <v>3295342</v>
      </c>
      <c r="L5" s="84">
        <v>3817064</v>
      </c>
      <c r="M5" s="84">
        <v>3878818</v>
      </c>
      <c r="N5" s="84">
        <v>3124476</v>
      </c>
      <c r="O5" s="84">
        <v>3151580</v>
      </c>
      <c r="P5" s="84">
        <v>3108221</v>
      </c>
      <c r="Q5" s="84">
        <v>3065384</v>
      </c>
      <c r="R5" s="84">
        <v>3084308</v>
      </c>
      <c r="S5" s="84">
        <v>3047277</v>
      </c>
      <c r="T5" s="84">
        <v>3044840</v>
      </c>
      <c r="U5" s="84">
        <v>3028181</v>
      </c>
      <c r="V5" s="84">
        <v>1679956</v>
      </c>
      <c r="W5" s="84">
        <v>1884553</v>
      </c>
      <c r="DA5" s="171" t="s">
        <v>362</v>
      </c>
    </row>
    <row r="6" spans="1:105" ht="11.45" customHeight="1" x14ac:dyDescent="0.25">
      <c r="A6" s="83" t="s">
        <v>173</v>
      </c>
      <c r="B6" s="84">
        <v>13673900</v>
      </c>
      <c r="C6" s="84">
        <v>13847555</v>
      </c>
      <c r="D6" s="84">
        <v>13220996</v>
      </c>
      <c r="E6" s="84">
        <v>13157363</v>
      </c>
      <c r="F6" s="84">
        <v>14121735</v>
      </c>
      <c r="G6" s="84">
        <v>13679365</v>
      </c>
      <c r="H6" s="84">
        <v>12769254</v>
      </c>
      <c r="I6" s="84">
        <v>13295952</v>
      </c>
      <c r="J6" s="84">
        <v>13792941</v>
      </c>
      <c r="K6" s="84">
        <v>12203358</v>
      </c>
      <c r="L6" s="84">
        <v>12952480</v>
      </c>
      <c r="M6" s="84">
        <v>13474567</v>
      </c>
      <c r="N6" s="84">
        <v>13586570</v>
      </c>
      <c r="O6" s="84">
        <v>14372069</v>
      </c>
      <c r="P6" s="84">
        <v>14567951</v>
      </c>
      <c r="Q6" s="84">
        <v>15244020</v>
      </c>
      <c r="R6" s="84">
        <v>16824336</v>
      </c>
      <c r="S6" s="84">
        <v>16634768</v>
      </c>
      <c r="T6" s="84">
        <v>17417297</v>
      </c>
      <c r="U6" s="84">
        <v>17376435</v>
      </c>
      <c r="V6" s="84">
        <v>5601564</v>
      </c>
      <c r="W6" s="84">
        <v>6320690</v>
      </c>
      <c r="DA6" s="171" t="s">
        <v>363</v>
      </c>
    </row>
    <row r="7" spans="1:105" ht="11.45" customHeight="1" x14ac:dyDescent="0.25">
      <c r="A7" s="85" t="s">
        <v>174</v>
      </c>
      <c r="B7" s="86">
        <v>2714755</v>
      </c>
      <c r="C7" s="86">
        <v>2707672</v>
      </c>
      <c r="D7" s="86">
        <v>2360174</v>
      </c>
      <c r="E7" s="86">
        <v>2395738</v>
      </c>
      <c r="F7" s="86">
        <v>2689103</v>
      </c>
      <c r="G7" s="86">
        <v>2971074</v>
      </c>
      <c r="H7" s="86">
        <v>2064454</v>
      </c>
      <c r="I7" s="86">
        <v>2085430</v>
      </c>
      <c r="J7" s="86">
        <v>2290359</v>
      </c>
      <c r="K7" s="86">
        <v>2185322</v>
      </c>
      <c r="L7" s="86">
        <v>2613681</v>
      </c>
      <c r="M7" s="86">
        <v>2859429</v>
      </c>
      <c r="N7" s="86">
        <v>2932622</v>
      </c>
      <c r="O7" s="86">
        <v>2909127</v>
      </c>
      <c r="P7" s="86">
        <v>3149730</v>
      </c>
      <c r="Q7" s="86">
        <v>3208688</v>
      </c>
      <c r="R7" s="86">
        <v>3229555</v>
      </c>
      <c r="S7" s="86">
        <v>3260382</v>
      </c>
      <c r="T7" s="86">
        <v>3760992</v>
      </c>
      <c r="U7" s="86">
        <v>3960197</v>
      </c>
      <c r="V7" s="86">
        <v>1409418</v>
      </c>
      <c r="W7" s="86">
        <v>1795063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124.804394489326</v>
      </c>
      <c r="C12" s="14">
        <f>IF(C4=0,0,C4/TrAvia_act!C24)</f>
        <v>123.78769464731855</v>
      </c>
      <c r="D12" s="14">
        <f>IF(D4=0,0,D4/TrAvia_act!D24)</f>
        <v>121.93357978386109</v>
      </c>
      <c r="E12" s="14">
        <f>IF(E4=0,0,E4/TrAvia_act!E24)</f>
        <v>119.23213993359572</v>
      </c>
      <c r="F12" s="14">
        <f>IF(F4=0,0,F4/TrAvia_act!F24)</f>
        <v>115.06033129904098</v>
      </c>
      <c r="G12" s="14">
        <f>IF(G4=0,0,G4/TrAvia_act!G24)</f>
        <v>116.52874546978479</v>
      </c>
      <c r="H12" s="14">
        <f>IF(H4=0,0,H4/TrAvia_act!H24)</f>
        <v>108.90389632607673</v>
      </c>
      <c r="I12" s="14">
        <f>IF(I4=0,0,I4/TrAvia_act!I24)</f>
        <v>112.70826955317443</v>
      </c>
      <c r="J12" s="14">
        <f>IF(J4=0,0,J4/TrAvia_act!J24)</f>
        <v>111.56538757251695</v>
      </c>
      <c r="K12" s="14">
        <f>IF(K4=0,0,K4/TrAvia_act!K24)</f>
        <v>115.14459470898093</v>
      </c>
      <c r="L12" s="14">
        <f>IF(L4=0,0,L4/TrAvia_act!L24)</f>
        <v>119.06596680467339</v>
      </c>
      <c r="M12" s="14">
        <f>IF(M4=0,0,M4/TrAvia_act!M24)</f>
        <v>120.09419635430282</v>
      </c>
      <c r="N12" s="14">
        <f>IF(N4=0,0,N4/TrAvia_act!N24)</f>
        <v>125.67523751639423</v>
      </c>
      <c r="O12" s="14">
        <f>IF(O4=0,0,O4/TrAvia_act!O24)</f>
        <v>128.17428833101232</v>
      </c>
      <c r="P12" s="14">
        <f>IF(P4=0,0,P4/TrAvia_act!P24)</f>
        <v>129.38316259016048</v>
      </c>
      <c r="Q12" s="14">
        <f>IF(Q4=0,0,Q4/TrAvia_act!Q24)</f>
        <v>131.86802223325304</v>
      </c>
      <c r="R12" s="14">
        <f>IF(R4=0,0,R4/TrAvia_act!R24)</f>
        <v>136.60929298892989</v>
      </c>
      <c r="S12" s="14">
        <f>IF(S4=0,0,S4/TrAvia_act!S24)</f>
        <v>139.62721529772628</v>
      </c>
      <c r="T12" s="14">
        <f>IF(T4=0,0,T4/TrAvia_act!T24)</f>
        <v>144.10208986478045</v>
      </c>
      <c r="U12" s="14">
        <f>IF(U4=0,0,U4/TrAvia_act!U24)</f>
        <v>146.44867795469162</v>
      </c>
      <c r="V12" s="14">
        <f>IF(V4=0,0,V4/TrAvia_act!V24)</f>
        <v>139.85160272914521</v>
      </c>
      <c r="W12" s="14">
        <f>IF(W4=0,0,W4/TrAvia_act!W24)</f>
        <v>144.60085601087366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109.36429715893549</v>
      </c>
      <c r="C13" s="87">
        <f>IF(C5=0,0,C5/TrAvia_act!C25)</f>
        <v>107.61041093797739</v>
      </c>
      <c r="D13" s="87">
        <f>IF(D5=0,0,D5/TrAvia_act!D25)</f>
        <v>92.880232384924767</v>
      </c>
      <c r="E13" s="87">
        <f>IF(E5=0,0,E5/TrAvia_act!E25)</f>
        <v>82.966485337335087</v>
      </c>
      <c r="F13" s="87">
        <f>IF(F5=0,0,F5/TrAvia_act!F25)</f>
        <v>68.984217215482374</v>
      </c>
      <c r="G13" s="87">
        <f>IF(G5=0,0,G5/TrAvia_act!G25)</f>
        <v>73.185020357920649</v>
      </c>
      <c r="H13" s="87">
        <f>IF(H5=0,0,H5/TrAvia_act!H25)</f>
        <v>71.400811843361993</v>
      </c>
      <c r="I13" s="87">
        <f>IF(I5=0,0,I5/TrAvia_act!I25)</f>
        <v>75.384935151313599</v>
      </c>
      <c r="J13" s="87">
        <f>IF(J5=0,0,J5/TrAvia_act!J25)</f>
        <v>70.078323976448033</v>
      </c>
      <c r="K13" s="87">
        <f>IF(K5=0,0,K5/TrAvia_act!K25)</f>
        <v>80.895080518460333</v>
      </c>
      <c r="L13" s="87">
        <f>IF(L5=0,0,L5/TrAvia_act!L25)</f>
        <v>85.090260594306599</v>
      </c>
      <c r="M13" s="87">
        <f>IF(M5=0,0,M5/TrAvia_act!M25)</f>
        <v>85.683757096467787</v>
      </c>
      <c r="N13" s="87">
        <f>IF(N5=0,0,N5/TrAvia_act!N25)</f>
        <v>97.639875000000004</v>
      </c>
      <c r="O13" s="87">
        <f>IF(O5=0,0,O5/TrAvia_act!O25)</f>
        <v>93.850093803043393</v>
      </c>
      <c r="P13" s="87">
        <f>IF(P5=0,0,P5/TrAvia_act!P25)</f>
        <v>88.121484463597184</v>
      </c>
      <c r="Q13" s="87">
        <f>IF(Q5=0,0,Q5/TrAvia_act!Q25)</f>
        <v>87.514888514574466</v>
      </c>
      <c r="R13" s="87">
        <f>IF(R5=0,0,R5/TrAvia_act!R25)</f>
        <v>87.428652417937528</v>
      </c>
      <c r="S13" s="87">
        <f>IF(S5=0,0,S5/TrAvia_act!S25)</f>
        <v>90.453174626732761</v>
      </c>
      <c r="T13" s="87">
        <f>IF(T5=0,0,T5/TrAvia_act!T25)</f>
        <v>93.805724144305117</v>
      </c>
      <c r="U13" s="87">
        <f>IF(U5=0,0,U5/TrAvia_act!U25)</f>
        <v>95.318738392772829</v>
      </c>
      <c r="V13" s="87">
        <f>IF(V5=0,0,V5/TrAvia_act!V25)</f>
        <v>92.047339871787841</v>
      </c>
      <c r="W13" s="87">
        <f>IF(W5=0,0,W5/TrAvia_act!W25)</f>
        <v>93.000049348598495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118.128963145982</v>
      </c>
      <c r="C14" s="87">
        <f>IF(C6=0,0,C6/TrAvia_act!C26)</f>
        <v>117.63928061709936</v>
      </c>
      <c r="D14" s="87">
        <f>IF(D6=0,0,D6/TrAvia_act!D26)</f>
        <v>119.40497091868069</v>
      </c>
      <c r="E14" s="87">
        <f>IF(E6=0,0,E6/TrAvia_act!E26)</f>
        <v>119.1552679719621</v>
      </c>
      <c r="F14" s="87">
        <f>IF(F6=0,0,F6/TrAvia_act!F26)</f>
        <v>120.80597283055023</v>
      </c>
      <c r="G14" s="87">
        <f>IF(G6=0,0,G6/TrAvia_act!G26)</f>
        <v>119.50070323488045</v>
      </c>
      <c r="H14" s="87">
        <f>IF(H6=0,0,H6/TrAvia_act!H26)</f>
        <v>115.4679483121886</v>
      </c>
      <c r="I14" s="87">
        <f>IF(I6=0,0,I6/TrAvia_act!I26)</f>
        <v>119.8070969020887</v>
      </c>
      <c r="J14" s="87">
        <f>IF(J6=0,0,J6/TrAvia_act!J26)</f>
        <v>119.5270286665049</v>
      </c>
      <c r="K14" s="87">
        <f>IF(K6=0,0,K6/TrAvia_act!K26)</f>
        <v>120.44610039677056</v>
      </c>
      <c r="L14" s="87">
        <f>IF(L6=0,0,L6/TrAvia_act!L26)</f>
        <v>123.62539609819417</v>
      </c>
      <c r="M14" s="87">
        <f>IF(M6=0,0,M6/TrAvia_act!M26)</f>
        <v>124.29380401996144</v>
      </c>
      <c r="N14" s="87">
        <f>IF(N6=0,0,N6/TrAvia_act!N26)</f>
        <v>124.29507176902176</v>
      </c>
      <c r="O14" s="87">
        <f>IF(O6=0,0,O6/TrAvia_act!O26)</f>
        <v>129.51076848213964</v>
      </c>
      <c r="P14" s="87">
        <f>IF(P6=0,0,P6/TrAvia_act!P26)</f>
        <v>132.3697333151606</v>
      </c>
      <c r="Q14" s="87">
        <f>IF(Q6=0,0,Q6/TrAvia_act!Q26)</f>
        <v>135.46266428514303</v>
      </c>
      <c r="R14" s="87">
        <f>IF(R6=0,0,R6/TrAvia_act!R26)</f>
        <v>141.89609338101343</v>
      </c>
      <c r="S14" s="87">
        <f>IF(S6=0,0,S6/TrAvia_act!S26)</f>
        <v>144.10880864924803</v>
      </c>
      <c r="T14" s="87">
        <f>IF(T6=0,0,T6/TrAvia_act!T26)</f>
        <v>147.25479370984107</v>
      </c>
      <c r="U14" s="87">
        <f>IF(U6=0,0,U6/TrAvia_act!U26)</f>
        <v>149.19749111328628</v>
      </c>
      <c r="V14" s="87">
        <f>IF(V6=0,0,V6/TrAvia_act!V26)</f>
        <v>146.85693312010068</v>
      </c>
      <c r="W14" s="87">
        <f>IF(W6=0,0,W6/TrAvia_act!W26)</f>
        <v>152.88046633126936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219.0201694231545</v>
      </c>
      <c r="C15" s="88">
        <f>IF(C7=0,0,C7/TrAvia_act!C27)</f>
        <v>214.80936136453789</v>
      </c>
      <c r="D15" s="88">
        <f>IF(D7=0,0,D7/TrAvia_act!D27)</f>
        <v>221.36315888201088</v>
      </c>
      <c r="E15" s="88">
        <f>IF(E7=0,0,E7/TrAvia_act!E27)</f>
        <v>232.75410473137083</v>
      </c>
      <c r="F15" s="88">
        <f>IF(F7=0,0,F7/TrAvia_act!F27)</f>
        <v>226.37452647529253</v>
      </c>
      <c r="G15" s="88">
        <f>IF(G7=0,0,G7/TrAvia_act!G27)</f>
        <v>233.8875856096985</v>
      </c>
      <c r="H15" s="88">
        <f>IF(H7=0,0,H7/TrAvia_act!H27)</f>
        <v>184.32624999999999</v>
      </c>
      <c r="I15" s="88">
        <f>IF(I7=0,0,I7/TrAvia_act!I27)</f>
        <v>180.52545013850417</v>
      </c>
      <c r="J15" s="88">
        <f>IF(J7=0,0,J7/TrAvia_act!J27)</f>
        <v>183.66952686447473</v>
      </c>
      <c r="K15" s="88">
        <f>IF(K7=0,0,K7/TrAvia_act!K27)</f>
        <v>189.58289233972414</v>
      </c>
      <c r="L15" s="88">
        <f>IF(L7=0,0,L7/TrAvia_act!L27)</f>
        <v>198.56271366709717</v>
      </c>
      <c r="M15" s="88">
        <f>IF(M7=0,0,M7/TrAvia_act!M27)</f>
        <v>195.44969241285031</v>
      </c>
      <c r="N15" s="88">
        <f>IF(N7=0,0,N7/TrAvia_act!N27)</f>
        <v>195.56028274206454</v>
      </c>
      <c r="O15" s="88">
        <f>IF(O7=0,0,O7/TrAvia_act!O27)</f>
        <v>195.75580378171051</v>
      </c>
      <c r="P15" s="88">
        <f>IF(P7=0,0,P7/TrAvia_act!P27)</f>
        <v>201.44090560245587</v>
      </c>
      <c r="Q15" s="88">
        <f>IF(Q7=0,0,Q7/TrAvia_act!Q27)</f>
        <v>205.43491900889941</v>
      </c>
      <c r="R15" s="88">
        <f>IF(R7=0,0,R7/TrAvia_act!R27)</f>
        <v>207.96928327645051</v>
      </c>
      <c r="S15" s="88">
        <f>IF(S7=0,0,S7/TrAvia_act!S27)</f>
        <v>214.62589691264566</v>
      </c>
      <c r="T15" s="88">
        <f>IF(T7=0,0,T7/TrAvia_act!T27)</f>
        <v>216.67196681645351</v>
      </c>
      <c r="U15" s="88">
        <f>IF(U7=0,0,U7/TrAvia_act!U27)</f>
        <v>218.36110498456108</v>
      </c>
      <c r="V15" s="88">
        <f>IF(V7=0,0,V7/TrAvia_act!V27)</f>
        <v>245.11617391304347</v>
      </c>
      <c r="W15" s="88">
        <f>IF(W7=0,0,W7/TrAvia_act!W27)</f>
        <v>237.75668874172186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0.52286876162820817</v>
      </c>
      <c r="C18" s="25">
        <f>IF(TrAvia_act!C34=0,0,(TrAvia_act!C34/TrAvia_act!C24)/TrAvia_png!C12)</f>
        <v>0.53373883453059012</v>
      </c>
      <c r="D18" s="25">
        <f>IF(TrAvia_act!D34=0,0,(TrAvia_act!D34/TrAvia_act!D24)/TrAvia_png!D12)</f>
        <v>0.57001812982325495</v>
      </c>
      <c r="E18" s="25">
        <f>IF(TrAvia_act!E34=0,0,(TrAvia_act!E34/TrAvia_act!E24)/TrAvia_png!E12)</f>
        <v>0.56454495987695197</v>
      </c>
      <c r="F18" s="25">
        <f>IF(TrAvia_act!F34=0,0,(TrAvia_act!F34/TrAvia_act!F24)/TrAvia_png!F12)</f>
        <v>0.57362226859492227</v>
      </c>
      <c r="G18" s="25">
        <f>IF(TrAvia_act!G34=0,0,(TrAvia_act!G34/TrAvia_act!G24)/TrAvia_png!G12)</f>
        <v>0.60492313190913594</v>
      </c>
      <c r="H18" s="25">
        <f>IF(TrAvia_act!H34=0,0,(TrAvia_act!H34/TrAvia_act!H24)/TrAvia_png!H12)</f>
        <v>0.69664206197787315</v>
      </c>
      <c r="I18" s="25">
        <f>IF(TrAvia_act!I34=0,0,(TrAvia_act!I34/TrAvia_act!I24)/TrAvia_png!I12)</f>
        <v>0.70088499896280976</v>
      </c>
      <c r="J18" s="25">
        <f>IF(TrAvia_act!J34=0,0,(TrAvia_act!J34/TrAvia_act!J24)/TrAvia_png!J12)</f>
        <v>0.68419455328163437</v>
      </c>
      <c r="K18" s="25">
        <f>IF(TrAvia_act!K34=0,0,(TrAvia_act!K34/TrAvia_act!K24)/TrAvia_png!K12)</f>
        <v>0.6822706961120043</v>
      </c>
      <c r="L18" s="25">
        <f>IF(TrAvia_act!L34=0,0,(TrAvia_act!L34/TrAvia_act!L24)/TrAvia_png!L12)</f>
        <v>0.68749570827352002</v>
      </c>
      <c r="M18" s="25">
        <f>IF(TrAvia_act!M34=0,0,(TrAvia_act!M34/TrAvia_act!M24)/TrAvia_png!M12)</f>
        <v>0.69430243606852571</v>
      </c>
      <c r="N18" s="25">
        <f>IF(TrAvia_act!N34=0,0,(TrAvia_act!N34/TrAvia_act!N24)/TrAvia_png!N12)</f>
        <v>0.72018413261718728</v>
      </c>
      <c r="O18" s="25">
        <f>IF(TrAvia_act!O34=0,0,(TrAvia_act!O34/TrAvia_act!O24)/TrAvia_png!O12)</f>
        <v>0.71471453511749949</v>
      </c>
      <c r="P18" s="25">
        <f>IF(TrAvia_act!P34=0,0,(TrAvia_act!P34/TrAvia_act!P24)/TrAvia_png!P12)</f>
        <v>0.74337322820399321</v>
      </c>
      <c r="Q18" s="25">
        <f>IF(TrAvia_act!Q34=0,0,(TrAvia_act!Q34/TrAvia_act!Q24)/TrAvia_png!Q12)</f>
        <v>0.74291433459806755</v>
      </c>
      <c r="R18" s="25">
        <f>IF(TrAvia_act!R34=0,0,(TrAvia_act!R34/TrAvia_act!R24)/TrAvia_png!R12)</f>
        <v>0.74644102594156092</v>
      </c>
      <c r="S18" s="25">
        <f>IF(TrAvia_act!S34=0,0,(TrAvia_act!S34/TrAvia_act!S24)/TrAvia_png!S12)</f>
        <v>0.76069166527150767</v>
      </c>
      <c r="T18" s="25">
        <f>IF(TrAvia_act!T34=0,0,(TrAvia_act!T34/TrAvia_act!T24)/TrAvia_png!T12)</f>
        <v>0.74918479771956792</v>
      </c>
      <c r="U18" s="25">
        <f>IF(TrAvia_act!U34=0,0,(TrAvia_act!U34/TrAvia_act!U24)/TrAvia_png!U12)</f>
        <v>0.74515630388790599</v>
      </c>
      <c r="V18" s="25">
        <f>IF(TrAvia_act!V34=0,0,(TrAvia_act!V34/TrAvia_act!V24)/TrAvia_png!V12)</f>
        <v>0.52715989919615125</v>
      </c>
      <c r="W18" s="25">
        <f>IF(TrAvia_act!W34=0,0,(TrAvia_act!W34/TrAvia_act!W24)/TrAvia_png!W12)</f>
        <v>0.58814780267723799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0.42817371877951332</v>
      </c>
      <c r="C19" s="89">
        <f>IF(TrAvia_act!C35=0,0,(TrAvia_act!C35/TrAvia_act!C25)/TrAvia_png!C13)</f>
        <v>0.43701979400717827</v>
      </c>
      <c r="D19" s="89">
        <f>IF(TrAvia_act!D35=0,0,(TrAvia_act!D35/TrAvia_act!D25)/TrAvia_png!D13)</f>
        <v>0.44620011066470999</v>
      </c>
      <c r="E19" s="89">
        <f>IF(TrAvia_act!E35=0,0,(TrAvia_act!E35/TrAvia_act!E25)/TrAvia_png!E13)</f>
        <v>0.45595580017228349</v>
      </c>
      <c r="F19" s="89">
        <f>IF(TrAvia_act!F35=0,0,(TrAvia_act!F35/TrAvia_act!F25)/TrAvia_png!F13)</f>
        <v>0.50958867675255892</v>
      </c>
      <c r="G19" s="89">
        <f>IF(TrAvia_act!G35=0,0,(TrAvia_act!G35/TrAvia_act!G25)/TrAvia_png!G13)</f>
        <v>0.51489538844906313</v>
      </c>
      <c r="H19" s="89">
        <f>IF(TrAvia_act!H35=0,0,(TrAvia_act!H35/TrAvia_act!H25)/TrAvia_png!H13)</f>
        <v>0.57400478753395179</v>
      </c>
      <c r="I19" s="89">
        <f>IF(TrAvia_act!I35=0,0,(TrAvia_act!I35/TrAvia_act!I25)/TrAvia_png!I13)</f>
        <v>0.58872242642714567</v>
      </c>
      <c r="J19" s="89">
        <f>IF(TrAvia_act!J35=0,0,(TrAvia_act!J35/TrAvia_act!J25)/TrAvia_png!J13)</f>
        <v>0.60836287064935202</v>
      </c>
      <c r="K19" s="89">
        <f>IF(TrAvia_act!K35=0,0,(TrAvia_act!K35/TrAvia_act!K25)/TrAvia_png!K13)</f>
        <v>0.56656608024296107</v>
      </c>
      <c r="L19" s="89">
        <f>IF(TrAvia_act!L35=0,0,(TrAvia_act!L35/TrAvia_act!L25)/TrAvia_png!L13)</f>
        <v>0.60210648812804823</v>
      </c>
      <c r="M19" s="89">
        <f>IF(TrAvia_act!M35=0,0,(TrAvia_act!M35/TrAvia_act!M25)/TrAvia_png!M13)</f>
        <v>0.58226784551376209</v>
      </c>
      <c r="N19" s="89">
        <f>IF(TrAvia_act!N35=0,0,(TrAvia_act!N35/TrAvia_act!N25)/TrAvia_png!N13)</f>
        <v>0.57251487929496014</v>
      </c>
      <c r="O19" s="89">
        <f>IF(TrAvia_act!O35=0,0,(TrAvia_act!O35/TrAvia_act!O25)/TrAvia_png!O13)</f>
        <v>0.5640091636575939</v>
      </c>
      <c r="P19" s="89">
        <f>IF(TrAvia_act!P35=0,0,(TrAvia_act!P35/TrAvia_act!P25)/TrAvia_png!P13)</f>
        <v>0.5943872716901405</v>
      </c>
      <c r="Q19" s="89">
        <f>IF(TrAvia_act!Q35=0,0,(TrAvia_act!Q35/TrAvia_act!Q25)/TrAvia_png!Q13)</f>
        <v>0.58647171121138497</v>
      </c>
      <c r="R19" s="89">
        <f>IF(TrAvia_act!R35=0,0,(TrAvia_act!R35/TrAvia_act!R25)/TrAvia_png!R13)</f>
        <v>0.60624522583347706</v>
      </c>
      <c r="S19" s="89">
        <f>IF(TrAvia_act!S35=0,0,(TrAvia_act!S35/TrAvia_act!S25)/TrAvia_png!S13)</f>
        <v>0.58608160662781883</v>
      </c>
      <c r="T19" s="89">
        <f>IF(TrAvia_act!T35=0,0,(TrAvia_act!T35/TrAvia_act!T25)/TrAvia_png!T13)</f>
        <v>0.57980846284205412</v>
      </c>
      <c r="U19" s="89">
        <f>IF(TrAvia_act!U35=0,0,(TrAvia_act!U35/TrAvia_act!U25)/TrAvia_png!U13)</f>
        <v>0.55639936978668048</v>
      </c>
      <c r="V19" s="89">
        <f>IF(TrAvia_act!V35=0,0,(TrAvia_act!V35/TrAvia_act!V25)/TrAvia_png!V13)</f>
        <v>0.42630640326294267</v>
      </c>
      <c r="W19" s="89">
        <f>IF(TrAvia_act!W35=0,0,(TrAvia_act!W35/TrAvia_act!W25)/TrAvia_png!W13)</f>
        <v>0.5187235381546712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0.54722193375701156</v>
      </c>
      <c r="C20" s="89">
        <f>IF(TrAvia_act!C36=0,0,(TrAvia_act!C36/TrAvia_act!C26)/TrAvia_png!C14)</f>
        <v>0.55706267279675004</v>
      </c>
      <c r="D20" s="89">
        <f>IF(TrAvia_act!D36=0,0,(TrAvia_act!D36/TrAvia_act!D26)/TrAvia_png!D14)</f>
        <v>0.58890200102927193</v>
      </c>
      <c r="E20" s="89">
        <f>IF(TrAvia_act!E36=0,0,(TrAvia_act!E36/TrAvia_act!E26)/TrAvia_png!E14)</f>
        <v>0.58594811133507529</v>
      </c>
      <c r="F20" s="89">
        <f>IF(TrAvia_act!F36=0,0,(TrAvia_act!F36/TrAvia_act!F26)/TrAvia_png!F14)</f>
        <v>0.58508844699323426</v>
      </c>
      <c r="G20" s="89">
        <f>IF(TrAvia_act!G36=0,0,(TrAvia_act!G36/TrAvia_act!G26)/TrAvia_png!G14)</f>
        <v>0.62803024848010125</v>
      </c>
      <c r="H20" s="89">
        <f>IF(TrAvia_act!H36=0,0,(TrAvia_act!H36/TrAvia_act!H26)/TrAvia_png!H14)</f>
        <v>0.70672280463682524</v>
      </c>
      <c r="I20" s="89">
        <f>IF(TrAvia_act!I36=0,0,(TrAvia_act!I36/TrAvia_act!I26)/TrAvia_png!I14)</f>
        <v>0.70690643287520893</v>
      </c>
      <c r="J20" s="89">
        <f>IF(TrAvia_act!J36=0,0,(TrAvia_act!J36/TrAvia_act!J26)/TrAvia_png!J14)</f>
        <v>0.68165766822318752</v>
      </c>
      <c r="K20" s="89">
        <f>IF(TrAvia_act!K36=0,0,(TrAvia_act!K36/TrAvia_act!K26)/TrAvia_png!K14)</f>
        <v>0.69561353522530434</v>
      </c>
      <c r="L20" s="89">
        <f>IF(TrAvia_act!L36=0,0,(TrAvia_act!L36/TrAvia_act!L26)/TrAvia_png!L14)</f>
        <v>0.70046423542055258</v>
      </c>
      <c r="M20" s="89">
        <f>IF(TrAvia_act!M36=0,0,(TrAvia_act!M36/TrAvia_act!M26)/TrAvia_png!M14)</f>
        <v>0.72172196702127789</v>
      </c>
      <c r="N20" s="89">
        <f>IF(TrAvia_act!N36=0,0,(TrAvia_act!N36/TrAvia_act!N26)/TrAvia_png!N14)</f>
        <v>0.74553106486773335</v>
      </c>
      <c r="O20" s="89">
        <f>IF(TrAvia_act!O36=0,0,(TrAvia_act!O36/TrAvia_act!O26)/TrAvia_png!O14)</f>
        <v>0.73289204219656889</v>
      </c>
      <c r="P20" s="89">
        <f>IF(TrAvia_act!P36=0,0,(TrAvia_act!P36/TrAvia_act!P26)/TrAvia_png!P14)</f>
        <v>0.76441354038052434</v>
      </c>
      <c r="Q20" s="89">
        <f>IF(TrAvia_act!Q36=0,0,(TrAvia_act!Q36/TrAvia_act!Q26)/TrAvia_png!Q14)</f>
        <v>0.76630285187240632</v>
      </c>
      <c r="R20" s="89">
        <f>IF(TrAvia_act!R36=0,0,(TrAvia_act!R36/TrAvia_act!R26)/TrAvia_png!R14)</f>
        <v>0.7641664431808779</v>
      </c>
      <c r="S20" s="89">
        <f>IF(TrAvia_act!S36=0,0,(TrAvia_act!S36/TrAvia_act!S26)/TrAvia_png!S14)</f>
        <v>0.7850147955174368</v>
      </c>
      <c r="T20" s="89">
        <f>IF(TrAvia_act!T36=0,0,(TrAvia_act!T36/TrAvia_act!T26)/TrAvia_png!T14)</f>
        <v>0.77063920997615176</v>
      </c>
      <c r="U20" s="89">
        <f>IF(TrAvia_act!U36=0,0,(TrAvia_act!U36/TrAvia_act!U26)/TrAvia_png!U14)</f>
        <v>0.76998538537968231</v>
      </c>
      <c r="V20" s="89">
        <f>IF(TrAvia_act!V36=0,0,(TrAvia_act!V36/TrAvia_act!V26)/TrAvia_png!V14)</f>
        <v>0.56542637020660658</v>
      </c>
      <c r="W20" s="89">
        <f>IF(TrAvia_act!W36=0,0,(TrAvia_act!W36/TrAvia_act!W26)/TrAvia_png!W14)</f>
        <v>0.65486537071110906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0.49782171871863207</v>
      </c>
      <c r="C21" s="90">
        <f>IF(TrAvia_act!C37=0,0,(TrAvia_act!C37/TrAvia_act!C27)/TrAvia_png!C15)</f>
        <v>0.51510448828366207</v>
      </c>
      <c r="D21" s="90">
        <f>IF(TrAvia_act!D37=0,0,(TrAvia_act!D37/TrAvia_act!D27)/TrAvia_png!D15)</f>
        <v>0.59507604100375655</v>
      </c>
      <c r="E21" s="90">
        <f>IF(TrAvia_act!E37=0,0,(TrAvia_act!E37/TrAvia_act!E27)/TrAvia_png!E15)</f>
        <v>0.56728365121728674</v>
      </c>
      <c r="F21" s="90">
        <f>IF(TrAvia_act!F37=0,0,(TrAvia_act!F37/TrAvia_act!F27)/TrAvia_png!F15)</f>
        <v>0.58449453219158964</v>
      </c>
      <c r="G21" s="90">
        <f>IF(TrAvia_act!G37=0,0,(TrAvia_act!G37/TrAvia_act!G27)/TrAvia_png!G15)</f>
        <v>0.59221446520685783</v>
      </c>
      <c r="H21" s="90">
        <f>IF(TrAvia_act!H37=0,0,(TrAvia_act!H37/TrAvia_act!H27)/TrAvia_png!H15)</f>
        <v>0.81192412134152658</v>
      </c>
      <c r="I21" s="90">
        <f>IF(TrAvia_act!I37=0,0,(TrAvia_act!I37/TrAvia_act!I27)/TrAvia_png!I15)</f>
        <v>0.83318068695664682</v>
      </c>
      <c r="J21" s="90">
        <f>IF(TrAvia_act!J37=0,0,(TrAvia_act!J37/TrAvia_act!J27)/TrAvia_png!J15)</f>
        <v>0.80113990863441065</v>
      </c>
      <c r="K21" s="90">
        <f>IF(TrAvia_act!K37=0,0,(TrAvia_act!K37/TrAvia_act!K27)/TrAvia_png!K15)</f>
        <v>0.78223712569589288</v>
      </c>
      <c r="L21" s="90">
        <f>IF(TrAvia_act!L37=0,0,(TrAvia_act!L37/TrAvia_act!L27)/TrAvia_png!L15)</f>
        <v>0.74793213096778066</v>
      </c>
      <c r="M21" s="90">
        <f>IF(TrAvia_act!M37=0,0,(TrAvia_act!M37/TrAvia_act!M27)/TrAvia_png!M15)</f>
        <v>0.71706763832919096</v>
      </c>
      <c r="N21" s="90">
        <f>IF(TrAvia_act!N37=0,0,(TrAvia_act!N37/TrAvia_act!N27)/TrAvia_png!N15)</f>
        <v>0.76008397945592721</v>
      </c>
      <c r="O21" s="90">
        <f>IF(TrAvia_act!O37=0,0,(TrAvia_act!O37/TrAvia_act!O27)/TrAvia_png!O15)</f>
        <v>0.78817700292905735</v>
      </c>
      <c r="P21" s="90">
        <f>IF(TrAvia_act!P37=0,0,(TrAvia_act!P37/TrAvia_act!P27)/TrAvia_png!P15)</f>
        <v>0.79308131173148178</v>
      </c>
      <c r="Q21" s="90">
        <f>IF(TrAvia_act!Q37=0,0,(TrAvia_act!Q37/TrAvia_act!Q27)/TrAvia_png!Q15)</f>
        <v>0.78125451898096665</v>
      </c>
      <c r="R21" s="90">
        <f>IF(TrAvia_act!R37=0,0,(TrAvia_act!R37/TrAvia_act!R27)/TrAvia_png!R15)</f>
        <v>0.78799122479722439</v>
      </c>
      <c r="S21" s="90">
        <f>IF(TrAvia_act!S37=0,0,(TrAvia_act!S37/TrAvia_act!S27)/TrAvia_png!S15)</f>
        <v>0.79979002460447879</v>
      </c>
      <c r="T21" s="90">
        <f>IF(TrAvia_act!T37=0,0,(TrAvia_act!T37/TrAvia_act!T27)/TrAvia_png!T15)</f>
        <v>0.7869530166509261</v>
      </c>
      <c r="U21" s="90">
        <f>IF(TrAvia_act!U37=0,0,(TrAvia_act!U37/TrAvia_act!U27)/TrAvia_png!U15)</f>
        <v>0.78054576577882373</v>
      </c>
      <c r="V21" s="90">
        <f>IF(TrAvia_act!V37=0,0,(TrAvia_act!V37/TrAvia_act!V27)/TrAvia_png!V15)</f>
        <v>0.4952867069953697</v>
      </c>
      <c r="W21" s="90">
        <f>IF(TrAvia_act!W37=0,0,(TrAvia_act!W37/TrAvia_act!W27)/TrAvia_png!W15)</f>
        <v>0.42611039278287166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4.0946478638168637E-2</v>
      </c>
      <c r="C24" s="23">
        <f>IF(TrAvia_ene!C6=0,0,TrAvia_ene!C6/(C12*TrAvia_act!C14))</f>
        <v>4.1237511988658014E-2</v>
      </c>
      <c r="D24" s="23">
        <f>IF(TrAvia_ene!D6=0,0,TrAvia_ene!D6/(D12*TrAvia_act!D14))</f>
        <v>3.965379983970467E-2</v>
      </c>
      <c r="E24" s="23">
        <f>IF(TrAvia_ene!E6=0,0,TrAvia_ene!E6/(E12*TrAvia_act!E14))</f>
        <v>4.2164900542081239E-2</v>
      </c>
      <c r="F24" s="23">
        <f>IF(TrAvia_ene!F6=0,0,TrAvia_ene!F6/(F12*TrAvia_act!F14))</f>
        <v>4.5014354598346851E-2</v>
      </c>
      <c r="G24" s="23">
        <f>IF(TrAvia_ene!G6=0,0,TrAvia_ene!G6/(G12*TrAvia_act!G14))</f>
        <v>4.6237704390751026E-2</v>
      </c>
      <c r="H24" s="23">
        <f>IF(TrAvia_ene!H6=0,0,TrAvia_ene!H6/(H12*TrAvia_act!H14))</f>
        <v>5.1091342027684623E-2</v>
      </c>
      <c r="I24" s="23">
        <f>IF(TrAvia_ene!I6=0,0,TrAvia_ene!I6/(I12*TrAvia_act!I14))</f>
        <v>5.0506656804988746E-2</v>
      </c>
      <c r="J24" s="23">
        <f>IF(TrAvia_ene!J6=0,0,TrAvia_ene!J6/(J12*TrAvia_act!J14))</f>
        <v>4.6528670586884646E-2</v>
      </c>
      <c r="K24" s="23">
        <f>IF(TrAvia_ene!K6=0,0,TrAvia_ene!K6/(K12*TrAvia_act!K14))</f>
        <v>4.3728082926012719E-2</v>
      </c>
      <c r="L24" s="23">
        <f>IF(TrAvia_ene!L6=0,0,TrAvia_ene!L6/(L12*TrAvia_act!L14))</f>
        <v>4.10899668171864E-2</v>
      </c>
      <c r="M24" s="23">
        <f>IF(TrAvia_ene!M6=0,0,TrAvia_ene!M6/(M12*TrAvia_act!M14))</f>
        <v>4.0805753140618149E-2</v>
      </c>
      <c r="N24" s="23">
        <f>IF(TrAvia_ene!N6=0,0,TrAvia_ene!N6/(N12*TrAvia_act!N14))</f>
        <v>3.9471359010753389E-2</v>
      </c>
      <c r="O24" s="23">
        <f>IF(TrAvia_ene!O6=0,0,TrAvia_ene!O6/(O12*TrAvia_act!O14))</f>
        <v>3.7655995738505615E-2</v>
      </c>
      <c r="P24" s="23">
        <f>IF(TrAvia_ene!P6=0,0,TrAvia_ene!P6/(P12*TrAvia_act!P14))</f>
        <v>3.9237333195776852E-2</v>
      </c>
      <c r="Q24" s="23">
        <f>IF(TrAvia_ene!Q6=0,0,TrAvia_ene!Q6/(Q12*TrAvia_act!Q14))</f>
        <v>3.7109742248763948E-2</v>
      </c>
      <c r="R24" s="23">
        <f>IF(TrAvia_ene!R6=0,0,TrAvia_ene!R6/(R12*TrAvia_act!R14))</f>
        <v>3.6348801135176342E-2</v>
      </c>
      <c r="S24" s="23">
        <f>IF(TrAvia_ene!S6=0,0,TrAvia_ene!S6/(S12*TrAvia_act!S14))</f>
        <v>3.6693895801381153E-2</v>
      </c>
      <c r="T24" s="23">
        <f>IF(TrAvia_ene!T6=0,0,TrAvia_ene!T6/(T12*TrAvia_act!T14))</f>
        <v>3.5427948659522958E-2</v>
      </c>
      <c r="U24" s="23">
        <f>IF(TrAvia_ene!U6=0,0,TrAvia_ene!U6/(U12*TrAvia_act!U14))</f>
        <v>3.581380881816365E-2</v>
      </c>
      <c r="V24" s="23">
        <f>IF(TrAvia_ene!V6=0,0,TrAvia_ene!V6/(V12*TrAvia_act!V14))</f>
        <v>3.5962533174180994E-2</v>
      </c>
      <c r="W24" s="23">
        <f>IF(TrAvia_ene!W6=0,0,TrAvia_ene!W6/(W12*TrAvia_act!W14))</f>
        <v>3.4104455411819057E-2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7.1529015596407605E-2</v>
      </c>
      <c r="C25" s="91">
        <f>IF(TrAvia_ene!C7=0,0,TrAvia_ene!C7/(C13*TrAvia_act!C15))</f>
        <v>7.2607156698573816E-2</v>
      </c>
      <c r="D25" s="91">
        <f>IF(TrAvia_ene!D7=0,0,TrAvia_ene!D7/(D13*TrAvia_act!D15))</f>
        <v>6.7810845282398585E-2</v>
      </c>
      <c r="E25" s="91">
        <f>IF(TrAvia_ene!E7=0,0,TrAvia_ene!E7/(E13*TrAvia_act!E15))</f>
        <v>6.2177129002809368E-2</v>
      </c>
      <c r="F25" s="91">
        <f>IF(TrAvia_ene!F7=0,0,TrAvia_ene!F7/(F13*TrAvia_act!F15))</f>
        <v>4.6336548314695337E-2</v>
      </c>
      <c r="G25" s="91">
        <f>IF(TrAvia_ene!G7=0,0,TrAvia_ene!G7/(G13*TrAvia_act!G15))</f>
        <v>4.95915267495282E-2</v>
      </c>
      <c r="H25" s="91">
        <f>IF(TrAvia_ene!H7=0,0,TrAvia_ene!H7/(H13*TrAvia_act!H15))</f>
        <v>5.3967145962318053E-2</v>
      </c>
      <c r="I25" s="91">
        <f>IF(TrAvia_ene!I7=0,0,TrAvia_ene!I7/(I13*TrAvia_act!I15))</f>
        <v>5.8572554115355245E-2</v>
      </c>
      <c r="J25" s="91">
        <f>IF(TrAvia_ene!J7=0,0,TrAvia_ene!J7/(J13*TrAvia_act!J15))</f>
        <v>6.1707814410131803E-2</v>
      </c>
      <c r="K25" s="91">
        <f>IF(TrAvia_ene!K7=0,0,TrAvia_ene!K7/(K13*TrAvia_act!K15))</f>
        <v>5.676842878092736E-2</v>
      </c>
      <c r="L25" s="91">
        <f>IF(TrAvia_ene!L7=0,0,TrAvia_ene!L7/(L13*TrAvia_act!L15))</f>
        <v>5.2215136970827233E-2</v>
      </c>
      <c r="M25" s="91">
        <f>IF(TrAvia_ene!M7=0,0,TrAvia_ene!M7/(M13*TrAvia_act!M15))</f>
        <v>5.1980083326681956E-2</v>
      </c>
      <c r="N25" s="91">
        <f>IF(TrAvia_ene!N7=0,0,TrAvia_ene!N7/(N13*TrAvia_act!N15))</f>
        <v>5.6911950148250269E-2</v>
      </c>
      <c r="O25" s="91">
        <f>IF(TrAvia_ene!O7=0,0,TrAvia_ene!O7/(O13*TrAvia_act!O15))</f>
        <v>5.5087678903190412E-2</v>
      </c>
      <c r="P25" s="91">
        <f>IF(TrAvia_ene!P7=0,0,TrAvia_ene!P7/(P13*TrAvia_act!P15))</f>
        <v>5.4548387980329981E-2</v>
      </c>
      <c r="Q25" s="91">
        <f>IF(TrAvia_ene!Q7=0,0,TrAvia_ene!Q7/(Q13*TrAvia_act!Q15))</f>
        <v>5.1296906870760314E-2</v>
      </c>
      <c r="R25" s="91">
        <f>IF(TrAvia_ene!R7=0,0,TrAvia_ene!R7/(R13*TrAvia_act!R15))</f>
        <v>5.2009222755815702E-2</v>
      </c>
      <c r="S25" s="91">
        <f>IF(TrAvia_ene!S7=0,0,TrAvia_ene!S7/(S13*TrAvia_act!S15))</f>
        <v>4.9453384126683819E-2</v>
      </c>
      <c r="T25" s="91">
        <f>IF(TrAvia_ene!T7=0,0,TrAvia_ene!T7/(T13*TrAvia_act!T15))</f>
        <v>4.6328932230960899E-2</v>
      </c>
      <c r="U25" s="91">
        <f>IF(TrAvia_ene!U7=0,0,TrAvia_ene!U7/(U13*TrAvia_act!U15))</f>
        <v>4.6834661272675125E-2</v>
      </c>
      <c r="V25" s="91">
        <f>IF(TrAvia_ene!V7=0,0,TrAvia_ene!V7/(V13*TrAvia_act!V15))</f>
        <v>4.5570574116087795E-2</v>
      </c>
      <c r="W25" s="91">
        <f>IF(TrAvia_ene!W7=0,0,TrAvia_ene!W7/(W13*TrAvia_act!W15))</f>
        <v>4.20770569535526E-2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3.297180043831268E-2</v>
      </c>
      <c r="C26" s="93">
        <f>IF(TrAvia_ene!C8=0,0,TrAvia_ene!C8/(C14*TrAvia_act!C16))</f>
        <v>3.3068540026465178E-2</v>
      </c>
      <c r="D26" s="93">
        <f>IF(TrAvia_ene!D8=0,0,TrAvia_ene!D8/(D14*TrAvia_act!D16))</f>
        <v>3.1581210697972852E-2</v>
      </c>
      <c r="E26" s="93">
        <f>IF(TrAvia_ene!E8=0,0,TrAvia_ene!E8/(E14*TrAvia_act!E16))</f>
        <v>3.3466169812633818E-2</v>
      </c>
      <c r="F26" s="93">
        <f>IF(TrAvia_ene!F8=0,0,TrAvia_ene!F8/(F14*TrAvia_act!F16))</f>
        <v>3.4447363177091711E-2</v>
      </c>
      <c r="G26" s="93">
        <f>IF(TrAvia_ene!G8=0,0,TrAvia_ene!G8/(G14*TrAvia_act!G16))</f>
        <v>3.675135743098705E-2</v>
      </c>
      <c r="H26" s="93">
        <f>IF(TrAvia_ene!H8=0,0,TrAvia_ene!H8/(H14*TrAvia_act!H16))</f>
        <v>3.9452792770236264E-2</v>
      </c>
      <c r="I26" s="93">
        <f>IF(TrAvia_ene!I8=0,0,TrAvia_ene!I8/(I14*TrAvia_act!I16))</f>
        <v>3.898483740622647E-2</v>
      </c>
      <c r="J26" s="93">
        <f>IF(TrAvia_ene!J8=0,0,TrAvia_ene!J8/(J14*TrAvia_act!J16))</f>
        <v>3.5494825235346333E-2</v>
      </c>
      <c r="K26" s="93">
        <f>IF(TrAvia_ene!K8=0,0,TrAvia_ene!K8/(K14*TrAvia_act!K16))</f>
        <v>3.3242868141010289E-2</v>
      </c>
      <c r="L26" s="93">
        <f>IF(TrAvia_ene!L8=0,0,TrAvia_ene!L8/(L14*TrAvia_act!L16))</f>
        <v>3.1866796132454578E-2</v>
      </c>
      <c r="M26" s="93">
        <f>IF(TrAvia_ene!M8=0,0,TrAvia_ene!M8/(M14*TrAvia_act!M16))</f>
        <v>3.2689071718318224E-2</v>
      </c>
      <c r="N26" s="93">
        <f>IF(TrAvia_ene!N8=0,0,TrAvia_ene!N8/(N14*TrAvia_act!N16))</f>
        <v>3.2925444994441659E-2</v>
      </c>
      <c r="O26" s="93">
        <f>IF(TrAvia_ene!O8=0,0,TrAvia_ene!O8/(O14*TrAvia_act!O16))</f>
        <v>3.0664411978629118E-2</v>
      </c>
      <c r="P26" s="93">
        <f>IF(TrAvia_ene!P8=0,0,TrAvia_ene!P8/(P14*TrAvia_act!P16))</f>
        <v>3.2854209025295733E-2</v>
      </c>
      <c r="Q26" s="93">
        <f>IF(TrAvia_ene!Q8=0,0,TrAvia_ene!Q8/(Q14*TrAvia_act!Q16))</f>
        <v>3.1336690909280707E-2</v>
      </c>
      <c r="R26" s="93">
        <f>IF(TrAvia_ene!R8=0,0,TrAvia_ene!R8/(R14*TrAvia_act!R16))</f>
        <v>3.0686646952118517E-2</v>
      </c>
      <c r="S26" s="93">
        <f>IF(TrAvia_ene!S8=0,0,TrAvia_ene!S8/(S14*TrAvia_act!S16))</f>
        <v>3.1228459064213853E-2</v>
      </c>
      <c r="T26" s="93">
        <f>IF(TrAvia_ene!T8=0,0,TrAvia_ene!T8/(T14*TrAvia_act!T16))</f>
        <v>3.0853903155403421E-2</v>
      </c>
      <c r="U26" s="93">
        <f>IF(TrAvia_ene!U8=0,0,TrAvia_ene!U8/(U14*TrAvia_act!U16))</f>
        <v>3.1504739585430409E-2</v>
      </c>
      <c r="V26" s="93">
        <f>IF(TrAvia_ene!V8=0,0,TrAvia_ene!V8/(V14*TrAvia_act!V16))</f>
        <v>2.7135307223871405E-2</v>
      </c>
      <c r="W26" s="93">
        <f>IF(TrAvia_ene!W8=0,0,TrAvia_ene!W8/(W14*TrAvia_act!W16))</f>
        <v>2.7807872866231764E-2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3.6202087571852094E-2</v>
      </c>
      <c r="C27" s="94">
        <f>IF(TrAvia_ene!C9=0,0,TrAvia_ene!C9/(C15*TrAvia_act!C17))</f>
        <v>3.6866579680729365E-2</v>
      </c>
      <c r="D27" s="94">
        <f>IF(TrAvia_ene!D9=0,0,TrAvia_ene!D9/(D15*TrAvia_act!D17))</f>
        <v>3.4671403620075314E-2</v>
      </c>
      <c r="E27" s="94">
        <f>IF(TrAvia_ene!E9=0,0,TrAvia_ene!E9/(E15*TrAvia_act!E17))</f>
        <v>3.4860374112125926E-2</v>
      </c>
      <c r="F27" s="94">
        <f>IF(TrAvia_ene!F9=0,0,TrAvia_ene!F9/(F15*TrAvia_act!F17))</f>
        <v>3.7404377780643212E-2</v>
      </c>
      <c r="G27" s="94">
        <f>IF(TrAvia_ene!G9=0,0,TrAvia_ene!G9/(G15*TrAvia_act!G17))</f>
        <v>3.5377291480651059E-2</v>
      </c>
      <c r="H27" s="94">
        <f>IF(TrAvia_ene!H9=0,0,TrAvia_ene!H9/(H15*TrAvia_act!H17))</f>
        <v>4.6142556948645636E-2</v>
      </c>
      <c r="I27" s="94">
        <f>IF(TrAvia_ene!I9=0,0,TrAvia_ene!I9/(I15*TrAvia_act!I17))</f>
        <v>4.7758619955201906E-2</v>
      </c>
      <c r="J27" s="94">
        <f>IF(TrAvia_ene!J9=0,0,TrAvia_ene!J9/(J15*TrAvia_act!J17))</f>
        <v>4.2663766550442128E-2</v>
      </c>
      <c r="K27" s="94">
        <f>IF(TrAvia_ene!K9=0,0,TrAvia_ene!K9/(K15*TrAvia_act!K17))</f>
        <v>4.0553864900750101E-2</v>
      </c>
      <c r="L27" s="94">
        <f>IF(TrAvia_ene!L9=0,0,TrAvia_ene!L9/(L15*TrAvia_act!L17))</f>
        <v>3.6308453940945298E-2</v>
      </c>
      <c r="M27" s="94">
        <f>IF(TrAvia_ene!M9=0,0,TrAvia_ene!M9/(M15*TrAvia_act!M17))</f>
        <v>3.4703366215696099E-2</v>
      </c>
      <c r="N27" s="94">
        <f>IF(TrAvia_ene!N9=0,0,TrAvia_ene!N9/(N15*TrAvia_act!N17))</f>
        <v>3.4058619506032811E-2</v>
      </c>
      <c r="O27" s="94">
        <f>IF(TrAvia_ene!O9=0,0,TrAvia_ene!O9/(O15*TrAvia_act!O17))</f>
        <v>3.3581904216305164E-2</v>
      </c>
      <c r="P27" s="94">
        <f>IF(TrAvia_ene!P9=0,0,TrAvia_ene!P9/(P15*TrAvia_act!P17))</f>
        <v>3.2273809417685498E-2</v>
      </c>
      <c r="Q27" s="94">
        <f>IF(TrAvia_ene!Q9=0,0,TrAvia_ene!Q9/(Q15*TrAvia_act!Q17))</f>
        <v>3.0025282510404476E-2</v>
      </c>
      <c r="R27" s="94">
        <f>IF(TrAvia_ene!R9=0,0,TrAvia_ene!R9/(R15*TrAvia_act!R17))</f>
        <v>2.9974091331543624E-2</v>
      </c>
      <c r="S27" s="94">
        <f>IF(TrAvia_ene!S9=0,0,TrAvia_ene!S9/(S15*TrAvia_act!S17))</f>
        <v>3.0132165714910206E-2</v>
      </c>
      <c r="T27" s="94">
        <f>IF(TrAvia_ene!T9=0,0,TrAvia_ene!T9/(T15*TrAvia_act!T17))</f>
        <v>2.8880457142255893E-2</v>
      </c>
      <c r="U27" s="94">
        <f>IF(TrAvia_ene!U9=0,0,TrAvia_ene!U9/(U15*TrAvia_act!U17))</f>
        <v>2.8798795509533001E-2</v>
      </c>
      <c r="V27" s="94">
        <f>IF(TrAvia_ene!V9=0,0,TrAvia_ene!V9/(V15*TrAvia_act!V17))</f>
        <v>2.8553294181400218E-2</v>
      </c>
      <c r="W27" s="94">
        <f>IF(TrAvia_ene!W9=0,0,TrAvia_ene!W9/(W15*TrAvia_act!W17))</f>
        <v>2.6178146520670575E-2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1533.1780000000001</v>
      </c>
      <c r="C3" s="54">
        <f t="shared" si="0"/>
        <v>1880.845</v>
      </c>
      <c r="D3" s="54">
        <f t="shared" si="0"/>
        <v>1666.383</v>
      </c>
      <c r="E3" s="54">
        <f t="shared" si="0"/>
        <v>1908.069</v>
      </c>
      <c r="F3" s="54">
        <f t="shared" si="0"/>
        <v>1803.4780000000001</v>
      </c>
      <c r="G3" s="54">
        <f t="shared" si="0"/>
        <v>2029.19</v>
      </c>
      <c r="H3" s="54">
        <f t="shared" si="0"/>
        <v>2309.768</v>
      </c>
      <c r="I3" s="54">
        <f t="shared" si="0"/>
        <v>2467.0030000000002</v>
      </c>
      <c r="J3" s="54">
        <f t="shared" si="0"/>
        <v>2350.4659999999999</v>
      </c>
      <c r="K3" s="54">
        <f t="shared" si="0"/>
        <v>1833.8969999999999</v>
      </c>
      <c r="L3" s="54">
        <f t="shared" si="0"/>
        <v>2060.0259999999998</v>
      </c>
      <c r="M3" s="54">
        <f t="shared" si="0"/>
        <v>2104.4740000000002</v>
      </c>
      <c r="N3" s="54">
        <f t="shared" si="0"/>
        <v>2158.645</v>
      </c>
      <c r="O3" s="54">
        <f t="shared" si="0"/>
        <v>1711.8040000000001</v>
      </c>
      <c r="P3" s="54">
        <f t="shared" si="0"/>
        <v>1730.8330000000001</v>
      </c>
      <c r="Q3" s="54">
        <f t="shared" si="0"/>
        <v>1838.3420000000001</v>
      </c>
      <c r="R3" s="54">
        <f t="shared" ref="R3:V3" si="1">SUM(R4:R5)</f>
        <v>1892.2349999999999</v>
      </c>
      <c r="S3" s="54">
        <f t="shared" si="1"/>
        <v>1736.6669999999999</v>
      </c>
      <c r="T3" s="54">
        <f t="shared" si="1"/>
        <v>1611.518</v>
      </c>
      <c r="U3" s="54">
        <f t="shared" si="1"/>
        <v>1637.075</v>
      </c>
      <c r="V3" s="54">
        <f t="shared" si="1"/>
        <v>1469.423</v>
      </c>
      <c r="W3" s="54">
        <f t="shared" ref="W3" si="2">SUM(W4:W5)</f>
        <v>1515.1210000000001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1533.1780000000001</v>
      </c>
      <c r="C4" s="56">
        <v>1880.845</v>
      </c>
      <c r="D4" s="56">
        <v>1666.383</v>
      </c>
      <c r="E4" s="56">
        <v>1908.069</v>
      </c>
      <c r="F4" s="56">
        <v>1803.4780000000001</v>
      </c>
      <c r="G4" s="56">
        <v>2029.19</v>
      </c>
      <c r="H4" s="56">
        <v>2309.768</v>
      </c>
      <c r="I4" s="56">
        <v>2467.0030000000002</v>
      </c>
      <c r="J4" s="56">
        <v>2350.4659999999999</v>
      </c>
      <c r="K4" s="56">
        <v>1833.8969999999999</v>
      </c>
      <c r="L4" s="56">
        <v>2060.0259999999998</v>
      </c>
      <c r="M4" s="56">
        <v>2104.4740000000002</v>
      </c>
      <c r="N4" s="56">
        <v>2158.645</v>
      </c>
      <c r="O4" s="56">
        <v>1711.8040000000001</v>
      </c>
      <c r="P4" s="56">
        <v>1730.8330000000001</v>
      </c>
      <c r="Q4" s="56">
        <v>1838.3420000000001</v>
      </c>
      <c r="R4" s="56">
        <v>1892.2349999999999</v>
      </c>
      <c r="S4" s="56">
        <v>1736.6669999999999</v>
      </c>
      <c r="T4" s="56">
        <v>1611.518</v>
      </c>
      <c r="U4" s="56">
        <v>1637.075</v>
      </c>
      <c r="V4" s="56">
        <v>1469.423</v>
      </c>
      <c r="W4" s="56">
        <v>1515.1210000000001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0.372</v>
      </c>
      <c r="C7" s="59">
        <f t="shared" si="3"/>
        <v>0.43</v>
      </c>
      <c r="D7" s="59">
        <f t="shared" si="3"/>
        <v>0.434</v>
      </c>
      <c r="E7" s="59">
        <f t="shared" si="3"/>
        <v>0.42799999999999999</v>
      </c>
      <c r="F7" s="59">
        <f t="shared" si="3"/>
        <v>0.42499999999999999</v>
      </c>
      <c r="G7" s="59">
        <f t="shared" si="3"/>
        <v>0.52800000000000002</v>
      </c>
      <c r="H7" s="59">
        <f t="shared" si="3"/>
        <v>0.40699999999999997</v>
      </c>
      <c r="I7" s="59">
        <f t="shared" si="3"/>
        <v>0.38800000000000001</v>
      </c>
      <c r="J7" s="59">
        <f t="shared" si="3"/>
        <v>0.51500000000000001</v>
      </c>
      <c r="K7" s="59">
        <f t="shared" si="3"/>
        <v>0.49399999999999999</v>
      </c>
      <c r="L7" s="59">
        <f t="shared" si="3"/>
        <v>0.41199999999999998</v>
      </c>
      <c r="M7" s="59">
        <f t="shared" si="3"/>
        <v>0.41699999999999998</v>
      </c>
      <c r="N7" s="59">
        <f t="shared" si="3"/>
        <v>0.435</v>
      </c>
      <c r="O7" s="59">
        <f t="shared" si="3"/>
        <v>0.34799999999999998</v>
      </c>
      <c r="P7" s="59">
        <f t="shared" si="3"/>
        <v>0.34799999999999998</v>
      </c>
      <c r="Q7" s="59">
        <f t="shared" si="3"/>
        <v>0.38700000000000001</v>
      </c>
      <c r="R7" s="59">
        <f t="shared" ref="R7:V7" si="4">SUM(R8:R9)</f>
        <v>0.441</v>
      </c>
      <c r="S7" s="59">
        <f t="shared" si="4"/>
        <v>0.39300000000000002</v>
      </c>
      <c r="T7" s="59">
        <f t="shared" si="4"/>
        <v>0.34100000000000003</v>
      </c>
      <c r="U7" s="59">
        <f t="shared" si="4"/>
        <v>0.34200000000000003</v>
      </c>
      <c r="V7" s="59">
        <f t="shared" si="4"/>
        <v>0.29399999999999998</v>
      </c>
      <c r="W7" s="59">
        <f t="shared" ref="W7" si="5">SUM(W8:W9)</f>
        <v>0.28000000000000003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0.372</v>
      </c>
      <c r="C8" s="60">
        <v>0.43</v>
      </c>
      <c r="D8" s="60">
        <v>0.434</v>
      </c>
      <c r="E8" s="60">
        <v>0.42799999999999999</v>
      </c>
      <c r="F8" s="60">
        <v>0.42499999999999999</v>
      </c>
      <c r="G8" s="60">
        <v>0.52800000000000002</v>
      </c>
      <c r="H8" s="60">
        <v>0.40699999999999997</v>
      </c>
      <c r="I8" s="60">
        <v>0.38800000000000001</v>
      </c>
      <c r="J8" s="60">
        <v>0.51500000000000001</v>
      </c>
      <c r="K8" s="60">
        <v>0.49399999999999999</v>
      </c>
      <c r="L8" s="60">
        <v>0.41199999999999998</v>
      </c>
      <c r="M8" s="60">
        <v>0.41699999999999998</v>
      </c>
      <c r="N8" s="60">
        <v>0.435</v>
      </c>
      <c r="O8" s="60">
        <v>0.34799999999999998</v>
      </c>
      <c r="P8" s="60">
        <v>0.34799999999999998</v>
      </c>
      <c r="Q8" s="60">
        <v>0.38700000000000001</v>
      </c>
      <c r="R8" s="60">
        <v>0.441</v>
      </c>
      <c r="S8" s="60">
        <v>0.39300000000000002</v>
      </c>
      <c r="T8" s="60">
        <v>0.34100000000000003</v>
      </c>
      <c r="U8" s="60">
        <v>0.34200000000000003</v>
      </c>
      <c r="V8" s="60">
        <v>0.29399999999999998</v>
      </c>
      <c r="W8" s="60">
        <v>0.28000000000000003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4121.4462365591398</v>
      </c>
      <c r="C13" s="62">
        <f t="shared" si="6"/>
        <v>4374.0581395348836</v>
      </c>
      <c r="D13" s="62">
        <f t="shared" si="6"/>
        <v>3839.5921658986176</v>
      </c>
      <c r="E13" s="62">
        <f t="shared" si="6"/>
        <v>4458.1051401869163</v>
      </c>
      <c r="F13" s="62">
        <f t="shared" ref="F13:V13" si="7">IF(F3=0,0,F3/F7)</f>
        <v>4243.477647058824</v>
      </c>
      <c r="G13" s="62">
        <f t="shared" si="7"/>
        <v>3843.1628787878785</v>
      </c>
      <c r="H13" s="62">
        <f t="shared" si="7"/>
        <v>5675.1056511056513</v>
      </c>
      <c r="I13" s="62">
        <f t="shared" si="7"/>
        <v>6358.2551546391751</v>
      </c>
      <c r="J13" s="62">
        <f t="shared" si="7"/>
        <v>4564.0116504854368</v>
      </c>
      <c r="K13" s="62">
        <f t="shared" si="7"/>
        <v>3712.3421052631579</v>
      </c>
      <c r="L13" s="62">
        <f t="shared" si="7"/>
        <v>5000.0631067961167</v>
      </c>
      <c r="M13" s="62">
        <f t="shared" si="7"/>
        <v>5046.700239808154</v>
      </c>
      <c r="N13" s="62">
        <f t="shared" si="7"/>
        <v>4962.4022988505749</v>
      </c>
      <c r="O13" s="62">
        <f t="shared" si="7"/>
        <v>4918.977011494253</v>
      </c>
      <c r="P13" s="62">
        <f t="shared" si="7"/>
        <v>4973.6580459770121</v>
      </c>
      <c r="Q13" s="62">
        <f t="shared" si="7"/>
        <v>4750.2377260981912</v>
      </c>
      <c r="R13" s="62">
        <f t="shared" si="7"/>
        <v>4290.7823129251701</v>
      </c>
      <c r="S13" s="62">
        <f t="shared" si="7"/>
        <v>4419</v>
      </c>
      <c r="T13" s="62">
        <f t="shared" si="7"/>
        <v>4725.859237536657</v>
      </c>
      <c r="U13" s="62">
        <f t="shared" si="7"/>
        <v>4786.7690058479529</v>
      </c>
      <c r="V13" s="62">
        <f t="shared" si="7"/>
        <v>4998.0374149659865</v>
      </c>
      <c r="W13" s="62">
        <f t="shared" ref="W13" si="8">IF(W3=0,0,W3/W7)</f>
        <v>5411.1464285714283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4121.4462365591398</v>
      </c>
      <c r="C14" s="63">
        <f t="shared" si="6"/>
        <v>4374.0581395348836</v>
      </c>
      <c r="D14" s="63">
        <f t="shared" si="6"/>
        <v>3839.5921658986176</v>
      </c>
      <c r="E14" s="63">
        <f t="shared" si="6"/>
        <v>4458.1051401869163</v>
      </c>
      <c r="F14" s="63">
        <f t="shared" ref="F14:V14" si="9">IF(F4=0,0,F4/F8)</f>
        <v>4243.477647058824</v>
      </c>
      <c r="G14" s="63">
        <f t="shared" si="9"/>
        <v>3843.1628787878785</v>
      </c>
      <c r="H14" s="63">
        <f t="shared" si="9"/>
        <v>5675.1056511056513</v>
      </c>
      <c r="I14" s="63">
        <f t="shared" si="9"/>
        <v>6358.2551546391751</v>
      </c>
      <c r="J14" s="63">
        <f t="shared" si="9"/>
        <v>4564.0116504854368</v>
      </c>
      <c r="K14" s="63">
        <f t="shared" si="9"/>
        <v>3712.3421052631579</v>
      </c>
      <c r="L14" s="63">
        <f t="shared" si="9"/>
        <v>5000.0631067961167</v>
      </c>
      <c r="M14" s="63">
        <f t="shared" si="9"/>
        <v>5046.700239808154</v>
      </c>
      <c r="N14" s="63">
        <f t="shared" si="9"/>
        <v>4962.4022988505749</v>
      </c>
      <c r="O14" s="63">
        <f t="shared" si="9"/>
        <v>4918.977011494253</v>
      </c>
      <c r="P14" s="63">
        <f t="shared" si="9"/>
        <v>4973.6580459770121</v>
      </c>
      <c r="Q14" s="63">
        <f t="shared" si="9"/>
        <v>4750.2377260981912</v>
      </c>
      <c r="R14" s="63">
        <f t="shared" si="9"/>
        <v>4290.7823129251701</v>
      </c>
      <c r="S14" s="63">
        <f t="shared" si="9"/>
        <v>4419</v>
      </c>
      <c r="T14" s="63">
        <f t="shared" si="9"/>
        <v>4725.859237536657</v>
      </c>
      <c r="U14" s="63">
        <f t="shared" si="9"/>
        <v>4786.7690058479529</v>
      </c>
      <c r="V14" s="63">
        <f t="shared" si="9"/>
        <v>4998.0374149659865</v>
      </c>
      <c r="W14" s="63">
        <f t="shared" ref="W14" si="10">IF(W4=0,0,W4/W8)</f>
        <v>5411.1464285714283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163.40765262252793</v>
      </c>
      <c r="C3" s="62">
        <f t="shared" ref="C3:V3" si="0">SUM(C4,C10)</f>
        <v>169.526913155632</v>
      </c>
      <c r="D3" s="62">
        <f t="shared" si="0"/>
        <v>189.23877901977642</v>
      </c>
      <c r="E3" s="62">
        <f t="shared" si="0"/>
        <v>187.49286328460869</v>
      </c>
      <c r="F3" s="62">
        <f t="shared" si="0"/>
        <v>165.25150472914871</v>
      </c>
      <c r="G3" s="62">
        <f t="shared" si="0"/>
        <v>192.11092003439381</v>
      </c>
      <c r="H3" s="62">
        <f t="shared" si="0"/>
        <v>173.85116079105759</v>
      </c>
      <c r="I3" s="62">
        <f t="shared" si="0"/>
        <v>151.65881341358551</v>
      </c>
      <c r="J3" s="62">
        <f t="shared" si="0"/>
        <v>194.22226999140156</v>
      </c>
      <c r="K3" s="62">
        <f t="shared" si="0"/>
        <v>180.10894239036972</v>
      </c>
      <c r="L3" s="62">
        <f t="shared" si="0"/>
        <v>155.90670679277724</v>
      </c>
      <c r="M3" s="62">
        <f t="shared" si="0"/>
        <v>151.99200343938091</v>
      </c>
      <c r="N3" s="62">
        <f t="shared" si="0"/>
        <v>148.07730008598455</v>
      </c>
      <c r="O3" s="62">
        <f t="shared" si="0"/>
        <v>149.89724849527084</v>
      </c>
      <c r="P3" s="62">
        <f t="shared" si="0"/>
        <v>119.63078245915736</v>
      </c>
      <c r="Q3" s="62">
        <f t="shared" si="0"/>
        <v>134.69656061908853</v>
      </c>
      <c r="R3" s="62">
        <f t="shared" si="0"/>
        <v>117.00163370593292</v>
      </c>
      <c r="S3" s="62">
        <f t="shared" si="0"/>
        <v>112.5928632846088</v>
      </c>
      <c r="T3" s="62">
        <f t="shared" si="0"/>
        <v>116.81779879621666</v>
      </c>
      <c r="U3" s="62">
        <f t="shared" si="0"/>
        <v>121.48993981083403</v>
      </c>
      <c r="V3" s="62">
        <f t="shared" si="0"/>
        <v>117.32166809974208</v>
      </c>
      <c r="W3" s="62">
        <f t="shared" ref="W3" si="1">SUM(W4,W10)</f>
        <v>137.59733447979366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163.40765262252793</v>
      </c>
      <c r="C4" s="71">
        <f t="shared" ref="C4:V4" si="2">SUM(C5:C9)</f>
        <v>169.526913155632</v>
      </c>
      <c r="D4" s="71">
        <f t="shared" si="2"/>
        <v>189.23877901977642</v>
      </c>
      <c r="E4" s="71">
        <f t="shared" si="2"/>
        <v>187.49286328460869</v>
      </c>
      <c r="F4" s="71">
        <f t="shared" si="2"/>
        <v>165.25150472914871</v>
      </c>
      <c r="G4" s="71">
        <f t="shared" si="2"/>
        <v>192.11092003439381</v>
      </c>
      <c r="H4" s="71">
        <f t="shared" si="2"/>
        <v>173.85116079105759</v>
      </c>
      <c r="I4" s="71">
        <f t="shared" si="2"/>
        <v>151.65881341358551</v>
      </c>
      <c r="J4" s="71">
        <f t="shared" si="2"/>
        <v>194.22226999140156</v>
      </c>
      <c r="K4" s="71">
        <f t="shared" si="2"/>
        <v>180.10894239036972</v>
      </c>
      <c r="L4" s="71">
        <f t="shared" si="2"/>
        <v>155.90670679277724</v>
      </c>
      <c r="M4" s="71">
        <f t="shared" si="2"/>
        <v>151.99200343938091</v>
      </c>
      <c r="N4" s="71">
        <f t="shared" si="2"/>
        <v>148.07730008598455</v>
      </c>
      <c r="O4" s="71">
        <f t="shared" si="2"/>
        <v>149.89724849527084</v>
      </c>
      <c r="P4" s="71">
        <f t="shared" si="2"/>
        <v>119.63078245915736</v>
      </c>
      <c r="Q4" s="71">
        <f t="shared" si="2"/>
        <v>134.69656061908853</v>
      </c>
      <c r="R4" s="71">
        <f t="shared" si="2"/>
        <v>117.00163370593292</v>
      </c>
      <c r="S4" s="71">
        <f t="shared" si="2"/>
        <v>112.5928632846088</v>
      </c>
      <c r="T4" s="71">
        <f t="shared" si="2"/>
        <v>116.81779879621666</v>
      </c>
      <c r="U4" s="71">
        <f t="shared" si="2"/>
        <v>121.48993981083403</v>
      </c>
      <c r="V4" s="71">
        <f t="shared" si="2"/>
        <v>117.32166809974208</v>
      </c>
      <c r="W4" s="71">
        <f t="shared" ref="W4" si="3">SUM(W5:W9)</f>
        <v>137.59733447979366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127.4840068787618</v>
      </c>
      <c r="C5" s="73">
        <v>133.60326741186589</v>
      </c>
      <c r="D5" s="73">
        <v>139.7224419604471</v>
      </c>
      <c r="E5" s="73">
        <v>143.80197764402399</v>
      </c>
      <c r="F5" s="73">
        <v>125.4442820292347</v>
      </c>
      <c r="G5" s="73">
        <v>159.1</v>
      </c>
      <c r="H5" s="73">
        <v>142.7821152192605</v>
      </c>
      <c r="I5" s="73">
        <v>125.4442820292347</v>
      </c>
      <c r="J5" s="73">
        <v>166.23912295786761</v>
      </c>
      <c r="K5" s="73">
        <v>155.02055030094581</v>
      </c>
      <c r="L5" s="73">
        <v>135.64299226139289</v>
      </c>
      <c r="M5" s="73">
        <v>134.6231298366294</v>
      </c>
      <c r="N5" s="73">
        <v>133.60326741186589</v>
      </c>
      <c r="O5" s="73">
        <v>131.563456577816</v>
      </c>
      <c r="P5" s="73">
        <v>107.08658641444541</v>
      </c>
      <c r="Q5" s="73">
        <v>133.76638005159069</v>
      </c>
      <c r="R5" s="73">
        <v>116.94565778159929</v>
      </c>
      <c r="S5" s="73">
        <v>112.5928632846088</v>
      </c>
      <c r="T5" s="73">
        <v>116.7090283748925</v>
      </c>
      <c r="U5" s="73">
        <v>116.6121238177128</v>
      </c>
      <c r="V5" s="73">
        <v>107.0417024935512</v>
      </c>
      <c r="W5" s="73">
        <v>117.5616509028375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35.92364574376613</v>
      </c>
      <c r="C6" s="73">
        <v>35.923645743766116</v>
      </c>
      <c r="D6" s="73">
        <v>49.516337059329317</v>
      </c>
      <c r="E6" s="73">
        <v>43.690885640584696</v>
      </c>
      <c r="F6" s="73">
        <v>39.807222699914007</v>
      </c>
      <c r="G6" s="73">
        <v>33.01092003439382</v>
      </c>
      <c r="H6" s="73">
        <v>31.069045571797091</v>
      </c>
      <c r="I6" s="73">
        <v>26.214531384350806</v>
      </c>
      <c r="J6" s="73">
        <v>27.983147033533953</v>
      </c>
      <c r="K6" s="73">
        <v>25.088392089423905</v>
      </c>
      <c r="L6" s="73">
        <v>20.263714531384352</v>
      </c>
      <c r="M6" s="73">
        <v>17.368873602751506</v>
      </c>
      <c r="N6" s="73">
        <v>14.474032674118661</v>
      </c>
      <c r="O6" s="73">
        <v>18.333791917454846</v>
      </c>
      <c r="P6" s="73">
        <v>12.544196044711953</v>
      </c>
      <c r="Q6" s="73">
        <v>0.9301805674978425</v>
      </c>
      <c r="R6" s="73">
        <v>5.5975924333623084E-2</v>
      </c>
      <c r="S6" s="73">
        <v>0</v>
      </c>
      <c r="T6" s="73">
        <v>0.10877042132416648</v>
      </c>
      <c r="U6" s="73">
        <v>4.8778159931212315</v>
      </c>
      <c r="V6" s="73">
        <v>10.279965606190885</v>
      </c>
      <c r="W6" s="73">
        <v>20.03568357695616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43926.788339389233</v>
      </c>
      <c r="C19" s="62">
        <f>IF(C3=0,0,C3/TrNavi_act!C7*100)</f>
        <v>39424.863524565582</v>
      </c>
      <c r="D19" s="62">
        <f>IF(D3=0,0,D3/TrNavi_act!D7*100)</f>
        <v>43603.405304095948</v>
      </c>
      <c r="E19" s="62">
        <f>IF(E3=0,0,E3/TrNavi_act!E7*100)</f>
        <v>43806.743758086144</v>
      </c>
      <c r="F19" s="62">
        <f>IF(F3=0,0,F3/TrNavi_act!F7*100)</f>
        <v>38882.706995093817</v>
      </c>
      <c r="G19" s="62">
        <f>IF(G3=0,0,G3/TrNavi_act!G7*100)</f>
        <v>36384.643945907919</v>
      </c>
      <c r="H19" s="62">
        <f>IF(H3=0,0,H3/TrNavi_act!H7*100)</f>
        <v>42715.272921635769</v>
      </c>
      <c r="I19" s="62">
        <f>IF(I3=0,0,I3/TrNavi_act!I7*100)</f>
        <v>39087.323044738529</v>
      </c>
      <c r="J19" s="62">
        <f>IF(J3=0,0,J3/TrNavi_act!J7*100)</f>
        <v>37713.06213425273</v>
      </c>
      <c r="K19" s="62">
        <f>IF(K3=0,0,K3/TrNavi_act!K7*100)</f>
        <v>36459.300079022214</v>
      </c>
      <c r="L19" s="62">
        <f>IF(L3=0,0,L3/TrNavi_act!L7*100)</f>
        <v>37841.433687567289</v>
      </c>
      <c r="M19" s="62">
        <f>IF(M3=0,0,M3/TrNavi_act!M7*100)</f>
        <v>36448.921688100942</v>
      </c>
      <c r="N19" s="62">
        <f>IF(N3=0,0,N3/TrNavi_act!N7*100)</f>
        <v>34040.758640456217</v>
      </c>
      <c r="O19" s="62">
        <f>IF(O3=0,0,O3/TrNavi_act!O7*100)</f>
        <v>43073.921981399675</v>
      </c>
      <c r="P19" s="62">
        <f>IF(P3=0,0,P3/TrNavi_act!P7*100)</f>
        <v>34376.661626194647</v>
      </c>
      <c r="Q19" s="62">
        <f>IF(Q3=0,0,Q3/TrNavi_act!Q7*100)</f>
        <v>34805.312821469903</v>
      </c>
      <c r="R19" s="62">
        <f>IF(R3=0,0,R3/TrNavi_act!R7*100)</f>
        <v>26530.982699758031</v>
      </c>
      <c r="S19" s="62">
        <f>IF(S3=0,0,S3/TrNavi_act!S7*100)</f>
        <v>28649.583532979334</v>
      </c>
      <c r="T19" s="62">
        <f>IF(T3=0,0,T3/TrNavi_act!T7*100)</f>
        <v>34257.419001823066</v>
      </c>
      <c r="U19" s="62">
        <f>IF(U3=0,0,U3/TrNavi_act!U7*100)</f>
        <v>35523.374213694158</v>
      </c>
      <c r="V19" s="62">
        <f>IF(V3=0,0,V3/TrNavi_act!V7*100)</f>
        <v>39905.329285626562</v>
      </c>
      <c r="W19" s="62">
        <f>IF(W3=0,0,W3/TrNavi_act!W7*100)</f>
        <v>49141.905171354876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43926.788339389233</v>
      </c>
      <c r="C20" s="63">
        <f>IF(C4=0,0,C4/TrNavi_act!C8*100)</f>
        <v>39424.863524565582</v>
      </c>
      <c r="D20" s="63">
        <f>IF(D4=0,0,D4/TrNavi_act!D8*100)</f>
        <v>43603.405304095948</v>
      </c>
      <c r="E20" s="63">
        <f>IF(E4=0,0,E4/TrNavi_act!E8*100)</f>
        <v>43806.743758086144</v>
      </c>
      <c r="F20" s="63">
        <f>IF(F4=0,0,F4/TrNavi_act!F8*100)</f>
        <v>38882.706995093817</v>
      </c>
      <c r="G20" s="63">
        <f>IF(G4=0,0,G4/TrNavi_act!G8*100)</f>
        <v>36384.643945907919</v>
      </c>
      <c r="H20" s="63">
        <f>IF(H4=0,0,H4/TrNavi_act!H8*100)</f>
        <v>42715.272921635769</v>
      </c>
      <c r="I20" s="63">
        <f>IF(I4=0,0,I4/TrNavi_act!I8*100)</f>
        <v>39087.323044738529</v>
      </c>
      <c r="J20" s="63">
        <f>IF(J4=0,0,J4/TrNavi_act!J8*100)</f>
        <v>37713.06213425273</v>
      </c>
      <c r="K20" s="63">
        <f>IF(K4=0,0,K4/TrNavi_act!K8*100)</f>
        <v>36459.300079022214</v>
      </c>
      <c r="L20" s="63">
        <f>IF(L4=0,0,L4/TrNavi_act!L8*100)</f>
        <v>37841.433687567289</v>
      </c>
      <c r="M20" s="63">
        <f>IF(M4=0,0,M4/TrNavi_act!M8*100)</f>
        <v>36448.921688100942</v>
      </c>
      <c r="N20" s="63">
        <f>IF(N4=0,0,N4/TrNavi_act!N8*100)</f>
        <v>34040.758640456217</v>
      </c>
      <c r="O20" s="63">
        <f>IF(O4=0,0,O4/TrNavi_act!O8*100)</f>
        <v>43073.921981399675</v>
      </c>
      <c r="P20" s="63">
        <f>IF(P4=0,0,P4/TrNavi_act!P8*100)</f>
        <v>34376.661626194647</v>
      </c>
      <c r="Q20" s="63">
        <f>IF(Q4=0,0,Q4/TrNavi_act!Q8*100)</f>
        <v>34805.312821469903</v>
      </c>
      <c r="R20" s="63">
        <f>IF(R4=0,0,R4/TrNavi_act!R8*100)</f>
        <v>26530.982699758031</v>
      </c>
      <c r="S20" s="63">
        <f>IF(S4=0,0,S4/TrNavi_act!S8*100)</f>
        <v>28649.583532979334</v>
      </c>
      <c r="T20" s="63">
        <f>IF(T4=0,0,T4/TrNavi_act!T8*100)</f>
        <v>34257.419001823066</v>
      </c>
      <c r="U20" s="63">
        <f>IF(U4=0,0,U4/TrNavi_act!U8*100)</f>
        <v>35523.374213694158</v>
      </c>
      <c r="V20" s="63">
        <f>IF(V4=0,0,V4/TrNavi_act!V8*100)</f>
        <v>39905.329285626562</v>
      </c>
      <c r="W20" s="63">
        <f>IF(W4=0,0,W4/TrNavi_act!W8*100)</f>
        <v>49141.905171354876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106.58100535132118</v>
      </c>
      <c r="C23" s="62">
        <f>IF(C3=0,0,C3/TrNavi_act!C3*1000)</f>
        <v>90.133377899631284</v>
      </c>
      <c r="D23" s="62">
        <f>IF(D3=0,0,D3/TrNavi_act!D3*1000)</f>
        <v>113.56259576566517</v>
      </c>
      <c r="E23" s="62">
        <f>IF(E3=0,0,E3/TrNavi_act!E3*1000)</f>
        <v>98.263146293246578</v>
      </c>
      <c r="F23" s="62">
        <f>IF(F3=0,0,F3/TrNavi_act!F3*1000)</f>
        <v>91.62934326293346</v>
      </c>
      <c r="G23" s="62">
        <f>IF(G3=0,0,G3/TrNavi_act!G3*1000)</f>
        <v>94.673697403591476</v>
      </c>
      <c r="H23" s="62">
        <f>IF(H3=0,0,H3/TrNavi_act!H3*1000)</f>
        <v>75.267802130368764</v>
      </c>
      <c r="I23" s="62">
        <f>IF(I3=0,0,I3/TrNavi_act!I3*1000)</f>
        <v>61.474920546746596</v>
      </c>
      <c r="J23" s="62">
        <f>IF(J3=0,0,J3/TrNavi_act!J3*1000)</f>
        <v>82.631388835831515</v>
      </c>
      <c r="K23" s="62">
        <f>IF(K3=0,0,K3/TrNavi_act!K3*1000)</f>
        <v>98.211045871371027</v>
      </c>
      <c r="L23" s="62">
        <f>IF(L3=0,0,L3/TrNavi_act!L3*1000)</f>
        <v>75.681912166534431</v>
      </c>
      <c r="M23" s="62">
        <f>IF(M3=0,0,M3/TrNavi_act!M3*1000)</f>
        <v>72.223274528162804</v>
      </c>
      <c r="N23" s="62">
        <f>IF(N3=0,0,N3/TrNavi_act!N3*1000)</f>
        <v>68.597337721572814</v>
      </c>
      <c r="O23" s="62">
        <f>IF(O3=0,0,O3/TrNavi_act!O3*1000)</f>
        <v>87.566829201982728</v>
      </c>
      <c r="P23" s="62">
        <f>IF(P3=0,0,P3/TrNavi_act!P3*1000)</f>
        <v>69.117461048614956</v>
      </c>
      <c r="Q23" s="62">
        <f>IF(Q3=0,0,Q3/TrNavi_act!Q3*1000)</f>
        <v>73.270675760597612</v>
      </c>
      <c r="R23" s="62">
        <f>IF(R3=0,0,R3/TrNavi_act!R3*1000)</f>
        <v>61.832506906347746</v>
      </c>
      <c r="S23" s="62">
        <f>IF(S3=0,0,S3/TrNavi_act!S3*1000)</f>
        <v>64.832730330344745</v>
      </c>
      <c r="T23" s="62">
        <f>IF(T3=0,0,T3/TrNavi_act!T3*1000)</f>
        <v>72.489291957158827</v>
      </c>
      <c r="U23" s="62">
        <f>IF(U3=0,0,U3/TrNavi_act!U3*1000)</f>
        <v>74.211590679006164</v>
      </c>
      <c r="V23" s="62">
        <f>IF(V3=0,0,V3/TrNavi_act!V3*1000)</f>
        <v>79.841997913291195</v>
      </c>
      <c r="W23" s="62">
        <f>IF(W3=0,0,W3/TrNavi_act!W3*1000)</f>
        <v>90.81606979230942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106.58100535132118</v>
      </c>
      <c r="C24" s="63">
        <f>IF(C4=0,0,C4/TrNavi_act!C4*1000)</f>
        <v>90.133377899631284</v>
      </c>
      <c r="D24" s="63">
        <f>IF(D4=0,0,D4/TrNavi_act!D4*1000)</f>
        <v>113.56259576566517</v>
      </c>
      <c r="E24" s="63">
        <f>IF(E4=0,0,E4/TrNavi_act!E4*1000)</f>
        <v>98.263146293246578</v>
      </c>
      <c r="F24" s="63">
        <f>IF(F4=0,0,F4/TrNavi_act!F4*1000)</f>
        <v>91.62934326293346</v>
      </c>
      <c r="G24" s="63">
        <f>IF(G4=0,0,G4/TrNavi_act!G4*1000)</f>
        <v>94.673697403591476</v>
      </c>
      <c r="H24" s="63">
        <f>IF(H4=0,0,H4/TrNavi_act!H4*1000)</f>
        <v>75.267802130368764</v>
      </c>
      <c r="I24" s="63">
        <f>IF(I4=0,0,I4/TrNavi_act!I4*1000)</f>
        <v>61.474920546746596</v>
      </c>
      <c r="J24" s="63">
        <f>IF(J4=0,0,J4/TrNavi_act!J4*1000)</f>
        <v>82.631388835831515</v>
      </c>
      <c r="K24" s="63">
        <f>IF(K4=0,0,K4/TrNavi_act!K4*1000)</f>
        <v>98.211045871371027</v>
      </c>
      <c r="L24" s="63">
        <f>IF(L4=0,0,L4/TrNavi_act!L4*1000)</f>
        <v>75.681912166534431</v>
      </c>
      <c r="M24" s="63">
        <f>IF(M4=0,0,M4/TrNavi_act!M4*1000)</f>
        <v>72.223274528162804</v>
      </c>
      <c r="N24" s="63">
        <f>IF(N4=0,0,N4/TrNavi_act!N4*1000)</f>
        <v>68.597337721572814</v>
      </c>
      <c r="O24" s="63">
        <f>IF(O4=0,0,O4/TrNavi_act!O4*1000)</f>
        <v>87.566829201982728</v>
      </c>
      <c r="P24" s="63">
        <f>IF(P4=0,0,P4/TrNavi_act!P4*1000)</f>
        <v>69.117461048614956</v>
      </c>
      <c r="Q24" s="63">
        <f>IF(Q4=0,0,Q4/TrNavi_act!Q4*1000)</f>
        <v>73.270675760597612</v>
      </c>
      <c r="R24" s="63">
        <f>IF(R4=0,0,R4/TrNavi_act!R4*1000)</f>
        <v>61.832506906347746</v>
      </c>
      <c r="S24" s="63">
        <f>IF(S4=0,0,S4/TrNavi_act!S4*1000)</f>
        <v>64.832730330344745</v>
      </c>
      <c r="T24" s="63">
        <f>IF(T4=0,0,T4/TrNavi_act!T4*1000)</f>
        <v>72.489291957158827</v>
      </c>
      <c r="U24" s="63">
        <f>IF(U4=0,0,U4/TrNavi_act!U4*1000)</f>
        <v>74.211590679006164</v>
      </c>
      <c r="V24" s="63">
        <f>IF(V4=0,0,V4/TrNavi_act!V4*1000)</f>
        <v>79.841997913291195</v>
      </c>
      <c r="W24" s="63">
        <f>IF(W4=0,0,W4/TrNavi_act!W4*1000)</f>
        <v>90.81606979230942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511.92234252000003</v>
      </c>
      <c r="C3" s="54">
        <f t="shared" ref="C3:V3" si="1">SUM(C4:C5)</f>
        <v>530.90685144000008</v>
      </c>
      <c r="D3" s="54">
        <f t="shared" si="1"/>
        <v>593.93934072000002</v>
      </c>
      <c r="E3" s="54">
        <f t="shared" si="1"/>
        <v>587.71790891999979</v>
      </c>
      <c r="F3" s="54">
        <f t="shared" si="1"/>
        <v>518.17931603999989</v>
      </c>
      <c r="G3" s="54">
        <f t="shared" si="1"/>
        <v>600.56946396000001</v>
      </c>
      <c r="H3" s="54">
        <f t="shared" si="1"/>
        <v>543.65174567999998</v>
      </c>
      <c r="I3" s="54">
        <f t="shared" si="1"/>
        <v>474.13106891999985</v>
      </c>
      <c r="J3" s="54">
        <f t="shared" si="1"/>
        <v>606.42509652000012</v>
      </c>
      <c r="K3" s="54">
        <f t="shared" si="1"/>
        <v>562.23969155999998</v>
      </c>
      <c r="L3" s="54">
        <f t="shared" si="1"/>
        <v>486.48762215999983</v>
      </c>
      <c r="M3" s="54">
        <f t="shared" si="1"/>
        <v>473.94260892</v>
      </c>
      <c r="N3" s="54">
        <f t="shared" si="1"/>
        <v>461.39759568000011</v>
      </c>
      <c r="O3" s="54">
        <f t="shared" si="1"/>
        <v>467.57711916000011</v>
      </c>
      <c r="P3" s="54">
        <f t="shared" si="1"/>
        <v>372.87794988000007</v>
      </c>
      <c r="Q3" s="54">
        <f t="shared" si="1"/>
        <v>418.01365979999991</v>
      </c>
      <c r="R3" s="54">
        <f t="shared" si="1"/>
        <v>362.99580191999996</v>
      </c>
      <c r="S3" s="54">
        <f t="shared" si="1"/>
        <v>349.31021580000009</v>
      </c>
      <c r="T3" s="54">
        <f t="shared" si="1"/>
        <v>362.43276335999991</v>
      </c>
      <c r="U3" s="54">
        <f t="shared" si="1"/>
        <v>377.58661380000001</v>
      </c>
      <c r="V3" s="54">
        <f t="shared" si="1"/>
        <v>365.40127404000015</v>
      </c>
      <c r="W3" s="54">
        <f t="shared" ref="W3" si="2">SUM(W4:W5)</f>
        <v>429.65277552000009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511.92234252000003</v>
      </c>
      <c r="C4" s="56">
        <v>530.90685144000008</v>
      </c>
      <c r="D4" s="56">
        <v>593.93934072000002</v>
      </c>
      <c r="E4" s="56">
        <v>587.71790891999979</v>
      </c>
      <c r="F4" s="56">
        <v>518.17931603999989</v>
      </c>
      <c r="G4" s="56">
        <v>600.56946396000001</v>
      </c>
      <c r="H4" s="56">
        <v>543.65174567999998</v>
      </c>
      <c r="I4" s="56">
        <v>474.13106891999985</v>
      </c>
      <c r="J4" s="56">
        <v>606.42509652000012</v>
      </c>
      <c r="K4" s="56">
        <v>562.23969155999998</v>
      </c>
      <c r="L4" s="56">
        <v>486.48762215999983</v>
      </c>
      <c r="M4" s="56">
        <v>473.94260892</v>
      </c>
      <c r="N4" s="56">
        <v>461.39759568000011</v>
      </c>
      <c r="O4" s="56">
        <v>467.57711916000011</v>
      </c>
      <c r="P4" s="56">
        <v>372.87794988000007</v>
      </c>
      <c r="Q4" s="56">
        <v>418.01365979999991</v>
      </c>
      <c r="R4" s="56">
        <v>362.99580191999996</v>
      </c>
      <c r="S4" s="56">
        <v>349.31021580000009</v>
      </c>
      <c r="T4" s="56">
        <v>362.43276335999991</v>
      </c>
      <c r="U4" s="56">
        <v>377.58661380000001</v>
      </c>
      <c r="V4" s="56">
        <v>365.40127404000015</v>
      </c>
      <c r="W4" s="56">
        <v>429.65277552000009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3.1327929524974074</v>
      </c>
      <c r="C9" s="79">
        <f>IF(C3=0,0,C3/TrNavi_ene!C3)</f>
        <v>3.1316965640293812</v>
      </c>
      <c r="D9" s="79">
        <f>IF(D3=0,0,D3/TrNavi_ene!D3)</f>
        <v>3.1385709831594841</v>
      </c>
      <c r="E9" s="79">
        <f>IF(E3=0,0,E3/TrNavi_ene!E3)</f>
        <v>3.1346148254606425</v>
      </c>
      <c r="F9" s="79">
        <f>IF(F3=0,0,F3/TrNavi_ene!F3)</f>
        <v>3.135701044836527</v>
      </c>
      <c r="G9" s="79">
        <f>IF(G3=0,0,G3/TrNavi_ene!G3)</f>
        <v>3.126159948911178</v>
      </c>
      <c r="H9" s="79">
        <f>IF(H3=0,0,H3/TrNavi_ene!H3)</f>
        <v>3.127110243073878</v>
      </c>
      <c r="I9" s="79">
        <f>IF(I3=0,0,I3/TrNavi_ene!I3)</f>
        <v>3.1263007948440631</v>
      </c>
      <c r="J9" s="79">
        <f>IF(J3=0,0,J3/TrNavi_ene!J3)</f>
        <v>3.1223252438911731</v>
      </c>
      <c r="K9" s="79">
        <f>IF(K3=0,0,K3/TrNavi_ene!K3)</f>
        <v>3.1216644998192078</v>
      </c>
      <c r="L9" s="79">
        <f>IF(L3=0,0,L3/TrNavi_ene!L3)</f>
        <v>3.1203764877582389</v>
      </c>
      <c r="M9" s="79">
        <f>IF(M3=0,0,M3/TrNavi_ene!M3)</f>
        <v>3.1182075253651282</v>
      </c>
      <c r="N9" s="79">
        <f>IF(N3=0,0,N3/TrNavi_ene!N3)</f>
        <v>3.1159238817298722</v>
      </c>
      <c r="O9" s="79">
        <f>IF(O3=0,0,O3/TrNavi_ene!O3)</f>
        <v>3.119317558218901</v>
      </c>
      <c r="P9" s="79">
        <f>IF(P3=0,0,P3/TrNavi_ene!P3)</f>
        <v>3.1169063865924538</v>
      </c>
      <c r="Q9" s="79">
        <f>IF(Q3=0,0,Q3/TrNavi_ene!Q3)</f>
        <v>3.1033729285939993</v>
      </c>
      <c r="R9" s="79">
        <f>IF(R3=0,0,R3/TrNavi_ene!R3)</f>
        <v>3.1024849006154791</v>
      </c>
      <c r="S9" s="79">
        <f>IF(S3=0,0,S3/TrNavi_ene!S3)</f>
        <v>3.1024188000000001</v>
      </c>
      <c r="T9" s="79">
        <f>IF(T3=0,0,T3/TrNavi_ene!T3)</f>
        <v>3.102547446491843</v>
      </c>
      <c r="U9" s="79">
        <f>IF(U3=0,0,U3/TrNavi_ene!U3)</f>
        <v>3.107966094871077</v>
      </c>
      <c r="V9" s="79">
        <f>IF(V3=0,0,V3/TrNavi_ene!V3)</f>
        <v>3.1145250485984475</v>
      </c>
      <c r="W9" s="79">
        <f>IF(W3=0,0,W3/TrNavi_ene!W3)</f>
        <v>3.1225370545466138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3.1327929524974074</v>
      </c>
      <c r="C10" s="80">
        <f>IF(C4=0,0,C4/TrNavi_ene!C4)</f>
        <v>3.1316965640293812</v>
      </c>
      <c r="D10" s="80">
        <f>IF(D4=0,0,D4/TrNavi_ene!D4)</f>
        <v>3.1385709831594841</v>
      </c>
      <c r="E10" s="80">
        <f>IF(E4=0,0,E4/TrNavi_ene!E4)</f>
        <v>3.1346148254606425</v>
      </c>
      <c r="F10" s="80">
        <f>IF(F4=0,0,F4/TrNavi_ene!F4)</f>
        <v>3.135701044836527</v>
      </c>
      <c r="G10" s="80">
        <f>IF(G4=0,0,G4/TrNavi_ene!G4)</f>
        <v>3.126159948911178</v>
      </c>
      <c r="H10" s="80">
        <f>IF(H4=0,0,H4/TrNavi_ene!H4)</f>
        <v>3.127110243073878</v>
      </c>
      <c r="I10" s="80">
        <f>IF(I4=0,0,I4/TrNavi_ene!I4)</f>
        <v>3.1263007948440631</v>
      </c>
      <c r="J10" s="80">
        <f>IF(J4=0,0,J4/TrNavi_ene!J4)</f>
        <v>3.1223252438911731</v>
      </c>
      <c r="K10" s="80">
        <f>IF(K4=0,0,K4/TrNavi_ene!K4)</f>
        <v>3.1216644998192078</v>
      </c>
      <c r="L10" s="80">
        <f>IF(L4=0,0,L4/TrNavi_ene!L4)</f>
        <v>3.1203764877582389</v>
      </c>
      <c r="M10" s="80">
        <f>IF(M4=0,0,M4/TrNavi_ene!M4)</f>
        <v>3.1182075253651282</v>
      </c>
      <c r="N10" s="80">
        <f>IF(N4=0,0,N4/TrNavi_ene!N4)</f>
        <v>3.1159238817298722</v>
      </c>
      <c r="O10" s="80">
        <f>IF(O4=0,0,O4/TrNavi_ene!O4)</f>
        <v>3.119317558218901</v>
      </c>
      <c r="P10" s="80">
        <f>IF(P4=0,0,P4/TrNavi_ene!P4)</f>
        <v>3.1169063865924538</v>
      </c>
      <c r="Q10" s="80">
        <f>IF(Q4=0,0,Q4/TrNavi_ene!Q4)</f>
        <v>3.1033729285939993</v>
      </c>
      <c r="R10" s="80">
        <f>IF(R4=0,0,R4/TrNavi_ene!R4)</f>
        <v>3.1024849006154791</v>
      </c>
      <c r="S10" s="80">
        <f>IF(S4=0,0,S4/TrNavi_ene!S4)</f>
        <v>3.1024188000000001</v>
      </c>
      <c r="T10" s="80">
        <f>IF(T4=0,0,T4/TrNavi_ene!T4)</f>
        <v>3.102547446491843</v>
      </c>
      <c r="U10" s="80">
        <f>IF(U4=0,0,U4/TrNavi_ene!U4)</f>
        <v>3.107966094871077</v>
      </c>
      <c r="V10" s="80">
        <f>IF(V4=0,0,V4/TrNavi_ene!V4)</f>
        <v>3.1145250485984475</v>
      </c>
      <c r="W10" s="80">
        <f>IF(W4=0,0,W4/TrNavi_ene!W4)</f>
        <v>3.1225370545466138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1376135.3293548389</v>
      </c>
      <c r="C13" s="54">
        <f>IF(C3=0,0,C3/TrNavi_act!C7*1000)</f>
        <v>1234667.0963720933</v>
      </c>
      <c r="D13" s="54">
        <f>IF(D3=0,0,D3/TrNavi_act!D7*1000)</f>
        <v>1368523.8265437789</v>
      </c>
      <c r="E13" s="54">
        <f>IF(E3=0,0,E3/TrNavi_act!E7*1000)</f>
        <v>1373172.6843925228</v>
      </c>
      <c r="F13" s="54">
        <f>IF(F3=0,0,F3/TrNavi_act!F7*1000)</f>
        <v>1219245.4495058821</v>
      </c>
      <c r="G13" s="54">
        <f>IF(G3=0,0,G3/TrNavi_act!G7*1000)</f>
        <v>1137442.166590909</v>
      </c>
      <c r="H13" s="54">
        <f>IF(H3=0,0,H3/TrNavi_act!H7*1000)</f>
        <v>1335753.6748894348</v>
      </c>
      <c r="I13" s="54">
        <f>IF(I3=0,0,I3/TrNavi_act!I7*1000)</f>
        <v>1221987.2910309276</v>
      </c>
      <c r="J13" s="54">
        <f>IF(J3=0,0,J3/TrNavi_act!J7*1000)</f>
        <v>1177524.4592621361</v>
      </c>
      <c r="K13" s="54">
        <f>IF(K3=0,0,K3/TrNavi_act!K7*1000)</f>
        <v>1138137.0274493927</v>
      </c>
      <c r="L13" s="54">
        <f>IF(L3=0,0,L3/TrNavi_act!L7*1000)</f>
        <v>1180795.1994174754</v>
      </c>
      <c r="M13" s="54">
        <f>IF(M3=0,0,M3/TrNavi_act!M7*1000)</f>
        <v>1136553.0189928059</v>
      </c>
      <c r="N13" s="54">
        <f>IF(N3=0,0,N3/TrNavi_act!N7*1000)</f>
        <v>1060684.1280000003</v>
      </c>
      <c r="O13" s="54">
        <f>IF(O3=0,0,O3/TrNavi_act!O7*1000)</f>
        <v>1343612.4113793108</v>
      </c>
      <c r="P13" s="54">
        <f>IF(P3=0,0,P3/TrNavi_act!P7*1000)</f>
        <v>1071488.3617241383</v>
      </c>
      <c r="Q13" s="54">
        <f>IF(Q3=0,0,Q3/TrNavi_act!Q7*1000)</f>
        <v>1080138.6558139531</v>
      </c>
      <c r="R13" s="54">
        <f>IF(R3=0,0,R3/TrNavi_act!R7*1000)</f>
        <v>823119.73224489787</v>
      </c>
      <c r="S13" s="54">
        <f>IF(S3=0,0,S3/TrNavi_act!S7*1000)</f>
        <v>888830.06564885506</v>
      </c>
      <c r="T13" s="54">
        <f>IF(T3=0,0,T3/TrNavi_act!T7*1000)</f>
        <v>1062852.6784750728</v>
      </c>
      <c r="U13" s="54">
        <f>IF(U3=0,0,U3/TrNavi_act!U7*1000)</f>
        <v>1104054.4263157893</v>
      </c>
      <c r="V13" s="54">
        <f>IF(V3=0,0,V3/TrNavi_act!V7*1000)</f>
        <v>1242861.476326531</v>
      </c>
      <c r="W13" s="54">
        <f>IF(W3=0,0,W3/TrNavi_act!W7*1000)</f>
        <v>1534474.1982857145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1376135.3293548389</v>
      </c>
      <c r="C14" s="56">
        <f>IF(C4=0,0,C4/TrNavi_act!C8*1000)</f>
        <v>1234667.0963720933</v>
      </c>
      <c r="D14" s="56">
        <f>IF(D4=0,0,D4/TrNavi_act!D8*1000)</f>
        <v>1368523.8265437789</v>
      </c>
      <c r="E14" s="56">
        <f>IF(E4=0,0,E4/TrNavi_act!E8*1000)</f>
        <v>1373172.6843925228</v>
      </c>
      <c r="F14" s="56">
        <f>IF(F4=0,0,F4/TrNavi_act!F8*1000)</f>
        <v>1219245.4495058821</v>
      </c>
      <c r="G14" s="56">
        <f>IF(G4=0,0,G4/TrNavi_act!G8*1000)</f>
        <v>1137442.166590909</v>
      </c>
      <c r="H14" s="56">
        <f>IF(H4=0,0,H4/TrNavi_act!H8*1000)</f>
        <v>1335753.6748894348</v>
      </c>
      <c r="I14" s="56">
        <f>IF(I4=0,0,I4/TrNavi_act!I8*1000)</f>
        <v>1221987.2910309276</v>
      </c>
      <c r="J14" s="56">
        <f>IF(J4=0,0,J4/TrNavi_act!J8*1000)</f>
        <v>1177524.4592621361</v>
      </c>
      <c r="K14" s="56">
        <f>IF(K4=0,0,K4/TrNavi_act!K8*1000)</f>
        <v>1138137.0274493927</v>
      </c>
      <c r="L14" s="56">
        <f>IF(L4=0,0,L4/TrNavi_act!L8*1000)</f>
        <v>1180795.1994174754</v>
      </c>
      <c r="M14" s="56">
        <f>IF(M4=0,0,M4/TrNavi_act!M8*1000)</f>
        <v>1136553.0189928059</v>
      </c>
      <c r="N14" s="56">
        <f>IF(N4=0,0,N4/TrNavi_act!N8*1000)</f>
        <v>1060684.1280000003</v>
      </c>
      <c r="O14" s="56">
        <f>IF(O4=0,0,O4/TrNavi_act!O8*1000)</f>
        <v>1343612.4113793108</v>
      </c>
      <c r="P14" s="56">
        <f>IF(P4=0,0,P4/TrNavi_act!P8*1000)</f>
        <v>1071488.3617241383</v>
      </c>
      <c r="Q14" s="56">
        <f>IF(Q4=0,0,Q4/TrNavi_act!Q8*1000)</f>
        <v>1080138.6558139531</v>
      </c>
      <c r="R14" s="56">
        <f>IF(R4=0,0,R4/TrNavi_act!R8*1000)</f>
        <v>823119.73224489787</v>
      </c>
      <c r="S14" s="56">
        <f>IF(S4=0,0,S4/TrNavi_act!S8*1000)</f>
        <v>888830.06564885506</v>
      </c>
      <c r="T14" s="56">
        <f>IF(T4=0,0,T4/TrNavi_act!T8*1000)</f>
        <v>1062852.6784750728</v>
      </c>
      <c r="U14" s="56">
        <f>IF(U4=0,0,U4/TrNavi_act!U8*1000)</f>
        <v>1104054.4263157893</v>
      </c>
      <c r="V14" s="56">
        <f>IF(V4=0,0,V4/TrNavi_act!V8*1000)</f>
        <v>1242861.476326531</v>
      </c>
      <c r="W14" s="56">
        <f>IF(W4=0,0,W4/TrNavi_act!W8*1000)</f>
        <v>1534474.1982857145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333.89622243470751</v>
      </c>
      <c r="C17" s="62">
        <f>IF(C3=0,0,C3/TrNavi_act!C3*1000)</f>
        <v>282.27038987263711</v>
      </c>
      <c r="D17" s="62">
        <f>IF(D3=0,0,D3/TrNavi_act!D3*1000)</f>
        <v>356.42426784238677</v>
      </c>
      <c r="E17" s="62">
        <f>IF(E3=0,0,E3/TrNavi_act!E3*1000)</f>
        <v>308.01711516721872</v>
      </c>
      <c r="F17" s="62">
        <f>IF(F3=0,0,F3/TrNavi_act!F3*1000)</f>
        <v>287.32222740726519</v>
      </c>
      <c r="G17" s="62">
        <f>IF(G3=0,0,G3/TrNavi_act!G3*1000)</f>
        <v>295.9651210384439</v>
      </c>
      <c r="H17" s="62">
        <f>IF(H3=0,0,H3/TrNavi_act!H3*1000)</f>
        <v>235.37071501553402</v>
      </c>
      <c r="I17" s="62">
        <f>IF(I3=0,0,I3/TrNavi_act!I3*1000)</f>
        <v>192.18909296826953</v>
      </c>
      <c r="J17" s="62">
        <f>IF(J3=0,0,J3/TrNavi_act!J3*1000)</f>
        <v>258.002071299904</v>
      </c>
      <c r="K17" s="62">
        <f>IF(K3=0,0,K3/TrNavi_act!K3*1000)</f>
        <v>306.58193538677472</v>
      </c>
      <c r="L17" s="62">
        <f>IF(L3=0,0,L3/TrNavi_act!L3*1000)</f>
        <v>236.15605927303824</v>
      </c>
      <c r="M17" s="62">
        <f>IF(M3=0,0,M3/TrNavi_act!M3*1000)</f>
        <v>225.20715814022884</v>
      </c>
      <c r="N17" s="62">
        <f>IF(N3=0,0,N3/TrNavi_act!N3*1000)</f>
        <v>213.74408282973815</v>
      </c>
      <c r="O17" s="62">
        <f>IF(O3=0,0,O3/TrNavi_act!O3*1000)</f>
        <v>273.14874784730029</v>
      </c>
      <c r="P17" s="62">
        <f>IF(P3=0,0,P3/TrNavi_act!P3*1000)</f>
        <v>215.43265576748308</v>
      </c>
      <c r="Q17" s="62">
        <f>IF(Q3=0,0,Q3/TrNavi_act!Q3*1000)</f>
        <v>227.38623161522713</v>
      </c>
      <c r="R17" s="62">
        <f>IF(R3=0,0,R3/TrNavi_act!R3*1000)</f>
        <v>191.83441904414619</v>
      </c>
      <c r="S17" s="62">
        <f>IF(S3=0,0,S3/TrNavi_act!S3*1000)</f>
        <v>201.13828143219172</v>
      </c>
      <c r="T17" s="62">
        <f>IF(T3=0,0,T3/TrNavi_act!T3*1000)</f>
        <v>224.90146765968478</v>
      </c>
      <c r="U17" s="62">
        <f>IF(U3=0,0,U3/TrNavi_act!U3*1000)</f>
        <v>230.6471076768016</v>
      </c>
      <c r="V17" s="62">
        <f>IF(V3=0,0,V3/TrNavi_act!V3*1000)</f>
        <v>248.66990243109041</v>
      </c>
      <c r="W17" s="62">
        <f>IF(W3=0,0,W3/TrNavi_act!W3*1000)</f>
        <v>283.57654307477759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333.89622243470751</v>
      </c>
      <c r="C18" s="63">
        <f>IF(C4=0,0,C4/TrNavi_act!C4*1000)</f>
        <v>282.27038987263711</v>
      </c>
      <c r="D18" s="63">
        <f>IF(D4=0,0,D4/TrNavi_act!D4*1000)</f>
        <v>356.42426784238677</v>
      </c>
      <c r="E18" s="63">
        <f>IF(E4=0,0,E4/TrNavi_act!E4*1000)</f>
        <v>308.01711516721872</v>
      </c>
      <c r="F18" s="63">
        <f>IF(F4=0,0,F4/TrNavi_act!F4*1000)</f>
        <v>287.32222740726519</v>
      </c>
      <c r="G18" s="63">
        <f>IF(G4=0,0,G4/TrNavi_act!G4*1000)</f>
        <v>295.9651210384439</v>
      </c>
      <c r="H18" s="63">
        <f>IF(H4=0,0,H4/TrNavi_act!H4*1000)</f>
        <v>235.37071501553402</v>
      </c>
      <c r="I18" s="63">
        <f>IF(I4=0,0,I4/TrNavi_act!I4*1000)</f>
        <v>192.18909296826953</v>
      </c>
      <c r="J18" s="63">
        <f>IF(J4=0,0,J4/TrNavi_act!J4*1000)</f>
        <v>258.002071299904</v>
      </c>
      <c r="K18" s="63">
        <f>IF(K4=0,0,K4/TrNavi_act!K4*1000)</f>
        <v>306.58193538677472</v>
      </c>
      <c r="L18" s="63">
        <f>IF(L4=0,0,L4/TrNavi_act!L4*1000)</f>
        <v>236.15605927303824</v>
      </c>
      <c r="M18" s="63">
        <f>IF(M4=0,0,M4/TrNavi_act!M4*1000)</f>
        <v>225.20715814022884</v>
      </c>
      <c r="N18" s="63">
        <f>IF(N4=0,0,N4/TrNavi_act!N4*1000)</f>
        <v>213.74408282973815</v>
      </c>
      <c r="O18" s="63">
        <f>IF(O4=0,0,O4/TrNavi_act!O4*1000)</f>
        <v>273.14874784730029</v>
      </c>
      <c r="P18" s="63">
        <f>IF(P4=0,0,P4/TrNavi_act!P4*1000)</f>
        <v>215.43265576748308</v>
      </c>
      <c r="Q18" s="63">
        <f>IF(Q4=0,0,Q4/TrNavi_act!Q4*1000)</f>
        <v>227.38623161522713</v>
      </c>
      <c r="R18" s="63">
        <f>IF(R4=0,0,R4/TrNavi_act!R4*1000)</f>
        <v>191.83441904414619</v>
      </c>
      <c r="S18" s="63">
        <f>IF(S4=0,0,S4/TrNavi_act!S4*1000)</f>
        <v>201.13828143219172</v>
      </c>
      <c r="T18" s="63">
        <f>IF(T4=0,0,T4/TrNavi_act!T4*1000)</f>
        <v>224.90146765968478</v>
      </c>
      <c r="U18" s="63">
        <f>IF(U4=0,0,U4/TrNavi_act!U4*1000)</f>
        <v>230.6471076768016</v>
      </c>
      <c r="V18" s="63">
        <f>IF(V4=0,0,V4/TrNavi_act!V4*1000)</f>
        <v>248.66990243109041</v>
      </c>
      <c r="W18" s="63">
        <f>IF(W4=0,0,W4/TrNavi_act!W4*1000)</f>
        <v>283.57654307477759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81281.350474000006</v>
      </c>
      <c r="C3" s="54">
        <f t="shared" si="0"/>
        <v>83300.365844999993</v>
      </c>
      <c r="D3" s="54">
        <f t="shared" si="0"/>
        <v>80390.999364999996</v>
      </c>
      <c r="E3" s="54">
        <f t="shared" si="0"/>
        <v>96936.547609999994</v>
      </c>
      <c r="F3" s="54">
        <f t="shared" si="0"/>
        <v>84397.889385999995</v>
      </c>
      <c r="G3" s="54">
        <f t="shared" si="0"/>
        <v>80544.611833999996</v>
      </c>
      <c r="H3" s="54">
        <f t="shared" si="0"/>
        <v>96164.465186999994</v>
      </c>
      <c r="I3" s="54">
        <f t="shared" si="0"/>
        <v>87471.137751999995</v>
      </c>
      <c r="J3" s="54">
        <f t="shared" si="0"/>
        <v>86604.176517999993</v>
      </c>
      <c r="K3" s="54">
        <f t="shared" si="0"/>
        <v>75123.024361999996</v>
      </c>
      <c r="L3" s="54">
        <f t="shared" si="0"/>
        <v>66644.663419999997</v>
      </c>
      <c r="M3" s="54">
        <f t="shared" si="0"/>
        <v>78704.202202</v>
      </c>
      <c r="N3" s="54">
        <f t="shared" si="0"/>
        <v>62277.062085999991</v>
      </c>
      <c r="O3" s="54">
        <f t="shared" si="0"/>
        <v>67340.631108999994</v>
      </c>
      <c r="P3" s="54">
        <f t="shared" si="0"/>
        <v>68401.123592999997</v>
      </c>
      <c r="Q3" s="54">
        <f t="shared" si="0"/>
        <v>89668.039063000004</v>
      </c>
      <c r="R3" s="54">
        <f t="shared" ref="R3:W3" si="1">SUM(R4:R5)</f>
        <v>89956.077061999997</v>
      </c>
      <c r="S3" s="54">
        <f t="shared" si="1"/>
        <v>86380.848404999997</v>
      </c>
      <c r="T3" s="54">
        <f t="shared" si="1"/>
        <v>88343.023238999987</v>
      </c>
      <c r="U3" s="54">
        <f t="shared" si="1"/>
        <v>99468.827713999999</v>
      </c>
      <c r="V3" s="54">
        <f t="shared" si="1"/>
        <v>99880.737265999996</v>
      </c>
      <c r="W3" s="54">
        <f t="shared" si="1"/>
        <v>103585.604693</v>
      </c>
      <c r="DA3" s="172" t="s">
        <v>387</v>
      </c>
    </row>
    <row r="4" spans="1:105" ht="11.45" customHeight="1" x14ac:dyDescent="0.25">
      <c r="A4" s="55" t="s">
        <v>170</v>
      </c>
      <c r="B4" s="56">
        <v>21870.693569999999</v>
      </c>
      <c r="C4" s="56">
        <v>21927.959705000001</v>
      </c>
      <c r="D4" s="56">
        <v>22405.536512999999</v>
      </c>
      <c r="E4" s="56">
        <v>23368.593140000001</v>
      </c>
      <c r="F4" s="56">
        <v>24548.212125999999</v>
      </c>
      <c r="G4" s="56">
        <v>24152.365811</v>
      </c>
      <c r="H4" s="56">
        <v>22890.939374999998</v>
      </c>
      <c r="I4" s="56">
        <v>22088.239190999997</v>
      </c>
      <c r="J4" s="56">
        <v>22084.949102999999</v>
      </c>
      <c r="K4" s="56">
        <v>19341.717707</v>
      </c>
      <c r="L4" s="56">
        <v>19327.646912</v>
      </c>
      <c r="M4" s="56">
        <v>18595.806786000001</v>
      </c>
      <c r="N4" s="56">
        <v>18788.972609</v>
      </c>
      <c r="O4" s="56">
        <v>22947.239063999998</v>
      </c>
      <c r="P4" s="56">
        <v>20381.48486</v>
      </c>
      <c r="Q4" s="56">
        <v>21944.357226</v>
      </c>
      <c r="R4" s="56">
        <v>22296.179255000003</v>
      </c>
      <c r="S4" s="56">
        <v>21842.378266</v>
      </c>
      <c r="T4" s="56">
        <v>20966.236641</v>
      </c>
      <c r="U4" s="56">
        <v>22800.910378</v>
      </c>
      <c r="V4" s="56">
        <v>22236.496229</v>
      </c>
      <c r="W4" s="56">
        <v>22073.122051999999</v>
      </c>
      <c r="DA4" s="181" t="s">
        <v>388</v>
      </c>
    </row>
    <row r="5" spans="1:105" ht="11.45" customHeight="1" x14ac:dyDescent="0.25">
      <c r="A5" s="57" t="s">
        <v>171</v>
      </c>
      <c r="B5" s="58">
        <v>59410.656904000003</v>
      </c>
      <c r="C5" s="58">
        <v>61372.406139999999</v>
      </c>
      <c r="D5" s="58">
        <v>57985.462852000004</v>
      </c>
      <c r="E5" s="58">
        <v>73567.954469999997</v>
      </c>
      <c r="F5" s="58">
        <v>59849.677259999997</v>
      </c>
      <c r="G5" s="58">
        <v>56392.246023</v>
      </c>
      <c r="H5" s="58">
        <v>73273.525811999993</v>
      </c>
      <c r="I5" s="58">
        <v>65382.898561000002</v>
      </c>
      <c r="J5" s="58">
        <v>64519.227415000001</v>
      </c>
      <c r="K5" s="58">
        <v>55781.306655</v>
      </c>
      <c r="L5" s="58">
        <v>47317.016508000001</v>
      </c>
      <c r="M5" s="58">
        <v>60108.395415999999</v>
      </c>
      <c r="N5" s="58">
        <v>43488.089476999994</v>
      </c>
      <c r="O5" s="58">
        <v>44393.392045000001</v>
      </c>
      <c r="P5" s="58">
        <v>48019.638733</v>
      </c>
      <c r="Q5" s="58">
        <v>67723.681836999996</v>
      </c>
      <c r="R5" s="58">
        <v>67659.897807000001</v>
      </c>
      <c r="S5" s="58">
        <v>64538.470138999997</v>
      </c>
      <c r="T5" s="58">
        <v>67376.786597999991</v>
      </c>
      <c r="U5" s="58">
        <v>76667.917335999999</v>
      </c>
      <c r="V5" s="58">
        <v>77644.241037</v>
      </c>
      <c r="W5" s="58">
        <v>81512.482640999995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10.939931000000001</v>
      </c>
      <c r="C7" s="59">
        <f t="shared" si="2"/>
        <v>11.758050000000001</v>
      </c>
      <c r="D7" s="59">
        <f t="shared" si="2"/>
        <v>10.544869</v>
      </c>
      <c r="E7" s="59">
        <f t="shared" si="2"/>
        <v>11.51703</v>
      </c>
      <c r="F7" s="59">
        <f t="shared" si="2"/>
        <v>11.080366</v>
      </c>
      <c r="G7" s="59">
        <f t="shared" si="2"/>
        <v>10.484667</v>
      </c>
      <c r="H7" s="59">
        <f t="shared" si="2"/>
        <v>10.954097000000001</v>
      </c>
      <c r="I7" s="59">
        <f t="shared" si="2"/>
        <v>10.079969</v>
      </c>
      <c r="J7" s="59">
        <f t="shared" si="2"/>
        <v>9.8199439999999996</v>
      </c>
      <c r="K7" s="59">
        <f t="shared" si="2"/>
        <v>8.3031939999999995</v>
      </c>
      <c r="L7" s="59">
        <f t="shared" si="2"/>
        <v>7.8001529999999999</v>
      </c>
      <c r="M7" s="59">
        <f t="shared" si="2"/>
        <v>8.1759240000000002</v>
      </c>
      <c r="N7" s="59">
        <f t="shared" si="2"/>
        <v>7.1532509999999991</v>
      </c>
      <c r="O7" s="59">
        <f t="shared" si="2"/>
        <v>8.1287400000000005</v>
      </c>
      <c r="P7" s="59">
        <f t="shared" si="2"/>
        <v>7.7940899999999997</v>
      </c>
      <c r="Q7" s="59">
        <f t="shared" si="2"/>
        <v>8.1280199999999994</v>
      </c>
      <c r="R7" s="59">
        <f t="shared" si="2"/>
        <v>8.1570469999999986</v>
      </c>
      <c r="S7" s="59">
        <f t="shared" si="2"/>
        <v>7.8212039999999998</v>
      </c>
      <c r="T7" s="59">
        <f t="shared" si="2"/>
        <v>7.8651629999999999</v>
      </c>
      <c r="U7" s="59">
        <f t="shared" si="2"/>
        <v>8.722861</v>
      </c>
      <c r="V7" s="59">
        <f t="shared" si="2"/>
        <v>8.398047</v>
      </c>
      <c r="W7" s="59">
        <f t="shared" si="2"/>
        <v>8.7257840000000009</v>
      </c>
      <c r="DA7" s="172" t="s">
        <v>961</v>
      </c>
    </row>
    <row r="8" spans="1:105" ht="11.45" customHeight="1" x14ac:dyDescent="0.25">
      <c r="A8" s="55" t="s">
        <v>170</v>
      </c>
      <c r="B8" s="60">
        <v>5.7435680000000007</v>
      </c>
      <c r="C8" s="60">
        <v>6.4063550000000005</v>
      </c>
      <c r="D8" s="60">
        <v>5.7445649999999997</v>
      </c>
      <c r="E8" s="60">
        <v>5.9579389999999997</v>
      </c>
      <c r="F8" s="60">
        <v>6.276249</v>
      </c>
      <c r="G8" s="60">
        <v>6.0069149999999993</v>
      </c>
      <c r="H8" s="60">
        <v>5.6007129999999998</v>
      </c>
      <c r="I8" s="60">
        <v>5.2848839999999999</v>
      </c>
      <c r="J8" s="60">
        <v>5.32395</v>
      </c>
      <c r="K8" s="60">
        <v>4.5556840000000003</v>
      </c>
      <c r="L8" s="60">
        <v>4.5919420000000004</v>
      </c>
      <c r="M8" s="60">
        <v>4.3815670000000004</v>
      </c>
      <c r="N8" s="60">
        <v>4.3672699999999995</v>
      </c>
      <c r="O8" s="60">
        <v>5.2590130000000004</v>
      </c>
      <c r="P8" s="60">
        <v>4.8079929999999997</v>
      </c>
      <c r="Q8" s="60">
        <v>4.659948</v>
      </c>
      <c r="R8" s="60">
        <v>4.5085139999999999</v>
      </c>
      <c r="S8" s="60">
        <v>4.357335</v>
      </c>
      <c r="T8" s="60">
        <v>4.390123</v>
      </c>
      <c r="U8" s="60">
        <v>4.8566089999999997</v>
      </c>
      <c r="V8" s="60">
        <v>4.5432839999999999</v>
      </c>
      <c r="W8" s="60">
        <v>4.6541790000000001</v>
      </c>
      <c r="DA8" s="181" t="s">
        <v>962</v>
      </c>
    </row>
    <row r="9" spans="1:105" ht="11.45" customHeight="1" x14ac:dyDescent="0.25">
      <c r="A9" s="57" t="s">
        <v>171</v>
      </c>
      <c r="B9" s="61">
        <v>5.1963629999999998</v>
      </c>
      <c r="C9" s="61">
        <v>5.3516950000000003</v>
      </c>
      <c r="D9" s="61">
        <v>4.8003040000000006</v>
      </c>
      <c r="E9" s="61">
        <v>5.5590910000000004</v>
      </c>
      <c r="F9" s="61">
        <v>4.8041169999999997</v>
      </c>
      <c r="G9" s="61">
        <v>4.4777520000000006</v>
      </c>
      <c r="H9" s="61">
        <v>5.3533840000000001</v>
      </c>
      <c r="I9" s="61">
        <v>4.7950850000000003</v>
      </c>
      <c r="J9" s="61">
        <v>4.4959940000000005</v>
      </c>
      <c r="K9" s="61">
        <v>3.7475099999999997</v>
      </c>
      <c r="L9" s="61">
        <v>3.2082109999999999</v>
      </c>
      <c r="M9" s="61">
        <v>3.7943569999999998</v>
      </c>
      <c r="N9" s="61">
        <v>2.785981</v>
      </c>
      <c r="O9" s="61">
        <v>2.8697270000000001</v>
      </c>
      <c r="P9" s="61">
        <v>2.986097</v>
      </c>
      <c r="Q9" s="61">
        <v>3.4680719999999998</v>
      </c>
      <c r="R9" s="61">
        <v>3.6485329999999996</v>
      </c>
      <c r="S9" s="61">
        <v>3.4638689999999999</v>
      </c>
      <c r="T9" s="61">
        <v>3.4750399999999999</v>
      </c>
      <c r="U9" s="61">
        <v>3.8662520000000002</v>
      </c>
      <c r="V9" s="61">
        <v>3.8547630000000002</v>
      </c>
      <c r="W9" s="61">
        <v>4.0716049999999999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7429.7863920713935</v>
      </c>
      <c r="C13" s="62">
        <f t="shared" si="3"/>
        <v>7084.5391748631782</v>
      </c>
      <c r="D13" s="62">
        <f t="shared" si="3"/>
        <v>7623.7077354872772</v>
      </c>
      <c r="E13" s="62">
        <f t="shared" si="3"/>
        <v>8416.8008253864064</v>
      </c>
      <c r="F13" s="62">
        <f t="shared" si="3"/>
        <v>7616.8864264952981</v>
      </c>
      <c r="G13" s="62">
        <f t="shared" si="3"/>
        <v>7682.1335226001929</v>
      </c>
      <c r="H13" s="62">
        <f t="shared" si="3"/>
        <v>8778.8582835262441</v>
      </c>
      <c r="I13" s="62">
        <f t="shared" si="3"/>
        <v>8677.7189247308197</v>
      </c>
      <c r="J13" s="62">
        <f t="shared" si="3"/>
        <v>8819.2128710713623</v>
      </c>
      <c r="K13" s="62">
        <f t="shared" si="3"/>
        <v>9047.4851439096819</v>
      </c>
      <c r="L13" s="62">
        <f t="shared" si="3"/>
        <v>8544.0200237097906</v>
      </c>
      <c r="M13" s="62">
        <f t="shared" si="3"/>
        <v>9626.3373047498972</v>
      </c>
      <c r="N13" s="62">
        <f t="shared" si="3"/>
        <v>8706.1200684835458</v>
      </c>
      <c r="O13" s="62">
        <f t="shared" si="3"/>
        <v>8284.2643643418287</v>
      </c>
      <c r="P13" s="62">
        <f t="shared" si="3"/>
        <v>8776.0243457542838</v>
      </c>
      <c r="Q13" s="62">
        <f t="shared" si="3"/>
        <v>11031.96584937045</v>
      </c>
      <c r="R13" s="62">
        <f t="shared" si="3"/>
        <v>11028.01995158297</v>
      </c>
      <c r="S13" s="62">
        <f t="shared" si="3"/>
        <v>11044.443848415154</v>
      </c>
      <c r="T13" s="62">
        <f t="shared" si="3"/>
        <v>11232.192293916856</v>
      </c>
      <c r="U13" s="62">
        <f t="shared" si="3"/>
        <v>11403.23429594946</v>
      </c>
      <c r="V13" s="62">
        <f t="shared" si="3"/>
        <v>11893.329159267625</v>
      </c>
      <c r="W13" s="62">
        <f t="shared" si="3"/>
        <v>11871.208901458023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3807.8583852406723</v>
      </c>
      <c r="C14" s="63">
        <f t="shared" si="3"/>
        <v>3422.8449258587762</v>
      </c>
      <c r="D14" s="63">
        <f t="shared" si="3"/>
        <v>3900.3016787171873</v>
      </c>
      <c r="E14" s="63">
        <f t="shared" si="3"/>
        <v>3922.2612282535961</v>
      </c>
      <c r="F14" s="63">
        <f t="shared" si="3"/>
        <v>3911.2871598943889</v>
      </c>
      <c r="G14" s="63">
        <f t="shared" si="3"/>
        <v>4020.7603755005694</v>
      </c>
      <c r="H14" s="63">
        <f t="shared" si="3"/>
        <v>4087.1473640945355</v>
      </c>
      <c r="I14" s="63">
        <f t="shared" si="3"/>
        <v>4179.5125855174865</v>
      </c>
      <c r="J14" s="63">
        <f t="shared" si="3"/>
        <v>4148.2262423576476</v>
      </c>
      <c r="K14" s="63">
        <f t="shared" si="3"/>
        <v>4245.6232054286465</v>
      </c>
      <c r="L14" s="63">
        <f t="shared" si="3"/>
        <v>4209.0355043683039</v>
      </c>
      <c r="M14" s="63">
        <f t="shared" si="3"/>
        <v>4244.0996077430746</v>
      </c>
      <c r="N14" s="63">
        <f t="shared" si="3"/>
        <v>4302.2237253478725</v>
      </c>
      <c r="O14" s="63">
        <f t="shared" si="3"/>
        <v>4363.4117398074495</v>
      </c>
      <c r="P14" s="63">
        <f t="shared" si="3"/>
        <v>4239.083721627715</v>
      </c>
      <c r="Q14" s="63">
        <f t="shared" si="3"/>
        <v>4709.1420818429733</v>
      </c>
      <c r="R14" s="63">
        <f t="shared" si="3"/>
        <v>4945.3498991020106</v>
      </c>
      <c r="S14" s="63">
        <f t="shared" si="3"/>
        <v>5012.7837923868601</v>
      </c>
      <c r="T14" s="63">
        <f t="shared" si="3"/>
        <v>4775.7743099680802</v>
      </c>
      <c r="U14" s="63">
        <f t="shared" si="3"/>
        <v>4694.8210938949378</v>
      </c>
      <c r="V14" s="63">
        <f t="shared" si="3"/>
        <v>4894.3663281890367</v>
      </c>
      <c r="W14" s="63">
        <f t="shared" si="3"/>
        <v>4742.6457065789691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11433.122917702247</v>
      </c>
      <c r="C15" s="64">
        <f t="shared" si="3"/>
        <v>11467.84451281323</v>
      </c>
      <c r="D15" s="64">
        <f t="shared" si="3"/>
        <v>12079.539723317523</v>
      </c>
      <c r="E15" s="64">
        <f t="shared" si="3"/>
        <v>13233.810072546032</v>
      </c>
      <c r="F15" s="64">
        <f t="shared" si="3"/>
        <v>12457.997434283969</v>
      </c>
      <c r="G15" s="64">
        <f t="shared" si="3"/>
        <v>12593.874342080579</v>
      </c>
      <c r="H15" s="64">
        <f t="shared" si="3"/>
        <v>13687.328577961152</v>
      </c>
      <c r="I15" s="64">
        <f t="shared" si="3"/>
        <v>13635.399280930369</v>
      </c>
      <c r="J15" s="64">
        <f t="shared" si="3"/>
        <v>14350.381120392953</v>
      </c>
      <c r="K15" s="64">
        <f t="shared" si="3"/>
        <v>14884.898680724002</v>
      </c>
      <c r="L15" s="64">
        <f t="shared" si="3"/>
        <v>14748.723356412655</v>
      </c>
      <c r="M15" s="64">
        <f t="shared" si="3"/>
        <v>15841.523456016395</v>
      </c>
      <c r="N15" s="64">
        <f t="shared" si="3"/>
        <v>15609.61452249674</v>
      </c>
      <c r="O15" s="64">
        <f t="shared" si="3"/>
        <v>15469.552345920012</v>
      </c>
      <c r="P15" s="64">
        <f t="shared" si="3"/>
        <v>16081.071289043859</v>
      </c>
      <c r="Q15" s="64">
        <f t="shared" si="3"/>
        <v>19527.761199017783</v>
      </c>
      <c r="R15" s="64">
        <f t="shared" si="3"/>
        <v>18544.411632565749</v>
      </c>
      <c r="S15" s="64">
        <f t="shared" si="3"/>
        <v>18631.902690026673</v>
      </c>
      <c r="T15" s="64">
        <f t="shared" si="3"/>
        <v>19388.780157350706</v>
      </c>
      <c r="U15" s="64">
        <f t="shared" si="3"/>
        <v>19830.036256301966</v>
      </c>
      <c r="V15" s="64">
        <f t="shared" si="3"/>
        <v>20142.416287849603</v>
      </c>
      <c r="W15" s="64">
        <f t="shared" si="3"/>
        <v>20019.742249309547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0.26907394429914056</v>
      </c>
      <c r="C18" s="66">
        <f t="shared" si="4"/>
        <v>0.26323965666371923</v>
      </c>
      <c r="D18" s="66">
        <f t="shared" si="4"/>
        <v>0.27870702802526354</v>
      </c>
      <c r="E18" s="66">
        <f t="shared" si="4"/>
        <v>0.24107102755523854</v>
      </c>
      <c r="F18" s="66">
        <f t="shared" si="4"/>
        <v>0.29086286759763547</v>
      </c>
      <c r="G18" s="66">
        <f t="shared" si="4"/>
        <v>0.29986320948168815</v>
      </c>
      <c r="H18" s="66">
        <f t="shared" si="4"/>
        <v>0.23803948090894717</v>
      </c>
      <c r="I18" s="66">
        <f t="shared" si="4"/>
        <v>0.25252031422782034</v>
      </c>
      <c r="J18" s="66">
        <f t="shared" si="4"/>
        <v>0.25501020840963506</v>
      </c>
      <c r="K18" s="66">
        <f t="shared" si="4"/>
        <v>0.25746723952162603</v>
      </c>
      <c r="L18" s="66">
        <f t="shared" si="4"/>
        <v>0.29001042124251758</v>
      </c>
      <c r="M18" s="66">
        <f t="shared" si="4"/>
        <v>0.23627463675030369</v>
      </c>
      <c r="N18" s="66">
        <f t="shared" si="4"/>
        <v>0.30169972666748196</v>
      </c>
      <c r="O18" s="66">
        <f t="shared" si="4"/>
        <v>0.34076364723782826</v>
      </c>
      <c r="P18" s="66">
        <f t="shared" si="4"/>
        <v>0.29797003016023249</v>
      </c>
      <c r="Q18" s="66">
        <f t="shared" si="4"/>
        <v>0.24472886276214964</v>
      </c>
      <c r="R18" s="66">
        <f t="shared" si="4"/>
        <v>0.24785628701474957</v>
      </c>
      <c r="S18" s="66">
        <f t="shared" si="4"/>
        <v>0.25286135375275726</v>
      </c>
      <c r="T18" s="66">
        <f t="shared" si="4"/>
        <v>0.23732758821575201</v>
      </c>
      <c r="U18" s="66">
        <f t="shared" si="4"/>
        <v>0.22922669244236832</v>
      </c>
      <c r="V18" s="66">
        <f t="shared" si="4"/>
        <v>0.22263047748416487</v>
      </c>
      <c r="W18" s="66">
        <f t="shared" si="4"/>
        <v>0.21309063279032664</v>
      </c>
      <c r="DA18" s="181"/>
    </row>
    <row r="19" spans="1:105" ht="11.45" customHeight="1" x14ac:dyDescent="0.25">
      <c r="A19" s="57" t="s">
        <v>171</v>
      </c>
      <c r="B19" s="67">
        <f t="shared" si="4"/>
        <v>0.73092605570085944</v>
      </c>
      <c r="C19" s="67">
        <f t="shared" si="4"/>
        <v>0.73676034333628082</v>
      </c>
      <c r="D19" s="67">
        <f t="shared" si="4"/>
        <v>0.72129297197473652</v>
      </c>
      <c r="E19" s="67">
        <f t="shared" si="4"/>
        <v>0.75892897244476154</v>
      </c>
      <c r="F19" s="67">
        <f t="shared" si="4"/>
        <v>0.70913713240236453</v>
      </c>
      <c r="G19" s="67">
        <f t="shared" si="4"/>
        <v>0.7001367905183119</v>
      </c>
      <c r="H19" s="67">
        <f t="shared" si="4"/>
        <v>0.76196051909105278</v>
      </c>
      <c r="I19" s="67">
        <f t="shared" si="4"/>
        <v>0.74747968577217971</v>
      </c>
      <c r="J19" s="67">
        <f t="shared" si="4"/>
        <v>0.74498979159036505</v>
      </c>
      <c r="K19" s="67">
        <f t="shared" si="4"/>
        <v>0.74253276047837402</v>
      </c>
      <c r="L19" s="67">
        <f t="shared" si="4"/>
        <v>0.70998957875748248</v>
      </c>
      <c r="M19" s="67">
        <f t="shared" si="4"/>
        <v>0.76372536324969631</v>
      </c>
      <c r="N19" s="67">
        <f t="shared" si="4"/>
        <v>0.6983002733325181</v>
      </c>
      <c r="O19" s="67">
        <f t="shared" si="4"/>
        <v>0.65923635276217185</v>
      </c>
      <c r="P19" s="67">
        <f t="shared" si="4"/>
        <v>0.70202996983976751</v>
      </c>
      <c r="Q19" s="67">
        <f t="shared" si="4"/>
        <v>0.75527113723785033</v>
      </c>
      <c r="R19" s="67">
        <f t="shared" si="4"/>
        <v>0.75214371298525051</v>
      </c>
      <c r="S19" s="67">
        <f t="shared" si="4"/>
        <v>0.7471386462472428</v>
      </c>
      <c r="T19" s="67">
        <f t="shared" si="4"/>
        <v>0.76267241178424805</v>
      </c>
      <c r="U19" s="67">
        <f t="shared" si="4"/>
        <v>0.77077330755763163</v>
      </c>
      <c r="V19" s="67">
        <f t="shared" si="4"/>
        <v>0.77736952251583513</v>
      </c>
      <c r="W19" s="67">
        <f t="shared" si="4"/>
        <v>0.7869093672096733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0.52500952702535331</v>
      </c>
      <c r="C22" s="66">
        <f t="shared" si="5"/>
        <v>0.54484842299530956</v>
      </c>
      <c r="D22" s="66">
        <f t="shared" si="5"/>
        <v>0.54477348177582852</v>
      </c>
      <c r="E22" s="66">
        <f t="shared" si="5"/>
        <v>0.51731557528286365</v>
      </c>
      <c r="F22" s="66">
        <f t="shared" si="5"/>
        <v>0.56642975511819738</v>
      </c>
      <c r="G22" s="66">
        <f t="shared" si="5"/>
        <v>0.57292377526153182</v>
      </c>
      <c r="H22" s="66">
        <f t="shared" si="5"/>
        <v>0.51128933767886109</v>
      </c>
      <c r="I22" s="66">
        <f t="shared" si="5"/>
        <v>0.52429566003625605</v>
      </c>
      <c r="J22" s="66">
        <f t="shared" si="5"/>
        <v>0.54215685955031923</v>
      </c>
      <c r="K22" s="66">
        <f t="shared" si="5"/>
        <v>0.54866645293365424</v>
      </c>
      <c r="L22" s="66">
        <f t="shared" si="5"/>
        <v>0.58869896526388654</v>
      </c>
      <c r="M22" s="66">
        <f t="shared" si="5"/>
        <v>0.53591092578649213</v>
      </c>
      <c r="N22" s="66">
        <f t="shared" si="5"/>
        <v>0.61052939425724051</v>
      </c>
      <c r="O22" s="66">
        <f t="shared" si="5"/>
        <v>0.64696533534102452</v>
      </c>
      <c r="P22" s="66">
        <f t="shared" si="5"/>
        <v>0.61687676175153228</v>
      </c>
      <c r="Q22" s="66">
        <f t="shared" si="5"/>
        <v>0.57331896328995258</v>
      </c>
      <c r="R22" s="66">
        <f t="shared" si="5"/>
        <v>0.55271399073708916</v>
      </c>
      <c r="S22" s="66">
        <f t="shared" si="5"/>
        <v>0.55711818794139623</v>
      </c>
      <c r="T22" s="66">
        <f t="shared" si="5"/>
        <v>0.55817317454196436</v>
      </c>
      <c r="U22" s="66">
        <f t="shared" si="5"/>
        <v>0.55676789988972653</v>
      </c>
      <c r="V22" s="66">
        <f t="shared" si="5"/>
        <v>0.54099292371190588</v>
      </c>
      <c r="W22" s="66">
        <f t="shared" si="5"/>
        <v>0.53338232988577294</v>
      </c>
      <c r="DA22" s="181"/>
    </row>
    <row r="23" spans="1:105" ht="11.45" customHeight="1" x14ac:dyDescent="0.25">
      <c r="A23" s="57" t="s">
        <v>171</v>
      </c>
      <c r="B23" s="67">
        <f t="shared" si="5"/>
        <v>0.47499047297464664</v>
      </c>
      <c r="C23" s="67">
        <f t="shared" si="5"/>
        <v>0.45515157700469039</v>
      </c>
      <c r="D23" s="67">
        <f t="shared" si="5"/>
        <v>0.45522651822417143</v>
      </c>
      <c r="E23" s="67">
        <f t="shared" si="5"/>
        <v>0.4826844247171363</v>
      </c>
      <c r="F23" s="67">
        <f t="shared" si="5"/>
        <v>0.43357024488180262</v>
      </c>
      <c r="G23" s="67">
        <f t="shared" si="5"/>
        <v>0.42707622473846812</v>
      </c>
      <c r="H23" s="67">
        <f t="shared" si="5"/>
        <v>0.4887106623211388</v>
      </c>
      <c r="I23" s="67">
        <f t="shared" si="5"/>
        <v>0.47570433996374395</v>
      </c>
      <c r="J23" s="67">
        <f t="shared" si="5"/>
        <v>0.45784314044968083</v>
      </c>
      <c r="K23" s="67">
        <f t="shared" si="5"/>
        <v>0.45133354706634576</v>
      </c>
      <c r="L23" s="67">
        <f t="shared" si="5"/>
        <v>0.41130103473611351</v>
      </c>
      <c r="M23" s="67">
        <f t="shared" si="5"/>
        <v>0.46408907421350781</v>
      </c>
      <c r="N23" s="67">
        <f t="shared" si="5"/>
        <v>0.38947060574275955</v>
      </c>
      <c r="O23" s="67">
        <f t="shared" si="5"/>
        <v>0.35303466465897543</v>
      </c>
      <c r="P23" s="67">
        <f t="shared" si="5"/>
        <v>0.38312323824846778</v>
      </c>
      <c r="Q23" s="67">
        <f t="shared" si="5"/>
        <v>0.42668103671004748</v>
      </c>
      <c r="R23" s="67">
        <f t="shared" si="5"/>
        <v>0.44728600926291096</v>
      </c>
      <c r="S23" s="67">
        <f t="shared" si="5"/>
        <v>0.44288181205860377</v>
      </c>
      <c r="T23" s="67">
        <f t="shared" si="5"/>
        <v>0.44182682545803564</v>
      </c>
      <c r="U23" s="67">
        <f t="shared" si="5"/>
        <v>0.44323210011027347</v>
      </c>
      <c r="V23" s="67">
        <f t="shared" si="5"/>
        <v>0.45900707628809412</v>
      </c>
      <c r="W23" s="67">
        <f t="shared" si="5"/>
        <v>0.46661767011422695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1294.9818572656918</v>
      </c>
      <c r="C3" s="62">
        <f t="shared" ref="C3:W3" si="0">SUM(C4,C10)</f>
        <v>1077.2857265692176</v>
      </c>
      <c r="D3" s="62">
        <f t="shared" si="0"/>
        <v>888.5163370593292</v>
      </c>
      <c r="E3" s="62">
        <f t="shared" si="0"/>
        <v>932.99294926913149</v>
      </c>
      <c r="F3" s="62">
        <f t="shared" si="0"/>
        <v>758.28555460017185</v>
      </c>
      <c r="G3" s="62">
        <f t="shared" si="0"/>
        <v>771.65735167669823</v>
      </c>
      <c r="H3" s="62">
        <f t="shared" si="0"/>
        <v>1015.4748065348238</v>
      </c>
      <c r="I3" s="62">
        <f t="shared" si="0"/>
        <v>1062.0319002579533</v>
      </c>
      <c r="J3" s="62">
        <f t="shared" si="0"/>
        <v>914.80601891659478</v>
      </c>
      <c r="K3" s="62">
        <f t="shared" si="0"/>
        <v>514.27824591573517</v>
      </c>
      <c r="L3" s="62">
        <f t="shared" si="0"/>
        <v>691.27024935511599</v>
      </c>
      <c r="M3" s="62">
        <f t="shared" si="0"/>
        <v>699.54617368873596</v>
      </c>
      <c r="N3" s="62">
        <f t="shared" si="0"/>
        <v>518.13800515907133</v>
      </c>
      <c r="O3" s="62">
        <f t="shared" si="0"/>
        <v>631.11444539982801</v>
      </c>
      <c r="P3" s="62">
        <f t="shared" si="0"/>
        <v>740.20017196904553</v>
      </c>
      <c r="Q3" s="62">
        <f t="shared" si="0"/>
        <v>768.95150472914861</v>
      </c>
      <c r="R3" s="62">
        <f t="shared" si="0"/>
        <v>671.16173688736012</v>
      </c>
      <c r="S3" s="62">
        <f t="shared" si="0"/>
        <v>534.74290627687014</v>
      </c>
      <c r="T3" s="62">
        <f t="shared" si="0"/>
        <v>594.15391229578654</v>
      </c>
      <c r="U3" s="62">
        <f t="shared" si="0"/>
        <v>740.19174548581236</v>
      </c>
      <c r="V3" s="62">
        <f t="shared" si="0"/>
        <v>556.52708512467757</v>
      </c>
      <c r="W3" s="62">
        <f t="shared" si="0"/>
        <v>475.67050730868436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555.44662747090285</v>
      </c>
      <c r="C4" s="71">
        <f t="shared" ref="C4:W4" si="1">SUM(C5:C9)</f>
        <v>461.8613886534896</v>
      </c>
      <c r="D4" s="71">
        <f t="shared" si="1"/>
        <v>388.95499884919633</v>
      </c>
      <c r="E4" s="71">
        <f t="shared" si="1"/>
        <v>389.45358411968101</v>
      </c>
      <c r="F4" s="71">
        <f t="shared" si="1"/>
        <v>339.57197949155193</v>
      </c>
      <c r="G4" s="71">
        <f t="shared" si="1"/>
        <v>350.31005626880835</v>
      </c>
      <c r="H4" s="71">
        <f t="shared" si="1"/>
        <v>415.60442731919244</v>
      </c>
      <c r="I4" s="71">
        <f t="shared" si="1"/>
        <v>447.2547095845992</v>
      </c>
      <c r="J4" s="71">
        <f t="shared" si="1"/>
        <v>389.56577137980833</v>
      </c>
      <c r="K4" s="71">
        <f t="shared" si="1"/>
        <v>220.47502854757224</v>
      </c>
      <c r="L4" s="71">
        <f t="shared" si="1"/>
        <v>312.30524643988582</v>
      </c>
      <c r="M4" s="71">
        <f t="shared" si="1"/>
        <v>287.23382984679279</v>
      </c>
      <c r="N4" s="71">
        <f t="shared" si="1"/>
        <v>236.83039084110521</v>
      </c>
      <c r="O4" s="71">
        <f t="shared" si="1"/>
        <v>303.71836258693696</v>
      </c>
      <c r="P4" s="71">
        <f t="shared" si="1"/>
        <v>338.03227821441754</v>
      </c>
      <c r="Q4" s="71">
        <f t="shared" si="1"/>
        <v>331.73590741977296</v>
      </c>
      <c r="R4" s="71">
        <f t="shared" si="1"/>
        <v>288.23677776345932</v>
      </c>
      <c r="S4" s="71">
        <f t="shared" si="1"/>
        <v>231.7767869965281</v>
      </c>
      <c r="T4" s="71">
        <f t="shared" si="1"/>
        <v>252.52008576454233</v>
      </c>
      <c r="U4" s="71">
        <f t="shared" si="1"/>
        <v>310.24048452268119</v>
      </c>
      <c r="V4" s="71">
        <f t="shared" si="1"/>
        <v>209.1841930866521</v>
      </c>
      <c r="W4" s="71">
        <f t="shared" si="1"/>
        <v>174.90838170365132</v>
      </c>
      <c r="DA4" s="186" t="s">
        <v>969</v>
      </c>
    </row>
    <row r="5" spans="1:105" ht="11.45" customHeight="1" x14ac:dyDescent="0.25">
      <c r="A5" s="72" t="s">
        <v>145</v>
      </c>
      <c r="B5" s="73">
        <v>401.51513324474473</v>
      </c>
      <c r="C5" s="73">
        <v>367.23955579071207</v>
      </c>
      <c r="D5" s="73">
        <v>367.46769237233633</v>
      </c>
      <c r="E5" s="73">
        <v>356.37397862497806</v>
      </c>
      <c r="F5" s="73">
        <v>282.34311350318626</v>
      </c>
      <c r="G5" s="73">
        <v>229.9030378519864</v>
      </c>
      <c r="H5" s="73">
        <v>206.54123218364387</v>
      </c>
      <c r="I5" s="73">
        <v>176.04168651616919</v>
      </c>
      <c r="J5" s="73">
        <v>217.5355835487932</v>
      </c>
      <c r="K5" s="73">
        <v>201.24056799025084</v>
      </c>
      <c r="L5" s="73">
        <v>227.08018250261458</v>
      </c>
      <c r="M5" s="73">
        <v>198.76603810819844</v>
      </c>
      <c r="N5" s="73">
        <v>206.7989303709698</v>
      </c>
      <c r="O5" s="73">
        <v>226.60275764896471</v>
      </c>
      <c r="P5" s="73">
        <v>253.7443970783047</v>
      </c>
      <c r="Q5" s="73">
        <v>328.16130973711438</v>
      </c>
      <c r="R5" s="73">
        <v>288.23677776345932</v>
      </c>
      <c r="S5" s="73">
        <v>231.7767869965281</v>
      </c>
      <c r="T5" s="73">
        <v>252.52008576454233</v>
      </c>
      <c r="U5" s="73">
        <v>290.28525268132535</v>
      </c>
      <c r="V5" s="73">
        <v>209.1841930866521</v>
      </c>
      <c r="W5" s="73">
        <v>174.90838170365132</v>
      </c>
      <c r="DA5" s="187" t="s">
        <v>970</v>
      </c>
    </row>
    <row r="6" spans="1:105" ht="11.45" customHeight="1" x14ac:dyDescent="0.25">
      <c r="A6" s="72" t="s">
        <v>146</v>
      </c>
      <c r="B6" s="73">
        <v>153.93149422615815</v>
      </c>
      <c r="C6" s="73">
        <v>94.621832862777495</v>
      </c>
      <c r="D6" s="73">
        <v>21.487306476860013</v>
      </c>
      <c r="E6" s="73">
        <v>33.079605494702953</v>
      </c>
      <c r="F6" s="73">
        <v>57.228865988365662</v>
      </c>
      <c r="G6" s="73">
        <v>120.40701841682193</v>
      </c>
      <c r="H6" s="73">
        <v>209.06319513554857</v>
      </c>
      <c r="I6" s="73">
        <v>271.21302306843</v>
      </c>
      <c r="J6" s="73">
        <v>172.03018783101516</v>
      </c>
      <c r="K6" s="73">
        <v>19.234460557321391</v>
      </c>
      <c r="L6" s="73">
        <v>85.225063937271244</v>
      </c>
      <c r="M6" s="73">
        <v>88.467791738594343</v>
      </c>
      <c r="N6" s="73">
        <v>30.031460470135404</v>
      </c>
      <c r="O6" s="73">
        <v>77.115604937972236</v>
      </c>
      <c r="P6" s="73">
        <v>84.287881136112844</v>
      </c>
      <c r="Q6" s="73">
        <v>3.574597682658549</v>
      </c>
      <c r="R6" s="73">
        <v>0</v>
      </c>
      <c r="S6" s="73">
        <v>0</v>
      </c>
      <c r="T6" s="73">
        <v>0</v>
      </c>
      <c r="U6" s="73">
        <v>19.955231841355854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739.53522979478907</v>
      </c>
      <c r="C10" s="71">
        <f t="shared" ref="C10:W10" si="2">SUM(C11:C15)</f>
        <v>615.42433791572796</v>
      </c>
      <c r="D10" s="71">
        <f t="shared" si="2"/>
        <v>499.56133821013287</v>
      </c>
      <c r="E10" s="71">
        <f t="shared" si="2"/>
        <v>543.53936514945042</v>
      </c>
      <c r="F10" s="71">
        <f t="shared" si="2"/>
        <v>418.71357510861992</v>
      </c>
      <c r="G10" s="71">
        <f t="shared" si="2"/>
        <v>421.34729540788993</v>
      </c>
      <c r="H10" s="71">
        <f t="shared" si="2"/>
        <v>599.87037921563137</v>
      </c>
      <c r="I10" s="71">
        <f t="shared" si="2"/>
        <v>614.7771906733542</v>
      </c>
      <c r="J10" s="71">
        <f t="shared" si="2"/>
        <v>525.24024753678646</v>
      </c>
      <c r="K10" s="71">
        <f t="shared" si="2"/>
        <v>293.8032173681629</v>
      </c>
      <c r="L10" s="71">
        <f t="shared" si="2"/>
        <v>378.96500291523023</v>
      </c>
      <c r="M10" s="71">
        <f t="shared" si="2"/>
        <v>412.31234384194317</v>
      </c>
      <c r="N10" s="71">
        <f t="shared" si="2"/>
        <v>281.30761431796606</v>
      </c>
      <c r="O10" s="71">
        <f t="shared" si="2"/>
        <v>327.39608281289105</v>
      </c>
      <c r="P10" s="71">
        <f t="shared" si="2"/>
        <v>402.16789375462798</v>
      </c>
      <c r="Q10" s="71">
        <f t="shared" si="2"/>
        <v>437.21559730937571</v>
      </c>
      <c r="R10" s="71">
        <f t="shared" si="2"/>
        <v>382.92495912390081</v>
      </c>
      <c r="S10" s="71">
        <f t="shared" si="2"/>
        <v>302.96611928034201</v>
      </c>
      <c r="T10" s="71">
        <f t="shared" si="2"/>
        <v>341.63382653124421</v>
      </c>
      <c r="U10" s="71">
        <f t="shared" si="2"/>
        <v>429.95126096313118</v>
      </c>
      <c r="V10" s="71">
        <f t="shared" si="2"/>
        <v>347.34289203802547</v>
      </c>
      <c r="W10" s="71">
        <f t="shared" si="2"/>
        <v>300.76212560503302</v>
      </c>
      <c r="DA10" s="186" t="s">
        <v>975</v>
      </c>
    </row>
    <row r="11" spans="1:105" ht="11.45" customHeight="1" x14ac:dyDescent="0.25">
      <c r="A11" s="72" t="s">
        <v>145</v>
      </c>
      <c r="B11" s="73">
        <v>97.202235628857963</v>
      </c>
      <c r="C11" s="73">
        <v>86.603436470680919</v>
      </c>
      <c r="D11" s="73">
        <v>98.613820955264657</v>
      </c>
      <c r="E11" s="73">
        <v>86.250440979492993</v>
      </c>
      <c r="F11" s="73">
        <v>60.333842644707019</v>
      </c>
      <c r="G11" s="73">
        <v>47.50212121938084</v>
      </c>
      <c r="H11" s="73">
        <v>52.506231272933938</v>
      </c>
      <c r="I11" s="73">
        <v>42.210936011775701</v>
      </c>
      <c r="J11" s="73">
        <v>50.690727715179307</v>
      </c>
      <c r="K11" s="73">
        <v>47.608185234168751</v>
      </c>
      <c r="L11" s="73">
        <v>47.265389294461926</v>
      </c>
      <c r="M11" s="73">
        <v>50.082715116221152</v>
      </c>
      <c r="N11" s="73">
        <v>42.049822853449811</v>
      </c>
      <c r="O11" s="73">
        <v>41.623553615007793</v>
      </c>
      <c r="P11" s="73">
        <v>51.197305415246369</v>
      </c>
      <c r="Q11" s="73">
        <v>115.60335062402061</v>
      </c>
      <c r="R11" s="73">
        <v>131.14378973439096</v>
      </c>
      <c r="S11" s="73">
        <v>165.60507026916409</v>
      </c>
      <c r="T11" s="73">
        <v>125.08550322943864</v>
      </c>
      <c r="U11" s="73">
        <v>81.790585667771779</v>
      </c>
      <c r="V11" s="73">
        <v>135.20927208961621</v>
      </c>
      <c r="W11" s="73">
        <v>190.69531563082839</v>
      </c>
      <c r="DA11" s="187" t="s">
        <v>976</v>
      </c>
    </row>
    <row r="12" spans="1:105" ht="11.45" customHeight="1" x14ac:dyDescent="0.25">
      <c r="A12" s="72" t="s">
        <v>146</v>
      </c>
      <c r="B12" s="73">
        <v>642.33299416593115</v>
      </c>
      <c r="C12" s="73">
        <v>528.82090144504707</v>
      </c>
      <c r="D12" s="73">
        <v>400.94751725486822</v>
      </c>
      <c r="E12" s="73">
        <v>457.28892416995745</v>
      </c>
      <c r="F12" s="73">
        <v>358.37973246391289</v>
      </c>
      <c r="G12" s="73">
        <v>373.84517418850908</v>
      </c>
      <c r="H12" s="73">
        <v>547.3641479426974</v>
      </c>
      <c r="I12" s="73">
        <v>572.56625466157845</v>
      </c>
      <c r="J12" s="73">
        <v>474.54951982160719</v>
      </c>
      <c r="K12" s="73">
        <v>246.19503213399415</v>
      </c>
      <c r="L12" s="73">
        <v>331.69961362076828</v>
      </c>
      <c r="M12" s="73">
        <v>362.22962872572202</v>
      </c>
      <c r="N12" s="73">
        <v>239.25779146451626</v>
      </c>
      <c r="O12" s="73">
        <v>285.77252919788327</v>
      </c>
      <c r="P12" s="73">
        <v>350.97058833938161</v>
      </c>
      <c r="Q12" s="73">
        <v>321.6122466853551</v>
      </c>
      <c r="R12" s="73">
        <v>251.78116938950984</v>
      </c>
      <c r="S12" s="73">
        <v>137.36104901117795</v>
      </c>
      <c r="T12" s="73">
        <v>216.54832330180557</v>
      </c>
      <c r="U12" s="73">
        <v>348.1606752953594</v>
      </c>
      <c r="V12" s="73">
        <v>212.13361994840926</v>
      </c>
      <c r="W12" s="73">
        <v>110.0668099742046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11837.203152978676</v>
      </c>
      <c r="C19" s="62">
        <f>IF(C3=0,0,C3/MBunk_act!C7*100)</f>
        <v>9162.1121407819955</v>
      </c>
      <c r="D19" s="62">
        <f>IF(D3=0,0,D3/MBunk_act!D7*100)</f>
        <v>8426.0538187750753</v>
      </c>
      <c r="E19" s="62">
        <f>IF(E3=0,0,E3/MBunk_act!E7*100)</f>
        <v>8100.9856644389347</v>
      </c>
      <c r="F19" s="62">
        <f>IF(F3=0,0,F3/MBunk_act!F7*100)</f>
        <v>6843.5063841769479</v>
      </c>
      <c r="G19" s="62">
        <f>IF(G3=0,0,G3/MBunk_act!G7*100)</f>
        <v>7359.8651409405593</v>
      </c>
      <c r="H19" s="62">
        <f>IF(H3=0,0,H3/MBunk_act!H7*100)</f>
        <v>9270.2740037341609</v>
      </c>
      <c r="I19" s="62">
        <f>IF(I3=0,0,I3/MBunk_act!I7*100)</f>
        <v>10536.063159102507</v>
      </c>
      <c r="J19" s="62">
        <f>IF(J3=0,0,J3/MBunk_act!J7*100)</f>
        <v>9315.7966981949667</v>
      </c>
      <c r="K19" s="62">
        <f>IF(K3=0,0,K3/MBunk_act!K7*100)</f>
        <v>6193.7399742284133</v>
      </c>
      <c r="L19" s="62">
        <f>IF(L3=0,0,L3/MBunk_act!L7*100)</f>
        <v>8862.2652575547691</v>
      </c>
      <c r="M19" s="62">
        <f>IF(M3=0,0,M3/MBunk_act!M7*100)</f>
        <v>8556.1726563106004</v>
      </c>
      <c r="N19" s="62">
        <f>IF(N3=0,0,N3/MBunk_act!N7*100)</f>
        <v>7243.391922904304</v>
      </c>
      <c r="O19" s="62">
        <f>IF(O3=0,0,O3/MBunk_act!O7*100)</f>
        <v>7763.9885812540197</v>
      </c>
      <c r="P19" s="62">
        <f>IF(P3=0,0,P3/MBunk_act!P7*100)</f>
        <v>9496.941554037041</v>
      </c>
      <c r="Q19" s="62">
        <f>IF(Q3=0,0,Q3/MBunk_act!Q7*100)</f>
        <v>9460.5021238770169</v>
      </c>
      <c r="R19" s="62">
        <f>IF(R3=0,0,R3/MBunk_act!R7*100)</f>
        <v>8227.9988933171553</v>
      </c>
      <c r="S19" s="62">
        <f>IF(S3=0,0,S3/MBunk_act!S7*100)</f>
        <v>6837.0919141972281</v>
      </c>
      <c r="T19" s="62">
        <f>IF(T3=0,0,T3/MBunk_act!T7*100)</f>
        <v>7554.2479195381775</v>
      </c>
      <c r="U19" s="62">
        <f>IF(U3=0,0,U3/MBunk_act!U7*100)</f>
        <v>8485.6533365120958</v>
      </c>
      <c r="V19" s="62">
        <f>IF(V3=0,0,V3/MBunk_act!V7*100)</f>
        <v>6626.8631876515756</v>
      </c>
      <c r="W19" s="62">
        <f>IF(W3=0,0,W3/MBunk_act!W7*100)</f>
        <v>5451.3211341088008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9670.7591425905084</v>
      </c>
      <c r="C20" s="63">
        <f>IF(C4=0,0,C4/MBunk_act!C8*100)</f>
        <v>7209.4254635200441</v>
      </c>
      <c r="D20" s="63">
        <f>IF(D4=0,0,D4/MBunk_act!D8*100)</f>
        <v>6770.8346732815517</v>
      </c>
      <c r="E20" s="63">
        <f>IF(E4=0,0,E4/MBunk_act!E8*100)</f>
        <v>6536.7165410669868</v>
      </c>
      <c r="F20" s="63">
        <f>IF(F4=0,0,F4/MBunk_act!F8*100)</f>
        <v>5410.4287368387058</v>
      </c>
      <c r="G20" s="63">
        <f>IF(G4=0,0,G4/MBunk_act!G8*100)</f>
        <v>5831.7798115806263</v>
      </c>
      <c r="H20" s="63">
        <f>IF(H4=0,0,H4/MBunk_act!H8*100)</f>
        <v>7420.5628340390322</v>
      </c>
      <c r="I20" s="63">
        <f>IF(I4=0,0,I4/MBunk_act!I8*100)</f>
        <v>8462.9049489941353</v>
      </c>
      <c r="J20" s="63">
        <f>IF(J4=0,0,J4/MBunk_act!J8*100)</f>
        <v>7317.2319683657488</v>
      </c>
      <c r="K20" s="63">
        <f>IF(K4=0,0,K4/MBunk_act!K8*100)</f>
        <v>4839.5592966406848</v>
      </c>
      <c r="L20" s="63">
        <f>IF(L4=0,0,L4/MBunk_act!L8*100)</f>
        <v>6801.158343025365</v>
      </c>
      <c r="M20" s="63">
        <f>IF(M4=0,0,M4/MBunk_act!M8*100)</f>
        <v>6555.5046823840148</v>
      </c>
      <c r="N20" s="63">
        <f>IF(N4=0,0,N4/MBunk_act!N8*100)</f>
        <v>5422.8474731606984</v>
      </c>
      <c r="O20" s="63">
        <f>IF(O4=0,0,O4/MBunk_act!O8*100)</f>
        <v>5775.1970300688918</v>
      </c>
      <c r="P20" s="63">
        <f>IF(P4=0,0,P4/MBunk_act!P8*100)</f>
        <v>7030.6316630331521</v>
      </c>
      <c r="Q20" s="63">
        <f>IF(Q4=0,0,Q4/MBunk_act!Q8*100)</f>
        <v>7118.8757346599787</v>
      </c>
      <c r="R20" s="63">
        <f>IF(R4=0,0,R4/MBunk_act!R8*100)</f>
        <v>6393.1658582730215</v>
      </c>
      <c r="S20" s="63">
        <f>IF(S4=0,0,S4/MBunk_act!S8*100)</f>
        <v>5319.2326731024377</v>
      </c>
      <c r="T20" s="63">
        <f>IF(T4=0,0,T4/MBunk_act!T8*100)</f>
        <v>5752.0048017912559</v>
      </c>
      <c r="U20" s="63">
        <f>IF(U4=0,0,U4/MBunk_act!U8*100)</f>
        <v>6388.006210149535</v>
      </c>
      <c r="V20" s="63">
        <f>IF(V4=0,0,V4/MBunk_act!V8*100)</f>
        <v>4604.2508697816838</v>
      </c>
      <c r="W20" s="63">
        <f>IF(W4=0,0,W4/MBunk_act!W8*100)</f>
        <v>3758.0931395988705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14231.785381329002</v>
      </c>
      <c r="C21" s="64">
        <f>IF(C10=0,0,C10/MBunk_act!C9*100)</f>
        <v>11499.615316562844</v>
      </c>
      <c r="D21" s="64">
        <f>IF(D10=0,0,D10/MBunk_act!D9*100)</f>
        <v>10406.868777688513</v>
      </c>
      <c r="E21" s="64">
        <f>IF(E10=0,0,E10/MBunk_act!E9*100)</f>
        <v>9777.4863759102045</v>
      </c>
      <c r="F21" s="64">
        <f>IF(F10=0,0,F10/MBunk_act!F9*100)</f>
        <v>8715.7239323817448</v>
      </c>
      <c r="G21" s="64">
        <f>IF(G10=0,0,G10/MBunk_act!G9*100)</f>
        <v>9409.7952590471705</v>
      </c>
      <c r="H21" s="64">
        <f>IF(H10=0,0,H10/MBunk_act!H9*100)</f>
        <v>11205.442748280926</v>
      </c>
      <c r="I21" s="64">
        <f>IF(I10=0,0,I10/MBunk_act!I9*100)</f>
        <v>12820.986294786311</v>
      </c>
      <c r="J21" s="64">
        <f>IF(J10=0,0,J10/MBunk_act!J9*100)</f>
        <v>11682.405437747168</v>
      </c>
      <c r="K21" s="64">
        <f>IF(K10=0,0,K10/MBunk_act!K9*100)</f>
        <v>7839.9581953927527</v>
      </c>
      <c r="L21" s="64">
        <f>IF(L10=0,0,L10/MBunk_act!L9*100)</f>
        <v>11812.346598002134</v>
      </c>
      <c r="M21" s="64">
        <f>IF(M10=0,0,M10/MBunk_act!M9*100)</f>
        <v>10866.461533322858</v>
      </c>
      <c r="N21" s="64">
        <f>IF(N10=0,0,N10/MBunk_act!N9*100)</f>
        <v>10097.255304970353</v>
      </c>
      <c r="O21" s="64">
        <f>IF(O10=0,0,O10/MBunk_act!O9*100)</f>
        <v>11408.6142275168</v>
      </c>
      <c r="P21" s="64">
        <f>IF(P10=0,0,P10/MBunk_act!P9*100)</f>
        <v>13468.011714108014</v>
      </c>
      <c r="Q21" s="64">
        <f>IF(Q10=0,0,Q10/MBunk_act!Q9*100)</f>
        <v>12606.877749636562</v>
      </c>
      <c r="R21" s="64">
        <f>IF(R10=0,0,R10/MBunk_act!R9*100)</f>
        <v>10495.313023724901</v>
      </c>
      <c r="S21" s="64">
        <f>IF(S10=0,0,S10/MBunk_act!S9*100)</f>
        <v>8746.4658530776433</v>
      </c>
      <c r="T21" s="64">
        <f>IF(T10=0,0,T10/MBunk_act!T9*100)</f>
        <v>9831.0760892318995</v>
      </c>
      <c r="U21" s="64">
        <f>IF(U10=0,0,U10/MBunk_act!U9*100)</f>
        <v>11120.621753655249</v>
      </c>
      <c r="V21" s="64">
        <f>IF(V10=0,0,V10/MBunk_act!V9*100)</f>
        <v>9010.7457199839646</v>
      </c>
      <c r="W21" s="64">
        <f>IF(W10=0,0,W10/MBunk_act!W9*100)</f>
        <v>7386.8198316151247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15.932090814361237</v>
      </c>
      <c r="C23" s="62">
        <f>IF(C3=0,0,C3/MBunk_act!C3*1000)</f>
        <v>12.932544961132129</v>
      </c>
      <c r="D23" s="62">
        <f>IF(D3=0,0,D3/MBunk_act!D3*1000)</f>
        <v>11.052435522354813</v>
      </c>
      <c r="E23" s="62">
        <f>IF(E3=0,0,E3/MBunk_act!E3*1000)</f>
        <v>9.6247800470756992</v>
      </c>
      <c r="F23" s="62">
        <f>IF(F3=0,0,F3/MBunk_act!F3*1000)</f>
        <v>8.9846506840010747</v>
      </c>
      <c r="G23" s="62">
        <f>IF(G3=0,0,G3/MBunk_act!G3*1000)</f>
        <v>9.5804962505382818</v>
      </c>
      <c r="H23" s="62">
        <f>IF(H3=0,0,H3/MBunk_act!H3*1000)</f>
        <v>10.559771788468291</v>
      </c>
      <c r="I23" s="62">
        <f>IF(I3=0,0,I3/MBunk_act!I3*1000)</f>
        <v>12.141512361129319</v>
      </c>
      <c r="J23" s="62">
        <f>IF(J3=0,0,J3/MBunk_act!J3*1000)</f>
        <v>10.563070462617464</v>
      </c>
      <c r="K23" s="62">
        <f>IF(K3=0,0,K3/MBunk_act!K3*1000)</f>
        <v>6.8458139203441881</v>
      </c>
      <c r="L23" s="62">
        <f>IF(L3=0,0,L3/MBunk_act!L3*1000)</f>
        <v>10.372477162930144</v>
      </c>
      <c r="M23" s="62">
        <f>IF(M3=0,0,M3/MBunk_act!M3*1000)</f>
        <v>8.888295086116246</v>
      </c>
      <c r="N23" s="62">
        <f>IF(N3=0,0,N3/MBunk_act!N3*1000)</f>
        <v>8.3198851680504973</v>
      </c>
      <c r="O23" s="62">
        <f>IF(O3=0,0,O3/MBunk_act!O3*1000)</f>
        <v>9.3719710523396085</v>
      </c>
      <c r="P23" s="62">
        <f>IF(P3=0,0,P3/MBunk_act!P3*1000)</f>
        <v>10.821462179091979</v>
      </c>
      <c r="Q23" s="62">
        <f>IF(Q3=0,0,Q3/MBunk_act!Q3*1000)</f>
        <v>8.5755360858163705</v>
      </c>
      <c r="R23" s="62">
        <f>IF(R3=0,0,R3/MBunk_act!R3*1000)</f>
        <v>7.460993840636009</v>
      </c>
      <c r="S23" s="62">
        <f>IF(S3=0,0,S3/MBunk_act!S3*1000)</f>
        <v>6.1905262121264082</v>
      </c>
      <c r="T23" s="62">
        <f>IF(T3=0,0,T3/MBunk_act!T3*1000)</f>
        <v>6.7255329341444909</v>
      </c>
      <c r="U23" s="62">
        <f>IF(U3=0,0,U3/MBunk_act!U3*1000)</f>
        <v>7.4414443448963272</v>
      </c>
      <c r="V23" s="62">
        <f>IF(V3=0,0,V3/MBunk_act!V3*1000)</f>
        <v>5.5719160706888653</v>
      </c>
      <c r="W23" s="62">
        <f>IF(W3=0,0,W3/MBunk_act!W3*1000)</f>
        <v>4.5920522327252362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25.396845586680808</v>
      </c>
      <c r="C24" s="63">
        <f>IF(C4=0,0,C4/MBunk_act!C4*1000)</f>
        <v>21.062670438425524</v>
      </c>
      <c r="D24" s="63">
        <f>IF(D4=0,0,D4/MBunk_act!D4*1000)</f>
        <v>17.359771707475932</v>
      </c>
      <c r="E24" s="63">
        <f>IF(E4=0,0,E4/MBunk_act!E4*1000)</f>
        <v>16.66568379989695</v>
      </c>
      <c r="F24" s="63">
        <f>IF(F4=0,0,F4/MBunk_act!F4*1000)</f>
        <v>13.832859914547406</v>
      </c>
      <c r="G24" s="63">
        <f>IF(G4=0,0,G4/MBunk_act!G4*1000)</f>
        <v>14.504171517196152</v>
      </c>
      <c r="H24" s="63">
        <f>IF(H4=0,0,H4/MBunk_act!H4*1000)</f>
        <v>18.155848500175079</v>
      </c>
      <c r="I24" s="63">
        <f>IF(I4=0,0,I4/MBunk_act!I4*1000)</f>
        <v>20.248545197157959</v>
      </c>
      <c r="J24" s="63">
        <f>IF(J4=0,0,J4/MBunk_act!J4*1000)</f>
        <v>17.639423553251024</v>
      </c>
      <c r="K24" s="63">
        <f>IF(K4=0,0,K4/MBunk_act!K4*1000)</f>
        <v>11.39893735848392</v>
      </c>
      <c r="L24" s="63">
        <f>IF(L4=0,0,L4/MBunk_act!L4*1000)</f>
        <v>16.158472257995573</v>
      </c>
      <c r="M24" s="63">
        <f>IF(M4=0,0,M4/MBunk_act!M4*1000)</f>
        <v>15.446161231522314</v>
      </c>
      <c r="N24" s="63">
        <f>IF(N4=0,0,N4/MBunk_act!N4*1000)</f>
        <v>12.604754702109812</v>
      </c>
      <c r="O24" s="63">
        <f>IF(O4=0,0,O4/MBunk_act!O4*1000)</f>
        <v>13.235507842135801</v>
      </c>
      <c r="P24" s="63">
        <f>IF(P4=0,0,P4/MBunk_act!P4*1000)</f>
        <v>16.585262582012756</v>
      </c>
      <c r="Q24" s="63">
        <f>IF(Q4=0,0,Q4/MBunk_act!Q4*1000)</f>
        <v>15.11713940870081</v>
      </c>
      <c r="R24" s="63">
        <f>IF(R4=0,0,R4/MBunk_act!R4*1000)</f>
        <v>12.927630984076393</v>
      </c>
      <c r="S24" s="63">
        <f>IF(S4=0,0,S4/MBunk_act!S4*1000)</f>
        <v>10.611334726187463</v>
      </c>
      <c r="T24" s="63">
        <f>IF(T4=0,0,T4/MBunk_act!T4*1000)</f>
        <v>12.044130288538906</v>
      </c>
      <c r="U24" s="63">
        <f>IF(U4=0,0,U4/MBunk_act!U4*1000)</f>
        <v>13.606495503005183</v>
      </c>
      <c r="V24" s="63">
        <f>IF(V4=0,0,V4/MBunk_act!V4*1000)</f>
        <v>9.4072461296236938</v>
      </c>
      <c r="W24" s="63">
        <f>IF(W4=0,0,W4/MBunk_act!W4*1000)</f>
        <v>7.9240436079500238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12.447854784534416</v>
      </c>
      <c r="C25" s="64">
        <f>IF(C10=0,0,C10/MBunk_act!C5*1000)</f>
        <v>10.027704250536459</v>
      </c>
      <c r="D25" s="64">
        <f>IF(D10=0,0,D10/MBunk_act!D5*1000)</f>
        <v>8.6152858602714808</v>
      </c>
      <c r="E25" s="64">
        <f>IF(E10=0,0,E10/MBunk_act!E5*1000)</f>
        <v>7.3882625807014701</v>
      </c>
      <c r="F25" s="64">
        <f>IF(F10=0,0,F10/MBunk_act!F5*1000)</f>
        <v>6.9960874356872003</v>
      </c>
      <c r="G25" s="64">
        <f>IF(G10=0,0,G10/MBunk_act!G5*1000)</f>
        <v>7.4717239536095139</v>
      </c>
      <c r="H25" s="64">
        <f>IF(H10=0,0,H10/MBunk_act!H5*1000)</f>
        <v>8.1867273693739833</v>
      </c>
      <c r="I25" s="64">
        <f>IF(I10=0,0,I10/MBunk_act!I5*1000)</f>
        <v>9.402721570989824</v>
      </c>
      <c r="J25" s="64">
        <f>IF(J10=0,0,J10/MBunk_act!J5*1000)</f>
        <v>8.1408328738709272</v>
      </c>
      <c r="K25" s="64">
        <f>IF(K10=0,0,K10/MBunk_act!K5*1000)</f>
        <v>5.267055129871677</v>
      </c>
      <c r="L25" s="64">
        <f>IF(L10=0,0,L10/MBunk_act!L5*1000)</f>
        <v>8.0090637762665722</v>
      </c>
      <c r="M25" s="64">
        <f>IF(M10=0,0,M10/MBunk_act!M5*1000)</f>
        <v>6.8594801273332857</v>
      </c>
      <c r="N25" s="64">
        <f>IF(N10=0,0,N10/MBunk_act!N5*1000)</f>
        <v>6.4686128478176581</v>
      </c>
      <c r="O25" s="64">
        <f>IF(O10=0,0,O10/MBunk_act!O5*1000)</f>
        <v>7.3748832366993105</v>
      </c>
      <c r="P25" s="64">
        <f>IF(P10=0,0,P10/MBunk_act!P5*1000)</f>
        <v>8.3750712076526028</v>
      </c>
      <c r="Q25" s="64">
        <f>IF(Q10=0,0,Q10/MBunk_act!Q5*1000)</f>
        <v>6.4558745988099595</v>
      </c>
      <c r="R25" s="64">
        <f>IF(R10=0,0,R10/MBunk_act!R5*1000)</f>
        <v>5.6595556826910238</v>
      </c>
      <c r="S25" s="64">
        <f>IF(S10=0,0,S10/MBunk_act!S5*1000)</f>
        <v>4.6943492559992119</v>
      </c>
      <c r="T25" s="64">
        <f>IF(T10=0,0,T10/MBunk_act!T5*1000)</f>
        <v>5.0704974781534808</v>
      </c>
      <c r="U25" s="64">
        <f>IF(U10=0,0,U10/MBunk_act!U5*1000)</f>
        <v>5.6079684423779739</v>
      </c>
      <c r="V25" s="64">
        <f>IF(V10=0,0,V10/MBunk_act!V5*1000)</f>
        <v>4.4735177702684394</v>
      </c>
      <c r="W25" s="64">
        <f>IF(W10=0,0,W10/MBunk_act!W5*1000)</f>
        <v>3.6897677001160623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0.42892232377966183</v>
      </c>
      <c r="C28" s="77">
        <f t="shared" si="3"/>
        <v>0.42872691734657842</v>
      </c>
      <c r="D28" s="77">
        <f t="shared" si="3"/>
        <v>0.43775784712805399</v>
      </c>
      <c r="E28" s="77">
        <f t="shared" si="3"/>
        <v>0.41742393061465577</v>
      </c>
      <c r="F28" s="77">
        <f t="shared" si="3"/>
        <v>0.44781544028041143</v>
      </c>
      <c r="G28" s="77">
        <f t="shared" si="3"/>
        <v>0.45397099568563171</v>
      </c>
      <c r="H28" s="77">
        <f t="shared" si="3"/>
        <v>0.40927103719824298</v>
      </c>
      <c r="I28" s="77">
        <f t="shared" si="3"/>
        <v>0.42113114443734412</v>
      </c>
      <c r="J28" s="77">
        <f t="shared" si="3"/>
        <v>0.42584522108979045</v>
      </c>
      <c r="K28" s="77">
        <f t="shared" si="3"/>
        <v>0.42870767001818161</v>
      </c>
      <c r="L28" s="77">
        <f t="shared" si="3"/>
        <v>0.45178459037002455</v>
      </c>
      <c r="M28" s="77">
        <f t="shared" si="3"/>
        <v>0.41060024434441106</v>
      </c>
      <c r="N28" s="77">
        <f t="shared" si="3"/>
        <v>0.45707975188655953</v>
      </c>
      <c r="O28" s="77">
        <f t="shared" si="3"/>
        <v>0.48124134188455026</v>
      </c>
      <c r="P28" s="77">
        <f t="shared" si="3"/>
        <v>0.4566768436640592</v>
      </c>
      <c r="Q28" s="77">
        <f t="shared" si="3"/>
        <v>0.43141330159256513</v>
      </c>
      <c r="R28" s="77">
        <f t="shared" si="3"/>
        <v>0.42945949079310158</v>
      </c>
      <c r="S28" s="77">
        <f t="shared" si="3"/>
        <v>0.43343592645345469</v>
      </c>
      <c r="T28" s="77">
        <f t="shared" si="3"/>
        <v>0.42500786503082172</v>
      </c>
      <c r="U28" s="77">
        <f t="shared" si="3"/>
        <v>0.41913529354351292</v>
      </c>
      <c r="V28" s="77">
        <f t="shared" si="3"/>
        <v>0.37587423627331457</v>
      </c>
      <c r="W28" s="77">
        <f t="shared" si="3"/>
        <v>0.36770911590309141</v>
      </c>
      <c r="DA28" s="184"/>
    </row>
    <row r="29" spans="1:105" ht="11.45" customHeight="1" x14ac:dyDescent="0.25">
      <c r="A29" s="57" t="s">
        <v>171</v>
      </c>
      <c r="B29" s="78">
        <f>IF(B10=0,0,B10/B$3)</f>
        <v>0.57107767622033834</v>
      </c>
      <c r="C29" s="78">
        <f t="shared" ref="C29:W29" si="4">IF(C10=0,0,C10/C$3)</f>
        <v>0.57127308265342158</v>
      </c>
      <c r="D29" s="78">
        <f t="shared" si="4"/>
        <v>0.56224215287194601</v>
      </c>
      <c r="E29" s="78">
        <f t="shared" si="4"/>
        <v>0.58257606938534412</v>
      </c>
      <c r="F29" s="78">
        <f t="shared" si="4"/>
        <v>0.55218455971958857</v>
      </c>
      <c r="G29" s="78">
        <f t="shared" si="4"/>
        <v>0.5460290043143684</v>
      </c>
      <c r="H29" s="78">
        <f t="shared" si="4"/>
        <v>0.59072896280175713</v>
      </c>
      <c r="I29" s="78">
        <f t="shared" si="4"/>
        <v>0.57886885556265588</v>
      </c>
      <c r="J29" s="78">
        <f t="shared" si="4"/>
        <v>0.57415477891020961</v>
      </c>
      <c r="K29" s="78">
        <f t="shared" si="4"/>
        <v>0.57129232998181834</v>
      </c>
      <c r="L29" s="78">
        <f t="shared" si="4"/>
        <v>0.5482154096299755</v>
      </c>
      <c r="M29" s="78">
        <f t="shared" si="4"/>
        <v>0.589399755655589</v>
      </c>
      <c r="N29" s="78">
        <f t="shared" si="4"/>
        <v>0.54292024811344042</v>
      </c>
      <c r="O29" s="78">
        <f t="shared" si="4"/>
        <v>0.51875865811544974</v>
      </c>
      <c r="P29" s="78">
        <f t="shared" si="4"/>
        <v>0.54332315633594075</v>
      </c>
      <c r="Q29" s="78">
        <f t="shared" si="4"/>
        <v>0.56858669840743492</v>
      </c>
      <c r="R29" s="78">
        <f t="shared" si="4"/>
        <v>0.57054050920689836</v>
      </c>
      <c r="S29" s="78">
        <f t="shared" si="4"/>
        <v>0.56656407354654525</v>
      </c>
      <c r="T29" s="78">
        <f t="shared" si="4"/>
        <v>0.57499213496917834</v>
      </c>
      <c r="U29" s="78">
        <f t="shared" si="4"/>
        <v>0.58086470645648702</v>
      </c>
      <c r="V29" s="78">
        <f t="shared" si="4"/>
        <v>0.62412576372668549</v>
      </c>
      <c r="W29" s="78">
        <f t="shared" si="4"/>
        <v>0.63229088409690848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4126.9042983600002</v>
      </c>
      <c r="C3" s="62">
        <f t="shared" ref="C3:W3" si="1">SUM(C4:C5)</f>
        <v>3427.6419158400004</v>
      </c>
      <c r="D3" s="62">
        <f t="shared" si="1"/>
        <v>2814.3998672399998</v>
      </c>
      <c r="E3" s="62">
        <f t="shared" si="1"/>
        <v>2961.9427564799998</v>
      </c>
      <c r="F3" s="62">
        <f t="shared" si="1"/>
        <v>2409.5980897199997</v>
      </c>
      <c r="G3" s="62">
        <f t="shared" si="1"/>
        <v>2461.94874936</v>
      </c>
      <c r="H3" s="62">
        <f t="shared" si="1"/>
        <v>3254.4240858000003</v>
      </c>
      <c r="I3" s="62">
        <f t="shared" si="1"/>
        <v>3411.1044079200001</v>
      </c>
      <c r="J3" s="62">
        <f t="shared" si="1"/>
        <v>2927.1021055200008</v>
      </c>
      <c r="K3" s="62">
        <f t="shared" si="1"/>
        <v>1631.8358218799999</v>
      </c>
      <c r="L3" s="62">
        <f t="shared" si="1"/>
        <v>2201.8703821200002</v>
      </c>
      <c r="M3" s="62">
        <f t="shared" si="1"/>
        <v>2232.2119561199997</v>
      </c>
      <c r="N3" s="62">
        <f t="shared" si="1"/>
        <v>1644.3436928400001</v>
      </c>
      <c r="O3" s="62">
        <f t="shared" si="1"/>
        <v>2007.7759584000003</v>
      </c>
      <c r="P3" s="62">
        <f t="shared" si="1"/>
        <v>2356.20457128</v>
      </c>
      <c r="Q3" s="62">
        <f t="shared" si="1"/>
        <v>2430.12655872</v>
      </c>
      <c r="R3" s="62">
        <f t="shared" si="1"/>
        <v>2116.59969348</v>
      </c>
      <c r="S3" s="62">
        <f t="shared" si="1"/>
        <v>1677.5625614400001</v>
      </c>
      <c r="T3" s="62">
        <f t="shared" si="1"/>
        <v>1872.8212456799995</v>
      </c>
      <c r="U3" s="62">
        <f t="shared" si="1"/>
        <v>2346.8330091600001</v>
      </c>
      <c r="V3" s="62">
        <f t="shared" si="1"/>
        <v>1755.4771148400005</v>
      </c>
      <c r="W3" s="62">
        <f t="shared" si="1"/>
        <v>1490.5241481599996</v>
      </c>
      <c r="DA3" s="172" t="s">
        <v>985</v>
      </c>
    </row>
    <row r="4" spans="1:105" ht="11.45" customHeight="1" x14ac:dyDescent="0.25">
      <c r="A4" s="55" t="s">
        <v>170</v>
      </c>
      <c r="B4" s="63">
        <v>1744.3630709975846</v>
      </c>
      <c r="C4" s="63">
        <v>1445.8565305220143</v>
      </c>
      <c r="D4" s="63">
        <v>1209.6438668512246</v>
      </c>
      <c r="E4" s="63">
        <v>1212.7953672769199</v>
      </c>
      <c r="F4" s="63">
        <v>1061.3541740042217</v>
      </c>
      <c r="G4" s="63">
        <v>1103.360765971529</v>
      </c>
      <c r="H4" s="63">
        <v>1318.1216390453769</v>
      </c>
      <c r="I4" s="63">
        <v>1424.9329672358438</v>
      </c>
      <c r="J4" s="63">
        <v>1232.2732062485213</v>
      </c>
      <c r="K4" s="63">
        <v>686.63849329090976</v>
      </c>
      <c r="L4" s="63">
        <v>980.60650463093896</v>
      </c>
      <c r="M4" s="63">
        <v>903.27529081436705</v>
      </c>
      <c r="N4" s="63">
        <v>738.85801885415435</v>
      </c>
      <c r="O4" s="63">
        <v>952.84317605821002</v>
      </c>
      <c r="P4" s="63">
        <v>1060.2967444995263</v>
      </c>
      <c r="Q4" s="63">
        <v>1029.6730658722463</v>
      </c>
      <c r="R4" s="63">
        <v>894.23119818477824</v>
      </c>
      <c r="S4" s="63">
        <v>719.06866138162434</v>
      </c>
      <c r="T4" s="63">
        <v>783.42306145352859</v>
      </c>
      <c r="U4" s="63">
        <v>965.23066441031403</v>
      </c>
      <c r="V4" s="63">
        <v>648.97697329485959</v>
      </c>
      <c r="W4" s="63">
        <v>542.63905167498388</v>
      </c>
      <c r="DA4" s="181" t="s">
        <v>986</v>
      </c>
    </row>
    <row r="5" spans="1:105" ht="11.45" customHeight="1" x14ac:dyDescent="0.25">
      <c r="A5" s="57" t="s">
        <v>171</v>
      </c>
      <c r="B5" s="64">
        <v>2382.5412273624156</v>
      </c>
      <c r="C5" s="64">
        <v>1981.7853853179863</v>
      </c>
      <c r="D5" s="64">
        <v>1604.7560003887752</v>
      </c>
      <c r="E5" s="64">
        <v>1749.1473892030801</v>
      </c>
      <c r="F5" s="64">
        <v>1348.243915715778</v>
      </c>
      <c r="G5" s="64">
        <v>1358.5879833884712</v>
      </c>
      <c r="H5" s="64">
        <v>1936.3024467546234</v>
      </c>
      <c r="I5" s="64">
        <v>1986.1714406841563</v>
      </c>
      <c r="J5" s="64">
        <v>1694.8288992714793</v>
      </c>
      <c r="K5" s="64">
        <v>945.19732858909026</v>
      </c>
      <c r="L5" s="64">
        <v>1221.2638774890613</v>
      </c>
      <c r="M5" s="64">
        <v>1328.9366653056327</v>
      </c>
      <c r="N5" s="64">
        <v>905.48567398584578</v>
      </c>
      <c r="O5" s="64">
        <v>1054.9327823417902</v>
      </c>
      <c r="P5" s="64">
        <v>1295.9078267804737</v>
      </c>
      <c r="Q5" s="64">
        <v>1400.4534928477538</v>
      </c>
      <c r="R5" s="64">
        <v>1222.3684952952219</v>
      </c>
      <c r="S5" s="64">
        <v>958.49390005837586</v>
      </c>
      <c r="T5" s="64">
        <v>1089.3981842264709</v>
      </c>
      <c r="U5" s="64">
        <v>1381.6023447496859</v>
      </c>
      <c r="V5" s="64">
        <v>1106.5001415451409</v>
      </c>
      <c r="W5" s="64">
        <v>947.88509648501565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3.1868433331365833</v>
      </c>
      <c r="C9" s="79">
        <f>IF(C3=0,0,C3/MBunk_ene!C3)</f>
        <v>3.1817389122529769</v>
      </c>
      <c r="D9" s="79">
        <f>IF(D3=0,0,D3/MBunk_ene!D3)</f>
        <v>3.1675274273004987</v>
      </c>
      <c r="E9" s="79">
        <f>IF(E3=0,0,E3/MBunk_ene!E3)</f>
        <v>3.1746678887554989</v>
      </c>
      <c r="F9" s="79">
        <f>IF(F3=0,0,F3/MBunk_ene!F3)</f>
        <v>3.1776921966956504</v>
      </c>
      <c r="G9" s="79">
        <f>IF(G3=0,0,G3/MBunk_ene!G3)</f>
        <v>3.1904688577262257</v>
      </c>
      <c r="H9" s="79">
        <f>IF(H3=0,0,H3/MBunk_ene!H3)</f>
        <v>3.2048299621585894</v>
      </c>
      <c r="I9" s="79">
        <f>IF(I3=0,0,I3/MBunk_ene!I3)</f>
        <v>3.2118662415803976</v>
      </c>
      <c r="J9" s="79">
        <f>IF(J3=0,0,J3/MBunk_ene!J3)</f>
        <v>3.1996970341172104</v>
      </c>
      <c r="K9" s="79">
        <f>IF(K3=0,0,K3/MBunk_ene!K3)</f>
        <v>3.1730601767421001</v>
      </c>
      <c r="L9" s="79">
        <f>IF(L3=0,0,L3/MBunk_ene!L3)</f>
        <v>3.1852526333573863</v>
      </c>
      <c r="M9" s="79">
        <f>IF(M3=0,0,M3/MBunk_ene!M3)</f>
        <v>3.1909429857209477</v>
      </c>
      <c r="N9" s="79">
        <f>IF(N3=0,0,N3/MBunk_ene!N3)</f>
        <v>3.1735631751914766</v>
      </c>
      <c r="O9" s="79">
        <f>IF(O3=0,0,O3/MBunk_ene!O3)</f>
        <v>3.1813183377984955</v>
      </c>
      <c r="P9" s="79">
        <f>IF(P3=0,0,P3/MBunk_ene!P3)</f>
        <v>3.183199167614533</v>
      </c>
      <c r="Q9" s="79">
        <f>IF(Q3=0,0,Q3/MBunk_ene!Q3)</f>
        <v>3.1603118581268332</v>
      </c>
      <c r="R9" s="79">
        <f>IF(R3=0,0,R3/MBunk_ene!R3)</f>
        <v>3.1536358185377682</v>
      </c>
      <c r="S9" s="79">
        <f>IF(S3=0,0,S3/MBunk_ene!S3)</f>
        <v>3.1371385047816234</v>
      </c>
      <c r="T9" s="79">
        <f>IF(T3=0,0,T3/MBunk_ene!T3)</f>
        <v>3.1520809792255586</v>
      </c>
      <c r="U9" s="79">
        <f>IF(U3=0,0,U3/MBunk_ene!U3)</f>
        <v>3.1705744132821905</v>
      </c>
      <c r="V9" s="79">
        <f>IF(V3=0,0,V3/MBunk_ene!V3)</f>
        <v>3.1543426398496397</v>
      </c>
      <c r="W9" s="79">
        <f>IF(W3=0,0,W3/MBunk_ene!W3)</f>
        <v>3.1335223127313427</v>
      </c>
      <c r="DA9" s="172"/>
    </row>
    <row r="10" spans="1:105" ht="11.45" customHeight="1" x14ac:dyDescent="0.25">
      <c r="A10" s="55" t="s">
        <v>170</v>
      </c>
      <c r="B10" s="80">
        <f>IF(B4=0,0,B4/MBunk_ene!B4)</f>
        <v>3.1404692813423614</v>
      </c>
      <c r="C10" s="80">
        <f>IF(C4=0,0,C4/MBunk_ene!C4)</f>
        <v>3.1304988164030414</v>
      </c>
      <c r="D10" s="80">
        <f>IF(D4=0,0,D4/MBunk_ene!D4)</f>
        <v>3.1099841123785676</v>
      </c>
      <c r="E10" s="80">
        <f>IF(E4=0,0,E4/MBunk_ene!E4)</f>
        <v>3.1140947643820422</v>
      </c>
      <c r="F10" s="80">
        <f>IF(F4=0,0,F4/MBunk_ene!F4)</f>
        <v>3.1255646463922289</v>
      </c>
      <c r="G10" s="80">
        <f>IF(G4=0,0,G4/MBunk_ene!G4)</f>
        <v>3.1496691180480174</v>
      </c>
      <c r="H10" s="80">
        <f>IF(H4=0,0,H4/MBunk_ene!H4)</f>
        <v>3.1715774722318666</v>
      </c>
      <c r="I10" s="80">
        <f>IF(I4=0,0,I4/MBunk_ene!I4)</f>
        <v>3.1859540809738855</v>
      </c>
      <c r="J10" s="80">
        <f>IF(J4=0,0,J4/MBunk_ene!J4)</f>
        <v>3.1631968123993954</v>
      </c>
      <c r="K10" s="80">
        <f>IF(K4=0,0,K4/MBunk_ene!K4)</f>
        <v>3.1143594710670497</v>
      </c>
      <c r="L10" s="80">
        <f>IF(L4=0,0,L4/MBunk_ene!L4)</f>
        <v>3.1398976347958705</v>
      </c>
      <c r="M10" s="80">
        <f>IF(M4=0,0,M4/MBunk_ene!M4)</f>
        <v>3.1447385264338941</v>
      </c>
      <c r="N10" s="80">
        <f>IF(N4=0,0,N4/MBunk_ene!N4)</f>
        <v>3.1197770532324571</v>
      </c>
      <c r="O10" s="80">
        <f>IF(O4=0,0,O4/MBunk_ene!O4)</f>
        <v>3.1372590314998363</v>
      </c>
      <c r="P10" s="80">
        <f>IF(P4=0,0,P4/MBunk_ene!P4)</f>
        <v>3.136673071874422</v>
      </c>
      <c r="Q10" s="80">
        <f>IF(Q4=0,0,Q4/MBunk_ene!Q4)</f>
        <v>3.1038939193559036</v>
      </c>
      <c r="R10" s="80">
        <f>IF(R4=0,0,R4/MBunk_ene!R4)</f>
        <v>3.1024188000000001</v>
      </c>
      <c r="S10" s="80">
        <f>IF(S4=0,0,S4/MBunk_ene!S4)</f>
        <v>3.1024188000000001</v>
      </c>
      <c r="T10" s="80">
        <f>IF(T4=0,0,T4/MBunk_ene!T4)</f>
        <v>3.1024188000000001</v>
      </c>
      <c r="U10" s="80">
        <f>IF(U4=0,0,U4/MBunk_ene!U4)</f>
        <v>3.1112337446718614</v>
      </c>
      <c r="V10" s="80">
        <f>IF(V4=0,0,V4/MBunk_ene!V4)</f>
        <v>3.1024188000000006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3.2216737369273649</v>
      </c>
      <c r="C11" s="81">
        <f>IF(C5=0,0,C5/MBunk_ene!C10)</f>
        <v>3.220193390514495</v>
      </c>
      <c r="D11" s="81">
        <f>IF(D5=0,0,D5/MBunk_ene!D10)</f>
        <v>3.2123302538551513</v>
      </c>
      <c r="E11" s="81">
        <f>IF(E5=0,0,E5/MBunk_ene!E10)</f>
        <v>3.2180693825591424</v>
      </c>
      <c r="F11" s="81">
        <f>IF(F5=0,0,F5/MBunk_ene!F10)</f>
        <v>3.2199670511423601</v>
      </c>
      <c r="G11" s="81">
        <f>IF(G5=0,0,G5/MBunk_ene!G10)</f>
        <v>3.2243899467143251</v>
      </c>
      <c r="H11" s="81">
        <f>IF(H5=0,0,H5/MBunk_ene!H10)</f>
        <v>3.2278680759107687</v>
      </c>
      <c r="I11" s="81">
        <f>IF(I5=0,0,I5/MBunk_ene!I10)</f>
        <v>3.230717519803783</v>
      </c>
      <c r="J11" s="81">
        <f>IF(J5=0,0,J5/MBunk_ene!J10)</f>
        <v>3.2267689066473868</v>
      </c>
      <c r="K11" s="81">
        <f>IF(K5=0,0,K5/MBunk_ene!K10)</f>
        <v>3.2171102040883017</v>
      </c>
      <c r="L11" s="81">
        <f>IF(L5=0,0,L5/MBunk_ene!L10)</f>
        <v>3.2226297101166432</v>
      </c>
      <c r="M11" s="81">
        <f>IF(M5=0,0,M5/MBunk_ene!M10)</f>
        <v>3.2231309228400655</v>
      </c>
      <c r="N11" s="81">
        <f>IF(N5=0,0,N5/MBunk_ene!N10)</f>
        <v>3.218845235246147</v>
      </c>
      <c r="O11" s="81">
        <f>IF(O5=0,0,O5/MBunk_ene!O10)</f>
        <v>3.2221912164559741</v>
      </c>
      <c r="P11" s="81">
        <f>IF(P5=0,0,P5/MBunk_ene!P10)</f>
        <v>3.2223055268831016</v>
      </c>
      <c r="Q11" s="81">
        <f>IF(Q5=0,0,Q5/MBunk_ene!Q10)</f>
        <v>3.2031187850253811</v>
      </c>
      <c r="R11" s="81">
        <f>IF(R5=0,0,R5/MBunk_ene!R10)</f>
        <v>3.1921880936982938</v>
      </c>
      <c r="S11" s="81">
        <f>IF(S5=0,0,S5/MBunk_ene!S10)</f>
        <v>3.163699962012775</v>
      </c>
      <c r="T11" s="81">
        <f>IF(T5=0,0,T5/MBunk_ene!T10)</f>
        <v>3.1887889887474001</v>
      </c>
      <c r="U11" s="81">
        <f>IF(U5=0,0,U5/MBunk_ene!U10)</f>
        <v>3.213392935875492</v>
      </c>
      <c r="V11" s="81">
        <f>IF(V5=0,0,V5/MBunk_ene!V10)</f>
        <v>3.1856133144190162</v>
      </c>
      <c r="W11" s="81">
        <f>IF(W5=0,0,W5/MBunk_ene!W10)</f>
        <v>3.1516105778883801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37723.311951053438</v>
      </c>
      <c r="C13" s="62">
        <f>IF(C3=0,0,C3/MBunk_act!C7*100)</f>
        <v>29151.448716751504</v>
      </c>
      <c r="D13" s="62">
        <f>IF(D3=0,0,D3/MBunk_act!D7*100)</f>
        <v>26689.756574880157</v>
      </c>
      <c r="E13" s="62">
        <f>IF(E3=0,0,E3/MBunk_act!E7*100)</f>
        <v>25717.939056162912</v>
      </c>
      <c r="F13" s="62">
        <f>IF(F3=0,0,F3/MBunk_act!F7*100)</f>
        <v>21746.556835035954</v>
      </c>
      <c r="G13" s="62">
        <f>IF(G3=0,0,G3/MBunk_act!G7*100)</f>
        <v>23481.420529235693</v>
      </c>
      <c r="H13" s="62">
        <f>IF(H3=0,0,H3/MBunk_act!H7*100)</f>
        <v>29709.651884587111</v>
      </c>
      <c r="I13" s="62">
        <f>IF(I3=0,0,I3/MBunk_act!I7*100)</f>
        <v>33840.425579880255</v>
      </c>
      <c r="J13" s="62">
        <f>IF(J3=0,0,J3/MBunk_act!J7*100)</f>
        <v>29807.727065653336</v>
      </c>
      <c r="K13" s="62">
        <f>IF(K3=0,0,K3/MBunk_act!K7*100)</f>
        <v>19653.109657319823</v>
      </c>
      <c r="L13" s="62">
        <f>IF(L3=0,0,L3/MBunk_act!L7*100)</f>
        <v>28228.553749138002</v>
      </c>
      <c r="M13" s="62">
        <f>IF(M3=0,0,M3/MBunk_act!M7*100)</f>
        <v>27302.25912227168</v>
      </c>
      <c r="N13" s="62">
        <f>IF(N3=0,0,N3/MBunk_act!N7*100)</f>
        <v>22987.361870008481</v>
      </c>
      <c r="O13" s="62">
        <f>IF(O3=0,0,O3/MBunk_act!O7*100)</f>
        <v>24699.719248001536</v>
      </c>
      <c r="P13" s="62">
        <f>IF(P3=0,0,P3/MBunk_act!P7*100)</f>
        <v>30230.656449694579</v>
      </c>
      <c r="Q13" s="62">
        <f>IF(Q3=0,0,Q3/MBunk_act!Q7*100)</f>
        <v>29898.137045922624</v>
      </c>
      <c r="R13" s="62">
        <f>IF(R3=0,0,R3/MBunk_act!R7*100)</f>
        <v>25948.112024854094</v>
      </c>
      <c r="S13" s="62">
        <f>IF(S3=0,0,S3/MBunk_act!S7*100)</f>
        <v>21448.90430475922</v>
      </c>
      <c r="T13" s="62">
        <f>IF(T3=0,0,T3/MBunk_act!T7*100)</f>
        <v>23811.601179530539</v>
      </c>
      <c r="U13" s="62">
        <f>IF(U3=0,0,U3/MBunk_act!U7*100)</f>
        <v>26904.3953487279</v>
      </c>
      <c r="V13" s="62">
        <f>IF(V3=0,0,V3/MBunk_act!V7*100)</f>
        <v>20903.39712125927</v>
      </c>
      <c r="W13" s="62">
        <f>IF(W3=0,0,W3/MBunk_act!W7*100)</f>
        <v>17081.836407593859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30370.722014566287</v>
      </c>
      <c r="C14" s="63">
        <f>IF(C4=0,0,C4/MBunk_act!C8*100)</f>
        <v>22569.097880495447</v>
      </c>
      <c r="D14" s="63">
        <f>IF(D4=0,0,D4/MBunk_act!D8*100)</f>
        <v>21057.188261447554</v>
      </c>
      <c r="E14" s="63">
        <f>IF(E4=0,0,E4/MBunk_act!E8*100)</f>
        <v>20355.954756786199</v>
      </c>
      <c r="F14" s="63">
        <f>IF(F4=0,0,F4/MBunk_act!F8*100)</f>
        <v>16910.644781687624</v>
      </c>
      <c r="G14" s="63">
        <f>IF(G4=0,0,G4/MBunk_act!G8*100)</f>
        <v>18368.176775791388</v>
      </c>
      <c r="H14" s="63">
        <f>IF(H4=0,0,H4/MBunk_act!H8*100)</f>
        <v>23534.889915719246</v>
      </c>
      <c r="I14" s="63">
        <f>IF(I4=0,0,I4/MBunk_act!I8*100)</f>
        <v>26962.426559141953</v>
      </c>
      <c r="J14" s="63">
        <f>IF(J4=0,0,J4/MBunk_act!J8*100)</f>
        <v>23145.844837921493</v>
      </c>
      <c r="K14" s="63">
        <f>IF(K4=0,0,K4/MBunk_act!K8*100)</f>
        <v>15072.127331283507</v>
      </c>
      <c r="L14" s="63">
        <f>IF(L4=0,0,L4/MBunk_act!L8*100)</f>
        <v>21354.940995137546</v>
      </c>
      <c r="M14" s="63">
        <f>IF(M4=0,0,M4/MBunk_act!M8*100)</f>
        <v>20615.348134910797</v>
      </c>
      <c r="N14" s="63">
        <f>IF(N4=0,0,N4/MBunk_act!N8*100)</f>
        <v>16918.07510994636</v>
      </c>
      <c r="O14" s="63">
        <f>IF(O4=0,0,O4/MBunk_act!O8*100)</f>
        <v>18118.289041274664</v>
      </c>
      <c r="P14" s="63">
        <f>IF(P4=0,0,P4/MBunk_act!P8*100)</f>
        <v>22052.793015703774</v>
      </c>
      <c r="Q14" s="63">
        <f>IF(Q4=0,0,Q4/MBunk_act!Q8*100)</f>
        <v>22096.235105461397</v>
      </c>
      <c r="R14" s="63">
        <f>IF(R4=0,0,R4/MBunk_act!R8*100)</f>
        <v>19834.277950224357</v>
      </c>
      <c r="S14" s="63">
        <f>IF(S4=0,0,S4/MBunk_act!S8*100)</f>
        <v>16502.487446607258</v>
      </c>
      <c r="T14" s="63">
        <f>IF(T4=0,0,T4/MBunk_act!T8*100)</f>
        <v>17845.127834767467</v>
      </c>
      <c r="U14" s="63">
        <f>IF(U4=0,0,U4/MBunk_act!U8*100)</f>
        <v>19874.580482190642</v>
      </c>
      <c r="V14" s="63">
        <f>IF(V4=0,0,V4/MBunk_act!V8*100)</f>
        <v>14284.314458327051</v>
      </c>
      <c r="W14" s="63">
        <f>IF(W4=0,0,W4/MBunk_act!W8*100)</f>
        <v>11659.178808442561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45850.169192614441</v>
      </c>
      <c r="C15" s="64">
        <f>IF(C5=0,0,C5/MBunk_act!C9*100)</f>
        <v>37030.985235854925</v>
      </c>
      <c r="D15" s="64">
        <f>IF(D5=0,0,D5/MBunk_act!D9*100)</f>
        <v>33430.29942246939</v>
      </c>
      <c r="E15" s="64">
        <f>IF(E5=0,0,E5/MBunk_act!E9*100)</f>
        <v>31464.629544705782</v>
      </c>
      <c r="F15" s="64">
        <f>IF(F5=0,0,F5/MBunk_act!F9*100)</f>
        <v>28064.343889122141</v>
      </c>
      <c r="G15" s="64">
        <f>IF(G5=0,0,G5/MBunk_act!G9*100)</f>
        <v>30340.849233911813</v>
      </c>
      <c r="H15" s="64">
        <f>IF(H5=0,0,H5/MBunk_act!H9*100)</f>
        <v>36169.690923621827</v>
      </c>
      <c r="I15" s="64">
        <f>IF(I5=0,0,I5/MBunk_act!I9*100)</f>
        <v>41420.985043730325</v>
      </c>
      <c r="J15" s="64">
        <f>IF(J5=0,0,J5/MBunk_act!J9*100)</f>
        <v>37696.422621370912</v>
      </c>
      <c r="K15" s="64">
        <f>IF(K5=0,0,K5/MBunk_act!K9*100)</f>
        <v>25222.00951002373</v>
      </c>
      <c r="L15" s="64">
        <f>IF(L5=0,0,L5/MBunk_act!L9*100)</f>
        <v>38066.819092916936</v>
      </c>
      <c r="M15" s="64">
        <f>IF(M5=0,0,M5/MBunk_act!M9*100)</f>
        <v>35024.028189904973</v>
      </c>
      <c r="N15" s="64">
        <f>IF(N5=0,0,N5/MBunk_act!N9*100)</f>
        <v>32501.502127467695</v>
      </c>
      <c r="O15" s="64">
        <f>IF(O5=0,0,O5/MBunk_act!O9*100)</f>
        <v>36760.736555839292</v>
      </c>
      <c r="P15" s="64">
        <f>IF(P5=0,0,P5/MBunk_act!P9*100)</f>
        <v>43398.048582496609</v>
      </c>
      <c r="Q15" s="64">
        <f>IF(Q5=0,0,Q5/MBunk_act!Q9*100)</f>
        <v>40381.326940379375</v>
      </c>
      <c r="R15" s="64">
        <f>IF(R5=0,0,R5/MBunk_act!R9*100)</f>
        <v>33503.013273971264</v>
      </c>
      <c r="S15" s="64">
        <f>IF(S5=0,0,S5/MBunk_act!S9*100)</f>
        <v>27671.193687127772</v>
      </c>
      <c r="T15" s="64">
        <f>IF(T5=0,0,T5/MBunk_act!T9*100)</f>
        <v>31349.227180880534</v>
      </c>
      <c r="U15" s="64">
        <f>IF(U5=0,0,U5/MBunk_act!U9*100)</f>
        <v>35734.927385739102</v>
      </c>
      <c r="V15" s="64">
        <f>IF(V5=0,0,V5/MBunk_act!V9*100)</f>
        <v>28704.75153842508</v>
      </c>
      <c r="W15" s="64">
        <f>IF(W5=0,0,W5/MBunk_act!W9*100)</f>
        <v>23280.379518273894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50.773077394673706</v>
      </c>
      <c r="C17" s="62">
        <f>IF(C3=0,0,C3/MBunk_act!C3*1000)</f>
        <v>41.147981537295259</v>
      </c>
      <c r="D17" s="62">
        <f>IF(D3=0,0,D3/MBunk_act!D3*1000)</f>
        <v>35.008892655529188</v>
      </c>
      <c r="E17" s="62">
        <f>IF(E3=0,0,E3/MBunk_act!E3*1000)</f>
        <v>30.555480151785861</v>
      </c>
      <c r="F17" s="62">
        <f>IF(F3=0,0,F3/MBunk_act!F3*1000)</f>
        <v>28.550454368586454</v>
      </c>
      <c r="G17" s="62">
        <f>IF(G3=0,0,G3/MBunk_act!G3*1000)</f>
        <v>30.566274928905258</v>
      </c>
      <c r="H17" s="62">
        <f>IF(H3=0,0,H3/MBunk_act!H3*1000)</f>
        <v>33.842273021240175</v>
      </c>
      <c r="I17" s="62">
        <f>IF(I3=0,0,I3/MBunk_act!I3*1000)</f>
        <v>38.996913674442361</v>
      </c>
      <c r="J17" s="62">
        <f>IF(J3=0,0,J3/MBunk_act!J3*1000)</f>
        <v>33.798625230408213</v>
      </c>
      <c r="K17" s="62">
        <f>IF(K3=0,0,K3/MBunk_act!K3*1000)</f>
        <v>21.72217952803086</v>
      </c>
      <c r="L17" s="62">
        <f>IF(L3=0,0,L3/MBunk_act!L3*1000)</f>
        <v>33.038960197662597</v>
      </c>
      <c r="M17" s="62">
        <f>IF(M3=0,0,M3/MBunk_act!M3*1000)</f>
        <v>28.362042860060601</v>
      </c>
      <c r="N17" s="62">
        <f>IF(N3=0,0,N3/MBunk_act!N3*1000)</f>
        <v>26.403681191146813</v>
      </c>
      <c r="O17" s="62">
        <f>IF(O3=0,0,O3/MBunk_act!O3*1000)</f>
        <v>29.815223370124659</v>
      </c>
      <c r="P17" s="62">
        <f>IF(P3=0,0,P3/MBunk_act!P3*1000)</f>
        <v>34.446869400857743</v>
      </c>
      <c r="Q17" s="62">
        <f>IF(Q3=0,0,Q3/MBunk_act!Q3*1000)</f>
        <v>27.10136838180005</v>
      </c>
      <c r="R17" s="62">
        <f>IF(R3=0,0,R3/MBunk_act!R3*1000)</f>
        <v>23.529257417719386</v>
      </c>
      <c r="S17" s="62">
        <f>IF(S3=0,0,S3/MBunk_act!S3*1000)</f>
        <v>19.420538144921686</v>
      </c>
      <c r="T17" s="62">
        <f>IF(T3=0,0,T3/MBunk_act!T3*1000)</f>
        <v>21.199424436871912</v>
      </c>
      <c r="U17" s="62">
        <f>IF(U3=0,0,U3/MBunk_act!U3*1000)</f>
        <v>23.593653037791746</v>
      </c>
      <c r="V17" s="62">
        <f>IF(V3=0,0,V3/MBunk_act!V3*1000)</f>
        <v>17.575732447437343</v>
      </c>
      <c r="W17" s="62">
        <f>IF(W3=0,0,W3/MBunk_act!W3*1000)</f>
        <v>14.389298132472307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79.758013407966402</v>
      </c>
      <c r="C18" s="63">
        <f>IF(C4=0,0,C4/MBunk_act!C4*1000)</f>
        <v>65.936664877778426</v>
      </c>
      <c r="D18" s="63">
        <f>IF(D4=0,0,D4/MBunk_act!D4*1000)</f>
        <v>53.988614204769107</v>
      </c>
      <c r="E18" s="63">
        <f>IF(E4=0,0,E4/MBunk_act!E4*1000)</f>
        <v>51.898518666105709</v>
      </c>
      <c r="F18" s="63">
        <f>IF(F4=0,0,F4/MBunk_act!F4*1000)</f>
        <v>43.235497907405602</v>
      </c>
      <c r="G18" s="63">
        <f>IF(G4=0,0,G4/MBunk_act!G4*1000)</f>
        <v>45.683341110584387</v>
      </c>
      <c r="H18" s="63">
        <f>IF(H4=0,0,H4/MBunk_act!H4*1000)</f>
        <v>57.582680092410016</v>
      </c>
      <c r="I18" s="63">
        <f>IF(I4=0,0,I4/MBunk_act!I4*1000)</f>
        <v>64.510935204669565</v>
      </c>
      <c r="J18" s="63">
        <f>IF(J4=0,0,J4/MBunk_act!J4*1000)</f>
        <v>55.796968356206463</v>
      </c>
      <c r="K18" s="63">
        <f>IF(K4=0,0,K4/MBunk_act!K4*1000)</f>
        <v>35.500388522494418</v>
      </c>
      <c r="L18" s="63">
        <f>IF(L4=0,0,L4/MBunk_act!L4*1000)</f>
        <v>50.735948824794995</v>
      </c>
      <c r="M18" s="63">
        <f>IF(M4=0,0,M4/MBunk_act!M4*1000)</f>
        <v>48.574138310277824</v>
      </c>
      <c r="N18" s="63">
        <f>IF(N4=0,0,N4/MBunk_act!N4*1000)</f>
        <v>39.324024481266108</v>
      </c>
      <c r="O18" s="63">
        <f>IF(O4=0,0,O4/MBunk_act!O4*1000)</f>
        <v>41.523216514227457</v>
      </c>
      <c r="P18" s="63">
        <f>IF(P4=0,0,P4/MBunk_act!P4*1000)</f>
        <v>52.022546530965862</v>
      </c>
      <c r="Q18" s="63">
        <f>IF(Q4=0,0,Q4/MBunk_act!Q4*1000)</f>
        <v>46.921997088721938</v>
      </c>
      <c r="R18" s="63">
        <f>IF(R4=0,0,R4/MBunk_act!R4*1000)</f>
        <v>40.106925404461109</v>
      </c>
      <c r="S18" s="63">
        <f>IF(S4=0,0,S4/MBunk_act!S4*1000)</f>
        <v>32.920804347616837</v>
      </c>
      <c r="T18" s="63">
        <f>IF(T4=0,0,T4/MBunk_act!T4*1000)</f>
        <v>37.365936236812537</v>
      </c>
      <c r="U18" s="63">
        <f>IF(U4=0,0,U4/MBunk_act!U4*1000)</f>
        <v>42.332987955675655</v>
      </c>
      <c r="V18" s="63">
        <f>IF(V4=0,0,V4/MBunk_act!V4*1000)</f>
        <v>29.185217248771789</v>
      </c>
      <c r="W18" s="63">
        <f>IF(W4=0,0,W4/MBunk_act!W4*1000)</f>
        <v>24.583701861323984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40.102926840420167</v>
      </c>
      <c r="C19" s="64">
        <f>IF(C5=0,0,C5/MBunk_act!C5*1000)</f>
        <v>32.291146949611615</v>
      </c>
      <c r="D19" s="64">
        <f>IF(D5=0,0,D5/MBunk_act!D5*1000)</f>
        <v>27.675143414560583</v>
      </c>
      <c r="E19" s="64">
        <f>IF(E5=0,0,E5/MBunk_act!E5*1000)</f>
        <v>23.775941601262794</v>
      </c>
      <c r="F19" s="64">
        <f>IF(F5=0,0,F5/MBunk_act!F5*1000)</f>
        <v>22.52717102982383</v>
      </c>
      <c r="G19" s="64">
        <f>IF(G5=0,0,G5/MBunk_act!G5*1000)</f>
        <v>24.091751600643128</v>
      </c>
      <c r="H19" s="64">
        <f>IF(H5=0,0,H5/MBunk_act!H5*1000)</f>
        <v>26.425675921787231</v>
      </c>
      <c r="I19" s="64">
        <f>IF(I5=0,0,I5/MBunk_act!I5*1000)</f>
        <v>30.377537313233773</v>
      </c>
      <c r="J19" s="64">
        <f>IF(J5=0,0,J5/MBunk_act!J5*1000)</f>
        <v>26.2685863916196</v>
      </c>
      <c r="K19" s="64">
        <f>IF(K5=0,0,K5/MBunk_act!K5*1000)</f>
        <v>16.944696803805808</v>
      </c>
      <c r="L19" s="64">
        <f>IF(L5=0,0,L5/MBunk_act!L5*1000)</f>
        <v>25.810246875615654</v>
      </c>
      <c r="M19" s="64">
        <f>IF(M5=0,0,M5/MBunk_act!M5*1000)</f>
        <v>22.109002513014826</v>
      </c>
      <c r="N19" s="64">
        <f>IF(N5=0,0,N5/MBunk_act!N5*1000)</f>
        <v>20.821463643849878</v>
      </c>
      <c r="O19" s="64">
        <f>IF(O5=0,0,O5/MBunk_act!O5*1000)</f>
        <v>23.763283987680921</v>
      </c>
      <c r="P19" s="64">
        <f>IF(P5=0,0,P5/MBunk_act!P5*1000)</f>
        <v>26.987038240458514</v>
      </c>
      <c r="Q19" s="64">
        <f>IF(Q5=0,0,Q5/MBunk_act!Q5*1000)</f>
        <v>20.678933201216378</v>
      </c>
      <c r="R19" s="64">
        <f>IF(R5=0,0,R5/MBunk_act!R5*1000)</f>
        <v>18.066366265908805</v>
      </c>
      <c r="S19" s="64">
        <f>IF(S5=0,0,S5/MBunk_act!S5*1000)</f>
        <v>14.851512562879405</v>
      </c>
      <c r="T19" s="64">
        <f>IF(T5=0,0,T5/MBunk_act!T5*1000)</f>
        <v>16.168746525807279</v>
      </c>
      <c r="U19" s="64">
        <f>IF(U5=0,0,U5/MBunk_act!U5*1000)</f>
        <v>18.020606177350068</v>
      </c>
      <c r="V19" s="64">
        <f>IF(V5=0,0,V5/MBunk_act!V5*1000)</f>
        <v>14.250897771257209</v>
      </c>
      <c r="W19" s="64">
        <f>IF(W5=0,0,W5/MBunk_act!W5*1000)</f>
        <v>11.628710913636663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0.42268076623215639</v>
      </c>
      <c r="C22" s="77">
        <f t="shared" si="2"/>
        <v>0.42182251414313304</v>
      </c>
      <c r="D22" s="77">
        <f t="shared" si="2"/>
        <v>0.42980526005975378</v>
      </c>
      <c r="E22" s="77">
        <f t="shared" si="2"/>
        <v>0.4094594213961843</v>
      </c>
      <c r="F22" s="77">
        <f t="shared" si="2"/>
        <v>0.44046937891105037</v>
      </c>
      <c r="G22" s="77">
        <f t="shared" si="2"/>
        <v>0.44816561118843556</v>
      </c>
      <c r="H22" s="77">
        <f t="shared" si="2"/>
        <v>0.40502454636957896</v>
      </c>
      <c r="I22" s="77">
        <f t="shared" si="2"/>
        <v>0.41773361258816749</v>
      </c>
      <c r="J22" s="77">
        <f t="shared" si="2"/>
        <v>0.42098743461140981</v>
      </c>
      <c r="K22" s="77">
        <f t="shared" si="2"/>
        <v>0.42077670074667783</v>
      </c>
      <c r="L22" s="77">
        <f t="shared" si="2"/>
        <v>0.44535160316148742</v>
      </c>
      <c r="M22" s="77">
        <f t="shared" si="2"/>
        <v>0.40465480365243978</v>
      </c>
      <c r="N22" s="77">
        <f t="shared" si="2"/>
        <v>0.44933308168564706</v>
      </c>
      <c r="O22" s="77">
        <f t="shared" si="2"/>
        <v>0.47457644468336607</v>
      </c>
      <c r="P22" s="77">
        <f t="shared" si="2"/>
        <v>0.45000198939582048</v>
      </c>
      <c r="Q22" s="77">
        <f t="shared" si="2"/>
        <v>0.42371170430506189</v>
      </c>
      <c r="R22" s="77">
        <f t="shared" si="2"/>
        <v>0.42248480000227684</v>
      </c>
      <c r="S22" s="77">
        <f t="shared" si="2"/>
        <v>0.42863895386672446</v>
      </c>
      <c r="T22" s="77">
        <f t="shared" si="2"/>
        <v>0.41831171194828948</v>
      </c>
      <c r="U22" s="77">
        <f t="shared" si="2"/>
        <v>0.41129073122923143</v>
      </c>
      <c r="V22" s="77">
        <f t="shared" si="2"/>
        <v>0.3696869459639805</v>
      </c>
      <c r="W22" s="77">
        <f t="shared" si="2"/>
        <v>0.36405921523972151</v>
      </c>
      <c r="DA22" s="184"/>
    </row>
    <row r="23" spans="1:105" ht="11.45" customHeight="1" x14ac:dyDescent="0.25">
      <c r="A23" s="57" t="s">
        <v>171</v>
      </c>
      <c r="B23" s="78">
        <f t="shared" si="2"/>
        <v>0.57731923376784366</v>
      </c>
      <c r="C23" s="78">
        <f t="shared" si="2"/>
        <v>0.57817748585686701</v>
      </c>
      <c r="D23" s="78">
        <f t="shared" si="2"/>
        <v>0.57019473994024628</v>
      </c>
      <c r="E23" s="78">
        <f t="shared" si="2"/>
        <v>0.59054057860381581</v>
      </c>
      <c r="F23" s="78">
        <f t="shared" si="2"/>
        <v>0.55953062108894969</v>
      </c>
      <c r="G23" s="78">
        <f t="shared" si="2"/>
        <v>0.55183438881156455</v>
      </c>
      <c r="H23" s="78">
        <f t="shared" si="2"/>
        <v>0.59497545363042104</v>
      </c>
      <c r="I23" s="78">
        <f t="shared" si="2"/>
        <v>0.58226638741183256</v>
      </c>
      <c r="J23" s="78">
        <f t="shared" si="2"/>
        <v>0.57901256538859014</v>
      </c>
      <c r="K23" s="78">
        <f t="shared" si="2"/>
        <v>0.57922329925332228</v>
      </c>
      <c r="L23" s="78">
        <f t="shared" si="2"/>
        <v>0.55464839683851264</v>
      </c>
      <c r="M23" s="78">
        <f t="shared" si="2"/>
        <v>0.59534519634756022</v>
      </c>
      <c r="N23" s="78">
        <f t="shared" si="2"/>
        <v>0.55066691831435288</v>
      </c>
      <c r="O23" s="78">
        <f t="shared" si="2"/>
        <v>0.52542355531663398</v>
      </c>
      <c r="P23" s="78">
        <f t="shared" si="2"/>
        <v>0.54999801060417952</v>
      </c>
      <c r="Q23" s="78">
        <f t="shared" si="2"/>
        <v>0.57628829569493811</v>
      </c>
      <c r="R23" s="78">
        <f t="shared" si="2"/>
        <v>0.57751519999772327</v>
      </c>
      <c r="S23" s="78">
        <f t="shared" si="2"/>
        <v>0.57136104613327554</v>
      </c>
      <c r="T23" s="78">
        <f t="shared" si="2"/>
        <v>0.58168828805171058</v>
      </c>
      <c r="U23" s="78">
        <f t="shared" si="2"/>
        <v>0.58870926877076857</v>
      </c>
      <c r="V23" s="78">
        <f t="shared" si="2"/>
        <v>0.63031305403601956</v>
      </c>
      <c r="W23" s="78">
        <f t="shared" si="2"/>
        <v>0.63594078476027838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CE71B1-951D-4C63-8019-38CE7619D877}"/>
</file>

<file path=customXml/itemProps2.xml><?xml version="1.0" encoding="utf-8"?>
<ds:datastoreItem xmlns:ds="http://schemas.openxmlformats.org/officeDocument/2006/customXml" ds:itemID="{86487490-14D6-416D-B481-6F77BBBA816E}"/>
</file>

<file path=customXml/itemProps3.xml><?xml version="1.0" encoding="utf-8"?>
<ds:datastoreItem xmlns:ds="http://schemas.openxmlformats.org/officeDocument/2006/customXml" ds:itemID="{9F660743-B26C-4BD6-A07F-664D17BE86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2024-05-20T16:48:28Z</dcterms:created>
  <dcterms:modified xsi:type="dcterms:W3CDTF">2024-05-20T16:48:29Z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