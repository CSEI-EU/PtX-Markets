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V94" i="59"/>
  <c r="W20" i="59"/>
  <c r="V20" i="59"/>
  <c r="U93" i="59"/>
  <c r="W117" i="59"/>
  <c r="U117" i="59"/>
  <c r="Y115" i="59"/>
  <c r="X112" i="59"/>
  <c r="W112" i="59"/>
  <c r="W111" i="59"/>
  <c r="U110" i="59"/>
  <c r="U107" i="59"/>
  <c r="Y74" i="59"/>
  <c r="T106" i="59"/>
  <c r="R106" i="59"/>
  <c r="O106" i="59"/>
  <c r="M106" i="59"/>
  <c r="L106" i="59"/>
  <c r="J106" i="59"/>
  <c r="G106" i="59"/>
  <c r="Y105" i="59"/>
  <c r="U104" i="59"/>
  <c r="Y103" i="59"/>
  <c r="X102" i="59"/>
  <c r="Y68" i="59"/>
  <c r="X100" i="59"/>
  <c r="T67" i="59"/>
  <c r="Y66" i="59"/>
  <c r="T98" i="59"/>
  <c r="Y97" i="59"/>
  <c r="V74" i="59"/>
  <c r="U71" i="59"/>
  <c r="E106" i="59"/>
  <c r="X122" i="59"/>
  <c r="U115" i="59"/>
  <c r="V113" i="59"/>
  <c r="T112" i="59"/>
  <c r="V111" i="59"/>
  <c r="X110" i="59"/>
  <c r="W104" i="59"/>
  <c r="U103" i="59"/>
  <c r="Y93" i="59"/>
  <c r="W90" i="59"/>
  <c r="T80" i="59"/>
  <c r="W78" i="59"/>
  <c r="Y122" i="59"/>
  <c r="W122" i="59"/>
  <c r="T90" i="59"/>
  <c r="Y89" i="59"/>
  <c r="U121" i="59"/>
  <c r="Y120" i="59"/>
  <c r="W87" i="59"/>
  <c r="T118" i="59"/>
  <c r="W85" i="59"/>
  <c r="Y84" i="59"/>
  <c r="W84" i="59"/>
  <c r="U116" i="59"/>
  <c r="V115" i="59"/>
  <c r="T83" i="59"/>
  <c r="Y82" i="59"/>
  <c r="Y114" i="59"/>
  <c r="W81" i="59"/>
  <c r="W113" i="59"/>
  <c r="U113" i="59"/>
  <c r="Y80" i="59"/>
  <c r="W80" i="59"/>
  <c r="Y111" i="59"/>
  <c r="W110" i="59"/>
  <c r="Y77" i="59"/>
  <c r="U109" i="59"/>
  <c r="U108" i="59"/>
  <c r="Y75" i="59"/>
  <c r="Y107" i="59"/>
  <c r="W75" i="59"/>
  <c r="W74" i="59"/>
  <c r="Y73" i="59"/>
  <c r="W73" i="59"/>
  <c r="W105" i="59"/>
  <c r="Y72" i="59"/>
  <c r="W72" i="59"/>
  <c r="Y71" i="59"/>
  <c r="V103" i="59"/>
  <c r="T71" i="59"/>
  <c r="Y70" i="59"/>
  <c r="Y102" i="59"/>
  <c r="W69" i="59"/>
  <c r="W101" i="59"/>
  <c r="V101" i="59"/>
  <c r="U101" i="59"/>
  <c r="U100" i="59"/>
  <c r="Y67" i="59"/>
  <c r="Y99" i="59"/>
  <c r="W67" i="59"/>
  <c r="W98" i="59"/>
  <c r="Y65" i="59"/>
  <c r="W65" i="59"/>
  <c r="Y20" i="59"/>
  <c r="U94" i="59"/>
  <c r="X20" i="59"/>
  <c r="U20" i="59"/>
  <c r="U13" i="59"/>
  <c r="W5" i="59"/>
  <c r="T5" i="59"/>
  <c r="Y5" i="59"/>
  <c r="X21" i="59"/>
  <c r="U5" i="59"/>
  <c r="Y69" i="59" l="1"/>
  <c r="Y118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7" i="4"/>
  <c r="B4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<sst xmlns="http://schemas.openxmlformats.org/spreadsheetml/2006/main" count="722" uniqueCount="281">
  <si>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</si>
  <si>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</si>
  <si>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</si>
  <si>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</si>
  <si>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</si>
  <si>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</si>
  <si>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</si>
  <si>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</si>
  <si>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</si>
  <si>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</si>
  <si>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</si>
  <si>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</si>
  <si>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</si>
  <si>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</si>
  <si>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</si>
  <si>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</si>
  <si>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</si>
  <si>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</si>
  <si>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</si>
  <si>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</si>
  <si>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</si>
  <si>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</si>
  <si>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</si>
  <si>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</si>
  <si>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</si>
  <si>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</si>
  <si>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</si>
  <si>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</si>
  <si>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</si>
  <si>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</si>
  <si>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</si>
  <si>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</si>
  <si>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</si>
  <si>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</si>
  <si>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</si>
  <si>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</si>
  <si>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</si>
  <si>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</si>
  <si>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</si>
  <si>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</si>
  <si>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</si>
  <si>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</si>
  <si>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</si>
  <si>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</si>
  <si>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</si>
  <si>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</si>
  <si>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</si>
  <si>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</si>
  <si>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</si>
  <si>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</si>
  <si>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</si>
  <si>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</si>
  <si>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</si>
  <si>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</si>
  <si>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</si>
  <si>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</si>
  <si>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</si>
  <si>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</si>
  <si>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</si>
  <si>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</si>
  <si>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</si>
  <si>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</si>
  <si>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</si>
  <si>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</si>
  <si>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</si>
  <si>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</si>
  <si>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</si>
  <si>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</si>
  <si>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</si>
  <si>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</si>
  <si>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</si>
  <si>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</si>
  <si>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</si>
  <si>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</si>
  <si>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</si>
  <si>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</si>
  <si>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</si>
  <si>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</si>
  <si>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</si>
  <si>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</si>
  <si>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</si>
  <si>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</si>
  <si>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</si>
  <si>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</si>
  <si>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</si>
  <si>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</si>
  <si>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</si>
  <si>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</si>
  <si>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</si>
  <si>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</si>
  <si>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</si>
  <si>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</si>
  <si>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</si>
  <si>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</si>
  <si>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</si>
  <si>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</si>
  <si>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</si>
  <si>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</si>
  <si>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</si>
  <si>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</si>
  <si>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</si>
  <si>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</si>
  <si>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</si>
  <si>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</si>
  <si>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</si>
  <si>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</si>
  <si>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</si>
  <si>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</si>
  <si>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</si>
  <si>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</si>
  <si>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</si>
  <si>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</si>
  <si>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</si>
  <si>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</si>
  <si>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</si>
  <si>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</si>
  <si>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</si>
  <si>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</si>
  <si>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</si>
  <si>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</si>
  <si>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</si>
  <si>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</si>
  <si>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</si>
  <si>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</si>
  <si>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</si>
  <si>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</si>
  <si>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</si>
  <si>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</si>
  <si>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</si>
  <si>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</si>
  <si>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</si>
  <si>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</si>
  <si>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</si>
  <si>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</si>
  <si>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</si>
  <si>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</si>
  <si>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</si>
  <si>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</si>
  <si>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</si>
  <si>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</si>
  <si>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</si>
  <si>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</si>
  <si>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</si>
  <si>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</si>
  <si>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</si>
  <si>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</si>
  <si>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</si>
  <si>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</si>
  <si>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</si>
  <si>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</si>
  <si>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</si>
  <si>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</si>
  <si>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</si>
  <si>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</si>
  <si>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</si>
  <si>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</si>
  <si>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</si>
  <si>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</si>
  <si>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</si>
  <si>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</si>
  <si>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</si>
  <si>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</si>
  <si>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</si>
  <si>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</si>
  <si>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</si>
  <si>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</si>
  <si>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</si>
  <si>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</si>
  <si>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</si>
  <si>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</si>
  <si>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</si>
  <si>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</si>
  <si>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</si>
  <si>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</si>
  <si>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</si>
  <si>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</si>
  <si>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</si>
  <si>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</si>
  <si>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</si>
  <si>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</si>
  <si>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</si>
  <si>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</si>
  <si>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</si>
  <si>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</si>
  <si>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</si>
  <si>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</si>
  <si>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</si>
  <si>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</si>
  <si>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</si>
  <si>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</si>
  <si>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</si>
  <si>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</si>
  <si>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</si>
  <si>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</si>
  <si>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</si>
  <si>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</si>
  <si>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</si>
  <si>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</si>
  <si>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</si>
  <si>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</si>
  <si>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</si>
  <si>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</si>
  <si>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</si>
  <si>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</si>
  <si>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</si>
  <si>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</si>
  <si>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</si>
  <si>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</si>
  <si>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</si>
  <si>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</si>
  <si>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</si>
  <si>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</si>
  <si>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</si>
  <si>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</si>
  <si>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</si>
  <si>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</si>
  <si>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</si>
  <si>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</si>
  <si>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</si>
  <si>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</si>
  <si>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</si>
  <si>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</si>
  <si>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</si>
  <si>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</si>
  <si>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</si>
  <si>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</si>
  <si>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</si>
  <si>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</si>
  <si>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</si>
  <si>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</si>
  <si>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</si>
  <si>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</si>
  <si>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</si>
  <si>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</si>
  <si>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</si>
  <si>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</si>
  <si>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</si>
  <si>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</si>
  <si>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</si>
  <si>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</si>
  <si>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</si>
  <si>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</si>
  <si>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</si>
  <si>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</si>
  <si>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</si>
  <si>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</si>
  <si>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</si>
  <si>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</si>
  <si>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</si>
  <si>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</si>
  <si>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</si>
  <si>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</si>
  <si>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</si>
  <si>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</si>
  <si>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</si>
  <si>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</si>
  <si>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</si>
  <si>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</si>
  <si>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</si>
  <si>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</si>
  <si>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</si>
  <si>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</si>
  <si>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</si>
  <si>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</si>
  <si>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</si>
  <si>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</si>
  <si>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</si>
  <si>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</si>
  <si>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</si>
  <si>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</si>
  <si>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</si>
  <si>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</si>
  <si>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</si>
  <si>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</si>
  <si>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</si>
  <si>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</si>
  <si>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</si>
  <si>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</si>
  <si>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</si>
  <si>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DK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</si>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</sst>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45432.783483796295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187471.7317643454</v>
      </c>
      <c r="E2" s="19">
        <v>193818.54642119352</v>
      </c>
      <c r="F2" s="19">
        <v>199872.86672911153</v>
      </c>
      <c r="G2" s="19">
        <v>203622.68412019309</v>
      </c>
      <c r="H2" s="19">
        <v>213171.00452844036</v>
      </c>
      <c r="I2" s="19">
        <v>224133.86328221735</v>
      </c>
      <c r="J2" s="19">
        <v>237506.69289683833</v>
      </c>
      <c r="K2" s="19">
        <v>245778.50799795071</v>
      </c>
      <c r="L2" s="19">
        <v>254442.13771184123</v>
      </c>
      <c r="M2" s="19">
        <v>243560.20540188038</v>
      </c>
      <c r="N2" s="19">
        <v>256079.48861063432</v>
      </c>
      <c r="O2" s="19">
        <v>261044.48928089111</v>
      </c>
      <c r="P2" s="19">
        <v>268097.44140333671</v>
      </c>
      <c r="Q2" s="19">
        <v>272482.87665834709</v>
      </c>
      <c r="R2" s="19">
        <v>279869.02989329561</v>
      </c>
      <c r="S2" s="19">
        <v>287514.83455999999</v>
      </c>
      <c r="T2" s="19">
        <v>298145.21654585999</v>
      </c>
      <c r="U2" s="19">
        <v>310465.06712414959</v>
      </c>
      <c r="V2" s="19">
        <v>318385.73682584381</v>
      </c>
      <c r="W2" s="19">
        <v>325964.27094698075</v>
      </c>
      <c r="X2" s="19">
        <v>327890.30635959347</v>
      </c>
      <c r="Y2" s="19">
        <v>361174.79602462373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89226.047537572274</v>
      </c>
      <c r="E3" s="23">
        <v>91552.049167471792</v>
      </c>
      <c r="F3" s="23">
        <v>94869.572449882093</v>
      </c>
      <c r="G3" s="23">
        <v>97284.718426355277</v>
      </c>
      <c r="H3" s="23">
        <v>102883.8619153434</v>
      </c>
      <c r="I3" s="23">
        <v>108321.97932046185</v>
      </c>
      <c r="J3" s="23">
        <v>113858.52595330514</v>
      </c>
      <c r="K3" s="23">
        <v>118027.80694468142</v>
      </c>
      <c r="L3" s="23">
        <v>121943.73137647567</v>
      </c>
      <c r="M3" s="23">
        <v>119406.67249833605</v>
      </c>
      <c r="N3" s="23">
        <v>123297.6570820021</v>
      </c>
      <c r="O3" s="23">
        <v>126485.13227603007</v>
      </c>
      <c r="P3" s="23">
        <v>130250.64685674223</v>
      </c>
      <c r="Q3" s="23">
        <v>131423.29224648071</v>
      </c>
      <c r="R3" s="23">
        <v>133476.12190839311</v>
      </c>
      <c r="S3" s="23">
        <v>136979.210322</v>
      </c>
      <c r="T3" s="23">
        <v>140721.14139041488</v>
      </c>
      <c r="U3" s="23">
        <v>145550.4568031235</v>
      </c>
      <c r="V3" s="23">
        <v>151264.12716838485</v>
      </c>
      <c r="W3" s="23">
        <v>154760.60179659395</v>
      </c>
      <c r="X3" s="23">
        <v>153427.26111369717</v>
      </c>
      <c r="Y3" s="23">
        <v>165521.75876061898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153361.1</v>
      </c>
      <c r="E4" s="27">
        <v>158494.70000000001</v>
      </c>
      <c r="F4" s="27">
        <v>163060</v>
      </c>
      <c r="G4" s="27">
        <v>166313.29999999999</v>
      </c>
      <c r="H4" s="27">
        <v>173567.1</v>
      </c>
      <c r="I4" s="27">
        <v>180849</v>
      </c>
      <c r="J4" s="27">
        <v>191531.7</v>
      </c>
      <c r="K4" s="27">
        <v>197972.6</v>
      </c>
      <c r="L4" s="27">
        <v>207276.4</v>
      </c>
      <c r="M4" s="27">
        <v>199422.6</v>
      </c>
      <c r="N4" s="27">
        <v>209840.2</v>
      </c>
      <c r="O4" s="27">
        <v>213907.9</v>
      </c>
      <c r="P4" s="27">
        <v>219794.8</v>
      </c>
      <c r="Q4" s="27">
        <v>223850.7</v>
      </c>
      <c r="R4" s="27">
        <v>230586.9</v>
      </c>
      <c r="S4" s="27">
        <v>236921.5</v>
      </c>
      <c r="T4" s="27">
        <v>245680.2</v>
      </c>
      <c r="U4" s="27">
        <v>256348.6</v>
      </c>
      <c r="V4" s="27">
        <v>262324.8</v>
      </c>
      <c r="W4" s="27">
        <v>269428.3</v>
      </c>
      <c r="X4" s="27">
        <v>270445</v>
      </c>
      <c r="Y4" s="27">
        <v>298647.8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3830.7</v>
      </c>
      <c r="E6" s="19">
        <v>4305.8</v>
      </c>
      <c r="F6" s="19">
        <v>3380.5</v>
      </c>
      <c r="G6" s="19">
        <v>3114.5</v>
      </c>
      <c r="H6" s="19">
        <v>3284.4</v>
      </c>
      <c r="I6" s="19">
        <v>2438.3000000000002</v>
      </c>
      <c r="J6" s="19">
        <v>2627.9</v>
      </c>
      <c r="K6" s="19">
        <v>2740.9</v>
      </c>
      <c r="L6" s="19">
        <v>2072.5</v>
      </c>
      <c r="M6" s="19">
        <v>1927.9</v>
      </c>
      <c r="N6" s="19">
        <v>2922.6</v>
      </c>
      <c r="O6" s="19">
        <v>3252.5</v>
      </c>
      <c r="P6" s="19">
        <v>4212.6000000000004</v>
      </c>
      <c r="Q6" s="19">
        <v>3369.2</v>
      </c>
      <c r="R6" s="19">
        <v>3674</v>
      </c>
      <c r="S6" s="19">
        <v>2614.4</v>
      </c>
      <c r="T6" s="19">
        <v>2721.1</v>
      </c>
      <c r="U6" s="19">
        <v>3846.7</v>
      </c>
      <c r="V6" s="19">
        <v>3103.6</v>
      </c>
      <c r="W6" s="19">
        <v>3919.5</v>
      </c>
      <c r="X6" s="19">
        <v>4302.6000000000004</v>
      </c>
      <c r="Y6" s="19">
        <v>3734.8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33728.399999999994</v>
      </c>
      <c r="E7" s="23">
        <v>34012.599999999984</v>
      </c>
      <c r="F7" s="23">
        <v>34594.100000000006</v>
      </c>
      <c r="G7" s="23">
        <v>33916.699999999983</v>
      </c>
      <c r="H7" s="23">
        <v>35421.9</v>
      </c>
      <c r="I7" s="23">
        <v>37570.89999999998</v>
      </c>
      <c r="J7" s="23">
        <v>40365.69999999999</v>
      </c>
      <c r="K7" s="23">
        <v>40373.499999999993</v>
      </c>
      <c r="L7" s="23">
        <v>42068.800000000017</v>
      </c>
      <c r="M7" s="23">
        <v>35907.099999999991</v>
      </c>
      <c r="N7" s="23">
        <v>38651.399999999987</v>
      </c>
      <c r="O7" s="23">
        <v>40304.700000000004</v>
      </c>
      <c r="P7" s="23">
        <v>41915.999999999985</v>
      </c>
      <c r="Q7" s="23">
        <v>41763.19999999999</v>
      </c>
      <c r="R7" s="23">
        <v>42047.400000000016</v>
      </c>
      <c r="S7" s="23">
        <v>42819.299999999988</v>
      </c>
      <c r="T7" s="23">
        <v>45134.500000000029</v>
      </c>
      <c r="U7" s="23">
        <v>46823.900000000016</v>
      </c>
      <c r="V7" s="23">
        <v>48129.800000000017</v>
      </c>
      <c r="W7" s="23">
        <v>49383.199999999953</v>
      </c>
      <c r="X7" s="23">
        <v>46495.500000000022</v>
      </c>
      <c r="Y7" s="23">
        <v>50815.599999999948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8377.7000000000007</v>
      </c>
      <c r="E8" s="23">
        <v>8116.7</v>
      </c>
      <c r="F8" s="23">
        <v>8405.4</v>
      </c>
      <c r="G8" s="23">
        <v>8936.2000000000007</v>
      </c>
      <c r="H8" s="23">
        <v>9373.5</v>
      </c>
      <c r="I8" s="23">
        <v>9762.1</v>
      </c>
      <c r="J8" s="23">
        <v>11099.6</v>
      </c>
      <c r="K8" s="23">
        <v>11359.6</v>
      </c>
      <c r="L8" s="23">
        <v>12521.3</v>
      </c>
      <c r="M8" s="23">
        <v>10233.299999999999</v>
      </c>
      <c r="N8" s="23">
        <v>9264.2000000000025</v>
      </c>
      <c r="O8" s="23">
        <v>9902.7999999999993</v>
      </c>
      <c r="P8" s="23">
        <v>10012.5</v>
      </c>
      <c r="Q8" s="23">
        <v>10145.200000000001</v>
      </c>
      <c r="R8" s="23">
        <v>10532.7</v>
      </c>
      <c r="S8" s="23">
        <v>11749.9</v>
      </c>
      <c r="T8" s="23">
        <v>13380.4</v>
      </c>
      <c r="U8" s="23">
        <v>14328.8</v>
      </c>
      <c r="V8" s="23">
        <v>14828.7</v>
      </c>
      <c r="W8" s="23">
        <v>14716.5</v>
      </c>
      <c r="X8" s="23">
        <v>14905.9</v>
      </c>
      <c r="Y8" s="23">
        <v>16365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30602.5</v>
      </c>
      <c r="E9" s="23">
        <v>31281.1</v>
      </c>
      <c r="F9" s="23">
        <v>32587.3</v>
      </c>
      <c r="G9" s="23">
        <v>33306.5</v>
      </c>
      <c r="H9" s="23">
        <v>34916.699999999997</v>
      </c>
      <c r="I9" s="23">
        <v>36445.9</v>
      </c>
      <c r="J9" s="23">
        <v>38326.100000000006</v>
      </c>
      <c r="K9" s="23">
        <v>40826.6</v>
      </c>
      <c r="L9" s="23">
        <v>40921.699999999997</v>
      </c>
      <c r="M9" s="23">
        <v>37202.499999999993</v>
      </c>
      <c r="N9" s="23">
        <v>40880.9</v>
      </c>
      <c r="O9" s="23">
        <v>41510.800000000003</v>
      </c>
      <c r="P9" s="23">
        <v>42238.400000000001</v>
      </c>
      <c r="Q9" s="23">
        <v>45102.400000000001</v>
      </c>
      <c r="R9" s="23">
        <v>47559.5</v>
      </c>
      <c r="S9" s="23">
        <v>48664</v>
      </c>
      <c r="T9" s="23">
        <v>48121.9</v>
      </c>
      <c r="U9" s="23">
        <v>51220.4</v>
      </c>
      <c r="V9" s="23">
        <v>52103.9</v>
      </c>
      <c r="W9" s="23">
        <v>53578.2</v>
      </c>
      <c r="X9" s="23">
        <v>54950.2</v>
      </c>
      <c r="Y9" s="23">
        <v>68573.399999999994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6589.9</v>
      </c>
      <c r="E10" s="23">
        <v>6850.8</v>
      </c>
      <c r="F10" s="23">
        <v>7177.1</v>
      </c>
      <c r="G10" s="23">
        <v>7685.2</v>
      </c>
      <c r="H10" s="23">
        <v>7826.8</v>
      </c>
      <c r="I10" s="23">
        <v>7828.1</v>
      </c>
      <c r="J10" s="23">
        <v>8286.5</v>
      </c>
      <c r="K10" s="23">
        <v>8590.1</v>
      </c>
      <c r="L10" s="23">
        <v>9383.4</v>
      </c>
      <c r="M10" s="23">
        <v>9746.2999999999993</v>
      </c>
      <c r="N10" s="23">
        <v>9952.5</v>
      </c>
      <c r="O10" s="23">
        <v>9867.6</v>
      </c>
      <c r="P10" s="23">
        <v>9832.9</v>
      </c>
      <c r="Q10" s="23">
        <v>10498.7</v>
      </c>
      <c r="R10" s="23">
        <v>10389.900000000001</v>
      </c>
      <c r="S10" s="23">
        <v>10963.5</v>
      </c>
      <c r="T10" s="23">
        <v>11604.7</v>
      </c>
      <c r="U10" s="23">
        <v>11801.4</v>
      </c>
      <c r="V10" s="23">
        <v>11938</v>
      </c>
      <c r="W10" s="23">
        <v>12909.7</v>
      </c>
      <c r="X10" s="23">
        <v>13478.2</v>
      </c>
      <c r="Y10" s="23">
        <v>14512.3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7193.8</v>
      </c>
      <c r="E11" s="23">
        <v>7417.7</v>
      </c>
      <c r="F11" s="23">
        <v>7793</v>
      </c>
      <c r="G11" s="23">
        <v>8209.6</v>
      </c>
      <c r="H11" s="23">
        <v>8523.2999999999993</v>
      </c>
      <c r="I11" s="23">
        <v>9429.5999999999985</v>
      </c>
      <c r="J11" s="23">
        <v>10046.6</v>
      </c>
      <c r="K11" s="23">
        <v>11017.1</v>
      </c>
      <c r="L11" s="23">
        <v>12324.7</v>
      </c>
      <c r="M11" s="23">
        <v>12503.3</v>
      </c>
      <c r="N11" s="23">
        <v>12979</v>
      </c>
      <c r="O11" s="23">
        <v>12635.2</v>
      </c>
      <c r="P11" s="23">
        <v>13759.1</v>
      </c>
      <c r="Q11" s="23">
        <v>13250.6</v>
      </c>
      <c r="R11" s="23">
        <v>13804.3</v>
      </c>
      <c r="S11" s="23">
        <v>14227.6</v>
      </c>
      <c r="T11" s="23">
        <v>14345.7</v>
      </c>
      <c r="U11" s="23">
        <v>14840.8</v>
      </c>
      <c r="V11" s="23">
        <v>15009.4</v>
      </c>
      <c r="W11" s="23">
        <v>14819.3</v>
      </c>
      <c r="X11" s="23">
        <v>14593</v>
      </c>
      <c r="Y11" s="23">
        <v>15883.3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13928.4</v>
      </c>
      <c r="E12" s="23">
        <v>14744</v>
      </c>
      <c r="F12" s="23">
        <v>15428.4</v>
      </c>
      <c r="G12" s="23">
        <v>16132</v>
      </c>
      <c r="H12" s="23">
        <v>16613.900000000001</v>
      </c>
      <c r="I12" s="23">
        <v>17369.7</v>
      </c>
      <c r="J12" s="23">
        <v>17832.2</v>
      </c>
      <c r="K12" s="23">
        <v>18374.599999999999</v>
      </c>
      <c r="L12" s="23">
        <v>18552.099999999999</v>
      </c>
      <c r="M12" s="23">
        <v>19566.7</v>
      </c>
      <c r="N12" s="23">
        <v>20839.500000000004</v>
      </c>
      <c r="O12" s="23">
        <v>22063.9</v>
      </c>
      <c r="P12" s="23">
        <v>22151.3</v>
      </c>
      <c r="Q12" s="23">
        <v>22535.599999999999</v>
      </c>
      <c r="R12" s="23">
        <v>23611.200000000001</v>
      </c>
      <c r="S12" s="23">
        <v>24348</v>
      </c>
      <c r="T12" s="23">
        <v>25386.5</v>
      </c>
      <c r="U12" s="23">
        <v>26621.3</v>
      </c>
      <c r="V12" s="23">
        <v>27922.799999999999</v>
      </c>
      <c r="W12" s="23">
        <v>29031.1</v>
      </c>
      <c r="X12" s="23">
        <v>30135.200000000001</v>
      </c>
      <c r="Y12" s="23">
        <v>30401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10501.5</v>
      </c>
      <c r="E13" s="23">
        <v>11202.2</v>
      </c>
      <c r="F13" s="23">
        <v>11320.1</v>
      </c>
      <c r="G13" s="23">
        <v>11511.5</v>
      </c>
      <c r="H13" s="23">
        <v>12530.7</v>
      </c>
      <c r="I13" s="23">
        <v>13836.2</v>
      </c>
      <c r="J13" s="23">
        <v>14724.7</v>
      </c>
      <c r="K13" s="23">
        <v>15302.8</v>
      </c>
      <c r="L13" s="23">
        <v>16923.2</v>
      </c>
      <c r="M13" s="23">
        <v>16592.3</v>
      </c>
      <c r="N13" s="23">
        <v>16721.599999999999</v>
      </c>
      <c r="O13" s="23">
        <v>16996.400000000001</v>
      </c>
      <c r="P13" s="23">
        <v>17227.499999999996</v>
      </c>
      <c r="Q13" s="23">
        <v>18433.800000000003</v>
      </c>
      <c r="R13" s="23">
        <v>19195.599999999995</v>
      </c>
      <c r="S13" s="23">
        <v>20877.5</v>
      </c>
      <c r="T13" s="23">
        <v>23478.2</v>
      </c>
      <c r="U13" s="23">
        <v>24238.6</v>
      </c>
      <c r="V13" s="23">
        <v>25506.9</v>
      </c>
      <c r="W13" s="23">
        <v>25772.799999999999</v>
      </c>
      <c r="X13" s="23">
        <v>26000.7</v>
      </c>
      <c r="Y13" s="23">
        <v>29057.5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33529</v>
      </c>
      <c r="E14" s="23">
        <v>35176</v>
      </c>
      <c r="F14" s="23">
        <v>36794.800000000003</v>
      </c>
      <c r="G14" s="23">
        <v>37783.19999999999</v>
      </c>
      <c r="H14" s="23">
        <v>39151.399999999994</v>
      </c>
      <c r="I14" s="23">
        <v>40019.199999999997</v>
      </c>
      <c r="J14" s="23">
        <v>41804.199999999997</v>
      </c>
      <c r="K14" s="23">
        <v>42845.4</v>
      </c>
      <c r="L14" s="23">
        <v>45613.1</v>
      </c>
      <c r="M14" s="23">
        <v>48632.7</v>
      </c>
      <c r="N14" s="23">
        <v>50375.3</v>
      </c>
      <c r="O14" s="23">
        <v>49882.1</v>
      </c>
      <c r="P14" s="23">
        <v>50898.6</v>
      </c>
      <c r="Q14" s="23">
        <v>51139.9</v>
      </c>
      <c r="R14" s="23">
        <v>52081.7</v>
      </c>
      <c r="S14" s="23">
        <v>52936</v>
      </c>
      <c r="T14" s="23">
        <v>53526.2</v>
      </c>
      <c r="U14" s="23">
        <v>54338</v>
      </c>
      <c r="V14" s="23">
        <v>55536.3</v>
      </c>
      <c r="W14" s="23">
        <v>56797.8</v>
      </c>
      <c r="X14" s="23">
        <v>58327.199999999997</v>
      </c>
      <c r="Y14" s="23">
        <v>61472.5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5079.2</v>
      </c>
      <c r="E15" s="23">
        <v>5387.8</v>
      </c>
      <c r="F15" s="23">
        <v>5579.3</v>
      </c>
      <c r="G15" s="23">
        <v>5717.9</v>
      </c>
      <c r="H15" s="23">
        <v>5924.5</v>
      </c>
      <c r="I15" s="23">
        <v>6149</v>
      </c>
      <c r="J15" s="23">
        <v>6418.2</v>
      </c>
      <c r="K15" s="23">
        <v>6542</v>
      </c>
      <c r="L15" s="23">
        <v>6895.6</v>
      </c>
      <c r="M15" s="23">
        <v>7110.5</v>
      </c>
      <c r="N15" s="23">
        <v>7253.2</v>
      </c>
      <c r="O15" s="23">
        <v>7491.9</v>
      </c>
      <c r="P15" s="23">
        <v>7545.9</v>
      </c>
      <c r="Q15" s="23">
        <v>7612.1</v>
      </c>
      <c r="R15" s="23">
        <v>7690.6</v>
      </c>
      <c r="S15" s="23">
        <v>7721.3</v>
      </c>
      <c r="T15" s="23">
        <v>7981</v>
      </c>
      <c r="U15" s="23">
        <v>8288.7000000000007</v>
      </c>
      <c r="V15" s="23">
        <v>8245.4</v>
      </c>
      <c r="W15" s="23">
        <v>8500.2000000000025</v>
      </c>
      <c r="X15" s="23">
        <v>7256.5</v>
      </c>
      <c r="Y15" s="23">
        <v>7832.4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153361.09999999998</v>
      </c>
      <c r="E16" s="30">
        <f t="shared" ref="E16:S16" si="0">SUM(E6:E15)</f>
        <v>158494.69999999995</v>
      </c>
      <c r="F16" s="30">
        <f t="shared" si="0"/>
        <v>163060</v>
      </c>
      <c r="G16" s="30">
        <f t="shared" si="0"/>
        <v>166313.29999999996</v>
      </c>
      <c r="H16" s="30">
        <f t="shared" si="0"/>
        <v>173567.09999999998</v>
      </c>
      <c r="I16" s="30">
        <f t="shared" si="0"/>
        <v>180849</v>
      </c>
      <c r="J16" s="30">
        <f t="shared" si="0"/>
        <v>191531.7</v>
      </c>
      <c r="K16" s="30">
        <f t="shared" si="0"/>
        <v>197972.59999999998</v>
      </c>
      <c r="L16" s="30">
        <f t="shared" si="0"/>
        <v>207276.40000000002</v>
      </c>
      <c r="M16" s="30">
        <f t="shared" si="0"/>
        <v>199422.59999999998</v>
      </c>
      <c r="N16" s="30">
        <f t="shared" si="0"/>
        <v>209840.2</v>
      </c>
      <c r="O16" s="30">
        <f t="shared" si="0"/>
        <v>213907.9</v>
      </c>
      <c r="P16" s="30">
        <f t="shared" si="0"/>
        <v>219794.8</v>
      </c>
      <c r="Q16" s="30">
        <f t="shared" si="0"/>
        <v>223850.7</v>
      </c>
      <c r="R16" s="30">
        <f t="shared" si="0"/>
        <v>230586.90000000005</v>
      </c>
      <c r="S16" s="30">
        <f t="shared" si="0"/>
        <v>236921.5</v>
      </c>
      <c r="T16" s="30">
        <f t="shared" ref="T16:Y16" si="1">SUM(T6:T15)</f>
        <v>245680.2</v>
      </c>
      <c r="U16" s="30">
        <f t="shared" si="1"/>
        <v>256348.6</v>
      </c>
      <c r="V16" s="30">
        <f t="shared" si="1"/>
        <v>262324.80000000005</v>
      </c>
      <c r="W16" s="30">
        <f t="shared" si="1"/>
        <v>269428.29999999993</v>
      </c>
      <c r="X16" s="30">
        <f t="shared" si="1"/>
        <v>270445.00000000006</v>
      </c>
      <c r="Y16" s="30">
        <f t="shared" si="1"/>
        <v>298647.79999999993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3830.7</v>
      </c>
      <c r="E18" s="19">
        <v>4305.8</v>
      </c>
      <c r="F18" s="19">
        <v>3380.5</v>
      </c>
      <c r="G18" s="19">
        <v>3114.5</v>
      </c>
      <c r="H18" s="19">
        <v>3284.4</v>
      </c>
      <c r="I18" s="19">
        <v>2438.3000000000002</v>
      </c>
      <c r="J18" s="19">
        <v>2627.9</v>
      </c>
      <c r="K18" s="19">
        <v>2740.9</v>
      </c>
      <c r="L18" s="19">
        <v>2072.5</v>
      </c>
      <c r="M18" s="19">
        <v>1927.9</v>
      </c>
      <c r="N18" s="19">
        <v>2922.6</v>
      </c>
      <c r="O18" s="19">
        <v>3252.5</v>
      </c>
      <c r="P18" s="19">
        <v>4212.6000000000004</v>
      </c>
      <c r="Q18" s="19">
        <v>3369.2</v>
      </c>
      <c r="R18" s="19">
        <v>3674</v>
      </c>
      <c r="S18" s="19">
        <v>2614.4</v>
      </c>
      <c r="T18" s="19">
        <v>2721.1</v>
      </c>
      <c r="U18" s="19">
        <v>3846.7</v>
      </c>
      <c r="V18" s="19">
        <v>3103.6</v>
      </c>
      <c r="W18" s="19">
        <v>3919.5</v>
      </c>
      <c r="X18" s="19">
        <v>4302.6000000000004</v>
      </c>
      <c r="Y18" s="19">
        <v>3734.8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4605.3999999999996</v>
      </c>
      <c r="E19" s="23">
        <v>3996.9999999999995</v>
      </c>
      <c r="F19" s="23">
        <v>3985.5</v>
      </c>
      <c r="G19" s="23">
        <v>3938.8</v>
      </c>
      <c r="H19" s="23">
        <v>5054</v>
      </c>
      <c r="I19" s="23">
        <v>7050.3999999999987</v>
      </c>
      <c r="J19" s="23">
        <v>7922.8999999999987</v>
      </c>
      <c r="K19" s="23">
        <v>7850.8</v>
      </c>
      <c r="L19" s="23">
        <v>8746</v>
      </c>
      <c r="M19" s="23">
        <v>5561.6</v>
      </c>
      <c r="N19" s="23">
        <v>6496.9</v>
      </c>
      <c r="O19" s="23">
        <v>7576</v>
      </c>
      <c r="P19" s="23">
        <v>7609.9</v>
      </c>
      <c r="Q19" s="23">
        <v>6351.1</v>
      </c>
      <c r="R19" s="23">
        <v>5293.9</v>
      </c>
      <c r="S19" s="23">
        <v>3140.5</v>
      </c>
      <c r="T19" s="23">
        <v>2738.8</v>
      </c>
      <c r="U19" s="23">
        <v>2880.1</v>
      </c>
      <c r="V19" s="23">
        <v>3305.8</v>
      </c>
      <c r="W19" s="23">
        <v>2539.9</v>
      </c>
      <c r="X19" s="23">
        <v>1351.3</v>
      </c>
      <c r="Y19" s="23">
        <v>1196.238461968496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25180.5</v>
      </c>
      <c r="E20" s="23">
        <v>25833.499999999985</v>
      </c>
      <c r="F20" s="23">
        <v>26444.800000000003</v>
      </c>
      <c r="G20" s="23">
        <v>25595.199999999983</v>
      </c>
      <c r="H20" s="23">
        <v>25807.200000000008</v>
      </c>
      <c r="I20" s="23">
        <v>25614.699999999983</v>
      </c>
      <c r="J20" s="23">
        <v>27212.899999999991</v>
      </c>
      <c r="K20" s="23">
        <v>27892.6</v>
      </c>
      <c r="L20" s="23">
        <v>28324.000000000018</v>
      </c>
      <c r="M20" s="23">
        <v>25683.69999999999</v>
      </c>
      <c r="N20" s="23">
        <v>26587.499999999985</v>
      </c>
      <c r="O20" s="23">
        <v>27374.400000000009</v>
      </c>
      <c r="P20" s="23">
        <v>29108.399999999987</v>
      </c>
      <c r="Q20" s="23">
        <v>30478.999999999985</v>
      </c>
      <c r="R20" s="23">
        <v>31519.400000000012</v>
      </c>
      <c r="S20" s="23">
        <v>33863.599999999991</v>
      </c>
      <c r="T20" s="23">
        <v>36618.000000000022</v>
      </c>
      <c r="U20" s="23">
        <v>38352.400000000016</v>
      </c>
      <c r="V20" s="23">
        <v>39570.10000000002</v>
      </c>
      <c r="W20" s="23">
        <v>41497.499999999956</v>
      </c>
      <c r="X20" s="23">
        <v>39922.200000000019</v>
      </c>
      <c r="Y20" s="23">
        <v>43842.756953941614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2850.2</v>
      </c>
      <c r="E21" s="23">
        <v>3035.3</v>
      </c>
      <c r="F21" s="23">
        <v>2995.9</v>
      </c>
      <c r="G21" s="23">
        <v>3178.4</v>
      </c>
      <c r="H21" s="23">
        <v>3276.1</v>
      </c>
      <c r="I21" s="23">
        <v>3613.8</v>
      </c>
      <c r="J21" s="23">
        <v>3926.1</v>
      </c>
      <c r="K21" s="23">
        <v>3290.3</v>
      </c>
      <c r="L21" s="23">
        <v>3456.8</v>
      </c>
      <c r="M21" s="23">
        <v>3116.2</v>
      </c>
      <c r="N21" s="23">
        <v>3873.6</v>
      </c>
      <c r="O21" s="23">
        <v>3581.7</v>
      </c>
      <c r="P21" s="23">
        <v>3367.7</v>
      </c>
      <c r="Q21" s="23">
        <v>3116</v>
      </c>
      <c r="R21" s="23">
        <v>3340.4</v>
      </c>
      <c r="S21" s="23">
        <v>3784.7</v>
      </c>
      <c r="T21" s="23">
        <v>3708.4</v>
      </c>
      <c r="U21" s="23">
        <v>3581.9</v>
      </c>
      <c r="V21" s="23">
        <v>3139.6</v>
      </c>
      <c r="W21" s="23">
        <v>3238.4</v>
      </c>
      <c r="X21" s="23">
        <v>2850.3</v>
      </c>
      <c r="Y21" s="23">
        <v>2894.4951143918584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1092.3</v>
      </c>
      <c r="E22" s="23">
        <v>1146.8</v>
      </c>
      <c r="F22" s="23">
        <v>1167.9000000000001</v>
      </c>
      <c r="G22" s="23">
        <v>1204.3</v>
      </c>
      <c r="H22" s="23">
        <v>1284.5999999999999</v>
      </c>
      <c r="I22" s="23">
        <v>1292</v>
      </c>
      <c r="J22" s="23">
        <v>1303.8</v>
      </c>
      <c r="K22" s="23">
        <v>1339.8</v>
      </c>
      <c r="L22" s="23">
        <v>1542</v>
      </c>
      <c r="M22" s="23">
        <v>1545.6</v>
      </c>
      <c r="N22" s="23">
        <v>1693.4</v>
      </c>
      <c r="O22" s="23">
        <v>1772.6</v>
      </c>
      <c r="P22" s="23">
        <v>1830</v>
      </c>
      <c r="Q22" s="23">
        <v>1817.1</v>
      </c>
      <c r="R22" s="23">
        <v>1893.7</v>
      </c>
      <c r="S22" s="23">
        <v>2030.5</v>
      </c>
      <c r="T22" s="23">
        <v>2069.3000000000002</v>
      </c>
      <c r="U22" s="23">
        <v>2009.5</v>
      </c>
      <c r="V22" s="23">
        <v>2114.3000000000006</v>
      </c>
      <c r="W22" s="23">
        <v>2107.4</v>
      </c>
      <c r="X22" s="23">
        <v>2371.6999999999998</v>
      </c>
      <c r="Y22" s="23">
        <v>2882.1094696979817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8377.7000000000007</v>
      </c>
      <c r="E23" s="23">
        <v>8116.7</v>
      </c>
      <c r="F23" s="23">
        <v>8405.4</v>
      </c>
      <c r="G23" s="23">
        <v>8936.2000000000007</v>
      </c>
      <c r="H23" s="23">
        <v>9373.5</v>
      </c>
      <c r="I23" s="23">
        <v>9762.1</v>
      </c>
      <c r="J23" s="23">
        <v>11099.6</v>
      </c>
      <c r="K23" s="23">
        <v>11359.6</v>
      </c>
      <c r="L23" s="23">
        <v>12521.3</v>
      </c>
      <c r="M23" s="23">
        <v>10233.299999999999</v>
      </c>
      <c r="N23" s="23">
        <v>9264.2000000000025</v>
      </c>
      <c r="O23" s="23">
        <v>9902.7999999999993</v>
      </c>
      <c r="P23" s="23">
        <v>10012.5</v>
      </c>
      <c r="Q23" s="23">
        <v>10145.200000000001</v>
      </c>
      <c r="R23" s="23">
        <v>10532.7</v>
      </c>
      <c r="S23" s="23">
        <v>11749.9</v>
      </c>
      <c r="T23" s="23">
        <v>13380.4</v>
      </c>
      <c r="U23" s="23">
        <v>14328.8</v>
      </c>
      <c r="V23" s="23">
        <v>14828.7</v>
      </c>
      <c r="W23" s="23">
        <v>14716.5</v>
      </c>
      <c r="X23" s="23">
        <v>14905.9</v>
      </c>
      <c r="Y23" s="23">
        <v>16365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18671.400000000001</v>
      </c>
      <c r="E24" s="23">
        <v>18723.2</v>
      </c>
      <c r="F24" s="23">
        <v>19782.400000000001</v>
      </c>
      <c r="G24" s="23">
        <v>20139.099999999999</v>
      </c>
      <c r="H24" s="23">
        <v>20695.399999999994</v>
      </c>
      <c r="I24" s="23">
        <v>21545.8</v>
      </c>
      <c r="J24" s="23">
        <v>24299.700000000004</v>
      </c>
      <c r="K24" s="23">
        <v>25612.5</v>
      </c>
      <c r="L24" s="23">
        <v>26215.099999999995</v>
      </c>
      <c r="M24" s="23">
        <v>24787.5</v>
      </c>
      <c r="N24" s="23">
        <v>25774.600000000006</v>
      </c>
      <c r="O24" s="23">
        <v>27478.300000000003</v>
      </c>
      <c r="P24" s="23">
        <v>28048.2</v>
      </c>
      <c r="Q24" s="23">
        <v>28748.399999999994</v>
      </c>
      <c r="R24" s="23">
        <v>29900.199999999997</v>
      </c>
      <c r="S24" s="23">
        <v>31116.7</v>
      </c>
      <c r="T24" s="23">
        <v>31437.900000000009</v>
      </c>
      <c r="U24" s="23">
        <v>33193.800000000003</v>
      </c>
      <c r="V24" s="23">
        <v>34609.199999999997</v>
      </c>
      <c r="W24" s="23">
        <v>34629.9</v>
      </c>
      <c r="X24" s="23">
        <v>37197.4</v>
      </c>
      <c r="Y24" s="23">
        <v>47591.535585946403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9719.2000000000007</v>
      </c>
      <c r="E25" s="23">
        <v>10294.799999999999</v>
      </c>
      <c r="F25" s="23">
        <v>10424.200000000001</v>
      </c>
      <c r="G25" s="23">
        <v>10754.7</v>
      </c>
      <c r="H25" s="23">
        <v>11761.9</v>
      </c>
      <c r="I25" s="23">
        <v>12352.5</v>
      </c>
      <c r="J25" s="23">
        <v>11184.1</v>
      </c>
      <c r="K25" s="23">
        <v>12191</v>
      </c>
      <c r="L25" s="23">
        <v>11603.7</v>
      </c>
      <c r="M25" s="23">
        <v>9496.2999999999993</v>
      </c>
      <c r="N25" s="23">
        <v>12287.7</v>
      </c>
      <c r="O25" s="23">
        <v>10958.7</v>
      </c>
      <c r="P25" s="23">
        <v>11001.2</v>
      </c>
      <c r="Q25" s="23">
        <v>12922.5</v>
      </c>
      <c r="R25" s="23">
        <v>14093.7</v>
      </c>
      <c r="S25" s="23">
        <v>13975</v>
      </c>
      <c r="T25" s="23">
        <v>12661</v>
      </c>
      <c r="U25" s="23">
        <v>13865.1</v>
      </c>
      <c r="V25" s="23">
        <v>13129.7</v>
      </c>
      <c r="W25" s="23">
        <v>14469.1</v>
      </c>
      <c r="X25" s="23">
        <v>14864.1</v>
      </c>
      <c r="Y25" s="23">
        <v>18890.368400284857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2211.9</v>
      </c>
      <c r="E26" s="23">
        <v>2263.1</v>
      </c>
      <c r="F26" s="23">
        <v>2380.6999999999998</v>
      </c>
      <c r="G26" s="23">
        <v>2412.6999999999998</v>
      </c>
      <c r="H26" s="23">
        <v>2459.4</v>
      </c>
      <c r="I26" s="23">
        <v>2547.6</v>
      </c>
      <c r="J26" s="23">
        <v>2842.3</v>
      </c>
      <c r="K26" s="23">
        <v>3023.1</v>
      </c>
      <c r="L26" s="23">
        <v>3102.9</v>
      </c>
      <c r="M26" s="23">
        <v>2918.7</v>
      </c>
      <c r="N26" s="23">
        <v>2818.6</v>
      </c>
      <c r="O26" s="23">
        <v>3073.8</v>
      </c>
      <c r="P26" s="23">
        <v>3189</v>
      </c>
      <c r="Q26" s="23">
        <v>3431.5</v>
      </c>
      <c r="R26" s="23">
        <v>3565.6</v>
      </c>
      <c r="S26" s="23">
        <v>3572.3</v>
      </c>
      <c r="T26" s="23">
        <v>4023</v>
      </c>
      <c r="U26" s="23">
        <v>4161.5</v>
      </c>
      <c r="V26" s="23">
        <v>4365</v>
      </c>
      <c r="W26" s="23">
        <v>4479.2000000000007</v>
      </c>
      <c r="X26" s="23">
        <v>2888.7</v>
      </c>
      <c r="Y26" s="23">
        <v>2091.496013768739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6589.9</v>
      </c>
      <c r="E27" s="23">
        <v>6850.8</v>
      </c>
      <c r="F27" s="23">
        <v>7177.1</v>
      </c>
      <c r="G27" s="23">
        <v>7685.2</v>
      </c>
      <c r="H27" s="23">
        <v>7826.8</v>
      </c>
      <c r="I27" s="23">
        <v>7828.1</v>
      </c>
      <c r="J27" s="23">
        <v>8286.5</v>
      </c>
      <c r="K27" s="23">
        <v>8590.1</v>
      </c>
      <c r="L27" s="23">
        <v>9383.4</v>
      </c>
      <c r="M27" s="23">
        <v>9746.2999999999993</v>
      </c>
      <c r="N27" s="23">
        <v>9952.5</v>
      </c>
      <c r="O27" s="23">
        <v>9867.6</v>
      </c>
      <c r="P27" s="23">
        <v>9832.9</v>
      </c>
      <c r="Q27" s="23">
        <v>10498.7</v>
      </c>
      <c r="R27" s="23">
        <v>10389.900000000001</v>
      </c>
      <c r="S27" s="23">
        <v>10963.5</v>
      </c>
      <c r="T27" s="23">
        <v>11604.7</v>
      </c>
      <c r="U27" s="23">
        <v>11801.4</v>
      </c>
      <c r="V27" s="23">
        <v>11938</v>
      </c>
      <c r="W27" s="23">
        <v>12909.7</v>
      </c>
      <c r="X27" s="23">
        <v>13478.2</v>
      </c>
      <c r="Y27" s="23">
        <v>14512.3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7193.8</v>
      </c>
      <c r="E28" s="23">
        <v>7417.7</v>
      </c>
      <c r="F28" s="23">
        <v>7793</v>
      </c>
      <c r="G28" s="23">
        <v>8209.6</v>
      </c>
      <c r="H28" s="23">
        <v>8523.2999999999993</v>
      </c>
      <c r="I28" s="23">
        <v>9429.5999999999985</v>
      </c>
      <c r="J28" s="23">
        <v>10046.6</v>
      </c>
      <c r="K28" s="23">
        <v>11017.1</v>
      </c>
      <c r="L28" s="23">
        <v>12324.7</v>
      </c>
      <c r="M28" s="23">
        <v>12503.3</v>
      </c>
      <c r="N28" s="23">
        <v>12979</v>
      </c>
      <c r="O28" s="23">
        <v>12635.2</v>
      </c>
      <c r="P28" s="23">
        <v>13759.1</v>
      </c>
      <c r="Q28" s="23">
        <v>13250.6</v>
      </c>
      <c r="R28" s="23">
        <v>13804.3</v>
      </c>
      <c r="S28" s="23">
        <v>14227.6</v>
      </c>
      <c r="T28" s="23">
        <v>14345.7</v>
      </c>
      <c r="U28" s="23">
        <v>14840.8</v>
      </c>
      <c r="V28" s="23">
        <v>15009.4</v>
      </c>
      <c r="W28" s="23">
        <v>14819.3</v>
      </c>
      <c r="X28" s="23">
        <v>14593</v>
      </c>
      <c r="Y28" s="23">
        <v>15883.3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13928.4</v>
      </c>
      <c r="E29" s="23">
        <v>14744</v>
      </c>
      <c r="F29" s="23">
        <v>15428.4</v>
      </c>
      <c r="G29" s="23">
        <v>16132</v>
      </c>
      <c r="H29" s="23">
        <v>16613.900000000001</v>
      </c>
      <c r="I29" s="23">
        <v>17369.7</v>
      </c>
      <c r="J29" s="23">
        <v>17832.2</v>
      </c>
      <c r="K29" s="23">
        <v>18374.599999999999</v>
      </c>
      <c r="L29" s="23">
        <v>18552.099999999999</v>
      </c>
      <c r="M29" s="23">
        <v>19566.7</v>
      </c>
      <c r="N29" s="23">
        <v>20839.500000000004</v>
      </c>
      <c r="O29" s="23">
        <v>22063.9</v>
      </c>
      <c r="P29" s="23">
        <v>22151.3</v>
      </c>
      <c r="Q29" s="23">
        <v>22535.599999999999</v>
      </c>
      <c r="R29" s="23">
        <v>23611.200000000001</v>
      </c>
      <c r="S29" s="23">
        <v>24348</v>
      </c>
      <c r="T29" s="23">
        <v>25386.5</v>
      </c>
      <c r="U29" s="23">
        <v>26621.3</v>
      </c>
      <c r="V29" s="23">
        <v>27922.799999999999</v>
      </c>
      <c r="W29" s="23">
        <v>29031.1</v>
      </c>
      <c r="X29" s="23">
        <v>30135.200000000001</v>
      </c>
      <c r="Y29" s="23">
        <v>30401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7259.7</v>
      </c>
      <c r="E30" s="23">
        <v>7794.2000000000007</v>
      </c>
      <c r="F30" s="23">
        <v>7618.0999999999985</v>
      </c>
      <c r="G30" s="23">
        <v>7582.7</v>
      </c>
      <c r="H30" s="23">
        <v>8208.6</v>
      </c>
      <c r="I30" s="23">
        <v>8954.2999999999993</v>
      </c>
      <c r="J30" s="23">
        <v>9609.1999999999989</v>
      </c>
      <c r="K30" s="23">
        <v>9708.9</v>
      </c>
      <c r="L30" s="23">
        <v>11294.8</v>
      </c>
      <c r="M30" s="23">
        <v>11325.6</v>
      </c>
      <c r="N30" s="23">
        <v>11415.699999999997</v>
      </c>
      <c r="O30" s="23">
        <v>11254.6</v>
      </c>
      <c r="P30" s="23">
        <v>11143.399999999998</v>
      </c>
      <c r="Q30" s="23">
        <v>11939.5</v>
      </c>
      <c r="R30" s="23">
        <v>12449.199999999995</v>
      </c>
      <c r="S30" s="23">
        <v>13309.4</v>
      </c>
      <c r="T30" s="23">
        <v>15465.1</v>
      </c>
      <c r="U30" s="23">
        <v>15979.9</v>
      </c>
      <c r="V30" s="23">
        <v>16938.600000000002</v>
      </c>
      <c r="W30" s="23">
        <v>17442.899999999998</v>
      </c>
      <c r="X30" s="23">
        <v>18402.3</v>
      </c>
      <c r="Y30" s="23">
        <v>21247.894365692409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3241.8</v>
      </c>
      <c r="E31" s="23">
        <v>3408</v>
      </c>
      <c r="F31" s="23">
        <v>3702</v>
      </c>
      <c r="G31" s="23">
        <v>3928.8</v>
      </c>
      <c r="H31" s="23">
        <v>4322.1000000000004</v>
      </c>
      <c r="I31" s="23">
        <v>4881.8999999999996</v>
      </c>
      <c r="J31" s="23">
        <v>5115.5000000000009</v>
      </c>
      <c r="K31" s="23">
        <v>5593.9</v>
      </c>
      <c r="L31" s="23">
        <v>5628.4</v>
      </c>
      <c r="M31" s="23">
        <v>5266.7</v>
      </c>
      <c r="N31" s="23">
        <v>5305.9</v>
      </c>
      <c r="O31" s="23">
        <v>5741.8</v>
      </c>
      <c r="P31" s="23">
        <v>6084.1</v>
      </c>
      <c r="Q31" s="23">
        <v>6494.3</v>
      </c>
      <c r="R31" s="23">
        <v>6746.4</v>
      </c>
      <c r="S31" s="23">
        <v>7568.1</v>
      </c>
      <c r="T31" s="23">
        <v>8013.1</v>
      </c>
      <c r="U31" s="23">
        <v>8258.7000000000007</v>
      </c>
      <c r="V31" s="23">
        <v>8568.2999999999993</v>
      </c>
      <c r="W31" s="23">
        <v>8329.9</v>
      </c>
      <c r="X31" s="23">
        <v>7598.4</v>
      </c>
      <c r="Y31" s="23">
        <v>7809.6056343075925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9244.8000000000047</v>
      </c>
      <c r="E32" s="23">
        <v>9576.7000000000025</v>
      </c>
      <c r="F32" s="23">
        <v>9877.6000000000076</v>
      </c>
      <c r="G32" s="23">
        <v>9918.6999999999935</v>
      </c>
      <c r="H32" s="23">
        <v>10197.499999999996</v>
      </c>
      <c r="I32" s="23">
        <v>10420.599999999997</v>
      </c>
      <c r="J32" s="23">
        <v>10847.499999999998</v>
      </c>
      <c r="K32" s="23">
        <v>10930.399999999998</v>
      </c>
      <c r="L32" s="23">
        <v>11585.599999999999</v>
      </c>
      <c r="M32" s="23">
        <v>12104.100000000002</v>
      </c>
      <c r="N32" s="23">
        <v>12508.700000000003</v>
      </c>
      <c r="O32" s="23">
        <v>12217.600000000002</v>
      </c>
      <c r="P32" s="23">
        <v>12399.900000000001</v>
      </c>
      <c r="Q32" s="23">
        <v>12160.799999999997</v>
      </c>
      <c r="R32" s="23">
        <v>12096.600000000002</v>
      </c>
      <c r="S32" s="23">
        <v>12246.400000000001</v>
      </c>
      <c r="T32" s="23">
        <v>12220.5</v>
      </c>
      <c r="U32" s="23">
        <v>12312.700000000003</v>
      </c>
      <c r="V32" s="23">
        <v>12564.499999999995</v>
      </c>
      <c r="W32" s="23">
        <v>13008.100000000004</v>
      </c>
      <c r="X32" s="23">
        <v>13413.7</v>
      </c>
      <c r="Y32" s="23">
        <v>14180.570650387113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8871</v>
      </c>
      <c r="E33" s="23">
        <v>9288.9</v>
      </c>
      <c r="F33" s="23">
        <v>9848.9</v>
      </c>
      <c r="G33" s="23">
        <v>10067.799999999999</v>
      </c>
      <c r="H33" s="23">
        <v>10539.4</v>
      </c>
      <c r="I33" s="23">
        <v>10736.2</v>
      </c>
      <c r="J33" s="23">
        <v>11201.5</v>
      </c>
      <c r="K33" s="23">
        <v>11405.4</v>
      </c>
      <c r="L33" s="23">
        <v>12321.8</v>
      </c>
      <c r="M33" s="23">
        <v>13057</v>
      </c>
      <c r="N33" s="23">
        <v>13637</v>
      </c>
      <c r="O33" s="23">
        <v>13723.5</v>
      </c>
      <c r="P33" s="23">
        <v>14189</v>
      </c>
      <c r="Q33" s="23">
        <v>14251.1</v>
      </c>
      <c r="R33" s="23">
        <v>15076.5</v>
      </c>
      <c r="S33" s="23">
        <v>15429</v>
      </c>
      <c r="T33" s="23">
        <v>15701.3</v>
      </c>
      <c r="U33" s="23">
        <v>15781.2</v>
      </c>
      <c r="V33" s="23">
        <v>16060.1</v>
      </c>
      <c r="W33" s="23">
        <v>16288.7</v>
      </c>
      <c r="X33" s="23">
        <v>16382.2</v>
      </c>
      <c r="Y33" s="23">
        <v>17012.227084829283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15413.2</v>
      </c>
      <c r="E34" s="23">
        <v>16310.4</v>
      </c>
      <c r="F34" s="23">
        <v>17068.3</v>
      </c>
      <c r="G34" s="23">
        <v>17796.7</v>
      </c>
      <c r="H34" s="23">
        <v>18414.5</v>
      </c>
      <c r="I34" s="23">
        <v>18862.400000000001</v>
      </c>
      <c r="J34" s="23">
        <v>19755.199999999997</v>
      </c>
      <c r="K34" s="23">
        <v>20509.599999999999</v>
      </c>
      <c r="L34" s="23">
        <v>21705.7</v>
      </c>
      <c r="M34" s="23">
        <v>23471.599999999999</v>
      </c>
      <c r="N34" s="23">
        <v>24229.599999999999</v>
      </c>
      <c r="O34" s="23">
        <v>23941</v>
      </c>
      <c r="P34" s="23">
        <v>24309.7</v>
      </c>
      <c r="Q34" s="23">
        <v>24728</v>
      </c>
      <c r="R34" s="23">
        <v>24908.6</v>
      </c>
      <c r="S34" s="23">
        <v>25260.6</v>
      </c>
      <c r="T34" s="23">
        <v>25604.400000000001</v>
      </c>
      <c r="U34" s="23">
        <v>26244.1</v>
      </c>
      <c r="V34" s="23">
        <v>26911.7</v>
      </c>
      <c r="W34" s="23">
        <v>27501</v>
      </c>
      <c r="X34" s="23">
        <v>28531.3</v>
      </c>
      <c r="Y34" s="23">
        <v>30279.702264783602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2263.6999999999998</v>
      </c>
      <c r="E35" s="23">
        <v>2472.5</v>
      </c>
      <c r="F35" s="23">
        <v>2506.7000000000003</v>
      </c>
      <c r="G35" s="23">
        <v>2484.6999999999998</v>
      </c>
      <c r="H35" s="23">
        <v>2584.3000000000002</v>
      </c>
      <c r="I35" s="23">
        <v>2688</v>
      </c>
      <c r="J35" s="23">
        <v>2845.8</v>
      </c>
      <c r="K35" s="23">
        <v>2878.3999999999996</v>
      </c>
      <c r="L35" s="23">
        <v>3169.9999999999995</v>
      </c>
      <c r="M35" s="23">
        <v>3154.0999999999995</v>
      </c>
      <c r="N35" s="23">
        <v>3184.7000000000007</v>
      </c>
      <c r="O35" s="23">
        <v>3314.3</v>
      </c>
      <c r="P35" s="23">
        <v>3359.7999999999993</v>
      </c>
      <c r="Q35" s="23">
        <v>3450</v>
      </c>
      <c r="R35" s="23">
        <v>3535.1000000000004</v>
      </c>
      <c r="S35" s="23">
        <v>3555.0999999999995</v>
      </c>
      <c r="T35" s="23">
        <v>3671.5</v>
      </c>
      <c r="U35" s="23">
        <v>3854.8000000000011</v>
      </c>
      <c r="V35" s="23">
        <v>3821.2000000000007</v>
      </c>
      <c r="W35" s="23">
        <v>3909.2000000000025</v>
      </c>
      <c r="X35" s="23">
        <v>2571.8000000000002</v>
      </c>
      <c r="Y35" s="23">
        <v>2401.0184617208934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2603.1</v>
      </c>
      <c r="E36" s="23">
        <v>2697</v>
      </c>
      <c r="F36" s="23">
        <v>2794.2</v>
      </c>
      <c r="G36" s="23">
        <v>2922.3</v>
      </c>
      <c r="H36" s="23">
        <v>3007.7</v>
      </c>
      <c r="I36" s="23">
        <v>3054.3</v>
      </c>
      <c r="J36" s="23">
        <v>3124.6</v>
      </c>
      <c r="K36" s="23">
        <v>3188.1</v>
      </c>
      <c r="L36" s="23">
        <v>3221.2</v>
      </c>
      <c r="M36" s="23">
        <v>3403.6</v>
      </c>
      <c r="N36" s="23">
        <v>3482.5</v>
      </c>
      <c r="O36" s="23">
        <v>3549.6</v>
      </c>
      <c r="P36" s="23">
        <v>3564.9</v>
      </c>
      <c r="Q36" s="23">
        <v>3505.3</v>
      </c>
      <c r="R36" s="23">
        <v>3487.6</v>
      </c>
      <c r="S36" s="23">
        <v>3499.9</v>
      </c>
      <c r="T36" s="23">
        <v>3640.2</v>
      </c>
      <c r="U36" s="23">
        <v>3760.9</v>
      </c>
      <c r="V36" s="23">
        <v>3784.5</v>
      </c>
      <c r="W36" s="23">
        <v>3953.9</v>
      </c>
      <c r="X36" s="23">
        <v>4021.6</v>
      </c>
      <c r="Y36" s="23">
        <v>4653.8769137391973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212.4</v>
      </c>
      <c r="E37" s="23">
        <v>218.3</v>
      </c>
      <c r="F37" s="23">
        <v>278.39999999999992</v>
      </c>
      <c r="G37" s="23">
        <v>310.89999999999998</v>
      </c>
      <c r="H37" s="23">
        <v>332.5</v>
      </c>
      <c r="I37" s="23">
        <v>406.7</v>
      </c>
      <c r="J37" s="23">
        <v>447.8</v>
      </c>
      <c r="K37" s="23">
        <v>475.5</v>
      </c>
      <c r="L37" s="23">
        <v>504.4</v>
      </c>
      <c r="M37" s="23">
        <v>552.79999999999995</v>
      </c>
      <c r="N37" s="23">
        <v>586</v>
      </c>
      <c r="O37" s="23">
        <v>628</v>
      </c>
      <c r="P37" s="23">
        <v>621.20000000000005</v>
      </c>
      <c r="Q37" s="23">
        <v>656.8</v>
      </c>
      <c r="R37" s="23">
        <v>667.9</v>
      </c>
      <c r="S37" s="23">
        <v>666.3</v>
      </c>
      <c r="T37" s="23">
        <v>669.3</v>
      </c>
      <c r="U37" s="23">
        <v>673</v>
      </c>
      <c r="V37" s="23">
        <v>639.70000000000016</v>
      </c>
      <c r="W37" s="23">
        <v>637.09999999999991</v>
      </c>
      <c r="X37" s="23">
        <v>663.1</v>
      </c>
      <c r="Y37" s="23">
        <v>777.50462453990951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153361.10000000003</v>
      </c>
      <c r="E39" s="30">
        <f t="shared" ref="E39:S39" si="2">SUM(E18:E38)</f>
        <v>158494.69999999998</v>
      </c>
      <c r="F39" s="30">
        <f t="shared" si="2"/>
        <v>163060</v>
      </c>
      <c r="G39" s="30">
        <f t="shared" si="2"/>
        <v>166313.29999999996</v>
      </c>
      <c r="H39" s="30">
        <f t="shared" si="2"/>
        <v>173567.1</v>
      </c>
      <c r="I39" s="30">
        <f t="shared" si="2"/>
        <v>180849</v>
      </c>
      <c r="J39" s="30">
        <f t="shared" si="2"/>
        <v>191531.69999999998</v>
      </c>
      <c r="K39" s="30">
        <f t="shared" si="2"/>
        <v>197972.6</v>
      </c>
      <c r="L39" s="30">
        <f t="shared" si="2"/>
        <v>207276.4</v>
      </c>
      <c r="M39" s="30">
        <f t="shared" si="2"/>
        <v>199422.6</v>
      </c>
      <c r="N39" s="30">
        <f t="shared" si="2"/>
        <v>209840.2</v>
      </c>
      <c r="O39" s="30">
        <f t="shared" si="2"/>
        <v>213907.9</v>
      </c>
      <c r="P39" s="30">
        <f t="shared" si="2"/>
        <v>219794.8</v>
      </c>
      <c r="Q39" s="30">
        <f t="shared" si="2"/>
        <v>223850.69999999995</v>
      </c>
      <c r="R39" s="30">
        <f t="shared" si="2"/>
        <v>230586.9</v>
      </c>
      <c r="S39" s="30">
        <f t="shared" si="2"/>
        <v>236921.5</v>
      </c>
      <c r="T39" s="30">
        <f t="shared" ref="T39:Y39" si="3">SUM(T18:T38)</f>
        <v>245680.20000000004</v>
      </c>
      <c r="U39" s="30">
        <f t="shared" si="3"/>
        <v>256348.6</v>
      </c>
      <c r="V39" s="30">
        <f t="shared" si="3"/>
        <v>262324.80000000005</v>
      </c>
      <c r="W39" s="30">
        <f t="shared" si="3"/>
        <v>269428.29999999993</v>
      </c>
      <c r="X39" s="30">
        <f t="shared" si="3"/>
        <v>270445</v>
      </c>
      <c r="Y39" s="30">
        <f t="shared" si="3"/>
        <v>298647.8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4086.2</v>
      </c>
      <c r="E41" s="19">
        <v>4326.3</v>
      </c>
      <c r="F41" s="19">
        <v>4710.7</v>
      </c>
      <c r="G41" s="19">
        <v>4559.6000000000004</v>
      </c>
      <c r="H41" s="19">
        <v>4604</v>
      </c>
      <c r="I41" s="19">
        <v>4569.1000000000004</v>
      </c>
      <c r="J41" s="19">
        <v>4241.8999999999996</v>
      </c>
      <c r="K41" s="19">
        <v>4172.3999999999996</v>
      </c>
      <c r="L41" s="19">
        <v>4117.5</v>
      </c>
      <c r="M41" s="19">
        <v>4148.3999999999996</v>
      </c>
      <c r="N41" s="19">
        <v>3949.6</v>
      </c>
      <c r="O41" s="19">
        <v>3717.7</v>
      </c>
      <c r="P41" s="19">
        <v>3561.4</v>
      </c>
      <c r="Q41" s="19">
        <v>3727.1</v>
      </c>
      <c r="R41" s="19">
        <v>3767</v>
      </c>
      <c r="S41" s="19">
        <v>4031.4</v>
      </c>
      <c r="T41" s="19">
        <v>4262.2</v>
      </c>
      <c r="U41" s="19">
        <v>3930.3</v>
      </c>
      <c r="V41" s="19">
        <v>4069.4</v>
      </c>
      <c r="W41" s="19">
        <v>4267.7</v>
      </c>
      <c r="X41" s="19">
        <v>4298</v>
      </c>
      <c r="Y41" s="19">
        <v>4694.8069024076249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683.9</v>
      </c>
      <c r="E42" s="23">
        <v>615.1</v>
      </c>
      <c r="F42" s="23">
        <v>585.6</v>
      </c>
      <c r="G42" s="23">
        <v>549.1</v>
      </c>
      <c r="H42" s="23">
        <v>509.7</v>
      </c>
      <c r="I42" s="23">
        <v>431</v>
      </c>
      <c r="J42" s="23">
        <v>457.4</v>
      </c>
      <c r="K42" s="23">
        <v>442.8</v>
      </c>
      <c r="L42" s="23">
        <v>421.7</v>
      </c>
      <c r="M42" s="23">
        <v>350.9</v>
      </c>
      <c r="N42" s="23">
        <v>321.5</v>
      </c>
      <c r="O42" s="23">
        <v>331.4</v>
      </c>
      <c r="P42" s="23">
        <v>299.39999999999998</v>
      </c>
      <c r="Q42" s="23">
        <v>357.7</v>
      </c>
      <c r="R42" s="23">
        <v>370.4</v>
      </c>
      <c r="S42" s="23">
        <v>399.5</v>
      </c>
      <c r="T42" s="23">
        <v>387.6</v>
      </c>
      <c r="U42" s="23">
        <v>416.7</v>
      </c>
      <c r="V42" s="23">
        <v>482.2</v>
      </c>
      <c r="W42" s="23">
        <v>471.1</v>
      </c>
      <c r="X42" s="23">
        <v>450.2</v>
      </c>
      <c r="Y42" s="23">
        <v>480.25724476081302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2197.3000000000002</v>
      </c>
      <c r="E43" s="23">
        <v>2074.6</v>
      </c>
      <c r="F43" s="23">
        <v>2040.2</v>
      </c>
      <c r="G43" s="23">
        <v>2031.2</v>
      </c>
      <c r="H43" s="23">
        <v>2002.6</v>
      </c>
      <c r="I43" s="23">
        <v>1926.4</v>
      </c>
      <c r="J43" s="23">
        <v>1943.6999999999998</v>
      </c>
      <c r="K43" s="23">
        <v>1928.6999999999998</v>
      </c>
      <c r="L43" s="23">
        <v>1894.3000000000002</v>
      </c>
      <c r="M43" s="23">
        <v>1539.7</v>
      </c>
      <c r="N43" s="23">
        <v>1433.5</v>
      </c>
      <c r="O43" s="23">
        <v>1458.4</v>
      </c>
      <c r="P43" s="23">
        <v>1363.7</v>
      </c>
      <c r="Q43" s="23">
        <v>1321.7</v>
      </c>
      <c r="R43" s="23">
        <v>1422.7</v>
      </c>
      <c r="S43" s="23">
        <v>1389.3</v>
      </c>
      <c r="T43" s="23">
        <v>1311.3</v>
      </c>
      <c r="U43" s="23">
        <v>1425.5</v>
      </c>
      <c r="V43" s="23">
        <v>1355.9</v>
      </c>
      <c r="W43" s="23">
        <v>1425.9</v>
      </c>
      <c r="X43" s="23">
        <v>1420.9</v>
      </c>
      <c r="Y43" s="23">
        <v>1547.828995300767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73.3</v>
      </c>
      <c r="E44" s="23">
        <v>113.40000000000002</v>
      </c>
      <c r="F44" s="23">
        <v>169.3</v>
      </c>
      <c r="G44" s="23">
        <v>70.099999999999994</v>
      </c>
      <c r="H44" s="23">
        <v>155.9</v>
      </c>
      <c r="I44" s="23">
        <v>91.9</v>
      </c>
      <c r="J44" s="23">
        <v>210.2</v>
      </c>
      <c r="K44" s="23">
        <v>187.9</v>
      </c>
      <c r="L44" s="23">
        <v>106.6</v>
      </c>
      <c r="M44" s="23">
        <v>52.1</v>
      </c>
      <c r="N44" s="23">
        <v>44.2</v>
      </c>
      <c r="O44" s="23">
        <v>-124.60000000000002</v>
      </c>
      <c r="P44" s="23">
        <v>106.8</v>
      </c>
      <c r="Q44" s="23">
        <v>-31.399999999999995</v>
      </c>
      <c r="R44" s="23">
        <v>-54.2</v>
      </c>
      <c r="S44" s="23">
        <v>473.8</v>
      </c>
      <c r="T44" s="23">
        <v>446.1</v>
      </c>
      <c r="U44" s="23">
        <v>358.3</v>
      </c>
      <c r="V44" s="23">
        <v>232</v>
      </c>
      <c r="W44" s="23">
        <v>306.49999999999994</v>
      </c>
      <c r="X44" s="23">
        <v>-90.6</v>
      </c>
      <c r="Y44" s="23">
        <v>175.60595788717518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1238.2</v>
      </c>
      <c r="E45" s="23">
        <v>1259.5</v>
      </c>
      <c r="F45" s="23">
        <v>1171.4000000000001</v>
      </c>
      <c r="G45" s="23">
        <v>1224.0999999999999</v>
      </c>
      <c r="H45" s="23">
        <v>1215.2</v>
      </c>
      <c r="I45" s="23">
        <v>1272</v>
      </c>
      <c r="J45" s="23">
        <v>1249.5999999999999</v>
      </c>
      <c r="K45" s="23">
        <v>1208.5999999999997</v>
      </c>
      <c r="L45" s="23">
        <v>1377.3</v>
      </c>
      <c r="M45" s="23">
        <v>1484.1</v>
      </c>
      <c r="N45" s="23">
        <v>1616.7</v>
      </c>
      <c r="O45" s="23">
        <v>1568.3</v>
      </c>
      <c r="P45" s="23">
        <v>1940.6</v>
      </c>
      <c r="Q45" s="23">
        <v>1883.4</v>
      </c>
      <c r="R45" s="23">
        <v>2104.4</v>
      </c>
      <c r="S45" s="23">
        <v>2416.1999999999998</v>
      </c>
      <c r="T45" s="23">
        <v>2547.5</v>
      </c>
      <c r="U45" s="23">
        <v>2676.2</v>
      </c>
      <c r="V45" s="23">
        <v>2694</v>
      </c>
      <c r="W45" s="23">
        <v>2845.5</v>
      </c>
      <c r="X45" s="23">
        <v>2893</v>
      </c>
      <c r="Y45" s="23">
        <v>3183.2122438953106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2308.4</v>
      </c>
      <c r="E46" s="23">
        <v>2649.5</v>
      </c>
      <c r="F46" s="23">
        <v>2409.1000000000004</v>
      </c>
      <c r="G46" s="23">
        <v>2816.6</v>
      </c>
      <c r="H46" s="23">
        <v>2816.8</v>
      </c>
      <c r="I46" s="23">
        <v>2982.8</v>
      </c>
      <c r="J46" s="23">
        <v>2882.1</v>
      </c>
      <c r="K46" s="23">
        <v>2744.7</v>
      </c>
      <c r="L46" s="23">
        <v>3083</v>
      </c>
      <c r="M46" s="23">
        <v>3454.9</v>
      </c>
      <c r="N46" s="23">
        <v>4597</v>
      </c>
      <c r="O46" s="23">
        <v>4930.3</v>
      </c>
      <c r="P46" s="23">
        <v>5995.3</v>
      </c>
      <c r="Q46" s="23">
        <v>6534.5</v>
      </c>
      <c r="R46" s="23">
        <v>6929.8</v>
      </c>
      <c r="S46" s="23">
        <v>8075.5</v>
      </c>
      <c r="T46" s="23">
        <v>8940.5000000000018</v>
      </c>
      <c r="U46" s="23">
        <v>9866.1</v>
      </c>
      <c r="V46" s="23">
        <v>11339.6</v>
      </c>
      <c r="W46" s="23">
        <v>11456.3</v>
      </c>
      <c r="X46" s="23">
        <v>12110.5</v>
      </c>
      <c r="Y46" s="23">
        <v>14063.816315699332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2471.4999999999995</v>
      </c>
      <c r="E47" s="23">
        <v>2239.8000000000002</v>
      </c>
      <c r="F47" s="23">
        <v>2388.8000000000006</v>
      </c>
      <c r="G47" s="23">
        <v>2355.1</v>
      </c>
      <c r="H47" s="23">
        <v>2355.5000000000005</v>
      </c>
      <c r="I47" s="23">
        <v>2426.5000000000005</v>
      </c>
      <c r="J47" s="23">
        <v>2687.7</v>
      </c>
      <c r="K47" s="23">
        <v>2908.1</v>
      </c>
      <c r="L47" s="23">
        <v>2596.1999999999998</v>
      </c>
      <c r="M47" s="23">
        <v>2046.4</v>
      </c>
      <c r="N47" s="23">
        <v>1874.8</v>
      </c>
      <c r="O47" s="23">
        <v>1836.1</v>
      </c>
      <c r="P47" s="23">
        <v>1946.5</v>
      </c>
      <c r="Q47" s="23">
        <v>1921.5</v>
      </c>
      <c r="R47" s="23">
        <v>2309</v>
      </c>
      <c r="S47" s="23">
        <v>2341.8000000000002</v>
      </c>
      <c r="T47" s="23">
        <v>2442.6</v>
      </c>
      <c r="U47" s="23">
        <v>2579.9</v>
      </c>
      <c r="V47" s="23">
        <v>2535.8000000000002</v>
      </c>
      <c r="W47" s="23">
        <v>2638.9</v>
      </c>
      <c r="X47" s="23">
        <v>2721.4</v>
      </c>
      <c r="Y47" s="23">
        <v>3015.7778368317759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2556.9999999999995</v>
      </c>
      <c r="E48" s="23">
        <v>2642.2</v>
      </c>
      <c r="F48" s="23">
        <v>2679.9</v>
      </c>
      <c r="G48" s="23">
        <v>2546.3000000000002</v>
      </c>
      <c r="H48" s="23">
        <v>2606.1</v>
      </c>
      <c r="I48" s="23">
        <v>2554.3000000000002</v>
      </c>
      <c r="J48" s="23">
        <v>2809.7</v>
      </c>
      <c r="K48" s="23">
        <v>2884.1</v>
      </c>
      <c r="L48" s="23">
        <v>3062.9</v>
      </c>
      <c r="M48" s="23">
        <v>2502.9</v>
      </c>
      <c r="N48" s="23">
        <v>2289.0000000000005</v>
      </c>
      <c r="O48" s="23">
        <v>2174.6</v>
      </c>
      <c r="P48" s="23">
        <v>2347.1999999999998</v>
      </c>
      <c r="Q48" s="23">
        <v>2638.5</v>
      </c>
      <c r="R48" s="23">
        <v>2768.8</v>
      </c>
      <c r="S48" s="23">
        <v>2776.1</v>
      </c>
      <c r="T48" s="23">
        <v>2926.2</v>
      </c>
      <c r="U48" s="23">
        <v>3009.7</v>
      </c>
      <c r="V48" s="23">
        <v>2873.9</v>
      </c>
      <c r="W48" s="23">
        <v>3103.2</v>
      </c>
      <c r="X48" s="23">
        <v>3014.7</v>
      </c>
      <c r="Y48" s="23">
        <v>3242.5263143065358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1814.9</v>
      </c>
      <c r="E49" s="23">
        <v>1912.2</v>
      </c>
      <c r="F49" s="23">
        <v>1931.2000000000003</v>
      </c>
      <c r="G49" s="23">
        <v>2017.8</v>
      </c>
      <c r="H49" s="23">
        <v>1908.8</v>
      </c>
      <c r="I49" s="23">
        <v>1868</v>
      </c>
      <c r="J49" s="23">
        <v>2104.3000000000002</v>
      </c>
      <c r="K49" s="23">
        <v>2267.6999999999998</v>
      </c>
      <c r="L49" s="23">
        <v>1924.0999999999997</v>
      </c>
      <c r="M49" s="23">
        <v>1795.7</v>
      </c>
      <c r="N49" s="23">
        <v>1981.5</v>
      </c>
      <c r="O49" s="23">
        <v>2043.7</v>
      </c>
      <c r="P49" s="23">
        <v>2083.5</v>
      </c>
      <c r="Q49" s="23">
        <v>2121.1999999999998</v>
      </c>
      <c r="R49" s="23">
        <v>2054.1999999999994</v>
      </c>
      <c r="S49" s="23">
        <v>2124.9</v>
      </c>
      <c r="T49" s="23">
        <v>2226.5</v>
      </c>
      <c r="U49" s="23">
        <v>2570</v>
      </c>
      <c r="V49" s="23">
        <v>2509.8000000000002</v>
      </c>
      <c r="W49" s="23">
        <v>2598.8000000000002</v>
      </c>
      <c r="X49" s="23">
        <v>2350.1999999999998</v>
      </c>
      <c r="Y49" s="23">
        <v>2438.8946721186444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910.4</v>
      </c>
      <c r="E50" s="23">
        <v>912.5</v>
      </c>
      <c r="F50" s="23">
        <v>849.7</v>
      </c>
      <c r="G50" s="23">
        <v>768.6</v>
      </c>
      <c r="H50" s="23">
        <v>833.1</v>
      </c>
      <c r="I50" s="23">
        <v>745.5</v>
      </c>
      <c r="J50" s="23">
        <v>818.2</v>
      </c>
      <c r="K50" s="23">
        <v>901.70000000000016</v>
      </c>
      <c r="L50" s="23">
        <v>1090.4000000000001</v>
      </c>
      <c r="M50" s="23">
        <v>818.3</v>
      </c>
      <c r="N50" s="23">
        <v>899.1</v>
      </c>
      <c r="O50" s="23">
        <v>937.2</v>
      </c>
      <c r="P50" s="23">
        <v>897.9</v>
      </c>
      <c r="Q50" s="23">
        <v>816.6</v>
      </c>
      <c r="R50" s="23">
        <v>882.9</v>
      </c>
      <c r="S50" s="23">
        <v>1018.3</v>
      </c>
      <c r="T50" s="23">
        <v>1036.5999999999997</v>
      </c>
      <c r="U50" s="23">
        <v>982.4</v>
      </c>
      <c r="V50" s="23">
        <v>1064.8</v>
      </c>
      <c r="W50" s="23">
        <v>1078.3</v>
      </c>
      <c r="X50" s="23">
        <v>1042.9000000000001</v>
      </c>
      <c r="Y50" s="23">
        <v>1119.222519055581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3894.5</v>
      </c>
      <c r="E51" s="23">
        <v>4020.7</v>
      </c>
      <c r="F51" s="23">
        <v>4524.5</v>
      </c>
      <c r="G51" s="23">
        <v>3749.6</v>
      </c>
      <c r="H51" s="23">
        <v>3951.5</v>
      </c>
      <c r="I51" s="23">
        <v>3741</v>
      </c>
      <c r="J51" s="23">
        <v>4621.6000000000004</v>
      </c>
      <c r="K51" s="23">
        <v>5262.7</v>
      </c>
      <c r="L51" s="23">
        <v>5382.9</v>
      </c>
      <c r="M51" s="23">
        <v>4580.2999999999993</v>
      </c>
      <c r="N51" s="23">
        <v>4474.8999999999996</v>
      </c>
      <c r="O51" s="23">
        <v>5055.6000000000004</v>
      </c>
      <c r="P51" s="23">
        <v>4993.3999999999996</v>
      </c>
      <c r="Q51" s="23">
        <v>5646.1</v>
      </c>
      <c r="R51" s="23">
        <v>5468.8</v>
      </c>
      <c r="S51" s="23">
        <v>4925.3</v>
      </c>
      <c r="T51" s="23">
        <v>5818.8</v>
      </c>
      <c r="U51" s="23">
        <v>6493.4</v>
      </c>
      <c r="V51" s="23">
        <v>6425.6</v>
      </c>
      <c r="W51" s="23">
        <v>7256.9</v>
      </c>
      <c r="X51" s="23">
        <v>5634.7</v>
      </c>
      <c r="Y51" s="23">
        <v>5418.1730227525077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684.1</v>
      </c>
      <c r="E52" s="23">
        <v>689.7</v>
      </c>
      <c r="F52" s="23">
        <v>671.6</v>
      </c>
      <c r="G52" s="23">
        <v>683.2</v>
      </c>
      <c r="H52" s="23">
        <v>576.90000000000009</v>
      </c>
      <c r="I52" s="23">
        <v>642.5</v>
      </c>
      <c r="J52" s="23">
        <v>668.4</v>
      </c>
      <c r="K52" s="23">
        <v>595.79999999999995</v>
      </c>
      <c r="L52" s="23">
        <v>689.9</v>
      </c>
      <c r="M52" s="23">
        <v>456.7</v>
      </c>
      <c r="N52" s="23">
        <v>558.29999999999995</v>
      </c>
      <c r="O52" s="23">
        <v>630.70000000000005</v>
      </c>
      <c r="P52" s="23">
        <v>513.1</v>
      </c>
      <c r="Q52" s="23">
        <v>452</v>
      </c>
      <c r="R52" s="23">
        <v>453.3</v>
      </c>
      <c r="S52" s="23">
        <v>547.70000000000005</v>
      </c>
      <c r="T52" s="23">
        <v>610.9</v>
      </c>
      <c r="U52" s="23">
        <v>622</v>
      </c>
      <c r="V52" s="23">
        <v>567.00000000000011</v>
      </c>
      <c r="W52" s="23">
        <v>589.70000000000005</v>
      </c>
      <c r="X52" s="23">
        <v>531</v>
      </c>
      <c r="Y52" s="23">
        <v>534.94886189441786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2260.7999999999988</v>
      </c>
      <c r="E53" s="23">
        <v>2377.9999999999818</v>
      </c>
      <c r="F53" s="23">
        <v>2312.8000000000097</v>
      </c>
      <c r="G53" s="23">
        <v>2223.8999999999769</v>
      </c>
      <c r="H53" s="23">
        <v>2271.1000000000081</v>
      </c>
      <c r="I53" s="23">
        <v>2363.6999999999789</v>
      </c>
      <c r="J53" s="23">
        <v>2518.0999999999904</v>
      </c>
      <c r="K53" s="23">
        <v>2387.4</v>
      </c>
      <c r="L53" s="23">
        <v>2577.2000000000216</v>
      </c>
      <c r="M53" s="23">
        <v>2453.2999999999943</v>
      </c>
      <c r="N53" s="23">
        <v>2547.3999999999846</v>
      </c>
      <c r="O53" s="23">
        <v>2815.0000000000077</v>
      </c>
      <c r="P53" s="23">
        <v>3059.5999999999858</v>
      </c>
      <c r="Q53" s="23">
        <v>3090.0999999999858</v>
      </c>
      <c r="R53" s="23">
        <v>3042.3000000000134</v>
      </c>
      <c r="S53" s="23">
        <v>3343.799999999992</v>
      </c>
      <c r="T53" s="23">
        <v>3661.2000000000153</v>
      </c>
      <c r="U53" s="23">
        <v>3421.9000000000133</v>
      </c>
      <c r="V53" s="23">
        <v>3420.1000000000263</v>
      </c>
      <c r="W53" s="23">
        <v>3458.6999999999539</v>
      </c>
      <c r="X53" s="23">
        <v>3545.3000000000147</v>
      </c>
      <c r="Y53" s="23">
        <v>3927.6860670311244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25180.5</v>
      </c>
      <c r="E54" s="30">
        <f t="shared" ref="E54:S54" si="4">SUM(E41:E53)</f>
        <v>25833.499999999985</v>
      </c>
      <c r="F54" s="30">
        <f t="shared" si="4"/>
        <v>26444.80000000001</v>
      </c>
      <c r="G54" s="30">
        <f t="shared" si="4"/>
        <v>25595.199999999975</v>
      </c>
      <c r="H54" s="30">
        <f t="shared" si="4"/>
        <v>25807.200000000012</v>
      </c>
      <c r="I54" s="30">
        <f t="shared" si="4"/>
        <v>25614.699999999979</v>
      </c>
      <c r="J54" s="30">
        <f t="shared" si="4"/>
        <v>27212.899999999994</v>
      </c>
      <c r="K54" s="30">
        <f t="shared" si="4"/>
        <v>27892.600000000002</v>
      </c>
      <c r="L54" s="30">
        <f t="shared" si="4"/>
        <v>28324.000000000025</v>
      </c>
      <c r="M54" s="30">
        <f t="shared" si="4"/>
        <v>25683.699999999993</v>
      </c>
      <c r="N54" s="30">
        <f t="shared" si="4"/>
        <v>26587.499999999978</v>
      </c>
      <c r="O54" s="30">
        <f t="shared" si="4"/>
        <v>27374.400000000012</v>
      </c>
      <c r="P54" s="30">
        <f t="shared" si="4"/>
        <v>29108.399999999987</v>
      </c>
      <c r="Q54" s="30">
        <f t="shared" si="4"/>
        <v>30478.999999999985</v>
      </c>
      <c r="R54" s="30">
        <f t="shared" si="4"/>
        <v>31519.400000000012</v>
      </c>
      <c r="S54" s="30">
        <f t="shared" si="4"/>
        <v>33863.599999999991</v>
      </c>
      <c r="T54" s="30">
        <f t="shared" ref="T54:Y54" si="5">SUM(T41:T53)</f>
        <v>36618.000000000015</v>
      </c>
      <c r="U54" s="30">
        <f t="shared" si="5"/>
        <v>38352.400000000016</v>
      </c>
      <c r="V54" s="30">
        <f t="shared" si="5"/>
        <v>39570.100000000028</v>
      </c>
      <c r="W54" s="30">
        <f t="shared" si="5"/>
        <v>41497.499999999949</v>
      </c>
      <c r="X54" s="30">
        <f t="shared" si="5"/>
        <v>39922.200000000019</v>
      </c>
      <c r="Y54" s="30">
        <f t="shared" si="5"/>
        <v>43842.756953941607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4086.2</v>
      </c>
      <c r="E56" s="19">
        <v>4326.3</v>
      </c>
      <c r="F56" s="19">
        <v>4710.7</v>
      </c>
      <c r="G56" s="19">
        <v>4559.6000000000004</v>
      </c>
      <c r="H56" s="19">
        <v>4604</v>
      </c>
      <c r="I56" s="19">
        <v>4569.1000000000004</v>
      </c>
      <c r="J56" s="19">
        <v>4241.8999999999996</v>
      </c>
      <c r="K56" s="19">
        <v>4172.3999999999996</v>
      </c>
      <c r="L56" s="19">
        <v>4117.5</v>
      </c>
      <c r="M56" s="19">
        <v>4148.3999999999996</v>
      </c>
      <c r="N56" s="19">
        <v>3949.6</v>
      </c>
      <c r="O56" s="19">
        <v>3717.7</v>
      </c>
      <c r="P56" s="19">
        <v>3561.4</v>
      </c>
      <c r="Q56" s="19">
        <v>3727.1</v>
      </c>
      <c r="R56" s="19">
        <v>3767</v>
      </c>
      <c r="S56" s="19">
        <v>4031.4</v>
      </c>
      <c r="T56" s="19">
        <v>4262.2</v>
      </c>
      <c r="U56" s="19">
        <v>3930.3</v>
      </c>
      <c r="V56" s="19">
        <v>4069.4</v>
      </c>
      <c r="W56" s="19">
        <v>4267.7</v>
      </c>
      <c r="X56" s="19">
        <v>4298</v>
      </c>
      <c r="Y56" s="19">
        <v>4694.8069024076249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683.9</v>
      </c>
      <c r="E57" s="23">
        <v>615.1</v>
      </c>
      <c r="F57" s="23">
        <v>585.6</v>
      </c>
      <c r="G57" s="23">
        <v>549.1</v>
      </c>
      <c r="H57" s="23">
        <v>509.7</v>
      </c>
      <c r="I57" s="23">
        <v>431</v>
      </c>
      <c r="J57" s="23">
        <v>457.4</v>
      </c>
      <c r="K57" s="23">
        <v>442.8</v>
      </c>
      <c r="L57" s="23">
        <v>421.7</v>
      </c>
      <c r="M57" s="23">
        <v>350.9</v>
      </c>
      <c r="N57" s="23">
        <v>321.5</v>
      </c>
      <c r="O57" s="23">
        <v>331.4</v>
      </c>
      <c r="P57" s="23">
        <v>299.39999999999998</v>
      </c>
      <c r="Q57" s="23">
        <v>357.7</v>
      </c>
      <c r="R57" s="23">
        <v>370.4</v>
      </c>
      <c r="S57" s="23">
        <v>399.5</v>
      </c>
      <c r="T57" s="23">
        <v>387.6</v>
      </c>
      <c r="U57" s="23">
        <v>416.7</v>
      </c>
      <c r="V57" s="23">
        <v>482.2</v>
      </c>
      <c r="W57" s="23">
        <v>471.1</v>
      </c>
      <c r="X57" s="23">
        <v>450.2</v>
      </c>
      <c r="Y57" s="23">
        <v>480.25724476081302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721</v>
      </c>
      <c r="E58" s="23">
        <v>693.2</v>
      </c>
      <c r="F58" s="23">
        <v>670.3</v>
      </c>
      <c r="G58" s="23">
        <v>701.1</v>
      </c>
      <c r="H58" s="23">
        <v>732.5</v>
      </c>
      <c r="I58" s="23">
        <v>757.4</v>
      </c>
      <c r="J58" s="23">
        <v>773.1</v>
      </c>
      <c r="K58" s="23">
        <v>796.4</v>
      </c>
      <c r="L58" s="23">
        <v>711.9</v>
      </c>
      <c r="M58" s="23">
        <v>517.4</v>
      </c>
      <c r="N58" s="23">
        <v>523.4</v>
      </c>
      <c r="O58" s="23">
        <v>534.29999999999984</v>
      </c>
      <c r="P58" s="23">
        <v>536.59999999999991</v>
      </c>
      <c r="Q58" s="23">
        <v>519.20000000000005</v>
      </c>
      <c r="R58" s="23">
        <v>555.20000000000005</v>
      </c>
      <c r="S58" s="23">
        <v>579.1</v>
      </c>
      <c r="T58" s="23">
        <v>556.9</v>
      </c>
      <c r="U58" s="23">
        <v>588.1</v>
      </c>
      <c r="V58" s="23">
        <v>580.20000000000005</v>
      </c>
      <c r="W58" s="23">
        <v>614.79999999999995</v>
      </c>
      <c r="X58" s="23">
        <v>614.6</v>
      </c>
      <c r="Y58" s="23">
        <v>668.22904587693961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558.6</v>
      </c>
      <c r="E59" s="23">
        <v>564</v>
      </c>
      <c r="F59" s="23">
        <v>574</v>
      </c>
      <c r="G59" s="23">
        <v>556.70000000000005</v>
      </c>
      <c r="H59" s="23">
        <v>509.7</v>
      </c>
      <c r="I59" s="23">
        <v>454.8</v>
      </c>
      <c r="J59" s="23">
        <v>454.5</v>
      </c>
      <c r="K59" s="23">
        <v>450.3</v>
      </c>
      <c r="L59" s="23">
        <v>426.6</v>
      </c>
      <c r="M59" s="23">
        <v>408.9</v>
      </c>
      <c r="N59" s="23">
        <v>385.1</v>
      </c>
      <c r="O59" s="23">
        <v>406</v>
      </c>
      <c r="P59" s="23">
        <v>379.4</v>
      </c>
      <c r="Q59" s="23">
        <v>364.7</v>
      </c>
      <c r="R59" s="23">
        <v>395.3</v>
      </c>
      <c r="S59" s="23">
        <v>409.6</v>
      </c>
      <c r="T59" s="23">
        <v>361.6</v>
      </c>
      <c r="U59" s="23">
        <v>407.2</v>
      </c>
      <c r="V59" s="23">
        <v>380.2</v>
      </c>
      <c r="W59" s="23">
        <v>430.3</v>
      </c>
      <c r="X59" s="23">
        <v>479.3</v>
      </c>
      <c r="Y59" s="23">
        <v>550.08387600619653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917.70000000000039</v>
      </c>
      <c r="E60" s="23">
        <v>817.39999999999986</v>
      </c>
      <c r="F60" s="23">
        <v>795.89999999999986</v>
      </c>
      <c r="G60" s="23">
        <v>773.39999999999986</v>
      </c>
      <c r="H60" s="23">
        <v>760.40000000000009</v>
      </c>
      <c r="I60" s="23">
        <v>714.2</v>
      </c>
      <c r="J60" s="23">
        <v>716.09999999999991</v>
      </c>
      <c r="K60" s="23">
        <v>681.99999999999989</v>
      </c>
      <c r="L60" s="23">
        <v>755.8000000000003</v>
      </c>
      <c r="M60" s="23">
        <v>613.4</v>
      </c>
      <c r="N60" s="23">
        <v>525</v>
      </c>
      <c r="O60" s="23">
        <v>518.1</v>
      </c>
      <c r="P60" s="23">
        <v>447.70000000000005</v>
      </c>
      <c r="Q60" s="23">
        <v>437.8</v>
      </c>
      <c r="R60" s="23">
        <v>472.19999999999987</v>
      </c>
      <c r="S60" s="23">
        <v>400.59999999999991</v>
      </c>
      <c r="T60" s="23">
        <v>392.79999999999995</v>
      </c>
      <c r="U60" s="23">
        <v>430.19999999999993</v>
      </c>
      <c r="V60" s="23">
        <v>395.49999999999983</v>
      </c>
      <c r="W60" s="23">
        <v>380.80000000000013</v>
      </c>
      <c r="X60" s="23">
        <v>327</v>
      </c>
      <c r="Y60" s="23">
        <v>329.51607341763099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73.3</v>
      </c>
      <c r="E61" s="23">
        <v>113.40000000000002</v>
      </c>
      <c r="F61" s="23">
        <v>169.3</v>
      </c>
      <c r="G61" s="23">
        <v>70.099999999999994</v>
      </c>
      <c r="H61" s="23">
        <v>155.9</v>
      </c>
      <c r="I61" s="23">
        <v>91.9</v>
      </c>
      <c r="J61" s="23">
        <v>210.2</v>
      </c>
      <c r="K61" s="23">
        <v>187.9</v>
      </c>
      <c r="L61" s="23">
        <v>106.6</v>
      </c>
      <c r="M61" s="23">
        <v>52.1</v>
      </c>
      <c r="N61" s="23">
        <v>44.2</v>
      </c>
      <c r="O61" s="23">
        <v>-124.60000000000002</v>
      </c>
      <c r="P61" s="23">
        <v>106.8</v>
      </c>
      <c r="Q61" s="23">
        <v>-31.399999999999995</v>
      </c>
      <c r="R61" s="23">
        <v>-54.2</v>
      </c>
      <c r="S61" s="23">
        <v>473.8</v>
      </c>
      <c r="T61" s="23">
        <v>446.1</v>
      </c>
      <c r="U61" s="23">
        <v>358.3</v>
      </c>
      <c r="V61" s="23">
        <v>232</v>
      </c>
      <c r="W61" s="23">
        <v>306.49999999999994</v>
      </c>
      <c r="X61" s="23">
        <v>-90.6</v>
      </c>
      <c r="Y61" s="23">
        <v>175.60595788717518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1238.2</v>
      </c>
      <c r="E62" s="23">
        <v>1259.5</v>
      </c>
      <c r="F62" s="23">
        <v>1171.4000000000001</v>
      </c>
      <c r="G62" s="23">
        <v>1224.0999999999999</v>
      </c>
      <c r="H62" s="23">
        <v>1215.2</v>
      </c>
      <c r="I62" s="23">
        <v>1272</v>
      </c>
      <c r="J62" s="23">
        <v>1249.5999999999999</v>
      </c>
      <c r="K62" s="23">
        <v>1208.5999999999997</v>
      </c>
      <c r="L62" s="23">
        <v>1377.3</v>
      </c>
      <c r="M62" s="23">
        <v>1484.1</v>
      </c>
      <c r="N62" s="23">
        <v>1616.7</v>
      </c>
      <c r="O62" s="23">
        <v>1568.3</v>
      </c>
      <c r="P62" s="23">
        <v>1940.6</v>
      </c>
      <c r="Q62" s="23">
        <v>1883.4</v>
      </c>
      <c r="R62" s="23">
        <v>2104.4</v>
      </c>
      <c r="S62" s="23">
        <v>2416.1999999999998</v>
      </c>
      <c r="T62" s="23">
        <v>2547.5</v>
      </c>
      <c r="U62" s="23">
        <v>2676.2</v>
      </c>
      <c r="V62" s="23">
        <v>2694</v>
      </c>
      <c r="W62" s="23">
        <v>2845.5</v>
      </c>
      <c r="X62" s="23">
        <v>2893</v>
      </c>
      <c r="Y62" s="23">
        <v>3183.2122438953106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2308.4</v>
      </c>
      <c r="E63" s="23">
        <v>2649.5</v>
      </c>
      <c r="F63" s="23">
        <v>2409.1000000000004</v>
      </c>
      <c r="G63" s="23">
        <v>2816.6</v>
      </c>
      <c r="H63" s="23">
        <v>2816.8</v>
      </c>
      <c r="I63" s="23">
        <v>2982.8</v>
      </c>
      <c r="J63" s="23">
        <v>2882.1</v>
      </c>
      <c r="K63" s="23">
        <v>2744.7</v>
      </c>
      <c r="L63" s="23">
        <v>3083</v>
      </c>
      <c r="M63" s="23">
        <v>3454.9</v>
      </c>
      <c r="N63" s="23">
        <v>4597</v>
      </c>
      <c r="O63" s="23">
        <v>4930.3</v>
      </c>
      <c r="P63" s="23">
        <v>5995.3</v>
      </c>
      <c r="Q63" s="23">
        <v>6534.5</v>
      </c>
      <c r="R63" s="23">
        <v>6929.8</v>
      </c>
      <c r="S63" s="23">
        <v>8075.5</v>
      </c>
      <c r="T63" s="23">
        <v>8940.5000000000018</v>
      </c>
      <c r="U63" s="23">
        <v>9866.1</v>
      </c>
      <c r="V63" s="23">
        <v>11339.6</v>
      </c>
      <c r="W63" s="23">
        <v>11456.3</v>
      </c>
      <c r="X63" s="23">
        <v>12110.5</v>
      </c>
      <c r="Y63" s="23">
        <v>14063.816315699332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1285.5</v>
      </c>
      <c r="E64" s="23">
        <v>1216.8</v>
      </c>
      <c r="F64" s="23">
        <v>1302.1999999999998</v>
      </c>
      <c r="G64" s="23">
        <v>1310.5999999999997</v>
      </c>
      <c r="H64" s="23">
        <v>1315.3</v>
      </c>
      <c r="I64" s="23">
        <v>1317.4</v>
      </c>
      <c r="J64" s="23">
        <v>1462.1</v>
      </c>
      <c r="K64" s="23">
        <v>1570.9</v>
      </c>
      <c r="L64" s="23">
        <v>1309.3</v>
      </c>
      <c r="M64" s="23">
        <v>1087.4000000000001</v>
      </c>
      <c r="N64" s="23">
        <v>1072.5999999999999</v>
      </c>
      <c r="O64" s="23">
        <v>857.9</v>
      </c>
      <c r="P64" s="23">
        <v>980.8</v>
      </c>
      <c r="Q64" s="23">
        <v>958.4</v>
      </c>
      <c r="R64" s="23">
        <v>1249.3</v>
      </c>
      <c r="S64" s="23">
        <v>1251.7</v>
      </c>
      <c r="T64" s="23">
        <v>1177.3</v>
      </c>
      <c r="U64" s="23">
        <v>1211.5</v>
      </c>
      <c r="V64" s="23">
        <v>1119</v>
      </c>
      <c r="W64" s="23">
        <v>1173.3</v>
      </c>
      <c r="X64" s="23">
        <v>1208.3000000000002</v>
      </c>
      <c r="Y64" s="23">
        <v>1338.6311019060918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1185.9999999999998</v>
      </c>
      <c r="E65" s="23">
        <v>1023.0000000000001</v>
      </c>
      <c r="F65" s="23">
        <v>1086.6000000000006</v>
      </c>
      <c r="G65" s="23">
        <v>1044.5000000000002</v>
      </c>
      <c r="H65" s="23">
        <v>1040.2000000000003</v>
      </c>
      <c r="I65" s="23">
        <v>1109.1000000000001</v>
      </c>
      <c r="J65" s="23">
        <v>1225.6000000000001</v>
      </c>
      <c r="K65" s="23">
        <v>1337.2</v>
      </c>
      <c r="L65" s="23">
        <v>1286.8999999999996</v>
      </c>
      <c r="M65" s="23">
        <v>958.99999999999989</v>
      </c>
      <c r="N65" s="23">
        <v>802.20000000000016</v>
      </c>
      <c r="O65" s="23">
        <v>978.2</v>
      </c>
      <c r="P65" s="23">
        <v>965.70000000000016</v>
      </c>
      <c r="Q65" s="23">
        <v>963.1</v>
      </c>
      <c r="R65" s="23">
        <v>1059.7</v>
      </c>
      <c r="S65" s="23">
        <v>1090.1000000000001</v>
      </c>
      <c r="T65" s="23">
        <v>1265.3000000000002</v>
      </c>
      <c r="U65" s="23">
        <v>1368.4</v>
      </c>
      <c r="V65" s="23">
        <v>1416.8000000000002</v>
      </c>
      <c r="W65" s="23">
        <v>1465.6</v>
      </c>
      <c r="X65" s="23">
        <v>1513.1000000000004</v>
      </c>
      <c r="Y65" s="23">
        <v>1677.1467349256845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515.4</v>
      </c>
      <c r="E66" s="23">
        <v>478.9</v>
      </c>
      <c r="F66" s="23">
        <v>414.2</v>
      </c>
      <c r="G66" s="23">
        <v>356.5</v>
      </c>
      <c r="H66" s="23">
        <v>374.7</v>
      </c>
      <c r="I66" s="23">
        <v>351.7</v>
      </c>
      <c r="J66" s="23">
        <v>410.5</v>
      </c>
      <c r="K66" s="23">
        <v>481.4</v>
      </c>
      <c r="L66" s="23">
        <v>450.9</v>
      </c>
      <c r="M66" s="23">
        <v>248.6</v>
      </c>
      <c r="N66" s="23">
        <v>235.7</v>
      </c>
      <c r="O66" s="23">
        <v>292.2</v>
      </c>
      <c r="P66" s="23">
        <v>292.7</v>
      </c>
      <c r="Q66" s="23">
        <v>301.99999999999994</v>
      </c>
      <c r="R66" s="23">
        <v>327.3</v>
      </c>
      <c r="S66" s="23">
        <v>403.4</v>
      </c>
      <c r="T66" s="23">
        <v>400.7</v>
      </c>
      <c r="U66" s="23">
        <v>409.4</v>
      </c>
      <c r="V66" s="23">
        <v>388.6</v>
      </c>
      <c r="W66" s="23">
        <v>455.9</v>
      </c>
      <c r="X66" s="23">
        <v>368.1</v>
      </c>
      <c r="Y66" s="23">
        <v>383.79255714729118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2041.6</v>
      </c>
      <c r="E67" s="23">
        <v>2163.3000000000002</v>
      </c>
      <c r="F67" s="23">
        <v>2265.7000000000003</v>
      </c>
      <c r="G67" s="23">
        <v>2189.8000000000002</v>
      </c>
      <c r="H67" s="23">
        <v>2231.4</v>
      </c>
      <c r="I67" s="23">
        <v>2202.6000000000004</v>
      </c>
      <c r="J67" s="23">
        <v>2399.1999999999998</v>
      </c>
      <c r="K67" s="23">
        <v>2402.6999999999998</v>
      </c>
      <c r="L67" s="23">
        <v>2611.9999999999995</v>
      </c>
      <c r="M67" s="23">
        <v>2254.3000000000002</v>
      </c>
      <c r="N67" s="23">
        <v>2053.3000000000002</v>
      </c>
      <c r="O67" s="23">
        <v>1882.4</v>
      </c>
      <c r="P67" s="23">
        <v>2054.4999999999995</v>
      </c>
      <c r="Q67" s="23">
        <v>2336.5000000000005</v>
      </c>
      <c r="R67" s="23">
        <v>2441.5000000000005</v>
      </c>
      <c r="S67" s="23">
        <v>2372.6999999999998</v>
      </c>
      <c r="T67" s="23">
        <v>2525.5000000000005</v>
      </c>
      <c r="U67" s="23">
        <v>2600.2999999999997</v>
      </c>
      <c r="V67" s="23">
        <v>2485.2999999999997</v>
      </c>
      <c r="W67" s="23">
        <v>2647.3</v>
      </c>
      <c r="X67" s="23">
        <v>2646.6</v>
      </c>
      <c r="Y67" s="23">
        <v>2858.7337571592443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1814.9</v>
      </c>
      <c r="E68" s="23">
        <v>1912.2</v>
      </c>
      <c r="F68" s="23">
        <v>1931.2000000000003</v>
      </c>
      <c r="G68" s="23">
        <v>2017.8</v>
      </c>
      <c r="H68" s="23">
        <v>1908.8</v>
      </c>
      <c r="I68" s="23">
        <v>1868</v>
      </c>
      <c r="J68" s="23">
        <v>2104.3000000000002</v>
      </c>
      <c r="K68" s="23">
        <v>2267.6999999999998</v>
      </c>
      <c r="L68" s="23">
        <v>1924.0999999999997</v>
      </c>
      <c r="M68" s="23">
        <v>1795.7</v>
      </c>
      <c r="N68" s="23">
        <v>1981.5</v>
      </c>
      <c r="O68" s="23">
        <v>2043.7</v>
      </c>
      <c r="P68" s="23">
        <v>2083.5</v>
      </c>
      <c r="Q68" s="23">
        <v>2121.1999999999998</v>
      </c>
      <c r="R68" s="23">
        <v>2054.1999999999994</v>
      </c>
      <c r="S68" s="23">
        <v>2124.9</v>
      </c>
      <c r="T68" s="23">
        <v>2226.5</v>
      </c>
      <c r="U68" s="23">
        <v>2570</v>
      </c>
      <c r="V68" s="23">
        <v>2509.8000000000002</v>
      </c>
      <c r="W68" s="23">
        <v>2598.8000000000002</v>
      </c>
      <c r="X68" s="23">
        <v>2350.1999999999998</v>
      </c>
      <c r="Y68" s="23">
        <v>2438.8946721186444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910.4</v>
      </c>
      <c r="E69" s="23">
        <v>912.5</v>
      </c>
      <c r="F69" s="23">
        <v>849.7</v>
      </c>
      <c r="G69" s="23">
        <v>768.6</v>
      </c>
      <c r="H69" s="23">
        <v>833.1</v>
      </c>
      <c r="I69" s="23">
        <v>745.5</v>
      </c>
      <c r="J69" s="23">
        <v>818.2</v>
      </c>
      <c r="K69" s="23">
        <v>901.70000000000016</v>
      </c>
      <c r="L69" s="23">
        <v>1090.4000000000001</v>
      </c>
      <c r="M69" s="23">
        <v>818.3</v>
      </c>
      <c r="N69" s="23">
        <v>899.1</v>
      </c>
      <c r="O69" s="23">
        <v>937.2</v>
      </c>
      <c r="P69" s="23">
        <v>897.9</v>
      </c>
      <c r="Q69" s="23">
        <v>816.6</v>
      </c>
      <c r="R69" s="23">
        <v>882.9</v>
      </c>
      <c r="S69" s="23">
        <v>1018.3</v>
      </c>
      <c r="T69" s="23">
        <v>1036.5999999999997</v>
      </c>
      <c r="U69" s="23">
        <v>982.4</v>
      </c>
      <c r="V69" s="23">
        <v>1064.8</v>
      </c>
      <c r="W69" s="23">
        <v>1078.3</v>
      </c>
      <c r="X69" s="23">
        <v>1042.9000000000001</v>
      </c>
      <c r="Y69" s="23">
        <v>1119.222519055581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3894.5</v>
      </c>
      <c r="E70" s="23">
        <v>4020.7</v>
      </c>
      <c r="F70" s="23">
        <v>4524.5</v>
      </c>
      <c r="G70" s="23">
        <v>3749.6</v>
      </c>
      <c r="H70" s="23">
        <v>3951.5</v>
      </c>
      <c r="I70" s="23">
        <v>3741</v>
      </c>
      <c r="J70" s="23">
        <v>4621.6000000000004</v>
      </c>
      <c r="K70" s="23">
        <v>5262.7</v>
      </c>
      <c r="L70" s="23">
        <v>5382.9</v>
      </c>
      <c r="M70" s="23">
        <v>4580.2999999999993</v>
      </c>
      <c r="N70" s="23">
        <v>4474.8999999999996</v>
      </c>
      <c r="O70" s="23">
        <v>5055.6000000000004</v>
      </c>
      <c r="P70" s="23">
        <v>4993.3999999999996</v>
      </c>
      <c r="Q70" s="23">
        <v>5646.1</v>
      </c>
      <c r="R70" s="23">
        <v>5468.8</v>
      </c>
      <c r="S70" s="23">
        <v>4925.3</v>
      </c>
      <c r="T70" s="23">
        <v>5818.8</v>
      </c>
      <c r="U70" s="23">
        <v>6493.4</v>
      </c>
      <c r="V70" s="23">
        <v>6425.6</v>
      </c>
      <c r="W70" s="23">
        <v>7256.9</v>
      </c>
      <c r="X70" s="23">
        <v>5634.7</v>
      </c>
      <c r="Y70" s="23">
        <v>5418.1730227525077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390.1</v>
      </c>
      <c r="E71" s="23">
        <v>364.5</v>
      </c>
      <c r="F71" s="23">
        <v>365.7</v>
      </c>
      <c r="G71" s="23">
        <v>337.5</v>
      </c>
      <c r="H71" s="23">
        <v>335.6</v>
      </c>
      <c r="I71" s="23">
        <v>421.4</v>
      </c>
      <c r="J71" s="23">
        <v>447.4</v>
      </c>
      <c r="K71" s="23">
        <v>389.9</v>
      </c>
      <c r="L71" s="23">
        <v>413.1</v>
      </c>
      <c r="M71" s="23">
        <v>264</v>
      </c>
      <c r="N71" s="23">
        <v>321.60000000000002</v>
      </c>
      <c r="O71" s="23">
        <v>372.3</v>
      </c>
      <c r="P71" s="23">
        <v>326.7</v>
      </c>
      <c r="Q71" s="23">
        <v>286.89999999999998</v>
      </c>
      <c r="R71" s="23">
        <v>298.5</v>
      </c>
      <c r="S71" s="23">
        <v>349.4</v>
      </c>
      <c r="T71" s="23">
        <v>384.7</v>
      </c>
      <c r="U71" s="23">
        <v>394.6</v>
      </c>
      <c r="V71" s="23">
        <v>348.7</v>
      </c>
      <c r="W71" s="23">
        <v>351.2</v>
      </c>
      <c r="X71" s="23">
        <v>275.7</v>
      </c>
      <c r="Y71" s="23">
        <v>258.44634015205861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293.99999999999994</v>
      </c>
      <c r="E72" s="23">
        <v>325.2</v>
      </c>
      <c r="F72" s="23">
        <v>305.89999999999998</v>
      </c>
      <c r="G72" s="23">
        <v>345.7</v>
      </c>
      <c r="H72" s="23">
        <v>241.30000000000007</v>
      </c>
      <c r="I72" s="23">
        <v>221.10000000000002</v>
      </c>
      <c r="J72" s="23">
        <v>221</v>
      </c>
      <c r="K72" s="23">
        <v>205.89999999999998</v>
      </c>
      <c r="L72" s="23">
        <v>276.8</v>
      </c>
      <c r="M72" s="23">
        <v>192.7</v>
      </c>
      <c r="N72" s="23">
        <v>236.69999999999993</v>
      </c>
      <c r="O72" s="23">
        <v>258.40000000000009</v>
      </c>
      <c r="P72" s="23">
        <v>186.4</v>
      </c>
      <c r="Q72" s="23">
        <v>165.1</v>
      </c>
      <c r="R72" s="23">
        <v>154.80000000000001</v>
      </c>
      <c r="S72" s="23">
        <v>198.30000000000007</v>
      </c>
      <c r="T72" s="23">
        <v>226.20000000000005</v>
      </c>
      <c r="U72" s="23">
        <v>227.39999999999998</v>
      </c>
      <c r="V72" s="23">
        <v>218.30000000000007</v>
      </c>
      <c r="W72" s="23">
        <v>238.50000000000009</v>
      </c>
      <c r="X72" s="23">
        <v>255.30000000000004</v>
      </c>
      <c r="Y72" s="23">
        <v>276.50252174235925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1759</v>
      </c>
      <c r="E73" s="23">
        <v>1845.3</v>
      </c>
      <c r="F73" s="23">
        <v>1758.7</v>
      </c>
      <c r="G73" s="23">
        <v>1680.9</v>
      </c>
      <c r="H73" s="23">
        <v>1777.3</v>
      </c>
      <c r="I73" s="23">
        <v>1861.6</v>
      </c>
      <c r="J73" s="23">
        <v>1940.2999999999997</v>
      </c>
      <c r="K73" s="23">
        <v>1804.6</v>
      </c>
      <c r="L73" s="23">
        <v>1847</v>
      </c>
      <c r="M73" s="23">
        <v>1829.8</v>
      </c>
      <c r="N73" s="23">
        <v>1973.1</v>
      </c>
      <c r="O73" s="23">
        <v>2155.8000000000002</v>
      </c>
      <c r="P73" s="23">
        <v>2223.5</v>
      </c>
      <c r="Q73" s="23">
        <v>2320.8000000000002</v>
      </c>
      <c r="R73" s="23">
        <v>2466.6999999999998</v>
      </c>
      <c r="S73" s="23">
        <v>2488</v>
      </c>
      <c r="T73" s="23">
        <v>2788.4</v>
      </c>
      <c r="U73" s="23">
        <v>2558.8000000000002</v>
      </c>
      <c r="V73" s="23">
        <v>2557.3999999999996</v>
      </c>
      <c r="W73" s="23">
        <v>2601.9</v>
      </c>
      <c r="X73" s="23">
        <v>2695.3</v>
      </c>
      <c r="Y73" s="23">
        <v>2989.2920320197027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501.79999999999876</v>
      </c>
      <c r="E74" s="23">
        <v>532.69999999998186</v>
      </c>
      <c r="F74" s="23">
        <v>554.10000000000969</v>
      </c>
      <c r="G74" s="23">
        <v>542.99999999997681</v>
      </c>
      <c r="H74" s="23">
        <v>493.80000000000831</v>
      </c>
      <c r="I74" s="23">
        <v>502.09999999997859</v>
      </c>
      <c r="J74" s="23">
        <v>577.79999999999063</v>
      </c>
      <c r="K74" s="23">
        <v>582.80000000000018</v>
      </c>
      <c r="L74" s="23">
        <v>730.20000000002153</v>
      </c>
      <c r="M74" s="23">
        <v>623.49999999999409</v>
      </c>
      <c r="N74" s="23">
        <v>574.29999999998472</v>
      </c>
      <c r="O74" s="23">
        <v>659.20000000000709</v>
      </c>
      <c r="P74" s="23">
        <v>836.09999999998558</v>
      </c>
      <c r="Q74" s="23">
        <v>769.29999999998586</v>
      </c>
      <c r="R74" s="23">
        <v>575.60000000001344</v>
      </c>
      <c r="S74" s="23">
        <v>855.799999999992</v>
      </c>
      <c r="T74" s="23">
        <v>872.80000000001496</v>
      </c>
      <c r="U74" s="23">
        <v>863.10000000001276</v>
      </c>
      <c r="V74" s="23">
        <v>862.70000000002619</v>
      </c>
      <c r="W74" s="23">
        <v>856.79999999995391</v>
      </c>
      <c r="X74" s="23">
        <v>850.0000000000141</v>
      </c>
      <c r="Y74" s="23">
        <v>938.39403501142181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25180.5</v>
      </c>
      <c r="E75" s="30">
        <f t="shared" ref="E75:S75" si="6">SUM(E56:E74)</f>
        <v>25833.499999999982</v>
      </c>
      <c r="F75" s="30">
        <f t="shared" si="6"/>
        <v>26444.800000000014</v>
      </c>
      <c r="G75" s="30">
        <f t="shared" si="6"/>
        <v>25595.199999999979</v>
      </c>
      <c r="H75" s="30">
        <f t="shared" si="6"/>
        <v>25807.200000000004</v>
      </c>
      <c r="I75" s="30">
        <f t="shared" si="6"/>
        <v>25614.699999999979</v>
      </c>
      <c r="J75" s="30">
        <f t="shared" si="6"/>
        <v>27212.899999999994</v>
      </c>
      <c r="K75" s="30">
        <f t="shared" si="6"/>
        <v>27892.600000000002</v>
      </c>
      <c r="L75" s="30">
        <f t="shared" si="6"/>
        <v>28324.000000000022</v>
      </c>
      <c r="M75" s="30">
        <f t="shared" si="6"/>
        <v>25683.69999999999</v>
      </c>
      <c r="N75" s="30">
        <f t="shared" si="6"/>
        <v>26587.499999999985</v>
      </c>
      <c r="O75" s="30">
        <f t="shared" si="6"/>
        <v>27374.400000000012</v>
      </c>
      <c r="P75" s="30">
        <f t="shared" si="6"/>
        <v>29108.399999999991</v>
      </c>
      <c r="Q75" s="30">
        <f t="shared" si="6"/>
        <v>30478.999999999985</v>
      </c>
      <c r="R75" s="30">
        <f t="shared" si="6"/>
        <v>31519.400000000012</v>
      </c>
      <c r="S75" s="30">
        <f t="shared" si="6"/>
        <v>33863.599999999991</v>
      </c>
      <c r="T75" s="30">
        <f t="shared" ref="T75:Y75" si="7">SUM(T56:T74)</f>
        <v>36618.000000000022</v>
      </c>
      <c r="U75" s="30">
        <f t="shared" si="7"/>
        <v>38352.400000000016</v>
      </c>
      <c r="V75" s="30">
        <f t="shared" si="7"/>
        <v>39570.10000000002</v>
      </c>
      <c r="W75" s="30">
        <f t="shared" si="7"/>
        <v>41497.499999999949</v>
      </c>
      <c r="X75" s="30">
        <f t="shared" si="7"/>
        <v>39922.200000000019</v>
      </c>
      <c r="Y75" s="30">
        <f t="shared" si="7"/>
        <v>43842.756953941607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237170.8922314446</v>
      </c>
      <c r="E2" s="19">
        <v>239122.74091493757</v>
      </c>
      <c r="F2" s="19">
        <v>240237.58591445893</v>
      </c>
      <c r="G2" s="19">
        <v>241176.23579598605</v>
      </c>
      <c r="H2" s="19">
        <v>247611.25382262998</v>
      </c>
      <c r="I2" s="19">
        <v>253396.03771787789</v>
      </c>
      <c r="J2" s="19">
        <v>263311.18946434406</v>
      </c>
      <c r="K2" s="19">
        <v>265706.49513291969</v>
      </c>
      <c r="L2" s="19">
        <v>264344.48200785549</v>
      </c>
      <c r="M2" s="19">
        <v>251375.46872452585</v>
      </c>
      <c r="N2" s="19">
        <v>256079.48861063432</v>
      </c>
      <c r="O2" s="19">
        <v>259503.04121606768</v>
      </c>
      <c r="P2" s="19">
        <v>260089.29209959033</v>
      </c>
      <c r="Q2" s="19">
        <v>262517.70459203346</v>
      </c>
      <c r="R2" s="19">
        <v>266768.05091296014</v>
      </c>
      <c r="S2" s="19">
        <v>273017.59999999998</v>
      </c>
      <c r="T2" s="19">
        <v>281880.70014735748</v>
      </c>
      <c r="U2" s="19">
        <v>289834.6376184671</v>
      </c>
      <c r="V2" s="19">
        <v>295600.82521803747</v>
      </c>
      <c r="W2" s="19">
        <v>300015.89609382575</v>
      </c>
      <c r="X2" s="19">
        <v>292740.90580016735</v>
      </c>
      <c r="Y2" s="19">
        <v>312778.56817145459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107620.55234425179</v>
      </c>
      <c r="E3" s="23">
        <v>107866.92096314792</v>
      </c>
      <c r="F3" s="23">
        <v>109426.59198113208</v>
      </c>
      <c r="G3" s="23">
        <v>110885.99451336457</v>
      </c>
      <c r="H3" s="23">
        <v>116039.22934633771</v>
      </c>
      <c r="I3" s="23">
        <v>120331.01457505205</v>
      </c>
      <c r="J3" s="23">
        <v>123877.75911013265</v>
      </c>
      <c r="K3" s="23">
        <v>126069.79945170574</v>
      </c>
      <c r="L3" s="23">
        <v>126688.20464025316</v>
      </c>
      <c r="M3" s="23">
        <v>122339.14172549619</v>
      </c>
      <c r="N3" s="23">
        <v>123297.65708200212</v>
      </c>
      <c r="O3" s="23">
        <v>123637.75478336908</v>
      </c>
      <c r="P3" s="23">
        <v>124271.92456587784</v>
      </c>
      <c r="Q3" s="23">
        <v>124619.08993597642</v>
      </c>
      <c r="R3" s="23">
        <v>125754.77850800179</v>
      </c>
      <c r="S3" s="23">
        <v>128622.6</v>
      </c>
      <c r="T3" s="23">
        <v>131739.16511300986</v>
      </c>
      <c r="U3" s="23">
        <v>134752.72124940841</v>
      </c>
      <c r="V3" s="23">
        <v>139456.35738831613</v>
      </c>
      <c r="W3" s="23">
        <v>141661.19142547983</v>
      </c>
      <c r="X3" s="23">
        <v>139714.3023391132</v>
      </c>
      <c r="Y3" s="23">
        <v>147359.67839805828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207958.5333441814</v>
      </c>
      <c r="E4" s="27">
        <v>209707.32610910441</v>
      </c>
      <c r="F4" s="27">
        <v>210361.99912273913</v>
      </c>
      <c r="G4" s="27">
        <v>211164.67750126965</v>
      </c>
      <c r="H4" s="27">
        <v>215341.12479994044</v>
      </c>
      <c r="I4" s="27">
        <v>218826.30528162624</v>
      </c>
      <c r="J4" s="27">
        <v>227224.05447729322</v>
      </c>
      <c r="K4" s="27">
        <v>228360.53660618505</v>
      </c>
      <c r="L4" s="27">
        <v>228484.31402808704</v>
      </c>
      <c r="M4" s="27">
        <v>218322.80525053918</v>
      </c>
      <c r="N4" s="27">
        <v>222337.80819885779</v>
      </c>
      <c r="O4" s="27">
        <v>225776.9967174356</v>
      </c>
      <c r="P4" s="27">
        <v>226270.66647450018</v>
      </c>
      <c r="Q4" s="27">
        <v>228349.17882280934</v>
      </c>
      <c r="R4" s="27">
        <v>231880.79483518034</v>
      </c>
      <c r="S4" s="27">
        <v>236921.5</v>
      </c>
      <c r="T4" s="27">
        <v>244445.74896771307</v>
      </c>
      <c r="U4" s="27">
        <v>251707.12069439536</v>
      </c>
      <c r="V4" s="27">
        <v>256101.53275407595</v>
      </c>
      <c r="W4" s="27">
        <v>259887.81819409475</v>
      </c>
      <c r="X4" s="27">
        <v>252509.26678057571</v>
      </c>
      <c r="Y4" s="27">
        <v>269968.9937897182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5194.4512244731923</v>
      </c>
      <c r="E6" s="19">
        <v>5697.0851691607459</v>
      </c>
      <c r="F6" s="19">
        <v>4361.1476636478574</v>
      </c>
      <c r="G6" s="19">
        <v>3954.4184865413913</v>
      </c>
      <c r="H6" s="19">
        <v>4074.8874083448095</v>
      </c>
      <c r="I6" s="19">
        <v>2950.3297235162445</v>
      </c>
      <c r="J6" s="19">
        <v>3117.6149575285908</v>
      </c>
      <c r="K6" s="19">
        <v>3161.6162781308758</v>
      </c>
      <c r="L6" s="19">
        <v>2284.552128574263</v>
      </c>
      <c r="M6" s="19">
        <v>2110.6160296902881</v>
      </c>
      <c r="N6" s="19">
        <v>3096.6634526748535</v>
      </c>
      <c r="O6" s="19">
        <v>3432.9713013098594</v>
      </c>
      <c r="P6" s="19">
        <v>4336.7168358417921</v>
      </c>
      <c r="Q6" s="19">
        <v>3436.9070692645109</v>
      </c>
      <c r="R6" s="19">
        <v>3694.6159570402851</v>
      </c>
      <c r="S6" s="19">
        <v>2614.4</v>
      </c>
      <c r="T6" s="19">
        <v>2707.4274911695938</v>
      </c>
      <c r="U6" s="19">
        <v>3777.0511763088648</v>
      </c>
      <c r="V6" s="19">
        <v>3029.9716879820362</v>
      </c>
      <c r="W6" s="19">
        <v>3780.7101310877679</v>
      </c>
      <c r="X6" s="19">
        <v>4017.2544186437362</v>
      </c>
      <c r="Y6" s="19">
        <v>3376.1514332462507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45735.904320234316</v>
      </c>
      <c r="E7" s="23">
        <v>45002.712393654307</v>
      </c>
      <c r="F7" s="23">
        <v>44629.486286348285</v>
      </c>
      <c r="G7" s="23">
        <v>43063.357034027402</v>
      </c>
      <c r="H7" s="23">
        <v>43947.221498492581</v>
      </c>
      <c r="I7" s="23">
        <v>45460.58442737005</v>
      </c>
      <c r="J7" s="23">
        <v>47887.937170787249</v>
      </c>
      <c r="K7" s="23">
        <v>46570.657377181546</v>
      </c>
      <c r="L7" s="23">
        <v>46373.15637469964</v>
      </c>
      <c r="M7" s="23">
        <v>39310.182498932583</v>
      </c>
      <c r="N7" s="23">
        <v>40953.390054991032</v>
      </c>
      <c r="O7" s="23">
        <v>42541.084829486092</v>
      </c>
      <c r="P7" s="23">
        <v>43150.981078465673</v>
      </c>
      <c r="Q7" s="23">
        <v>42602.468632051401</v>
      </c>
      <c r="R7" s="23">
        <v>42283.341043020075</v>
      </c>
      <c r="S7" s="23">
        <v>42819.299999999988</v>
      </c>
      <c r="T7" s="23">
        <v>44907.716034028184</v>
      </c>
      <c r="U7" s="23">
        <v>45976.100703036034</v>
      </c>
      <c r="V7" s="23">
        <v>46987.991799277574</v>
      </c>
      <c r="W7" s="23">
        <v>47634.536176944326</v>
      </c>
      <c r="X7" s="23">
        <v>43411.949245119205</v>
      </c>
      <c r="Y7" s="23">
        <v>45935.836128110735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11360.20936728772</v>
      </c>
      <c r="E8" s="23">
        <v>10739.358816602497</v>
      </c>
      <c r="F8" s="23">
        <v>10843.718554067653</v>
      </c>
      <c r="G8" s="23">
        <v>11346.114779075673</v>
      </c>
      <c r="H8" s="23">
        <v>11629.50831875535</v>
      </c>
      <c r="I8" s="23">
        <v>11812.087845604696</v>
      </c>
      <c r="J8" s="23">
        <v>13168.034926208893</v>
      </c>
      <c r="K8" s="23">
        <v>13103.249397298514</v>
      </c>
      <c r="L8" s="23">
        <v>13802.442734628188</v>
      </c>
      <c r="M8" s="23">
        <v>11203.157330063605</v>
      </c>
      <c r="N8" s="23">
        <v>9815.9548204579423</v>
      </c>
      <c r="O8" s="23">
        <v>10452.276157605311</v>
      </c>
      <c r="P8" s="23">
        <v>10307.500669151104</v>
      </c>
      <c r="Q8" s="23">
        <v>10349.076813220443</v>
      </c>
      <c r="R8" s="23">
        <v>10591.802256591784</v>
      </c>
      <c r="S8" s="23">
        <v>11749.9</v>
      </c>
      <c r="T8" s="23">
        <v>13313.168499079648</v>
      </c>
      <c r="U8" s="23">
        <v>14069.360983464909</v>
      </c>
      <c r="V8" s="23">
        <v>14476.911061212535</v>
      </c>
      <c r="W8" s="23">
        <v>14195.387331076192</v>
      </c>
      <c r="X8" s="23">
        <v>13917.350587751978</v>
      </c>
      <c r="Y8" s="23">
        <v>14793.487791869682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41497.165947983623</v>
      </c>
      <c r="E9" s="23">
        <v>41388.613239127277</v>
      </c>
      <c r="F9" s="23">
        <v>42040.534613102151</v>
      </c>
      <c r="G9" s="23">
        <v>42288.59827323514</v>
      </c>
      <c r="H9" s="23">
        <v>43320.430267614538</v>
      </c>
      <c r="I9" s="23">
        <v>44099.340552967515</v>
      </c>
      <c r="J9" s="23">
        <v>45468.253215014476</v>
      </c>
      <c r="K9" s="23">
        <v>47093.306264634979</v>
      </c>
      <c r="L9" s="23">
        <v>45108.688463149534</v>
      </c>
      <c r="M9" s="23">
        <v>40728.353568417937</v>
      </c>
      <c r="N9" s="23">
        <v>43315.674037656681</v>
      </c>
      <c r="O9" s="23">
        <v>43814.107638559057</v>
      </c>
      <c r="P9" s="23">
        <v>43482.880026354258</v>
      </c>
      <c r="Q9" s="23">
        <v>46008.772824645515</v>
      </c>
      <c r="R9" s="23">
        <v>47826.371151022708</v>
      </c>
      <c r="S9" s="23">
        <v>48664</v>
      </c>
      <c r="T9" s="23">
        <v>47880.105467389687</v>
      </c>
      <c r="U9" s="23">
        <v>50292.997132869881</v>
      </c>
      <c r="V9" s="23">
        <v>50867.812164404953</v>
      </c>
      <c r="W9" s="23">
        <v>51680.990826750007</v>
      </c>
      <c r="X9" s="23">
        <v>51305.93914269442</v>
      </c>
      <c r="Y9" s="23">
        <v>61988.374931072191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8935.942288395303</v>
      </c>
      <c r="E10" s="23">
        <v>9064.422657087287</v>
      </c>
      <c r="F10" s="23">
        <v>9259.1015816497675</v>
      </c>
      <c r="G10" s="23">
        <v>9757.7450482478416</v>
      </c>
      <c r="H10" s="23">
        <v>9710.5494969045048</v>
      </c>
      <c r="I10" s="23">
        <v>9471.9583761873073</v>
      </c>
      <c r="J10" s="23">
        <v>9830.7075404546104</v>
      </c>
      <c r="K10" s="23">
        <v>9908.6431430449975</v>
      </c>
      <c r="L10" s="23">
        <v>10343.481999162239</v>
      </c>
      <c r="M10" s="23">
        <v>10670.002080071816</v>
      </c>
      <c r="N10" s="23">
        <v>10545.248413312283</v>
      </c>
      <c r="O10" s="23">
        <v>10415.123017003896</v>
      </c>
      <c r="P10" s="23">
        <v>10122.609071630051</v>
      </c>
      <c r="Q10" s="23">
        <v>10709.680709986738</v>
      </c>
      <c r="R10" s="23">
        <v>10448.200961364415</v>
      </c>
      <c r="S10" s="23">
        <v>10963.5</v>
      </c>
      <c r="T10" s="23">
        <v>11546.390726829512</v>
      </c>
      <c r="U10" s="23">
        <v>11587.72239896312</v>
      </c>
      <c r="V10" s="23">
        <v>11654.788636141755</v>
      </c>
      <c r="W10" s="23">
        <v>12452.566291441193</v>
      </c>
      <c r="X10" s="23">
        <v>12584.334705843909</v>
      </c>
      <c r="Y10" s="23">
        <v>13118.7004510816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9754.8341604968409</v>
      </c>
      <c r="E11" s="23">
        <v>9814.498736421494</v>
      </c>
      <c r="F11" s="23">
        <v>10053.667724540084</v>
      </c>
      <c r="G11" s="23">
        <v>10423.565261554088</v>
      </c>
      <c r="H11" s="23">
        <v>10574.682696244463</v>
      </c>
      <c r="I11" s="23">
        <v>11409.764656059047</v>
      </c>
      <c r="J11" s="23">
        <v>11918.806055141651</v>
      </c>
      <c r="K11" s="23">
        <v>12708.177130794875</v>
      </c>
      <c r="L11" s="23">
        <v>13585.727198571396</v>
      </c>
      <c r="M11" s="23">
        <v>13688.295764316916</v>
      </c>
      <c r="N11" s="23">
        <v>13751.999915235379</v>
      </c>
      <c r="O11" s="23">
        <v>13336.288696790265</v>
      </c>
      <c r="P11" s="23">
        <v>14164.487636146512</v>
      </c>
      <c r="Q11" s="23">
        <v>13516.882586963175</v>
      </c>
      <c r="R11" s="23">
        <v>13881.760222038978</v>
      </c>
      <c r="S11" s="23">
        <v>14227.6</v>
      </c>
      <c r="T11" s="23">
        <v>14273.618227948858</v>
      </c>
      <c r="U11" s="23">
        <v>14572.090648442718</v>
      </c>
      <c r="V11" s="23">
        <v>14653.324221419505</v>
      </c>
      <c r="W11" s="23">
        <v>14294.547173269284</v>
      </c>
      <c r="X11" s="23">
        <v>13625.201908443274</v>
      </c>
      <c r="Y11" s="23">
        <v>14358.044891207071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18886.990480839639</v>
      </c>
      <c r="E12" s="23">
        <v>19508.064409425901</v>
      </c>
      <c r="F12" s="23">
        <v>19904.017338803314</v>
      </c>
      <c r="G12" s="23">
        <v>20482.478415439309</v>
      </c>
      <c r="H12" s="23">
        <v>20612.523417823602</v>
      </c>
      <c r="I12" s="23">
        <v>21017.242422409101</v>
      </c>
      <c r="J12" s="23">
        <v>21155.269776491245</v>
      </c>
      <c r="K12" s="23">
        <v>21195.021512694217</v>
      </c>
      <c r="L12" s="23">
        <v>20450.296523291956</v>
      </c>
      <c r="M12" s="23">
        <v>21421.126961015074</v>
      </c>
      <c r="N12" s="23">
        <v>22080.653535214402</v>
      </c>
      <c r="O12" s="23">
        <v>23288.158491920247</v>
      </c>
      <c r="P12" s="23">
        <v>22803.949020980461</v>
      </c>
      <c r="Q12" s="23">
        <v>22988.472916454146</v>
      </c>
      <c r="R12" s="23">
        <v>23743.689789022748</v>
      </c>
      <c r="S12" s="23">
        <v>24348</v>
      </c>
      <c r="T12" s="23">
        <v>25258.942341177059</v>
      </c>
      <c r="U12" s="23">
        <v>26139.291465378425</v>
      </c>
      <c r="V12" s="23">
        <v>27260.372937615932</v>
      </c>
      <c r="W12" s="23">
        <v>28003.105979492815</v>
      </c>
      <c r="X12" s="23">
        <v>28136.653501769328</v>
      </c>
      <c r="Y12" s="23">
        <v>27481.626786472974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14240.094378000163</v>
      </c>
      <c r="E13" s="23">
        <v>14821.842046071</v>
      </c>
      <c r="F13" s="23">
        <v>14603.942513610446</v>
      </c>
      <c r="G13" s="23">
        <v>14615.921787709496</v>
      </c>
      <c r="H13" s="23">
        <v>15546.58130792422</v>
      </c>
      <c r="I13" s="23">
        <v>16741.726662230019</v>
      </c>
      <c r="J13" s="23">
        <v>17468.680301807999</v>
      </c>
      <c r="K13" s="23">
        <v>17651.71351781574</v>
      </c>
      <c r="L13" s="23">
        <v>18654.73224718358</v>
      </c>
      <c r="M13" s="23">
        <v>18164.829269894792</v>
      </c>
      <c r="N13" s="23">
        <v>17717.500715201473</v>
      </c>
      <c r="O13" s="23">
        <v>17939.478378349853</v>
      </c>
      <c r="P13" s="23">
        <v>17735.077930367104</v>
      </c>
      <c r="Q13" s="23">
        <v>18804.243598898298</v>
      </c>
      <c r="R13" s="23">
        <v>19303.312483658814</v>
      </c>
      <c r="S13" s="23">
        <v>20877.5</v>
      </c>
      <c r="T13" s="23">
        <v>23360.230834286853</v>
      </c>
      <c r="U13" s="23">
        <v>23799.732924865482</v>
      </c>
      <c r="V13" s="23">
        <v>24901.786585961141</v>
      </c>
      <c r="W13" s="23">
        <v>24860.18269332793</v>
      </c>
      <c r="X13" s="23">
        <v>24276.350802498531</v>
      </c>
      <c r="Y13" s="23">
        <v>26267.141552841633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45465.516773791125</v>
      </c>
      <c r="E14" s="23">
        <v>46542.02887045344</v>
      </c>
      <c r="F14" s="23">
        <v>47468.586319890608</v>
      </c>
      <c r="G14" s="23">
        <v>47972.574911122385</v>
      </c>
      <c r="H14" s="23">
        <v>48574.335306013571</v>
      </c>
      <c r="I14" s="23">
        <v>48423.014096436564</v>
      </c>
      <c r="J14" s="23">
        <v>49594.504816589942</v>
      </c>
      <c r="K14" s="23">
        <v>49421.983320452629</v>
      </c>
      <c r="L14" s="23">
        <v>50280.09876760951</v>
      </c>
      <c r="M14" s="23">
        <v>53241.846665863828</v>
      </c>
      <c r="N14" s="23">
        <v>53375.539050000531</v>
      </c>
      <c r="O14" s="23">
        <v>52649.905533918078</v>
      </c>
      <c r="P14" s="23">
        <v>52398.237558936766</v>
      </c>
      <c r="Q14" s="23">
        <v>52167.60175456493</v>
      </c>
      <c r="R14" s="23">
        <v>52373.946622151612</v>
      </c>
      <c r="S14" s="23">
        <v>52936</v>
      </c>
      <c r="T14" s="23">
        <v>53257.250883040644</v>
      </c>
      <c r="U14" s="23">
        <v>53354.149483523826</v>
      </c>
      <c r="V14" s="23">
        <v>54218.783559504045</v>
      </c>
      <c r="W14" s="23">
        <v>54786.584483606792</v>
      </c>
      <c r="X14" s="23">
        <v>54458.978740091319</v>
      </c>
      <c r="Y14" s="23">
        <v>55569.366225830068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6887.4244026794677</v>
      </c>
      <c r="E15" s="23">
        <v>7128.6997711004387</v>
      </c>
      <c r="F15" s="23">
        <v>7197.79652707898</v>
      </c>
      <c r="G15" s="23">
        <v>7259.9035043169115</v>
      </c>
      <c r="H15" s="23">
        <v>7350.4050818228061</v>
      </c>
      <c r="I15" s="23">
        <v>7440.2565188456656</v>
      </c>
      <c r="J15" s="23">
        <v>7614.2457172685426</v>
      </c>
      <c r="K15" s="23">
        <v>7546.1686641366659</v>
      </c>
      <c r="L15" s="23">
        <v>7601.1375912167368</v>
      </c>
      <c r="M15" s="23">
        <v>7784.3950822723136</v>
      </c>
      <c r="N15" s="23">
        <v>7685.1842041132031</v>
      </c>
      <c r="O15" s="23">
        <v>7907.6026724929552</v>
      </c>
      <c r="P15" s="23">
        <v>7768.2266466264482</v>
      </c>
      <c r="Q15" s="23">
        <v>7765.0719167601756</v>
      </c>
      <c r="R15" s="23">
        <v>7733.754349268921</v>
      </c>
      <c r="S15" s="23">
        <v>7721.3</v>
      </c>
      <c r="T15" s="23">
        <v>7940.8984627630471</v>
      </c>
      <c r="U15" s="23">
        <v>8138.623777542125</v>
      </c>
      <c r="V15" s="23">
        <v>8049.7901005564772</v>
      </c>
      <c r="W15" s="23">
        <v>8199.2071070984184</v>
      </c>
      <c r="X15" s="23">
        <v>6775.2537277200454</v>
      </c>
      <c r="Y15" s="23">
        <v>7080.2635979859524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207958.5333441814</v>
      </c>
      <c r="E16" s="30">
        <f t="shared" ref="E16:S16" si="0">SUM(E6:E15)</f>
        <v>209707.32610910438</v>
      </c>
      <c r="F16" s="30">
        <f t="shared" si="0"/>
        <v>210361.99912273913</v>
      </c>
      <c r="G16" s="30">
        <f t="shared" si="0"/>
        <v>211164.67750126962</v>
      </c>
      <c r="H16" s="30">
        <f t="shared" si="0"/>
        <v>215341.12479994041</v>
      </c>
      <c r="I16" s="30">
        <f t="shared" si="0"/>
        <v>218826.30528162621</v>
      </c>
      <c r="J16" s="30">
        <f t="shared" si="0"/>
        <v>227224.05447729319</v>
      </c>
      <c r="K16" s="30">
        <f t="shared" si="0"/>
        <v>228360.53660618505</v>
      </c>
      <c r="L16" s="30">
        <f t="shared" si="0"/>
        <v>228484.31402808704</v>
      </c>
      <c r="M16" s="30">
        <f t="shared" si="0"/>
        <v>218322.80525053918</v>
      </c>
      <c r="N16" s="30">
        <f t="shared" si="0"/>
        <v>222337.80819885782</v>
      </c>
      <c r="O16" s="30">
        <f t="shared" si="0"/>
        <v>225776.9967174356</v>
      </c>
      <c r="P16" s="30">
        <f t="shared" si="0"/>
        <v>226270.66647450018</v>
      </c>
      <c r="Q16" s="30">
        <f t="shared" si="0"/>
        <v>228349.17882280934</v>
      </c>
      <c r="R16" s="30">
        <f t="shared" si="0"/>
        <v>231880.79483518034</v>
      </c>
      <c r="S16" s="30">
        <f t="shared" si="0"/>
        <v>236921.5</v>
      </c>
      <c r="T16" s="30">
        <f t="shared" ref="T16:Y16" si="1">SUM(T6:T15)</f>
        <v>244445.74896771309</v>
      </c>
      <c r="U16" s="30">
        <f t="shared" si="1"/>
        <v>251707.12069439536</v>
      </c>
      <c r="V16" s="30">
        <f t="shared" si="1"/>
        <v>256101.53275407595</v>
      </c>
      <c r="W16" s="30">
        <f t="shared" si="1"/>
        <v>259887.81819409473</v>
      </c>
      <c r="X16" s="30">
        <f t="shared" si="1"/>
        <v>252509.26678057571</v>
      </c>
      <c r="Y16" s="30">
        <f t="shared" si="1"/>
        <v>269968.99378971814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5194.4512244731923</v>
      </c>
      <c r="E18" s="19">
        <v>5697.0851691607459</v>
      </c>
      <c r="F18" s="19">
        <v>4361.1476636478574</v>
      </c>
      <c r="G18" s="19">
        <v>3954.4184865413913</v>
      </c>
      <c r="H18" s="19">
        <v>4074.8874083448095</v>
      </c>
      <c r="I18" s="19">
        <v>2950.3297235162445</v>
      </c>
      <c r="J18" s="19">
        <v>3117.6149575285908</v>
      </c>
      <c r="K18" s="19">
        <v>3161.6162781308758</v>
      </c>
      <c r="L18" s="19">
        <v>2284.552128574263</v>
      </c>
      <c r="M18" s="19">
        <v>2110.6160296902881</v>
      </c>
      <c r="N18" s="19">
        <v>3096.6634526748535</v>
      </c>
      <c r="O18" s="19">
        <v>3432.9713013098594</v>
      </c>
      <c r="P18" s="19">
        <v>4336.7168358417921</v>
      </c>
      <c r="Q18" s="19">
        <v>3436.9070692645109</v>
      </c>
      <c r="R18" s="19">
        <v>3694.6159570402851</v>
      </c>
      <c r="S18" s="19">
        <v>2614.4</v>
      </c>
      <c r="T18" s="19">
        <v>2707.4274911695938</v>
      </c>
      <c r="U18" s="19">
        <v>3777.0511763088648</v>
      </c>
      <c r="V18" s="19">
        <v>3029.9716879820362</v>
      </c>
      <c r="W18" s="19">
        <v>3780.7101310877679</v>
      </c>
      <c r="X18" s="19">
        <v>4017.2544186437362</v>
      </c>
      <c r="Y18" s="19">
        <v>3376.1514332462507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6244.9488785832446</v>
      </c>
      <c r="E19" s="23">
        <v>5288.5060664999537</v>
      </c>
      <c r="F19" s="23">
        <v>5141.6518306370463</v>
      </c>
      <c r="G19" s="23">
        <v>5001.0157440325038</v>
      </c>
      <c r="H19" s="23">
        <v>6270.3936675723626</v>
      </c>
      <c r="I19" s="23">
        <v>8530.9456107447513</v>
      </c>
      <c r="J19" s="23">
        <v>9399.3498789920741</v>
      </c>
      <c r="K19" s="23">
        <v>9055.8637952314493</v>
      </c>
      <c r="L19" s="23">
        <v>9640.8650984369142</v>
      </c>
      <c r="M19" s="23">
        <v>6088.6986413846707</v>
      </c>
      <c r="N19" s="23">
        <v>6883.8406848981231</v>
      </c>
      <c r="O19" s="23">
        <v>7996.3691248957712</v>
      </c>
      <c r="P19" s="23">
        <v>7834.1122938499866</v>
      </c>
      <c r="Q19" s="23">
        <v>6478.7310007140668</v>
      </c>
      <c r="R19" s="23">
        <v>5323.6057199171382</v>
      </c>
      <c r="S19" s="23">
        <v>3140.5</v>
      </c>
      <c r="T19" s="23">
        <v>2725.0385552957564</v>
      </c>
      <c r="U19" s="23">
        <v>2827.9525548878678</v>
      </c>
      <c r="V19" s="23">
        <v>3227.3747925412476</v>
      </c>
      <c r="W19" s="23">
        <v>2449.961898698768</v>
      </c>
      <c r="X19" s="23">
        <v>1261.6826792900292</v>
      </c>
      <c r="Y19" s="23">
        <v>1081.3650524470463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34144.902774387767</v>
      </c>
      <c r="E20" s="23">
        <v>34180.790960451959</v>
      </c>
      <c r="F20" s="23">
        <v>34116.159661480517</v>
      </c>
      <c r="G20" s="23">
        <v>32497.714575926842</v>
      </c>
      <c r="H20" s="23">
        <v>32018.461309413047</v>
      </c>
      <c r="I20" s="23">
        <v>30993.647528586098</v>
      </c>
      <c r="J20" s="23">
        <v>32284.08389882787</v>
      </c>
      <c r="K20" s="23">
        <v>32173.993286655212</v>
      </c>
      <c r="L20" s="23">
        <v>31222.028704336535</v>
      </c>
      <c r="M20" s="23">
        <v>28117.863437811317</v>
      </c>
      <c r="N20" s="23">
        <v>28170.991428177862</v>
      </c>
      <c r="O20" s="23">
        <v>28893.321934074294</v>
      </c>
      <c r="P20" s="23">
        <v>29966.027713150346</v>
      </c>
      <c r="Q20" s="23">
        <v>31091.502601244501</v>
      </c>
      <c r="R20" s="23">
        <v>31696.265159590534</v>
      </c>
      <c r="S20" s="23">
        <v>33863.599999999991</v>
      </c>
      <c r="T20" s="23">
        <v>36434.008258295631</v>
      </c>
      <c r="U20" s="23">
        <v>37657.986724794799</v>
      </c>
      <c r="V20" s="23">
        <v>38631.358000585788</v>
      </c>
      <c r="W20" s="23">
        <v>40028.069566223872</v>
      </c>
      <c r="X20" s="23">
        <v>37274.586146046349</v>
      </c>
      <c r="Y20" s="23">
        <v>39632.587214179337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3864.8875871233695</v>
      </c>
      <c r="E21" s="23">
        <v>4016.0626629090093</v>
      </c>
      <c r="F21" s="23">
        <v>3864.9792295585316</v>
      </c>
      <c r="G21" s="23">
        <v>4035.5510411376331</v>
      </c>
      <c r="H21" s="23">
        <v>4064.5897693577003</v>
      </c>
      <c r="I21" s="23">
        <v>4372.6783229475468</v>
      </c>
      <c r="J21" s="23">
        <v>4657.7373890760691</v>
      </c>
      <c r="K21" s="23">
        <v>3795.3467984727718</v>
      </c>
      <c r="L21" s="23">
        <v>3810.4896492427079</v>
      </c>
      <c r="M21" s="23">
        <v>3411.5367351630666</v>
      </c>
      <c r="N21" s="23">
        <v>4104.3028639845725</v>
      </c>
      <c r="O21" s="23">
        <v>3780.4376048890158</v>
      </c>
      <c r="P21" s="23">
        <v>3466.923346167308</v>
      </c>
      <c r="Q21" s="23">
        <v>3178.6187901662756</v>
      </c>
      <c r="R21" s="23">
        <v>3359.1440236519784</v>
      </c>
      <c r="S21" s="23">
        <v>3784.7</v>
      </c>
      <c r="T21" s="23">
        <v>3689.7666782747128</v>
      </c>
      <c r="U21" s="23">
        <v>3517.0456777031541</v>
      </c>
      <c r="V21" s="23">
        <v>3065.1176413160206</v>
      </c>
      <c r="W21" s="23">
        <v>3123.7279470633057</v>
      </c>
      <c r="X21" s="23">
        <v>2661.2699924371868</v>
      </c>
      <c r="Y21" s="23">
        <v>2616.5400634514144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1481.1650801399398</v>
      </c>
      <c r="E22" s="23">
        <v>1517.3527037933818</v>
      </c>
      <c r="F22" s="23">
        <v>1506.6955646721885</v>
      </c>
      <c r="G22" s="23">
        <v>1529.0756729304214</v>
      </c>
      <c r="H22" s="23">
        <v>1593.7767521494768</v>
      </c>
      <c r="I22" s="23">
        <v>1563.3129650916571</v>
      </c>
      <c r="J22" s="23">
        <v>1546.7660038912352</v>
      </c>
      <c r="K22" s="23">
        <v>1545.4534968221194</v>
      </c>
      <c r="L22" s="23">
        <v>1699.7729226834806</v>
      </c>
      <c r="M22" s="23">
        <v>1692.0836845735305</v>
      </c>
      <c r="N22" s="23">
        <v>1794.2550779304718</v>
      </c>
      <c r="O22" s="23">
        <v>1870.9561656270121</v>
      </c>
      <c r="P22" s="23">
        <v>1883.9177252980296</v>
      </c>
      <c r="Q22" s="23">
        <v>1853.6162399265531</v>
      </c>
      <c r="R22" s="23">
        <v>1904.3261398604213</v>
      </c>
      <c r="S22" s="23">
        <v>2030.5</v>
      </c>
      <c r="T22" s="23">
        <v>2058.9025421620818</v>
      </c>
      <c r="U22" s="23">
        <v>1973.1157456502103</v>
      </c>
      <c r="V22" s="23">
        <v>2064.1413648345215</v>
      </c>
      <c r="W22" s="23">
        <v>2032.7767649583777</v>
      </c>
      <c r="X22" s="23">
        <v>2214.4104273456392</v>
      </c>
      <c r="Y22" s="23">
        <v>2605.3437980329422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11360.20936728772</v>
      </c>
      <c r="E23" s="23">
        <v>10739.358816602497</v>
      </c>
      <c r="F23" s="23">
        <v>10843.718554067653</v>
      </c>
      <c r="G23" s="23">
        <v>11346.114779075673</v>
      </c>
      <c r="H23" s="23">
        <v>11629.50831875535</v>
      </c>
      <c r="I23" s="23">
        <v>11812.087845604696</v>
      </c>
      <c r="J23" s="23">
        <v>13168.034926208893</v>
      </c>
      <c r="K23" s="23">
        <v>13103.249397298514</v>
      </c>
      <c r="L23" s="23">
        <v>13802.442734628188</v>
      </c>
      <c r="M23" s="23">
        <v>11203.157330063605</v>
      </c>
      <c r="N23" s="23">
        <v>9815.9548204579423</v>
      </c>
      <c r="O23" s="23">
        <v>10452.276157605311</v>
      </c>
      <c r="P23" s="23">
        <v>10307.500669151104</v>
      </c>
      <c r="Q23" s="23">
        <v>10349.076813220443</v>
      </c>
      <c r="R23" s="23">
        <v>10591.802256591784</v>
      </c>
      <c r="S23" s="23">
        <v>11749.9</v>
      </c>
      <c r="T23" s="23">
        <v>13313.168499079648</v>
      </c>
      <c r="U23" s="23">
        <v>14069.360983464909</v>
      </c>
      <c r="V23" s="23">
        <v>14476.911061212535</v>
      </c>
      <c r="W23" s="23">
        <v>14195.387331076192</v>
      </c>
      <c r="X23" s="23">
        <v>13917.350587751978</v>
      </c>
      <c r="Y23" s="23">
        <v>14793.487791869682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25318.525750549183</v>
      </c>
      <c r="E24" s="23">
        <v>24773.018960293208</v>
      </c>
      <c r="F24" s="23">
        <v>25521.067162061048</v>
      </c>
      <c r="G24" s="23">
        <v>25570.213306246824</v>
      </c>
      <c r="H24" s="23">
        <v>25676.356372749709</v>
      </c>
      <c r="I24" s="23">
        <v>26070.300683646925</v>
      </c>
      <c r="J24" s="23">
        <v>28828.00265742894</v>
      </c>
      <c r="K24" s="23">
        <v>29543.907812626163</v>
      </c>
      <c r="L24" s="23">
        <v>28897.352234396698</v>
      </c>
      <c r="M24" s="23">
        <v>27136.726404869558</v>
      </c>
      <c r="N24" s="23">
        <v>27309.676940844893</v>
      </c>
      <c r="O24" s="23">
        <v>29002.987028065403</v>
      </c>
      <c r="P24" s="23">
        <v>28874.590788362948</v>
      </c>
      <c r="Q24" s="23">
        <v>29326.124655717635</v>
      </c>
      <c r="R24" s="23">
        <v>30067.97932463144</v>
      </c>
      <c r="S24" s="23">
        <v>31116.7</v>
      </c>
      <c r="T24" s="23">
        <v>31279.93632157605</v>
      </c>
      <c r="U24" s="23">
        <v>32592.78897136798</v>
      </c>
      <c r="V24" s="23">
        <v>33788.148003514594</v>
      </c>
      <c r="W24" s="23">
        <v>33403.651937378825</v>
      </c>
      <c r="X24" s="23">
        <v>34730.493076757892</v>
      </c>
      <c r="Y24" s="23">
        <v>43021.374927407865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13179.291080194182</v>
      </c>
      <c r="E25" s="23">
        <v>13621.243996348192</v>
      </c>
      <c r="F25" s="23">
        <v>13448.15130170034</v>
      </c>
      <c r="G25" s="23">
        <v>13655.027932960893</v>
      </c>
      <c r="H25" s="23">
        <v>14592.746988250767</v>
      </c>
      <c r="I25" s="23">
        <v>14946.457740940166</v>
      </c>
      <c r="J25" s="23">
        <v>13268.281687467375</v>
      </c>
      <c r="K25" s="23">
        <v>14062.265696192311</v>
      </c>
      <c r="L25" s="23">
        <v>12790.956590753764</v>
      </c>
      <c r="M25" s="23">
        <v>10396.30841991176</v>
      </c>
      <c r="N25" s="23">
        <v>13019.527649159239</v>
      </c>
      <c r="O25" s="23">
        <v>11566.764826952915</v>
      </c>
      <c r="P25" s="23">
        <v>11325.330972430975</v>
      </c>
      <c r="Q25" s="23">
        <v>13182.189125777822</v>
      </c>
      <c r="R25" s="23">
        <v>14172.784135475957</v>
      </c>
      <c r="S25" s="23">
        <v>13975</v>
      </c>
      <c r="T25" s="23">
        <v>12597.383214765436</v>
      </c>
      <c r="U25" s="23">
        <v>13614.056792741841</v>
      </c>
      <c r="V25" s="23">
        <v>12818.21731914478</v>
      </c>
      <c r="W25" s="23">
        <v>13956.747788677643</v>
      </c>
      <c r="X25" s="23">
        <v>13878.322736057815</v>
      </c>
      <c r="Y25" s="23">
        <v>17076.347956830727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2999.3491172402573</v>
      </c>
      <c r="E26" s="23">
        <v>2994.3502824858761</v>
      </c>
      <c r="F26" s="23">
        <v>3071.3161493407642</v>
      </c>
      <c r="G26" s="23">
        <v>3063.3570340274246</v>
      </c>
      <c r="H26" s="23">
        <v>3051.326906614062</v>
      </c>
      <c r="I26" s="23">
        <v>3082.5821283804225</v>
      </c>
      <c r="J26" s="23">
        <v>3371.9688701181608</v>
      </c>
      <c r="K26" s="23">
        <v>3487.1327558165021</v>
      </c>
      <c r="L26" s="23">
        <v>3420.379637999074</v>
      </c>
      <c r="M26" s="23">
        <v>3195.3187436366225</v>
      </c>
      <c r="N26" s="23">
        <v>2986.4694476525497</v>
      </c>
      <c r="O26" s="23">
        <v>3244.3557835407369</v>
      </c>
      <c r="P26" s="23">
        <v>3282.9582655603367</v>
      </c>
      <c r="Q26" s="23">
        <v>3500.459043150056</v>
      </c>
      <c r="R26" s="23">
        <v>3585.6076909153076</v>
      </c>
      <c r="S26" s="23">
        <v>3572.3</v>
      </c>
      <c r="T26" s="23">
        <v>4002.7859310482067</v>
      </c>
      <c r="U26" s="23">
        <v>4086.1513687600645</v>
      </c>
      <c r="V26" s="23">
        <v>4261.4468417455819</v>
      </c>
      <c r="W26" s="23">
        <v>4320.5911006935403</v>
      </c>
      <c r="X26" s="23">
        <v>2697.1233298787151</v>
      </c>
      <c r="Y26" s="23">
        <v>1890.6520468336048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8935.942288395303</v>
      </c>
      <c r="E27" s="23">
        <v>9064.422657087287</v>
      </c>
      <c r="F27" s="23">
        <v>9259.1015816497675</v>
      </c>
      <c r="G27" s="23">
        <v>9757.7450482478416</v>
      </c>
      <c r="H27" s="23">
        <v>9710.5494969045048</v>
      </c>
      <c r="I27" s="23">
        <v>9471.9583761873073</v>
      </c>
      <c r="J27" s="23">
        <v>9830.7075404546104</v>
      </c>
      <c r="K27" s="23">
        <v>9908.6431430449975</v>
      </c>
      <c r="L27" s="23">
        <v>10343.481999162239</v>
      </c>
      <c r="M27" s="23">
        <v>10670.002080071816</v>
      </c>
      <c r="N27" s="23">
        <v>10545.248413312283</v>
      </c>
      <c r="O27" s="23">
        <v>10415.123017003896</v>
      </c>
      <c r="P27" s="23">
        <v>10122.609071630051</v>
      </c>
      <c r="Q27" s="23">
        <v>10709.680709986738</v>
      </c>
      <c r="R27" s="23">
        <v>10448.200961364415</v>
      </c>
      <c r="S27" s="23">
        <v>10963.5</v>
      </c>
      <c r="T27" s="23">
        <v>11546.390726829512</v>
      </c>
      <c r="U27" s="23">
        <v>11587.72239896312</v>
      </c>
      <c r="V27" s="23">
        <v>11654.788636141755</v>
      </c>
      <c r="W27" s="23">
        <v>12452.566291441193</v>
      </c>
      <c r="X27" s="23">
        <v>12584.334705843909</v>
      </c>
      <c r="Y27" s="23">
        <v>13118.7004510816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9754.8341604968409</v>
      </c>
      <c r="E28" s="23">
        <v>9814.498736421494</v>
      </c>
      <c r="F28" s="23">
        <v>10053.667724540084</v>
      </c>
      <c r="G28" s="23">
        <v>10423.565261554088</v>
      </c>
      <c r="H28" s="23">
        <v>10574.682696244463</v>
      </c>
      <c r="I28" s="23">
        <v>11409.764656059047</v>
      </c>
      <c r="J28" s="23">
        <v>11918.806055141651</v>
      </c>
      <c r="K28" s="23">
        <v>12708.177130794875</v>
      </c>
      <c r="L28" s="23">
        <v>13585.727198571396</v>
      </c>
      <c r="M28" s="23">
        <v>13688.295764316916</v>
      </c>
      <c r="N28" s="23">
        <v>13751.999915235379</v>
      </c>
      <c r="O28" s="23">
        <v>13336.288696790265</v>
      </c>
      <c r="P28" s="23">
        <v>14164.487636146512</v>
      </c>
      <c r="Q28" s="23">
        <v>13516.882586963175</v>
      </c>
      <c r="R28" s="23">
        <v>13881.760222038978</v>
      </c>
      <c r="S28" s="23">
        <v>14227.6</v>
      </c>
      <c r="T28" s="23">
        <v>14273.618227948858</v>
      </c>
      <c r="U28" s="23">
        <v>14572.090648442718</v>
      </c>
      <c r="V28" s="23">
        <v>14653.324221419505</v>
      </c>
      <c r="W28" s="23">
        <v>14294.547173269284</v>
      </c>
      <c r="X28" s="23">
        <v>13625.201908443274</v>
      </c>
      <c r="Y28" s="23">
        <v>14358.044891207071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18886.990480839639</v>
      </c>
      <c r="E29" s="23">
        <v>19508.064409425901</v>
      </c>
      <c r="F29" s="23">
        <v>19904.017338803314</v>
      </c>
      <c r="G29" s="23">
        <v>20482.478415439309</v>
      </c>
      <c r="H29" s="23">
        <v>20612.523417823602</v>
      </c>
      <c r="I29" s="23">
        <v>21017.242422409101</v>
      </c>
      <c r="J29" s="23">
        <v>21155.269776491245</v>
      </c>
      <c r="K29" s="23">
        <v>21195.021512694217</v>
      </c>
      <c r="L29" s="23">
        <v>20450.296523291956</v>
      </c>
      <c r="M29" s="23">
        <v>21421.126961015074</v>
      </c>
      <c r="N29" s="23">
        <v>22080.653535214402</v>
      </c>
      <c r="O29" s="23">
        <v>23288.158491920247</v>
      </c>
      <c r="P29" s="23">
        <v>22803.949020980461</v>
      </c>
      <c r="Q29" s="23">
        <v>22988.472916454146</v>
      </c>
      <c r="R29" s="23">
        <v>23743.689789022748</v>
      </c>
      <c r="S29" s="23">
        <v>24348</v>
      </c>
      <c r="T29" s="23">
        <v>25258.942341177059</v>
      </c>
      <c r="U29" s="23">
        <v>26139.291465378425</v>
      </c>
      <c r="V29" s="23">
        <v>27260.372937615932</v>
      </c>
      <c r="W29" s="23">
        <v>28003.105979492815</v>
      </c>
      <c r="X29" s="23">
        <v>28136.653501769328</v>
      </c>
      <c r="Y29" s="23">
        <v>27481.626786472974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9844.1949393865434</v>
      </c>
      <c r="E30" s="23">
        <v>10312.6529856177</v>
      </c>
      <c r="F30" s="23">
        <v>9828.0310653559354</v>
      </c>
      <c r="G30" s="23">
        <v>9627.6028440832906</v>
      </c>
      <c r="H30" s="23">
        <v>10184.240890311536</v>
      </c>
      <c r="I30" s="23">
        <v>10834.654244055902</v>
      </c>
      <c r="J30" s="23">
        <v>11399.895601006025</v>
      </c>
      <c r="K30" s="23">
        <v>11199.174097101266</v>
      </c>
      <c r="L30" s="23">
        <v>12450.450847681826</v>
      </c>
      <c r="M30" s="23">
        <v>12398.979670034923</v>
      </c>
      <c r="N30" s="23">
        <v>12095.593299356846</v>
      </c>
      <c r="O30" s="23">
        <v>11879.083415133573</v>
      </c>
      <c r="P30" s="23">
        <v>11471.72064485577</v>
      </c>
      <c r="Q30" s="23">
        <v>12179.434866877487</v>
      </c>
      <c r="R30" s="23">
        <v>12519.056334345645</v>
      </c>
      <c r="S30" s="23">
        <v>13309.4</v>
      </c>
      <c r="T30" s="23">
        <v>15387.393662006867</v>
      </c>
      <c r="U30" s="23">
        <v>15690.565963630652</v>
      </c>
      <c r="V30" s="23">
        <v>16536.756809528459</v>
      </c>
      <c r="W30" s="23">
        <v>16825.245246983242</v>
      </c>
      <c r="X30" s="23">
        <v>17181.871656256128</v>
      </c>
      <c r="Y30" s="23">
        <v>19207.483403715691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4395.8994386136201</v>
      </c>
      <c r="E31" s="23">
        <v>4509.189060453301</v>
      </c>
      <c r="F31" s="23">
        <v>4775.9114482545092</v>
      </c>
      <c r="G31" s="23">
        <v>4988.3189436262055</v>
      </c>
      <c r="H31" s="23">
        <v>5362.3404176126851</v>
      </c>
      <c r="I31" s="23">
        <v>5907.072418174118</v>
      </c>
      <c r="J31" s="23">
        <v>6068.7847008019744</v>
      </c>
      <c r="K31" s="23">
        <v>6452.5394207144755</v>
      </c>
      <c r="L31" s="23">
        <v>6204.2813995017523</v>
      </c>
      <c r="M31" s="23">
        <v>5765.8495998598682</v>
      </c>
      <c r="N31" s="23">
        <v>5621.9074158446265</v>
      </c>
      <c r="O31" s="23">
        <v>6060.3949632162803</v>
      </c>
      <c r="P31" s="23">
        <v>6263.3572855113343</v>
      </c>
      <c r="Q31" s="23">
        <v>6624.8087320208097</v>
      </c>
      <c r="R31" s="23">
        <v>6784.256149313168</v>
      </c>
      <c r="S31" s="23">
        <v>7568.1</v>
      </c>
      <c r="T31" s="23">
        <v>7972.8371722799866</v>
      </c>
      <c r="U31" s="23">
        <v>8109.1669612348314</v>
      </c>
      <c r="V31" s="23">
        <v>8365.0297764326842</v>
      </c>
      <c r="W31" s="23">
        <v>8034.9374463446857</v>
      </c>
      <c r="X31" s="23">
        <v>7094.4791462424027</v>
      </c>
      <c r="Y31" s="23">
        <v>7059.6581491259431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12536.001952648287</v>
      </c>
      <c r="E32" s="23">
        <v>12671.112346022048</v>
      </c>
      <c r="F32" s="23">
        <v>12742.988363392429</v>
      </c>
      <c r="G32" s="23">
        <v>12593.575418994405</v>
      </c>
      <c r="H32" s="23">
        <v>12651.828141090056</v>
      </c>
      <c r="I32" s="23">
        <v>12608.869260088326</v>
      </c>
      <c r="J32" s="23">
        <v>12868.955535519381</v>
      </c>
      <c r="K32" s="23">
        <v>12608.16905632519</v>
      </c>
      <c r="L32" s="23">
        <v>12771.004651778036</v>
      </c>
      <c r="M32" s="23">
        <v>13251.261727773341</v>
      </c>
      <c r="N32" s="23">
        <v>13253.689909831639</v>
      </c>
      <c r="O32" s="23">
        <v>12895.517346928009</v>
      </c>
      <c r="P32" s="23">
        <v>12765.241203236634</v>
      </c>
      <c r="Q32" s="23">
        <v>12405.182087116187</v>
      </c>
      <c r="R32" s="23">
        <v>12164.47778604614</v>
      </c>
      <c r="S32" s="23">
        <v>12246.400000000001</v>
      </c>
      <c r="T32" s="23">
        <v>12159.096562360082</v>
      </c>
      <c r="U32" s="23">
        <v>12089.764738227095</v>
      </c>
      <c r="V32" s="23">
        <v>12266.425851801225</v>
      </c>
      <c r="W32" s="23">
        <v>12547.481938054039</v>
      </c>
      <c r="X32" s="23">
        <v>12524.112303110091</v>
      </c>
      <c r="Y32" s="23">
        <v>12818.826691001974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12029.127003498495</v>
      </c>
      <c r="E33" s="23">
        <v>12290.318739332355</v>
      </c>
      <c r="F33" s="23">
        <v>12705.962793817891</v>
      </c>
      <c r="G33" s="23">
        <v>12782.884713052308</v>
      </c>
      <c r="H33" s="23">
        <v>13076.016426595204</v>
      </c>
      <c r="I33" s="23">
        <v>12990.743541654063</v>
      </c>
      <c r="J33" s="23">
        <v>13288.924215821193</v>
      </c>
      <c r="K33" s="23">
        <v>13156.079498921481</v>
      </c>
      <c r="L33" s="23">
        <v>13582.530479066998</v>
      </c>
      <c r="M33" s="23">
        <v>14294.472482839406</v>
      </c>
      <c r="N33" s="23">
        <v>14449.188908549571</v>
      </c>
      <c r="O33" s="23">
        <v>14484.975143282354</v>
      </c>
      <c r="P33" s="23">
        <v>14607.053882105869</v>
      </c>
      <c r="Q33" s="23">
        <v>14537.488523921249</v>
      </c>
      <c r="R33" s="23">
        <v>15161.098932040788</v>
      </c>
      <c r="S33" s="23">
        <v>15429</v>
      </c>
      <c r="T33" s="23">
        <v>15622.406845430576</v>
      </c>
      <c r="U33" s="23">
        <v>15495.463650288677</v>
      </c>
      <c r="V33" s="23">
        <v>15679.097920531094</v>
      </c>
      <c r="W33" s="23">
        <v>15711.915579091548</v>
      </c>
      <c r="X33" s="23">
        <v>15295.743349859482</v>
      </c>
      <c r="Y33" s="23">
        <v>15378.562400973831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20900.387817644347</v>
      </c>
      <c r="E34" s="23">
        <v>21580.597785099038</v>
      </c>
      <c r="F34" s="23">
        <v>22019.63516268029</v>
      </c>
      <c r="G34" s="23">
        <v>22596.114779075673</v>
      </c>
      <c r="H34" s="23">
        <v>22846.49073832831</v>
      </c>
      <c r="I34" s="23">
        <v>22823.401294694177</v>
      </c>
      <c r="J34" s="23">
        <v>23436.625065249369</v>
      </c>
      <c r="K34" s="23">
        <v>23657.734765205954</v>
      </c>
      <c r="L34" s="23">
        <v>23926.563636764477</v>
      </c>
      <c r="M34" s="23">
        <v>25696.112455251085</v>
      </c>
      <c r="N34" s="23">
        <v>25672.66023161932</v>
      </c>
      <c r="O34" s="23">
        <v>25269.413043707715</v>
      </c>
      <c r="P34" s="23">
        <v>25025.942473594267</v>
      </c>
      <c r="Q34" s="23">
        <v>25224.93114352749</v>
      </c>
      <c r="R34" s="23">
        <v>25048.369904064682</v>
      </c>
      <c r="S34" s="23">
        <v>25260.6</v>
      </c>
      <c r="T34" s="23">
        <v>25475.747475249987</v>
      </c>
      <c r="U34" s="23">
        <v>25768.921095008052</v>
      </c>
      <c r="V34" s="23">
        <v>26273.259787171726</v>
      </c>
      <c r="W34" s="23">
        <v>26527.186966461206</v>
      </c>
      <c r="X34" s="23">
        <v>26639.123087121745</v>
      </c>
      <c r="Y34" s="23">
        <v>27371.977133854263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3069.5902150625116</v>
      </c>
      <c r="E35" s="23">
        <v>3271.4113708834466</v>
      </c>
      <c r="F35" s="23">
        <v>3233.8674303996704</v>
      </c>
      <c r="G35" s="23">
        <v>3154.7739969527674</v>
      </c>
      <c r="H35" s="23">
        <v>3206.2877631791171</v>
      </c>
      <c r="I35" s="23">
        <v>3252.4653639058629</v>
      </c>
      <c r="J35" s="23">
        <v>3376.121102833009</v>
      </c>
      <c r="K35" s="23">
        <v>3320.2219325666429</v>
      </c>
      <c r="L35" s="23">
        <v>3494.345113428426</v>
      </c>
      <c r="M35" s="23">
        <v>3453.0286940433307</v>
      </c>
      <c r="N35" s="23">
        <v>3374.3735364858712</v>
      </c>
      <c r="O35" s="23">
        <v>3498.2003947521189</v>
      </c>
      <c r="P35" s="23">
        <v>3458.7905865881521</v>
      </c>
      <c r="Q35" s="23">
        <v>3519.3308170968071</v>
      </c>
      <c r="R35" s="23">
        <v>3554.9365459262694</v>
      </c>
      <c r="S35" s="23">
        <v>3555.0999999999995</v>
      </c>
      <c r="T35" s="23">
        <v>3653.0520869608481</v>
      </c>
      <c r="U35" s="23">
        <v>3785.0045167118351</v>
      </c>
      <c r="V35" s="23">
        <v>3730.5476911061214</v>
      </c>
      <c r="W35" s="23">
        <v>3770.7748550703691</v>
      </c>
      <c r="X35" s="23">
        <v>2401.239927919853</v>
      </c>
      <c r="Y35" s="23">
        <v>2170.4514085867254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3529.8185664307221</v>
      </c>
      <c r="E36" s="23">
        <v>3568.4515540030966</v>
      </c>
      <c r="F36" s="23">
        <v>3604.7681709110616</v>
      </c>
      <c r="G36" s="23">
        <v>3710.3859827323513</v>
      </c>
      <c r="H36" s="23">
        <v>3731.5914194612969</v>
      </c>
      <c r="I36" s="23">
        <v>3695.6863694113376</v>
      </c>
      <c r="J36" s="23">
        <v>3706.876097375789</v>
      </c>
      <c r="K36" s="23">
        <v>3677.459541139423</v>
      </c>
      <c r="L36" s="23">
        <v>3550.7837474371127</v>
      </c>
      <c r="M36" s="23">
        <v>3726.1749668830671</v>
      </c>
      <c r="N36" s="23">
        <v>3689.9098316362747</v>
      </c>
      <c r="O36" s="23">
        <v>3746.5564738292014</v>
      </c>
      <c r="P36" s="23">
        <v>3669.9334966748333</v>
      </c>
      <c r="Q36" s="23">
        <v>3575.7421197592575</v>
      </c>
      <c r="R36" s="23">
        <v>3507.1700086482574</v>
      </c>
      <c r="S36" s="23">
        <v>3499.9</v>
      </c>
      <c r="T36" s="23">
        <v>3621.909357743396</v>
      </c>
      <c r="U36" s="23">
        <v>3692.8046816700053</v>
      </c>
      <c r="V36" s="23">
        <v>3694.718344235087</v>
      </c>
      <c r="W36" s="23">
        <v>3813.8920238060787</v>
      </c>
      <c r="X36" s="23">
        <v>3754.8901524700523</v>
      </c>
      <c r="Y36" s="23">
        <v>4206.9704435236772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288.01562118623383</v>
      </c>
      <c r="E37" s="23">
        <v>288.8368462138954</v>
      </c>
      <c r="F37" s="23">
        <v>359.16092576824826</v>
      </c>
      <c r="G37" s="23">
        <v>394.7435246317927</v>
      </c>
      <c r="H37" s="23">
        <v>412.52589918239227</v>
      </c>
      <c r="I37" s="23">
        <v>492.10478552846513</v>
      </c>
      <c r="J37" s="23">
        <v>531.2485170597447</v>
      </c>
      <c r="K37" s="23">
        <v>548.48719043059998</v>
      </c>
      <c r="L37" s="23">
        <v>556.00873035119821</v>
      </c>
      <c r="M37" s="23">
        <v>605.19142134591584</v>
      </c>
      <c r="N37" s="23">
        <v>620.90083599105731</v>
      </c>
      <c r="O37" s="23">
        <v>662.84580391163468</v>
      </c>
      <c r="P37" s="23">
        <v>639.50256336346229</v>
      </c>
      <c r="Q37" s="23">
        <v>669.99897990411102</v>
      </c>
      <c r="R37" s="23">
        <v>671.64779469439475</v>
      </c>
      <c r="S37" s="23">
        <v>666.3</v>
      </c>
      <c r="T37" s="23">
        <v>665.93701805880312</v>
      </c>
      <c r="U37" s="23">
        <v>660.81457916028444</v>
      </c>
      <c r="V37" s="23">
        <v>624.52406521526905</v>
      </c>
      <c r="W37" s="23">
        <v>614.54022822197135</v>
      </c>
      <c r="X37" s="23">
        <v>619.12364733014022</v>
      </c>
      <c r="Y37" s="23">
        <v>702.8417458755498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207958.53334418137</v>
      </c>
      <c r="E39" s="30">
        <f t="shared" ref="E39:S39" si="2">SUM(E18:E38)</f>
        <v>209707.32610910432</v>
      </c>
      <c r="F39" s="30">
        <f t="shared" si="2"/>
        <v>210361.99912273916</v>
      </c>
      <c r="G39" s="30">
        <f t="shared" si="2"/>
        <v>211164.67750126967</v>
      </c>
      <c r="H39" s="30">
        <f t="shared" si="2"/>
        <v>215341.12479994047</v>
      </c>
      <c r="I39" s="30">
        <f t="shared" si="2"/>
        <v>218826.30528162624</v>
      </c>
      <c r="J39" s="30">
        <f t="shared" si="2"/>
        <v>227224.05447729319</v>
      </c>
      <c r="K39" s="30">
        <f t="shared" si="2"/>
        <v>228360.53660618508</v>
      </c>
      <c r="L39" s="30">
        <f t="shared" si="2"/>
        <v>228484.31402808704</v>
      </c>
      <c r="M39" s="30">
        <f t="shared" si="2"/>
        <v>218322.80525053921</v>
      </c>
      <c r="N39" s="30">
        <f t="shared" si="2"/>
        <v>222337.80819885776</v>
      </c>
      <c r="O39" s="30">
        <f t="shared" si="2"/>
        <v>225776.9967174356</v>
      </c>
      <c r="P39" s="30">
        <f t="shared" si="2"/>
        <v>226270.66647450018</v>
      </c>
      <c r="Q39" s="30">
        <f t="shared" si="2"/>
        <v>228349.17882280934</v>
      </c>
      <c r="R39" s="30">
        <f t="shared" si="2"/>
        <v>231880.79483518036</v>
      </c>
      <c r="S39" s="30">
        <f t="shared" si="2"/>
        <v>236921.5</v>
      </c>
      <c r="T39" s="30">
        <f t="shared" ref="T39:Y39" si="3">SUM(T18:T38)</f>
        <v>244445.74896771309</v>
      </c>
      <c r="U39" s="30">
        <f t="shared" si="3"/>
        <v>251707.12069439536</v>
      </c>
      <c r="V39" s="30">
        <f t="shared" si="3"/>
        <v>256101.53275407595</v>
      </c>
      <c r="W39" s="30">
        <f t="shared" si="3"/>
        <v>259887.81819409473</v>
      </c>
      <c r="X39" s="30">
        <f t="shared" si="3"/>
        <v>252509.26678057577</v>
      </c>
      <c r="Y39" s="30">
        <f t="shared" si="3"/>
        <v>269968.99378971814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5540.910693461341</v>
      </c>
      <c r="E41" s="19">
        <v>5724.2091057039661</v>
      </c>
      <c r="F41" s="19">
        <v>6077.2247593983029</v>
      </c>
      <c r="G41" s="19">
        <v>5789.23311325546</v>
      </c>
      <c r="H41" s="19">
        <v>5712.0879393555915</v>
      </c>
      <c r="I41" s="19">
        <v>5528.5861213624548</v>
      </c>
      <c r="J41" s="19">
        <v>5032.3874151758164</v>
      </c>
      <c r="K41" s="19">
        <v>4812.8453277657936</v>
      </c>
      <c r="L41" s="19">
        <v>4538.790537710267</v>
      </c>
      <c r="M41" s="19">
        <v>4541.5631192319051</v>
      </c>
      <c r="N41" s="19">
        <v>4184.8292522701022</v>
      </c>
      <c r="O41" s="19">
        <v>3923.983829939943</v>
      </c>
      <c r="P41" s="19">
        <v>3666.3303753422965</v>
      </c>
      <c r="Q41" s="19">
        <v>3801.9993879424665</v>
      </c>
      <c r="R41" s="19">
        <v>3788.1378089740756</v>
      </c>
      <c r="S41" s="19">
        <v>4031.4</v>
      </c>
      <c r="T41" s="19">
        <v>4240.7840405949955</v>
      </c>
      <c r="U41" s="19">
        <v>3859.1375044185229</v>
      </c>
      <c r="V41" s="19">
        <v>3972.8595138143119</v>
      </c>
      <c r="W41" s="19">
        <v>4116.5803358702042</v>
      </c>
      <c r="X41" s="19">
        <v>4012.9594875960524</v>
      </c>
      <c r="Y41" s="19">
        <v>4243.9699722549785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927.37233205868802</v>
      </c>
      <c r="E42" s="23">
        <v>813.85040818216703</v>
      </c>
      <c r="F42" s="23">
        <v>755.47643006424653</v>
      </c>
      <c r="G42" s="23">
        <v>697.18131030980192</v>
      </c>
      <c r="H42" s="23">
        <v>632.37428816019656</v>
      </c>
      <c r="I42" s="23">
        <v>521.50765321556059</v>
      </c>
      <c r="J42" s="23">
        <v>542.63749822047168</v>
      </c>
      <c r="K42" s="23">
        <v>510.76788206660285</v>
      </c>
      <c r="L42" s="23">
        <v>464.84710862232413</v>
      </c>
      <c r="M42" s="23">
        <v>384.15642140065466</v>
      </c>
      <c r="N42" s="23">
        <v>340.64781360260224</v>
      </c>
      <c r="O42" s="23">
        <v>349.78837486674479</v>
      </c>
      <c r="P42" s="23">
        <v>308.221293417612</v>
      </c>
      <c r="Q42" s="23">
        <v>364.88829950015298</v>
      </c>
      <c r="R42" s="23">
        <v>372.47842963737656</v>
      </c>
      <c r="S42" s="23">
        <v>399.5</v>
      </c>
      <c r="T42" s="23">
        <v>385.65245510173622</v>
      </c>
      <c r="U42" s="23">
        <v>409.15517850830685</v>
      </c>
      <c r="V42" s="23">
        <v>470.76051937908812</v>
      </c>
      <c r="W42" s="23">
        <v>454.41830405802972</v>
      </c>
      <c r="X42" s="23">
        <v>420.34303427541715</v>
      </c>
      <c r="Y42" s="23">
        <v>434.13869155674047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2979.5514332980779</v>
      </c>
      <c r="E43" s="23">
        <v>2744.9423781738315</v>
      </c>
      <c r="F43" s="23">
        <v>2632.0406636220555</v>
      </c>
      <c r="G43" s="23">
        <v>2578.974098527171</v>
      </c>
      <c r="H43" s="23">
        <v>2484.5845585042371</v>
      </c>
      <c r="I43" s="23">
        <v>2330.9335107992015</v>
      </c>
      <c r="J43" s="23">
        <v>2305.9127793859438</v>
      </c>
      <c r="K43" s="23">
        <v>2224.7470960746541</v>
      </c>
      <c r="L43" s="23">
        <v>2088.1192266143435</v>
      </c>
      <c r="M43" s="23">
        <v>1685.6245141937532</v>
      </c>
      <c r="N43" s="23">
        <v>1518.8760211487725</v>
      </c>
      <c r="O43" s="23">
        <v>1539.322166281414</v>
      </c>
      <c r="P43" s="23">
        <v>1403.8790174802857</v>
      </c>
      <c r="Q43" s="23">
        <v>1348.2607365092319</v>
      </c>
      <c r="R43" s="23">
        <v>1430.6832123247723</v>
      </c>
      <c r="S43" s="23">
        <v>1389.3</v>
      </c>
      <c r="T43" s="23">
        <v>1304.7112083975921</v>
      </c>
      <c r="U43" s="23">
        <v>1399.6897215348965</v>
      </c>
      <c r="V43" s="23">
        <v>1323.7332812652542</v>
      </c>
      <c r="W43" s="23">
        <v>1375.4087449720751</v>
      </c>
      <c r="X43" s="23">
        <v>1326.6668534027992</v>
      </c>
      <c r="Y43" s="23">
        <v>1399.1927495193288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99.39522143573889</v>
      </c>
      <c r="E44" s="23">
        <v>150.04167824395668</v>
      </c>
      <c r="F44" s="23">
        <v>218.4121578037516</v>
      </c>
      <c r="G44" s="23">
        <v>89.004570848146244</v>
      </c>
      <c r="H44" s="23">
        <v>193.42191784221041</v>
      </c>
      <c r="I44" s="23">
        <v>111.19849960675178</v>
      </c>
      <c r="J44" s="23">
        <v>249.37123333175151</v>
      </c>
      <c r="K44" s="23">
        <v>216.74183613440533</v>
      </c>
      <c r="L44" s="23">
        <v>117.50699971339756</v>
      </c>
      <c r="M44" s="23">
        <v>57.037758777355677</v>
      </c>
      <c r="N44" s="23">
        <v>46.832452134479063</v>
      </c>
      <c r="O44" s="23">
        <v>-131.51367383342307</v>
      </c>
      <c r="P44" s="23">
        <v>109.94667380427845</v>
      </c>
      <c r="Q44" s="23">
        <v>-32.031010915026009</v>
      </c>
      <c r="R44" s="23">
        <v>-54.504133062488691</v>
      </c>
      <c r="S44" s="23">
        <v>473.8</v>
      </c>
      <c r="T44" s="23">
        <v>443.85851450176608</v>
      </c>
      <c r="U44" s="23">
        <v>351.8125760967755</v>
      </c>
      <c r="V44" s="23">
        <v>226.49614370789806</v>
      </c>
      <c r="W44" s="23">
        <v>295.64680576053087</v>
      </c>
      <c r="X44" s="23">
        <v>-84.591468026105716</v>
      </c>
      <c r="Y44" s="23">
        <v>158.74271886242028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1679.0063189867926</v>
      </c>
      <c r="E45" s="23">
        <v>1666.4681988383018</v>
      </c>
      <c r="F45" s="23">
        <v>1511.2108780349358</v>
      </c>
      <c r="G45" s="23">
        <v>1554.2153377348905</v>
      </c>
      <c r="H45" s="23">
        <v>1507.6736020644905</v>
      </c>
      <c r="I45" s="23">
        <v>1539.1130739911671</v>
      </c>
      <c r="J45" s="23">
        <v>1482.4657144212972</v>
      </c>
      <c r="K45" s="23">
        <v>1394.1148650986813</v>
      </c>
      <c r="L45" s="23">
        <v>1518.22130117507</v>
      </c>
      <c r="M45" s="23">
        <v>1624.7550441741566</v>
      </c>
      <c r="N45" s="23">
        <v>1712.9869992265228</v>
      </c>
      <c r="O45" s="23">
        <v>1655.32018196595</v>
      </c>
      <c r="P45" s="23">
        <v>1997.7763594062055</v>
      </c>
      <c r="Q45" s="23">
        <v>1921.2485973681526</v>
      </c>
      <c r="R45" s="23">
        <v>2116.2084431125681</v>
      </c>
      <c r="S45" s="23">
        <v>2416.1999999999998</v>
      </c>
      <c r="T45" s="23">
        <v>2534.6997661807873</v>
      </c>
      <c r="U45" s="23">
        <v>2627.7443933859631</v>
      </c>
      <c r="V45" s="23">
        <v>2630.0888411598162</v>
      </c>
      <c r="W45" s="23">
        <v>2744.7405735451571</v>
      </c>
      <c r="X45" s="23">
        <v>2701.1381567276362</v>
      </c>
      <c r="Y45" s="23">
        <v>2877.5320176593568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3130.2036720635697</v>
      </c>
      <c r="E46" s="23">
        <v>3505.6034083541726</v>
      </c>
      <c r="F46" s="23">
        <v>3107.954692055629</v>
      </c>
      <c r="G46" s="23">
        <v>3576.1808024377856</v>
      </c>
      <c r="H46" s="23">
        <v>3494.745722757782</v>
      </c>
      <c r="I46" s="23">
        <v>3609.1717587270859</v>
      </c>
      <c r="J46" s="23">
        <v>3419.185687847008</v>
      </c>
      <c r="K46" s="23">
        <v>3165.999561671646</v>
      </c>
      <c r="L46" s="23">
        <v>3398.4435282964791</v>
      </c>
      <c r="M46" s="23">
        <v>3782.3369059479105</v>
      </c>
      <c r="N46" s="23">
        <v>4870.7869335339428</v>
      </c>
      <c r="O46" s="23">
        <v>5203.8673041807842</v>
      </c>
      <c r="P46" s="23">
        <v>6171.9409499886751</v>
      </c>
      <c r="Q46" s="23">
        <v>6665.8165867591551</v>
      </c>
      <c r="R46" s="23">
        <v>6968.6852637718475</v>
      </c>
      <c r="S46" s="23">
        <v>8075.5</v>
      </c>
      <c r="T46" s="23">
        <v>8895.5773344609734</v>
      </c>
      <c r="U46" s="23">
        <v>9687.4631789796167</v>
      </c>
      <c r="V46" s="23">
        <v>11070.584789612418</v>
      </c>
      <c r="W46" s="23">
        <v>11050.631324092561</v>
      </c>
      <c r="X46" s="23">
        <v>11307.339663688226</v>
      </c>
      <c r="Y46" s="23">
        <v>12713.284141362403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3351.3682098012096</v>
      </c>
      <c r="E47" s="23">
        <v>2963.5216131465095</v>
      </c>
      <c r="F47" s="23">
        <v>3081.7658745516947</v>
      </c>
      <c r="G47" s="23">
        <v>2990.2234636871508</v>
      </c>
      <c r="H47" s="23">
        <v>2922.4203173657897</v>
      </c>
      <c r="I47" s="23">
        <v>2936.0517877669554</v>
      </c>
      <c r="J47" s="23">
        <v>3188.5588193422864</v>
      </c>
      <c r="K47" s="23">
        <v>3354.480753924769</v>
      </c>
      <c r="L47" s="23">
        <v>2861.8355783857664</v>
      </c>
      <c r="M47" s="23">
        <v>2240.3468246061548</v>
      </c>
      <c r="N47" s="23">
        <v>1986.4588520751438</v>
      </c>
      <c r="O47" s="23">
        <v>1937.9795868824083</v>
      </c>
      <c r="P47" s="23">
        <v>2003.8501925096255</v>
      </c>
      <c r="Q47" s="23">
        <v>1960.1142507395696</v>
      </c>
      <c r="R47" s="23">
        <v>2321.9565173669075</v>
      </c>
      <c r="S47" s="23">
        <v>2341.8000000000002</v>
      </c>
      <c r="T47" s="23">
        <v>2430.3268494104773</v>
      </c>
      <c r="U47" s="23">
        <v>2533.1880130395507</v>
      </c>
      <c r="V47" s="23">
        <v>2475.641901786586</v>
      </c>
      <c r="W47" s="23">
        <v>2545.456299254372</v>
      </c>
      <c r="X47" s="23">
        <v>2540.918555035807</v>
      </c>
      <c r="Y47" s="23">
        <v>2726.1761449533788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3467.3067013804139</v>
      </c>
      <c r="E48" s="23">
        <v>3495.944640707075</v>
      </c>
      <c r="F48" s="23">
        <v>3457.3109373790544</v>
      </c>
      <c r="G48" s="23">
        <v>3232.9862874555615</v>
      </c>
      <c r="H48" s="23">
        <v>3233.3345740127293</v>
      </c>
      <c r="I48" s="23">
        <v>3090.6890918990871</v>
      </c>
      <c r="J48" s="23">
        <v>3333.2937882598585</v>
      </c>
      <c r="K48" s="23">
        <v>3326.7968578777986</v>
      </c>
      <c r="L48" s="23">
        <v>3376.2869551797876</v>
      </c>
      <c r="M48" s="23">
        <v>2740.111448058417</v>
      </c>
      <c r="N48" s="23">
        <v>2425.3276682312803</v>
      </c>
      <c r="O48" s="23">
        <v>2295.2619190863707</v>
      </c>
      <c r="P48" s="23">
        <v>2416.3561119232427</v>
      </c>
      <c r="Q48" s="23">
        <v>2691.5230031622973</v>
      </c>
      <c r="R48" s="23">
        <v>2784.3365982180571</v>
      </c>
      <c r="S48" s="23">
        <v>2776.1</v>
      </c>
      <c r="T48" s="23">
        <v>2911.4969404507242</v>
      </c>
      <c r="U48" s="23">
        <v>2955.2060013353757</v>
      </c>
      <c r="V48" s="23">
        <v>2805.720980181587</v>
      </c>
      <c r="W48" s="23">
        <v>2993.3153919611077</v>
      </c>
      <c r="X48" s="23">
        <v>2814.7670933587297</v>
      </c>
      <c r="Y48" s="23">
        <v>2931.1502258178998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2461.0148347028994</v>
      </c>
      <c r="E49" s="23">
        <v>2530.0678759973011</v>
      </c>
      <c r="F49" s="23">
        <v>2491.4209046107803</v>
      </c>
      <c r="G49" s="23">
        <v>2561.9603859827321</v>
      </c>
      <c r="H49" s="23">
        <v>2368.208831155941</v>
      </c>
      <c r="I49" s="23">
        <v>2260.2698287857706</v>
      </c>
      <c r="J49" s="23">
        <v>2496.4409433872729</v>
      </c>
      <c r="K49" s="23">
        <v>2615.7821277381099</v>
      </c>
      <c r="L49" s="23">
        <v>2120.9682753147113</v>
      </c>
      <c r="M49" s="23">
        <v>1965.8868221976506</v>
      </c>
      <c r="N49" s="23">
        <v>2099.5136629970648</v>
      </c>
      <c r="O49" s="23">
        <v>2157.098677474853</v>
      </c>
      <c r="P49" s="23">
        <v>2144.8866560975107</v>
      </c>
      <c r="Q49" s="23">
        <v>2163.8273997755787</v>
      </c>
      <c r="R49" s="23">
        <v>2065.7267552945432</v>
      </c>
      <c r="S49" s="23">
        <v>2124.9</v>
      </c>
      <c r="T49" s="23">
        <v>2215.3126710113925</v>
      </c>
      <c r="U49" s="23">
        <v>2523.467263658144</v>
      </c>
      <c r="V49" s="23">
        <v>2450.2587132675976</v>
      </c>
      <c r="W49" s="23">
        <v>2506.7762440798297</v>
      </c>
      <c r="X49" s="23">
        <v>2194.3362931010333</v>
      </c>
      <c r="Y49" s="23">
        <v>2204.6904098773712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1234.5076343123696</v>
      </c>
      <c r="E50" s="23">
        <v>1207.3459558872175</v>
      </c>
      <c r="F50" s="23">
        <v>1096.1890755218412</v>
      </c>
      <c r="G50" s="23">
        <v>975.87607922803443</v>
      </c>
      <c r="H50" s="23">
        <v>1033.6100048386497</v>
      </c>
      <c r="I50" s="23">
        <v>902.0509407707666</v>
      </c>
      <c r="J50" s="23">
        <v>970.67337351112792</v>
      </c>
      <c r="K50" s="23">
        <v>1040.1070443980484</v>
      </c>
      <c r="L50" s="23">
        <v>1201.9665336537403</v>
      </c>
      <c r="M50" s="23">
        <v>895.85408843589539</v>
      </c>
      <c r="N50" s="23">
        <v>952.64836457262732</v>
      </c>
      <c r="O50" s="23">
        <v>989.20236851271341</v>
      </c>
      <c r="P50" s="23">
        <v>924.35504128147579</v>
      </c>
      <c r="Q50" s="23">
        <v>833.01030296847898</v>
      </c>
      <c r="R50" s="23">
        <v>887.85422658434072</v>
      </c>
      <c r="S50" s="23">
        <v>1018.3</v>
      </c>
      <c r="T50" s="23">
        <v>1031.3914730610416</v>
      </c>
      <c r="U50" s="23">
        <v>964.61254467617141</v>
      </c>
      <c r="V50" s="23">
        <v>1039.5391975007321</v>
      </c>
      <c r="W50" s="23">
        <v>1040.1172941323996</v>
      </c>
      <c r="X50" s="23">
        <v>973.73556296275569</v>
      </c>
      <c r="Y50" s="23">
        <v>1011.7448623302397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5280.9643912890197</v>
      </c>
      <c r="E51" s="23">
        <v>5319.8639833816278</v>
      </c>
      <c r="F51" s="23">
        <v>5837.010088500142</v>
      </c>
      <c r="G51" s="23">
        <v>4760.792280345353</v>
      </c>
      <c r="H51" s="23">
        <v>4902.5446334412727</v>
      </c>
      <c r="I51" s="23">
        <v>4526.5896303466634</v>
      </c>
      <c r="J51" s="23">
        <v>5482.8453471266557</v>
      </c>
      <c r="K51" s="23">
        <v>6070.5016552662846</v>
      </c>
      <c r="L51" s="23">
        <v>5933.6625586983837</v>
      </c>
      <c r="M51" s="23">
        <v>5014.3962865244184</v>
      </c>
      <c r="N51" s="23">
        <v>4741.4149334067952</v>
      </c>
      <c r="O51" s="23">
        <v>5336.1198188784401</v>
      </c>
      <c r="P51" s="23">
        <v>5140.5217319689509</v>
      </c>
      <c r="Q51" s="23">
        <v>5759.5633989595017</v>
      </c>
      <c r="R51" s="23">
        <v>5499.4871382313313</v>
      </c>
      <c r="S51" s="23">
        <v>4925.3</v>
      </c>
      <c r="T51" s="23">
        <v>5789.5627083229692</v>
      </c>
      <c r="U51" s="23">
        <v>6375.8297003259895</v>
      </c>
      <c r="V51" s="23">
        <v>6273.1621595235765</v>
      </c>
      <c r="W51" s="23">
        <v>6999.9324787066771</v>
      </c>
      <c r="X51" s="23">
        <v>5261.0104292130009</v>
      </c>
      <c r="Y51" s="23">
        <v>4897.872072491713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927.64353320858083</v>
      </c>
      <c r="E52" s="23">
        <v>912.55507482237135</v>
      </c>
      <c r="F52" s="23">
        <v>866.42412983461054</v>
      </c>
      <c r="G52" s="23">
        <v>867.44540375825284</v>
      </c>
      <c r="H52" s="23">
        <v>715.74794357390113</v>
      </c>
      <c r="I52" s="23">
        <v>777.42150160324286</v>
      </c>
      <c r="J52" s="23">
        <v>792.95781331561716</v>
      </c>
      <c r="K52" s="23">
        <v>687.25271936603872</v>
      </c>
      <c r="L52" s="23">
        <v>760.48854692563771</v>
      </c>
      <c r="M52" s="23">
        <v>499.98357838039038</v>
      </c>
      <c r="N52" s="23">
        <v>591.55108657646292</v>
      </c>
      <c r="O52" s="23">
        <v>665.6956186736752</v>
      </c>
      <c r="P52" s="23">
        <v>528.21758734995569</v>
      </c>
      <c r="Q52" s="23">
        <v>461.0833418341324</v>
      </c>
      <c r="R52" s="23">
        <v>455.84360732889525</v>
      </c>
      <c r="S52" s="23">
        <v>547.70000000000005</v>
      </c>
      <c r="T52" s="23">
        <v>607.83045619620918</v>
      </c>
      <c r="U52" s="23">
        <v>610.7379914378854</v>
      </c>
      <c r="V52" s="23">
        <v>553.54876501025092</v>
      </c>
      <c r="W52" s="23">
        <v>568.81866674383389</v>
      </c>
      <c r="X52" s="23">
        <v>495.78443180863286</v>
      </c>
      <c r="Y52" s="23">
        <v>483.57833533208992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3065.6577983890638</v>
      </c>
      <c r="E53" s="23">
        <v>3146.3766390134588</v>
      </c>
      <c r="F53" s="23">
        <v>2983.7190701034779</v>
      </c>
      <c r="G53" s="23">
        <v>2823.6414423564966</v>
      </c>
      <c r="H53" s="23">
        <v>2817.7069763402542</v>
      </c>
      <c r="I53" s="23">
        <v>2860.0641297113907</v>
      </c>
      <c r="J53" s="23">
        <v>2987.3534855027647</v>
      </c>
      <c r="K53" s="23">
        <v>2753.8555592723751</v>
      </c>
      <c r="L53" s="23">
        <v>2840.8915540466296</v>
      </c>
      <c r="M53" s="23">
        <v>2685.8106258826556</v>
      </c>
      <c r="N53" s="23">
        <v>2699.1173884020645</v>
      </c>
      <c r="O53" s="23">
        <v>2971.1957611644211</v>
      </c>
      <c r="P53" s="23">
        <v>3149.7457225802318</v>
      </c>
      <c r="Q53" s="23">
        <v>3152.1983066408102</v>
      </c>
      <c r="R53" s="23">
        <v>3059.3712918083038</v>
      </c>
      <c r="S53" s="23">
        <v>3343.799999999992</v>
      </c>
      <c r="T53" s="23">
        <v>3642.80384060496</v>
      </c>
      <c r="U53" s="23">
        <v>3359.9426573976016</v>
      </c>
      <c r="V53" s="23">
        <v>3338.9631943766726</v>
      </c>
      <c r="W53" s="23">
        <v>3336.2271030470947</v>
      </c>
      <c r="X53" s="23">
        <v>3310.1780529023599</v>
      </c>
      <c r="Y53" s="23">
        <v>3550.5148721614169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34144.902774387767</v>
      </c>
      <c r="E54" s="30">
        <f t="shared" ref="E54:S54" si="4">SUM(E41:E53)</f>
        <v>34180.790960451959</v>
      </c>
      <c r="F54" s="30">
        <f t="shared" si="4"/>
        <v>34116.159661480517</v>
      </c>
      <c r="G54" s="30">
        <f t="shared" si="4"/>
        <v>32497.714575926842</v>
      </c>
      <c r="H54" s="30">
        <f t="shared" si="4"/>
        <v>32018.461309413047</v>
      </c>
      <c r="I54" s="30">
        <f t="shared" si="4"/>
        <v>30993.647528586098</v>
      </c>
      <c r="J54" s="30">
        <f t="shared" si="4"/>
        <v>32284.08389882787</v>
      </c>
      <c r="K54" s="30">
        <f t="shared" si="4"/>
        <v>32173.993286655212</v>
      </c>
      <c r="L54" s="30">
        <f t="shared" si="4"/>
        <v>31222.028704336535</v>
      </c>
      <c r="M54" s="30">
        <f t="shared" si="4"/>
        <v>28117.863437811317</v>
      </c>
      <c r="N54" s="30">
        <f t="shared" si="4"/>
        <v>28170.991428177862</v>
      </c>
      <c r="O54" s="30">
        <f t="shared" si="4"/>
        <v>28893.321934074294</v>
      </c>
      <c r="P54" s="30">
        <f t="shared" si="4"/>
        <v>29966.027713150346</v>
      </c>
      <c r="Q54" s="30">
        <f t="shared" si="4"/>
        <v>31091.502601244501</v>
      </c>
      <c r="R54" s="30">
        <f t="shared" si="4"/>
        <v>31696.265159590534</v>
      </c>
      <c r="S54" s="30">
        <f t="shared" si="4"/>
        <v>33863.599999999991</v>
      </c>
      <c r="T54" s="30">
        <f t="shared" ref="T54:Y54" si="5">SUM(T41:T53)</f>
        <v>36434.008258295631</v>
      </c>
      <c r="U54" s="30">
        <f t="shared" si="5"/>
        <v>37657.986724794799</v>
      </c>
      <c r="V54" s="30">
        <f t="shared" si="5"/>
        <v>38631.358000585788</v>
      </c>
      <c r="W54" s="30">
        <f t="shared" si="5"/>
        <v>40028.069566223872</v>
      </c>
      <c r="X54" s="30">
        <f t="shared" si="5"/>
        <v>37274.586146046349</v>
      </c>
      <c r="Y54" s="30">
        <f t="shared" si="5"/>
        <v>39632.587214179337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5540.910693461341</v>
      </c>
      <c r="E56" s="19">
        <v>5724.2091057039661</v>
      </c>
      <c r="F56" s="19">
        <v>6077.2247593983029</v>
      </c>
      <c r="G56" s="19">
        <v>5789.23311325546</v>
      </c>
      <c r="H56" s="19">
        <v>5712.0879393555915</v>
      </c>
      <c r="I56" s="19">
        <v>5528.5861213624548</v>
      </c>
      <c r="J56" s="19">
        <v>5032.3874151758164</v>
      </c>
      <c r="K56" s="19">
        <v>4812.8453277657936</v>
      </c>
      <c r="L56" s="19">
        <v>4538.790537710267</v>
      </c>
      <c r="M56" s="19">
        <v>4541.5631192319051</v>
      </c>
      <c r="N56" s="19">
        <v>4184.8292522701022</v>
      </c>
      <c r="O56" s="19">
        <v>3923.983829939943</v>
      </c>
      <c r="P56" s="19">
        <v>3666.3303753422965</v>
      </c>
      <c r="Q56" s="19">
        <v>3801.9993879424665</v>
      </c>
      <c r="R56" s="19">
        <v>3788.1378089740756</v>
      </c>
      <c r="S56" s="19">
        <v>4031.4</v>
      </c>
      <c r="T56" s="19">
        <v>4240.7840405949955</v>
      </c>
      <c r="U56" s="19">
        <v>3859.1375044185229</v>
      </c>
      <c r="V56" s="19">
        <v>3972.8595138143119</v>
      </c>
      <c r="W56" s="19">
        <v>4116.5803358702042</v>
      </c>
      <c r="X56" s="19">
        <v>4012.9594875960524</v>
      </c>
      <c r="Y56" s="19">
        <v>4243.9699722549785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927.37233205868802</v>
      </c>
      <c r="E57" s="23">
        <v>813.85040818216703</v>
      </c>
      <c r="F57" s="23">
        <v>755.47643006424653</v>
      </c>
      <c r="G57" s="23">
        <v>697.18131030980192</v>
      </c>
      <c r="H57" s="23">
        <v>632.37428816019656</v>
      </c>
      <c r="I57" s="23">
        <v>521.50765321556059</v>
      </c>
      <c r="J57" s="23">
        <v>542.63749822047168</v>
      </c>
      <c r="K57" s="23">
        <v>510.76788206660285</v>
      </c>
      <c r="L57" s="23">
        <v>464.84710862232413</v>
      </c>
      <c r="M57" s="23">
        <v>384.15642140065466</v>
      </c>
      <c r="N57" s="23">
        <v>340.64781360260224</v>
      </c>
      <c r="O57" s="23">
        <v>349.78837486674479</v>
      </c>
      <c r="P57" s="23">
        <v>308.221293417612</v>
      </c>
      <c r="Q57" s="23">
        <v>364.88829950015298</v>
      </c>
      <c r="R57" s="23">
        <v>372.47842963737656</v>
      </c>
      <c r="S57" s="23">
        <v>399.5</v>
      </c>
      <c r="T57" s="23">
        <v>385.65245510173622</v>
      </c>
      <c r="U57" s="23">
        <v>409.15517850830685</v>
      </c>
      <c r="V57" s="23">
        <v>470.76051937908812</v>
      </c>
      <c r="W57" s="23">
        <v>454.41830405802972</v>
      </c>
      <c r="X57" s="23">
        <v>420.34303427541715</v>
      </c>
      <c r="Y57" s="23">
        <v>434.13869155674047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977.68014536381645</v>
      </c>
      <c r="E58" s="23">
        <v>917.18599081755519</v>
      </c>
      <c r="F58" s="23">
        <v>864.74701344273296</v>
      </c>
      <c r="G58" s="23">
        <v>890.17267648552559</v>
      </c>
      <c r="H58" s="23">
        <v>908.79765759730026</v>
      </c>
      <c r="I58" s="23">
        <v>916.44987597555814</v>
      </c>
      <c r="J58" s="23">
        <v>917.16888909979593</v>
      </c>
      <c r="K58" s="23">
        <v>918.64395049196594</v>
      </c>
      <c r="L58" s="23">
        <v>784.73952247624504</v>
      </c>
      <c r="M58" s="23">
        <v>566.43639906725195</v>
      </c>
      <c r="N58" s="23">
        <v>554.57252142955531</v>
      </c>
      <c r="O58" s="23">
        <v>563.94667679934128</v>
      </c>
      <c r="P58" s="23">
        <v>552.40997343984839</v>
      </c>
      <c r="Q58" s="23">
        <v>529.63378557584417</v>
      </c>
      <c r="R58" s="23">
        <v>558.31539993161857</v>
      </c>
      <c r="S58" s="23">
        <v>579.1</v>
      </c>
      <c r="T58" s="23">
        <v>554.10178598079699</v>
      </c>
      <c r="U58" s="23">
        <v>577.45178901064378</v>
      </c>
      <c r="V58" s="23">
        <v>566.43561456604516</v>
      </c>
      <c r="W58" s="23">
        <v>593.02987334934539</v>
      </c>
      <c r="X58" s="23">
        <v>573.84013519695998</v>
      </c>
      <c r="Y58" s="23">
        <v>604.05977588470716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757.46481165080149</v>
      </c>
      <c r="E59" s="23">
        <v>746.23903465248293</v>
      </c>
      <c r="F59" s="23">
        <v>740.51139149056951</v>
      </c>
      <c r="G59" s="23">
        <v>706.83087861858814</v>
      </c>
      <c r="H59" s="23">
        <v>632.37428816019656</v>
      </c>
      <c r="I59" s="23">
        <v>550.30552362514368</v>
      </c>
      <c r="J59" s="23">
        <v>539.19707682816875</v>
      </c>
      <c r="K59" s="23">
        <v>519.4190995812811</v>
      </c>
      <c r="L59" s="23">
        <v>470.24846226768665</v>
      </c>
      <c r="M59" s="23">
        <v>447.65335055778769</v>
      </c>
      <c r="N59" s="23">
        <v>408.03568590470337</v>
      </c>
      <c r="O59" s="23">
        <v>428.52770125497398</v>
      </c>
      <c r="P59" s="23">
        <v>390.57835244703409</v>
      </c>
      <c r="Q59" s="23">
        <v>372.02897072324799</v>
      </c>
      <c r="R59" s="23">
        <v>397.5181512841657</v>
      </c>
      <c r="S59" s="23">
        <v>409.6</v>
      </c>
      <c r="T59" s="23">
        <v>359.78309536838964</v>
      </c>
      <c r="U59" s="23">
        <v>399.82718667766392</v>
      </c>
      <c r="V59" s="23">
        <v>371.18031826613293</v>
      </c>
      <c r="W59" s="23">
        <v>415.06303595026571</v>
      </c>
      <c r="X59" s="23">
        <v>447.51314155532526</v>
      </c>
      <c r="Y59" s="23">
        <v>497.25995137195389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1244.4064762834601</v>
      </c>
      <c r="E60" s="23">
        <v>1081.5173527037932</v>
      </c>
      <c r="F60" s="23">
        <v>1026.7822586887528</v>
      </c>
      <c r="G60" s="23">
        <v>981.97054342305717</v>
      </c>
      <c r="H60" s="23">
        <v>943.41261274674025</v>
      </c>
      <c r="I60" s="23">
        <v>864.17811119849966</v>
      </c>
      <c r="J60" s="23">
        <v>849.54681345797917</v>
      </c>
      <c r="K60" s="23">
        <v>786.68404600140718</v>
      </c>
      <c r="L60" s="23">
        <v>833.13124187041194</v>
      </c>
      <c r="M60" s="23">
        <v>671.5347645687134</v>
      </c>
      <c r="N60" s="23">
        <v>556.26781381451383</v>
      </c>
      <c r="O60" s="23">
        <v>546.8477882270987</v>
      </c>
      <c r="P60" s="23">
        <v>460.89069159340323</v>
      </c>
      <c r="Q60" s="23">
        <v>446.59798021013978</v>
      </c>
      <c r="R60" s="23">
        <v>474.84966110898802</v>
      </c>
      <c r="S60" s="23">
        <v>400.59999999999991</v>
      </c>
      <c r="T60" s="23">
        <v>390.82632704840552</v>
      </c>
      <c r="U60" s="23">
        <v>422.41074584658884</v>
      </c>
      <c r="V60" s="23">
        <v>386.11734843307607</v>
      </c>
      <c r="W60" s="23">
        <v>367.31583567246395</v>
      </c>
      <c r="X60" s="23">
        <v>305.31357665051399</v>
      </c>
      <c r="Y60" s="23">
        <v>297.87302226266775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99.39522143573889</v>
      </c>
      <c r="E61" s="23">
        <v>150.04167824395668</v>
      </c>
      <c r="F61" s="23">
        <v>218.4121578037516</v>
      </c>
      <c r="G61" s="23">
        <v>89.004570848146244</v>
      </c>
      <c r="H61" s="23">
        <v>193.42191784221041</v>
      </c>
      <c r="I61" s="23">
        <v>111.19849960675178</v>
      </c>
      <c r="J61" s="23">
        <v>249.37123333175151</v>
      </c>
      <c r="K61" s="23">
        <v>216.74183613440533</v>
      </c>
      <c r="L61" s="23">
        <v>117.50699971339756</v>
      </c>
      <c r="M61" s="23">
        <v>57.037758777355677</v>
      </c>
      <c r="N61" s="23">
        <v>46.832452134479063</v>
      </c>
      <c r="O61" s="23">
        <v>-131.51367383342307</v>
      </c>
      <c r="P61" s="23">
        <v>109.94667380427845</v>
      </c>
      <c r="Q61" s="23">
        <v>-32.031010915026009</v>
      </c>
      <c r="R61" s="23">
        <v>-54.504133062488691</v>
      </c>
      <c r="S61" s="23">
        <v>473.8</v>
      </c>
      <c r="T61" s="23">
        <v>443.85851450176608</v>
      </c>
      <c r="U61" s="23">
        <v>351.8125760967755</v>
      </c>
      <c r="V61" s="23">
        <v>226.49614370789806</v>
      </c>
      <c r="W61" s="23">
        <v>295.64680576053087</v>
      </c>
      <c r="X61" s="23">
        <v>-84.591468026105716</v>
      </c>
      <c r="Y61" s="23">
        <v>158.74271886242028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1679.0063189867926</v>
      </c>
      <c r="E62" s="23">
        <v>1666.4681988383018</v>
      </c>
      <c r="F62" s="23">
        <v>1511.2108780349358</v>
      </c>
      <c r="G62" s="23">
        <v>1554.2153377348905</v>
      </c>
      <c r="H62" s="23">
        <v>1507.6736020644905</v>
      </c>
      <c r="I62" s="23">
        <v>1539.1130739911671</v>
      </c>
      <c r="J62" s="23">
        <v>1482.4657144212972</v>
      </c>
      <c r="K62" s="23">
        <v>1394.1148650986813</v>
      </c>
      <c r="L62" s="23">
        <v>1518.22130117507</v>
      </c>
      <c r="M62" s="23">
        <v>1624.7550441741566</v>
      </c>
      <c r="N62" s="23">
        <v>1712.9869992265228</v>
      </c>
      <c r="O62" s="23">
        <v>1655.32018196595</v>
      </c>
      <c r="P62" s="23">
        <v>1997.7763594062055</v>
      </c>
      <c r="Q62" s="23">
        <v>1921.2485973681526</v>
      </c>
      <c r="R62" s="23">
        <v>2116.2084431125681</v>
      </c>
      <c r="S62" s="23">
        <v>2416.1999999999998</v>
      </c>
      <c r="T62" s="23">
        <v>2534.6997661807873</v>
      </c>
      <c r="U62" s="23">
        <v>2627.7443933859631</v>
      </c>
      <c r="V62" s="23">
        <v>2630.0888411598162</v>
      </c>
      <c r="W62" s="23">
        <v>2744.7405735451571</v>
      </c>
      <c r="X62" s="23">
        <v>2701.1381567276362</v>
      </c>
      <c r="Y62" s="23">
        <v>2877.5320176593568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3130.2036720635697</v>
      </c>
      <c r="E63" s="23">
        <v>3505.6034083541726</v>
      </c>
      <c r="F63" s="23">
        <v>3107.954692055629</v>
      </c>
      <c r="G63" s="23">
        <v>3576.1808024377856</v>
      </c>
      <c r="H63" s="23">
        <v>3494.745722757782</v>
      </c>
      <c r="I63" s="23">
        <v>3609.1717587270859</v>
      </c>
      <c r="J63" s="23">
        <v>3419.185687847008</v>
      </c>
      <c r="K63" s="23">
        <v>3165.999561671646</v>
      </c>
      <c r="L63" s="23">
        <v>3398.4435282964791</v>
      </c>
      <c r="M63" s="23">
        <v>3782.3369059479105</v>
      </c>
      <c r="N63" s="23">
        <v>4870.7869335339428</v>
      </c>
      <c r="O63" s="23">
        <v>5203.8673041807842</v>
      </c>
      <c r="P63" s="23">
        <v>6171.9409499886751</v>
      </c>
      <c r="Q63" s="23">
        <v>6665.8165867591551</v>
      </c>
      <c r="R63" s="23">
        <v>6968.6852637718475</v>
      </c>
      <c r="S63" s="23">
        <v>8075.5</v>
      </c>
      <c r="T63" s="23">
        <v>8895.5773344609734</v>
      </c>
      <c r="U63" s="23">
        <v>9687.4631789796167</v>
      </c>
      <c r="V63" s="23">
        <v>11070.584789612418</v>
      </c>
      <c r="W63" s="23">
        <v>11050.631324092561</v>
      </c>
      <c r="X63" s="23">
        <v>11307.339663688226</v>
      </c>
      <c r="Y63" s="23">
        <v>12713.284141362403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1743.1453909364577</v>
      </c>
      <c r="E64" s="23">
        <v>1609.9710236970589</v>
      </c>
      <c r="F64" s="23">
        <v>1679.9545888484661</v>
      </c>
      <c r="G64" s="23">
        <v>1664.0426612493648</v>
      </c>
      <c r="H64" s="23">
        <v>1631.8656096078212</v>
      </c>
      <c r="I64" s="23">
        <v>1594.0468267892795</v>
      </c>
      <c r="J64" s="23">
        <v>1734.5655578228063</v>
      </c>
      <c r="K64" s="23">
        <v>1812.0263458410714</v>
      </c>
      <c r="L64" s="23">
        <v>1443.2637403822835</v>
      </c>
      <c r="M64" s="23">
        <v>1190.4579442321799</v>
      </c>
      <c r="N64" s="23">
        <v>1136.4816325665665</v>
      </c>
      <c r="O64" s="23">
        <v>905.50225346463594</v>
      </c>
      <c r="P64" s="23">
        <v>1009.6975437007144</v>
      </c>
      <c r="Q64" s="23">
        <v>977.6599000306029</v>
      </c>
      <c r="R64" s="23">
        <v>1256.3102109772531</v>
      </c>
      <c r="S64" s="23">
        <v>1251.7</v>
      </c>
      <c r="T64" s="23">
        <v>1171.3845082334212</v>
      </c>
      <c r="U64" s="23">
        <v>1189.5644318762029</v>
      </c>
      <c r="V64" s="23">
        <v>1092.4533827980083</v>
      </c>
      <c r="W64" s="23">
        <v>1131.7533350695951</v>
      </c>
      <c r="X64" s="23">
        <v>1128.1663445468382</v>
      </c>
      <c r="Y64" s="23">
        <v>1210.0838902453302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1608.2228188647518</v>
      </c>
      <c r="E65" s="23">
        <v>1353.5505894494506</v>
      </c>
      <c r="F65" s="23">
        <v>1401.8112857032286</v>
      </c>
      <c r="G65" s="23">
        <v>1326.180802437786</v>
      </c>
      <c r="H65" s="23">
        <v>1290.5547077579686</v>
      </c>
      <c r="I65" s="23">
        <v>1342.0049609776759</v>
      </c>
      <c r="J65" s="23">
        <v>1453.99326151948</v>
      </c>
      <c r="K65" s="23">
        <v>1542.4544080836977</v>
      </c>
      <c r="L65" s="23">
        <v>1418.571838003483</v>
      </c>
      <c r="M65" s="23">
        <v>1049.8888803739749</v>
      </c>
      <c r="N65" s="23">
        <v>849.97721950857726</v>
      </c>
      <c r="O65" s="23">
        <v>1032.4773334177723</v>
      </c>
      <c r="P65" s="23">
        <v>994.15264880891107</v>
      </c>
      <c r="Q65" s="23">
        <v>982.45435070896667</v>
      </c>
      <c r="R65" s="23">
        <v>1065.6463063896545</v>
      </c>
      <c r="S65" s="23">
        <v>1090.1000000000001</v>
      </c>
      <c r="T65" s="23">
        <v>1258.9423411770561</v>
      </c>
      <c r="U65" s="23">
        <v>1343.6235811633478</v>
      </c>
      <c r="V65" s="23">
        <v>1383.1885189885777</v>
      </c>
      <c r="W65" s="23">
        <v>1413.7029641847769</v>
      </c>
      <c r="X65" s="23">
        <v>1412.7522104889688</v>
      </c>
      <c r="Y65" s="23">
        <v>1516.0922547080486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698.88536327394036</v>
      </c>
      <c r="E66" s="23">
        <v>633.64162002672708</v>
      </c>
      <c r="F66" s="23">
        <v>534.35508424284649</v>
      </c>
      <c r="G66" s="23">
        <v>452.6409344845099</v>
      </c>
      <c r="H66" s="23">
        <v>464.8825696951651</v>
      </c>
      <c r="I66" s="23">
        <v>425.55508500211749</v>
      </c>
      <c r="J66" s="23">
        <v>486.99757984150335</v>
      </c>
      <c r="K66" s="23">
        <v>555.29281487548019</v>
      </c>
      <c r="L66" s="23">
        <v>497.03476708040301</v>
      </c>
      <c r="M66" s="23">
        <v>272.16097566315972</v>
      </c>
      <c r="N66" s="23">
        <v>249.73775945920173</v>
      </c>
      <c r="O66" s="23">
        <v>308.41328646971283</v>
      </c>
      <c r="P66" s="23">
        <v>301.32388972389793</v>
      </c>
      <c r="Q66" s="23">
        <v>308.06895848209729</v>
      </c>
      <c r="R66" s="23">
        <v>329.13658212827579</v>
      </c>
      <c r="S66" s="23">
        <v>403.4</v>
      </c>
      <c r="T66" s="23">
        <v>398.68663250584552</v>
      </c>
      <c r="U66" s="23">
        <v>401.98735320686541</v>
      </c>
      <c r="V66" s="23">
        <v>379.38104071072928</v>
      </c>
      <c r="W66" s="23">
        <v>439.7565375080784</v>
      </c>
      <c r="X66" s="23">
        <v>343.6878518808997</v>
      </c>
      <c r="Y66" s="23">
        <v>346.93739741942557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2768.4213381064737</v>
      </c>
      <c r="E67" s="23">
        <v>2862.3030206803478</v>
      </c>
      <c r="F67" s="23">
        <v>2922.9558531362081</v>
      </c>
      <c r="G67" s="23">
        <v>2780.3453529710514</v>
      </c>
      <c r="H67" s="23">
        <v>2768.4520043175644</v>
      </c>
      <c r="I67" s="23">
        <v>2665.1340068969694</v>
      </c>
      <c r="J67" s="23">
        <v>2846.296208418355</v>
      </c>
      <c r="K67" s="23">
        <v>2771.5040430023182</v>
      </c>
      <c r="L67" s="23">
        <v>2879.2521880993845</v>
      </c>
      <c r="M67" s="23">
        <v>2467.9504723952573</v>
      </c>
      <c r="N67" s="23">
        <v>2175.5899087720786</v>
      </c>
      <c r="O67" s="23">
        <v>1986.8486326166578</v>
      </c>
      <c r="P67" s="23">
        <v>2115.0322221993447</v>
      </c>
      <c r="Q67" s="23">
        <v>2383.4540446802002</v>
      </c>
      <c r="R67" s="23">
        <v>2455.2000160897815</v>
      </c>
      <c r="S67" s="23">
        <v>2372.6999999999998</v>
      </c>
      <c r="T67" s="23">
        <v>2512.8103079448788</v>
      </c>
      <c r="U67" s="23">
        <v>2553.2186481285103</v>
      </c>
      <c r="V67" s="23">
        <v>2426.3399394708576</v>
      </c>
      <c r="W67" s="23">
        <v>2553.5588544530292</v>
      </c>
      <c r="X67" s="23">
        <v>2471.0792414778298</v>
      </c>
      <c r="Y67" s="23">
        <v>2584.2128283984744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2461.0148347028994</v>
      </c>
      <c r="E68" s="23">
        <v>2530.0678759973011</v>
      </c>
      <c r="F68" s="23">
        <v>2491.4209046107803</v>
      </c>
      <c r="G68" s="23">
        <v>2561.9603859827321</v>
      </c>
      <c r="H68" s="23">
        <v>2368.208831155941</v>
      </c>
      <c r="I68" s="23">
        <v>2260.2698287857706</v>
      </c>
      <c r="J68" s="23">
        <v>2496.4409433872729</v>
      </c>
      <c r="K68" s="23">
        <v>2615.7821277381099</v>
      </c>
      <c r="L68" s="23">
        <v>2120.9682753147113</v>
      </c>
      <c r="M68" s="23">
        <v>1965.8868221976506</v>
      </c>
      <c r="N68" s="23">
        <v>2099.5136629970648</v>
      </c>
      <c r="O68" s="23">
        <v>2157.098677474853</v>
      </c>
      <c r="P68" s="23">
        <v>2144.8866560975107</v>
      </c>
      <c r="Q68" s="23">
        <v>2163.8273997755787</v>
      </c>
      <c r="R68" s="23">
        <v>2065.7267552945432</v>
      </c>
      <c r="S68" s="23">
        <v>2124.9</v>
      </c>
      <c r="T68" s="23">
        <v>2215.3126710113925</v>
      </c>
      <c r="U68" s="23">
        <v>2523.467263658144</v>
      </c>
      <c r="V68" s="23">
        <v>2450.2587132675976</v>
      </c>
      <c r="W68" s="23">
        <v>2506.7762440798297</v>
      </c>
      <c r="X68" s="23">
        <v>2194.3362931010333</v>
      </c>
      <c r="Y68" s="23">
        <v>2204.6904098773712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1234.5076343123696</v>
      </c>
      <c r="E69" s="23">
        <v>1207.3459558872175</v>
      </c>
      <c r="F69" s="23">
        <v>1096.1890755218412</v>
      </c>
      <c r="G69" s="23">
        <v>975.87607922803443</v>
      </c>
      <c r="H69" s="23">
        <v>1033.6100048386497</v>
      </c>
      <c r="I69" s="23">
        <v>902.0509407707666</v>
      </c>
      <c r="J69" s="23">
        <v>970.67337351112792</v>
      </c>
      <c r="K69" s="23">
        <v>1040.1070443980484</v>
      </c>
      <c r="L69" s="23">
        <v>1201.9665336537403</v>
      </c>
      <c r="M69" s="23">
        <v>895.85408843589539</v>
      </c>
      <c r="N69" s="23">
        <v>952.64836457262732</v>
      </c>
      <c r="O69" s="23">
        <v>989.20236851271341</v>
      </c>
      <c r="P69" s="23">
        <v>924.35504128147579</v>
      </c>
      <c r="Q69" s="23">
        <v>833.01030296847898</v>
      </c>
      <c r="R69" s="23">
        <v>887.85422658434072</v>
      </c>
      <c r="S69" s="23">
        <v>1018.3</v>
      </c>
      <c r="T69" s="23">
        <v>1031.3914730610416</v>
      </c>
      <c r="U69" s="23">
        <v>964.61254467617141</v>
      </c>
      <c r="V69" s="23">
        <v>1039.5391975007321</v>
      </c>
      <c r="W69" s="23">
        <v>1040.1172941323996</v>
      </c>
      <c r="X69" s="23">
        <v>973.73556296275569</v>
      </c>
      <c r="Y69" s="23">
        <v>1011.7448623302397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5280.9643912890197</v>
      </c>
      <c r="E70" s="23">
        <v>5319.8639833816278</v>
      </c>
      <c r="F70" s="23">
        <v>5837.010088500142</v>
      </c>
      <c r="G70" s="23">
        <v>4760.792280345353</v>
      </c>
      <c r="H70" s="23">
        <v>4902.5446334412727</v>
      </c>
      <c r="I70" s="23">
        <v>4526.5896303466634</v>
      </c>
      <c r="J70" s="23">
        <v>5482.8453471266557</v>
      </c>
      <c r="K70" s="23">
        <v>6070.5016552662846</v>
      </c>
      <c r="L70" s="23">
        <v>5933.6625586983837</v>
      </c>
      <c r="M70" s="23">
        <v>5014.3962865244184</v>
      </c>
      <c r="N70" s="23">
        <v>4741.4149334067952</v>
      </c>
      <c r="O70" s="23">
        <v>5336.1198188784401</v>
      </c>
      <c r="P70" s="23">
        <v>5140.5217319689509</v>
      </c>
      <c r="Q70" s="23">
        <v>5759.5633989595017</v>
      </c>
      <c r="R70" s="23">
        <v>5499.4871382313313</v>
      </c>
      <c r="S70" s="23">
        <v>4925.3</v>
      </c>
      <c r="T70" s="23">
        <v>5789.5627083229692</v>
      </c>
      <c r="U70" s="23">
        <v>6375.8297003259895</v>
      </c>
      <c r="V70" s="23">
        <v>6273.1621595235765</v>
      </c>
      <c r="W70" s="23">
        <v>6999.9324787066771</v>
      </c>
      <c r="X70" s="23">
        <v>5261.0104292130009</v>
      </c>
      <c r="Y70" s="23">
        <v>4897.872072491713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528.97784286605383</v>
      </c>
      <c r="E71" s="23">
        <v>482.27682292700359</v>
      </c>
      <c r="F71" s="23">
        <v>471.78574193049002</v>
      </c>
      <c r="G71" s="23">
        <v>428.51701371254438</v>
      </c>
      <c r="H71" s="23">
        <v>416.3720053101078</v>
      </c>
      <c r="I71" s="23">
        <v>509.89170548732534</v>
      </c>
      <c r="J71" s="23">
        <v>530.77397617804775</v>
      </c>
      <c r="K71" s="23">
        <v>449.7479611964057</v>
      </c>
      <c r="L71" s="23">
        <v>455.36718181617761</v>
      </c>
      <c r="M71" s="23">
        <v>289.02050512901917</v>
      </c>
      <c r="N71" s="23">
        <v>340.75376937666221</v>
      </c>
      <c r="O71" s="23">
        <v>392.95779107691334</v>
      </c>
      <c r="P71" s="23">
        <v>336.32563981140231</v>
      </c>
      <c r="Q71" s="23">
        <v>292.66551055799243</v>
      </c>
      <c r="R71" s="23">
        <v>300.1749763681342</v>
      </c>
      <c r="S71" s="23">
        <v>349.4</v>
      </c>
      <c r="T71" s="23">
        <v>382.76702651609372</v>
      </c>
      <c r="U71" s="23">
        <v>387.45532382860063</v>
      </c>
      <c r="V71" s="23">
        <v>340.42760909889677</v>
      </c>
      <c r="W71" s="23">
        <v>338.76397449624289</v>
      </c>
      <c r="X71" s="23">
        <v>257.41575866222234</v>
      </c>
      <c r="Y71" s="23">
        <v>233.6280340906128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398.665690342527</v>
      </c>
      <c r="E72" s="23">
        <v>430.27825189536776</v>
      </c>
      <c r="F72" s="23">
        <v>394.63838790412052</v>
      </c>
      <c r="G72" s="23">
        <v>438.92839004570845</v>
      </c>
      <c r="H72" s="23">
        <v>299.37593826379333</v>
      </c>
      <c r="I72" s="23">
        <v>267.52979611591752</v>
      </c>
      <c r="J72" s="23">
        <v>262.18383713756941</v>
      </c>
      <c r="K72" s="23">
        <v>237.50475816963302</v>
      </c>
      <c r="L72" s="23">
        <v>305.1213651094601</v>
      </c>
      <c r="M72" s="23">
        <v>210.96307325137121</v>
      </c>
      <c r="N72" s="23">
        <v>250.79731719980072</v>
      </c>
      <c r="O72" s="23">
        <v>272.73782759676186</v>
      </c>
      <c r="P72" s="23">
        <v>191.89194753855338</v>
      </c>
      <c r="Q72" s="23">
        <v>168.41783127613996</v>
      </c>
      <c r="R72" s="23">
        <v>155.66863096076105</v>
      </c>
      <c r="S72" s="23">
        <v>198.30000000000007</v>
      </c>
      <c r="T72" s="23">
        <v>225.06342968011546</v>
      </c>
      <c r="U72" s="23">
        <v>223.28266760928477</v>
      </c>
      <c r="V72" s="23">
        <v>213.12115591135415</v>
      </c>
      <c r="W72" s="23">
        <v>230.05469224759099</v>
      </c>
      <c r="X72" s="23">
        <v>238.36867314641052</v>
      </c>
      <c r="Y72" s="23">
        <v>249.95030124147712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2385.2141133078408</v>
      </c>
      <c r="E73" s="23">
        <v>2441.5512245465011</v>
      </c>
      <c r="F73" s="23">
        <v>2268.8804603039453</v>
      </c>
      <c r="G73" s="23">
        <v>2134.2051802945657</v>
      </c>
      <c r="H73" s="23">
        <v>2205.0594905770399</v>
      </c>
      <c r="I73" s="23">
        <v>2252.5258636336139</v>
      </c>
      <c r="J73" s="23">
        <v>2301.8791818915197</v>
      </c>
      <c r="K73" s="23">
        <v>2081.5982835984451</v>
      </c>
      <c r="L73" s="23">
        <v>2035.9796291805374</v>
      </c>
      <c r="M73" s="23">
        <v>2003.2186374434823</v>
      </c>
      <c r="N73" s="23">
        <v>2090.6133779760326</v>
      </c>
      <c r="O73" s="23">
        <v>2275.418764446978</v>
      </c>
      <c r="P73" s="23">
        <v>2289.0115093989994</v>
      </c>
      <c r="Q73" s="23">
        <v>2367.4385392226873</v>
      </c>
      <c r="R73" s="23">
        <v>2480.5414211299048</v>
      </c>
      <c r="S73" s="23">
        <v>2488</v>
      </c>
      <c r="T73" s="23">
        <v>2774.3893338639868</v>
      </c>
      <c r="U73" s="23">
        <v>2512.4700522367548</v>
      </c>
      <c r="V73" s="23">
        <v>2496.7294737869761</v>
      </c>
      <c r="W73" s="23">
        <v>2509.7664727840956</v>
      </c>
      <c r="X73" s="23">
        <v>2516.5494897435183</v>
      </c>
      <c r="Y73" s="23">
        <v>2702.2337416447776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680.44368508122307</v>
      </c>
      <c r="E74" s="23">
        <v>704.82541446695768</v>
      </c>
      <c r="F74" s="23">
        <v>714.83860979953261</v>
      </c>
      <c r="G74" s="23">
        <v>689.43626206193085</v>
      </c>
      <c r="H74" s="23">
        <v>612.64748576321426</v>
      </c>
      <c r="I74" s="23">
        <v>607.53826607777683</v>
      </c>
      <c r="J74" s="23">
        <v>685.47430361124498</v>
      </c>
      <c r="K74" s="23">
        <v>672.25727567393005</v>
      </c>
      <c r="L74" s="23">
        <v>804.91192486609225</v>
      </c>
      <c r="M74" s="23">
        <v>682.59198843917329</v>
      </c>
      <c r="N74" s="23">
        <v>608.50401042603198</v>
      </c>
      <c r="O74" s="23">
        <v>695.77699671744313</v>
      </c>
      <c r="P74" s="23">
        <v>860.73421318123246</v>
      </c>
      <c r="Q74" s="23">
        <v>784.75976741812292</v>
      </c>
      <c r="R74" s="23">
        <v>578.82987067839895</v>
      </c>
      <c r="S74" s="23">
        <v>855.799999999992</v>
      </c>
      <c r="T74" s="23">
        <v>868.41450674097314</v>
      </c>
      <c r="U74" s="23">
        <v>847.4726051608468</v>
      </c>
      <c r="V74" s="23">
        <v>842.23372058969653</v>
      </c>
      <c r="W74" s="23">
        <v>826.46063026299908</v>
      </c>
      <c r="X74" s="23">
        <v>793.62856315884164</v>
      </c>
      <c r="Y74" s="23">
        <v>848.28113051663922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34144.902774387767</v>
      </c>
      <c r="E75" s="30">
        <f t="shared" ref="E75:S75" si="6">SUM(E56:E74)</f>
        <v>34180.790960451952</v>
      </c>
      <c r="F75" s="30">
        <f t="shared" si="6"/>
        <v>34116.159661480517</v>
      </c>
      <c r="G75" s="30">
        <f t="shared" si="6"/>
        <v>32497.714575926835</v>
      </c>
      <c r="H75" s="30">
        <f t="shared" si="6"/>
        <v>32018.461309413047</v>
      </c>
      <c r="I75" s="30">
        <f t="shared" si="6"/>
        <v>30993.647528586094</v>
      </c>
      <c r="J75" s="30">
        <f t="shared" si="6"/>
        <v>32284.08389882787</v>
      </c>
      <c r="K75" s="30">
        <f t="shared" si="6"/>
        <v>32173.993286655212</v>
      </c>
      <c r="L75" s="30">
        <f t="shared" si="6"/>
        <v>31222.028704336535</v>
      </c>
      <c r="M75" s="30">
        <f t="shared" si="6"/>
        <v>28117.863437811317</v>
      </c>
      <c r="N75" s="30">
        <f t="shared" si="6"/>
        <v>28170.991428177862</v>
      </c>
      <c r="O75" s="30">
        <f t="shared" si="6"/>
        <v>28893.321934074294</v>
      </c>
      <c r="P75" s="30">
        <f t="shared" si="6"/>
        <v>29966.027713150346</v>
      </c>
      <c r="Q75" s="30">
        <f t="shared" si="6"/>
        <v>31091.502601244501</v>
      </c>
      <c r="R75" s="30">
        <f t="shared" si="6"/>
        <v>31696.265159590526</v>
      </c>
      <c r="S75" s="30">
        <f t="shared" si="6"/>
        <v>33863.599999999991</v>
      </c>
      <c r="T75" s="30">
        <f t="shared" ref="T75:Y75" si="7">SUM(T56:T74)</f>
        <v>36434.008258295631</v>
      </c>
      <c r="U75" s="30">
        <f t="shared" si="7"/>
        <v>37657.986724794806</v>
      </c>
      <c r="V75" s="30">
        <f t="shared" si="7"/>
        <v>38631.35800058578</v>
      </c>
      <c r="W75" s="30">
        <f t="shared" si="7"/>
        <v>40028.069566223872</v>
      </c>
      <c r="X75" s="30">
        <f t="shared" si="7"/>
        <v>37274.586146046342</v>
      </c>
      <c r="Y75" s="30">
        <f t="shared" si="7"/>
        <v>39632.587214179337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5330020</v>
      </c>
      <c r="E3" s="42">
        <v>5349212</v>
      </c>
      <c r="F3" s="42">
        <v>5368354</v>
      </c>
      <c r="G3" s="42">
        <v>5383507</v>
      </c>
      <c r="H3" s="42">
        <v>5397640</v>
      </c>
      <c r="I3" s="42">
        <v>5411405</v>
      </c>
      <c r="J3" s="42">
        <v>5427459</v>
      </c>
      <c r="K3" s="42">
        <v>5447084</v>
      </c>
      <c r="L3" s="42">
        <v>5475791</v>
      </c>
      <c r="M3" s="42">
        <v>5511451</v>
      </c>
      <c r="N3" s="42">
        <v>5534738</v>
      </c>
      <c r="O3" s="42">
        <v>5560628</v>
      </c>
      <c r="P3" s="42">
        <v>5580516</v>
      </c>
      <c r="Q3" s="42">
        <v>5602628</v>
      </c>
      <c r="R3" s="42">
        <v>5627235</v>
      </c>
      <c r="S3" s="42">
        <v>5659715</v>
      </c>
      <c r="T3" s="42">
        <v>5707251</v>
      </c>
      <c r="U3" s="42">
        <v>5748769</v>
      </c>
      <c r="V3" s="42">
        <v>5781190</v>
      </c>
      <c r="W3" s="42">
        <v>5806081</v>
      </c>
      <c r="X3" s="42">
        <v>5822763</v>
      </c>
      <c r="Y3" s="42">
        <v>5840045</v>
      </c>
    </row>
    <row r="4" spans="1:25" x14ac:dyDescent="0.25">
      <c r="A4" s="43" t="s">
        <v>239</v>
      </c>
      <c r="B4" s="44"/>
      <c r="C4" s="44"/>
      <c r="D4" s="45">
        <v>2564398</v>
      </c>
      <c r="E4" s="45">
        <v>2594213</v>
      </c>
      <c r="F4" s="45">
        <v>2624484</v>
      </c>
      <c r="G4" s="45">
        <v>2653281</v>
      </c>
      <c r="H4" s="45">
        <v>2673422</v>
      </c>
      <c r="I4" s="45">
        <v>2690903</v>
      </c>
      <c r="J4" s="45">
        <v>2693528</v>
      </c>
      <c r="K4" s="45">
        <v>2707298</v>
      </c>
      <c r="L4" s="45">
        <v>2728077</v>
      </c>
      <c r="M4" s="45">
        <v>2748661</v>
      </c>
      <c r="N4" s="45">
        <v>2764328</v>
      </c>
      <c r="O4" s="45">
        <v>2783097</v>
      </c>
      <c r="P4" s="45">
        <v>2801464</v>
      </c>
      <c r="Q4" s="45">
        <v>2819642</v>
      </c>
      <c r="R4" s="45">
        <v>2832026</v>
      </c>
      <c r="S4" s="45">
        <v>2851242</v>
      </c>
      <c r="T4" s="45">
        <v>2872295</v>
      </c>
      <c r="U4" s="45">
        <v>2894647</v>
      </c>
      <c r="V4" s="45">
        <v>2910972</v>
      </c>
      <c r="W4" s="45">
        <v>2938300</v>
      </c>
      <c r="X4" s="45">
        <v>2942275</v>
      </c>
      <c r="Y4" s="45">
        <v>2967503</v>
      </c>
    </row>
    <row r="5" spans="1:25" x14ac:dyDescent="0.25">
      <c r="A5" s="46" t="s">
        <v>240</v>
      </c>
      <c r="B5" s="47"/>
      <c r="C5" s="47"/>
      <c r="D5" s="48">
        <f>D3/D4</f>
        <v>2.0784683188802986</v>
      </c>
      <c r="E5" s="48">
        <f t="shared" ref="E5:S5" si="0">E3/E4</f>
        <v>2.0619787195577235</v>
      </c>
      <c r="F5" s="48">
        <f t="shared" si="0"/>
        <v>2.0454893228535589</v>
      </c>
      <c r="G5" s="48">
        <f t="shared" si="0"/>
        <v>2.0289999438431137</v>
      </c>
      <c r="H5" s="48">
        <f t="shared" si="0"/>
        <v>2.0190003673194878</v>
      </c>
      <c r="I5" s="48">
        <f t="shared" si="0"/>
        <v>2.0109996532762424</v>
      </c>
      <c r="J5" s="48">
        <f t="shared" si="0"/>
        <v>2.0150000297008237</v>
      </c>
      <c r="K5" s="48">
        <f t="shared" si="0"/>
        <v>2.0120001566137158</v>
      </c>
      <c r="L5" s="48">
        <f t="shared" si="0"/>
        <v>2.0071981106105143</v>
      </c>
      <c r="M5" s="48">
        <f t="shared" si="0"/>
        <v>2.005140321050868</v>
      </c>
      <c r="N5" s="48">
        <f t="shared" si="0"/>
        <v>2.0022001730619521</v>
      </c>
      <c r="O5" s="48">
        <f t="shared" si="0"/>
        <v>1.9980000697065177</v>
      </c>
      <c r="P5" s="48">
        <f t="shared" si="0"/>
        <v>1.9919998971966086</v>
      </c>
      <c r="Q5" s="48">
        <f t="shared" si="0"/>
        <v>1.986999768055661</v>
      </c>
      <c r="R5" s="48">
        <f t="shared" si="0"/>
        <v>1.986999766245084</v>
      </c>
      <c r="S5" s="48">
        <f t="shared" si="0"/>
        <v>1.9849998702319902</v>
      </c>
      <c r="T5" s="48">
        <f t="shared" ref="T5:Y5" si="1">T3/T4</f>
        <v>1.9870002907083013</v>
      </c>
      <c r="U5" s="48">
        <f t="shared" si="1"/>
        <v>1.9860000200369856</v>
      </c>
      <c r="V5" s="48">
        <f t="shared" si="1"/>
        <v>1.9859998653370765</v>
      </c>
      <c r="W5" s="48">
        <f t="shared" si="1"/>
        <v>1.976000068066569</v>
      </c>
      <c r="X5" s="48">
        <f t="shared" si="1"/>
        <v>1.9790002634016195</v>
      </c>
      <c r="Y5" s="48">
        <f t="shared" si="1"/>
        <v>1.967999695366778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3112.07</v>
      </c>
      <c r="E8" s="42">
        <v>3494.43</v>
      </c>
      <c r="F8" s="42">
        <v>3189.34</v>
      </c>
      <c r="G8" s="42">
        <v>3325.61</v>
      </c>
      <c r="H8" s="42">
        <v>3309.22</v>
      </c>
      <c r="I8" s="42">
        <v>3261.34</v>
      </c>
      <c r="J8" s="42">
        <v>3084.26</v>
      </c>
      <c r="K8" s="42">
        <v>3000.97</v>
      </c>
      <c r="L8" s="42">
        <v>3019.35</v>
      </c>
      <c r="M8" s="42">
        <v>3230.76</v>
      </c>
      <c r="N8" s="42">
        <v>3982.16</v>
      </c>
      <c r="O8" s="42">
        <v>3148.45</v>
      </c>
      <c r="P8" s="42">
        <v>3424.15</v>
      </c>
      <c r="Q8" s="42">
        <v>3396.28</v>
      </c>
      <c r="R8" s="42">
        <v>2834.98</v>
      </c>
      <c r="S8" s="42">
        <v>3114.15</v>
      </c>
      <c r="T8" s="42">
        <v>3141.46</v>
      </c>
      <c r="U8" s="42">
        <v>3112.11</v>
      </c>
      <c r="V8" s="42">
        <v>3048.54</v>
      </c>
      <c r="W8" s="42">
        <v>3026.8</v>
      </c>
      <c r="X8" s="42">
        <v>2920.71</v>
      </c>
      <c r="Y8" s="42">
        <v>3263.77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3198.911428571429</v>
      </c>
      <c r="E9" s="45">
        <f t="shared" si="2"/>
        <v>3198.911428571429</v>
      </c>
      <c r="F9" s="45">
        <f t="shared" si="2"/>
        <v>3198.911428571429</v>
      </c>
      <c r="G9" s="45">
        <f t="shared" si="2"/>
        <v>3198.911428571429</v>
      </c>
      <c r="H9" s="45">
        <f t="shared" si="2"/>
        <v>3198.911428571429</v>
      </c>
      <c r="I9" s="45">
        <f t="shared" si="2"/>
        <v>3198.911428571429</v>
      </c>
      <c r="J9" s="45">
        <f t="shared" si="2"/>
        <v>3198.911428571429</v>
      </c>
      <c r="K9" s="45">
        <f t="shared" si="2"/>
        <v>3198.911428571429</v>
      </c>
      <c r="L9" s="45">
        <f t="shared" si="2"/>
        <v>3198.911428571429</v>
      </c>
      <c r="M9" s="45">
        <f t="shared" si="2"/>
        <v>3198.911428571429</v>
      </c>
      <c r="N9" s="45">
        <f t="shared" si="2"/>
        <v>3198.911428571429</v>
      </c>
      <c r="O9" s="45">
        <f t="shared" si="2"/>
        <v>3198.911428571429</v>
      </c>
      <c r="P9" s="45">
        <f t="shared" si="2"/>
        <v>3198.911428571429</v>
      </c>
      <c r="Q9" s="45">
        <f t="shared" si="2"/>
        <v>3198.911428571429</v>
      </c>
      <c r="R9" s="45">
        <f t="shared" si="2"/>
        <v>3198.911428571429</v>
      </c>
      <c r="S9" s="45">
        <f t="shared" si="2"/>
        <v>3198.911428571429</v>
      </c>
      <c r="T9" s="45">
        <f t="shared" si="2"/>
        <v>3198.911428571429</v>
      </c>
      <c r="U9" s="45">
        <f t="shared" si="2"/>
        <v>3198.911428571429</v>
      </c>
      <c r="V9" s="45">
        <f t="shared" si="2"/>
        <v>3198.911428571429</v>
      </c>
      <c r="W9" s="45">
        <f t="shared" si="2"/>
        <v>3198.911428571429</v>
      </c>
      <c r="X9" s="45">
        <f>AVERAGE($D8:$X8)</f>
        <v>3198.911428571429</v>
      </c>
      <c r="Y9" s="45">
        <f t="shared" ref="Y9" si="3">AVERAGE($D8:$X8)</f>
        <v>3198.911428571429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0.97285281868206941</v>
      </c>
      <c r="E10" s="53">
        <f t="shared" si="4"/>
        <v>1.0923809796010961</v>
      </c>
      <c r="F10" s="53">
        <f t="shared" si="4"/>
        <v>0.99700791072677397</v>
      </c>
      <c r="G10" s="53">
        <f t="shared" si="4"/>
        <v>1.0396067769482296</v>
      </c>
      <c r="H10" s="53">
        <f t="shared" si="4"/>
        <v>1.0344831590031964</v>
      </c>
      <c r="I10" s="53">
        <f t="shared" si="4"/>
        <v>1.01951556734925</v>
      </c>
      <c r="J10" s="53">
        <f t="shared" si="4"/>
        <v>0.96415923631163813</v>
      </c>
      <c r="K10" s="53">
        <f t="shared" si="4"/>
        <v>0.93812225408822092</v>
      </c>
      <c r="L10" s="53">
        <f t="shared" si="4"/>
        <v>0.94386795865379192</v>
      </c>
      <c r="M10" s="53">
        <f t="shared" si="4"/>
        <v>1.0099560654115372</v>
      </c>
      <c r="N10" s="53">
        <f t="shared" si="4"/>
        <v>1.2448484707744329</v>
      </c>
      <c r="O10" s="53">
        <f t="shared" si="4"/>
        <v>0.9842254374032593</v>
      </c>
      <c r="P10" s="53">
        <f t="shared" si="4"/>
        <v>1.0704110058868239</v>
      </c>
      <c r="Q10" s="53">
        <f t="shared" si="4"/>
        <v>1.0616986671358739</v>
      </c>
      <c r="R10" s="53">
        <f t="shared" si="4"/>
        <v>0.88623272738315428</v>
      </c>
      <c r="S10" s="53">
        <f t="shared" si="4"/>
        <v>0.97350303987338538</v>
      </c>
      <c r="T10" s="53">
        <f t="shared" ref="T10:Y10" si="5">IF(T8=0,0,T8/T9)</f>
        <v>0.98204031907282729</v>
      </c>
      <c r="U10" s="53">
        <f t="shared" si="5"/>
        <v>0.97286532293574857</v>
      </c>
      <c r="V10" s="53">
        <f t="shared" si="5"/>
        <v>0.95299293777615401</v>
      </c>
      <c r="W10" s="53">
        <f t="shared" si="5"/>
        <v>0.94619687590153423</v>
      </c>
      <c r="X10" s="53">
        <f t="shared" si="5"/>
        <v>0.91303246908099978</v>
      </c>
      <c r="Y10" s="53">
        <f t="shared" si="5"/>
        <v>1.0202752007602585</v>
      </c>
    </row>
    <row r="11" spans="1:25" x14ac:dyDescent="0.25">
      <c r="A11" s="43" t="s">
        <v>251</v>
      </c>
      <c r="B11" s="44"/>
      <c r="C11" s="44"/>
      <c r="D11" s="45">
        <v>0.65</v>
      </c>
      <c r="E11" s="45">
        <v>0.38</v>
      </c>
      <c r="F11" s="45">
        <v>0.76</v>
      </c>
      <c r="G11" s="45">
        <v>0.13</v>
      </c>
      <c r="H11" s="45">
        <v>0</v>
      </c>
      <c r="I11" s="45">
        <v>0.01</v>
      </c>
      <c r="J11" s="45">
        <v>0.47</v>
      </c>
      <c r="K11" s="45">
        <v>0</v>
      </c>
      <c r="L11" s="45">
        <v>0.03</v>
      </c>
      <c r="M11" s="45">
        <v>0.08</v>
      </c>
      <c r="N11" s="45">
        <v>2.25</v>
      </c>
      <c r="O11" s="45">
        <v>0</v>
      </c>
      <c r="P11" s="45">
        <v>0.31</v>
      </c>
      <c r="Q11" s="45">
        <v>0.55000000000000004</v>
      </c>
      <c r="R11" s="45">
        <v>1.52</v>
      </c>
      <c r="S11" s="45">
        <v>0.1</v>
      </c>
      <c r="T11" s="45">
        <v>0.47</v>
      </c>
      <c r="U11" s="45">
        <v>0</v>
      </c>
      <c r="V11" s="45">
        <v>14.32</v>
      </c>
      <c r="W11" s="45">
        <v>2.19</v>
      </c>
      <c r="X11" s="45">
        <v>0.57999999999999996</v>
      </c>
      <c r="Y11" s="45">
        <v>0.75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1.1809523809523808</v>
      </c>
      <c r="E12" s="45">
        <f t="shared" ref="E12" si="7">AVERAGE($D11:$X11)</f>
        <v>1.1809523809523808</v>
      </c>
      <c r="F12" s="45">
        <f t="shared" ref="F12" si="8">AVERAGE($D11:$X11)</f>
        <v>1.1809523809523808</v>
      </c>
      <c r="G12" s="45">
        <f t="shared" ref="G12" si="9">AVERAGE($D11:$X11)</f>
        <v>1.1809523809523808</v>
      </c>
      <c r="H12" s="45">
        <f t="shared" ref="H12" si="10">AVERAGE($D11:$X11)</f>
        <v>1.1809523809523808</v>
      </c>
      <c r="I12" s="45">
        <f t="shared" ref="I12" si="11">AVERAGE($D11:$X11)</f>
        <v>1.1809523809523808</v>
      </c>
      <c r="J12" s="45">
        <f t="shared" ref="J12" si="12">AVERAGE($D11:$X11)</f>
        <v>1.1809523809523808</v>
      </c>
      <c r="K12" s="45">
        <f t="shared" ref="K12" si="13">AVERAGE($D11:$X11)</f>
        <v>1.1809523809523808</v>
      </c>
      <c r="L12" s="45">
        <f t="shared" ref="L12" si="14">AVERAGE($D11:$X11)</f>
        <v>1.1809523809523808</v>
      </c>
      <c r="M12" s="45">
        <f t="shared" ref="M12" si="15">AVERAGE($D11:$X11)</f>
        <v>1.1809523809523808</v>
      </c>
      <c r="N12" s="45">
        <f t="shared" ref="N12" si="16">AVERAGE($D11:$X11)</f>
        <v>1.1809523809523808</v>
      </c>
      <c r="O12" s="45">
        <f t="shared" ref="O12" si="17">AVERAGE($D11:$X11)</f>
        <v>1.1809523809523808</v>
      </c>
      <c r="P12" s="45">
        <f t="shared" ref="P12" si="18">AVERAGE($D11:$X11)</f>
        <v>1.1809523809523808</v>
      </c>
      <c r="Q12" s="45">
        <f t="shared" ref="Q12" si="19">AVERAGE($D11:$X11)</f>
        <v>1.1809523809523808</v>
      </c>
      <c r="R12" s="45">
        <f t="shared" ref="R12" si="20">AVERAGE($D11:$X11)</f>
        <v>1.1809523809523808</v>
      </c>
      <c r="S12" s="45">
        <f t="shared" ref="S12" si="21">AVERAGE($D11:$X11)</f>
        <v>1.1809523809523808</v>
      </c>
      <c r="T12" s="45">
        <f t="shared" ref="T12" si="22">AVERAGE($D11:$X11)</f>
        <v>1.1809523809523808</v>
      </c>
      <c r="U12" s="45">
        <f t="shared" ref="U12" si="23">AVERAGE($D11:$X11)</f>
        <v>1.1809523809523808</v>
      </c>
      <c r="V12" s="45">
        <f t="shared" ref="V12" si="24">AVERAGE($D11:$X11)</f>
        <v>1.1809523809523808</v>
      </c>
      <c r="W12" s="45">
        <f t="shared" ref="W12" si="25">AVERAGE($D11:$X11)</f>
        <v>1.1809523809523808</v>
      </c>
      <c r="X12" s="45">
        <f>AVERAGE($D11:$X11)</f>
        <v>1.1809523809523808</v>
      </c>
      <c r="Y12" s="45">
        <f t="shared" ref="Y12" si="26">AVERAGE($D11:$X11)</f>
        <v>1.1809523809523808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0.55040322580645173</v>
      </c>
      <c r="E13" s="55">
        <f t="shared" si="27"/>
        <v>0.32177419354838716</v>
      </c>
      <c r="F13" s="55">
        <f t="shared" ref="F13" si="28">IF(F11=0,0,F11/F12)</f>
        <v>0.64354838709677431</v>
      </c>
      <c r="G13" s="55">
        <f t="shared" ref="G13" si="29">IF(G11=0,0,G11/G12)</f>
        <v>0.11008064516129035</v>
      </c>
      <c r="H13" s="55">
        <f t="shared" ref="H13" si="30">IF(H11=0,0,H11/H12)</f>
        <v>0</v>
      </c>
      <c r="I13" s="55">
        <f t="shared" ref="I13" si="31">IF(I11=0,0,I11/I12)</f>
        <v>8.4677419354838718E-3</v>
      </c>
      <c r="J13" s="55">
        <f t="shared" ref="J13" si="32">IF(J11=0,0,J11/J12)</f>
        <v>0.39798387096774196</v>
      </c>
      <c r="K13" s="55">
        <f t="shared" ref="K13" si="33">IF(K11=0,0,K11/K12)</f>
        <v>0</v>
      </c>
      <c r="L13" s="55">
        <f t="shared" ref="L13" si="34">IF(L11=0,0,L11/L12)</f>
        <v>2.5403225806451615E-2</v>
      </c>
      <c r="M13" s="55">
        <f t="shared" ref="M13" si="35">IF(M11=0,0,M11/M12)</f>
        <v>6.7741935483870974E-2</v>
      </c>
      <c r="N13" s="55">
        <f t="shared" ref="N13" si="36">IF(N11=0,0,N11/N12)</f>
        <v>1.9052419354838712</v>
      </c>
      <c r="O13" s="55">
        <f t="shared" ref="O13" si="37">IF(O11=0,0,O11/O12)</f>
        <v>0</v>
      </c>
      <c r="P13" s="55">
        <f t="shared" ref="P13" si="38">IF(P11=0,0,P11/P12)</f>
        <v>0.26250000000000007</v>
      </c>
      <c r="Q13" s="55">
        <f t="shared" ref="Q13" si="39">IF(Q11=0,0,Q11/Q12)</f>
        <v>0.46572580645161304</v>
      </c>
      <c r="R13" s="55">
        <f t="shared" ref="R13" si="40">IF(R11=0,0,R11/R12)</f>
        <v>1.2870967741935486</v>
      </c>
      <c r="S13" s="55">
        <f t="shared" ref="S13:Y13" si="41">IF(S11=0,0,S11/S12)</f>
        <v>8.4677419354838732E-2</v>
      </c>
      <c r="T13" s="55">
        <f t="shared" si="41"/>
        <v>0.39798387096774196</v>
      </c>
      <c r="U13" s="55">
        <f t="shared" si="41"/>
        <v>0</v>
      </c>
      <c r="V13" s="55">
        <f t="shared" si="41"/>
        <v>12.125806451612906</v>
      </c>
      <c r="W13" s="55">
        <f t="shared" si="41"/>
        <v>1.854435483870968</v>
      </c>
      <c r="X13" s="55">
        <f t="shared" si="41"/>
        <v>0.49112903225806459</v>
      </c>
      <c r="Y13" s="55">
        <f t="shared" si="41"/>
        <v>0.63508064516129048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237170.8922314446</v>
      </c>
      <c r="E16" s="42">
        <v>239122.74091493757</v>
      </c>
      <c r="F16" s="42">
        <v>240237.58591445893</v>
      </c>
      <c r="G16" s="42">
        <v>241176.23579598605</v>
      </c>
      <c r="H16" s="42">
        <v>247611.25382262998</v>
      </c>
      <c r="I16" s="42">
        <v>253396.03771787789</v>
      </c>
      <c r="J16" s="42">
        <v>263311.18946434406</v>
      </c>
      <c r="K16" s="42">
        <v>265706.49513291969</v>
      </c>
      <c r="L16" s="42">
        <v>264344.48200785549</v>
      </c>
      <c r="M16" s="42">
        <v>251375.46872452585</v>
      </c>
      <c r="N16" s="42">
        <v>256079.48861063432</v>
      </c>
      <c r="O16" s="42">
        <v>259503.04121606768</v>
      </c>
      <c r="P16" s="42">
        <v>260089.29209959033</v>
      </c>
      <c r="Q16" s="42">
        <v>262517.70459203346</v>
      </c>
      <c r="R16" s="42">
        <v>266768.05091296014</v>
      </c>
      <c r="S16" s="42">
        <v>273017.59999999998</v>
      </c>
      <c r="T16" s="42">
        <v>281880.70014735748</v>
      </c>
      <c r="U16" s="42">
        <v>289834.6376184671</v>
      </c>
      <c r="V16" s="42">
        <v>295600.82521803747</v>
      </c>
      <c r="W16" s="42">
        <v>300015.89609382575</v>
      </c>
      <c r="X16" s="42">
        <v>292740.90580016735</v>
      </c>
      <c r="Y16" s="42">
        <v>312778.56817145459</v>
      </c>
    </row>
    <row r="17" spans="1:25" x14ac:dyDescent="0.25">
      <c r="A17" s="46" t="s">
        <v>141</v>
      </c>
      <c r="B17" s="47"/>
      <c r="C17" s="47"/>
      <c r="D17" s="57">
        <v>107620.55234425179</v>
      </c>
      <c r="E17" s="57">
        <v>107866.92096314792</v>
      </c>
      <c r="F17" s="57">
        <v>109426.59198113208</v>
      </c>
      <c r="G17" s="57">
        <v>110885.99451336457</v>
      </c>
      <c r="H17" s="57">
        <v>116039.22934633771</v>
      </c>
      <c r="I17" s="57">
        <v>120331.01457505205</v>
      </c>
      <c r="J17" s="57">
        <v>123877.75911013265</v>
      </c>
      <c r="K17" s="57">
        <v>126069.79945170574</v>
      </c>
      <c r="L17" s="57">
        <v>126688.20464025316</v>
      </c>
      <c r="M17" s="57">
        <v>122339.14172549619</v>
      </c>
      <c r="N17" s="57">
        <v>123297.65708200212</v>
      </c>
      <c r="O17" s="57">
        <v>123637.75478336908</v>
      </c>
      <c r="P17" s="57">
        <v>124271.92456587784</v>
      </c>
      <c r="Q17" s="57">
        <v>124619.08993597642</v>
      </c>
      <c r="R17" s="57">
        <v>125754.77850800179</v>
      </c>
      <c r="S17" s="57">
        <v>128622.6</v>
      </c>
      <c r="T17" s="57">
        <v>131739.16511300986</v>
      </c>
      <c r="U17" s="57">
        <v>134752.72124940841</v>
      </c>
      <c r="V17" s="57">
        <v>139456.35738831613</v>
      </c>
      <c r="W17" s="57">
        <v>141661.19142547983</v>
      </c>
      <c r="X17" s="57">
        <v>139714.3023391132</v>
      </c>
      <c r="Y17" s="57">
        <v>147359.67839805828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44497.186170304165</v>
      </c>
      <c r="E20" s="42">
        <f t="shared" ref="E20:S20" si="42">1000000*E16/E$3</f>
        <v>44702.423630796002</v>
      </c>
      <c r="F20" s="42">
        <f t="shared" si="42"/>
        <v>44750.697497679721</v>
      </c>
      <c r="G20" s="42">
        <f t="shared" si="42"/>
        <v>44799.093935604811</v>
      </c>
      <c r="H20" s="42">
        <f t="shared" si="42"/>
        <v>45873.984523352796</v>
      </c>
      <c r="I20" s="42">
        <f t="shared" si="42"/>
        <v>46826.293304211737</v>
      </c>
      <c r="J20" s="42">
        <f t="shared" si="42"/>
        <v>48514.634466026189</v>
      </c>
      <c r="K20" s="42">
        <f t="shared" si="42"/>
        <v>48779.584660879045</v>
      </c>
      <c r="L20" s="42">
        <f t="shared" si="42"/>
        <v>48275.122627553807</v>
      </c>
      <c r="M20" s="42">
        <f t="shared" si="42"/>
        <v>45609.671341453613</v>
      </c>
      <c r="N20" s="42">
        <f t="shared" si="42"/>
        <v>46267.680351018294</v>
      </c>
      <c r="O20" s="42">
        <f t="shared" si="42"/>
        <v>46667.937725031719</v>
      </c>
      <c r="P20" s="42">
        <f t="shared" si="42"/>
        <v>46606.6743827256</v>
      </c>
      <c r="Q20" s="42">
        <f t="shared" si="42"/>
        <v>46856.172601863531</v>
      </c>
      <c r="R20" s="42">
        <f t="shared" si="42"/>
        <v>47406.595052980752</v>
      </c>
      <c r="S20" s="42">
        <f t="shared" si="42"/>
        <v>48238.754071538933</v>
      </c>
      <c r="T20" s="42">
        <f t="shared" ref="T20:Y20" si="43">1000000*T16/T$3</f>
        <v>49389.925227987602</v>
      </c>
      <c r="U20" s="42">
        <f t="shared" si="43"/>
        <v>50416.817516666109</v>
      </c>
      <c r="V20" s="42">
        <f t="shared" si="43"/>
        <v>51131.484213118318</v>
      </c>
      <c r="W20" s="42">
        <f t="shared" si="43"/>
        <v>51672.702481041124</v>
      </c>
      <c r="X20" s="42">
        <f t="shared" si="43"/>
        <v>50275.256918436724</v>
      </c>
      <c r="Y20" s="42">
        <f t="shared" si="43"/>
        <v>53557.561315273182</v>
      </c>
    </row>
    <row r="21" spans="1:25" x14ac:dyDescent="0.25">
      <c r="A21" s="46" t="s">
        <v>141</v>
      </c>
      <c r="B21" s="47"/>
      <c r="C21" s="47"/>
      <c r="D21" s="57">
        <f>1000000*D17/D$3</f>
        <v>20191.397470225587</v>
      </c>
      <c r="E21" s="57">
        <f t="shared" ref="E21:S21" si="44">1000000*E17/E$3</f>
        <v>20165.011400398398</v>
      </c>
      <c r="F21" s="57">
        <f t="shared" si="44"/>
        <v>20383.639376451716</v>
      </c>
      <c r="G21" s="57">
        <f t="shared" si="44"/>
        <v>20597.353084776256</v>
      </c>
      <c r="H21" s="57">
        <f t="shared" si="44"/>
        <v>21498.141659380341</v>
      </c>
      <c r="I21" s="57">
        <f t="shared" si="44"/>
        <v>22236.556786093824</v>
      </c>
      <c r="J21" s="57">
        <f t="shared" si="44"/>
        <v>22824.264376779753</v>
      </c>
      <c r="K21" s="57">
        <f t="shared" si="44"/>
        <v>23144.45663986561</v>
      </c>
      <c r="L21" s="57">
        <f t="shared" si="44"/>
        <v>23136.055528827372</v>
      </c>
      <c r="M21" s="57">
        <f t="shared" si="44"/>
        <v>22197.265606733359</v>
      </c>
      <c r="N21" s="57">
        <f t="shared" si="44"/>
        <v>22277.053960278179</v>
      </c>
      <c r="O21" s="57">
        <f t="shared" si="44"/>
        <v>22234.494877803205</v>
      </c>
      <c r="P21" s="57">
        <f t="shared" si="44"/>
        <v>22268.894949119014</v>
      </c>
      <c r="Q21" s="57">
        <f t="shared" si="44"/>
        <v>22242.970608788663</v>
      </c>
      <c r="R21" s="57">
        <f t="shared" si="44"/>
        <v>22347.525651230455</v>
      </c>
      <c r="S21" s="57">
        <f t="shared" si="44"/>
        <v>22725.985319048752</v>
      </c>
      <c r="T21" s="57">
        <f t="shared" ref="T21:Y21" si="45">1000000*T17/T$3</f>
        <v>23082.770516490313</v>
      </c>
      <c r="U21" s="57">
        <f t="shared" si="45"/>
        <v>23440.274126410088</v>
      </c>
      <c r="V21" s="57">
        <f t="shared" si="45"/>
        <v>24122.431089155714</v>
      </c>
      <c r="W21" s="57">
        <f t="shared" si="45"/>
        <v>24398.76250873521</v>
      </c>
      <c r="X21" s="57">
        <f t="shared" si="45"/>
        <v>23994.502668082692</v>
      </c>
      <c r="Y21" s="57">
        <f t="shared" si="45"/>
        <v>25232.627214012613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207958.5333441814</v>
      </c>
      <c r="E23" s="60">
        <v>209707.32610910441</v>
      </c>
      <c r="F23" s="60">
        <v>210361.99912273913</v>
      </c>
      <c r="G23" s="60">
        <v>211164.67750126965</v>
      </c>
      <c r="H23" s="60">
        <v>215341.12479994044</v>
      </c>
      <c r="I23" s="60">
        <v>218826.30528162624</v>
      </c>
      <c r="J23" s="60">
        <v>227224.05447729322</v>
      </c>
      <c r="K23" s="60">
        <v>228360.53660618505</v>
      </c>
      <c r="L23" s="60">
        <v>228484.31402808704</v>
      </c>
      <c r="M23" s="60">
        <v>218322.80525053918</v>
      </c>
      <c r="N23" s="60">
        <v>222337.80819885779</v>
      </c>
      <c r="O23" s="60">
        <v>225776.9967174356</v>
      </c>
      <c r="P23" s="60">
        <v>226270.66647450018</v>
      </c>
      <c r="Q23" s="60">
        <v>228349.17882280934</v>
      </c>
      <c r="R23" s="60">
        <v>231880.79483518034</v>
      </c>
      <c r="S23" s="60">
        <v>236921.5</v>
      </c>
      <c r="T23" s="60">
        <v>244445.74896771307</v>
      </c>
      <c r="U23" s="60">
        <v>251707.12069439536</v>
      </c>
      <c r="V23" s="60">
        <v>256101.53275407595</v>
      </c>
      <c r="W23" s="60">
        <v>259887.81819409475</v>
      </c>
      <c r="X23" s="60">
        <v>252509.26678057571</v>
      </c>
      <c r="Y23" s="60">
        <v>269968.9937897182</v>
      </c>
    </row>
    <row r="24" spans="1:25" x14ac:dyDescent="0.25">
      <c r="A24" s="61" t="s">
        <v>33</v>
      </c>
      <c r="B24" s="62"/>
      <c r="C24" s="62"/>
      <c r="D24" s="63">
        <v>5194.4512244731923</v>
      </c>
      <c r="E24" s="63">
        <v>5697.0851691607459</v>
      </c>
      <c r="F24" s="63">
        <v>4361.1476636478574</v>
      </c>
      <c r="G24" s="63">
        <v>3954.4184865413913</v>
      </c>
      <c r="H24" s="63">
        <v>4074.8874083448095</v>
      </c>
      <c r="I24" s="63">
        <v>2950.3297235162445</v>
      </c>
      <c r="J24" s="63">
        <v>3117.6149575285908</v>
      </c>
      <c r="K24" s="63">
        <v>3161.6162781308758</v>
      </c>
      <c r="L24" s="63">
        <v>2284.552128574263</v>
      </c>
      <c r="M24" s="63">
        <v>2110.6160296902881</v>
      </c>
      <c r="N24" s="63">
        <v>3096.6634526748535</v>
      </c>
      <c r="O24" s="63">
        <v>3432.9713013098594</v>
      </c>
      <c r="P24" s="63">
        <v>4336.7168358417921</v>
      </c>
      <c r="Q24" s="63">
        <v>3436.9070692645109</v>
      </c>
      <c r="R24" s="63">
        <v>3694.6159570402851</v>
      </c>
      <c r="S24" s="63">
        <v>2614.4</v>
      </c>
      <c r="T24" s="63">
        <v>2707.4274911695938</v>
      </c>
      <c r="U24" s="63">
        <v>3777.0511763088648</v>
      </c>
      <c r="V24" s="63">
        <v>3029.9716879820362</v>
      </c>
      <c r="W24" s="63">
        <v>3780.7101310877679</v>
      </c>
      <c r="X24" s="63">
        <v>4017.2544186437362</v>
      </c>
      <c r="Y24" s="63">
        <v>3376.1514332462507</v>
      </c>
    </row>
    <row r="25" spans="1:25" x14ac:dyDescent="0.25">
      <c r="A25" s="64" t="s">
        <v>56</v>
      </c>
      <c r="B25" s="65"/>
      <c r="C25" s="65"/>
      <c r="D25" s="66">
        <v>6244.9488785832446</v>
      </c>
      <c r="E25" s="66">
        <v>5288.5060664999537</v>
      </c>
      <c r="F25" s="66">
        <v>5141.6518306370463</v>
      </c>
      <c r="G25" s="66">
        <v>5001.0157440325038</v>
      </c>
      <c r="H25" s="66">
        <v>6270.3936675723626</v>
      </c>
      <c r="I25" s="66">
        <v>8530.9456107447513</v>
      </c>
      <c r="J25" s="66">
        <v>9399.3498789920741</v>
      </c>
      <c r="K25" s="66">
        <v>9055.8637952314493</v>
      </c>
      <c r="L25" s="66">
        <v>9640.8650984369142</v>
      </c>
      <c r="M25" s="66">
        <v>6088.6986413846707</v>
      </c>
      <c r="N25" s="66">
        <v>6883.8406848981231</v>
      </c>
      <c r="O25" s="66">
        <v>7996.3691248957712</v>
      </c>
      <c r="P25" s="66">
        <v>7834.1122938499866</v>
      </c>
      <c r="Q25" s="66">
        <v>6478.7310007140668</v>
      </c>
      <c r="R25" s="66">
        <v>5323.6057199171382</v>
      </c>
      <c r="S25" s="66">
        <v>3140.5</v>
      </c>
      <c r="T25" s="66">
        <v>2725.0385552957564</v>
      </c>
      <c r="U25" s="66">
        <v>2827.9525548878678</v>
      </c>
      <c r="V25" s="66">
        <v>3227.3747925412476</v>
      </c>
      <c r="W25" s="66">
        <v>2449.961898698768</v>
      </c>
      <c r="X25" s="66">
        <v>1261.6826792900292</v>
      </c>
      <c r="Y25" s="66">
        <v>1081.3650524470463</v>
      </c>
    </row>
    <row r="26" spans="1:25" x14ac:dyDescent="0.25">
      <c r="A26" s="67" t="s">
        <v>146</v>
      </c>
      <c r="B26" s="44"/>
      <c r="C26" s="44"/>
      <c r="D26" s="45">
        <v>147829.57719740731</v>
      </c>
      <c r="E26" s="45">
        <v>150490.34784794721</v>
      </c>
      <c r="F26" s="45">
        <v>152749.18079314707</v>
      </c>
      <c r="G26" s="45">
        <v>155019.29913661751</v>
      </c>
      <c r="H26" s="45">
        <v>157895.93181226039</v>
      </c>
      <c r="I26" s="45">
        <v>160774.1545163047</v>
      </c>
      <c r="J26" s="45">
        <v>165282.70773027095</v>
      </c>
      <c r="K26" s="45">
        <v>167742.72432607017</v>
      </c>
      <c r="L26" s="45">
        <v>168528.84763773452</v>
      </c>
      <c r="M26" s="45">
        <v>168073.52506486539</v>
      </c>
      <c r="N26" s="45">
        <v>170874.55895909044</v>
      </c>
      <c r="O26" s="45">
        <v>171917.39759137883</v>
      </c>
      <c r="P26" s="45">
        <v>171220.11982952085</v>
      </c>
      <c r="Q26" s="45">
        <v>174599.10231561764</v>
      </c>
      <c r="R26" s="45">
        <v>177794.19158906699</v>
      </c>
      <c r="S26" s="45">
        <v>182624.19999999998</v>
      </c>
      <c r="T26" s="45">
        <v>186444.75399233872</v>
      </c>
      <c r="U26" s="45">
        <v>190705.19618239664</v>
      </c>
      <c r="V26" s="45">
        <v>194513.03329102806</v>
      </c>
      <c r="W26" s="45">
        <v>197136.42195020782</v>
      </c>
      <c r="X26" s="45">
        <v>194170.7515195653</v>
      </c>
      <c r="Y26" s="45">
        <v>209317.14336504109</v>
      </c>
    </row>
    <row r="27" spans="1:25" x14ac:dyDescent="0.25">
      <c r="A27" s="68" t="s">
        <v>148</v>
      </c>
      <c r="B27" s="69"/>
      <c r="C27" s="69"/>
      <c r="D27" s="70">
        <v>64713.747186288078</v>
      </c>
      <c r="E27" s="70">
        <v>66429.034520170957</v>
      </c>
      <c r="F27" s="70">
        <v>67221.921201331381</v>
      </c>
      <c r="G27" s="70">
        <v>67845.733875063466</v>
      </c>
      <c r="H27" s="70">
        <v>69424.696964057526</v>
      </c>
      <c r="I27" s="70">
        <v>69704.519329663017</v>
      </c>
      <c r="J27" s="70">
        <v>69610.876477008482</v>
      </c>
      <c r="K27" s="70">
        <v>70291.603705028072</v>
      </c>
      <c r="L27" s="70">
        <v>69985.780109790765</v>
      </c>
      <c r="M27" s="70">
        <v>70286.502523455551</v>
      </c>
      <c r="N27" s="70">
        <v>72755.909683298189</v>
      </c>
      <c r="O27" s="70">
        <v>70959.22653916385</v>
      </c>
      <c r="P27" s="70">
        <v>70465.317383516231</v>
      </c>
      <c r="Q27" s="70">
        <v>72369.580740589605</v>
      </c>
      <c r="R27" s="70">
        <v>73687.274994469131</v>
      </c>
      <c r="S27" s="70">
        <v>74038.399999999994</v>
      </c>
      <c r="T27" s="70">
        <v>73510.472115815137</v>
      </c>
      <c r="U27" s="70">
        <v>74839.362161737576</v>
      </c>
      <c r="V27" s="70">
        <v>75028.995411500538</v>
      </c>
      <c r="W27" s="70">
        <v>76834.69822804835</v>
      </c>
      <c r="X27" s="70">
        <v>73435.664733947706</v>
      </c>
      <c r="Y27" s="70">
        <v>76706.81763808112</v>
      </c>
    </row>
    <row r="28" spans="1:25" x14ac:dyDescent="0.25">
      <c r="A28" s="68" t="s">
        <v>150</v>
      </c>
      <c r="B28" s="71"/>
      <c r="C28" s="71"/>
      <c r="D28" s="70">
        <v>55635.695495348904</v>
      </c>
      <c r="E28" s="70">
        <v>57066.116249222679</v>
      </c>
      <c r="F28" s="70">
        <v>57784.658255282928</v>
      </c>
      <c r="G28" s="70">
        <v>59384.84002031487</v>
      </c>
      <c r="H28" s="70">
        <v>60588.454237540485</v>
      </c>
      <c r="I28" s="70">
        <v>62828.483271825266</v>
      </c>
      <c r="J28" s="70">
        <v>64611.588288331033</v>
      </c>
      <c r="K28" s="70">
        <v>65689.502035919853</v>
      </c>
      <c r="L28" s="70">
        <v>67141.030445997487</v>
      </c>
      <c r="M28" s="70">
        <v>68275.620463527579</v>
      </c>
      <c r="N28" s="70">
        <v>68406.213246590851</v>
      </c>
      <c r="O28" s="70">
        <v>69388.450861805104</v>
      </c>
      <c r="P28" s="70">
        <v>69135.559719162426</v>
      </c>
      <c r="Q28" s="70">
        <v>70265.020911965737</v>
      </c>
      <c r="R28" s="70">
        <v>71555.781259427604</v>
      </c>
      <c r="S28" s="70">
        <v>74582.8</v>
      </c>
      <c r="T28" s="70">
        <v>78727.028506044488</v>
      </c>
      <c r="U28" s="70">
        <v>80452.456698480048</v>
      </c>
      <c r="V28" s="70">
        <v>82789.514790588684</v>
      </c>
      <c r="W28" s="70">
        <v>84038.83438955927</v>
      </c>
      <c r="X28" s="70">
        <v>82996.554718355226</v>
      </c>
      <c r="Y28" s="70">
        <v>86135.325871002511</v>
      </c>
    </row>
    <row r="29" spans="1:25" x14ac:dyDescent="0.25">
      <c r="A29" s="68" t="s">
        <v>152</v>
      </c>
      <c r="B29" s="71"/>
      <c r="C29" s="71"/>
      <c r="D29" s="70">
        <v>27480.134515770347</v>
      </c>
      <c r="E29" s="70">
        <v>26995.197078553549</v>
      </c>
      <c r="F29" s="70">
        <v>27742.601336532767</v>
      </c>
      <c r="G29" s="70">
        <v>27788.725241239179</v>
      </c>
      <c r="H29" s="70">
        <v>27882.780610662398</v>
      </c>
      <c r="I29" s="70">
        <v>28241.151914816357</v>
      </c>
      <c r="J29" s="70">
        <v>31060.242964931422</v>
      </c>
      <c r="K29" s="70">
        <v>31761.618585122211</v>
      </c>
      <c r="L29" s="70">
        <v>31402.037081946273</v>
      </c>
      <c r="M29" s="70">
        <v>29511.402077882263</v>
      </c>
      <c r="N29" s="70">
        <v>29712.436029201399</v>
      </c>
      <c r="O29" s="70">
        <v>31569.720190409858</v>
      </c>
      <c r="P29" s="70">
        <v>31619.242726842211</v>
      </c>
      <c r="Q29" s="70">
        <v>31964.50066306231</v>
      </c>
      <c r="R29" s="70">
        <v>32551.135335170264</v>
      </c>
      <c r="S29" s="70">
        <v>34002.999999999985</v>
      </c>
      <c r="T29" s="70">
        <v>34207.253370479099</v>
      </c>
      <c r="U29" s="70">
        <v>35413.377322179032</v>
      </c>
      <c r="V29" s="70">
        <v>36694.523088938811</v>
      </c>
      <c r="W29" s="70">
        <v>36262.8893326002</v>
      </c>
      <c r="X29" s="70">
        <v>37738.532067262371</v>
      </c>
      <c r="Y29" s="70">
        <v>46474.999855957445</v>
      </c>
    </row>
    <row r="30" spans="1:25" x14ac:dyDescent="0.25">
      <c r="A30" s="64" t="s">
        <v>154</v>
      </c>
      <c r="B30" s="65"/>
      <c r="C30" s="65"/>
      <c r="D30" s="66">
        <v>3964.2828085591082</v>
      </c>
      <c r="E30" s="66">
        <v>4166.1043411529663</v>
      </c>
      <c r="F30" s="66">
        <v>4083.3913873622832</v>
      </c>
      <c r="G30" s="66">
        <v>4124.5556119857793</v>
      </c>
      <c r="H30" s="66">
        <v>4258.0116871999107</v>
      </c>
      <c r="I30" s="66">
        <v>4483.876822554299</v>
      </c>
      <c r="J30" s="66">
        <v>4907.1086224078208</v>
      </c>
      <c r="K30" s="66">
        <v>4012.088634607177</v>
      </c>
      <c r="L30" s="66">
        <v>3927.9966489561052</v>
      </c>
      <c r="M30" s="66">
        <v>3468.5744939404221</v>
      </c>
      <c r="N30" s="66">
        <v>4151.1353161190518</v>
      </c>
      <c r="O30" s="66">
        <v>3648.9239310555927</v>
      </c>
      <c r="P30" s="66">
        <v>3576.8700199715863</v>
      </c>
      <c r="Q30" s="66">
        <v>3146.5877792512497</v>
      </c>
      <c r="R30" s="66">
        <v>3304.6398905894898</v>
      </c>
      <c r="S30" s="66">
        <v>4258.5</v>
      </c>
      <c r="T30" s="66">
        <v>4133.6251927764788</v>
      </c>
      <c r="U30" s="66">
        <v>3868.8582537999296</v>
      </c>
      <c r="V30" s="66">
        <v>3291.6137850239188</v>
      </c>
      <c r="W30" s="66">
        <v>3419.3747528238364</v>
      </c>
      <c r="X30" s="66">
        <v>2576.6785244110811</v>
      </c>
      <c r="Y30" s="66">
        <v>2775.2827823138346</v>
      </c>
    </row>
    <row r="31" spans="1:25" x14ac:dyDescent="0.25">
      <c r="A31" s="64" t="s">
        <v>37</v>
      </c>
      <c r="B31" s="65"/>
      <c r="C31" s="65"/>
      <c r="D31" s="66">
        <v>11360.20936728772</v>
      </c>
      <c r="E31" s="66">
        <v>10739.358816602497</v>
      </c>
      <c r="F31" s="66">
        <v>10843.718554067653</v>
      </c>
      <c r="G31" s="66">
        <v>11346.114779075673</v>
      </c>
      <c r="H31" s="66">
        <v>11629.50831875535</v>
      </c>
      <c r="I31" s="66">
        <v>11812.087845604696</v>
      </c>
      <c r="J31" s="66">
        <v>13168.034926208893</v>
      </c>
      <c r="K31" s="66">
        <v>13103.249397298514</v>
      </c>
      <c r="L31" s="66">
        <v>13802.442734628188</v>
      </c>
      <c r="M31" s="66">
        <v>11203.157330063605</v>
      </c>
      <c r="N31" s="66">
        <v>9815.9548204579423</v>
      </c>
      <c r="O31" s="66">
        <v>10452.276157605311</v>
      </c>
      <c r="P31" s="66">
        <v>10307.500669151104</v>
      </c>
      <c r="Q31" s="66">
        <v>10349.076813220443</v>
      </c>
      <c r="R31" s="66">
        <v>10591.802256591784</v>
      </c>
      <c r="S31" s="66">
        <v>11749.9</v>
      </c>
      <c r="T31" s="66">
        <v>13313.168499079648</v>
      </c>
      <c r="U31" s="66">
        <v>14069.360983464909</v>
      </c>
      <c r="V31" s="66">
        <v>14476.911061212535</v>
      </c>
      <c r="W31" s="66">
        <v>14195.387331076192</v>
      </c>
      <c r="X31" s="66">
        <v>13917.350587751978</v>
      </c>
      <c r="Y31" s="66">
        <v>14793.487791869682</v>
      </c>
    </row>
    <row r="32" spans="1:25" x14ac:dyDescent="0.25">
      <c r="A32" s="64" t="s">
        <v>58</v>
      </c>
      <c r="B32" s="65"/>
      <c r="C32" s="65"/>
      <c r="D32" s="66">
        <v>33365.063867870806</v>
      </c>
      <c r="E32" s="66">
        <v>33325.923867741047</v>
      </c>
      <c r="F32" s="66">
        <v>33182.908893877233</v>
      </c>
      <c r="G32" s="66">
        <v>31719.273743016765</v>
      </c>
      <c r="H32" s="66">
        <v>31212.391905807624</v>
      </c>
      <c r="I32" s="66">
        <v>30274.910762901571</v>
      </c>
      <c r="J32" s="66">
        <v>31349.238361884873</v>
      </c>
      <c r="K32" s="66">
        <v>31284.994174846874</v>
      </c>
      <c r="L32" s="66">
        <v>30299.609779757044</v>
      </c>
      <c r="M32" s="66">
        <v>27378.233690594789</v>
      </c>
      <c r="N32" s="66">
        <v>27515.654965617348</v>
      </c>
      <c r="O32" s="66">
        <v>28329.058611190274</v>
      </c>
      <c r="P32" s="66">
        <v>28995.346826164834</v>
      </c>
      <c r="Q32" s="66">
        <v>30338.773844741405</v>
      </c>
      <c r="R32" s="66">
        <v>31171.939421974625</v>
      </c>
      <c r="S32" s="66">
        <v>32534.000000000004</v>
      </c>
      <c r="T32" s="66">
        <v>35121.735237052897</v>
      </c>
      <c r="U32" s="66">
        <v>36458.70154353718</v>
      </c>
      <c r="V32" s="66">
        <v>37562.628136288193</v>
      </c>
      <c r="W32" s="66">
        <v>38905.962130200343</v>
      </c>
      <c r="X32" s="66">
        <v>36565.549050913614</v>
      </c>
      <c r="Y32" s="66">
        <v>38625.563364800277</v>
      </c>
    </row>
    <row r="33" spans="1:25" x14ac:dyDescent="0.25">
      <c r="A33" s="72" t="s">
        <v>158</v>
      </c>
      <c r="B33" s="65"/>
      <c r="C33" s="65"/>
      <c r="D33" s="66">
        <v>698.88536327394036</v>
      </c>
      <c r="E33" s="66">
        <v>633.64162002672708</v>
      </c>
      <c r="F33" s="66">
        <v>534.35508424284649</v>
      </c>
      <c r="G33" s="66">
        <v>452.6409344845099</v>
      </c>
      <c r="H33" s="66">
        <v>464.8825696951651</v>
      </c>
      <c r="I33" s="66">
        <v>425.55508500211749</v>
      </c>
      <c r="J33" s="66">
        <v>486.99757984150335</v>
      </c>
      <c r="K33" s="66">
        <v>555.29281487548019</v>
      </c>
      <c r="L33" s="66">
        <v>497.03476708040301</v>
      </c>
      <c r="M33" s="66">
        <v>272.16097566315972</v>
      </c>
      <c r="N33" s="66">
        <v>249.73775945920173</v>
      </c>
      <c r="O33" s="66">
        <v>308.41328646971283</v>
      </c>
      <c r="P33" s="66">
        <v>301.32388972389793</v>
      </c>
      <c r="Q33" s="66">
        <v>308.06895848209729</v>
      </c>
      <c r="R33" s="66">
        <v>329.13658212827579</v>
      </c>
      <c r="S33" s="66">
        <v>403.4</v>
      </c>
      <c r="T33" s="66">
        <v>398.68663250584552</v>
      </c>
      <c r="U33" s="66">
        <v>401.98735320686541</v>
      </c>
      <c r="V33" s="66">
        <v>379.38104071072928</v>
      </c>
      <c r="W33" s="66">
        <v>439.7565375080784</v>
      </c>
      <c r="X33" s="66">
        <v>343.6878518808997</v>
      </c>
      <c r="Y33" s="66">
        <v>346.93739741942557</v>
      </c>
    </row>
    <row r="34" spans="1:25" x14ac:dyDescent="0.25">
      <c r="A34" s="73" t="s">
        <v>5</v>
      </c>
      <c r="B34" s="65"/>
      <c r="C34" s="65"/>
      <c r="D34" s="66">
        <v>698.88536327394036</v>
      </c>
      <c r="E34" s="66">
        <v>633.64162002672708</v>
      </c>
      <c r="F34" s="66">
        <v>534.35508424284649</v>
      </c>
      <c r="G34" s="66">
        <v>452.6409344845099</v>
      </c>
      <c r="H34" s="66">
        <v>464.8825696951651</v>
      </c>
      <c r="I34" s="66">
        <v>425.55508500211749</v>
      </c>
      <c r="J34" s="66">
        <v>486.99757984150335</v>
      </c>
      <c r="K34" s="66">
        <v>555.29281487548019</v>
      </c>
      <c r="L34" s="66">
        <v>497.03476708040301</v>
      </c>
      <c r="M34" s="66">
        <v>272.16097566315972</v>
      </c>
      <c r="N34" s="66">
        <v>249.73775945920173</v>
      </c>
      <c r="O34" s="66">
        <v>308.41328646971283</v>
      </c>
      <c r="P34" s="66">
        <v>301.32388972389793</v>
      </c>
      <c r="Q34" s="66">
        <v>308.06895848209729</v>
      </c>
      <c r="R34" s="66">
        <v>329.13658212827579</v>
      </c>
      <c r="S34" s="66">
        <v>403.39999999999992</v>
      </c>
      <c r="T34" s="66">
        <v>398.68663250584552</v>
      </c>
      <c r="U34" s="66">
        <v>401.98735320686546</v>
      </c>
      <c r="V34" s="66">
        <v>379.38104071072928</v>
      </c>
      <c r="W34" s="66">
        <v>439.7565375080784</v>
      </c>
      <c r="X34" s="66">
        <v>343.6878518808997</v>
      </c>
      <c r="Y34" s="66">
        <v>346.93739741942557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698.88536327394036</v>
      </c>
      <c r="E36" s="45">
        <v>633.64162002672708</v>
      </c>
      <c r="F36" s="45">
        <v>534.35508424284649</v>
      </c>
      <c r="G36" s="45">
        <v>452.6409344845099</v>
      </c>
      <c r="H36" s="45">
        <v>464.8825696951651</v>
      </c>
      <c r="I36" s="45">
        <v>425.55508500211749</v>
      </c>
      <c r="J36" s="45">
        <v>486.99757984150335</v>
      </c>
      <c r="K36" s="45">
        <v>555.29281487548019</v>
      </c>
      <c r="L36" s="45">
        <v>497.03476708040301</v>
      </c>
      <c r="M36" s="45">
        <v>272.16097566315972</v>
      </c>
      <c r="N36" s="45">
        <v>249.73775945920173</v>
      </c>
      <c r="O36" s="45">
        <v>308.41328646971283</v>
      </c>
      <c r="P36" s="45">
        <v>301.32388972389793</v>
      </c>
      <c r="Q36" s="45">
        <v>308.06895848209729</v>
      </c>
      <c r="R36" s="45">
        <v>329.13658212827579</v>
      </c>
      <c r="S36" s="45">
        <v>403.39999999999992</v>
      </c>
      <c r="T36" s="45">
        <v>398.68663250584552</v>
      </c>
      <c r="U36" s="45">
        <v>401.98735320686546</v>
      </c>
      <c r="V36" s="45">
        <v>379.38104071072928</v>
      </c>
      <c r="W36" s="45">
        <v>439.7565375080784</v>
      </c>
      <c r="X36" s="45">
        <v>343.6878518808997</v>
      </c>
      <c r="Y36" s="45">
        <v>346.93739741942557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4809.2099910503621</v>
      </c>
      <c r="E43" s="66">
        <v>5172.0716071924744</v>
      </c>
      <c r="F43" s="66">
        <v>4619.1655700905649</v>
      </c>
      <c r="G43" s="66">
        <v>5130.3961401726756</v>
      </c>
      <c r="H43" s="66">
        <v>5002.4193248222728</v>
      </c>
      <c r="I43" s="66">
        <v>5148.2848327182528</v>
      </c>
      <c r="J43" s="66">
        <v>4901.651402268305</v>
      </c>
      <c r="K43" s="66">
        <v>4560.1144267703276</v>
      </c>
      <c r="L43" s="66">
        <v>4916.6648294715487</v>
      </c>
      <c r="M43" s="66">
        <v>5407.0919501220669</v>
      </c>
      <c r="N43" s="66">
        <v>6583.7739327604659</v>
      </c>
      <c r="O43" s="66">
        <v>6859.187486146734</v>
      </c>
      <c r="P43" s="66">
        <v>8169.7173093948804</v>
      </c>
      <c r="Q43" s="66">
        <v>8587.0651841273084</v>
      </c>
      <c r="R43" s="66">
        <v>9084.8937068844152</v>
      </c>
      <c r="S43" s="66">
        <v>10491.7</v>
      </c>
      <c r="T43" s="66">
        <v>11430.277100641761</v>
      </c>
      <c r="U43" s="66">
        <v>12315.20757236558</v>
      </c>
      <c r="V43" s="66">
        <v>13700.673630772235</v>
      </c>
      <c r="W43" s="66">
        <v>13795.371897637719</v>
      </c>
      <c r="X43" s="66">
        <v>14008.477820415863</v>
      </c>
      <c r="Y43" s="66">
        <v>15590.816159021761</v>
      </c>
    </row>
    <row r="44" spans="1:25" x14ac:dyDescent="0.25">
      <c r="A44" s="73" t="s">
        <v>272</v>
      </c>
      <c r="B44" s="65"/>
      <c r="C44" s="65"/>
      <c r="D44" s="66">
        <v>1679.0063189867926</v>
      </c>
      <c r="E44" s="66">
        <v>1666.4681988383018</v>
      </c>
      <c r="F44" s="66">
        <v>1511.2108780349358</v>
      </c>
      <c r="G44" s="66">
        <v>1554.2153377348905</v>
      </c>
      <c r="H44" s="66">
        <v>1507.6736020644905</v>
      </c>
      <c r="I44" s="66">
        <v>1539.1130739911671</v>
      </c>
      <c r="J44" s="66">
        <v>1482.4657144212972</v>
      </c>
      <c r="K44" s="66">
        <v>1394.1148650986813</v>
      </c>
      <c r="L44" s="66">
        <v>1518.22130117507</v>
      </c>
      <c r="M44" s="66">
        <v>1624.7550441741566</v>
      </c>
      <c r="N44" s="66">
        <v>1712.9869992265228</v>
      </c>
      <c r="O44" s="66">
        <v>1655.32018196595</v>
      </c>
      <c r="P44" s="66">
        <v>1997.7763594062055</v>
      </c>
      <c r="Q44" s="66">
        <v>1921.2485973681526</v>
      </c>
      <c r="R44" s="66">
        <v>2116.2084431125681</v>
      </c>
      <c r="S44" s="66">
        <v>2416.1999999999998</v>
      </c>
      <c r="T44" s="66">
        <v>2534.6997661807873</v>
      </c>
      <c r="U44" s="66">
        <v>2627.7443933859631</v>
      </c>
      <c r="V44" s="66">
        <v>2630.0888411598162</v>
      </c>
      <c r="W44" s="66">
        <v>2744.7405735451571</v>
      </c>
      <c r="X44" s="66">
        <v>2701.1381567276362</v>
      </c>
      <c r="Y44" s="66">
        <v>2877.5320176593568</v>
      </c>
    </row>
    <row r="45" spans="1:25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</row>
    <row r="46" spans="1:25" x14ac:dyDescent="0.25">
      <c r="A46" s="74" t="s">
        <v>12</v>
      </c>
      <c r="B46" s="44"/>
      <c r="C46" s="44"/>
      <c r="D46" s="45">
        <v>1679.0063189867926</v>
      </c>
      <c r="E46" s="45">
        <v>1666.4681988383018</v>
      </c>
      <c r="F46" s="45">
        <v>1511.2108780349358</v>
      </c>
      <c r="G46" s="45">
        <v>1554.2153377348905</v>
      </c>
      <c r="H46" s="45">
        <v>1507.6736020644905</v>
      </c>
      <c r="I46" s="45">
        <v>1539.1130739911671</v>
      </c>
      <c r="J46" s="45">
        <v>1482.4657144212972</v>
      </c>
      <c r="K46" s="45">
        <v>1394.1148650986813</v>
      </c>
      <c r="L46" s="45">
        <v>1518.22130117507</v>
      </c>
      <c r="M46" s="45">
        <v>1624.7550441741566</v>
      </c>
      <c r="N46" s="45">
        <v>1712.9869992265228</v>
      </c>
      <c r="O46" s="45">
        <v>1655.32018196595</v>
      </c>
      <c r="P46" s="45">
        <v>1997.7763594062055</v>
      </c>
      <c r="Q46" s="45">
        <v>1921.2485973681526</v>
      </c>
      <c r="R46" s="45">
        <v>2116.2084431125681</v>
      </c>
      <c r="S46" s="45">
        <v>2416.1999999999998</v>
      </c>
      <c r="T46" s="45">
        <v>2534.6997661807873</v>
      </c>
      <c r="U46" s="45">
        <v>2627.7443933859631</v>
      </c>
      <c r="V46" s="45">
        <v>2630.0888411598162</v>
      </c>
      <c r="W46" s="45">
        <v>2744.7405735451571</v>
      </c>
      <c r="X46" s="45">
        <v>2701.1381567276362</v>
      </c>
      <c r="Y46" s="45">
        <v>2877.5320176593568</v>
      </c>
    </row>
    <row r="47" spans="1:25" x14ac:dyDescent="0.25">
      <c r="A47" s="73" t="s">
        <v>11</v>
      </c>
      <c r="B47" s="65"/>
      <c r="C47" s="65"/>
      <c r="D47" s="66">
        <v>3130.2036720635697</v>
      </c>
      <c r="E47" s="66">
        <v>3505.6034083541726</v>
      </c>
      <c r="F47" s="66">
        <v>3107.954692055629</v>
      </c>
      <c r="G47" s="66">
        <v>3576.1808024377856</v>
      </c>
      <c r="H47" s="66">
        <v>3494.745722757782</v>
      </c>
      <c r="I47" s="66">
        <v>3609.1717587270859</v>
      </c>
      <c r="J47" s="66">
        <v>3419.185687847008</v>
      </c>
      <c r="K47" s="66">
        <v>3165.999561671646</v>
      </c>
      <c r="L47" s="66">
        <v>3398.4435282964791</v>
      </c>
      <c r="M47" s="66">
        <v>3782.3369059479105</v>
      </c>
      <c r="N47" s="66">
        <v>4870.7869335339428</v>
      </c>
      <c r="O47" s="66">
        <v>5203.8673041807842</v>
      </c>
      <c r="P47" s="66">
        <v>6171.9409499886751</v>
      </c>
      <c r="Q47" s="66">
        <v>6665.8165867591551</v>
      </c>
      <c r="R47" s="66">
        <v>6968.6852637718475</v>
      </c>
      <c r="S47" s="66">
        <v>8075.5</v>
      </c>
      <c r="T47" s="66">
        <v>8895.5773344609734</v>
      </c>
      <c r="U47" s="66">
        <v>9687.4631789796167</v>
      </c>
      <c r="V47" s="66">
        <v>11070.584789612418</v>
      </c>
      <c r="W47" s="66">
        <v>11050.631324092561</v>
      </c>
      <c r="X47" s="66">
        <v>11307.339663688226</v>
      </c>
      <c r="Y47" s="66">
        <v>12713.284141362403</v>
      </c>
    </row>
    <row r="48" spans="1:25" x14ac:dyDescent="0.25">
      <c r="A48" s="72" t="s">
        <v>4</v>
      </c>
      <c r="B48" s="65"/>
      <c r="C48" s="65"/>
      <c r="D48" s="66">
        <v>1608.2228188647518</v>
      </c>
      <c r="E48" s="66">
        <v>1353.5505894494506</v>
      </c>
      <c r="F48" s="66">
        <v>1401.8112857032286</v>
      </c>
      <c r="G48" s="66">
        <v>1326.180802437786</v>
      </c>
      <c r="H48" s="66">
        <v>1290.5547077579686</v>
      </c>
      <c r="I48" s="66">
        <v>1342.0049609776759</v>
      </c>
      <c r="J48" s="66">
        <v>1453.99326151948</v>
      </c>
      <c r="K48" s="66">
        <v>1542.4544080836977</v>
      </c>
      <c r="L48" s="66">
        <v>1418.571838003483</v>
      </c>
      <c r="M48" s="66">
        <v>1049.8888803739749</v>
      </c>
      <c r="N48" s="66">
        <v>849.97721950857726</v>
      </c>
      <c r="O48" s="66">
        <v>1032.4773334177723</v>
      </c>
      <c r="P48" s="66">
        <v>994.15264880891107</v>
      </c>
      <c r="Q48" s="66">
        <v>982.45435070896667</v>
      </c>
      <c r="R48" s="66">
        <v>1065.6463063896545</v>
      </c>
      <c r="S48" s="66">
        <v>1090.1000000000001</v>
      </c>
      <c r="T48" s="66">
        <v>1258.9423411770561</v>
      </c>
      <c r="U48" s="66">
        <v>1343.6235811633478</v>
      </c>
      <c r="V48" s="66">
        <v>1383.1885189885777</v>
      </c>
      <c r="W48" s="66">
        <v>1413.7029641847769</v>
      </c>
      <c r="X48" s="66">
        <v>1412.7522104889688</v>
      </c>
      <c r="Y48" s="66">
        <v>1516.0922547080486</v>
      </c>
    </row>
    <row r="49" spans="1:25" x14ac:dyDescent="0.25">
      <c r="A49" s="77" t="s">
        <v>10</v>
      </c>
      <c r="B49" s="44"/>
      <c r="C49" s="44"/>
      <c r="D49" s="45">
        <v>598.04024875741197</v>
      </c>
      <c r="E49" s="45">
        <v>565.4905280232532</v>
      </c>
      <c r="F49" s="45">
        <v>587.50360601473733</v>
      </c>
      <c r="G49" s="45">
        <v>525.98838132151889</v>
      </c>
      <c r="H49" s="45">
        <v>535.36590025874807</v>
      </c>
      <c r="I49" s="45">
        <v>518.52305302822447</v>
      </c>
      <c r="J49" s="45">
        <v>718.01213499355902</v>
      </c>
      <c r="K49" s="45">
        <v>694.02837489693809</v>
      </c>
      <c r="L49" s="45">
        <v>761.32426814967585</v>
      </c>
      <c r="M49" s="45">
        <v>506.08601396262253</v>
      </c>
      <c r="N49" s="45">
        <v>396.99926823458094</v>
      </c>
      <c r="O49" s="45">
        <v>499.52798596009757</v>
      </c>
      <c r="P49" s="45">
        <v>512.52609592186627</v>
      </c>
      <c r="Q49" s="45">
        <v>497.43687980790133</v>
      </c>
      <c r="R49" s="45">
        <v>541.15644451467745</v>
      </c>
      <c r="S49" s="45">
        <v>591.69578892643142</v>
      </c>
      <c r="T49" s="45">
        <v>701.60448339927791</v>
      </c>
      <c r="U49" s="45">
        <v>779.37259030356745</v>
      </c>
      <c r="V49" s="45">
        <v>820.90226150268336</v>
      </c>
      <c r="W49" s="45">
        <v>864.29984535631638</v>
      </c>
      <c r="X49" s="45">
        <v>854.68344301182651</v>
      </c>
      <c r="Y49" s="45">
        <v>902.71983084155215</v>
      </c>
    </row>
    <row r="50" spans="1:25" x14ac:dyDescent="0.25">
      <c r="A50" s="77" t="s">
        <v>18</v>
      </c>
      <c r="B50" s="44"/>
      <c r="C50" s="44"/>
      <c r="D50" s="45">
        <v>145.68636593562317</v>
      </c>
      <c r="E50" s="45">
        <v>138.79031082584368</v>
      </c>
      <c r="F50" s="45">
        <v>139.31367299091903</v>
      </c>
      <c r="G50" s="45">
        <v>124.01337452305297</v>
      </c>
      <c r="H50" s="45">
        <v>117.32835632363258</v>
      </c>
      <c r="I50" s="45">
        <v>110.32379184944656</v>
      </c>
      <c r="J50" s="45">
        <v>149.59802179902312</v>
      </c>
      <c r="K50" s="45">
        <v>163.49159390875144</v>
      </c>
      <c r="L50" s="45">
        <v>185.0060649600334</v>
      </c>
      <c r="M50" s="45">
        <v>135.66785241535325</v>
      </c>
      <c r="N50" s="45">
        <v>116.28577726852242</v>
      </c>
      <c r="O50" s="45">
        <v>124.8057049140661</v>
      </c>
      <c r="P50" s="45">
        <v>112.76308446463277</v>
      </c>
      <c r="Q50" s="45">
        <v>121.90141971254197</v>
      </c>
      <c r="R50" s="45">
        <v>136.68449654978315</v>
      </c>
      <c r="S50" s="45">
        <v>114.02623658573843</v>
      </c>
      <c r="T50" s="45">
        <v>121.07120104150613</v>
      </c>
      <c r="U50" s="45">
        <v>120.22491535906632</v>
      </c>
      <c r="V50" s="45">
        <v>119.17790982183533</v>
      </c>
      <c r="W50" s="45">
        <v>101.17554219710912</v>
      </c>
      <c r="X50" s="45">
        <v>97.946307954064508</v>
      </c>
      <c r="Y50" s="45">
        <v>103.42061307566648</v>
      </c>
    </row>
    <row r="51" spans="1:25" x14ac:dyDescent="0.25">
      <c r="A51" s="77" t="s">
        <v>9</v>
      </c>
      <c r="B51" s="44"/>
      <c r="C51" s="44"/>
      <c r="D51" s="45">
        <v>864.49620417171673</v>
      </c>
      <c r="E51" s="45">
        <v>649.26975060035375</v>
      </c>
      <c r="F51" s="45">
        <v>674.99400669757222</v>
      </c>
      <c r="G51" s="45">
        <v>676.17904659321414</v>
      </c>
      <c r="H51" s="45">
        <v>637.86045117558797</v>
      </c>
      <c r="I51" s="45">
        <v>713.1581161000048</v>
      </c>
      <c r="J51" s="45">
        <v>586.38310472689795</v>
      </c>
      <c r="K51" s="45">
        <v>684.93443927800809</v>
      </c>
      <c r="L51" s="45">
        <v>472.24150489377371</v>
      </c>
      <c r="M51" s="45">
        <v>408.13501399599915</v>
      </c>
      <c r="N51" s="45">
        <v>336.69217400547393</v>
      </c>
      <c r="O51" s="45">
        <v>408.14364254360868</v>
      </c>
      <c r="P51" s="45">
        <v>368.86346842241204</v>
      </c>
      <c r="Q51" s="45">
        <v>363.11605118852339</v>
      </c>
      <c r="R51" s="45">
        <v>387.80536532519386</v>
      </c>
      <c r="S51" s="45">
        <v>384.37797448783027</v>
      </c>
      <c r="T51" s="45">
        <v>436.26665673627201</v>
      </c>
      <c r="U51" s="45">
        <v>444.02607550071406</v>
      </c>
      <c r="V51" s="45">
        <v>443.10834766405901</v>
      </c>
      <c r="W51" s="45">
        <v>448.22757663135138</v>
      </c>
      <c r="X51" s="45">
        <v>460.12245952307774</v>
      </c>
      <c r="Y51" s="45">
        <v>509.95181079082994</v>
      </c>
    </row>
    <row r="52" spans="1:25" x14ac:dyDescent="0.25">
      <c r="A52" s="72" t="s">
        <v>3</v>
      </c>
      <c r="B52" s="65"/>
      <c r="C52" s="65"/>
      <c r="D52" s="66">
        <v>2001.8712879342615</v>
      </c>
      <c r="E52" s="66">
        <v>1827.7563873562763</v>
      </c>
      <c r="F52" s="66">
        <v>1767.2936501793224</v>
      </c>
      <c r="G52" s="66">
        <v>1688.8014220416453</v>
      </c>
      <c r="H52" s="66">
        <v>1575.7869009069368</v>
      </c>
      <c r="I52" s="66">
        <v>1414.4836348236433</v>
      </c>
      <c r="J52" s="66">
        <v>1388.7438902861479</v>
      </c>
      <c r="K52" s="66">
        <v>1306.1031455826883</v>
      </c>
      <c r="L52" s="66">
        <v>1303.3797041380985</v>
      </c>
      <c r="M52" s="66">
        <v>1119.1881151265011</v>
      </c>
      <c r="N52" s="66">
        <v>964.30349971921714</v>
      </c>
      <c r="O52" s="66">
        <v>975.37548948207268</v>
      </c>
      <c r="P52" s="66">
        <v>851.46904404043732</v>
      </c>
      <c r="Q52" s="66">
        <v>818.62695093338777</v>
      </c>
      <c r="R52" s="66">
        <v>872.36781239315371</v>
      </c>
      <c r="S52" s="66">
        <v>810.19999999999993</v>
      </c>
      <c r="T52" s="66">
        <v>750.60942241679516</v>
      </c>
      <c r="U52" s="66">
        <v>822.23793252425276</v>
      </c>
      <c r="V52" s="66">
        <v>757.297666699209</v>
      </c>
      <c r="W52" s="66">
        <v>782.37887162272966</v>
      </c>
      <c r="X52" s="66">
        <v>752.82671820583926</v>
      </c>
      <c r="Y52" s="66">
        <v>795.13297363462164</v>
      </c>
    </row>
    <row r="53" spans="1:25" x14ac:dyDescent="0.25">
      <c r="A53" s="73" t="s">
        <v>21</v>
      </c>
      <c r="B53" s="65"/>
      <c r="C53" s="65"/>
      <c r="D53" s="66">
        <v>757.46481165080149</v>
      </c>
      <c r="E53" s="66">
        <v>746.23903465248293</v>
      </c>
      <c r="F53" s="66">
        <v>740.51139149056951</v>
      </c>
      <c r="G53" s="66">
        <v>706.83087861858814</v>
      </c>
      <c r="H53" s="66">
        <v>632.37428816019656</v>
      </c>
      <c r="I53" s="66">
        <v>550.30552362514368</v>
      </c>
      <c r="J53" s="66">
        <v>539.19707682816875</v>
      </c>
      <c r="K53" s="66">
        <v>519.4190995812811</v>
      </c>
      <c r="L53" s="66">
        <v>470.24846226768665</v>
      </c>
      <c r="M53" s="66">
        <v>447.65335055778769</v>
      </c>
      <c r="N53" s="66">
        <v>408.03568590470337</v>
      </c>
      <c r="O53" s="66">
        <v>428.52770125497398</v>
      </c>
      <c r="P53" s="66">
        <v>390.57835244703409</v>
      </c>
      <c r="Q53" s="66">
        <v>372.02897072324799</v>
      </c>
      <c r="R53" s="66">
        <v>397.5181512841657</v>
      </c>
      <c r="S53" s="66">
        <v>409.6</v>
      </c>
      <c r="T53" s="66">
        <v>359.78309536838964</v>
      </c>
      <c r="U53" s="66">
        <v>399.82718667766392</v>
      </c>
      <c r="V53" s="66">
        <v>371.18031826613293</v>
      </c>
      <c r="W53" s="66">
        <v>415.06303595026571</v>
      </c>
      <c r="X53" s="66">
        <v>447.51314155532526</v>
      </c>
      <c r="Y53" s="66">
        <v>497.25995137195389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1.0129556694849724</v>
      </c>
      <c r="M54" s="45">
        <v>0.96200438944454436</v>
      </c>
      <c r="N54" s="45">
        <v>1.1785080556659879</v>
      </c>
      <c r="O54" s="45">
        <v>0.88204296757267442</v>
      </c>
      <c r="P54" s="45">
        <v>1.4990283620491447</v>
      </c>
      <c r="Q54" s="45">
        <v>0.8395069239086328</v>
      </c>
      <c r="R54" s="45">
        <v>0.82700029190441848</v>
      </c>
      <c r="S54" s="45">
        <v>0.92428832992357113</v>
      </c>
      <c r="T54" s="45">
        <v>1.0788460479796829</v>
      </c>
      <c r="U54" s="45">
        <v>1.198922311178523</v>
      </c>
      <c r="V54" s="45">
        <v>1.0768872166592491</v>
      </c>
      <c r="W54" s="45">
        <v>1.2042019889700664</v>
      </c>
      <c r="X54" s="45">
        <v>1.2983478856829302</v>
      </c>
      <c r="Y54" s="45">
        <v>1.4426758603216494</v>
      </c>
    </row>
    <row r="55" spans="1:25" x14ac:dyDescent="0.25">
      <c r="A55" s="74" t="s">
        <v>17</v>
      </c>
      <c r="B55" s="44"/>
      <c r="C55" s="44"/>
      <c r="D55" s="45">
        <v>757.46481165080149</v>
      </c>
      <c r="E55" s="45">
        <v>746.23903465248293</v>
      </c>
      <c r="F55" s="45">
        <v>740.51139149056951</v>
      </c>
      <c r="G55" s="45">
        <v>706.83087861858814</v>
      </c>
      <c r="H55" s="45">
        <v>632.37428816019656</v>
      </c>
      <c r="I55" s="45">
        <v>550.30552362514368</v>
      </c>
      <c r="J55" s="45">
        <v>539.19707682816875</v>
      </c>
      <c r="K55" s="45">
        <v>519.4190995812811</v>
      </c>
      <c r="L55" s="45">
        <v>469.23550659820165</v>
      </c>
      <c r="M55" s="45">
        <v>446.69134616834316</v>
      </c>
      <c r="N55" s="45">
        <v>406.85717784903738</v>
      </c>
      <c r="O55" s="45">
        <v>427.64565828740132</v>
      </c>
      <c r="P55" s="45">
        <v>389.07932408498493</v>
      </c>
      <c r="Q55" s="45">
        <v>371.18946379933936</v>
      </c>
      <c r="R55" s="45">
        <v>396.69115099226127</v>
      </c>
      <c r="S55" s="45">
        <v>408.67571167007645</v>
      </c>
      <c r="T55" s="45">
        <v>358.70424932040993</v>
      </c>
      <c r="U55" s="45">
        <v>398.62826436648538</v>
      </c>
      <c r="V55" s="45">
        <v>370.10343104947367</v>
      </c>
      <c r="W55" s="45">
        <v>413.85883396129566</v>
      </c>
      <c r="X55" s="45">
        <v>446.21479366964235</v>
      </c>
      <c r="Y55" s="45">
        <v>495.81727551163226</v>
      </c>
    </row>
    <row r="56" spans="1:25" x14ac:dyDescent="0.25">
      <c r="A56" s="73" t="s">
        <v>16</v>
      </c>
      <c r="B56" s="65"/>
      <c r="C56" s="65"/>
      <c r="D56" s="66">
        <v>1244.4064762834601</v>
      </c>
      <c r="E56" s="66">
        <v>1081.5173527037932</v>
      </c>
      <c r="F56" s="66">
        <v>1026.7822586887528</v>
      </c>
      <c r="G56" s="66">
        <v>981.97054342305717</v>
      </c>
      <c r="H56" s="66">
        <v>943.41261274674025</v>
      </c>
      <c r="I56" s="66">
        <v>864.17811119849966</v>
      </c>
      <c r="J56" s="66">
        <v>849.54681345797917</v>
      </c>
      <c r="K56" s="66">
        <v>786.68404600140718</v>
      </c>
      <c r="L56" s="66">
        <v>833.13124187041194</v>
      </c>
      <c r="M56" s="66">
        <v>671.5347645687134</v>
      </c>
      <c r="N56" s="66">
        <v>556.26781381451383</v>
      </c>
      <c r="O56" s="66">
        <v>546.8477882270987</v>
      </c>
      <c r="P56" s="66">
        <v>460.89069159340323</v>
      </c>
      <c r="Q56" s="66">
        <v>446.59798021013978</v>
      </c>
      <c r="R56" s="66">
        <v>474.84966110898802</v>
      </c>
      <c r="S56" s="66">
        <v>400.59999999999991</v>
      </c>
      <c r="T56" s="66">
        <v>390.82632704840552</v>
      </c>
      <c r="U56" s="66">
        <v>422.41074584658884</v>
      </c>
      <c r="V56" s="66">
        <v>386.11734843307607</v>
      </c>
      <c r="W56" s="66">
        <v>367.31583567246395</v>
      </c>
      <c r="X56" s="66">
        <v>305.31357665051399</v>
      </c>
      <c r="Y56" s="66">
        <v>297.87302226266775</v>
      </c>
    </row>
    <row r="57" spans="1:25" x14ac:dyDescent="0.25">
      <c r="A57" s="72" t="s">
        <v>2</v>
      </c>
      <c r="B57" s="65"/>
      <c r="C57" s="65"/>
      <c r="D57" s="66">
        <v>5540.910693461341</v>
      </c>
      <c r="E57" s="66">
        <v>5724.2091057039661</v>
      </c>
      <c r="F57" s="66">
        <v>6077.2247593983029</v>
      </c>
      <c r="G57" s="66">
        <v>5789.23311325546</v>
      </c>
      <c r="H57" s="66">
        <v>5712.0879393555915</v>
      </c>
      <c r="I57" s="66">
        <v>5528.5861213624548</v>
      </c>
      <c r="J57" s="66">
        <v>5032.3874151758164</v>
      </c>
      <c r="K57" s="66">
        <v>4812.8453277657936</v>
      </c>
      <c r="L57" s="66">
        <v>4538.790537710267</v>
      </c>
      <c r="M57" s="66">
        <v>4541.5631192319051</v>
      </c>
      <c r="N57" s="66">
        <v>4184.8292522701022</v>
      </c>
      <c r="O57" s="66">
        <v>3923.983829939943</v>
      </c>
      <c r="P57" s="66">
        <v>3666.3303753422965</v>
      </c>
      <c r="Q57" s="66">
        <v>3801.9993879424665</v>
      </c>
      <c r="R57" s="66">
        <v>3788.1378089740756</v>
      </c>
      <c r="S57" s="66">
        <v>4031.4</v>
      </c>
      <c r="T57" s="66">
        <v>4240.7840405949955</v>
      </c>
      <c r="U57" s="66">
        <v>3859.1375044185229</v>
      </c>
      <c r="V57" s="66">
        <v>3972.8595138143119</v>
      </c>
      <c r="W57" s="66">
        <v>4116.5803358702042</v>
      </c>
      <c r="X57" s="66">
        <v>4012.9594875960524</v>
      </c>
      <c r="Y57" s="66">
        <v>4243.9699722549785</v>
      </c>
    </row>
    <row r="58" spans="1:25" x14ac:dyDescent="0.25">
      <c r="A58" s="72" t="s">
        <v>275</v>
      </c>
      <c r="B58" s="65"/>
      <c r="C58" s="65"/>
      <c r="D58" s="66">
        <v>927.64353320858083</v>
      </c>
      <c r="E58" s="66">
        <v>912.55507482237135</v>
      </c>
      <c r="F58" s="66">
        <v>866.42412983461054</v>
      </c>
      <c r="G58" s="66">
        <v>867.44540375825284</v>
      </c>
      <c r="H58" s="66">
        <v>715.74794357390113</v>
      </c>
      <c r="I58" s="66">
        <v>777.42150160324286</v>
      </c>
      <c r="J58" s="66">
        <v>792.95781331561716</v>
      </c>
      <c r="K58" s="66">
        <v>687.25271936603872</v>
      </c>
      <c r="L58" s="66">
        <v>760.48854692563771</v>
      </c>
      <c r="M58" s="66">
        <v>499.98357838039038</v>
      </c>
      <c r="N58" s="66">
        <v>591.55108657646292</v>
      </c>
      <c r="O58" s="66">
        <v>665.6956186736752</v>
      </c>
      <c r="P58" s="66">
        <v>528.21758734995569</v>
      </c>
      <c r="Q58" s="66">
        <v>461.0833418341324</v>
      </c>
      <c r="R58" s="66">
        <v>455.84360732889525</v>
      </c>
      <c r="S58" s="66">
        <v>547.70000000000005</v>
      </c>
      <c r="T58" s="66">
        <v>607.83045619620918</v>
      </c>
      <c r="U58" s="66">
        <v>610.7379914378854</v>
      </c>
      <c r="V58" s="66">
        <v>553.54876501025092</v>
      </c>
      <c r="W58" s="66">
        <v>568.81866674383389</v>
      </c>
      <c r="X58" s="66">
        <v>495.78443180863286</v>
      </c>
      <c r="Y58" s="66">
        <v>483.57833533208992</v>
      </c>
    </row>
    <row r="59" spans="1:25" x14ac:dyDescent="0.25">
      <c r="A59" s="72" t="s">
        <v>276</v>
      </c>
      <c r="B59" s="65"/>
      <c r="C59" s="65"/>
      <c r="D59" s="66">
        <v>11744.908198410762</v>
      </c>
      <c r="E59" s="66">
        <v>11919.580835946494</v>
      </c>
      <c r="F59" s="66">
        <v>12347.575921768974</v>
      </c>
      <c r="G59" s="66">
        <v>11078.974098527171</v>
      </c>
      <c r="H59" s="66">
        <v>11072.815473753428</v>
      </c>
      <c r="I59" s="66">
        <v>10354.044406800171</v>
      </c>
      <c r="J59" s="66">
        <v>11796.255872443411</v>
      </c>
      <c r="K59" s="66">
        <v>12497.894870404762</v>
      </c>
      <c r="L59" s="66">
        <v>12135.849555766221</v>
      </c>
      <c r="M59" s="66">
        <v>10344.087669553222</v>
      </c>
      <c r="N59" s="66">
        <v>9969.1668697485657</v>
      </c>
      <c r="O59" s="66">
        <v>10469.269497482665</v>
      </c>
      <c r="P59" s="66">
        <v>10324.795651547282</v>
      </c>
      <c r="Q59" s="66">
        <v>11139.855146383759</v>
      </c>
      <c r="R59" s="66">
        <v>10908.268136199997</v>
      </c>
      <c r="S59" s="66">
        <v>10441.200000000001</v>
      </c>
      <c r="T59" s="66">
        <v>11549.077160340283</v>
      </c>
      <c r="U59" s="66">
        <v>12417.128156788815</v>
      </c>
      <c r="V59" s="66">
        <v>12189.300009762763</v>
      </c>
      <c r="W59" s="66">
        <v>13100.384871371934</v>
      </c>
      <c r="X59" s="66">
        <v>10900.161526754619</v>
      </c>
      <c r="Y59" s="66">
        <v>10698.520173097799</v>
      </c>
    </row>
    <row r="60" spans="1:25" x14ac:dyDescent="0.25">
      <c r="A60" s="72" t="s">
        <v>1</v>
      </c>
      <c r="B60" s="65"/>
      <c r="C60" s="65"/>
      <c r="D60" s="66">
        <v>927.37233205868802</v>
      </c>
      <c r="E60" s="66">
        <v>813.85040818216703</v>
      </c>
      <c r="F60" s="66">
        <v>755.47643006424653</v>
      </c>
      <c r="G60" s="66">
        <v>697.18131030980192</v>
      </c>
      <c r="H60" s="66">
        <v>632.37428816019656</v>
      </c>
      <c r="I60" s="66">
        <v>521.50765321556059</v>
      </c>
      <c r="J60" s="66">
        <v>542.63749822047168</v>
      </c>
      <c r="K60" s="66">
        <v>510.76788206660285</v>
      </c>
      <c r="L60" s="66">
        <v>464.84710862232413</v>
      </c>
      <c r="M60" s="66">
        <v>384.15642140065466</v>
      </c>
      <c r="N60" s="66">
        <v>340.64781360260224</v>
      </c>
      <c r="O60" s="66">
        <v>349.78837486674479</v>
      </c>
      <c r="P60" s="66">
        <v>308.221293417612</v>
      </c>
      <c r="Q60" s="66">
        <v>364.88829950015298</v>
      </c>
      <c r="R60" s="66">
        <v>372.47842963737656</v>
      </c>
      <c r="S60" s="66">
        <v>399.5</v>
      </c>
      <c r="T60" s="66">
        <v>385.65245510173622</v>
      </c>
      <c r="U60" s="66">
        <v>409.15517850830685</v>
      </c>
      <c r="V60" s="66">
        <v>470.76051937908812</v>
      </c>
      <c r="W60" s="66">
        <v>454.41830405802972</v>
      </c>
      <c r="X60" s="66">
        <v>420.34303427541715</v>
      </c>
      <c r="Y60" s="66">
        <v>434.13869155674047</v>
      </c>
    </row>
    <row r="61" spans="1:25" x14ac:dyDescent="0.25">
      <c r="A61" s="72" t="s">
        <v>0</v>
      </c>
      <c r="B61" s="65"/>
      <c r="C61" s="65"/>
      <c r="D61" s="66">
        <v>977.68014536381645</v>
      </c>
      <c r="E61" s="66">
        <v>917.18599081755519</v>
      </c>
      <c r="F61" s="66">
        <v>864.74701344273296</v>
      </c>
      <c r="G61" s="66">
        <v>890.17267648552559</v>
      </c>
      <c r="H61" s="66">
        <v>908.79765759730026</v>
      </c>
      <c r="I61" s="66">
        <v>916.44987597555814</v>
      </c>
      <c r="J61" s="66">
        <v>917.16888909979593</v>
      </c>
      <c r="K61" s="66">
        <v>918.64395049196594</v>
      </c>
      <c r="L61" s="66">
        <v>784.73952247624504</v>
      </c>
      <c r="M61" s="66">
        <v>566.43639906725195</v>
      </c>
      <c r="N61" s="66">
        <v>554.57252142955531</v>
      </c>
      <c r="O61" s="66">
        <v>563.94667679934128</v>
      </c>
      <c r="P61" s="66">
        <v>552.40997343984839</v>
      </c>
      <c r="Q61" s="66">
        <v>529.63378557584417</v>
      </c>
      <c r="R61" s="66">
        <v>558.31539993161857</v>
      </c>
      <c r="S61" s="66">
        <v>579.1</v>
      </c>
      <c r="T61" s="66">
        <v>554.10178598079699</v>
      </c>
      <c r="U61" s="66">
        <v>577.45178901064378</v>
      </c>
      <c r="V61" s="66">
        <v>566.43561456604516</v>
      </c>
      <c r="W61" s="66">
        <v>593.02987334934539</v>
      </c>
      <c r="X61" s="66">
        <v>573.84013519695998</v>
      </c>
      <c r="Y61" s="66">
        <v>604.05977588470716</v>
      </c>
    </row>
    <row r="62" spans="1:25" x14ac:dyDescent="0.25">
      <c r="A62" s="78" t="s">
        <v>277</v>
      </c>
      <c r="B62" s="79"/>
      <c r="C62" s="79"/>
      <c r="D62" s="80">
        <v>4128.3595042442985</v>
      </c>
      <c r="E62" s="80">
        <v>4051.5222482435602</v>
      </c>
      <c r="F62" s="80">
        <v>3948.8350491524116</v>
      </c>
      <c r="G62" s="80">
        <v>3798.2478415439305</v>
      </c>
      <c r="H62" s="80">
        <v>3836.9251001848611</v>
      </c>
      <c r="I62" s="80">
        <v>3846.5726904228932</v>
      </c>
      <c r="J62" s="80">
        <v>4036.4447397143258</v>
      </c>
      <c r="K62" s="80">
        <v>3893.6246294395164</v>
      </c>
      <c r="L62" s="80">
        <v>3479.2433695628206</v>
      </c>
      <c r="M62" s="80">
        <v>3193.6765816756624</v>
      </c>
      <c r="N62" s="80">
        <v>3227.0950105425991</v>
      </c>
      <c r="O62" s="80">
        <v>3180.9210179116139</v>
      </c>
      <c r="P62" s="80">
        <v>3298.7090530997139</v>
      </c>
      <c r="Q62" s="80">
        <v>3345.0984392532901</v>
      </c>
      <c r="R62" s="80">
        <v>3736.8516321071579</v>
      </c>
      <c r="S62" s="80">
        <v>3739.7</v>
      </c>
      <c r="T62" s="80">
        <v>3945.7738420974083</v>
      </c>
      <c r="U62" s="80">
        <v>3702.0344841129577</v>
      </c>
      <c r="V62" s="80">
        <v>3589.1828565849846</v>
      </c>
      <c r="W62" s="80">
        <v>3641.5198078536905</v>
      </c>
      <c r="X62" s="80">
        <v>3644.7158342903567</v>
      </c>
      <c r="Y62" s="80">
        <v>3912.3176318901078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2.4978302842115763E-2</v>
      </c>
      <c r="E66" s="83">
        <f t="shared" ref="E66:S66" si="49">E24/E$23</f>
        <v>2.7166839017329913E-2</v>
      </c>
      <c r="F66" s="83">
        <f t="shared" si="49"/>
        <v>2.0731632527903839E-2</v>
      </c>
      <c r="G66" s="83">
        <f t="shared" si="49"/>
        <v>1.8726704358581064E-2</v>
      </c>
      <c r="H66" s="83">
        <f t="shared" si="49"/>
        <v>1.8922941041245721E-2</v>
      </c>
      <c r="I66" s="83">
        <f t="shared" si="49"/>
        <v>1.3482518565211862E-2</v>
      </c>
      <c r="J66" s="83">
        <f t="shared" si="49"/>
        <v>1.3720444187567906E-2</v>
      </c>
      <c r="K66" s="83">
        <f t="shared" si="49"/>
        <v>1.3844845195749311E-2</v>
      </c>
      <c r="L66" s="83">
        <f t="shared" si="49"/>
        <v>9.9987263383578637E-3</v>
      </c>
      <c r="M66" s="83">
        <f t="shared" si="49"/>
        <v>9.6674098121276118E-3</v>
      </c>
      <c r="N66" s="83">
        <f t="shared" si="49"/>
        <v>1.3927741204974071E-2</v>
      </c>
      <c r="O66" s="83">
        <f t="shared" si="49"/>
        <v>1.5205142026077579E-2</v>
      </c>
      <c r="P66" s="83">
        <f t="shared" si="49"/>
        <v>1.9166058523677542E-2</v>
      </c>
      <c r="Q66" s="83">
        <f t="shared" si="49"/>
        <v>1.5051103257662362E-2</v>
      </c>
      <c r="R66" s="83">
        <f t="shared" si="49"/>
        <v>1.5933255531862391E-2</v>
      </c>
      <c r="S66" s="83">
        <f t="shared" si="49"/>
        <v>1.103487864123771E-2</v>
      </c>
      <c r="T66" s="83">
        <f t="shared" ref="T66:Y66" si="50">T24/T$23</f>
        <v>1.1075780628638369E-2</v>
      </c>
      <c r="U66" s="83">
        <f t="shared" si="50"/>
        <v>1.5005738279826767E-2</v>
      </c>
      <c r="V66" s="83">
        <f t="shared" si="50"/>
        <v>1.1831134532457472E-2</v>
      </c>
      <c r="W66" s="83">
        <f t="shared" si="50"/>
        <v>1.4547469586528217E-2</v>
      </c>
      <c r="X66" s="83">
        <f t="shared" si="50"/>
        <v>1.5909334615171293E-2</v>
      </c>
      <c r="Y66" s="83">
        <f t="shared" si="50"/>
        <v>1.2505700694932292E-2</v>
      </c>
    </row>
    <row r="67" spans="1:25" x14ac:dyDescent="0.25">
      <c r="A67" s="64" t="s">
        <v>56</v>
      </c>
      <c r="B67" s="65"/>
      <c r="C67" s="65"/>
      <c r="D67" s="83">
        <f t="shared" si="46"/>
        <v>3.0029779389949596E-2</v>
      </c>
      <c r="E67" s="83">
        <f t="shared" ref="E67:S67" si="51">E25/E$23</f>
        <v>2.5218508883893275E-2</v>
      </c>
      <c r="F67" s="83">
        <f t="shared" si="51"/>
        <v>2.4441923218447195E-2</v>
      </c>
      <c r="G67" s="83">
        <f t="shared" si="51"/>
        <v>2.3683012723576532E-2</v>
      </c>
      <c r="H67" s="83">
        <f t="shared" si="51"/>
        <v>2.9118421636358503E-2</v>
      </c>
      <c r="I67" s="83">
        <f t="shared" si="51"/>
        <v>3.8985009593638889E-2</v>
      </c>
      <c r="J67" s="83">
        <f t="shared" si="51"/>
        <v>4.1365998422193295E-2</v>
      </c>
      <c r="K67" s="83">
        <f t="shared" si="51"/>
        <v>3.9655992799003496E-2</v>
      </c>
      <c r="L67" s="83">
        <f t="shared" si="51"/>
        <v>4.2194866371666043E-2</v>
      </c>
      <c r="M67" s="83">
        <f t="shared" si="51"/>
        <v>2.788851414032311E-2</v>
      </c>
      <c r="N67" s="83">
        <f t="shared" si="51"/>
        <v>3.0961179030519412E-2</v>
      </c>
      <c r="O67" s="83">
        <f t="shared" si="51"/>
        <v>3.5417111756975782E-2</v>
      </c>
      <c r="P67" s="83">
        <f t="shared" si="51"/>
        <v>3.4622748126889265E-2</v>
      </c>
      <c r="Q67" s="83">
        <f t="shared" si="51"/>
        <v>2.83720354682831E-2</v>
      </c>
      <c r="R67" s="83">
        <f t="shared" si="51"/>
        <v>2.2958372743638083E-2</v>
      </c>
      <c r="S67" s="83">
        <f t="shared" si="51"/>
        <v>1.3255445369035735E-2</v>
      </c>
      <c r="T67" s="83">
        <f t="shared" ref="T67:Y67" si="52">T25/T$23</f>
        <v>1.1147825506491772E-2</v>
      </c>
      <c r="U67" s="83">
        <f t="shared" si="52"/>
        <v>1.1235091590123761E-2</v>
      </c>
      <c r="V67" s="83">
        <f t="shared" si="52"/>
        <v>1.2601934700798401E-2</v>
      </c>
      <c r="W67" s="83">
        <f t="shared" si="52"/>
        <v>9.4269978320762893E-3</v>
      </c>
      <c r="X67" s="83">
        <f t="shared" si="52"/>
        <v>4.9965797112166985E-3</v>
      </c>
      <c r="Y67" s="83">
        <f t="shared" si="52"/>
        <v>4.0055157344822106E-3</v>
      </c>
    </row>
    <row r="68" spans="1:25" x14ac:dyDescent="0.25">
      <c r="A68" s="64" t="s">
        <v>146</v>
      </c>
      <c r="B68" s="65"/>
      <c r="C68" s="65"/>
      <c r="D68" s="83">
        <f t="shared" si="46"/>
        <v>0.71086083759180119</v>
      </c>
      <c r="E68" s="83">
        <f t="shared" ref="E68:S68" si="53">E26/E$23</f>
        <v>0.71762084158019168</v>
      </c>
      <c r="F68" s="83">
        <f t="shared" si="53"/>
        <v>0.72612535263093347</v>
      </c>
      <c r="G68" s="83">
        <f t="shared" si="53"/>
        <v>0.73411567204787576</v>
      </c>
      <c r="H68" s="83">
        <f t="shared" si="53"/>
        <v>0.73323631033761583</v>
      </c>
      <c r="I68" s="83">
        <f t="shared" si="53"/>
        <v>0.73471127846988382</v>
      </c>
      <c r="J68" s="83">
        <f t="shared" si="53"/>
        <v>0.72739969414984562</v>
      </c>
      <c r="K68" s="83">
        <f t="shared" si="53"/>
        <v>0.73455215519723438</v>
      </c>
      <c r="L68" s="83">
        <f t="shared" si="53"/>
        <v>0.73759482507415219</v>
      </c>
      <c r="M68" s="83">
        <f t="shared" si="53"/>
        <v>0.76983952671362221</v>
      </c>
      <c r="N68" s="83">
        <f t="shared" si="53"/>
        <v>0.76853577150612695</v>
      </c>
      <c r="O68" s="83">
        <f t="shared" si="53"/>
        <v>0.76144780066561379</v>
      </c>
      <c r="P68" s="83">
        <f t="shared" si="53"/>
        <v>0.75670489019758413</v>
      </c>
      <c r="Q68" s="83">
        <f t="shared" si="53"/>
        <v>0.76461453995899931</v>
      </c>
      <c r="R68" s="83">
        <f t="shared" si="53"/>
        <v>0.76674824111864104</v>
      </c>
      <c r="S68" s="83">
        <f t="shared" si="53"/>
        <v>0.77082155903959748</v>
      </c>
      <c r="T68" s="83">
        <f t="shared" ref="T68:Y68" si="54">T26/T$23</f>
        <v>0.76272446863849841</v>
      </c>
      <c r="U68" s="83">
        <f t="shared" si="54"/>
        <v>0.75764720384663709</v>
      </c>
      <c r="V68" s="83">
        <f t="shared" si="54"/>
        <v>0.75951530316615146</v>
      </c>
      <c r="W68" s="83">
        <f t="shared" si="54"/>
        <v>0.7585442954581979</v>
      </c>
      <c r="X68" s="83">
        <f t="shared" si="54"/>
        <v>0.76896485422174576</v>
      </c>
      <c r="Y68" s="83">
        <f t="shared" si="54"/>
        <v>0.77533771721978006</v>
      </c>
    </row>
    <row r="69" spans="1:25" x14ac:dyDescent="0.25">
      <c r="A69" s="68" t="s">
        <v>148</v>
      </c>
      <c r="B69" s="69"/>
      <c r="C69" s="69"/>
      <c r="D69" s="84">
        <f t="shared" si="46"/>
        <v>0.31118582221958502</v>
      </c>
      <c r="E69" s="84">
        <f t="shared" ref="E69:S69" si="55">E27/E$23</f>
        <v>0.31677021376740044</v>
      </c>
      <c r="F69" s="84">
        <f t="shared" si="55"/>
        <v>0.31955353857475777</v>
      </c>
      <c r="G69" s="84">
        <f t="shared" si="55"/>
        <v>0.32129300543011291</v>
      </c>
      <c r="H69" s="84">
        <f t="shared" si="55"/>
        <v>0.32239404818079009</v>
      </c>
      <c r="I69" s="84">
        <f t="shared" si="55"/>
        <v>0.31853811743498722</v>
      </c>
      <c r="J69" s="84">
        <f t="shared" si="55"/>
        <v>0.30635346524883345</v>
      </c>
      <c r="K69" s="84">
        <f t="shared" si="55"/>
        <v>0.30780976761430612</v>
      </c>
      <c r="L69" s="84">
        <f t="shared" si="55"/>
        <v>0.30630452863905389</v>
      </c>
      <c r="M69" s="84">
        <f t="shared" si="55"/>
        <v>0.32193843626549851</v>
      </c>
      <c r="N69" s="84">
        <f t="shared" si="55"/>
        <v>0.32723138845654931</v>
      </c>
      <c r="O69" s="84">
        <f t="shared" si="55"/>
        <v>0.31428900007900601</v>
      </c>
      <c r="P69" s="84">
        <f t="shared" si="55"/>
        <v>0.31142047036599591</v>
      </c>
      <c r="Q69" s="84">
        <f t="shared" si="55"/>
        <v>0.31692507550791665</v>
      </c>
      <c r="R69" s="84">
        <f t="shared" si="55"/>
        <v>0.31778084531254802</v>
      </c>
      <c r="S69" s="84">
        <f t="shared" si="55"/>
        <v>0.31250182022315404</v>
      </c>
      <c r="T69" s="84">
        <f t="shared" ref="T69:Y69" si="56">T27/T$23</f>
        <v>0.30072305379106662</v>
      </c>
      <c r="U69" s="84">
        <f t="shared" si="56"/>
        <v>0.29732715528776055</v>
      </c>
      <c r="V69" s="84">
        <f t="shared" si="56"/>
        <v>0.29296581947265377</v>
      </c>
      <c r="W69" s="84">
        <f t="shared" si="56"/>
        <v>0.29564563188054116</v>
      </c>
      <c r="X69" s="84">
        <f t="shared" si="56"/>
        <v>0.290823642515114</v>
      </c>
      <c r="Y69" s="84">
        <f t="shared" si="56"/>
        <v>0.28413195367846167</v>
      </c>
    </row>
    <row r="70" spans="1:25" x14ac:dyDescent="0.25">
      <c r="A70" s="68" t="s">
        <v>150</v>
      </c>
      <c r="B70" s="71"/>
      <c r="C70" s="71"/>
      <c r="D70" s="84">
        <f t="shared" si="46"/>
        <v>0.2675326402849223</v>
      </c>
      <c r="E70" s="84">
        <f t="shared" ref="E70:S70" si="57">E28/E$23</f>
        <v>0.27212266403860824</v>
      </c>
      <c r="F70" s="84">
        <f t="shared" si="57"/>
        <v>0.27469152459217472</v>
      </c>
      <c r="G70" s="84">
        <f t="shared" si="57"/>
        <v>0.28122525378307084</v>
      </c>
      <c r="H70" s="84">
        <f t="shared" si="57"/>
        <v>0.28136034997415987</v>
      </c>
      <c r="I70" s="84">
        <f t="shared" si="57"/>
        <v>0.28711577061526461</v>
      </c>
      <c r="J70" s="84">
        <f t="shared" si="57"/>
        <v>0.28435188535370381</v>
      </c>
      <c r="K70" s="84">
        <f t="shared" si="57"/>
        <v>0.28765697879403512</v>
      </c>
      <c r="L70" s="84">
        <f t="shared" si="57"/>
        <v>0.29385400363958464</v>
      </c>
      <c r="M70" s="84">
        <f t="shared" si="57"/>
        <v>0.31272784528935033</v>
      </c>
      <c r="N70" s="84">
        <f t="shared" si="57"/>
        <v>0.3076679301678133</v>
      </c>
      <c r="O70" s="84">
        <f t="shared" si="57"/>
        <v>0.30733180027479118</v>
      </c>
      <c r="P70" s="84">
        <f t="shared" si="57"/>
        <v>0.30554362523590184</v>
      </c>
      <c r="Q70" s="84">
        <f t="shared" si="57"/>
        <v>0.3077086647484239</v>
      </c>
      <c r="R70" s="84">
        <f t="shared" si="57"/>
        <v>0.308588649225086</v>
      </c>
      <c r="S70" s="84">
        <f t="shared" si="57"/>
        <v>0.31479962772479492</v>
      </c>
      <c r="T70" s="84">
        <f t="shared" ref="T70:Y70" si="58">T28/T$23</f>
        <v>0.32206339786437821</v>
      </c>
      <c r="U70" s="84">
        <f t="shared" si="58"/>
        <v>0.31962725757035543</v>
      </c>
      <c r="V70" s="84">
        <f t="shared" si="58"/>
        <v>0.32326832994821686</v>
      </c>
      <c r="W70" s="84">
        <f t="shared" si="58"/>
        <v>0.32336580826884181</v>
      </c>
      <c r="X70" s="84">
        <f t="shared" si="58"/>
        <v>0.32868716374863649</v>
      </c>
      <c r="Y70" s="84">
        <f t="shared" si="58"/>
        <v>0.319056365184271</v>
      </c>
    </row>
    <row r="71" spans="1:25" x14ac:dyDescent="0.25">
      <c r="A71" s="68" t="s">
        <v>152</v>
      </c>
      <c r="B71" s="71"/>
      <c r="C71" s="71"/>
      <c r="D71" s="84">
        <f t="shared" si="46"/>
        <v>0.13214237508729396</v>
      </c>
      <c r="E71" s="84">
        <f t="shared" ref="E71:S71" si="59">E29/E$23</f>
        <v>0.12872796377418289</v>
      </c>
      <c r="F71" s="84">
        <f t="shared" si="59"/>
        <v>0.13188028946400104</v>
      </c>
      <c r="G71" s="84">
        <f t="shared" si="59"/>
        <v>0.13159741283469201</v>
      </c>
      <c r="H71" s="84">
        <f t="shared" si="59"/>
        <v>0.12948191218266594</v>
      </c>
      <c r="I71" s="84">
        <f t="shared" si="59"/>
        <v>0.12905739041963171</v>
      </c>
      <c r="J71" s="84">
        <f t="shared" si="59"/>
        <v>0.13669434354730833</v>
      </c>
      <c r="K71" s="84">
        <f t="shared" si="59"/>
        <v>0.139085408788893</v>
      </c>
      <c r="L71" s="84">
        <f t="shared" si="59"/>
        <v>0.13743629279551373</v>
      </c>
      <c r="M71" s="84">
        <f t="shared" si="59"/>
        <v>0.13517324515877335</v>
      </c>
      <c r="N71" s="84">
        <f t="shared" si="59"/>
        <v>0.13363645288176426</v>
      </c>
      <c r="O71" s="84">
        <f t="shared" si="59"/>
        <v>0.1398270003118165</v>
      </c>
      <c r="P71" s="84">
        <f t="shared" si="59"/>
        <v>0.13974079459568647</v>
      </c>
      <c r="Q71" s="84">
        <f t="shared" si="59"/>
        <v>0.13998079970265889</v>
      </c>
      <c r="R71" s="84">
        <f t="shared" si="59"/>
        <v>0.14037874658100702</v>
      </c>
      <c r="S71" s="84">
        <f t="shared" si="59"/>
        <v>0.14352011109164844</v>
      </c>
      <c r="T71" s="84">
        <f t="shared" ref="T71:Y71" si="60">T29/T$23</f>
        <v>0.13993801698305364</v>
      </c>
      <c r="U71" s="84">
        <f t="shared" si="60"/>
        <v>0.14069279098852114</v>
      </c>
      <c r="V71" s="84">
        <f t="shared" si="60"/>
        <v>0.14328115374528075</v>
      </c>
      <c r="W71" s="84">
        <f t="shared" si="60"/>
        <v>0.13953285530881485</v>
      </c>
      <c r="X71" s="84">
        <f t="shared" si="60"/>
        <v>0.14945404795799522</v>
      </c>
      <c r="Y71" s="84">
        <f t="shared" si="60"/>
        <v>0.17214939835704737</v>
      </c>
    </row>
    <row r="72" spans="1:25" x14ac:dyDescent="0.25">
      <c r="A72" s="64" t="s">
        <v>154</v>
      </c>
      <c r="B72" s="65"/>
      <c r="C72" s="65"/>
      <c r="D72" s="83">
        <f t="shared" si="46"/>
        <v>1.9062852313917935E-2</v>
      </c>
      <c r="E72" s="83">
        <f t="shared" ref="E72:S72" si="61">E30/E$23</f>
        <v>1.9866279440258885E-2</v>
      </c>
      <c r="F72" s="83">
        <f t="shared" si="61"/>
        <v>1.941125965902122E-2</v>
      </c>
      <c r="G72" s="83">
        <f t="shared" si="61"/>
        <v>1.9532412621239555E-2</v>
      </c>
      <c r="H72" s="83">
        <f t="shared" si="61"/>
        <v>1.9773332618912225E-2</v>
      </c>
      <c r="I72" s="83">
        <f t="shared" si="61"/>
        <v>2.0490575010091293E-2</v>
      </c>
      <c r="J72" s="83">
        <f t="shared" si="61"/>
        <v>2.1595902923641361E-2</v>
      </c>
      <c r="K72" s="83">
        <f t="shared" si="61"/>
        <v>1.7569097945877358E-2</v>
      </c>
      <c r="L72" s="83">
        <f t="shared" si="61"/>
        <v>1.7191537483283188E-2</v>
      </c>
      <c r="M72" s="83">
        <f t="shared" si="61"/>
        <v>1.5887366828032528E-2</v>
      </c>
      <c r="N72" s="83">
        <f t="shared" si="61"/>
        <v>1.867039775981914E-2</v>
      </c>
      <c r="O72" s="83">
        <f t="shared" si="61"/>
        <v>1.6161628439155355E-2</v>
      </c>
      <c r="P72" s="83">
        <f t="shared" si="61"/>
        <v>1.5807926302169113E-2</v>
      </c>
      <c r="Q72" s="83">
        <f t="shared" si="61"/>
        <v>1.3779720143828007E-2</v>
      </c>
      <c r="R72" s="83">
        <f t="shared" si="61"/>
        <v>1.4251460078608108E-2</v>
      </c>
      <c r="S72" s="83">
        <f t="shared" si="61"/>
        <v>1.797430794588081E-2</v>
      </c>
      <c r="T72" s="83">
        <f t="shared" ref="T72:Y72" si="62">T30/T$23</f>
        <v>1.69101946351395E-2</v>
      </c>
      <c r="U72" s="83">
        <f t="shared" si="62"/>
        <v>1.537047598465527E-2</v>
      </c>
      <c r="V72" s="83">
        <f t="shared" si="62"/>
        <v>1.285276878129708E-2</v>
      </c>
      <c r="W72" s="83">
        <f t="shared" si="62"/>
        <v>1.3157118238878395E-2</v>
      </c>
      <c r="X72" s="83">
        <f t="shared" si="62"/>
        <v>1.0204292924624232E-2</v>
      </c>
      <c r="Y72" s="83">
        <f t="shared" si="62"/>
        <v>1.0280005653077082E-2</v>
      </c>
    </row>
    <row r="73" spans="1:25" x14ac:dyDescent="0.25">
      <c r="A73" s="64" t="s">
        <v>37</v>
      </c>
      <c r="B73" s="65"/>
      <c r="C73" s="65"/>
      <c r="D73" s="83">
        <f t="shared" si="46"/>
        <v>5.4627281624870981E-2</v>
      </c>
      <c r="E73" s="83">
        <f t="shared" ref="E73:S73" si="63">E31/E$23</f>
        <v>5.1211176146584082E-2</v>
      </c>
      <c r="F73" s="83">
        <f t="shared" si="63"/>
        <v>5.1547896479823378E-2</v>
      </c>
      <c r="G73" s="83">
        <f t="shared" si="63"/>
        <v>5.3731120722155121E-2</v>
      </c>
      <c r="H73" s="83">
        <f t="shared" si="63"/>
        <v>5.4005050496321018E-2</v>
      </c>
      <c r="I73" s="83">
        <f t="shared" si="63"/>
        <v>5.3979286587152821E-2</v>
      </c>
      <c r="J73" s="83">
        <f t="shared" si="63"/>
        <v>5.7951764642615297E-2</v>
      </c>
      <c r="K73" s="83">
        <f t="shared" si="63"/>
        <v>5.7379657588979484E-2</v>
      </c>
      <c r="L73" s="83">
        <f t="shared" si="63"/>
        <v>6.0408710301799916E-2</v>
      </c>
      <c r="M73" s="83">
        <f t="shared" si="63"/>
        <v>5.1314645381215558E-2</v>
      </c>
      <c r="N73" s="83">
        <f t="shared" si="63"/>
        <v>4.4148833255019782E-2</v>
      </c>
      <c r="O73" s="83">
        <f t="shared" si="63"/>
        <v>4.6294690378429218E-2</v>
      </c>
      <c r="P73" s="83">
        <f t="shared" si="63"/>
        <v>4.5553852957394808E-2</v>
      </c>
      <c r="Q73" s="83">
        <f t="shared" si="63"/>
        <v>4.5321278870246999E-2</v>
      </c>
      <c r="R73" s="83">
        <f t="shared" si="63"/>
        <v>4.56777900218963E-2</v>
      </c>
      <c r="S73" s="83">
        <f t="shared" si="63"/>
        <v>4.9594063856593852E-2</v>
      </c>
      <c r="T73" s="83">
        <f t="shared" ref="T73:Y73" si="64">T31/T$23</f>
        <v>5.4462671391508143E-2</v>
      </c>
      <c r="U73" s="83">
        <f t="shared" si="64"/>
        <v>5.5895760694616631E-2</v>
      </c>
      <c r="V73" s="83">
        <f t="shared" si="64"/>
        <v>5.6528014125999525E-2</v>
      </c>
      <c r="W73" s="83">
        <f t="shared" si="64"/>
        <v>5.462121091214249E-2</v>
      </c>
      <c r="X73" s="83">
        <f t="shared" si="64"/>
        <v>5.511619737839487E-2</v>
      </c>
      <c r="Y73" s="83">
        <f t="shared" si="64"/>
        <v>5.4796988291894333E-2</v>
      </c>
    </row>
    <row r="74" spans="1:25" x14ac:dyDescent="0.25">
      <c r="A74" s="64" t="s">
        <v>58</v>
      </c>
      <c r="B74" s="65"/>
      <c r="C74" s="65"/>
      <c r="D74" s="83">
        <f t="shared" si="46"/>
        <v>0.16044094623734442</v>
      </c>
      <c r="E74" s="83">
        <f t="shared" ref="E74:S74" si="65">E32/E$23</f>
        <v>0.15891635493174222</v>
      </c>
      <c r="F74" s="83">
        <f t="shared" si="65"/>
        <v>0.15774193548387094</v>
      </c>
      <c r="G74" s="83">
        <f t="shared" si="65"/>
        <v>0.1502110775265719</v>
      </c>
      <c r="H74" s="83">
        <f t="shared" si="65"/>
        <v>0.14494394386954673</v>
      </c>
      <c r="I74" s="83">
        <f t="shared" si="65"/>
        <v>0.13835133177402142</v>
      </c>
      <c r="J74" s="83">
        <f t="shared" si="65"/>
        <v>0.13796619567413643</v>
      </c>
      <c r="K74" s="83">
        <f t="shared" si="65"/>
        <v>0.13699825127315599</v>
      </c>
      <c r="L74" s="83">
        <f t="shared" si="65"/>
        <v>0.13261133443074077</v>
      </c>
      <c r="M74" s="83">
        <f t="shared" si="65"/>
        <v>0.12540253712467894</v>
      </c>
      <c r="N74" s="83">
        <f t="shared" si="65"/>
        <v>0.12375607724354055</v>
      </c>
      <c r="O74" s="83">
        <f t="shared" si="65"/>
        <v>0.12547362673374848</v>
      </c>
      <c r="P74" s="83">
        <f t="shared" si="65"/>
        <v>0.12814452389228498</v>
      </c>
      <c r="Q74" s="83">
        <f t="shared" si="65"/>
        <v>0.13286132230098008</v>
      </c>
      <c r="R74" s="83">
        <f t="shared" si="65"/>
        <v>0.13443088050535396</v>
      </c>
      <c r="S74" s="83">
        <f t="shared" si="65"/>
        <v>0.13731974514765441</v>
      </c>
      <c r="T74" s="83">
        <f t="shared" ref="T74:Y74" si="66">T32/T$23</f>
        <v>0.14367905919972393</v>
      </c>
      <c r="U74" s="83">
        <f t="shared" si="66"/>
        <v>0.14484572960414063</v>
      </c>
      <c r="V74" s="83">
        <f t="shared" si="66"/>
        <v>0.14667084469329625</v>
      </c>
      <c r="W74" s="83">
        <f t="shared" si="66"/>
        <v>0.14970290797217664</v>
      </c>
      <c r="X74" s="83">
        <f t="shared" si="66"/>
        <v>0.14480874114884731</v>
      </c>
      <c r="Y74" s="83">
        <f t="shared" si="66"/>
        <v>0.14307407240583395</v>
      </c>
    </row>
    <row r="75" spans="1:25" x14ac:dyDescent="0.25">
      <c r="A75" s="85" t="s">
        <v>158</v>
      </c>
      <c r="B75" s="86"/>
      <c r="C75" s="86"/>
      <c r="D75" s="87">
        <f t="shared" si="46"/>
        <v>3.3606957696573642E-3</v>
      </c>
      <c r="E75" s="87">
        <f t="shared" ref="E75:S75" si="67">E33/E$23</f>
        <v>3.0215521402292946E-3</v>
      </c>
      <c r="F75" s="87">
        <f t="shared" si="67"/>
        <v>2.5401692628480316E-3</v>
      </c>
      <c r="G75" s="87">
        <f t="shared" si="67"/>
        <v>2.1435447435653077E-3</v>
      </c>
      <c r="H75" s="87">
        <f t="shared" si="67"/>
        <v>2.15881926932005E-3</v>
      </c>
      <c r="I75" s="87">
        <f t="shared" si="67"/>
        <v>1.9447163102920115E-3</v>
      </c>
      <c r="J75" s="87">
        <f t="shared" si="67"/>
        <v>2.1432483500120345E-3</v>
      </c>
      <c r="K75" s="87">
        <f t="shared" si="67"/>
        <v>2.431649632322857E-3</v>
      </c>
      <c r="L75" s="87">
        <f t="shared" si="67"/>
        <v>2.1753561910569656E-3</v>
      </c>
      <c r="M75" s="87">
        <f t="shared" si="67"/>
        <v>1.2465989311141264E-3</v>
      </c>
      <c r="N75" s="87">
        <f t="shared" si="67"/>
        <v>1.1232356812469679E-3</v>
      </c>
      <c r="O75" s="87">
        <f t="shared" si="67"/>
        <v>1.3660084550406975E-3</v>
      </c>
      <c r="P75" s="87">
        <f t="shared" si="67"/>
        <v>1.3316966552438911E-3</v>
      </c>
      <c r="Q75" s="87">
        <f t="shared" si="67"/>
        <v>1.3491134939493151E-3</v>
      </c>
      <c r="R75" s="87">
        <f t="shared" si="67"/>
        <v>1.4194214849152314E-3</v>
      </c>
      <c r="S75" s="87">
        <f t="shared" si="67"/>
        <v>1.7026736703929359E-3</v>
      </c>
      <c r="T75" s="87">
        <f t="shared" ref="T75:Y75" si="68">T33/T$23</f>
        <v>1.6309820653027799E-3</v>
      </c>
      <c r="U75" s="87">
        <f t="shared" si="68"/>
        <v>1.5970440252063012E-3</v>
      </c>
      <c r="V75" s="87">
        <f t="shared" si="68"/>
        <v>1.4813696608174294E-3</v>
      </c>
      <c r="W75" s="87">
        <f t="shared" si="68"/>
        <v>1.6921013865284383E-3</v>
      </c>
      <c r="X75" s="87">
        <f t="shared" si="68"/>
        <v>1.361090055279262E-3</v>
      </c>
      <c r="Y75" s="87">
        <f t="shared" si="68"/>
        <v>1.2851009019563887E-3</v>
      </c>
    </row>
    <row r="76" spans="1:25" x14ac:dyDescent="0.25">
      <c r="A76" s="88" t="s">
        <v>5</v>
      </c>
      <c r="B76" s="44"/>
      <c r="C76" s="44"/>
      <c r="D76" s="89">
        <f t="shared" si="46"/>
        <v>3.3606957696573642E-3</v>
      </c>
      <c r="E76" s="89">
        <f t="shared" ref="E76:S76" si="69">E34/E$23</f>
        <v>3.0215521402292946E-3</v>
      </c>
      <c r="F76" s="89">
        <f t="shared" si="69"/>
        <v>2.5401692628480316E-3</v>
      </c>
      <c r="G76" s="89">
        <f t="shared" si="69"/>
        <v>2.1435447435653077E-3</v>
      </c>
      <c r="H76" s="89">
        <f t="shared" si="69"/>
        <v>2.15881926932005E-3</v>
      </c>
      <c r="I76" s="89">
        <f t="shared" si="69"/>
        <v>1.9447163102920115E-3</v>
      </c>
      <c r="J76" s="89">
        <f t="shared" si="69"/>
        <v>2.1432483500120345E-3</v>
      </c>
      <c r="K76" s="89">
        <f t="shared" si="69"/>
        <v>2.431649632322857E-3</v>
      </c>
      <c r="L76" s="89">
        <f t="shared" si="69"/>
        <v>2.1753561910569656E-3</v>
      </c>
      <c r="M76" s="89">
        <f t="shared" si="69"/>
        <v>1.2465989311141264E-3</v>
      </c>
      <c r="N76" s="89">
        <f t="shared" si="69"/>
        <v>1.1232356812469679E-3</v>
      </c>
      <c r="O76" s="89">
        <f t="shared" si="69"/>
        <v>1.3660084550406975E-3</v>
      </c>
      <c r="P76" s="89">
        <f t="shared" si="69"/>
        <v>1.3316966552438911E-3</v>
      </c>
      <c r="Q76" s="89">
        <f t="shared" si="69"/>
        <v>1.3491134939493151E-3</v>
      </c>
      <c r="R76" s="89">
        <f t="shared" si="69"/>
        <v>1.4194214849152314E-3</v>
      </c>
      <c r="S76" s="89">
        <f t="shared" si="69"/>
        <v>1.7026736703929356E-3</v>
      </c>
      <c r="T76" s="89">
        <f t="shared" ref="T76:Y76" si="70">T34/T$23</f>
        <v>1.6309820653027799E-3</v>
      </c>
      <c r="U76" s="89">
        <f t="shared" si="70"/>
        <v>1.5970440252063014E-3</v>
      </c>
      <c r="V76" s="89">
        <f t="shared" si="70"/>
        <v>1.4813696608174294E-3</v>
      </c>
      <c r="W76" s="89">
        <f t="shared" si="70"/>
        <v>1.6921013865284383E-3</v>
      </c>
      <c r="X76" s="89">
        <f t="shared" si="70"/>
        <v>1.361090055279262E-3</v>
      </c>
      <c r="Y76" s="89">
        <f t="shared" si="70"/>
        <v>1.2851009019563887E-3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2.3125812217048521E-2</v>
      </c>
      <c r="E78" s="89">
        <f t="shared" ref="E78:S78" si="73">E43/E$23</f>
        <v>2.4663285270737759E-2</v>
      </c>
      <c r="F78" s="89">
        <f t="shared" si="73"/>
        <v>2.1958174904942968E-2</v>
      </c>
      <c r="G78" s="89">
        <f t="shared" si="73"/>
        <v>2.4295711768090707E-2</v>
      </c>
      <c r="H78" s="89">
        <f t="shared" si="73"/>
        <v>2.3230208950889886E-2</v>
      </c>
      <c r="I78" s="89">
        <f t="shared" si="73"/>
        <v>2.3526809658886694E-2</v>
      </c>
      <c r="J78" s="89">
        <f t="shared" si="73"/>
        <v>2.1571886011558399E-2</v>
      </c>
      <c r="K78" s="89">
        <f t="shared" si="73"/>
        <v>1.9968924992650499E-2</v>
      </c>
      <c r="L78" s="89">
        <f t="shared" si="73"/>
        <v>2.1518609933402932E-2</v>
      </c>
      <c r="M78" s="89">
        <f t="shared" si="73"/>
        <v>2.4766500888063838E-2</v>
      </c>
      <c r="N78" s="89">
        <f t="shared" si="73"/>
        <v>2.9611580621825562E-2</v>
      </c>
      <c r="O78" s="89">
        <f t="shared" si="73"/>
        <v>3.0380364633564257E-2</v>
      </c>
      <c r="P78" s="89">
        <f t="shared" si="73"/>
        <v>3.6105949731294822E-2</v>
      </c>
      <c r="Q78" s="89">
        <f t="shared" si="73"/>
        <v>3.7604975101708418E-2</v>
      </c>
      <c r="R78" s="89">
        <f t="shared" si="73"/>
        <v>3.9179155450721613E-2</v>
      </c>
      <c r="S78" s="89">
        <f t="shared" si="73"/>
        <v>4.4283444094351927E-2</v>
      </c>
      <c r="T78" s="89">
        <f t="shared" ref="T78:Y78" si="74">T43/T$23</f>
        <v>4.6759974959317031E-2</v>
      </c>
      <c r="U78" s="89">
        <f t="shared" si="74"/>
        <v>4.8926734922679509E-2</v>
      </c>
      <c r="V78" s="89">
        <f t="shared" si="74"/>
        <v>5.3497038785505602E-2</v>
      </c>
      <c r="W78" s="89">
        <f t="shared" si="74"/>
        <v>5.3082025904479968E-2</v>
      </c>
      <c r="X78" s="89">
        <f t="shared" si="74"/>
        <v>5.5477084065151887E-2</v>
      </c>
      <c r="Y78" s="89">
        <f t="shared" si="74"/>
        <v>5.7750395481214474E-2</v>
      </c>
    </row>
    <row r="79" spans="1:25" x14ac:dyDescent="0.25">
      <c r="A79" s="88" t="s">
        <v>272</v>
      </c>
      <c r="B79" s="44"/>
      <c r="C79" s="44"/>
      <c r="D79" s="89">
        <f>D44/D$23</f>
        <v>8.0737553395222126E-3</v>
      </c>
      <c r="E79" s="89">
        <f t="shared" ref="E79:S79" si="75">E44/E$23</f>
        <v>7.9466379632883617E-3</v>
      </c>
      <c r="F79" s="89">
        <f t="shared" si="75"/>
        <v>7.1838587023181659E-3</v>
      </c>
      <c r="G79" s="89">
        <f t="shared" si="75"/>
        <v>7.3602051068675798E-3</v>
      </c>
      <c r="H79" s="89">
        <f t="shared" si="75"/>
        <v>7.0013268643654243E-3</v>
      </c>
      <c r="I79" s="89">
        <f t="shared" si="75"/>
        <v>7.0334920292619814E-3</v>
      </c>
      <c r="J79" s="89">
        <f t="shared" si="75"/>
        <v>6.524246378014709E-3</v>
      </c>
      <c r="K79" s="89">
        <f t="shared" si="75"/>
        <v>6.1048852214902454E-3</v>
      </c>
      <c r="L79" s="89">
        <f t="shared" si="75"/>
        <v>6.6447506807335516E-3</v>
      </c>
      <c r="M79" s="89">
        <f t="shared" si="75"/>
        <v>7.4419850107259652E-3</v>
      </c>
      <c r="N79" s="89">
        <f t="shared" si="75"/>
        <v>7.7044341360711626E-3</v>
      </c>
      <c r="O79" s="89">
        <f t="shared" si="75"/>
        <v>7.3316600275165154E-3</v>
      </c>
      <c r="P79" s="89">
        <f t="shared" si="75"/>
        <v>8.8291442745688248E-3</v>
      </c>
      <c r="Q79" s="89">
        <f t="shared" si="75"/>
        <v>8.4136435579607299E-3</v>
      </c>
      <c r="R79" s="89">
        <f t="shared" si="75"/>
        <v>9.1262773383917282E-3</v>
      </c>
      <c r="S79" s="89">
        <f t="shared" si="75"/>
        <v>1.0198314631639593E-2</v>
      </c>
      <c r="T79" s="89">
        <f t="shared" ref="T79:Y79" si="76">T44/T$23</f>
        <v>1.0369170979183507E-2</v>
      </c>
      <c r="U79" s="89">
        <f t="shared" si="76"/>
        <v>1.0439690327936256E-2</v>
      </c>
      <c r="V79" s="89">
        <f t="shared" si="76"/>
        <v>1.0269711441693655E-2</v>
      </c>
      <c r="W79" s="89">
        <f t="shared" si="76"/>
        <v>1.0561251360751636E-2</v>
      </c>
      <c r="X79" s="89">
        <f t="shared" si="76"/>
        <v>1.0697184270369206E-2</v>
      </c>
      <c r="Y79" s="89">
        <f t="shared" si="76"/>
        <v>1.0658750018902903E-2</v>
      </c>
    </row>
    <row r="80" spans="1:25" x14ac:dyDescent="0.25">
      <c r="A80" s="88" t="s">
        <v>11</v>
      </c>
      <c r="B80" s="44"/>
      <c r="C80" s="44"/>
      <c r="D80" s="89">
        <f>D47/D$23</f>
        <v>1.5052056877526308E-2</v>
      </c>
      <c r="E80" s="89">
        <f t="shared" ref="E80:S80" si="77">E47/E$23</f>
        <v>1.6716647307449397E-2</v>
      </c>
      <c r="F80" s="89">
        <f t="shared" si="77"/>
        <v>1.4774316202624801E-2</v>
      </c>
      <c r="G80" s="89">
        <f t="shared" si="77"/>
        <v>1.6935506661223128E-2</v>
      </c>
      <c r="H80" s="89">
        <f t="shared" si="77"/>
        <v>1.6228882086524461E-2</v>
      </c>
      <c r="I80" s="89">
        <f t="shared" si="77"/>
        <v>1.6493317629624714E-2</v>
      </c>
      <c r="J80" s="89">
        <f t="shared" si="77"/>
        <v>1.504763963354369E-2</v>
      </c>
      <c r="K80" s="89">
        <f t="shared" si="77"/>
        <v>1.3864039771160252E-2</v>
      </c>
      <c r="L80" s="89">
        <f t="shared" si="77"/>
        <v>1.4873859252669382E-2</v>
      </c>
      <c r="M80" s="89">
        <f t="shared" si="77"/>
        <v>1.7324515877337875E-2</v>
      </c>
      <c r="N80" s="89">
        <f t="shared" si="77"/>
        <v>2.1907146485754397E-2</v>
      </c>
      <c r="O80" s="89">
        <f t="shared" si="77"/>
        <v>2.3048704606047743E-2</v>
      </c>
      <c r="P80" s="89">
        <f t="shared" si="77"/>
        <v>2.7276805456725998E-2</v>
      </c>
      <c r="Q80" s="89">
        <f t="shared" si="77"/>
        <v>2.9191331543747687E-2</v>
      </c>
      <c r="R80" s="89">
        <f t="shared" si="77"/>
        <v>3.0052878112329883E-2</v>
      </c>
      <c r="S80" s="89">
        <f t="shared" si="77"/>
        <v>3.4085129462712332E-2</v>
      </c>
      <c r="T80" s="89">
        <f t="shared" ref="T80:Y80" si="78">T47/T$23</f>
        <v>3.6390803980133529E-2</v>
      </c>
      <c r="U80" s="89">
        <f t="shared" si="78"/>
        <v>3.8487044594743253E-2</v>
      </c>
      <c r="V80" s="89">
        <f t="shared" si="78"/>
        <v>4.3227327343811947E-2</v>
      </c>
      <c r="W80" s="89">
        <f t="shared" si="78"/>
        <v>4.252077454372833E-2</v>
      </c>
      <c r="X80" s="89">
        <f t="shared" si="78"/>
        <v>4.4779899794782675E-2</v>
      </c>
      <c r="Y80" s="89">
        <f t="shared" si="78"/>
        <v>4.7091645462311565E-2</v>
      </c>
    </row>
    <row r="81" spans="1:25" x14ac:dyDescent="0.25">
      <c r="A81" s="68" t="s">
        <v>4</v>
      </c>
      <c r="B81" s="44"/>
      <c r="C81" s="44"/>
      <c r="D81" s="89">
        <f>D48/D$23</f>
        <v>7.7333821940505105E-3</v>
      </c>
      <c r="E81" s="89">
        <f t="shared" ref="E81:S81" si="79">E48/E$23</f>
        <v>6.4544745029329062E-3</v>
      </c>
      <c r="F81" s="89">
        <f t="shared" si="79"/>
        <v>6.6638047344535784E-3</v>
      </c>
      <c r="G81" s="89">
        <f t="shared" si="79"/>
        <v>6.2803155249760573E-3</v>
      </c>
      <c r="H81" s="89">
        <f t="shared" si="79"/>
        <v>5.9930712675386076E-3</v>
      </c>
      <c r="I81" s="89">
        <f t="shared" si="79"/>
        <v>6.1327405736277237E-3</v>
      </c>
      <c r="J81" s="89">
        <f t="shared" si="79"/>
        <v>6.3989407497557849E-3</v>
      </c>
      <c r="K81" s="89">
        <f t="shared" si="79"/>
        <v>6.7544700630289244E-3</v>
      </c>
      <c r="L81" s="89">
        <f t="shared" si="79"/>
        <v>6.2086180578203778E-3</v>
      </c>
      <c r="M81" s="89">
        <f t="shared" si="79"/>
        <v>4.808883245931002E-3</v>
      </c>
      <c r="N81" s="89">
        <f t="shared" si="79"/>
        <v>3.8229090517450906E-3</v>
      </c>
      <c r="O81" s="89">
        <f t="shared" si="79"/>
        <v>4.5729961352526018E-3</v>
      </c>
      <c r="P81" s="89">
        <f t="shared" si="79"/>
        <v>4.3936435256885066E-3</v>
      </c>
      <c r="Q81" s="89">
        <f t="shared" si="79"/>
        <v>4.302421211995317E-3</v>
      </c>
      <c r="R81" s="89">
        <f t="shared" si="79"/>
        <v>4.5956643677502931E-3</v>
      </c>
      <c r="S81" s="89">
        <f t="shared" si="79"/>
        <v>4.6011020527896374E-3</v>
      </c>
      <c r="T81" s="89">
        <f t="shared" ref="T81:Y81" si="80">T48/T$23</f>
        <v>5.1501911834978976E-3</v>
      </c>
      <c r="U81" s="89">
        <f t="shared" si="80"/>
        <v>5.3380435859606799E-3</v>
      </c>
      <c r="V81" s="89">
        <f t="shared" si="80"/>
        <v>5.4009380737162485E-3</v>
      </c>
      <c r="W81" s="89">
        <f t="shared" si="80"/>
        <v>5.4396661375215602E-3</v>
      </c>
      <c r="X81" s="89">
        <f t="shared" si="80"/>
        <v>5.5948529275823191E-3</v>
      </c>
      <c r="Y81" s="89">
        <f t="shared" si="80"/>
        <v>5.6158014052863766E-3</v>
      </c>
    </row>
    <row r="82" spans="1:25" x14ac:dyDescent="0.25">
      <c r="A82" s="68" t="s">
        <v>3</v>
      </c>
      <c r="B82" s="44"/>
      <c r="C82" s="44"/>
      <c r="D82" s="89">
        <f>D52/D$23</f>
        <v>9.6263002808404507E-3</v>
      </c>
      <c r="E82" s="89">
        <f t="shared" ref="E82:S82" si="81">E52/E$23</f>
        <v>8.715748854693563E-3</v>
      </c>
      <c r="F82" s="89">
        <f t="shared" si="81"/>
        <v>8.4012020115294978E-3</v>
      </c>
      <c r="G82" s="89">
        <f t="shared" si="81"/>
        <v>7.9975564191198181E-3</v>
      </c>
      <c r="H82" s="89">
        <f t="shared" si="81"/>
        <v>7.3176310487413814E-3</v>
      </c>
      <c r="I82" s="89">
        <f t="shared" si="81"/>
        <v>6.463956118087465E-3</v>
      </c>
      <c r="J82" s="89">
        <f t="shared" si="81"/>
        <v>6.1117820183290801E-3</v>
      </c>
      <c r="K82" s="89">
        <f t="shared" si="81"/>
        <v>5.7194783520547786E-3</v>
      </c>
      <c r="L82" s="89">
        <f t="shared" si="81"/>
        <v>5.7044603244749536E-3</v>
      </c>
      <c r="M82" s="89">
        <f t="shared" si="81"/>
        <v>5.1262996270232154E-3</v>
      </c>
      <c r="N82" s="89">
        <f t="shared" si="81"/>
        <v>4.3371098578823316E-3</v>
      </c>
      <c r="O82" s="89">
        <f t="shared" si="81"/>
        <v>4.3200835499764157E-3</v>
      </c>
      <c r="P82" s="89">
        <f t="shared" si="81"/>
        <v>3.7630553589074905E-3</v>
      </c>
      <c r="Q82" s="89">
        <f t="shared" si="81"/>
        <v>3.5849787380606811E-3</v>
      </c>
      <c r="R82" s="89">
        <f t="shared" si="81"/>
        <v>3.7621391327954876E-3</v>
      </c>
      <c r="S82" s="89">
        <f t="shared" si="81"/>
        <v>3.4196980856528426E-3</v>
      </c>
      <c r="T82" s="89">
        <f t="shared" ref="T82:Y82" si="82">T52/T$23</f>
        <v>3.0706585227462365E-3</v>
      </c>
      <c r="U82" s="89">
        <f t="shared" si="82"/>
        <v>3.2666454975763472E-3</v>
      </c>
      <c r="V82" s="89">
        <f t="shared" si="82"/>
        <v>2.9570212194958306E-3</v>
      </c>
      <c r="W82" s="89">
        <f t="shared" si="82"/>
        <v>3.0104484198578995E-3</v>
      </c>
      <c r="X82" s="89">
        <f t="shared" si="82"/>
        <v>2.9813825361903528E-3</v>
      </c>
      <c r="Y82" s="89">
        <f t="shared" si="82"/>
        <v>2.945275168354924E-3</v>
      </c>
    </row>
    <row r="83" spans="1:25" x14ac:dyDescent="0.25">
      <c r="A83" s="88" t="s">
        <v>21</v>
      </c>
      <c r="B83" s="44"/>
      <c r="C83" s="44"/>
      <c r="D83" s="89">
        <f>D53/D$23</f>
        <v>3.6423838900477372E-3</v>
      </c>
      <c r="E83" s="89">
        <f t="shared" ref="E83:S83" si="83">E53/E$23</f>
        <v>3.5584786115876428E-3</v>
      </c>
      <c r="F83" s="89">
        <f t="shared" si="83"/>
        <v>3.5201766221022936E-3</v>
      </c>
      <c r="G83" s="89">
        <f t="shared" si="83"/>
        <v>3.3472969389700051E-3</v>
      </c>
      <c r="H83" s="89">
        <f t="shared" si="83"/>
        <v>2.9366164440150239E-3</v>
      </c>
      <c r="I83" s="89">
        <f t="shared" si="83"/>
        <v>2.5148051689531043E-3</v>
      </c>
      <c r="J83" s="89">
        <f t="shared" si="83"/>
        <v>2.3729753351533975E-3</v>
      </c>
      <c r="K83" s="89">
        <f t="shared" si="83"/>
        <v>2.2745571861964736E-3</v>
      </c>
      <c r="L83" s="89">
        <f t="shared" si="83"/>
        <v>2.0581214262694642E-3</v>
      </c>
      <c r="M83" s="89">
        <f t="shared" si="83"/>
        <v>2.0504195612733962E-3</v>
      </c>
      <c r="N83" s="89">
        <f t="shared" si="83"/>
        <v>1.8352060282062256E-3</v>
      </c>
      <c r="O83" s="89">
        <f t="shared" si="83"/>
        <v>1.8980131168601065E-3</v>
      </c>
      <c r="P83" s="89">
        <f t="shared" si="83"/>
        <v>1.7261554868450027E-3</v>
      </c>
      <c r="Q83" s="89">
        <f t="shared" si="83"/>
        <v>1.6292108981566732E-3</v>
      </c>
      <c r="R83" s="89">
        <f t="shared" si="83"/>
        <v>1.7143211518087108E-3</v>
      </c>
      <c r="S83" s="89">
        <f t="shared" si="83"/>
        <v>1.7288426757385885E-3</v>
      </c>
      <c r="T83" s="89">
        <f t="shared" ref="T83:Y83" si="84">T53/T$23</f>
        <v>1.4718320808921517E-3</v>
      </c>
      <c r="U83" s="89">
        <f t="shared" si="84"/>
        <v>1.5884619615632776E-3</v>
      </c>
      <c r="V83" s="89">
        <f t="shared" si="84"/>
        <v>1.4493482888388745E-3</v>
      </c>
      <c r="W83" s="89">
        <f t="shared" si="84"/>
        <v>1.597085384126315E-3</v>
      </c>
      <c r="X83" s="89">
        <f t="shared" si="84"/>
        <v>1.7722642311745456E-3</v>
      </c>
      <c r="Y83" s="89">
        <f t="shared" si="84"/>
        <v>1.8419150451006055E-3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5.983916390792713E-3</v>
      </c>
      <c r="E84" s="89">
        <f t="shared" ref="E84:S84" si="86">E56/E$23</f>
        <v>5.1572702431059193E-3</v>
      </c>
      <c r="F84" s="89">
        <f t="shared" si="86"/>
        <v>4.8810253894272038E-3</v>
      </c>
      <c r="G84" s="89">
        <f t="shared" si="86"/>
        <v>4.6502594801498135E-3</v>
      </c>
      <c r="H84" s="89">
        <f t="shared" si="86"/>
        <v>4.3810146047263574E-3</v>
      </c>
      <c r="I84" s="89">
        <f t="shared" si="86"/>
        <v>3.9491509491343607E-3</v>
      </c>
      <c r="J84" s="89">
        <f t="shared" si="86"/>
        <v>3.7388066831756822E-3</v>
      </c>
      <c r="K84" s="89">
        <f t="shared" si="86"/>
        <v>3.444921165858305E-3</v>
      </c>
      <c r="L84" s="89">
        <f t="shared" si="86"/>
        <v>3.6463388982054894E-3</v>
      </c>
      <c r="M84" s="89">
        <f t="shared" si="86"/>
        <v>3.0758800657498192E-3</v>
      </c>
      <c r="N84" s="89">
        <f t="shared" si="86"/>
        <v>2.5019038296761062E-3</v>
      </c>
      <c r="O84" s="89">
        <f t="shared" si="86"/>
        <v>2.422070433116309E-3</v>
      </c>
      <c r="P84" s="89">
        <f t="shared" si="86"/>
        <v>2.0368998720624878E-3</v>
      </c>
      <c r="Q84" s="89">
        <f t="shared" si="86"/>
        <v>1.9557678399040076E-3</v>
      </c>
      <c r="R84" s="89">
        <f t="shared" si="86"/>
        <v>2.047817980986777E-3</v>
      </c>
      <c r="S84" s="89">
        <f t="shared" si="86"/>
        <v>1.690855409914254E-3</v>
      </c>
      <c r="T84" s="89">
        <f t="shared" ref="T84:Y84" si="87">T56/T$23</f>
        <v>1.5988264418540848E-3</v>
      </c>
      <c r="U84" s="89">
        <f t="shared" si="87"/>
        <v>1.6781835360130694E-3</v>
      </c>
      <c r="V84" s="89">
        <f t="shared" si="87"/>
        <v>1.5076729306569558E-3</v>
      </c>
      <c r="W84" s="89">
        <f t="shared" si="87"/>
        <v>1.4133630357315847E-3</v>
      </c>
      <c r="X84" s="89">
        <f t="shared" si="87"/>
        <v>1.2091183050158072E-3</v>
      </c>
      <c r="Y84" s="89">
        <f t="shared" si="87"/>
        <v>1.1033601232543183E-3</v>
      </c>
    </row>
    <row r="85" spans="1:25" x14ac:dyDescent="0.25">
      <c r="A85" s="68" t="s">
        <v>2</v>
      </c>
      <c r="B85" s="44"/>
      <c r="C85" s="44"/>
      <c r="D85" s="89">
        <f t="shared" si="85"/>
        <v>2.6644305498591234E-2</v>
      </c>
      <c r="E85" s="89">
        <f t="shared" ref="E85:S85" si="88">E57/E$23</f>
        <v>2.7296180881758191E-2</v>
      </c>
      <c r="F85" s="89">
        <f t="shared" si="88"/>
        <v>2.8889365877591073E-2</v>
      </c>
      <c r="G85" s="89">
        <f t="shared" si="88"/>
        <v>2.7415726824012276E-2</v>
      </c>
      <c r="H85" s="89">
        <f t="shared" si="88"/>
        <v>2.6525764387375261E-2</v>
      </c>
      <c r="I85" s="89">
        <f t="shared" si="88"/>
        <v>2.526472360919884E-2</v>
      </c>
      <c r="J85" s="89">
        <f t="shared" si="88"/>
        <v>2.2147247687980629E-2</v>
      </c>
      <c r="K85" s="89">
        <f t="shared" si="88"/>
        <v>2.1075643801212893E-2</v>
      </c>
      <c r="L85" s="89">
        <f t="shared" si="88"/>
        <v>1.9864779588993249E-2</v>
      </c>
      <c r="M85" s="89">
        <f t="shared" si="88"/>
        <v>2.0802055534327599E-2</v>
      </c>
      <c r="N85" s="89">
        <f t="shared" si="88"/>
        <v>1.8821941648930949E-2</v>
      </c>
      <c r="O85" s="89">
        <f t="shared" si="88"/>
        <v>1.7379909764903494E-2</v>
      </c>
      <c r="P85" s="89">
        <f t="shared" si="88"/>
        <v>1.620329507340483E-2</v>
      </c>
      <c r="Q85" s="89">
        <f t="shared" si="88"/>
        <v>1.6649936765889051E-2</v>
      </c>
      <c r="R85" s="89">
        <f t="shared" si="88"/>
        <v>1.6336574193937296E-2</v>
      </c>
      <c r="S85" s="89">
        <f t="shared" si="88"/>
        <v>1.7015762604913443E-2</v>
      </c>
      <c r="T85" s="89">
        <f t="shared" ref="T85:Y85" si="89">T57/T$23</f>
        <v>1.7348569400383099E-2</v>
      </c>
      <c r="U85" s="89">
        <f t="shared" si="89"/>
        <v>1.5331856698261665E-2</v>
      </c>
      <c r="V85" s="89">
        <f t="shared" si="89"/>
        <v>1.551282989637274E-2</v>
      </c>
      <c r="W85" s="89">
        <f t="shared" si="89"/>
        <v>1.5839835681700845E-2</v>
      </c>
      <c r="X85" s="89">
        <f t="shared" si="89"/>
        <v>1.5892325611492172E-2</v>
      </c>
      <c r="Y85" s="89">
        <f t="shared" si="89"/>
        <v>1.5720212579525532E-2</v>
      </c>
    </row>
    <row r="86" spans="1:25" x14ac:dyDescent="0.25">
      <c r="A86" s="68" t="s">
        <v>275</v>
      </c>
      <c r="B86" s="44"/>
      <c r="C86" s="44"/>
      <c r="D86" s="89">
        <f t="shared" si="85"/>
        <v>4.4607139620151393E-3</v>
      </c>
      <c r="E86" s="89">
        <f t="shared" ref="E86:S86" si="90">E58/E$23</f>
        <v>4.3515650681063781E-3</v>
      </c>
      <c r="F86" s="89">
        <f t="shared" si="90"/>
        <v>4.1187293020973877E-3</v>
      </c>
      <c r="G86" s="89">
        <f t="shared" si="90"/>
        <v>4.1079095899125328E-3</v>
      </c>
      <c r="H86" s="89">
        <f t="shared" si="90"/>
        <v>3.3237865931965219E-3</v>
      </c>
      <c r="I86" s="89">
        <f t="shared" si="90"/>
        <v>3.5526876012585088E-3</v>
      </c>
      <c r="J86" s="89">
        <f t="shared" si="90"/>
        <v>3.4897617470110694E-3</v>
      </c>
      <c r="K86" s="89">
        <f t="shared" si="90"/>
        <v>3.0095073762732819E-3</v>
      </c>
      <c r="L86" s="89">
        <f t="shared" si="90"/>
        <v>3.3284059352632523E-3</v>
      </c>
      <c r="M86" s="89">
        <f t="shared" si="90"/>
        <v>2.2901115520507706E-3</v>
      </c>
      <c r="N86" s="89">
        <f t="shared" si="90"/>
        <v>2.6605960154441328E-3</v>
      </c>
      <c r="O86" s="89">
        <f t="shared" si="90"/>
        <v>2.9484652039499246E-3</v>
      </c>
      <c r="P86" s="89">
        <f t="shared" si="90"/>
        <v>2.334450132578205E-3</v>
      </c>
      <c r="Q86" s="89">
        <f t="shared" si="90"/>
        <v>2.0192029776989755E-3</v>
      </c>
      <c r="R86" s="89">
        <f t="shared" si="90"/>
        <v>1.9658532206296192E-3</v>
      </c>
      <c r="S86" s="89">
        <f t="shared" si="90"/>
        <v>2.3117361657764282E-3</v>
      </c>
      <c r="T86" s="89">
        <f t="shared" ref="T86:Y86" si="91">T58/T$23</f>
        <v>2.4865658689629854E-3</v>
      </c>
      <c r="U86" s="89">
        <f t="shared" si="91"/>
        <v>2.4263834481639455E-3</v>
      </c>
      <c r="V86" s="89">
        <f t="shared" si="91"/>
        <v>2.161442608552451E-3</v>
      </c>
      <c r="W86" s="89">
        <f t="shared" si="91"/>
        <v>2.1887084615832861E-3</v>
      </c>
      <c r="X86" s="89">
        <f t="shared" si="91"/>
        <v>1.963430642089889E-3</v>
      </c>
      <c r="Y86" s="89">
        <f t="shared" si="91"/>
        <v>1.7912365732960962E-3</v>
      </c>
    </row>
    <row r="87" spans="1:25" x14ac:dyDescent="0.25">
      <c r="A87" s="68" t="s">
        <v>276</v>
      </c>
      <c r="B87" s="44"/>
      <c r="C87" s="44"/>
      <c r="D87" s="89">
        <f t="shared" si="85"/>
        <v>5.6477164026601266E-2</v>
      </c>
      <c r="E87" s="89">
        <f t="shared" ref="E87:S87" si="92">E59/E$23</f>
        <v>5.6839124589024105E-2</v>
      </c>
      <c r="F87" s="89">
        <f t="shared" si="92"/>
        <v>5.869679872439594E-2</v>
      </c>
      <c r="G87" s="89">
        <f t="shared" si="92"/>
        <v>5.2466038494816715E-2</v>
      </c>
      <c r="H87" s="89">
        <f t="shared" si="92"/>
        <v>5.1419883146057062E-2</v>
      </c>
      <c r="I87" s="89">
        <f t="shared" si="92"/>
        <v>4.7316269373897567E-2</v>
      </c>
      <c r="J87" s="89">
        <f t="shared" si="92"/>
        <v>5.1914643894457158E-2</v>
      </c>
      <c r="K87" s="89">
        <f t="shared" si="92"/>
        <v>5.4728785700647459E-2</v>
      </c>
      <c r="L87" s="89">
        <f t="shared" si="92"/>
        <v>5.3114585162613782E-2</v>
      </c>
      <c r="M87" s="89">
        <f t="shared" si="92"/>
        <v>4.7379785440566917E-2</v>
      </c>
      <c r="N87" s="89">
        <f t="shared" si="92"/>
        <v>4.483792905267913E-2</v>
      </c>
      <c r="O87" s="89">
        <f t="shared" si="92"/>
        <v>4.636995641582195E-2</v>
      </c>
      <c r="P87" s="89">
        <f t="shared" si="92"/>
        <v>4.5630287886701593E-2</v>
      </c>
      <c r="Q87" s="89">
        <f t="shared" si="92"/>
        <v>4.8784301322265237E-2</v>
      </c>
      <c r="R87" s="89">
        <f t="shared" si="92"/>
        <v>4.7042568333240088E-2</v>
      </c>
      <c r="S87" s="89">
        <f t="shared" si="92"/>
        <v>4.4070293325004277E-2</v>
      </c>
      <c r="T87" s="89">
        <f t="shared" ref="T87:Y87" si="93">T59/T$23</f>
        <v>4.7245972609921354E-2</v>
      </c>
      <c r="U87" s="89">
        <f t="shared" si="93"/>
        <v>4.9331652289109441E-2</v>
      </c>
      <c r="V87" s="89">
        <f t="shared" si="93"/>
        <v>4.7595576171219796E-2</v>
      </c>
      <c r="W87" s="89">
        <f t="shared" si="93"/>
        <v>5.0407845055623332E-2</v>
      </c>
      <c r="X87" s="89">
        <f t="shared" si="93"/>
        <v>4.3167372293812047E-2</v>
      </c>
      <c r="Y87" s="89">
        <f t="shared" si="93"/>
        <v>3.9628699662565672E-2</v>
      </c>
    </row>
    <row r="88" spans="1:25" x14ac:dyDescent="0.25">
      <c r="A88" s="68" t="s">
        <v>1</v>
      </c>
      <c r="B88" s="44"/>
      <c r="C88" s="44"/>
      <c r="D88" s="89">
        <f t="shared" si="85"/>
        <v>4.4594098503466656E-3</v>
      </c>
      <c r="E88" s="89">
        <f t="shared" ref="E88:S88" si="94">E60/E$23</f>
        <v>3.8808868687722677E-3</v>
      </c>
      <c r="F88" s="89">
        <f t="shared" si="94"/>
        <v>3.5913160799705629E-3</v>
      </c>
      <c r="G88" s="89">
        <f t="shared" si="94"/>
        <v>3.3016000524311649E-3</v>
      </c>
      <c r="H88" s="89">
        <f t="shared" si="94"/>
        <v>2.9366164440150239E-3</v>
      </c>
      <c r="I88" s="89">
        <f t="shared" si="94"/>
        <v>2.3832036671477311E-3</v>
      </c>
      <c r="J88" s="89">
        <f t="shared" si="94"/>
        <v>2.3881164319013511E-3</v>
      </c>
      <c r="K88" s="89">
        <f t="shared" si="94"/>
        <v>2.2366731557801433E-3</v>
      </c>
      <c r="L88" s="89">
        <f t="shared" si="94"/>
        <v>2.0344814942752768E-3</v>
      </c>
      <c r="M88" s="89">
        <f t="shared" si="94"/>
        <v>1.7595799071920635E-3</v>
      </c>
      <c r="N88" s="89">
        <f t="shared" si="94"/>
        <v>1.5321182499826056E-3</v>
      </c>
      <c r="O88" s="89">
        <f t="shared" si="94"/>
        <v>1.5492648939099492E-3</v>
      </c>
      <c r="P88" s="89">
        <f t="shared" si="94"/>
        <v>1.3621796330031465E-3</v>
      </c>
      <c r="Q88" s="89">
        <f t="shared" si="94"/>
        <v>1.5979400555816889E-3</v>
      </c>
      <c r="R88" s="89">
        <f t="shared" si="94"/>
        <v>1.6063358326080101E-3</v>
      </c>
      <c r="S88" s="89">
        <f t="shared" si="94"/>
        <v>1.6862125218690578E-3</v>
      </c>
      <c r="T88" s="89">
        <f t="shared" ref="T88:Y88" si="95">T60/T$23</f>
        <v>1.577660715027096E-3</v>
      </c>
      <c r="U88" s="89">
        <f t="shared" si="95"/>
        <v>1.6255208727490613E-3</v>
      </c>
      <c r="V88" s="89">
        <f t="shared" si="95"/>
        <v>1.8381792342927546E-3</v>
      </c>
      <c r="W88" s="89">
        <f t="shared" si="95"/>
        <v>1.7485171379546991E-3</v>
      </c>
      <c r="X88" s="89">
        <f t="shared" si="95"/>
        <v>1.6646637948566252E-3</v>
      </c>
      <c r="Y88" s="89">
        <f t="shared" si="95"/>
        <v>1.608105751191916E-3</v>
      </c>
    </row>
    <row r="89" spans="1:25" x14ac:dyDescent="0.25">
      <c r="A89" s="68" t="s">
        <v>0</v>
      </c>
      <c r="B89" s="44"/>
      <c r="C89" s="44"/>
      <c r="D89" s="89">
        <f t="shared" si="85"/>
        <v>4.7013225648485828E-3</v>
      </c>
      <c r="E89" s="89">
        <f t="shared" ref="E89:S89" si="96">E61/E$23</f>
        <v>4.3736478254477905E-3</v>
      </c>
      <c r="F89" s="89">
        <f t="shared" si="96"/>
        <v>4.1107567766466334E-3</v>
      </c>
      <c r="G89" s="89">
        <f t="shared" si="96"/>
        <v>4.2155377832079578E-3</v>
      </c>
      <c r="H89" s="89">
        <f t="shared" si="96"/>
        <v>4.2202698552893953E-3</v>
      </c>
      <c r="I89" s="89">
        <f t="shared" si="96"/>
        <v>4.1880242633357111E-3</v>
      </c>
      <c r="J89" s="89">
        <f t="shared" si="96"/>
        <v>4.0364075502906304E-3</v>
      </c>
      <c r="K89" s="89">
        <f t="shared" si="96"/>
        <v>4.0227789098087312E-3</v>
      </c>
      <c r="L89" s="89">
        <f t="shared" si="96"/>
        <v>3.4345444054412369E-3</v>
      </c>
      <c r="M89" s="89">
        <f t="shared" si="96"/>
        <v>2.5944902934772686E-3</v>
      </c>
      <c r="N89" s="89">
        <f t="shared" si="96"/>
        <v>2.4942789799094743E-3</v>
      </c>
      <c r="O89" s="89">
        <f t="shared" si="96"/>
        <v>2.4978039614245193E-3</v>
      </c>
      <c r="P89" s="89">
        <f t="shared" si="96"/>
        <v>2.4413680396442499E-3</v>
      </c>
      <c r="Q89" s="89">
        <f t="shared" si="96"/>
        <v>2.319403066418823E-3</v>
      </c>
      <c r="R89" s="89">
        <f t="shared" si="96"/>
        <v>2.4077690449891128E-3</v>
      </c>
      <c r="S89" s="89">
        <f t="shared" si="96"/>
        <v>2.4442695154302165E-3</v>
      </c>
      <c r="T89" s="89">
        <f t="shared" ref="T89:Y89" si="97">T61/T$23</f>
        <v>2.2667679365288695E-3</v>
      </c>
      <c r="U89" s="89">
        <f t="shared" si="97"/>
        <v>2.294141649300991E-3</v>
      </c>
      <c r="V89" s="89">
        <f t="shared" si="97"/>
        <v>2.2117619073758945E-3</v>
      </c>
      <c r="W89" s="89">
        <f t="shared" si="97"/>
        <v>2.2818686826884924E-3</v>
      </c>
      <c r="X89" s="89">
        <f t="shared" si="97"/>
        <v>2.2725507959104442E-3</v>
      </c>
      <c r="Y89" s="89">
        <f t="shared" si="97"/>
        <v>2.2375153805818749E-3</v>
      </c>
    </row>
    <row r="90" spans="1:25" x14ac:dyDescent="0.25">
      <c r="A90" s="90" t="s">
        <v>278</v>
      </c>
      <c r="B90" s="47"/>
      <c r="C90" s="47"/>
      <c r="D90" s="91">
        <f t="shared" si="85"/>
        <v>1.9851839873344674E-2</v>
      </c>
      <c r="E90" s="91">
        <f t="shared" ref="E90:S90" si="98">E62/E$23</f>
        <v>1.9319888930039931E-2</v>
      </c>
      <c r="F90" s="91">
        <f t="shared" si="98"/>
        <v>1.8771617809395316E-2</v>
      </c>
      <c r="G90" s="91">
        <f t="shared" si="98"/>
        <v>1.7987136326439317E-2</v>
      </c>
      <c r="H90" s="91">
        <f t="shared" si="98"/>
        <v>1.7817892907123527E-2</v>
      </c>
      <c r="I90" s="91">
        <f t="shared" si="98"/>
        <v>1.7578200598289181E-2</v>
      </c>
      <c r="J90" s="91">
        <f t="shared" si="98"/>
        <v>1.7764161232840307E-2</v>
      </c>
      <c r="K90" s="91">
        <f t="shared" si="98"/>
        <v>1.7050339289376409E-2</v>
      </c>
      <c r="L90" s="91">
        <f t="shared" si="98"/>
        <v>1.5227493337398756E-2</v>
      </c>
      <c r="M90" s="91">
        <f t="shared" si="98"/>
        <v>1.4628231704932141E-2</v>
      </c>
      <c r="N90" s="91">
        <f t="shared" si="98"/>
        <v>1.4514378083894315E-2</v>
      </c>
      <c r="O90" s="91">
        <f t="shared" si="98"/>
        <v>1.4088773719904689E-2</v>
      </c>
      <c r="P90" s="91">
        <f t="shared" si="98"/>
        <v>1.4578597855818247E-2</v>
      </c>
      <c r="Q90" s="91">
        <f t="shared" si="98"/>
        <v>1.4649049567412567E-2</v>
      </c>
      <c r="R90" s="91">
        <f t="shared" si="98"/>
        <v>1.6115399443767185E-2</v>
      </c>
      <c r="S90" s="91">
        <f t="shared" si="98"/>
        <v>1.5784553111473632E-2</v>
      </c>
      <c r="T90" s="91">
        <f t="shared" ref="T90:Y90" si="99">T62/T$23</f>
        <v>1.6141715938036521E-2</v>
      </c>
      <c r="U90" s="91">
        <f t="shared" si="99"/>
        <v>1.4707706615132677E-2</v>
      </c>
      <c r="V90" s="91">
        <f t="shared" si="99"/>
        <v>1.4014687135947496E-2</v>
      </c>
      <c r="W90" s="91">
        <f t="shared" si="99"/>
        <v>1.4011891104238122E-2</v>
      </c>
      <c r="X90" s="91">
        <f t="shared" si="99"/>
        <v>1.4433988426482282E-2</v>
      </c>
      <c r="Y90" s="91">
        <f t="shared" si="99"/>
        <v>1.4491729501860702E-2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8.2297143006413442E-3</v>
      </c>
      <c r="F93" s="92">
        <f t="shared" ref="F93:F94" si="101">IF(E16=0,"",F16/E16-1)</f>
        <v>4.6622290931248589E-3</v>
      </c>
      <c r="G93" s="92">
        <f t="shared" ref="G93:G94" si="102">IF(F16=0,"",G16/F16-1)</f>
        <v>3.9071733007729481E-3</v>
      </c>
      <c r="H93" s="92">
        <f t="shared" ref="H93:H94" si="103">IF(G16=0,"",H16/G16-1)</f>
        <v>2.6681808037203991E-2</v>
      </c>
      <c r="I93" s="92">
        <f t="shared" ref="I93:I94" si="104">IF(H16=0,"",I16/H16-1)</f>
        <v>2.3362362598396746E-2</v>
      </c>
      <c r="J93" s="92">
        <f t="shared" ref="J93:J94" si="105">IF(I16=0,"",J16/I16-1)</f>
        <v>3.9129071771458968E-2</v>
      </c>
      <c r="K93" s="92">
        <f t="shared" ref="K93:K94" si="106">IF(J16=0,"",K16/J16-1)</f>
        <v>9.096862436603681E-3</v>
      </c>
      <c r="L93" s="92">
        <f t="shared" ref="L93:L94" si="107">IF(K16=0,"",L16/K16-1)</f>
        <v>-5.1260061384004185E-3</v>
      </c>
      <c r="M93" s="92">
        <f t="shared" ref="M93:M94" si="108">IF(L16=0,"",M16/L16-1)</f>
        <v>-4.9061032728287657E-2</v>
      </c>
      <c r="N93" s="92">
        <f t="shared" ref="N93:N94" si="109">IF(M16=0,"",N16/M16-1)</f>
        <v>1.8713122286659667E-2</v>
      </c>
      <c r="O93" s="92">
        <f t="shared" ref="O93:O94" si="110">IF(N16=0,"",O16/N16-1)</f>
        <v>1.3369101227153735E-2</v>
      </c>
      <c r="P93" s="92">
        <f t="shared" ref="P93:P94" si="111">IF(O16=0,"",P16/O16-1)</f>
        <v>2.2591291445965833E-3</v>
      </c>
      <c r="Q93" s="92">
        <f t="shared" ref="Q93:Q94" si="112">IF(P16=0,"",Q16/P16-1)</f>
        <v>9.3368414856283E-3</v>
      </c>
      <c r="R93" s="92">
        <f t="shared" ref="R93:R94" si="113">IF(Q16=0,"",R16/Q16-1)</f>
        <v>1.6190703509052717E-2</v>
      </c>
      <c r="S93" s="92">
        <f t="shared" ref="S93:S94" si="114">IF(R16=0,"",S16/R16-1)</f>
        <v>2.3426902380746073E-2</v>
      </c>
      <c r="T93" s="92">
        <f t="shared" ref="T93:T94" si="115">IF(S16=0,"",T16/S16-1)</f>
        <v>3.2463475421941723E-2</v>
      </c>
      <c r="U93" s="92">
        <f t="shared" ref="U93:U94" si="116">IF(T16=0,"",U16/T16-1)</f>
        <v>2.8217389367032109E-2</v>
      </c>
      <c r="V93" s="92">
        <f t="shared" ref="V93:V94" si="117">IF(U16=0,"",V16/U16-1)</f>
        <v>1.9894749802681799E-2</v>
      </c>
      <c r="W93" s="92">
        <f t="shared" ref="W93:W94" si="118">IF(V16=0,"",W16/V16-1)</f>
        <v>1.4935922024343684E-2</v>
      </c>
      <c r="X93" s="92">
        <f t="shared" ref="X93:X94" si="119">IF(W16=0,"",X16/W16-1)</f>
        <v>-2.4248682781072506E-2</v>
      </c>
      <c r="Y93" s="92">
        <f t="shared" ref="Y93:Y94" si="120">IF(X16=0,"",Y16/X16-1)</f>
        <v>6.844845381794884E-2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2.2892339198190559E-3</v>
      </c>
      <c r="F94" s="93">
        <f t="shared" si="101"/>
        <v>1.4459215151946481E-2</v>
      </c>
      <c r="G94" s="93">
        <f t="shared" si="102"/>
        <v>1.3336817914279209E-2</v>
      </c>
      <c r="H94" s="93">
        <f t="shared" si="103"/>
        <v>4.6473270637907849E-2</v>
      </c>
      <c r="I94" s="93">
        <f t="shared" si="104"/>
        <v>3.6985640570783351E-2</v>
      </c>
      <c r="J94" s="93">
        <f t="shared" si="105"/>
        <v>2.9474899281834332E-2</v>
      </c>
      <c r="K94" s="93">
        <f t="shared" si="106"/>
        <v>1.7695188848421584E-2</v>
      </c>
      <c r="L94" s="93">
        <f t="shared" si="107"/>
        <v>4.9052603497186098E-3</v>
      </c>
      <c r="M94" s="93">
        <f t="shared" si="108"/>
        <v>-3.4328870056266725E-2</v>
      </c>
      <c r="N94" s="93">
        <f t="shared" si="109"/>
        <v>7.8349033922164857E-3</v>
      </c>
      <c r="O94" s="93">
        <f t="shared" si="110"/>
        <v>2.7583468284460011E-3</v>
      </c>
      <c r="P94" s="93">
        <f t="shared" si="111"/>
        <v>5.1292567033420777E-3</v>
      </c>
      <c r="Q94" s="93">
        <f t="shared" si="112"/>
        <v>2.7935945412556062E-3</v>
      </c>
      <c r="R94" s="93">
        <f t="shared" si="113"/>
        <v>9.1132792945995966E-3</v>
      </c>
      <c r="S94" s="93">
        <f t="shared" si="114"/>
        <v>2.2804870924373999E-2</v>
      </c>
      <c r="T94" s="93">
        <f t="shared" si="115"/>
        <v>2.4230307216693392E-2</v>
      </c>
      <c r="U94" s="93">
        <f t="shared" si="116"/>
        <v>2.2875172571599656E-2</v>
      </c>
      <c r="V94" s="93">
        <f t="shared" si="117"/>
        <v>3.4905685727874447E-2</v>
      </c>
      <c r="W94" s="93">
        <f t="shared" si="118"/>
        <v>1.5810208142926996E-2</v>
      </c>
      <c r="X94" s="93">
        <f t="shared" si="119"/>
        <v>-1.3743277652657482E-2</v>
      </c>
      <c r="Y94" s="93">
        <f t="shared" si="120"/>
        <v>5.472149902297252E-2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4.6123694137947258E-3</v>
      </c>
      <c r="F95" s="92">
        <f t="shared" ref="F95:F96" si="122">IF(E20=0,"",F20/E20-1)</f>
        <v>1.0798937275173781E-3</v>
      </c>
      <c r="G95" s="92">
        <f t="shared" ref="G95:G96" si="123">IF(F20=0,"",G20/F20-1)</f>
        <v>1.0814677900294889E-3</v>
      </c>
      <c r="H95" s="92">
        <f t="shared" ref="H95:H96" si="124">IF(G20=0,"",H20/G20-1)</f>
        <v>2.3993578738290111E-2</v>
      </c>
      <c r="I95" s="92">
        <f t="shared" ref="I95:I96" si="125">IF(H20=0,"",I20/H20-1)</f>
        <v>2.0759234035450991E-2</v>
      </c>
      <c r="J95" s="92">
        <f t="shared" ref="J95:J96" si="126">IF(I20=0,"",J20/I20-1)</f>
        <v>3.605540910201821E-2</v>
      </c>
      <c r="K95" s="92">
        <f t="shared" ref="K95:K96" si="127">IF(J20=0,"",K20/J20-1)</f>
        <v>5.4612427315801071E-3</v>
      </c>
      <c r="L95" s="92">
        <f t="shared" ref="L95:L96" si="128">IF(K20=0,"",L20/K20-1)</f>
        <v>-1.0341663153393243E-2</v>
      </c>
      <c r="M95" s="92">
        <f t="shared" ref="M95:M96" si="129">IF(L20=0,"",M20/L20-1)</f>
        <v>-5.5213765207068444E-2</v>
      </c>
      <c r="N95" s="92">
        <f t="shared" ref="N95:N96" si="130">IF(M20=0,"",N20/M20-1)</f>
        <v>1.4426962313289771E-2</v>
      </c>
      <c r="O95" s="92">
        <f t="shared" ref="O95:O96" si="131">IF(N20=0,"",O20/N20-1)</f>
        <v>8.6509064421815829E-3</v>
      </c>
      <c r="P95" s="92">
        <f t="shared" ref="P95:P96" si="132">IF(O20=0,"",P20/O20-1)</f>
        <v>-1.3127501512297801E-3</v>
      </c>
      <c r="Q95" s="92">
        <f t="shared" ref="Q95:Q96" si="133">IF(P20=0,"",Q20/P20-1)</f>
        <v>5.3532723036424645E-3</v>
      </c>
      <c r="R95" s="92">
        <f t="shared" ref="R95:R96" si="134">IF(Q20=0,"",R20/Q20-1)</f>
        <v>1.1747063845657157E-2</v>
      </c>
      <c r="S95" s="92">
        <f t="shared" ref="S95:S96" si="135">IF(R20=0,"",S20/R20-1)</f>
        <v>1.7553655090144726E-2</v>
      </c>
      <c r="T95" s="92">
        <f t="shared" ref="T95:T96" si="136">IF(S20=0,"",T20/S20-1)</f>
        <v>2.3864031702424571E-2</v>
      </c>
      <c r="U95" s="92">
        <f t="shared" ref="U95:U96" si="137">IF(T20=0,"",U20/T20-1)</f>
        <v>2.0791533575689636E-2</v>
      </c>
      <c r="V95" s="92">
        <f t="shared" ref="V95:V96" si="138">IF(U20=0,"",V20/U20-1)</f>
        <v>1.4175164789327788E-2</v>
      </c>
      <c r="W95" s="92">
        <f t="shared" ref="W95:W96" si="139">IF(V20=0,"",W20/V20-1)</f>
        <v>1.0584833909123015E-2</v>
      </c>
      <c r="X95" s="92">
        <f t="shared" ref="X95:X96" si="140">IF(W20=0,"",X20/W20-1)</f>
        <v>-2.7044174109475461E-2</v>
      </c>
      <c r="Y95" s="92">
        <f t="shared" ref="Y95:Y96" si="141">IF(X20=0,"",Y20/X20-1)</f>
        <v>6.5286675753073897E-2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-1.3067976035883166E-3</v>
      </c>
      <c r="F96" s="93">
        <f t="shared" si="122"/>
        <v>1.0841946563392435E-2</v>
      </c>
      <c r="G96" s="93">
        <f t="shared" si="123"/>
        <v>1.0484570707791852E-2</v>
      </c>
      <c r="H96" s="93">
        <f t="shared" si="124"/>
        <v>4.3733220035435894E-2</v>
      </c>
      <c r="I96" s="93">
        <f t="shared" si="125"/>
        <v>3.4347858452746349E-2</v>
      </c>
      <c r="J96" s="93">
        <f t="shared" si="126"/>
        <v>2.6429792900916516E-2</v>
      </c>
      <c r="K96" s="93">
        <f t="shared" si="127"/>
        <v>1.402859070505702E-2</v>
      </c>
      <c r="L96" s="93">
        <f t="shared" si="128"/>
        <v>-3.629858833569255E-4</v>
      </c>
      <c r="M96" s="93">
        <f t="shared" si="129"/>
        <v>-4.0576922065400756E-2</v>
      </c>
      <c r="N96" s="93">
        <f t="shared" si="130"/>
        <v>3.5945127187475556E-3</v>
      </c>
      <c r="O96" s="93">
        <f t="shared" si="131"/>
        <v>-1.9104448259119611E-3</v>
      </c>
      <c r="P96" s="93">
        <f t="shared" si="132"/>
        <v>1.5471487661340433E-3</v>
      </c>
      <c r="Q96" s="93">
        <f t="shared" si="133"/>
        <v>-1.1641502817981708E-3</v>
      </c>
      <c r="R96" s="93">
        <f t="shared" si="134"/>
        <v>4.7005880770476516E-3</v>
      </c>
      <c r="S96" s="93">
        <f t="shared" si="135"/>
        <v>1.6935193350922972E-2</v>
      </c>
      <c r="T96" s="93">
        <f t="shared" si="136"/>
        <v>1.5699437997194643E-2</v>
      </c>
      <c r="U96" s="93">
        <f t="shared" si="137"/>
        <v>1.5487898632634778E-2</v>
      </c>
      <c r="V96" s="93">
        <f t="shared" si="138"/>
        <v>2.9101919161305556E-2</v>
      </c>
      <c r="W96" s="93">
        <f t="shared" si="139"/>
        <v>1.145537191331103E-2</v>
      </c>
      <c r="X96" s="93">
        <f t="shared" si="140"/>
        <v>-1.6568866577056363E-2</v>
      </c>
      <c r="Y96" s="93">
        <f t="shared" si="141"/>
        <v>5.1600342089059614E-2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8.4093339994308902E-3</v>
      </c>
      <c r="F97" s="89">
        <f t="shared" ref="F97:F106" si="143">IF(E23=0,"",F23/E23-1)</f>
        <v>3.1218414052645027E-3</v>
      </c>
      <c r="G97" s="89">
        <f t="shared" ref="G97:G106" si="144">IF(F23=0,"",G23/F23-1)</f>
        <v>3.8157004681353968E-3</v>
      </c>
      <c r="H97" s="89">
        <f t="shared" ref="H97:H106" si="145">IF(G23=0,"",H23/G23-1)</f>
        <v>1.9778152994577747E-2</v>
      </c>
      <c r="I97" s="89">
        <f t="shared" ref="I97:I106" si="146">IF(H23=0,"",I23/H23-1)</f>
        <v>1.6184463069576882E-2</v>
      </c>
      <c r="J97" s="89">
        <f t="shared" ref="J97:J106" si="147">IF(I23=0,"",J23/I23-1)</f>
        <v>3.8376324020364949E-2</v>
      </c>
      <c r="K97" s="89">
        <f t="shared" ref="K97:K106" si="148">IF(J23=0,"",K23/J23-1)</f>
        <v>5.0015925096760228E-3</v>
      </c>
      <c r="L97" s="89">
        <f t="shared" ref="L97:L106" si="149">IF(K23=0,"",L23/K23-1)</f>
        <v>5.420263226805222E-4</v>
      </c>
      <c r="M97" s="89">
        <f t="shared" ref="M97:M106" si="150">IF(L23=0,"",M23/L23-1)</f>
        <v>-4.4473550933998629E-2</v>
      </c>
      <c r="N97" s="89">
        <f t="shared" ref="N97:N106" si="151">IF(M23=0,"",N23/M23-1)</f>
        <v>1.8390213261098021E-2</v>
      </c>
      <c r="O97" s="89">
        <f t="shared" ref="O97:O106" si="152">IF(N23=0,"",O23/N23-1)</f>
        <v>1.5468302698665726E-2</v>
      </c>
      <c r="P97" s="89">
        <f t="shared" ref="P97:P106" si="153">IF(O23=0,"",P23/O23-1)</f>
        <v>2.1865369999691797E-3</v>
      </c>
      <c r="Q97" s="89">
        <f t="shared" ref="Q97:Q106" si="154">IF(P23=0,"",Q23/P23-1)</f>
        <v>9.1859558319875578E-3</v>
      </c>
      <c r="R97" s="89">
        <f t="shared" ref="R97:R106" si="155">IF(Q23=0,"",R23/Q23-1)</f>
        <v>1.5465858167641677E-2</v>
      </c>
      <c r="S97" s="89">
        <f t="shared" ref="S97:S106" si="156">IF(R23=0,"",S23/R23-1)</f>
        <v>2.1738346931243546E-2</v>
      </c>
      <c r="T97" s="89">
        <f t="shared" ref="T97:T106" si="157">IF(S23=0,"",T23/S23-1)</f>
        <v>3.1758405073887719E-2</v>
      </c>
      <c r="U97" s="89">
        <f t="shared" ref="U97:U106" si="158">IF(T23=0,"",U23/T23-1)</f>
        <v>2.9705453080476341E-2</v>
      </c>
      <c r="V97" s="89">
        <f t="shared" ref="V97:V106" si="159">IF(U23=0,"",V23/U23-1)</f>
        <v>1.7458433625387793E-2</v>
      </c>
      <c r="W97" s="89">
        <f t="shared" ref="W97:W106" si="160">IF(V23=0,"",W23/V23-1)</f>
        <v>1.4784313859045328E-2</v>
      </c>
      <c r="X97" s="89">
        <f t="shared" ref="X97:X106" si="161">IF(W23=0,"",X23/W23-1)</f>
        <v>-2.8391293846672161E-2</v>
      </c>
      <c r="Y97" s="89">
        <f t="shared" ref="Y97:Y106" si="162">IF(X23=0,"",Y23/X23-1)</f>
        <v>6.9144896073515483E-2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9.6763627757141757E-2</v>
      </c>
      <c r="F98" s="83">
        <f t="shared" si="143"/>
        <v>-0.23449491553058344</v>
      </c>
      <c r="G98" s="83">
        <f t="shared" si="144"/>
        <v>-9.326195957470973E-2</v>
      </c>
      <c r="H98" s="83">
        <f t="shared" si="145"/>
        <v>3.0464383628952429E-2</v>
      </c>
      <c r="I98" s="83">
        <f t="shared" si="146"/>
        <v>-0.27597270111699901</v>
      </c>
      <c r="J98" s="83">
        <f t="shared" si="147"/>
        <v>5.6700521531191317E-2</v>
      </c>
      <c r="K98" s="83">
        <f t="shared" si="148"/>
        <v>1.4113776461082361E-2</v>
      </c>
      <c r="L98" s="83">
        <f t="shared" si="149"/>
        <v>-0.27741005624981374</v>
      </c>
      <c r="M98" s="83">
        <f t="shared" si="150"/>
        <v>-7.6135754009922452E-2</v>
      </c>
      <c r="N98" s="83">
        <f t="shared" si="151"/>
        <v>0.46718465562362765</v>
      </c>
      <c r="O98" s="83">
        <f t="shared" si="152"/>
        <v>0.10860329311682482</v>
      </c>
      <c r="P98" s="83">
        <f t="shared" si="153"/>
        <v>0.26325461392208727</v>
      </c>
      <c r="Q98" s="83">
        <f t="shared" si="154"/>
        <v>-0.20748640057395418</v>
      </c>
      <c r="R98" s="83">
        <f t="shared" si="155"/>
        <v>7.4982791964440132E-2</v>
      </c>
      <c r="S98" s="83">
        <f t="shared" si="156"/>
        <v>-0.29237570821992387</v>
      </c>
      <c r="T98" s="83">
        <f t="shared" si="157"/>
        <v>3.5582730710523869E-2</v>
      </c>
      <c r="U98" s="83">
        <f t="shared" si="158"/>
        <v>0.39507011309735929</v>
      </c>
      <c r="V98" s="83">
        <f t="shared" si="159"/>
        <v>-0.19779437806212474</v>
      </c>
      <c r="W98" s="83">
        <f t="shared" si="160"/>
        <v>0.24777077821665205</v>
      </c>
      <c r="X98" s="83">
        <f t="shared" si="161"/>
        <v>6.2566099847467305E-2</v>
      </c>
      <c r="Y98" s="83">
        <f t="shared" si="162"/>
        <v>-0.15958734961424925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-0.15315462635144472</v>
      </c>
      <c r="F99" s="83">
        <f t="shared" si="143"/>
        <v>-2.7768567156073787E-2</v>
      </c>
      <c r="G99" s="83">
        <f t="shared" si="144"/>
        <v>-2.7352316188845816E-2</v>
      </c>
      <c r="H99" s="83">
        <f t="shared" si="145"/>
        <v>0.25382402066111331</v>
      </c>
      <c r="I99" s="83">
        <f t="shared" si="146"/>
        <v>0.36051196511997974</v>
      </c>
      <c r="J99" s="83">
        <f t="shared" si="147"/>
        <v>0.10179460846093846</v>
      </c>
      <c r="K99" s="83">
        <f t="shared" si="148"/>
        <v>-3.6543600161999534E-2</v>
      </c>
      <c r="L99" s="83">
        <f t="shared" si="149"/>
        <v>6.4599172031883922E-2</v>
      </c>
      <c r="M99" s="83">
        <f t="shared" si="150"/>
        <v>-0.36844893282742441</v>
      </c>
      <c r="N99" s="83">
        <f t="shared" si="151"/>
        <v>0.13059310213005126</v>
      </c>
      <c r="O99" s="83">
        <f t="shared" si="152"/>
        <v>0.16161449558795438</v>
      </c>
      <c r="P99" s="83">
        <f t="shared" si="153"/>
        <v>-2.0291313283752332E-2</v>
      </c>
      <c r="Q99" s="83">
        <f t="shared" si="154"/>
        <v>-0.17301019468407863</v>
      </c>
      <c r="R99" s="83">
        <f t="shared" si="155"/>
        <v>-0.17829499027967266</v>
      </c>
      <c r="S99" s="83">
        <f t="shared" si="156"/>
        <v>-0.4100802791892556</v>
      </c>
      <c r="T99" s="83">
        <f t="shared" si="157"/>
        <v>-0.13229149648280325</v>
      </c>
      <c r="U99" s="83">
        <f t="shared" si="158"/>
        <v>3.7766071012871105E-2</v>
      </c>
      <c r="V99" s="83">
        <f t="shared" si="159"/>
        <v>0.14124078459626688</v>
      </c>
      <c r="W99" s="83">
        <f t="shared" si="160"/>
        <v>-0.24088088425278353</v>
      </c>
      <c r="X99" s="83">
        <f t="shared" si="161"/>
        <v>-0.48501946909454452</v>
      </c>
      <c r="Y99" s="83">
        <f t="shared" si="162"/>
        <v>-0.14291836592735885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1.7998905908976459E-2</v>
      </c>
      <c r="F100" s="83">
        <f t="shared" si="143"/>
        <v>1.50098194170043E-2</v>
      </c>
      <c r="G100" s="83">
        <f t="shared" si="144"/>
        <v>1.4861738254063894E-2</v>
      </c>
      <c r="H100" s="83">
        <f t="shared" si="145"/>
        <v>1.8556609994138329E-2</v>
      </c>
      <c r="I100" s="83">
        <f t="shared" si="146"/>
        <v>1.8228605835560963E-2</v>
      </c>
      <c r="J100" s="83">
        <f t="shared" si="147"/>
        <v>2.8042773588394354E-2</v>
      </c>
      <c r="K100" s="83">
        <f t="shared" si="148"/>
        <v>1.4883690070069289E-2</v>
      </c>
      <c r="L100" s="83">
        <f t="shared" si="149"/>
        <v>4.6864823188172977E-3</v>
      </c>
      <c r="M100" s="83">
        <f t="shared" si="150"/>
        <v>-2.7017485685767451E-3</v>
      </c>
      <c r="N100" s="83">
        <f t="shared" si="151"/>
        <v>1.6665527144409165E-2</v>
      </c>
      <c r="O100" s="83">
        <f t="shared" si="152"/>
        <v>6.1029484941526047E-3</v>
      </c>
      <c r="P100" s="83">
        <f t="shared" si="153"/>
        <v>-4.0558883023306125E-3</v>
      </c>
      <c r="Q100" s="83">
        <f t="shared" si="154"/>
        <v>1.9734727959898279E-2</v>
      </c>
      <c r="R100" s="83">
        <f t="shared" si="155"/>
        <v>1.8299574459859969E-2</v>
      </c>
      <c r="S100" s="83">
        <f t="shared" si="156"/>
        <v>2.7166289110819308E-2</v>
      </c>
      <c r="T100" s="83">
        <f t="shared" si="157"/>
        <v>2.0920305153088847E-2</v>
      </c>
      <c r="U100" s="83">
        <f t="shared" si="158"/>
        <v>2.2850963080639941E-2</v>
      </c>
      <c r="V100" s="83">
        <f t="shared" si="159"/>
        <v>1.996713872961009E-2</v>
      </c>
      <c r="W100" s="83">
        <f t="shared" si="160"/>
        <v>1.3486955680006796E-2</v>
      </c>
      <c r="X100" s="83">
        <f t="shared" si="161"/>
        <v>-1.5043746869828012E-2</v>
      </c>
      <c r="Y100" s="83">
        <f t="shared" si="162"/>
        <v>7.8005527232815952E-2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2.6505764361707707E-2</v>
      </c>
      <c r="F101" s="84">
        <f t="shared" si="143"/>
        <v>1.1935845325580674E-2</v>
      </c>
      <c r="G101" s="84">
        <f t="shared" si="144"/>
        <v>9.2798995117047145E-3</v>
      </c>
      <c r="H101" s="84">
        <f t="shared" si="145"/>
        <v>2.3272842650676973E-2</v>
      </c>
      <c r="I101" s="84">
        <f t="shared" si="146"/>
        <v>4.0305882177686936E-3</v>
      </c>
      <c r="J101" s="84">
        <f t="shared" si="147"/>
        <v>-1.3434258431890278E-3</v>
      </c>
      <c r="K101" s="84">
        <f t="shared" si="148"/>
        <v>9.779035439159145E-3</v>
      </c>
      <c r="L101" s="84">
        <f t="shared" si="149"/>
        <v>-4.3507841494222488E-3</v>
      </c>
      <c r="M101" s="84">
        <f t="shared" si="150"/>
        <v>4.2969073602241448E-3</v>
      </c>
      <c r="N101" s="84">
        <f t="shared" si="151"/>
        <v>3.5133447691732433E-2</v>
      </c>
      <c r="O101" s="84">
        <f t="shared" si="152"/>
        <v>-2.4694669504582989E-2</v>
      </c>
      <c r="P101" s="84">
        <f t="shared" si="153"/>
        <v>-6.9604641952377699E-3</v>
      </c>
      <c r="Q101" s="84">
        <f t="shared" si="154"/>
        <v>2.7024122331120504E-2</v>
      </c>
      <c r="R101" s="84">
        <f t="shared" si="155"/>
        <v>1.8207847004155342E-2</v>
      </c>
      <c r="S101" s="84">
        <f t="shared" si="156"/>
        <v>4.7650697567147571E-3</v>
      </c>
      <c r="T101" s="84">
        <f t="shared" si="157"/>
        <v>-7.1304604662560944E-3</v>
      </c>
      <c r="U101" s="84">
        <f t="shared" si="158"/>
        <v>1.8077561028703171E-2</v>
      </c>
      <c r="V101" s="84">
        <f t="shared" si="159"/>
        <v>2.533870469835664E-3</v>
      </c>
      <c r="W101" s="84">
        <f t="shared" si="160"/>
        <v>2.406673322286057E-2</v>
      </c>
      <c r="X101" s="84">
        <f t="shared" si="161"/>
        <v>-4.4238261781313737E-2</v>
      </c>
      <c r="Y101" s="84">
        <f t="shared" si="162"/>
        <v>4.4544471899104821E-2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2.5710485707747699E-2</v>
      </c>
      <c r="F102" s="84">
        <f t="shared" si="143"/>
        <v>1.2591394916769749E-2</v>
      </c>
      <c r="G102" s="84">
        <f t="shared" si="144"/>
        <v>2.7692155899972759E-2</v>
      </c>
      <c r="H102" s="84">
        <f t="shared" si="145"/>
        <v>2.0268038388482124E-2</v>
      </c>
      <c r="I102" s="84">
        <f t="shared" si="146"/>
        <v>3.6971219392767818E-2</v>
      </c>
      <c r="J102" s="84">
        <f t="shared" si="147"/>
        <v>2.8380519847840846E-2</v>
      </c>
      <c r="K102" s="84">
        <f t="shared" si="148"/>
        <v>1.6682978644304569E-2</v>
      </c>
      <c r="L102" s="84">
        <f t="shared" si="149"/>
        <v>2.2096809461029654E-2</v>
      </c>
      <c r="M102" s="84">
        <f t="shared" si="150"/>
        <v>1.6898608942897519E-2</v>
      </c>
      <c r="N102" s="84">
        <f t="shared" si="151"/>
        <v>1.9127293487291031E-3</v>
      </c>
      <c r="O102" s="84">
        <f t="shared" si="152"/>
        <v>1.4358894734802563E-2</v>
      </c>
      <c r="P102" s="84">
        <f t="shared" si="153"/>
        <v>-3.6445710993943115E-3</v>
      </c>
      <c r="Q102" s="84">
        <f t="shared" si="154"/>
        <v>1.6336906758133374E-2</v>
      </c>
      <c r="R102" s="84">
        <f t="shared" si="155"/>
        <v>1.8369884911569878E-2</v>
      </c>
      <c r="S102" s="84">
        <f t="shared" si="156"/>
        <v>4.2302923499610179E-2</v>
      </c>
      <c r="T102" s="84">
        <f t="shared" si="157"/>
        <v>5.5565472281068562E-2</v>
      </c>
      <c r="U102" s="84">
        <f t="shared" si="158"/>
        <v>2.1916592372124066E-2</v>
      </c>
      <c r="V102" s="84">
        <f t="shared" si="159"/>
        <v>2.9048933842598101E-2</v>
      </c>
      <c r="W102" s="84">
        <f t="shared" si="160"/>
        <v>1.5090311884671248E-2</v>
      </c>
      <c r="X102" s="84">
        <f t="shared" si="161"/>
        <v>-1.2402357538332742E-2</v>
      </c>
      <c r="Y102" s="84">
        <f t="shared" si="162"/>
        <v>3.7818089718284709E-2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-1.7646836369687446E-2</v>
      </c>
      <c r="F103" s="84">
        <f t="shared" si="143"/>
        <v>2.7686564236013567E-2</v>
      </c>
      <c r="G103" s="84">
        <f t="shared" si="144"/>
        <v>1.6625659629716516E-3</v>
      </c>
      <c r="H103" s="84">
        <f t="shared" si="145"/>
        <v>3.3846593755815224E-3</v>
      </c>
      <c r="I103" s="84">
        <f t="shared" si="146"/>
        <v>1.2852782122343864E-2</v>
      </c>
      <c r="J103" s="84">
        <f t="shared" si="147"/>
        <v>9.9822098568014273E-2</v>
      </c>
      <c r="K103" s="84">
        <f t="shared" si="148"/>
        <v>2.2581137597110112E-2</v>
      </c>
      <c r="L103" s="84">
        <f t="shared" si="149"/>
        <v>-1.1321258776918031E-2</v>
      </c>
      <c r="M103" s="84">
        <f t="shared" si="150"/>
        <v>-6.0207399893524083E-2</v>
      </c>
      <c r="N103" s="84">
        <f t="shared" si="151"/>
        <v>6.8120772706290467E-3</v>
      </c>
      <c r="O103" s="84">
        <f t="shared" si="152"/>
        <v>6.2508646527101197E-2</v>
      </c>
      <c r="P103" s="84">
        <f t="shared" si="153"/>
        <v>1.56867201019395E-3</v>
      </c>
      <c r="Q103" s="84">
        <f t="shared" si="154"/>
        <v>1.0919234821743729E-2</v>
      </c>
      <c r="R103" s="84">
        <f t="shared" si="155"/>
        <v>1.835269314204746E-2</v>
      </c>
      <c r="S103" s="84">
        <f t="shared" si="156"/>
        <v>4.4602581442406253E-2</v>
      </c>
      <c r="T103" s="84">
        <f t="shared" si="157"/>
        <v>6.0069220503813359E-3</v>
      </c>
      <c r="U103" s="84">
        <f t="shared" si="158"/>
        <v>3.5259304178476336E-2</v>
      </c>
      <c r="V103" s="84">
        <f t="shared" si="159"/>
        <v>3.6176887482499698E-2</v>
      </c>
      <c r="W103" s="84">
        <f t="shared" si="160"/>
        <v>-1.176289320595425E-2</v>
      </c>
      <c r="X103" s="84">
        <f t="shared" si="161"/>
        <v>4.0692916693088055E-2</v>
      </c>
      <c r="Y103" s="84">
        <f t="shared" si="162"/>
        <v>0.23149993680527481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5.0909973465594893E-2</v>
      </c>
      <c r="F104" s="83">
        <f t="shared" si="143"/>
        <v>-1.9853788339778466E-2</v>
      </c>
      <c r="G104" s="83">
        <f t="shared" si="144"/>
        <v>1.0080891278483772E-2</v>
      </c>
      <c r="H104" s="83">
        <f t="shared" si="145"/>
        <v>3.235647370744954E-2</v>
      </c>
      <c r="I104" s="83">
        <f t="shared" si="146"/>
        <v>5.3044742933272326E-2</v>
      </c>
      <c r="J104" s="83">
        <f t="shared" si="147"/>
        <v>9.438970261730395E-2</v>
      </c>
      <c r="K104" s="83">
        <f t="shared" si="148"/>
        <v>-0.18239253635300112</v>
      </c>
      <c r="L104" s="83">
        <f t="shared" si="149"/>
        <v>-2.0959653016066837E-2</v>
      </c>
      <c r="M104" s="83">
        <f t="shared" si="150"/>
        <v>-0.1169609335430003</v>
      </c>
      <c r="N104" s="83">
        <f t="shared" si="151"/>
        <v>0.19678424764151936</v>
      </c>
      <c r="O104" s="83">
        <f t="shared" si="152"/>
        <v>-0.12098169460131758</v>
      </c>
      <c r="P104" s="83">
        <f t="shared" si="153"/>
        <v>-1.9746619125371012E-2</v>
      </c>
      <c r="Q104" s="83">
        <f t="shared" si="154"/>
        <v>-0.12029574413323374</v>
      </c>
      <c r="R104" s="83">
        <f t="shared" si="155"/>
        <v>5.0229684479309089E-2</v>
      </c>
      <c r="S104" s="83">
        <f t="shared" si="156"/>
        <v>0.28864267847361669</v>
      </c>
      <c r="T104" s="83">
        <f t="shared" si="157"/>
        <v>-2.9323660261482032E-2</v>
      </c>
      <c r="U104" s="83">
        <f t="shared" si="158"/>
        <v>-6.4051994708961613E-2</v>
      </c>
      <c r="V104" s="83">
        <f t="shared" si="159"/>
        <v>-0.14920279599518815</v>
      </c>
      <c r="W104" s="83">
        <f t="shared" si="160"/>
        <v>3.8814082132357264E-2</v>
      </c>
      <c r="X104" s="83">
        <f t="shared" si="161"/>
        <v>-0.24644746169364096</v>
      </c>
      <c r="Y104" s="83">
        <f t="shared" si="162"/>
        <v>7.7077623778521565E-2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-5.4651329972226881E-2</v>
      </c>
      <c r="F105" s="83">
        <f t="shared" si="143"/>
        <v>9.7175016914250456E-3</v>
      </c>
      <c r="G105" s="83">
        <f t="shared" si="144"/>
        <v>4.6330621963584839E-2</v>
      </c>
      <c r="H105" s="83">
        <f t="shared" si="145"/>
        <v>2.4977143735783969E-2</v>
      </c>
      <c r="I105" s="83">
        <f t="shared" si="146"/>
        <v>1.5699677221511887E-2</v>
      </c>
      <c r="J105" s="83">
        <f t="shared" si="147"/>
        <v>0.11479317613682904</v>
      </c>
      <c r="K105" s="83">
        <f t="shared" si="148"/>
        <v>-4.9199086479816412E-3</v>
      </c>
      <c r="L105" s="83">
        <f t="shared" si="149"/>
        <v>5.3360301413008848E-2</v>
      </c>
      <c r="M105" s="83">
        <f t="shared" si="150"/>
        <v>-0.18832068022592696</v>
      </c>
      <c r="N105" s="83">
        <f t="shared" si="151"/>
        <v>-0.1238224608238887</v>
      </c>
      <c r="O105" s="83">
        <f t="shared" si="152"/>
        <v>6.4825210464618088E-2</v>
      </c>
      <c r="P105" s="83">
        <f t="shared" si="153"/>
        <v>-1.3851096763154769E-2</v>
      </c>
      <c r="Q105" s="83">
        <f t="shared" si="154"/>
        <v>4.0335815057253033E-3</v>
      </c>
      <c r="R105" s="83">
        <f t="shared" si="155"/>
        <v>2.3453825665036288E-2</v>
      </c>
      <c r="S105" s="83">
        <f t="shared" si="156"/>
        <v>0.10933906386776404</v>
      </c>
      <c r="T105" s="83">
        <f t="shared" si="157"/>
        <v>0.13304525988133076</v>
      </c>
      <c r="U105" s="83">
        <f t="shared" si="158"/>
        <v>5.6800339035560032E-2</v>
      </c>
      <c r="V105" s="83">
        <f t="shared" si="159"/>
        <v>2.896720598942637E-2</v>
      </c>
      <c r="W105" s="83">
        <f t="shared" si="160"/>
        <v>-1.9446394948893442E-2</v>
      </c>
      <c r="X105" s="83">
        <f t="shared" si="161"/>
        <v>-1.9586414716246781E-2</v>
      </c>
      <c r="Y105" s="83">
        <f t="shared" si="162"/>
        <v>6.2952873005064136E-2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-1.1730833270620078E-3</v>
      </c>
      <c r="F106" s="83">
        <f t="shared" si="143"/>
        <v>-4.2914031260286034E-3</v>
      </c>
      <c r="G106" s="83">
        <f t="shared" si="144"/>
        <v>-4.4108102624195511E-2</v>
      </c>
      <c r="H106" s="83">
        <f t="shared" si="145"/>
        <v>-1.5980247256472402E-2</v>
      </c>
      <c r="I106" s="83">
        <f t="shared" si="146"/>
        <v>-3.0035543118104302E-2</v>
      </c>
      <c r="J106" s="83">
        <f t="shared" si="147"/>
        <v>3.5485739574822039E-2</v>
      </c>
      <c r="K106" s="83">
        <f t="shared" si="148"/>
        <v>-2.049306152078878E-3</v>
      </c>
      <c r="L106" s="83">
        <f t="shared" si="149"/>
        <v>-3.1497029840653723E-2</v>
      </c>
      <c r="M106" s="83">
        <f t="shared" si="150"/>
        <v>-9.6416294150230453E-2</v>
      </c>
      <c r="N106" s="83">
        <f t="shared" si="151"/>
        <v>5.019362336357247E-3</v>
      </c>
      <c r="O106" s="83">
        <f t="shared" si="152"/>
        <v>2.956148587374452E-2</v>
      </c>
      <c r="P106" s="83">
        <f t="shared" si="153"/>
        <v>2.3519603108568043E-2</v>
      </c>
      <c r="Q106" s="83">
        <f t="shared" si="154"/>
        <v>4.6332503854180196E-2</v>
      </c>
      <c r="R106" s="83">
        <f t="shared" si="155"/>
        <v>2.7462071522631248E-2</v>
      </c>
      <c r="S106" s="83">
        <f t="shared" si="156"/>
        <v>4.3695086134589278E-2</v>
      </c>
      <c r="T106" s="83">
        <f t="shared" si="157"/>
        <v>7.9539412216539374E-2</v>
      </c>
      <c r="U106" s="83">
        <f t="shared" si="158"/>
        <v>3.8066635872643362E-2</v>
      </c>
      <c r="V106" s="83">
        <f t="shared" si="159"/>
        <v>3.0278823600800919E-2</v>
      </c>
      <c r="W106" s="83">
        <f t="shared" si="160"/>
        <v>3.5762513449222544E-2</v>
      </c>
      <c r="X106" s="83">
        <f t="shared" si="161"/>
        <v>-6.0155640707571845E-2</v>
      </c>
      <c r="Y106" s="83">
        <f t="shared" si="162"/>
        <v>5.6337573682219588E-2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-9.3353998632304758E-2</v>
      </c>
      <c r="F107" s="87">
        <f t="shared" ref="F107:F108" si="164">IF(E33=0,"",F33/E33-1)</f>
        <v>-0.1566919416999355</v>
      </c>
      <c r="G107" s="87">
        <f t="shared" ref="G107:G108" si="165">IF(F33=0,"",G33/F33-1)</f>
        <v>-0.15292106722278376</v>
      </c>
      <c r="H107" s="87">
        <f t="shared" ref="H107:H108" si="166">IF(G33=0,"",H33/G33-1)</f>
        <v>2.704491414281085E-2</v>
      </c>
      <c r="I107" s="87">
        <f t="shared" ref="I107:I108" si="167">IF(H33=0,"",I33/H33-1)</f>
        <v>-8.4596599779672488E-2</v>
      </c>
      <c r="J107" s="87">
        <f t="shared" ref="J107:J108" si="168">IF(I33=0,"",J33/I33-1)</f>
        <v>0.14438200130796264</v>
      </c>
      <c r="K107" s="87">
        <f t="shared" ref="K107:K108" si="169">IF(J33=0,"",K33/J33-1)</f>
        <v>0.14023731915917104</v>
      </c>
      <c r="L107" s="87">
        <f t="shared" ref="L107:L108" si="170">IF(K33=0,"",L33/K33-1)</f>
        <v>-0.10491410339631546</v>
      </c>
      <c r="M107" s="87">
        <f t="shared" ref="M107:M108" si="171">IF(L33=0,"",M33/L33-1)</f>
        <v>-0.45243070769105076</v>
      </c>
      <c r="N107" s="87">
        <f t="shared" ref="N107:N108" si="172">IF(M33=0,"",N33/M33-1)</f>
        <v>-8.2389534904188877E-2</v>
      </c>
      <c r="O107" s="87">
        <f t="shared" ref="O107:O108" si="173">IF(N33=0,"",O33/N33-1)</f>
        <v>0.23494856019198251</v>
      </c>
      <c r="P107" s="87">
        <f t="shared" ref="P107:P108" si="174">IF(O33=0,"",P33/O33-1)</f>
        <v>-2.2986677477369599E-2</v>
      </c>
      <c r="Q107" s="87">
        <f t="shared" ref="Q107:Q108" si="175">IF(P33=0,"",Q33/P33-1)</f>
        <v>2.238477926320348E-2</v>
      </c>
      <c r="R107" s="87">
        <f t="shared" ref="R107:R108" si="176">IF(Q33=0,"",R33/Q33-1)</f>
        <v>6.8386064438241023E-2</v>
      </c>
      <c r="S107" s="87">
        <f t="shared" ref="S107:S108" si="177">IF(R33=0,"",S33/R33-1)</f>
        <v>0.22563100519401158</v>
      </c>
      <c r="T107" s="87">
        <f t="shared" ref="T107:T108" si="178">IF(S33=0,"",T33/S33-1)</f>
        <v>-1.1684103852638739E-2</v>
      </c>
      <c r="U107" s="87">
        <f t="shared" ref="U107:U108" si="179">IF(T33=0,"",U33/T33-1)</f>
        <v>8.2789851274271964E-3</v>
      </c>
      <c r="V107" s="87">
        <f t="shared" ref="V107:V108" si="180">IF(U33=0,"",V33/U33-1)</f>
        <v>-5.6236377378028557E-2</v>
      </c>
      <c r="W107" s="87">
        <f t="shared" ref="W107:W108" si="181">IF(V33=0,"",W33/V33-1)</f>
        <v>0.15914210336985257</v>
      </c>
      <c r="X107" s="87">
        <f t="shared" ref="X107:X108" si="182">IF(W33=0,"",X33/W33-1)</f>
        <v>-0.21845880034339205</v>
      </c>
      <c r="Y107" s="87">
        <f t="shared" ref="Y107:Y108" si="183">IF(X33=0,"",Y33/X33-1)</f>
        <v>9.4549327849153819E-3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-9.3353998632304758E-2</v>
      </c>
      <c r="F108" s="89">
        <f t="shared" si="164"/>
        <v>-0.1566919416999355</v>
      </c>
      <c r="G108" s="89">
        <f t="shared" si="165"/>
        <v>-0.15292106722278376</v>
      </c>
      <c r="H108" s="89">
        <f t="shared" si="166"/>
        <v>2.704491414281085E-2</v>
      </c>
      <c r="I108" s="89">
        <f t="shared" si="167"/>
        <v>-8.4596599779672488E-2</v>
      </c>
      <c r="J108" s="89">
        <f t="shared" si="168"/>
        <v>0.14438200130796264</v>
      </c>
      <c r="K108" s="89">
        <f t="shared" si="169"/>
        <v>0.14023731915917104</v>
      </c>
      <c r="L108" s="89">
        <f t="shared" si="170"/>
        <v>-0.10491410339631546</v>
      </c>
      <c r="M108" s="89">
        <f t="shared" si="171"/>
        <v>-0.45243070769105076</v>
      </c>
      <c r="N108" s="89">
        <f t="shared" si="172"/>
        <v>-8.2389534904188877E-2</v>
      </c>
      <c r="O108" s="89">
        <f t="shared" si="173"/>
        <v>0.23494856019198251</v>
      </c>
      <c r="P108" s="89">
        <f t="shared" si="174"/>
        <v>-2.2986677477369599E-2</v>
      </c>
      <c r="Q108" s="89">
        <f t="shared" si="175"/>
        <v>2.238477926320348E-2</v>
      </c>
      <c r="R108" s="89">
        <f t="shared" si="176"/>
        <v>6.8386064438241023E-2</v>
      </c>
      <c r="S108" s="89">
        <f t="shared" si="177"/>
        <v>0.22563100519401136</v>
      </c>
      <c r="T108" s="89">
        <f t="shared" si="178"/>
        <v>-1.1684103852638517E-2</v>
      </c>
      <c r="U108" s="89">
        <f t="shared" si="179"/>
        <v>8.2789851274271964E-3</v>
      </c>
      <c r="V108" s="89">
        <f t="shared" si="180"/>
        <v>-5.6236377378028668E-2</v>
      </c>
      <c r="W108" s="89">
        <f t="shared" si="181"/>
        <v>0.15914210336985257</v>
      </c>
      <c r="X108" s="89">
        <f t="shared" si="182"/>
        <v>-0.21845880034339205</v>
      </c>
      <c r="Y108" s="89">
        <f t="shared" si="183"/>
        <v>9.4549327849153819E-3</v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7.545139780075627E-2</v>
      </c>
      <c r="F110" s="89">
        <f t="shared" ref="F110:F111" si="206">IF(E43=0,"",F43/E43-1)</f>
        <v>-0.10690223939146892</v>
      </c>
      <c r="G110" s="89">
        <f t="shared" ref="G110:G111" si="207">IF(F43=0,"",G43/F43-1)</f>
        <v>0.11067595701534616</v>
      </c>
      <c r="H110" s="89">
        <f t="shared" ref="H110:H111" si="208">IF(G43=0,"",H43/G43-1)</f>
        <v>-2.4944821384902949E-2</v>
      </c>
      <c r="I110" s="89">
        <f t="shared" ref="I110:I111" si="209">IF(H43=0,"",I43/H43-1)</f>
        <v>2.9158992564295438E-2</v>
      </c>
      <c r="J110" s="89">
        <f t="shared" ref="J110:J111" si="210">IF(I43=0,"",J43/I43-1)</f>
        <v>-4.7905941194735235E-2</v>
      </c>
      <c r="K110" s="89">
        <f t="shared" ref="K110:K111" si="211">IF(J43=0,"",K43/J43-1)</f>
        <v>-6.9677940650762493E-2</v>
      </c>
      <c r="L110" s="89">
        <f t="shared" ref="L110:L111" si="212">IF(K43=0,"",L43/K43-1)</f>
        <v>7.818891574476261E-2</v>
      </c>
      <c r="M110" s="89">
        <f t="shared" ref="M110:M111" si="213">IF(L43=0,"",M43/L43-1)</f>
        <v>9.974792621835693E-2</v>
      </c>
      <c r="N110" s="89">
        <f t="shared" ref="N110:N111" si="214">IF(M43=0,"",N43/M43-1)</f>
        <v>0.21761826754431923</v>
      </c>
      <c r="O110" s="89">
        <f t="shared" ref="O110:O111" si="215">IF(N43=0,"",O43/N43-1)</f>
        <v>4.1832170454065398E-2</v>
      </c>
      <c r="P110" s="89">
        <f t="shared" ref="P110:P111" si="216">IF(O43=0,"",P43/O43-1)</f>
        <v>0.19106196264426045</v>
      </c>
      <c r="Q110" s="89">
        <f t="shared" ref="Q110:Q111" si="217">IF(P43=0,"",Q43/P43-1)</f>
        <v>5.1084738789247019E-2</v>
      </c>
      <c r="R110" s="89">
        <f t="shared" ref="R110:R111" si="218">IF(Q43=0,"",R43/Q43-1)</f>
        <v>5.7974233580678325E-2</v>
      </c>
      <c r="S110" s="89">
        <f t="shared" ref="S110:S111" si="219">IF(R43=0,"",S43/R43-1)</f>
        <v>0.15485115605144895</v>
      </c>
      <c r="T110" s="89">
        <f t="shared" ref="T110:T111" si="220">IF(S43=0,"",T43/S43-1)</f>
        <v>8.9459010517052517E-2</v>
      </c>
      <c r="U110" s="89">
        <f t="shared" ref="U110:U111" si="221">IF(T43=0,"",U43/T43-1)</f>
        <v>7.7419861647460397E-2</v>
      </c>
      <c r="V110" s="89">
        <f t="shared" ref="V110:V111" si="222">IF(U43=0,"",V43/U43-1)</f>
        <v>0.11250042277123606</v>
      </c>
      <c r="W110" s="89">
        <f t="shared" ref="W110:W111" si="223">IF(V43=0,"",W43/V43-1)</f>
        <v>6.9119423918535539E-3</v>
      </c>
      <c r="X110" s="89">
        <f t="shared" ref="X110:X111" si="224">IF(W43=0,"",X43/W43-1)</f>
        <v>1.5447638842895905E-2</v>
      </c>
      <c r="Y110" s="89">
        <f t="shared" ref="Y110:Y111" si="225">IF(X43=0,"",Y43/X43-1)</f>
        <v>0.11295576570780641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-7.4675836574915611E-3</v>
      </c>
      <c r="F111" s="89">
        <f t="shared" si="206"/>
        <v>-9.3165486693113087E-2</v>
      </c>
      <c r="G111" s="89">
        <f t="shared" si="207"/>
        <v>2.8456954833381287E-2</v>
      </c>
      <c r="H111" s="89">
        <f t="shared" si="208"/>
        <v>-2.994548730823221E-2</v>
      </c>
      <c r="I111" s="89">
        <f t="shared" si="209"/>
        <v>2.0852969690273726E-2</v>
      </c>
      <c r="J111" s="89">
        <f t="shared" si="210"/>
        <v>-3.6805196789716166E-2</v>
      </c>
      <c r="K111" s="89">
        <f t="shared" si="211"/>
        <v>-5.9597229442236999E-2</v>
      </c>
      <c r="L111" s="89">
        <f t="shared" si="212"/>
        <v>8.9021671874651487E-2</v>
      </c>
      <c r="M111" s="89">
        <f t="shared" si="213"/>
        <v>7.0170101629210224E-2</v>
      </c>
      <c r="N111" s="89">
        <f t="shared" si="214"/>
        <v>5.4304773737270384E-2</v>
      </c>
      <c r="O111" s="89">
        <f t="shared" si="215"/>
        <v>-3.3664480399799523E-2</v>
      </c>
      <c r="P111" s="89">
        <f t="shared" si="216"/>
        <v>0.20688213746873774</v>
      </c>
      <c r="Q111" s="89">
        <f t="shared" si="217"/>
        <v>-3.8306470930909997E-2</v>
      </c>
      <c r="R111" s="89">
        <f t="shared" si="218"/>
        <v>0.10147559561604047</v>
      </c>
      <c r="S111" s="89">
        <f t="shared" si="219"/>
        <v>0.14175898308306389</v>
      </c>
      <c r="T111" s="89">
        <f t="shared" si="220"/>
        <v>4.9043856543658393E-2</v>
      </c>
      <c r="U111" s="89">
        <f t="shared" si="221"/>
        <v>3.6708342521123427E-2</v>
      </c>
      <c r="V111" s="89">
        <f t="shared" si="222"/>
        <v>8.9219019161612678E-4</v>
      </c>
      <c r="W111" s="89">
        <f t="shared" si="223"/>
        <v>4.3592342049853183E-2</v>
      </c>
      <c r="X111" s="89">
        <f t="shared" si="224"/>
        <v>-1.5885806198872587E-2</v>
      </c>
      <c r="Y111" s="89">
        <f t="shared" si="225"/>
        <v>6.5303531584410823E-2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0.11992821414177257</v>
      </c>
      <c r="F112" s="89">
        <f t="shared" ref="F112:F113" si="227">IF(E47=0,"",F47/E47-1)</f>
        <v>-0.11343231677345778</v>
      </c>
      <c r="G112" s="89">
        <f t="shared" ref="G112:G113" si="228">IF(F47=0,"",G47/F47-1)</f>
        <v>0.15065409787955031</v>
      </c>
      <c r="H112" s="89">
        <f t="shared" ref="H112:H113" si="229">IF(G47=0,"",H47/G47-1)</f>
        <v>-2.2771521961219454E-2</v>
      </c>
      <c r="I112" s="89">
        <f t="shared" ref="I112:I113" si="230">IF(H47=0,"",I47/H47-1)</f>
        <v>3.2742306607362437E-2</v>
      </c>
      <c r="J112" s="89">
        <f t="shared" ref="J112:J113" si="231">IF(I47=0,"",J47/I47-1)</f>
        <v>-5.2639797599182137E-2</v>
      </c>
      <c r="K112" s="89">
        <f t="shared" ref="K112:K113" si="232">IF(J47=0,"",K47/J47-1)</f>
        <v>-7.4048662251738673E-2</v>
      </c>
      <c r="L112" s="89">
        <f t="shared" ref="L112:L113" si="233">IF(K47=0,"",L47/K47-1)</f>
        <v>7.3418824638782576E-2</v>
      </c>
      <c r="M112" s="89">
        <f t="shared" ref="M112:M113" si="234">IF(L47=0,"",M47/L47-1)</f>
        <v>0.11296152913974233</v>
      </c>
      <c r="N112" s="89">
        <f t="shared" ref="N112:N113" si="235">IF(M47=0,"",N47/M47-1)</f>
        <v>0.28777183382960714</v>
      </c>
      <c r="O112" s="89">
        <f t="shared" ref="O112:O113" si="236">IF(N47=0,"",O47/N47-1)</f>
        <v>6.838327670497768E-2</v>
      </c>
      <c r="P112" s="89">
        <f t="shared" ref="P112:P113" si="237">IF(O47=0,"",P47/O47-1)</f>
        <v>0.18602965625778767</v>
      </c>
      <c r="Q112" s="89">
        <f t="shared" ref="Q112:Q113" si="238">IF(P47=0,"",Q47/P47-1)</f>
        <v>8.0019501283690397E-2</v>
      </c>
      <c r="R112" s="89">
        <f t="shared" ref="R112:R113" si="239">IF(Q47=0,"",R47/Q47-1)</f>
        <v>4.5436095198644555E-2</v>
      </c>
      <c r="S112" s="89">
        <f t="shared" ref="S112:S113" si="240">IF(R47=0,"",S47/R47-1)</f>
        <v>0.15882690842448555</v>
      </c>
      <c r="T112" s="89">
        <f t="shared" ref="T112:T113" si="241">IF(S47=0,"",T47/S47-1)</f>
        <v>0.10155127663438468</v>
      </c>
      <c r="U112" s="89">
        <f t="shared" ref="U112:U113" si="242">IF(T47=0,"",U47/T47-1)</f>
        <v>8.902017426692721E-2</v>
      </c>
      <c r="V112" s="89">
        <f t="shared" ref="V112:V113" si="243">IF(U47=0,"",V47/U47-1)</f>
        <v>0.14277438634646611</v>
      </c>
      <c r="W112" s="89">
        <f t="shared" ref="W112:W113" si="244">IF(V47=0,"",W47/V47-1)</f>
        <v>-1.8023858629924172E-3</v>
      </c>
      <c r="X112" s="89">
        <f t="shared" ref="X112:X113" si="245">IF(W47=0,"",X47/W47-1)</f>
        <v>2.323019672514004E-2</v>
      </c>
      <c r="Y112" s="89">
        <f t="shared" ref="Y112:Y113" si="246">IF(X47=0,"",Y47/X47-1)</f>
        <v>0.12433910358146849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-0.15835630885717378</v>
      </c>
      <c r="F113" s="89">
        <f t="shared" si="227"/>
        <v>3.5654889170716242E-2</v>
      </c>
      <c r="G113" s="89">
        <f t="shared" si="228"/>
        <v>-5.3951972021328065E-2</v>
      </c>
      <c r="H113" s="89">
        <f t="shared" si="229"/>
        <v>-2.6863678477572317E-2</v>
      </c>
      <c r="I113" s="89">
        <f t="shared" si="230"/>
        <v>3.986677427188634E-2</v>
      </c>
      <c r="J113" s="89">
        <f t="shared" si="231"/>
        <v>8.3448499668897336E-2</v>
      </c>
      <c r="K113" s="89">
        <f t="shared" si="232"/>
        <v>6.0840135168007681E-2</v>
      </c>
      <c r="L113" s="89">
        <f t="shared" si="233"/>
        <v>-8.0315223212414355E-2</v>
      </c>
      <c r="M113" s="89">
        <f t="shared" si="234"/>
        <v>-0.2598972767909995</v>
      </c>
      <c r="N113" s="89">
        <f t="shared" si="235"/>
        <v>-0.19041220895128275</v>
      </c>
      <c r="O113" s="89">
        <f t="shared" si="236"/>
        <v>0.21471177076334969</v>
      </c>
      <c r="P113" s="89">
        <f t="shared" si="237"/>
        <v>-3.7119153484945211E-2</v>
      </c>
      <c r="Q113" s="89">
        <f t="shared" si="238"/>
        <v>-1.1767104492413805E-2</v>
      </c>
      <c r="R113" s="89">
        <f t="shared" si="239"/>
        <v>8.4677680566689117E-2</v>
      </c>
      <c r="S113" s="89">
        <f t="shared" si="240"/>
        <v>2.2947288855336367E-2</v>
      </c>
      <c r="T113" s="89">
        <f t="shared" si="241"/>
        <v>0.15488702061926052</v>
      </c>
      <c r="U113" s="89">
        <f t="shared" si="242"/>
        <v>6.726379534357263E-2</v>
      </c>
      <c r="V113" s="89">
        <f t="shared" si="243"/>
        <v>2.944644495668447E-2</v>
      </c>
      <c r="W113" s="89">
        <f t="shared" si="244"/>
        <v>2.2060944533079274E-2</v>
      </c>
      <c r="X113" s="89">
        <f t="shared" si="245"/>
        <v>-6.7252719976884645E-4</v>
      </c>
      <c r="Y113" s="89">
        <f t="shared" si="246"/>
        <v>7.314803222520716E-2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-8.6976071652266507E-2</v>
      </c>
      <c r="F114" s="89">
        <f t="shared" ref="F114:F115" si="248">IF(E52=0,"",F52/E52-1)</f>
        <v>-3.3080304134189942E-2</v>
      </c>
      <c r="G114" s="89">
        <f t="shared" ref="G114:G115" si="249">IF(F52=0,"",G52/F52-1)</f>
        <v>-4.4413800801984871E-2</v>
      </c>
      <c r="H114" s="89">
        <f t="shared" ref="H114:H115" si="250">IF(G52=0,"",H52/G52-1)</f>
        <v>-6.6919958533716573E-2</v>
      </c>
      <c r="I114" s="89">
        <f t="shared" ref="I114:I115" si="251">IF(H52=0,"",I52/H52-1)</f>
        <v>-0.10236362923848152</v>
      </c>
      <c r="J114" s="89">
        <f t="shared" ref="J114:J115" si="252">IF(I52=0,"",J52/I52-1)</f>
        <v>-1.8197272774177153E-2</v>
      </c>
      <c r="K114" s="89">
        <f t="shared" ref="K114:K115" si="253">IF(J52=0,"",K52/J52-1)</f>
        <v>-5.9507548714710534E-2</v>
      </c>
      <c r="L114" s="89">
        <f t="shared" ref="L114:L115" si="254">IF(K52=0,"",L52/K52-1)</f>
        <v>-2.0851656730179746E-3</v>
      </c>
      <c r="M114" s="89">
        <f t="shared" ref="M114:M115" si="255">IF(L52=0,"",M52/L52-1)</f>
        <v>-0.14131844191436138</v>
      </c>
      <c r="N114" s="89">
        <f t="shared" ref="N114:N115" si="256">IF(M52=0,"",N52/M52-1)</f>
        <v>-0.1383901538212613</v>
      </c>
      <c r="O114" s="89">
        <f t="shared" ref="O114:O115" si="257">IF(N52=0,"",O52/N52-1)</f>
        <v>1.1481851684743916E-2</v>
      </c>
      <c r="P114" s="89">
        <f t="shared" ref="P114:P115" si="258">IF(O52=0,"",P52/O52-1)</f>
        <v>-0.12703461054514509</v>
      </c>
      <c r="Q114" s="89">
        <f t="shared" ref="Q114:Q115" si="259">IF(P52=0,"",Q52/P52-1)</f>
        <v>-3.8571094670929451E-2</v>
      </c>
      <c r="R114" s="89">
        <f t="shared" ref="R114:R115" si="260">IF(Q52=0,"",R52/Q52-1)</f>
        <v>6.5647559487861162E-2</v>
      </c>
      <c r="S114" s="89">
        <f t="shared" ref="S114:S115" si="261">IF(R52=0,"",S52/R52-1)</f>
        <v>-7.1263303746397666E-2</v>
      </c>
      <c r="T114" s="89">
        <f t="shared" ref="T114:T115" si="262">IF(S52=0,"",T52/S52-1)</f>
        <v>-7.3550453694402385E-2</v>
      </c>
      <c r="U114" s="89">
        <f t="shared" ref="U114:U115" si="263">IF(T52=0,"",U52/T52-1)</f>
        <v>9.5427139559252749E-2</v>
      </c>
      <c r="V114" s="89">
        <f t="shared" ref="V114:V115" si="264">IF(U52=0,"",V52/U52-1)</f>
        <v>-7.897989530314975E-2</v>
      </c>
      <c r="W114" s="89">
        <f t="shared" ref="W114:W115" si="265">IF(V52=0,"",W52/V52-1)</f>
        <v>3.3119347947869304E-2</v>
      </c>
      <c r="X114" s="89">
        <f t="shared" ref="X114:X115" si="266">IF(W52=0,"",X52/W52-1)</f>
        <v>-3.7772177251663708E-2</v>
      </c>
      <c r="Y114" s="89">
        <f t="shared" ref="Y114:Y115" si="267">IF(X52=0,"",Y52/X52-1)</f>
        <v>5.6196538201523927E-2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-1.4820196035051914E-2</v>
      </c>
      <c r="F115" s="89">
        <f t="shared" si="248"/>
        <v>-7.675346498834279E-3</v>
      </c>
      <c r="G115" s="89">
        <f t="shared" si="249"/>
        <v>-4.5482774821581251E-2</v>
      </c>
      <c r="H115" s="89">
        <f t="shared" si="250"/>
        <v>-0.1053386216005554</v>
      </c>
      <c r="I115" s="89">
        <f t="shared" si="251"/>
        <v>-0.12977878144574839</v>
      </c>
      <c r="J115" s="89">
        <f t="shared" si="252"/>
        <v>-2.0185962742655938E-2</v>
      </c>
      <c r="K115" s="89">
        <f t="shared" si="253"/>
        <v>-3.6680423720454436E-2</v>
      </c>
      <c r="L115" s="89">
        <f t="shared" si="254"/>
        <v>-9.4664669345490671E-2</v>
      </c>
      <c r="M115" s="89">
        <f t="shared" si="255"/>
        <v>-4.8049304831191186E-2</v>
      </c>
      <c r="N115" s="89">
        <f t="shared" si="256"/>
        <v>-8.850076650542138E-2</v>
      </c>
      <c r="O115" s="89">
        <f t="shared" si="257"/>
        <v>5.0221135204964629E-2</v>
      </c>
      <c r="P115" s="89">
        <f t="shared" si="258"/>
        <v>-8.8557516111099743E-2</v>
      </c>
      <c r="Q115" s="89">
        <f t="shared" si="259"/>
        <v>-4.7492088610572858E-2</v>
      </c>
      <c r="R115" s="89">
        <f t="shared" si="260"/>
        <v>6.851396683265043E-2</v>
      </c>
      <c r="S115" s="89">
        <f t="shared" si="261"/>
        <v>3.0393200101188844E-2</v>
      </c>
      <c r="T115" s="89">
        <f t="shared" si="262"/>
        <v>-0.12162330232326757</v>
      </c>
      <c r="U115" s="89">
        <f t="shared" si="263"/>
        <v>0.11130064704199705</v>
      </c>
      <c r="V115" s="89">
        <f t="shared" si="264"/>
        <v>-7.1648125405303631E-2</v>
      </c>
      <c r="W115" s="89">
        <f t="shared" si="265"/>
        <v>0.11822479674870379</v>
      </c>
      <c r="X115" s="89">
        <f t="shared" si="266"/>
        <v>7.8181150317967241E-2</v>
      </c>
      <c r="Y115" s="89">
        <f t="shared" si="267"/>
        <v>0.11116279098248238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-0.13089703941926667</v>
      </c>
      <c r="F116" s="89">
        <f t="shared" ref="F116:F122" si="269">IF(E56=0,"",F56/E56-1)</f>
        <v>-5.0609538421369504E-2</v>
      </c>
      <c r="G116" s="89">
        <f t="shared" ref="G116:G122" si="270">IF(F56=0,"",G56/F56-1)</f>
        <v>-4.3642860875802603E-2</v>
      </c>
      <c r="H116" s="89">
        <f t="shared" ref="H116:H122" si="271">IF(G56=0,"",H56/G56-1)</f>
        <v>-3.9265873029049936E-2</v>
      </c>
      <c r="I116" s="89">
        <f t="shared" ref="I116:I122" si="272">IF(H56=0,"",I56/H56-1)</f>
        <v>-8.3987112826009236E-2</v>
      </c>
      <c r="J116" s="89">
        <f t="shared" ref="J116:J122" si="273">IF(I56=0,"",J56/I56-1)</f>
        <v>-1.6930882130570146E-2</v>
      </c>
      <c r="K116" s="89">
        <f t="shared" ref="K116:K122" si="274">IF(J56=0,"",K56/J56-1)</f>
        <v>-7.3995648574910922E-2</v>
      </c>
      <c r="L116" s="89">
        <f t="shared" ref="L116:L122" si="275">IF(K56=0,"",L56/K56-1)</f>
        <v>5.9041741223924138E-2</v>
      </c>
      <c r="M116" s="89">
        <f t="shared" ref="M116:M122" si="276">IF(L56=0,"",M56/L56-1)</f>
        <v>-0.19396281063582277</v>
      </c>
      <c r="N116" s="89">
        <f t="shared" ref="N116:N122" si="277">IF(M56=0,"",N56/M56-1)</f>
        <v>-0.1716470342800922</v>
      </c>
      <c r="O116" s="89">
        <f t="shared" ref="O116:O122" si="278">IF(N56=0,"",O56/N56-1)</f>
        <v>-1.6934335141231438E-2</v>
      </c>
      <c r="P116" s="89">
        <f t="shared" ref="P116:P122" si="279">IF(O56=0,"",P56/O56-1)</f>
        <v>-0.15718651237919723</v>
      </c>
      <c r="Q116" s="89">
        <f t="shared" ref="Q116:Q122" si="280">IF(P56=0,"",Q56/P56-1)</f>
        <v>-3.1011065408698801E-2</v>
      </c>
      <c r="R116" s="89">
        <f t="shared" ref="R116:R122" si="281">IF(Q56=0,"",R56/Q56-1)</f>
        <v>6.3259759673688798E-2</v>
      </c>
      <c r="S116" s="89">
        <f t="shared" ref="S116:S122" si="282">IF(R56=0,"",S56/R56-1)</f>
        <v>-0.15636456586192282</v>
      </c>
      <c r="T116" s="89">
        <f t="shared" ref="T116:T122" si="283">IF(S56=0,"",T56/S56-1)</f>
        <v>-2.4397585999985982E-2</v>
      </c>
      <c r="U116" s="89">
        <f t="shared" ref="U116:U122" si="284">IF(T56=0,"",U56/T56-1)</f>
        <v>8.0814460573101154E-2</v>
      </c>
      <c r="V116" s="89">
        <f t="shared" ref="V116:V122" si="285">IF(U56=0,"",V56/U56-1)</f>
        <v>-8.5919683081864151E-2</v>
      </c>
      <c r="W116" s="89">
        <f t="shared" ref="W116:W122" si="286">IF(V56=0,"",W56/V56-1)</f>
        <v>-4.86937788133881E-2</v>
      </c>
      <c r="X116" s="89">
        <f t="shared" ref="X116:X122" si="287">IF(W56=0,"",X56/W56-1)</f>
        <v>-0.16879821940820827</v>
      </c>
      <c r="Y116" s="89">
        <f t="shared" ref="Y116:Y122" si="288">IF(X56=0,"",Y56/X56-1)</f>
        <v>-2.437020478903662E-2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3.3080917990418124E-2</v>
      </c>
      <c r="F117" s="89">
        <f t="shared" si="269"/>
        <v>6.1670642559610522E-2</v>
      </c>
      <c r="G117" s="89">
        <f t="shared" si="270"/>
        <v>-4.7388677816707303E-2</v>
      </c>
      <c r="H117" s="89">
        <f t="shared" si="271"/>
        <v>-1.3325629213864487E-2</v>
      </c>
      <c r="I117" s="89">
        <f t="shared" si="272"/>
        <v>-3.2125173831591636E-2</v>
      </c>
      <c r="J117" s="89">
        <f t="shared" si="273"/>
        <v>-8.9751465436945455E-2</v>
      </c>
      <c r="K117" s="89">
        <f t="shared" si="274"/>
        <v>-4.3625831896003331E-2</v>
      </c>
      <c r="L117" s="89">
        <f t="shared" si="275"/>
        <v>-5.6942363901552495E-2</v>
      </c>
      <c r="M117" s="89">
        <f t="shared" si="276"/>
        <v>6.1086351057682009E-4</v>
      </c>
      <c r="N117" s="89">
        <f t="shared" si="277"/>
        <v>-7.8548697352936014E-2</v>
      </c>
      <c r="O117" s="89">
        <f t="shared" si="278"/>
        <v>-6.233119838489487E-2</v>
      </c>
      <c r="P117" s="89">
        <f t="shared" si="279"/>
        <v>-6.5661191728608626E-2</v>
      </c>
      <c r="Q117" s="89">
        <f t="shared" si="280"/>
        <v>3.7004033655178681E-2</v>
      </c>
      <c r="R117" s="89">
        <f t="shared" si="281"/>
        <v>-3.6458656496239916E-3</v>
      </c>
      <c r="S117" s="89">
        <f t="shared" si="282"/>
        <v>6.4216827183435132E-2</v>
      </c>
      <c r="T117" s="89">
        <f t="shared" si="283"/>
        <v>5.1938294536636231E-2</v>
      </c>
      <c r="U117" s="89">
        <f t="shared" si="284"/>
        <v>-8.9994334189893443E-2</v>
      </c>
      <c r="V117" s="89">
        <f t="shared" si="285"/>
        <v>2.9468244981056824E-2</v>
      </c>
      <c r="W117" s="89">
        <f t="shared" si="286"/>
        <v>3.6175661776146395E-2</v>
      </c>
      <c r="X117" s="89">
        <f t="shared" si="287"/>
        <v>-2.5171584135317837E-2</v>
      </c>
      <c r="Y117" s="89">
        <f t="shared" si="288"/>
        <v>5.7566114328583051E-2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-1.6265362551518892E-2</v>
      </c>
      <c r="F118" s="89">
        <f t="shared" si="269"/>
        <v>-5.0551409181237794E-2</v>
      </c>
      <c r="G118" s="89">
        <f t="shared" si="270"/>
        <v>1.1787228546338291E-3</v>
      </c>
      <c r="H118" s="89">
        <f t="shared" si="271"/>
        <v>-0.174878395259361</v>
      </c>
      <c r="I118" s="89">
        <f t="shared" si="272"/>
        <v>8.6166587809377138E-2</v>
      </c>
      <c r="J118" s="89">
        <f t="shared" si="273"/>
        <v>1.9984412162944443E-2</v>
      </c>
      <c r="K118" s="89">
        <f t="shared" si="274"/>
        <v>-0.13330481417112305</v>
      </c>
      <c r="L118" s="89">
        <f t="shared" si="275"/>
        <v>0.10656316882551731</v>
      </c>
      <c r="M118" s="89">
        <f t="shared" si="276"/>
        <v>-0.34254949610795404</v>
      </c>
      <c r="N118" s="89">
        <f t="shared" si="277"/>
        <v>0.18314103133684823</v>
      </c>
      <c r="O118" s="89">
        <f t="shared" si="278"/>
        <v>0.12533918672403366</v>
      </c>
      <c r="P118" s="89">
        <f t="shared" si="279"/>
        <v>-0.2065178551086595</v>
      </c>
      <c r="Q118" s="89">
        <f t="shared" si="280"/>
        <v>-0.12709581642790968</v>
      </c>
      <c r="R118" s="89">
        <f t="shared" si="281"/>
        <v>-1.1363964016557482E-2</v>
      </c>
      <c r="S118" s="89">
        <f t="shared" si="282"/>
        <v>0.20150856827707919</v>
      </c>
      <c r="T118" s="89">
        <f t="shared" si="283"/>
        <v>0.10978721233560185</v>
      </c>
      <c r="U118" s="89">
        <f t="shared" si="284"/>
        <v>4.7834642243356207E-3</v>
      </c>
      <c r="V118" s="89">
        <f t="shared" si="285"/>
        <v>-9.3639543027266958E-2</v>
      </c>
      <c r="W118" s="89">
        <f t="shared" si="286"/>
        <v>2.7585467981850131E-2</v>
      </c>
      <c r="X118" s="89">
        <f t="shared" si="287"/>
        <v>-0.12839634000283573</v>
      </c>
      <c r="Y118" s="89">
        <f t="shared" si="288"/>
        <v>-2.4619765554184103E-2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1.4872201177303923E-2</v>
      </c>
      <c r="F119" s="89">
        <f t="shared" si="269"/>
        <v>3.5906890662778412E-2</v>
      </c>
      <c r="G119" s="89">
        <f t="shared" si="270"/>
        <v>-0.10274096156843526</v>
      </c>
      <c r="H119" s="89">
        <f t="shared" si="271"/>
        <v>-5.5588403032391653E-4</v>
      </c>
      <c r="I119" s="89">
        <f t="shared" si="272"/>
        <v>-6.4913126084057304E-2</v>
      </c>
      <c r="J119" s="89">
        <f t="shared" si="273"/>
        <v>0.13928967357876565</v>
      </c>
      <c r="K119" s="89">
        <f t="shared" si="274"/>
        <v>5.9479804909997824E-2</v>
      </c>
      <c r="L119" s="89">
        <f t="shared" si="275"/>
        <v>-2.8968503767452081E-2</v>
      </c>
      <c r="M119" s="89">
        <f t="shared" si="276"/>
        <v>-0.14764206477507469</v>
      </c>
      <c r="N119" s="89">
        <f t="shared" si="277"/>
        <v>-3.6244936410216089E-2</v>
      </c>
      <c r="O119" s="89">
        <f t="shared" si="278"/>
        <v>5.0164936976996533E-2</v>
      </c>
      <c r="P119" s="89">
        <f t="shared" si="279"/>
        <v>-1.3799801979509807E-2</v>
      </c>
      <c r="Q119" s="89">
        <f t="shared" si="280"/>
        <v>7.8941949297982816E-2</v>
      </c>
      <c r="R119" s="89">
        <f t="shared" si="281"/>
        <v>-2.0789050408697718E-2</v>
      </c>
      <c r="S119" s="89">
        <f t="shared" si="282"/>
        <v>-4.2817808507107702E-2</v>
      </c>
      <c r="T119" s="89">
        <f t="shared" si="283"/>
        <v>0.10610630582119707</v>
      </c>
      <c r="U119" s="89">
        <f t="shared" si="284"/>
        <v>7.516193583236519E-2</v>
      </c>
      <c r="V119" s="89">
        <f t="shared" si="285"/>
        <v>-1.8347893663438697E-2</v>
      </c>
      <c r="W119" s="89">
        <f t="shared" si="286"/>
        <v>7.4744641684055368E-2</v>
      </c>
      <c r="X119" s="89">
        <f t="shared" si="287"/>
        <v>-0.16795104618837797</v>
      </c>
      <c r="Y119" s="89">
        <f t="shared" si="288"/>
        <v>-1.849893262240998E-2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-0.12241245501093601</v>
      </c>
      <c r="F120" s="89">
        <f t="shared" si="269"/>
        <v>-7.1725685127203898E-2</v>
      </c>
      <c r="G120" s="89">
        <f t="shared" si="270"/>
        <v>-7.716338648644161E-2</v>
      </c>
      <c r="H120" s="89">
        <f t="shared" si="271"/>
        <v>-9.2955765152120118E-2</v>
      </c>
      <c r="I120" s="89">
        <f t="shared" si="272"/>
        <v>-0.17531806245188553</v>
      </c>
      <c r="J120" s="89">
        <f t="shared" si="273"/>
        <v>4.0516845485635278E-2</v>
      </c>
      <c r="K120" s="89">
        <f t="shared" si="274"/>
        <v>-5.8730950696150197E-2</v>
      </c>
      <c r="L120" s="89">
        <f t="shared" si="275"/>
        <v>-8.9905366129287567E-2</v>
      </c>
      <c r="M120" s="89">
        <f t="shared" si="276"/>
        <v>-0.1735854342749682</v>
      </c>
      <c r="N120" s="89">
        <f t="shared" si="277"/>
        <v>-0.11325753098026514</v>
      </c>
      <c r="O120" s="89">
        <f t="shared" si="278"/>
        <v>2.6832878119704917E-2</v>
      </c>
      <c r="P120" s="89">
        <f t="shared" si="279"/>
        <v>-0.11883494259913063</v>
      </c>
      <c r="Q120" s="89">
        <f t="shared" si="280"/>
        <v>0.18385169127741707</v>
      </c>
      <c r="R120" s="89">
        <f t="shared" si="281"/>
        <v>2.0801242866984371E-2</v>
      </c>
      <c r="S120" s="89">
        <f t="shared" si="282"/>
        <v>7.2545329373649992E-2</v>
      </c>
      <c r="T120" s="89">
        <f t="shared" si="283"/>
        <v>-3.4662189983138414E-2</v>
      </c>
      <c r="U120" s="89">
        <f t="shared" si="284"/>
        <v>6.0942755830169837E-2</v>
      </c>
      <c r="V120" s="89">
        <f t="shared" si="285"/>
        <v>0.15056717868115777</v>
      </c>
      <c r="W120" s="89">
        <f t="shared" si="286"/>
        <v>-3.4714498451597131E-2</v>
      </c>
      <c r="X120" s="89">
        <f t="shared" si="287"/>
        <v>-7.4986569595271169E-2</v>
      </c>
      <c r="Y120" s="89">
        <f t="shared" si="288"/>
        <v>3.2819997374535115E-2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-6.1875200016207832E-2</v>
      </c>
      <c r="F121" s="89">
        <f t="shared" si="269"/>
        <v>-5.7173766171547791E-2</v>
      </c>
      <c r="G121" s="89">
        <f t="shared" si="270"/>
        <v>2.9402429436058863E-2</v>
      </c>
      <c r="H121" s="89">
        <f t="shared" si="271"/>
        <v>2.0922885642039368E-2</v>
      </c>
      <c r="I121" s="89">
        <f t="shared" si="272"/>
        <v>8.4201563618562236E-3</v>
      </c>
      <c r="J121" s="89">
        <f t="shared" si="273"/>
        <v>7.845635021472841E-4</v>
      </c>
      <c r="K121" s="89">
        <f t="shared" si="274"/>
        <v>1.6082767412857191E-3</v>
      </c>
      <c r="L121" s="89">
        <f t="shared" si="275"/>
        <v>-0.14576314136070934</v>
      </c>
      <c r="M121" s="89">
        <f t="shared" si="276"/>
        <v>-0.27818545792129568</v>
      </c>
      <c r="N121" s="89">
        <f t="shared" si="277"/>
        <v>-2.0944765656361164E-2</v>
      </c>
      <c r="O121" s="89">
        <f t="shared" si="278"/>
        <v>1.6903389561425897E-2</v>
      </c>
      <c r="P121" s="89">
        <f t="shared" si="279"/>
        <v>-2.0457081908823449E-2</v>
      </c>
      <c r="Q121" s="89">
        <f t="shared" si="280"/>
        <v>-4.1230587714007449E-2</v>
      </c>
      <c r="R121" s="89">
        <f t="shared" si="281"/>
        <v>5.4153672097391414E-2</v>
      </c>
      <c r="S121" s="89">
        <f t="shared" si="282"/>
        <v>3.7227345100864229E-2</v>
      </c>
      <c r="T121" s="89">
        <f t="shared" si="283"/>
        <v>-4.3167352821970373E-2</v>
      </c>
      <c r="U121" s="89">
        <f t="shared" si="284"/>
        <v>4.2140277509692181E-2</v>
      </c>
      <c r="V121" s="89">
        <f t="shared" si="285"/>
        <v>-1.9077219352758079E-2</v>
      </c>
      <c r="W121" s="89">
        <f t="shared" si="286"/>
        <v>4.6950188334599074E-2</v>
      </c>
      <c r="X121" s="89">
        <f t="shared" si="287"/>
        <v>-3.2358805204878771E-2</v>
      </c>
      <c r="Y121" s="89">
        <f t="shared" si="288"/>
        <v>5.2662124578258807E-2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-1.861205544762834E-2</v>
      </c>
      <c r="F122" s="91">
        <f t="shared" si="269"/>
        <v>-2.5345337579144811E-2</v>
      </c>
      <c r="G122" s="91">
        <f t="shared" si="270"/>
        <v>-3.813459051443624E-2</v>
      </c>
      <c r="H122" s="91">
        <f t="shared" si="271"/>
        <v>1.0182921245394327E-2</v>
      </c>
      <c r="I122" s="91">
        <f t="shared" si="272"/>
        <v>2.5144067153062277E-3</v>
      </c>
      <c r="J122" s="91">
        <f t="shared" si="273"/>
        <v>4.9361357388142402E-2</v>
      </c>
      <c r="K122" s="91">
        <f t="shared" si="274"/>
        <v>-3.538264970398608E-2</v>
      </c>
      <c r="L122" s="91">
        <f t="shared" si="275"/>
        <v>-0.1064255800992161</v>
      </c>
      <c r="M122" s="91">
        <f t="shared" si="276"/>
        <v>-8.2077267254529684E-2</v>
      </c>
      <c r="N122" s="91">
        <f t="shared" si="277"/>
        <v>1.0463936473305235E-2</v>
      </c>
      <c r="O122" s="91">
        <f t="shared" si="278"/>
        <v>-1.4308222249465596E-2</v>
      </c>
      <c r="P122" s="91">
        <f t="shared" si="279"/>
        <v>3.7029537836633208E-2</v>
      </c>
      <c r="Q122" s="91">
        <f t="shared" si="280"/>
        <v>1.4062891090678376E-2</v>
      </c>
      <c r="R122" s="91">
        <f t="shared" si="281"/>
        <v>0.11711260519475686</v>
      </c>
      <c r="S122" s="91">
        <f t="shared" si="282"/>
        <v>7.6223735199132392E-4</v>
      </c>
      <c r="T122" s="91">
        <f t="shared" si="283"/>
        <v>5.5104377917321923E-2</v>
      </c>
      <c r="U122" s="91">
        <f t="shared" si="284"/>
        <v>-6.1772257544007947E-2</v>
      </c>
      <c r="V122" s="91">
        <f t="shared" si="285"/>
        <v>-3.0483678099776923E-2</v>
      </c>
      <c r="W122" s="91">
        <f t="shared" si="286"/>
        <v>1.4581857029848599E-2</v>
      </c>
      <c r="X122" s="91">
        <f t="shared" si="287"/>
        <v>8.7766279062195807E-4</v>
      </c>
      <c r="Y122" s="91">
        <f t="shared" si="288"/>
        <v>7.3421855026965188E-2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7C9A93-825A-49D6-A40C-88348F1CB7DF}"/>
</file>

<file path=customXml/itemProps2.xml><?xml version="1.0" encoding="utf-8"?>
<ds:datastoreItem xmlns:ds="http://schemas.openxmlformats.org/officeDocument/2006/customXml" ds:itemID="{734ADBD4-55FE-4FA8-83E7-B42EE3A73D1A}"/>
</file>

<file path=customXml/itemProps3.xml><?xml version="1.0" encoding="utf-8"?>
<ds:datastoreItem xmlns:ds="http://schemas.openxmlformats.org/officeDocument/2006/customXml" ds:itemID="{E198766D-2287-48B2-A51E-C76D26352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2024-05-20T16:48:13Z</dcterms:created>
  <dcterms:modified xsi:type="dcterms:W3CDTF">2024-05-20T16:48:13Z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