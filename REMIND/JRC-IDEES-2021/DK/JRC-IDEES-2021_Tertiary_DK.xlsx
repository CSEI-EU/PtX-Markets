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drawings/drawing1.xml" ContentType="application/vnd.openxmlformats-officedocument.drawing+xml"/>
  <Override PartName="/xl/worksheets/sheet2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22.xml" ContentType="application/vnd.openxmlformats-officedocument.spreadsheetml.worksheet+xml"/>
  <Override PartName="/xl/worksheets/sheet12.xml" ContentType="application/vnd.openxmlformats-officedocument.spreadsheetml.worksheet+xml"/>
  <Override PartName="/xl/worksheets/sheet14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DK\"/>
    </mc:Choice>
  </mc:AlternateContent>
  <bookViews>
    <workbookView xWindow="480" yWindow="120" windowWidth="27795" windowHeight="12075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</workbook>
</file>

<file path=xl/calcChain.xml><?xml version="1.0" encoding="utf-8"?>
<calcChain xmlns="http://schemas.openxmlformats.org/spreadsheetml/2006/main">
  <c r="H9" i="36" l="1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I5" i="39" s="1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D5" i="38" s="1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I5" i="38" s="1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B5" i="38" l="1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B33" i="36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I67" i="6" l="1"/>
  <c r="Q67" i="6"/>
  <c r="C33" i="6"/>
  <c r="K33" i="6"/>
  <c r="E33" i="6"/>
  <c r="M33" i="6"/>
  <c r="U33" i="6"/>
  <c r="G67" i="6"/>
  <c r="O67" i="6"/>
  <c r="W67" i="6"/>
  <c r="O33" i="6"/>
  <c r="E71" i="6"/>
  <c r="M71" i="6"/>
  <c r="U71" i="6"/>
  <c r="K37" i="6"/>
  <c r="K31" i="6" s="1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H31" i="6" l="1"/>
  <c r="N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P17" i="29"/>
  <c r="P9" i="29" s="1"/>
  <c r="O17" i="29"/>
  <c r="O9" i="29" s="1"/>
  <c r="N17" i="29"/>
  <c r="N9" i="29" s="1"/>
  <c r="M17" i="29"/>
  <c r="M9" i="29" s="1"/>
  <c r="L17" i="29"/>
  <c r="K17" i="29"/>
  <c r="J17" i="29"/>
  <c r="I17" i="29"/>
  <c r="H17" i="29"/>
  <c r="H9" i="29" s="1"/>
  <c r="G17" i="29"/>
  <c r="G9" i="29" s="1"/>
  <c r="F17" i="29"/>
  <c r="F9" i="29" s="1"/>
  <c r="E17" i="29"/>
  <c r="E9" i="29" s="1"/>
  <c r="D17" i="29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O16" i="29"/>
  <c r="N16" i="29"/>
  <c r="M16" i="29"/>
  <c r="L16" i="29"/>
  <c r="L8" i="29" s="1"/>
  <c r="K16" i="29"/>
  <c r="K8" i="29" s="1"/>
  <c r="J16" i="29"/>
  <c r="J8" i="29" s="1"/>
  <c r="I16" i="29"/>
  <c r="I8" i="29" s="1"/>
  <c r="H16" i="29"/>
  <c r="G16" i="29"/>
  <c r="F16" i="29"/>
  <c r="E16" i="29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P15" i="29"/>
  <c r="P7" i="29" s="1"/>
  <c r="O15" i="29"/>
  <c r="O7" i="29" s="1"/>
  <c r="N15" i="29"/>
  <c r="N7" i="29" s="1"/>
  <c r="M15" i="29"/>
  <c r="M7" i="29" s="1"/>
  <c r="L15" i="29"/>
  <c r="K15" i="29"/>
  <c r="J15" i="29"/>
  <c r="I15" i="29"/>
  <c r="H15" i="29"/>
  <c r="H7" i="29" s="1"/>
  <c r="G15" i="29"/>
  <c r="F15" i="29"/>
  <c r="F7" i="29" s="1"/>
  <c r="E15" i="29"/>
  <c r="E7" i="29" s="1"/>
  <c r="D15" i="29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O14" i="29"/>
  <c r="N14" i="29"/>
  <c r="M14" i="29"/>
  <c r="L14" i="29"/>
  <c r="L6" i="29" s="1"/>
  <c r="K14" i="29"/>
  <c r="K6" i="29" s="1"/>
  <c r="J14" i="29"/>
  <c r="J6" i="29" s="1"/>
  <c r="I14" i="29"/>
  <c r="I6" i="29" s="1"/>
  <c r="H14" i="29"/>
  <c r="G14" i="29"/>
  <c r="F14" i="29"/>
  <c r="E14" i="29"/>
  <c r="E6" i="29" s="1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Q5" i="29" s="1"/>
  <c r="P13" i="29"/>
  <c r="P5" i="29" s="1"/>
  <c r="O13" i="29"/>
  <c r="O5" i="29" s="1"/>
  <c r="N13" i="29"/>
  <c r="M13" i="29"/>
  <c r="L13" i="29"/>
  <c r="K13" i="29"/>
  <c r="J13" i="29"/>
  <c r="I13" i="29"/>
  <c r="I5" i="29" s="1"/>
  <c r="H13" i="29"/>
  <c r="H5" i="29" s="1"/>
  <c r="G13" i="29"/>
  <c r="F13" i="29"/>
  <c r="F5" i="29" s="1"/>
  <c r="E13" i="29"/>
  <c r="D13" i="29"/>
  <c r="W12" i="29"/>
  <c r="W5" i="30" s="1"/>
  <c r="V12" i="29"/>
  <c r="V5" i="30" s="1"/>
  <c r="U12" i="29"/>
  <c r="U5" i="30" s="1"/>
  <c r="T12" i="29"/>
  <c r="T11" i="29" s="1"/>
  <c r="S12" i="29"/>
  <c r="S5" i="30" s="1"/>
  <c r="R12" i="29"/>
  <c r="R5" i="30" s="1"/>
  <c r="Q12" i="29"/>
  <c r="P12" i="29"/>
  <c r="O12" i="29"/>
  <c r="N12" i="29"/>
  <c r="M12" i="29"/>
  <c r="M4" i="29" s="1"/>
  <c r="L12" i="29"/>
  <c r="L11" i="29" s="1"/>
  <c r="K12" i="29"/>
  <c r="J12" i="29"/>
  <c r="J11" i="29" s="1"/>
  <c r="I12" i="29"/>
  <c r="H12" i="29"/>
  <c r="G12" i="29"/>
  <c r="F12" i="29"/>
  <c r="E12" i="29"/>
  <c r="E4" i="29" s="1"/>
  <c r="D12" i="29"/>
  <c r="D11" i="29" s="1"/>
  <c r="V11" i="29"/>
  <c r="U11" i="29"/>
  <c r="T9" i="29"/>
  <c r="S9" i="29"/>
  <c r="R9" i="29"/>
  <c r="Q9" i="29"/>
  <c r="L9" i="29"/>
  <c r="K9" i="29"/>
  <c r="J9" i="29"/>
  <c r="I9" i="29"/>
  <c r="D9" i="29"/>
  <c r="W8" i="29"/>
  <c r="V8" i="29"/>
  <c r="U8" i="29"/>
  <c r="P8" i="29"/>
  <c r="O8" i="29"/>
  <c r="N8" i="29"/>
  <c r="M8" i="29"/>
  <c r="H8" i="29"/>
  <c r="G8" i="29"/>
  <c r="F8" i="29"/>
  <c r="E8" i="29"/>
  <c r="T7" i="29"/>
  <c r="S7" i="29"/>
  <c r="R7" i="29"/>
  <c r="Q7" i="29"/>
  <c r="L7" i="29"/>
  <c r="K7" i="29"/>
  <c r="J7" i="29"/>
  <c r="I7" i="29"/>
  <c r="G7" i="29"/>
  <c r="D7" i="29"/>
  <c r="W6" i="29"/>
  <c r="V6" i="29"/>
  <c r="P6" i="29"/>
  <c r="O6" i="29"/>
  <c r="N6" i="29"/>
  <c r="M6" i="29"/>
  <c r="H6" i="29"/>
  <c r="G6" i="29"/>
  <c r="F6" i="29"/>
  <c r="T5" i="29"/>
  <c r="S5" i="29"/>
  <c r="R5" i="29"/>
  <c r="L5" i="29"/>
  <c r="K5" i="29"/>
  <c r="J5" i="29"/>
  <c r="D5" i="29"/>
  <c r="W4" i="29"/>
  <c r="V4" i="29"/>
  <c r="P4" i="29"/>
  <c r="O4" i="29"/>
  <c r="N4" i="29"/>
  <c r="H4" i="29"/>
  <c r="G4" i="29"/>
  <c r="F4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W11" i="29" l="1"/>
  <c r="K11" i="29"/>
  <c r="U4" i="29"/>
  <c r="N11" i="29"/>
  <c r="G11" i="29"/>
  <c r="U6" i="29"/>
  <c r="W9" i="29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V3" i="32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W16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3" i="8" s="1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4" i="14" s="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K3" i="29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3" i="35"/>
  <c r="W8" i="34"/>
  <c r="S3" i="33"/>
  <c r="S8" i="32"/>
  <c r="W3" i="31"/>
  <c r="W8" i="30"/>
  <c r="N3" i="29"/>
  <c r="W8" i="35"/>
  <c r="S8" i="33"/>
  <c r="W3" i="32"/>
  <c r="U8" i="32"/>
  <c r="W8" i="31"/>
  <c r="B69" i="29"/>
  <c r="R3" i="35"/>
  <c r="T3" i="34"/>
  <c r="R8" i="34"/>
  <c r="T8" i="33"/>
  <c r="V8" i="32"/>
  <c r="R3" i="31"/>
  <c r="R8" i="30"/>
  <c r="P3" i="29"/>
  <c r="S3" i="35"/>
  <c r="U3" i="34"/>
  <c r="S8" i="34"/>
  <c r="W3" i="33"/>
  <c r="W8" i="32"/>
  <c r="S3" i="31"/>
  <c r="U3" i="30"/>
  <c r="S8" i="30"/>
  <c r="G3" i="29"/>
  <c r="P11" i="29"/>
  <c r="T3" i="35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V3" i="31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U3" i="32" l="1"/>
  <c r="W3" i="29"/>
  <c r="U19" i="25"/>
  <c r="U15" i="24"/>
  <c r="U19" i="23"/>
  <c r="U27" i="24"/>
  <c r="W3" i="8"/>
  <c r="R3" i="29"/>
  <c r="S3" i="30"/>
  <c r="T15" i="12"/>
  <c r="T19" i="14"/>
  <c r="T3" i="11"/>
  <c r="T27" i="13"/>
  <c r="S3" i="32"/>
  <c r="S15" i="24"/>
  <c r="S3" i="29"/>
  <c r="S3" i="34"/>
  <c r="U3" i="22"/>
  <c r="V3" i="19"/>
  <c r="V3" i="23" s="1"/>
  <c r="R19" i="14"/>
  <c r="S3" i="8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S3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U3" i="33"/>
  <c r="T3" i="22"/>
  <c r="D3" i="29"/>
  <c r="U3" i="29"/>
  <c r="U3" i="31"/>
  <c r="T3" i="14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U3" i="25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W3" i="12" l="1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C81" i="6"/>
  <c r="C113" i="6" s="1"/>
  <c r="C90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S81" i="6" l="1"/>
  <c r="S113" i="6" s="1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O56" i="6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L90" i="6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T56" i="6"/>
  <c r="C47" i="6"/>
  <c r="C99" i="6" s="1"/>
  <c r="C89" i="6"/>
  <c r="C92" i="6"/>
  <c r="C93" i="6"/>
  <c r="C94" i="6"/>
  <c r="S91" i="6" l="1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5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M29" i="24" s="1"/>
  <c r="N26" i="21"/>
  <c r="C18" i="21"/>
  <c r="F17" i="21"/>
  <c r="P16" i="22"/>
  <c r="P16" i="25" s="1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O16" i="12" s="1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O32" i="28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O16" i="24" s="1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B16" i="13" s="1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P29" i="25" s="1"/>
  <c r="P29" i="28" s="1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D16" i="25" s="1"/>
  <c r="N10" i="25"/>
  <c r="P8" i="25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C19" i="23" s="1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G29" i="12" s="1"/>
  <c r="O27" i="10"/>
  <c r="G27" i="10"/>
  <c r="G26" i="10"/>
  <c r="O25" i="10"/>
  <c r="G24" i="10"/>
  <c r="O23" i="10"/>
  <c r="G22" i="10"/>
  <c r="O21" i="10"/>
  <c r="K19" i="8"/>
  <c r="K19" i="12" s="1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C4" i="12" s="1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D16" i="13" s="1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19" i="12" s="1"/>
  <c r="I4" i="8"/>
  <c r="J29" i="9"/>
  <c r="J29" i="13" s="1"/>
  <c r="E27" i="10"/>
  <c r="M25" i="10"/>
  <c r="E25" i="10"/>
  <c r="E24" i="10"/>
  <c r="M23" i="10"/>
  <c r="E23" i="10"/>
  <c r="M21" i="10"/>
  <c r="E21" i="10"/>
  <c r="E20" i="10"/>
  <c r="P19" i="9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H29" i="23" s="1"/>
  <c r="D33" i="21"/>
  <c r="O32" i="21"/>
  <c r="O29" i="19"/>
  <c r="O29" i="23" s="1"/>
  <c r="G32" i="21"/>
  <c r="C29" i="19"/>
  <c r="N31" i="21"/>
  <c r="N29" i="19"/>
  <c r="J31" i="21"/>
  <c r="J29" i="19"/>
  <c r="J29" i="23" s="1"/>
  <c r="F31" i="21"/>
  <c r="F29" i="19"/>
  <c r="F29" i="23" s="1"/>
  <c r="Q29" i="19"/>
  <c r="Q30" i="21"/>
  <c r="M29" i="19"/>
  <c r="M29" i="23" s="1"/>
  <c r="M30" i="21"/>
  <c r="I29" i="19"/>
  <c r="I29" i="23" s="1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K29" i="12" s="1"/>
  <c r="C29" i="8"/>
  <c r="M19" i="8"/>
  <c r="E19" i="8"/>
  <c r="E19" i="12" s="1"/>
  <c r="Q19" i="8"/>
  <c r="G18" i="10"/>
  <c r="O17" i="10"/>
  <c r="K16" i="8"/>
  <c r="K16" i="12" s="1"/>
  <c r="C16" i="8"/>
  <c r="C16" i="12" s="1"/>
  <c r="M4" i="8"/>
  <c r="E4" i="8"/>
  <c r="Q4" i="8"/>
  <c r="J33" i="10"/>
  <c r="B32" i="10"/>
  <c r="J31" i="10"/>
  <c r="N29" i="9"/>
  <c r="N29" i="13" s="1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D15" i="16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O4" i="12" s="1"/>
  <c r="M33" i="10"/>
  <c r="E33" i="10"/>
  <c r="E32" i="10"/>
  <c r="M31" i="10"/>
  <c r="E31" i="10"/>
  <c r="P29" i="9"/>
  <c r="P29" i="13" s="1"/>
  <c r="J19" i="9"/>
  <c r="J19" i="13" s="1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29" i="12" s="1"/>
  <c r="P19" i="8"/>
  <c r="P16" i="8"/>
  <c r="P4" i="8"/>
  <c r="P4" i="12" s="1"/>
  <c r="Q29" i="9"/>
  <c r="Q19" i="9"/>
  <c r="Q16" i="9"/>
  <c r="Q16" i="13" s="1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N19" i="19"/>
  <c r="N19" i="23" s="1"/>
  <c r="J19" i="19"/>
  <c r="J19" i="23" s="1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N29" i="24" s="1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H29" i="24" s="1"/>
  <c r="D30" i="21"/>
  <c r="D29" i="20"/>
  <c r="I29" i="20"/>
  <c r="I29" i="24" s="1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29" i="12" s="1"/>
  <c r="H16" i="8"/>
  <c r="H4" i="8"/>
  <c r="H4" i="12" s="1"/>
  <c r="G33" i="16"/>
  <c r="K32" i="16"/>
  <c r="G32" i="16"/>
  <c r="G31" i="16"/>
  <c r="K30" i="16"/>
  <c r="G30" i="16"/>
  <c r="I19" i="9"/>
  <c r="I19" i="13" s="1"/>
  <c r="C17" i="16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L4" i="23" s="1"/>
  <c r="H4" i="19"/>
  <c r="H4" i="23" s="1"/>
  <c r="D4" i="19"/>
  <c r="J4" i="19"/>
  <c r="O29" i="20"/>
  <c r="O29" i="24" s="1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N19" i="24" s="1"/>
  <c r="J20" i="27"/>
  <c r="J19" i="20"/>
  <c r="J19" i="24" s="1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O4" i="24" s="1"/>
  <c r="K4" i="20"/>
  <c r="K5" i="21"/>
  <c r="G5" i="21"/>
  <c r="C5" i="21"/>
  <c r="C4" i="20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P8" i="28"/>
  <c r="F51" i="39"/>
  <c r="Q32" i="17"/>
  <c r="Q9" i="17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E16" i="23" s="1"/>
  <c r="K17" i="21"/>
  <c r="K16" i="20"/>
  <c r="K16" i="24" s="1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E4" i="24" s="1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I30" i="17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4" i="23" s="1"/>
  <c r="E5" i="21"/>
  <c r="O4" i="19"/>
  <c r="O4" i="23" s="1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P19" i="24" s="1"/>
  <c r="L21" i="21"/>
  <c r="L21" i="27"/>
  <c r="H21" i="21"/>
  <c r="D21" i="21"/>
  <c r="D21" i="27"/>
  <c r="O20" i="21"/>
  <c r="O19" i="20"/>
  <c r="K20" i="21"/>
  <c r="K19" i="20"/>
  <c r="G20" i="21"/>
  <c r="G19" i="20"/>
  <c r="G19" i="24" s="1"/>
  <c r="C20" i="21"/>
  <c r="C19" i="20"/>
  <c r="C19" i="24" s="1"/>
  <c r="L19" i="20"/>
  <c r="L19" i="24" s="1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P23" i="28"/>
  <c r="N29" i="8"/>
  <c r="N29" i="12" s="1"/>
  <c r="J29" i="8"/>
  <c r="J29" i="12" s="1"/>
  <c r="F29" i="8"/>
  <c r="B29" i="8"/>
  <c r="N19" i="8"/>
  <c r="J19" i="8"/>
  <c r="J19" i="12" s="1"/>
  <c r="F19" i="8"/>
  <c r="B19" i="8"/>
  <c r="N16" i="8"/>
  <c r="J16" i="8"/>
  <c r="J16" i="12" s="1"/>
  <c r="F16" i="8"/>
  <c r="B16" i="8"/>
  <c r="N4" i="8"/>
  <c r="N4" i="12" s="1"/>
  <c r="J4" i="8"/>
  <c r="J4" i="12" s="1"/>
  <c r="F4" i="8"/>
  <c r="F4" i="12" s="1"/>
  <c r="B4" i="8"/>
  <c r="O29" i="9"/>
  <c r="K29" i="9"/>
  <c r="K29" i="13" s="1"/>
  <c r="G29" i="9"/>
  <c r="G29" i="13" s="1"/>
  <c r="C29" i="9"/>
  <c r="O19" i="9"/>
  <c r="K19" i="9"/>
  <c r="K19" i="13" s="1"/>
  <c r="G19" i="9"/>
  <c r="C19" i="9"/>
  <c r="O16" i="9"/>
  <c r="K16" i="9"/>
  <c r="K16" i="13" s="1"/>
  <c r="G16" i="9"/>
  <c r="C16" i="9"/>
  <c r="C16" i="13" s="1"/>
  <c r="C4" i="9"/>
  <c r="C4" i="13" s="1"/>
  <c r="E29" i="11"/>
  <c r="E19" i="11"/>
  <c r="E19" i="14" s="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G16" i="12" l="1"/>
  <c r="C4" i="24"/>
  <c r="P19" i="13"/>
  <c r="F16" i="12"/>
  <c r="O29" i="13"/>
  <c r="D16" i="14"/>
  <c r="D16" i="17" s="1"/>
  <c r="O4" i="13"/>
  <c r="O29" i="12"/>
  <c r="O29" i="15" s="1"/>
  <c r="F4" i="24"/>
  <c r="G19" i="23"/>
  <c r="E4" i="13"/>
  <c r="K4" i="24"/>
  <c r="E19" i="24"/>
  <c r="I4" i="23"/>
  <c r="G16" i="13"/>
  <c r="G16" i="16" s="1"/>
  <c r="N29" i="23"/>
  <c r="N29" i="26" s="1"/>
  <c r="C19" i="13"/>
  <c r="K19" i="24"/>
  <c r="O19" i="23"/>
  <c r="O19" i="26" s="1"/>
  <c r="Q29" i="24"/>
  <c r="G29" i="24"/>
  <c r="G29" i="27" s="1"/>
  <c r="C19" i="12"/>
  <c r="C19" i="15" s="1"/>
  <c r="P16" i="23"/>
  <c r="P16" i="26" s="1"/>
  <c r="M4" i="14"/>
  <c r="M4" i="17" s="1"/>
  <c r="O16" i="13"/>
  <c r="O16" i="23"/>
  <c r="F19" i="12"/>
  <c r="M16" i="24"/>
  <c r="J4" i="23"/>
  <c r="J4" i="26" s="1"/>
  <c r="P19" i="12"/>
  <c r="P19" i="15" s="1"/>
  <c r="H4" i="24"/>
  <c r="H4" i="27" s="1"/>
  <c r="M4" i="12"/>
  <c r="M4" i="15" s="1"/>
  <c r="O19" i="24"/>
  <c r="P16" i="24"/>
  <c r="L19" i="13"/>
  <c r="G4" i="23"/>
  <c r="P4" i="24"/>
  <c r="P4" i="27" s="1"/>
  <c r="C29" i="24"/>
  <c r="C29" i="27" s="1"/>
  <c r="G4" i="24"/>
  <c r="G4" i="27" s="1"/>
  <c r="I4" i="24"/>
  <c r="I4" i="27" s="1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M29" i="16" s="1"/>
  <c r="D19" i="24"/>
  <c r="D19" i="27" s="1"/>
  <c r="D4" i="24"/>
  <c r="P19" i="23"/>
  <c r="N16" i="14"/>
  <c r="D4" i="13"/>
  <c r="N16" i="12"/>
  <c r="N16" i="15" s="1"/>
  <c r="E16" i="12"/>
  <c r="E16" i="15" s="1"/>
  <c r="I16" i="14"/>
  <c r="I16" i="17" s="1"/>
  <c r="Q4" i="23"/>
  <c r="Q4" i="26" s="1"/>
  <c r="J29" i="24"/>
  <c r="P16" i="13"/>
  <c r="C29" i="12"/>
  <c r="G16" i="24"/>
  <c r="I4" i="12"/>
  <c r="L16" i="13"/>
  <c r="L16" i="16" s="1"/>
  <c r="B29" i="13"/>
  <c r="B29" i="16" s="1"/>
  <c r="L4" i="24"/>
  <c r="L4" i="27" s="1"/>
  <c r="Q29" i="23"/>
  <c r="G16" i="25"/>
  <c r="Q4" i="24"/>
  <c r="D4" i="23"/>
  <c r="C29" i="13"/>
  <c r="B29" i="12"/>
  <c r="H19" i="24"/>
  <c r="H19" i="27" s="1"/>
  <c r="Q4" i="12"/>
  <c r="Q4" i="15" s="1"/>
  <c r="B4" i="14"/>
  <c r="N19" i="12"/>
  <c r="D29" i="25"/>
  <c r="D29" i="28" s="1"/>
  <c r="F16" i="24"/>
  <c r="D29" i="24"/>
  <c r="D29" i="27" s="1"/>
  <c r="G19" i="14"/>
  <c r="G19" i="17" s="1"/>
  <c r="D29" i="23"/>
  <c r="D29" i="26" s="1"/>
  <c r="I16" i="13"/>
  <c r="I16" i="16" s="1"/>
  <c r="B4" i="13"/>
  <c r="M4" i="23"/>
  <c r="B4" i="12"/>
  <c r="I16" i="23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F4" i="23"/>
  <c r="F4" i="26" s="1"/>
  <c r="N16" i="23"/>
  <c r="N16" i="26" s="1"/>
  <c r="J4" i="24"/>
  <c r="J4" i="27" s="1"/>
  <c r="H4" i="13"/>
  <c r="H4" i="16" s="1"/>
  <c r="H19" i="13"/>
  <c r="I19" i="24"/>
  <c r="K16" i="23"/>
  <c r="E29" i="13"/>
  <c r="L16" i="24"/>
  <c r="L16" i="27" s="1"/>
  <c r="M4" i="13"/>
  <c r="M4" i="16" s="1"/>
  <c r="D27" i="13"/>
  <c r="D27" i="16" s="1"/>
  <c r="D27" i="12"/>
  <c r="M27" i="12"/>
  <c r="M27" i="13"/>
  <c r="G16" i="23"/>
  <c r="G16" i="26" s="1"/>
  <c r="M27" i="23"/>
  <c r="M27" i="26" s="1"/>
  <c r="M27" i="24"/>
  <c r="M27" i="27" s="1"/>
  <c r="O19" i="13"/>
  <c r="O19" i="16" s="1"/>
  <c r="E15" i="24"/>
  <c r="E15" i="27" s="1"/>
  <c r="E15" i="23"/>
  <c r="Q19" i="13"/>
  <c r="I29" i="12"/>
  <c r="I29" i="15" s="1"/>
  <c r="D19" i="13"/>
  <c r="D19" i="16" s="1"/>
  <c r="E4" i="12"/>
  <c r="E4" i="15" s="1"/>
  <c r="M19" i="12"/>
  <c r="M19" i="15" s="1"/>
  <c r="N27" i="12"/>
  <c r="N27" i="13"/>
  <c r="E29" i="23"/>
  <c r="E29" i="26" s="1"/>
  <c r="N19" i="13"/>
  <c r="N19" i="16" s="1"/>
  <c r="M16" i="12"/>
  <c r="M16" i="15" s="1"/>
  <c r="E29" i="12"/>
  <c r="E29" i="15" s="1"/>
  <c r="P27" i="13"/>
  <c r="P27" i="12"/>
  <c r="N27" i="23"/>
  <c r="N27" i="26" s="1"/>
  <c r="N27" i="24"/>
  <c r="N27" i="27" s="1"/>
  <c r="C27" i="12"/>
  <c r="C27" i="15" s="1"/>
  <c r="C27" i="13"/>
  <c r="C27" i="16" s="1"/>
  <c r="L19" i="12"/>
  <c r="L19" i="15" s="1"/>
  <c r="I27" i="13"/>
  <c r="I27" i="12"/>
  <c r="E27" i="12"/>
  <c r="E27" i="13"/>
  <c r="E27" i="16" s="1"/>
  <c r="E19" i="23"/>
  <c r="E19" i="26" s="1"/>
  <c r="D15" i="23"/>
  <c r="D15" i="26" s="1"/>
  <c r="D15" i="24"/>
  <c r="E19" i="13"/>
  <c r="E19" i="16" s="1"/>
  <c r="C16" i="23"/>
  <c r="C16" i="26" s="1"/>
  <c r="F16" i="23"/>
  <c r="F3" i="19"/>
  <c r="F3" i="23" s="1"/>
  <c r="F19" i="23"/>
  <c r="F19" i="26" s="1"/>
  <c r="B16" i="10"/>
  <c r="B16" i="12"/>
  <c r="B16" i="15" s="1"/>
  <c r="Q27" i="13"/>
  <c r="Q27" i="16" s="1"/>
  <c r="Q27" i="12"/>
  <c r="Q27" i="15" s="1"/>
  <c r="F29" i="12"/>
  <c r="L29" i="23"/>
  <c r="L29" i="26" s="1"/>
  <c r="I15" i="24"/>
  <c r="I15" i="27" s="1"/>
  <c r="I15" i="23"/>
  <c r="I15" i="26" s="1"/>
  <c r="M4" i="24"/>
  <c r="M4" i="27" s="1"/>
  <c r="I19" i="23"/>
  <c r="Q19" i="23"/>
  <c r="G15" i="23"/>
  <c r="G15" i="24"/>
  <c r="G15" i="27" s="1"/>
  <c r="H27" i="23"/>
  <c r="H27" i="26" s="1"/>
  <c r="H27" i="24"/>
  <c r="H27" i="27" s="1"/>
  <c r="Q29" i="13"/>
  <c r="Q29" i="16" s="1"/>
  <c r="I16" i="12"/>
  <c r="F29" i="13"/>
  <c r="D29" i="13"/>
  <c r="C4" i="23"/>
  <c r="C4" i="26" s="1"/>
  <c r="K4" i="23"/>
  <c r="K4" i="26" s="1"/>
  <c r="M19" i="13"/>
  <c r="M19" i="16" s="1"/>
  <c r="N4" i="21"/>
  <c r="N4" i="24"/>
  <c r="P4" i="13"/>
  <c r="G29" i="23"/>
  <c r="B19" i="13"/>
  <c r="K27" i="12"/>
  <c r="K27" i="15" s="1"/>
  <c r="K27" i="13"/>
  <c r="K27" i="16" s="1"/>
  <c r="H15" i="23"/>
  <c r="H15" i="26" s="1"/>
  <c r="H15" i="24"/>
  <c r="H15" i="27" s="1"/>
  <c r="L16" i="12"/>
  <c r="P15" i="23"/>
  <c r="P15" i="26" s="1"/>
  <c r="P15" i="24"/>
  <c r="M29" i="12"/>
  <c r="M29" i="15" s="1"/>
  <c r="H16" i="12"/>
  <c r="H16" i="15" s="1"/>
  <c r="J15" i="24"/>
  <c r="J15" i="23"/>
  <c r="L27" i="23"/>
  <c r="L27" i="24"/>
  <c r="L27" i="27" s="1"/>
  <c r="O19" i="12"/>
  <c r="G27" i="24"/>
  <c r="G27" i="27" s="1"/>
  <c r="G27" i="23"/>
  <c r="G27" i="26" s="1"/>
  <c r="L4" i="13"/>
  <c r="L4" i="16" s="1"/>
  <c r="K4" i="12"/>
  <c r="P4" i="23"/>
  <c r="P4" i="26" s="1"/>
  <c r="K29" i="23"/>
  <c r="G4" i="12"/>
  <c r="G4" i="15" s="1"/>
  <c r="B47" i="6"/>
  <c r="B58" i="6" s="1"/>
  <c r="B100" i="6"/>
  <c r="B121" i="6" s="1"/>
  <c r="O15" i="23"/>
  <c r="O15" i="24"/>
  <c r="E29" i="24"/>
  <c r="E29" i="27" s="1"/>
  <c r="K27" i="23"/>
  <c r="K27" i="24"/>
  <c r="K27" i="27" s="1"/>
  <c r="B27" i="12"/>
  <c r="B27" i="15" s="1"/>
  <c r="B27" i="13"/>
  <c r="B27" i="16" s="1"/>
  <c r="Q19" i="24"/>
  <c r="K15" i="23"/>
  <c r="K15" i="24"/>
  <c r="P27" i="23"/>
  <c r="P27" i="26" s="1"/>
  <c r="P27" i="24"/>
  <c r="P27" i="27" s="1"/>
  <c r="P16" i="12"/>
  <c r="P16" i="15" s="1"/>
  <c r="F4" i="13"/>
  <c r="L29" i="13"/>
  <c r="L15" i="23"/>
  <c r="L15" i="24"/>
  <c r="J27" i="12"/>
  <c r="J27" i="15" s="1"/>
  <c r="J27" i="13"/>
  <c r="J27" i="16" s="1"/>
  <c r="E16" i="24"/>
  <c r="E16" i="27" s="1"/>
  <c r="D16" i="12"/>
  <c r="D16" i="15" s="1"/>
  <c r="M15" i="23"/>
  <c r="M15" i="24"/>
  <c r="D19" i="23"/>
  <c r="N15" i="23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N4" i="23"/>
  <c r="H19" i="12"/>
  <c r="L4" i="12"/>
  <c r="L4" i="15" s="1"/>
  <c r="I16" i="24"/>
  <c r="I16" i="27" s="1"/>
  <c r="H16" i="13"/>
  <c r="H16" i="16" s="1"/>
  <c r="L29" i="12"/>
  <c r="M19" i="21"/>
  <c r="M19" i="24"/>
  <c r="E27" i="23"/>
  <c r="E27" i="26" s="1"/>
  <c r="E27" i="24"/>
  <c r="E27" i="27" s="1"/>
  <c r="G19" i="13"/>
  <c r="G19" i="16" s="1"/>
  <c r="Q15" i="23"/>
  <c r="Q15" i="26" s="1"/>
  <c r="Q15" i="24"/>
  <c r="Q15" i="27" s="1"/>
  <c r="M16" i="23"/>
  <c r="M16" i="26" s="1"/>
  <c r="H19" i="23"/>
  <c r="O27" i="24"/>
  <c r="O27" i="23"/>
  <c r="O27" i="26" s="1"/>
  <c r="Q19" i="12"/>
  <c r="Q19" i="15" s="1"/>
  <c r="J27" i="24"/>
  <c r="J27" i="27" s="1"/>
  <c r="J27" i="23"/>
  <c r="J27" i="26" s="1"/>
  <c r="N4" i="13"/>
  <c r="Q16" i="12"/>
  <c r="Q16" i="15" s="1"/>
  <c r="L27" i="13"/>
  <c r="L27" i="12"/>
  <c r="L27" i="15" s="1"/>
  <c r="K4" i="13"/>
  <c r="K4" i="16" s="1"/>
  <c r="I29" i="13"/>
  <c r="I29" i="16" s="1"/>
  <c r="J16" i="24"/>
  <c r="J16" i="27" s="1"/>
  <c r="H29" i="13"/>
  <c r="Q27" i="23"/>
  <c r="Q27" i="26" s="1"/>
  <c r="Q27" i="24"/>
  <c r="K19" i="23"/>
  <c r="K19" i="26" s="1"/>
  <c r="F15" i="23"/>
  <c r="F15" i="26" s="1"/>
  <c r="F15" i="24"/>
  <c r="F15" i="27" s="1"/>
  <c r="G27" i="13"/>
  <c r="G27" i="16" s="1"/>
  <c r="G27" i="12"/>
  <c r="O27" i="13"/>
  <c r="O27" i="16" s="1"/>
  <c r="O27" i="12"/>
  <c r="B19" i="12"/>
  <c r="I27" i="23"/>
  <c r="I27" i="24"/>
  <c r="I27" i="27" s="1"/>
  <c r="D27" i="23"/>
  <c r="D27" i="26" s="1"/>
  <c r="D27" i="24"/>
  <c r="D27" i="27" s="1"/>
  <c r="L29" i="24"/>
  <c r="L19" i="23"/>
  <c r="L19" i="26" s="1"/>
  <c r="C15" i="24"/>
  <c r="C15" i="27" s="1"/>
  <c r="C15" i="23"/>
  <c r="F27" i="13"/>
  <c r="F27" i="12"/>
  <c r="F27" i="15" s="1"/>
  <c r="F19" i="13"/>
  <c r="F19" i="16" s="1"/>
  <c r="Q29" i="12"/>
  <c r="Q29" i="15" s="1"/>
  <c r="H27" i="13"/>
  <c r="H27" i="16" s="1"/>
  <c r="H27" i="12"/>
  <c r="H27" i="15" s="1"/>
  <c r="C27" i="24"/>
  <c r="C27" i="27" s="1"/>
  <c r="C27" i="23"/>
  <c r="C27" i="26" s="1"/>
  <c r="L16" i="23"/>
  <c r="L16" i="15"/>
  <c r="M16" i="13"/>
  <c r="M16" i="16" s="1"/>
  <c r="F19" i="24"/>
  <c r="F19" i="27" s="1"/>
  <c r="E16" i="13"/>
  <c r="N16" i="21"/>
  <c r="N16" i="24"/>
  <c r="N16" i="27" s="1"/>
  <c r="D4" i="12"/>
  <c r="D4" i="15" s="1"/>
  <c r="D29" i="12"/>
  <c r="D29" i="15" s="1"/>
  <c r="G19" i="12"/>
  <c r="G19" i="15" s="1"/>
  <c r="D19" i="12"/>
  <c r="M31" i="39"/>
  <c r="M31" i="37"/>
  <c r="N19" i="25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15" i="27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27" i="27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N19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L29" i="15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O16" i="26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K19" i="14"/>
  <c r="K19" i="17" s="1"/>
  <c r="O27" i="27"/>
  <c r="H16" i="25"/>
  <c r="H16" i="28" s="1"/>
  <c r="K29" i="14"/>
  <c r="K29" i="17" s="1"/>
  <c r="L16" i="14"/>
  <c r="L16" i="17" s="1"/>
  <c r="I16" i="25"/>
  <c r="M29" i="14"/>
  <c r="M29" i="17" s="1"/>
  <c r="O19" i="25"/>
  <c r="O19" i="28" s="1"/>
  <c r="K16" i="25"/>
  <c r="K16" i="28" s="1"/>
  <c r="F16" i="26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M15" i="27"/>
  <c r="I24" i="17"/>
  <c r="I20" i="28"/>
  <c r="F6" i="27"/>
  <c r="M9" i="27"/>
  <c r="I17" i="27"/>
  <c r="M21" i="27"/>
  <c r="M28" i="26"/>
  <c r="I31" i="28"/>
  <c r="I8" i="27"/>
  <c r="M12" i="27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D7" i="27"/>
  <c r="I30" i="16"/>
  <c r="H9" i="15"/>
  <c r="H25" i="15"/>
  <c r="L24" i="28"/>
  <c r="I8" i="15"/>
  <c r="Q29" i="26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E29" i="16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E27" i="15"/>
  <c r="D25" i="26"/>
  <c r="I5" i="15"/>
  <c r="I7" i="15"/>
  <c r="I15" i="15"/>
  <c r="I8" i="17"/>
  <c r="I28" i="16"/>
  <c r="I24" i="15"/>
  <c r="H26" i="15"/>
  <c r="D4" i="14"/>
  <c r="D4" i="17" s="1"/>
  <c r="I25" i="16"/>
  <c r="H6" i="15"/>
  <c r="H14" i="15"/>
  <c r="D24" i="28"/>
  <c r="I31" i="15"/>
  <c r="I33" i="15"/>
  <c r="D18" i="15"/>
  <c r="M4" i="10"/>
  <c r="G16" i="28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5"/>
  <c r="E16" i="28" s="1"/>
  <c r="G10" i="28"/>
  <c r="G23" i="26"/>
  <c r="G17" i="28"/>
  <c r="G22" i="28"/>
  <c r="P15" i="27"/>
  <c r="G31" i="27"/>
  <c r="G9" i="26"/>
  <c r="M15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C15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16" i="28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K16" i="26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J15" i="27"/>
  <c r="G14" i="26"/>
  <c r="I17" i="26"/>
  <c r="J18" i="26"/>
  <c r="H29" i="16"/>
  <c r="I29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3" i="26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G15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P27" i="15"/>
  <c r="C17" i="26"/>
  <c r="C19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L27" i="1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G19" i="26"/>
  <c r="E22" i="28"/>
  <c r="G31" i="15"/>
  <c r="K30" i="15"/>
  <c r="E30" i="26"/>
  <c r="G9" i="15"/>
  <c r="G17" i="15"/>
  <c r="G20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J11" i="16"/>
  <c r="M27" i="15"/>
  <c r="M27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27" i="26"/>
  <c r="K17" i="15"/>
  <c r="M21" i="16"/>
  <c r="D16" i="28"/>
  <c r="J26" i="16"/>
  <c r="D19" i="14"/>
  <c r="D19" i="17" s="1"/>
  <c r="D27" i="15"/>
  <c r="J31" i="16"/>
  <c r="K18" i="27"/>
  <c r="K20" i="27"/>
  <c r="K9" i="26"/>
  <c r="K26" i="26"/>
  <c r="K5" i="28"/>
  <c r="K7" i="27"/>
  <c r="K10" i="27"/>
  <c r="H44" i="37"/>
  <c r="K15" i="27"/>
  <c r="K13" i="26"/>
  <c r="K15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15" i="27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27" i="15"/>
  <c r="O19" i="14"/>
  <c r="O19" i="17" s="1"/>
  <c r="D29" i="14"/>
  <c r="D29" i="17" s="1"/>
  <c r="O4" i="10"/>
  <c r="K32" i="26"/>
  <c r="D21" i="26"/>
  <c r="O29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O4" i="16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F27" i="16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K32" i="15"/>
  <c r="G4" i="16"/>
  <c r="J16" i="14"/>
  <c r="J16" i="17" s="1"/>
  <c r="J16" i="21"/>
  <c r="H19" i="10"/>
  <c r="H19" i="15"/>
  <c r="L31" i="37"/>
  <c r="P44" i="37"/>
  <c r="Q3" i="11"/>
  <c r="B30" i="15"/>
  <c r="B31" i="15"/>
  <c r="B32" i="15"/>
  <c r="B33" i="15"/>
  <c r="N15" i="26"/>
  <c r="D19" i="15"/>
  <c r="L17" i="26"/>
  <c r="L11" i="26"/>
  <c r="L7" i="27"/>
  <c r="L24" i="26"/>
  <c r="L6" i="27"/>
  <c r="L28" i="26"/>
  <c r="L14" i="27"/>
  <c r="L14" i="26"/>
  <c r="L10" i="28"/>
  <c r="N27" i="16"/>
  <c r="N27" i="15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5" i="26"/>
  <c r="O10" i="27"/>
  <c r="O22" i="28"/>
  <c r="O5" i="28"/>
  <c r="O21" i="26"/>
  <c r="O28" i="27"/>
  <c r="O28" i="26"/>
  <c r="O32" i="27"/>
  <c r="O9" i="28"/>
  <c r="B19" i="14"/>
  <c r="B19" i="17" s="1"/>
  <c r="E15" i="26"/>
  <c r="D44" i="37"/>
  <c r="C29" i="14"/>
  <c r="C29" i="17" s="1"/>
  <c r="O3" i="11"/>
  <c r="O3" i="14" s="1"/>
  <c r="O3" i="17" s="1"/>
  <c r="L3" i="8"/>
  <c r="E19" i="15"/>
  <c r="J29" i="26"/>
  <c r="H19" i="16"/>
  <c r="I19" i="14"/>
  <c r="I19" i="17" s="1"/>
  <c r="I3" i="11"/>
  <c r="I3" i="14" s="1"/>
  <c r="I3" i="17" s="1"/>
  <c r="D3" i="7"/>
  <c r="M44" i="37"/>
  <c r="M19" i="27"/>
  <c r="B31" i="16"/>
  <c r="M19" i="10"/>
  <c r="L25" i="26"/>
  <c r="E29" i="21"/>
  <c r="M29" i="26"/>
  <c r="M29" i="21"/>
  <c r="E4" i="16"/>
  <c r="K29" i="26"/>
  <c r="L32" i="26"/>
  <c r="M23" i="16"/>
  <c r="O5" i="15"/>
  <c r="O11" i="15"/>
  <c r="O13" i="15"/>
  <c r="O25" i="15"/>
  <c r="M29" i="10"/>
  <c r="M33" i="15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I27" i="16"/>
  <c r="I27" i="15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L29" i="28"/>
  <c r="H11" i="26"/>
  <c r="L27" i="26"/>
  <c r="O8" i="17"/>
  <c r="P29" i="15"/>
  <c r="O31" i="15"/>
  <c r="O16" i="17"/>
  <c r="B4" i="16"/>
  <c r="B30" i="16"/>
  <c r="J33" i="16"/>
  <c r="H29" i="2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I16" i="26"/>
  <c r="L21" i="26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6" i="28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J7" i="16"/>
  <c r="O14" i="15"/>
  <c r="O33" i="15"/>
  <c r="J19" i="14"/>
  <c r="J19" i="17" s="1"/>
  <c r="I16" i="15"/>
  <c r="L15" i="26"/>
  <c r="G19" i="25"/>
  <c r="G19" i="28" s="1"/>
  <c r="O20" i="28"/>
  <c r="J17" i="16"/>
  <c r="B33" i="16"/>
  <c r="O8" i="15"/>
  <c r="J17" i="17"/>
  <c r="B31" i="17"/>
  <c r="B32" i="17"/>
  <c r="H21" i="26"/>
  <c r="J12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E16" i="16"/>
  <c r="K44" i="37"/>
  <c r="I44" i="37"/>
  <c r="D10" i="31"/>
  <c r="H3" i="22"/>
  <c r="H3" i="25" s="1"/>
  <c r="H3" i="28" s="1"/>
  <c r="H4" i="25"/>
  <c r="H4" i="28" s="1"/>
  <c r="E19" i="27"/>
  <c r="E19" i="21"/>
  <c r="G16" i="10"/>
  <c r="G19" i="10"/>
  <c r="G29" i="16"/>
  <c r="G29" i="10"/>
  <c r="F4" i="15"/>
  <c r="F3" i="8"/>
  <c r="F16" i="15"/>
  <c r="F19" i="15"/>
  <c r="F29" i="15"/>
  <c r="G16" i="21"/>
  <c r="G16" i="27"/>
  <c r="O3" i="19"/>
  <c r="O4" i="26"/>
  <c r="I4" i="26"/>
  <c r="I3" i="19"/>
  <c r="E4" i="25"/>
  <c r="E4" i="28" s="1"/>
  <c r="E3" i="22"/>
  <c r="E3" i="25" s="1"/>
  <c r="E3" i="28" s="1"/>
  <c r="E4" i="27"/>
  <c r="E3" i="20"/>
  <c r="E3" i="24" s="1"/>
  <c r="E4" i="21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7"/>
  <c r="P16" i="21"/>
  <c r="N19" i="27"/>
  <c r="N19" i="21"/>
  <c r="N3" i="20"/>
  <c r="N3" i="24" s="1"/>
  <c r="J3" i="19"/>
  <c r="K4" i="14"/>
  <c r="K4" i="17" s="1"/>
  <c r="K3" i="11"/>
  <c r="K3" i="14" s="1"/>
  <c r="J4" i="21"/>
  <c r="Q29" i="27"/>
  <c r="Q29" i="21"/>
  <c r="J29" i="27"/>
  <c r="J29" i="21"/>
  <c r="G29" i="21"/>
  <c r="I19" i="26"/>
  <c r="I19" i="21"/>
  <c r="Q3" i="9"/>
  <c r="Q4" i="10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3" i="8"/>
  <c r="Q3" i="12" s="1"/>
  <c r="B89" i="6"/>
  <c r="B91" i="6"/>
  <c r="B92" i="6"/>
  <c r="B93" i="6"/>
  <c r="B94" i="6"/>
  <c r="B113" i="6"/>
  <c r="G3" i="20"/>
  <c r="G3" i="24" s="1"/>
  <c r="I4" i="15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4" i="16"/>
  <c r="F3" i="9"/>
  <c r="F3" i="13" s="1"/>
  <c r="F4" i="10"/>
  <c r="N5" i="16"/>
  <c r="N7" i="16"/>
  <c r="N20" i="16"/>
  <c r="F24" i="16"/>
  <c r="N25" i="16"/>
  <c r="D29" i="10"/>
  <c r="D29" i="16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4" i="26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1"/>
  <c r="G19" i="27"/>
  <c r="G19" i="21"/>
  <c r="O19" i="27"/>
  <c r="O19" i="21"/>
  <c r="M9" i="17"/>
  <c r="M32" i="17"/>
  <c r="K4" i="25"/>
  <c r="K4" i="28" s="1"/>
  <c r="K3" i="22"/>
  <c r="K3" i="25" s="1"/>
  <c r="K3" i="28" s="1"/>
  <c r="M3" i="20"/>
  <c r="M3" i="24" s="1"/>
  <c r="M4" i="21"/>
  <c r="Q3" i="20"/>
  <c r="Q3" i="24" s="1"/>
  <c r="Q4" i="21"/>
  <c r="Q4" i="27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K4" i="27"/>
  <c r="M16" i="27"/>
  <c r="M16" i="21"/>
  <c r="H19" i="21"/>
  <c r="D3" i="19"/>
  <c r="D4" i="26"/>
  <c r="L3" i="19"/>
  <c r="L4" i="26"/>
  <c r="L16" i="26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I19" i="27"/>
  <c r="P29" i="27"/>
  <c r="P29" i="21"/>
  <c r="H19" i="26"/>
  <c r="P19" i="26"/>
  <c r="N3" i="19"/>
  <c r="N19" i="26"/>
  <c r="G5" i="17"/>
  <c r="C7" i="17"/>
  <c r="G24" i="17"/>
  <c r="G30" i="17"/>
  <c r="C32" i="17"/>
  <c r="M5" i="16"/>
  <c r="M6" i="16"/>
  <c r="Q19" i="16"/>
  <c r="Q19" i="10"/>
  <c r="G5" i="16"/>
  <c r="B147" i="6"/>
  <c r="B171" i="6"/>
  <c r="B125" i="6"/>
  <c r="B134" i="6"/>
  <c r="B158" i="6"/>
  <c r="N4" i="27"/>
  <c r="J15" i="26"/>
  <c r="G29" i="26"/>
  <c r="C21" i="17"/>
  <c r="J14" i="16"/>
  <c r="B23" i="16"/>
  <c r="G11" i="15"/>
  <c r="G27" i="15"/>
  <c r="J4" i="14"/>
  <c r="J4" i="17" s="1"/>
  <c r="J3" i="11"/>
  <c r="J3" i="14" s="1"/>
  <c r="J3" i="17" s="1"/>
  <c r="C8" i="17"/>
  <c r="J19" i="10"/>
  <c r="J19" i="16"/>
  <c r="M30" i="16"/>
  <c r="F19" i="21"/>
  <c r="L15" i="27"/>
  <c r="M6" i="17"/>
  <c r="B25" i="16"/>
  <c r="J28" i="16"/>
  <c r="C7" i="15"/>
  <c r="M17" i="15"/>
  <c r="B4" i="17"/>
  <c r="F17" i="17"/>
  <c r="P19" i="14"/>
  <c r="P19" i="17" s="1"/>
  <c r="N30" i="17"/>
  <c r="N31" i="17"/>
  <c r="N32" i="17"/>
  <c r="D4" i="10"/>
  <c r="D4" i="16"/>
  <c r="D3" i="9"/>
  <c r="D3" i="13" s="1"/>
  <c r="H16" i="10"/>
  <c r="F17" i="16"/>
  <c r="B18" i="16"/>
  <c r="B19" i="16"/>
  <c r="L19" i="10"/>
  <c r="L19" i="16"/>
  <c r="N29" i="16"/>
  <c r="N29" i="10"/>
  <c r="N31" i="16"/>
  <c r="F33" i="16"/>
  <c r="E3" i="8"/>
  <c r="M6" i="15"/>
  <c r="G18" i="15"/>
  <c r="C29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4" i="15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N24" i="16"/>
  <c r="B16" i="16"/>
  <c r="C25" i="15"/>
  <c r="P27" i="16"/>
  <c r="E8" i="15"/>
  <c r="E12" i="15"/>
  <c r="C17" i="15"/>
  <c r="C44" i="37"/>
  <c r="Q44" i="37"/>
  <c r="P10" i="30"/>
  <c r="H10" i="31"/>
  <c r="F4" i="27"/>
  <c r="F3" i="20"/>
  <c r="F3" i="24" s="1"/>
  <c r="F4" i="21"/>
  <c r="F16" i="27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6"/>
  <c r="O29" i="10"/>
  <c r="N4" i="15"/>
  <c r="N3" i="8"/>
  <c r="N19" i="15"/>
  <c r="N29" i="15"/>
  <c r="G3" i="22"/>
  <c r="G3" i="25" s="1"/>
  <c r="G3" i="28" s="1"/>
  <c r="G4" i="25"/>
  <c r="G4" i="28" s="1"/>
  <c r="L19" i="27"/>
  <c r="L19" i="21"/>
  <c r="P19" i="27"/>
  <c r="P19" i="21"/>
  <c r="M4" i="26"/>
  <c r="M3" i="19"/>
  <c r="C3" i="22"/>
  <c r="C3" i="25" s="1"/>
  <c r="C3" i="28" s="1"/>
  <c r="C4" i="25"/>
  <c r="C4" i="28" s="1"/>
  <c r="D4" i="27"/>
  <c r="D4" i="21"/>
  <c r="D3" i="20"/>
  <c r="D3" i="24" s="1"/>
  <c r="L4" i="21"/>
  <c r="L3" i="20"/>
  <c r="L3" i="24" s="1"/>
  <c r="I4" i="25"/>
  <c r="I4" i="28" s="1"/>
  <c r="I3" i="22"/>
  <c r="I3" i="25" s="1"/>
  <c r="I3" i="28" s="1"/>
  <c r="H16" i="27"/>
  <c r="H16" i="21"/>
  <c r="Q19" i="27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7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3" i="9"/>
  <c r="L3" i="13" s="1"/>
  <c r="N16" i="16"/>
  <c r="N16" i="10"/>
  <c r="F18" i="16"/>
  <c r="F31" i="16"/>
  <c r="C16" i="15"/>
  <c r="E16" i="21"/>
  <c r="N4" i="26"/>
  <c r="E19" i="10"/>
  <c r="J29" i="10"/>
  <c r="J29" i="16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L29" i="16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I27" i="26"/>
  <c r="G28" i="16"/>
  <c r="F28" i="15"/>
  <c r="C16" i="16"/>
  <c r="C16" i="10"/>
  <c r="C19" i="16"/>
  <c r="C19" i="10"/>
  <c r="C29" i="16"/>
  <c r="C29" i="10"/>
  <c r="B4" i="15"/>
  <c r="B3" i="8"/>
  <c r="B19" i="15"/>
  <c r="B29" i="15"/>
  <c r="O3" i="22"/>
  <c r="O3" i="25" s="1"/>
  <c r="O3" i="28" s="1"/>
  <c r="O4" i="25"/>
  <c r="O4" i="28" s="1"/>
  <c r="I4" i="21"/>
  <c r="I3" i="20"/>
  <c r="I3" i="24" s="1"/>
  <c r="C19" i="27"/>
  <c r="C19" i="21"/>
  <c r="K19" i="27"/>
  <c r="K19" i="21"/>
  <c r="K29" i="21"/>
  <c r="K29" i="27"/>
  <c r="E4" i="26"/>
  <c r="E3" i="19"/>
  <c r="Q3" i="19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G3" i="13" s="1"/>
  <c r="C7" i="16"/>
  <c r="G17" i="16"/>
  <c r="G18" i="16"/>
  <c r="C20" i="16"/>
  <c r="C21" i="16"/>
  <c r="C22" i="16"/>
  <c r="C23" i="16"/>
  <c r="C24" i="16"/>
  <c r="C25" i="16"/>
  <c r="C26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7"/>
  <c r="H29" i="21"/>
  <c r="N29" i="27"/>
  <c r="N29" i="21"/>
  <c r="D19" i="26"/>
  <c r="Q19" i="26"/>
  <c r="J19" i="26"/>
  <c r="C4" i="14"/>
  <c r="C4" i="17" s="1"/>
  <c r="C3" i="11"/>
  <c r="C3" i="14" s="1"/>
  <c r="C3" i="17" s="1"/>
  <c r="G9" i="17"/>
  <c r="G20" i="17"/>
  <c r="C22" i="17"/>
  <c r="P4" i="15"/>
  <c r="P3" i="8"/>
  <c r="P3" i="12" s="1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16" i="16"/>
  <c r="P29" i="10"/>
  <c r="P29" i="16"/>
  <c r="O19" i="15"/>
  <c r="L6" i="26"/>
  <c r="L22" i="26"/>
  <c r="L18" i="26"/>
  <c r="L26" i="26"/>
  <c r="L31" i="27"/>
  <c r="L31" i="26"/>
  <c r="L10" i="27"/>
  <c r="K3" i="19"/>
  <c r="M19" i="26"/>
  <c r="M10" i="17"/>
  <c r="J13" i="16"/>
  <c r="N26" i="16"/>
  <c r="G21" i="15"/>
  <c r="G33" i="15"/>
  <c r="H4" i="14"/>
  <c r="H4" i="17" s="1"/>
  <c r="H3" i="11"/>
  <c r="H3" i="14" s="1"/>
  <c r="H3" i="17" s="1"/>
  <c r="B17" i="17"/>
  <c r="N16" i="17"/>
  <c r="J30" i="17"/>
  <c r="F31" i="17"/>
  <c r="F32" i="17"/>
  <c r="B17" i="16"/>
  <c r="N17" i="16"/>
  <c r="N18" i="16"/>
  <c r="F29" i="16"/>
  <c r="F29" i="10"/>
  <c r="B32" i="16"/>
  <c r="M3" i="8"/>
  <c r="M3" i="12" s="1"/>
  <c r="M14" i="15"/>
  <c r="K16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4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19" i="15"/>
  <c r="K22" i="15"/>
  <c r="C24" i="15"/>
  <c r="K25" i="15"/>
  <c r="C28" i="15"/>
  <c r="K28" i="15"/>
  <c r="G29" i="15"/>
  <c r="O7" i="16"/>
  <c r="B29" i="10"/>
  <c r="M23" i="15"/>
  <c r="M28" i="15"/>
  <c r="P4" i="16"/>
  <c r="C15" i="15"/>
  <c r="E9" i="16"/>
  <c r="C21" i="15"/>
  <c r="M32" i="15"/>
  <c r="M5" i="15"/>
  <c r="M9" i="15"/>
  <c r="M13" i="15"/>
  <c r="Q3" i="13" l="1"/>
  <c r="B154" i="6"/>
  <c r="B130" i="6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12" i="4"/>
  <c r="B10" i="4"/>
  <c r="B7" i="4"/>
  <c r="B38" i="4"/>
  <c r="B26" i="4"/>
  <c r="B13" i="4"/>
  <c r="B20" i="4"/>
  <c r="B44" i="4"/>
  <c r="B15" i="4"/>
  <c r="B22" i="4"/>
  <c r="B35" i="4"/>
  <c r="B29" i="4"/>
  <c r="B8" i="4"/>
  <c r="B17" i="4"/>
  <c r="B16" i="4"/>
  <c r="B27" i="4"/>
  <c r="B11" i="4"/>
  <c r="B34" i="4"/>
  <c r="B24" i="4"/>
  <c r="B23" i="4"/>
  <c r="B30" i="4"/>
  <c r="B43" i="4"/>
  <c r="B33" i="4"/>
  <c r="B25" i="4"/>
  <c r="B28" i="4"/>
  <c r="B4" i="4"/>
  <c r="B37" i="4"/>
  <c r="B36" i="4"/>
  <c r="B9" i="4"/>
  <c r="B21" i="4"/>
  <c r="B14" i="4"/>
  <c r="B45" i="4"/>
  <c r="B39" i="4"/>
  <c r="B42" i="4"/>
  <c r="B31" i="6" l="1"/>
</calcChain>
</file>

<file path=xl/sharedStrings.xml><?xml version="1.0" encoding="utf-8"?>
<sst xmlns="http://schemas.openxmlformats.org/spreadsheetml/2006/main" count="2099" uniqueCount="1055">
  <si>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</si>
  <si>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</si>
  <si>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</si>
  <si>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</si>
  <si>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</si>
  <si>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</si>
  <si>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</si>
  <si>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</si>
  <si>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</si>
  <si>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</si>
  <si>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</si>
  <si>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</si>
  <si>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</si>
  <si>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</si>
  <si>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</si>
  <si>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</si>
  <si>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</si>
  <si>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</si>
  <si>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</si>
  <si>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</si>
  <si>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</si>
  <si>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</si>
  <si>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</si>
  <si>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</si>
  <si>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</si>
  <si>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</si>
  <si>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</si>
  <si>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</si>
  <si>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</si>
  <si>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</si>
  <si>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</si>
  <si>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</si>
  <si>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</si>
  <si>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</si>
  <si>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</si>
  <si>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</si>
  <si>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</si>
  <si>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</si>
  <si>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</si>
  <si>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</si>
  <si>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</si>
  <si>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</si>
  <si>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</si>
  <si>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</si>
  <si>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</si>
  <si>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</si>
  <si>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</si>
  <si>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</si>
  <si>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</si>
  <si>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</si>
  <si>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</si>
  <si>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</si>
  <si>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</si>
  <si>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</si>
  <si>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</si>
  <si>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</si>
  <si>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</si>
  <si>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</si>
  <si>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</si>
  <si>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</si>
  <si>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</si>
  <si>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</si>
  <si>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</si>
  <si>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</si>
  <si>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</si>
  <si>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</si>
  <si>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</si>
  <si>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</si>
  <si>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</si>
  <si>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</si>
  <si>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</si>
  <si>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</si>
  <si>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</si>
  <si>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</si>
  <si>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</si>
  <si>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</si>
  <si>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</si>
  <si>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</si>
  <si>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</si>
  <si>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</si>
  <si>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</si>
  <si>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</si>
  <si>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</si>
  <si>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</si>
  <si>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</si>
  <si>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</si>
  <si>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</si>
  <si>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</si>
  <si>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</si>
  <si>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</si>
  <si>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</si>
  <si>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</si>
  <si>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</si>
  <si>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</si>
  <si>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</si>
  <si>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</si>
  <si>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</si>
  <si>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</si>
  <si>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</si>
  <si>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</si>
  <si>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</si>
  <si>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</si>
  <si>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</si>
  <si>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</si>
  <si>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</si>
  <si>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</si>
  <si>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</si>
  <si>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</si>
  <si>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</si>
  <si>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</si>
  <si>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</si>
  <si>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</si>
  <si>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</si>
  <si>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</si>
  <si>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</si>
  <si>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</si>
  <si>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</si>
  <si>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</si>
  <si>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</si>
  <si>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</si>
  <si>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</si>
  <si>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</si>
  <si>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</si>
  <si>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</si>
  <si>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</si>
  <si>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</si>
  <si>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</si>
  <si>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</si>
  <si>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</si>
  <si>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</si>
  <si>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</si>
  <si>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</si>
  <si>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</si>
  <si>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</si>
  <si>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</si>
  <si>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</si>
  <si>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</si>
  <si>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</si>
  <si>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</si>
  <si>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</si>
  <si>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</si>
  <si>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</si>
  <si>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</si>
  <si>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</si>
  <si>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</si>
  <si>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</si>
  <si>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</si>
  <si>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Value added (M€2015)</t>
  </si>
  <si>
    <t>Mean heating degree-days over period 2000- 2020</t>
  </si>
  <si>
    <t>GDP per capita (€2015)</t>
  </si>
  <si>
    <t>Value added per employee (€2015)</t>
  </si>
  <si>
    <t>Value added per capita (€2015)</t>
  </si>
  <si>
    <t>Value added per capita relative to EU</t>
  </si>
  <si>
    <t>Natural gas</t>
  </si>
  <si>
    <t>Value added intensity (toe / M€2015)</t>
  </si>
  <si>
    <t>v2021-1.00</t>
  </si>
  <si>
    <t>Code</t>
  </si>
  <si>
    <t>Ambient heat</t>
  </si>
  <si>
    <t>Solar and geothermal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</si>
  <si>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</si>
  <si>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</si>
  <si>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</si>
  <si>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</si>
  <si>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</si>
  <si>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</si>
  <si>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</si>
  <si>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</si>
  <si>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</si>
  <si>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</si>
  <si>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</si>
  <si>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</si>
  <si>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</si>
  <si>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</si>
  <si>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</si>
  <si>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</si>
  <si>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</si>
  <si>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</si>
  <si>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</si>
  <si>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Gross domestic product (M€2015)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</si>
  <si>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</si>
  <si>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</si>
  <si>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</si>
  <si>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</si>
  <si>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</si>
  <si>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DK</t>
  </si>
  <si>
    <t>Denmark</t>
  </si>
  <si>
    <t>DK - Services sector summary</t>
  </si>
  <si>
    <t>Macro.number.DK.Population</t>
  </si>
  <si>
    <t>Macro.Meuro2015.DK.GDP</t>
  </si>
  <si>
    <t>Macro.Meuro2015.DK.VA</t>
  </si>
  <si>
    <t>Macro.number.DK.Employees</t>
  </si>
  <si>
    <t>NUM.number.DK.Ser.Bld</t>
  </si>
  <si>
    <t>SurfaceArea.ksqm.DK.Ser.Bld</t>
  </si>
  <si>
    <t>NUM.number.DK.Ser.BldNew</t>
  </si>
  <si>
    <t>SurfaceArea.ksqm.DK.Ser.BldNew</t>
  </si>
  <si>
    <t>HDD.Celsius.DK.Actual</t>
  </si>
  <si>
    <t>HDD.Celsius.DK.Mean</t>
  </si>
  <si>
    <t>HDD.ratio.DK.Relative</t>
  </si>
  <si>
    <t>FEC.ktoe.DK.ES.Ser</t>
  </si>
  <si>
    <t>FEC.ktoe.DK.ES.Ser.Solids</t>
  </si>
  <si>
    <t>FEC.ktoe.DK.ES.Ser.LPG</t>
  </si>
  <si>
    <t>FEC.ktoe.DK.ES.Ser.Oil</t>
  </si>
  <si>
    <t>FEC.ktoe.DK.ES.Ser.NG</t>
  </si>
  <si>
    <t>FEC.ktoe.DK.ES.Ser.Biomass_Waste</t>
  </si>
  <si>
    <t>FEC.ktoe.DK.ES.Ser.Biogas</t>
  </si>
  <si>
    <t>FEC.ktoe.DK.ES.Ser.LiqBio</t>
  </si>
  <si>
    <t>FEC.ktoe.DK.ES.Ser.Solar</t>
  </si>
  <si>
    <t>FEC.ktoe.DK.ES.Ser.Geo</t>
  </si>
  <si>
    <t>FEC.ktoe.DK.ES.Ser.Ambient</t>
  </si>
  <si>
    <t>FEC.ktoe.DK.ES.Ser.Steam_Distr</t>
  </si>
  <si>
    <t>FEC.ktoe.DK.ES.Ser.Elec</t>
  </si>
  <si>
    <t>FEC.ktoe.DK.Ser</t>
  </si>
  <si>
    <t>FEC.ktoe.DK.Ser.Bld.Thermal</t>
  </si>
  <si>
    <t>FEC.ktoe.DK.Ser.Bld.Thermal.SH</t>
  </si>
  <si>
    <t>FEC.ktoe.DK.Ser.Bld.Thermal.SC</t>
  </si>
  <si>
    <t>FEC.ktoe.DK.Ser.Bld.Thermal.HW</t>
  </si>
  <si>
    <t>FEC.ktoe.DK.Ser.Bld.Thermal.CA</t>
  </si>
  <si>
    <t>FEC.ktoe.DK.Ser.SEU</t>
  </si>
  <si>
    <t>EMI.ktCO2.DK.ES.Ser</t>
  </si>
  <si>
    <t>EMI.ktCO2.DK.ES.Ser.Solids</t>
  </si>
  <si>
    <t>EMI.ktCO2.DK.ES.Ser.LPG</t>
  </si>
  <si>
    <t>EMI.ktCO2.DK.ES.Ser.Oil</t>
  </si>
  <si>
    <t>EMI.ktCO2.DK.ES.Ser.NG</t>
  </si>
  <si>
    <t>EMI.ktCO2.DK.ES.Ser.Biomass_Waste</t>
  </si>
  <si>
    <t>EMI.ktCO2.DK.ES.Ser.Biogas</t>
  </si>
  <si>
    <t>EMI.ktCO2.DK.ES.Ser.LiqBio</t>
  </si>
  <si>
    <t>EMI.ktCO2.DK.ES.Ser.Solar</t>
  </si>
  <si>
    <t>EMI.ktCO2.DK.ES.Ser.Geo</t>
  </si>
  <si>
    <t>EMI.ktCO2.DK.ES.Ser.Ambient</t>
  </si>
  <si>
    <t>EMI.ktCO2.DK.ES.Ser.Steam_Distr</t>
  </si>
  <si>
    <t>EMI.ktCO2.DK.ES.Ser.Elec</t>
  </si>
  <si>
    <t>EMI.ktCO2.DK.Ser</t>
  </si>
  <si>
    <t>EMI.ktCO2.DK.Ser.Bld.Thermal</t>
  </si>
  <si>
    <t>EMI.ktCO2.DK.Ser.Bld.Thermal.SH</t>
  </si>
  <si>
    <t>EMI.ktCO2.DK.Ser.Bld.Thermal.SC</t>
  </si>
  <si>
    <t>EMI.ktCO2.DK.Ser.Bld.Thermal.HW</t>
  </si>
  <si>
    <t>EMI.ktCO2.DK.Ser.Bld.Thermal.CA</t>
  </si>
  <si>
    <t>EMI.ktCO2.DK.Ser.SEU</t>
  </si>
  <si>
    <t>Eff.ratio.DK.Ser.Bld.Thermal</t>
  </si>
  <si>
    <t>Eff.ratio.DK.Ser.Bld.Thermal.SH</t>
  </si>
  <si>
    <t>Eff.ratio.DK.Ser.Bld.Thermal.SC</t>
  </si>
  <si>
    <t>Eff.ratio.DK.Ser.Bld.Thermal.HW</t>
  </si>
  <si>
    <t>Eff.ratio.DK.Ser.Bld.Thermal.CA</t>
  </si>
  <si>
    <t>DK - Number of buildings</t>
  </si>
  <si>
    <t>NUM.number.DK.Ser.Bld.Thermal</t>
  </si>
  <si>
    <t>NUM.number.DK.Ser.Bld.Thermal.SH</t>
  </si>
  <si>
    <t>NUM.number.DK.Ser.Bld.Thermal.SH.Solids</t>
  </si>
  <si>
    <t>NUM.number.DK.Ser.Bld.Thermal.SH.LPG</t>
  </si>
  <si>
    <t>NUM.number.DK.Ser.Bld.Thermal.SH.Oil</t>
  </si>
  <si>
    <t>NUM.number.DK.Ser.Bld.Thermal.SH.GasHP</t>
  </si>
  <si>
    <t>NUM.number.DK.Ser.Bld.Thermal.SH.GasTH</t>
  </si>
  <si>
    <t>NUM.number.DK.Ser.Bld.Thermal.SH.Biomass</t>
  </si>
  <si>
    <t>NUM.number.DK.Ser.Bld.Thermal.SH.Geo</t>
  </si>
  <si>
    <t>NUM.number.DK.Ser.Bld.Thermal.SH.DistrHeat</t>
  </si>
  <si>
    <t>NUM.number.DK.Ser.Bld.Thermal.SH.AdvElc</t>
  </si>
  <si>
    <t>NUM.number.DK.Ser.Bld.Thermal.SH.ConvElc</t>
  </si>
  <si>
    <t>NUM.number.DK.Ser.Bld.Thermal.SC</t>
  </si>
  <si>
    <t>NUM.number.DK.Ser.Bld.Thermal.SC.GasHP</t>
  </si>
  <si>
    <t>NUM.number.DK.Ser.Bld.Thermal.SC.AC</t>
  </si>
  <si>
    <t>NUM.number.DK.Ser.Bld.Thermal.HW</t>
  </si>
  <si>
    <t>NUM.number.DK.Ser.Bld.Thermal.HW.Solids</t>
  </si>
  <si>
    <t>NUM.number.DK.Ser.Bld.Thermal.HW.LPG</t>
  </si>
  <si>
    <t>NUM.number.DK.Ser.Bld.Thermal.HW.Oil</t>
  </si>
  <si>
    <t>NUM.number.DK.Ser.Bld.Thermal.HW.Gas</t>
  </si>
  <si>
    <t>NUM.number.DK.Ser.Bld.Thermal.HW.Biomass</t>
  </si>
  <si>
    <t>NUM.number.DK.Ser.Bld.Thermal.HW.DistrHeat</t>
  </si>
  <si>
    <t>NUM.number.DK.Ser.Bld.Thermal.HW.Elc</t>
  </si>
  <si>
    <t>NUM.number.DK.Ser.Bld.Thermal.HW.Solar</t>
  </si>
  <si>
    <t>NUM.number.DK.Ser.Bld.Thermal.CA</t>
  </si>
  <si>
    <t>NUM.number.DK.Ser.Bld.Thermal.CA.LPG</t>
  </si>
  <si>
    <t>NUM.number.DK.Ser.Bld.Thermal.CA.Gas</t>
  </si>
  <si>
    <t>NUM.number.DK.Ser.Bld.Thermal.CA.Biomass</t>
  </si>
  <si>
    <t>NUM.number.DK.Ser.Bld.Thermal.CA.Elc</t>
  </si>
  <si>
    <t>DK - Final energy consumption</t>
  </si>
  <si>
    <t>FEC.ktoe.DK.Ser.Bld.Thermal.SH.Solids.Solids</t>
  </si>
  <si>
    <t>FEC.ktoe.DK.Ser.Bld.Thermal.SH.LPG.LPG</t>
  </si>
  <si>
    <t>FEC.ktoe.DK.Ser.Bld.Thermal.SH.Oil.Oil_LiqBio</t>
  </si>
  <si>
    <t>FEC.ktoe.DK.Ser.Bld.Thermal.SH.GasHP.NG_Biogas</t>
  </si>
  <si>
    <t>FEC.ktoe.DK.Ser.Bld.Thermal.SH.GasTH.NG_Biogas</t>
  </si>
  <si>
    <t>FEC.ktoe.DK.Ser.Bld.Thermal.SH.Biomass.Biomass_Waste</t>
  </si>
  <si>
    <t>FEC.ktoe.DK.Ser.Bld.Thermal.SH.Geo.Geo</t>
  </si>
  <si>
    <t>FEC.ktoe.DK.Ser.Bld.Thermal.SH.DistrHeat.Steam_Distr</t>
  </si>
  <si>
    <t>FEC.ktoe.DK.Ser.Bld.Thermal.SH.AdvElc.Elec</t>
  </si>
  <si>
    <t>FEC.ktoe.DK.Ser.Bld.Thermal.SH.ConvElc.Elec</t>
  </si>
  <si>
    <t>FEC.ktoe.DK.Ser.Bld.Thermal.SH.TotalCirculation.Elec</t>
  </si>
  <si>
    <t>FEC.ktoe.DK.Ser.Bld.Thermal.SC.GasHP.NG_Biogas</t>
  </si>
  <si>
    <t>FEC.ktoe.DK.Ser.Bld.Thermal.SC.AC.Elec</t>
  </si>
  <si>
    <t>FEC.ktoe.DK.Ser.Bld.Thermal.HW.Solids.Solids</t>
  </si>
  <si>
    <t>FEC.ktoe.DK.Ser.Bld.Thermal.HW.LPG.LPG</t>
  </si>
  <si>
    <t>FEC.ktoe.DK.Ser.Bld.Thermal.HW.Oil.Oil_LiqBio</t>
  </si>
  <si>
    <t>FEC.ktoe.DK.Ser.Bld.Thermal.HW.Gas.NG_Biogas</t>
  </si>
  <si>
    <t>FEC.ktoe.DK.Ser.Bld.Thermal.HW.Biomass.Biomass_Waste</t>
  </si>
  <si>
    <t>FEC.ktoe.DK.Ser.Bld.Thermal.HW.DistrHeat.Steam_Distr</t>
  </si>
  <si>
    <t>FEC.ktoe.DK.Ser.Bld.Thermal.HW.Elc.Elec</t>
  </si>
  <si>
    <t>FEC.ktoe.DK.Ser.Bld.Thermal.HW.TotalSolar.Solar</t>
  </si>
  <si>
    <t>FEC.ktoe.DK.Ser.Bld.Thermal.CA.LPG</t>
  </si>
  <si>
    <t>FEC.ktoe.DK.Ser.Bld.Thermal.CA.Gas.NG_Biogas</t>
  </si>
  <si>
    <t>FEC.ktoe.DK.Ser.Bld.Thermal.CA.Biomass.Biomass_Waste</t>
  </si>
  <si>
    <t>FEC.ktoe.DK.Ser.Bld.Thermal.CA.Elc.Elec</t>
  </si>
  <si>
    <t>DK - Thermal energy service</t>
  </si>
  <si>
    <t>TES.ktoe.DK.Ser.Bld.Thermal</t>
  </si>
  <si>
    <t>TES.ktoe.DK.Ser.Bld.Thermal.SH</t>
  </si>
  <si>
    <t>TES.ktoe.DK.Ser.Bld.Thermal.SH.Solids.Solids</t>
  </si>
  <si>
    <t>TES.ktoe.DK.Ser.Bld.Thermal.SH.LPG.LPG</t>
  </si>
  <si>
    <t>TES.ktoe.DK.Ser.Bld.Thermal.SH.Oil.Oil_LiqBio</t>
  </si>
  <si>
    <t>TES.ktoe.DK.Ser.Bld.Thermal.SH.GasHP.NG_Biogas</t>
  </si>
  <si>
    <t>TES.ktoe.DK.Ser.Bld.Thermal.SH.GasTH.NG_Biogas</t>
  </si>
  <si>
    <t>TES.ktoe.DK.Ser.Bld.Thermal.SH.Biomass.Biomass_Waste</t>
  </si>
  <si>
    <t>TES.ktoe.DK.Ser.Bld.Thermal.SH.Geo.Geo</t>
  </si>
  <si>
    <t>TES.ktoe.DK.Ser.Bld.Thermal.SH.DistrHeat.Steam_Distr</t>
  </si>
  <si>
    <t>TES.ktoe.DK.Ser.Bld.Thermal.SH.AdvElc.Elec</t>
  </si>
  <si>
    <t>TES.ktoe.DK.Ser.Bld.Thermal.SH.ConvElc.Elec</t>
  </si>
  <si>
    <t>TES.ktoe.DK.Ser.Bld.Thermal.SH.TotalCirculation.Elec</t>
  </si>
  <si>
    <t>TES.ktoe.DK.Ser.Bld.Thermal.SC</t>
  </si>
  <si>
    <t>TES.ktoe.DK.Ser.Bld.Thermal.SC.GasHP.NG_Biogas</t>
  </si>
  <si>
    <t>TES.ktoe.DK.Ser.Bld.Thermal.SC.AC.Elec</t>
  </si>
  <si>
    <t>TES.ktoe.DK.Ser.Bld.Thermal.HW</t>
  </si>
  <si>
    <t>TES.ktoe.DK.Ser.Bld.Thermal.HW.Solids.Solids</t>
  </si>
  <si>
    <t>TES.ktoe.DK.Ser.Bld.Thermal.HW.LPG.LPG</t>
  </si>
  <si>
    <t>TES.ktoe.DK.Ser.Bld.Thermal.HW.Oil.Oil_LiqBio</t>
  </si>
  <si>
    <t>TES.ktoe.DK.Ser.Bld.Thermal.HW.Gas.NG_Biogas</t>
  </si>
  <si>
    <t>TES.ktoe.DK.Ser.Bld.Thermal.HW.Biomass.Biomass_Waste</t>
  </si>
  <si>
    <t>TES.ktoe.DK.Ser.Bld.Thermal.HW.DistrHeat.Steam_Distr</t>
  </si>
  <si>
    <t>TES.ktoe.DK.Ser.Bld.Thermal.HW.Elc.Elec</t>
  </si>
  <si>
    <t>TES.ktoe.DK.Ser.Bld.Thermal.HW.TotalSolar.Solar</t>
  </si>
  <si>
    <t>TES.ktoe.DK.Ser.Bld.Thermal.CA</t>
  </si>
  <si>
    <t>TES.ktoe.DK.Ser.Bld.Thermal.CA.LPG</t>
  </si>
  <si>
    <t>TES.ktoe.DK.Ser.Bld.Thermal.CA.Gas.NG_Biogas</t>
  </si>
  <si>
    <t>TES.ktoe.DK.Ser.Bld.Thermal.CA.Biomass.Biomass_Waste</t>
  </si>
  <si>
    <t>TES.ktoe.DK.Ser.Bld.Thermal.CA.Elc.Elec</t>
  </si>
  <si>
    <t>DK - System efficiency indicator of total stock</t>
  </si>
  <si>
    <t>Eff.ratio.DK.Ser.Bld.Thermal.SH.Solids.Solids</t>
  </si>
  <si>
    <t>Eff.ratio.DK.Ser.Bld.Thermal.SH.LPG.LPG</t>
  </si>
  <si>
    <t>Eff.ratio.DK.Ser.Bld.Thermal.SH.Oil.Oil_LiqBio</t>
  </si>
  <si>
    <t>Eff.ratio.DK.Ser.Bld.Thermal.SH.GasHP.NG_Biogas</t>
  </si>
  <si>
    <t>Eff.ratio.DK.Ser.Bld.Thermal.SH.GasTH.NG_Biogas</t>
  </si>
  <si>
    <t>Eff.ratio.DK.Ser.Bld.Thermal.SH.Biomass.Biomass_Waste</t>
  </si>
  <si>
    <t>Eff.ratio.DK.Ser.Bld.Thermal.SH.Geo.Geo</t>
  </si>
  <si>
    <t>Eff.ratio.DK.Ser.Bld.Thermal.SH.DistrHeat.Steam_Distr</t>
  </si>
  <si>
    <t>Eff.ratio.DK.Ser.Bld.Thermal.SH.AdvElc.Elec</t>
  </si>
  <si>
    <t>Eff.ratio.DK.Ser.Bld.Thermal.SH.ConvElc.Elec</t>
  </si>
  <si>
    <t>Eff.ratio.DK.Ser.Bld.Thermal.SH.TotalCirculation.Elec</t>
  </si>
  <si>
    <t>Eff.ratio.DK.Ser.Bld.Thermal.SC.GasHP.NG_Biogas</t>
  </si>
  <si>
    <t>Eff.ratio.DK.Ser.Bld.Thermal.SC.AC.Elec</t>
  </si>
  <si>
    <t>Eff.ratio.DK.Ser.Bld.Thermal.HW.Solids.Solids</t>
  </si>
  <si>
    <t>Eff.ratio.DK.Ser.Bld.Thermal.HW.LPG.LPG</t>
  </si>
  <si>
    <t>Eff.ratio.DK.Ser.Bld.Thermal.HW.Oil.Oil_LiqBio</t>
  </si>
  <si>
    <t>Eff.ratio.DK.Ser.Bld.Thermal.HW.Gas.NG_Biogas</t>
  </si>
  <si>
    <t>Eff.ratio.DK.Ser.Bld.Thermal.HW.Biomass.Biomass_Waste</t>
  </si>
  <si>
    <t>Eff.ratio.DK.Ser.Bld.Thermal.HW.DistrHeat.Steam_Distr</t>
  </si>
  <si>
    <t>Eff.ratio.DK.Ser.Bld.Thermal.HW.Elc.Elec</t>
  </si>
  <si>
    <t>Eff.ratio.DK.Ser.Bld.Thermal.HW.TotalSolar.Solar</t>
  </si>
  <si>
    <t>Eff.ratio.DK.Ser.Bld.Thermal.CA.LPG</t>
  </si>
  <si>
    <t>Eff.ratio.DK.Ser.Bld.Thermal.CA.Gas.NG_Biogas</t>
  </si>
  <si>
    <t>Eff.ratio.DK.Ser.Bld.Thermal.CA.Biomass.Biomass_Waste</t>
  </si>
  <si>
    <t>Eff.ratio.DK.Ser.Bld.Thermal.CA.Elc.Elec</t>
  </si>
  <si>
    <t>DK - CO2 emissions</t>
  </si>
  <si>
    <t>EMI.ktCO2.DK.Ser.Bld.Thermal.SH.Solids.Solids</t>
  </si>
  <si>
    <t>EMI.ktCO2.DK.Ser.Bld.Thermal.SH.LPG.LPG</t>
  </si>
  <si>
    <t>EMI.ktCO2.DK.Ser.Bld.Thermal.SH.Oil.Oil_LiqBio</t>
  </si>
  <si>
    <t>EMI.ktCO2.DK.Ser.Bld.Thermal.SH.GasHP.NG_Biogas</t>
  </si>
  <si>
    <t>EMI.ktCO2.DK.Ser.Bld.Thermal.SH.GasTH.NG_Biogas</t>
  </si>
  <si>
    <t>EMI.ktCO2.DK.Ser.Bld.Thermal.SH.Biomass.Biomass_Waste</t>
  </si>
  <si>
    <t>EMI.ktCO2.DK.Ser.Bld.Thermal.SH.Geo.Geo</t>
  </si>
  <si>
    <t>EMI.ktCO2.DK.Ser.Bld.Thermal.SH.DistrHeat.Steam_Distr</t>
  </si>
  <si>
    <t>EMI.ktCO2.DK.Ser.Bld.Thermal.SH.AdvElc.Elec</t>
  </si>
  <si>
    <t>EMI.ktCO2.DK.Ser.Bld.Thermal.SH.ConvElc.Elec</t>
  </si>
  <si>
    <t>EMI.ktCO2.DK.Ser.Bld.Thermal.SH.TotalCirculation.Elec</t>
  </si>
  <si>
    <t>EMI.ktCO2.DK.Ser.Bld.Thermal.SC.GasHP.NG_Biogas</t>
  </si>
  <si>
    <t>EMI.ktCO2.DK.Ser.Bld.Thermal.SC.AC.Elec</t>
  </si>
  <si>
    <t>EMI.ktCO2.DK.Ser.Bld.Thermal.HW.Solids.Solids</t>
  </si>
  <si>
    <t>EMI.ktCO2.DK.Ser.Bld.Thermal.HW.LPG.LPG</t>
  </si>
  <si>
    <t>EMI.ktCO2.DK.Ser.Bld.Thermal.HW.Oil.Oil_LiqBio</t>
  </si>
  <si>
    <t>EMI.ktCO2.DK.Ser.Bld.Thermal.HW.Gas.NG_Biogas</t>
  </si>
  <si>
    <t>EMI.ktCO2.DK.Ser.Bld.Thermal.HW.Biomass.Biomass_Waste</t>
  </si>
  <si>
    <t>EMI.ktCO2.DK.Ser.Bld.Thermal.HW.DistrHeat.Steam_Distr</t>
  </si>
  <si>
    <t>EMI.ktCO2.DK.Ser.Bld.Thermal.HW.Elc.Elec</t>
  </si>
  <si>
    <t>EMI.ktCO2.DK.Ser.Bld.Thermal.HW.TotalSolar.Solar</t>
  </si>
  <si>
    <t>EMI.ktCO2.DK.Ser.Bld.Thermal.CA.LPG</t>
  </si>
  <si>
    <t>EMI.ktCO2.DK.Ser.Bld.Thermal.CA.Gas.NG_Biogas</t>
  </si>
  <si>
    <t>EMI.ktCO2.DK.Ser.Bld.Thermal.CA.Biomass.Biomass_Waste</t>
  </si>
  <si>
    <t>EMI.ktCO2.DK.Ser.Bld.Thermal.CA.Elc.Elec</t>
  </si>
  <si>
    <t>DK - Final energy consumption per building</t>
  </si>
  <si>
    <t>FEC_per_building.kWh.DK.Ser.Bld.Thermal</t>
  </si>
  <si>
    <t>FEC_per_building.kWh.DK.Ser.Bld.Thermal.SH</t>
  </si>
  <si>
    <t>FEC_per_building.kWh.DK.Ser.Bld.Thermal.SH.Solids.Solids</t>
  </si>
  <si>
    <t>FEC_per_building.kWh.DK.Ser.Bld.Thermal.SH.LPG.LPG</t>
  </si>
  <si>
    <t>FEC_per_building.kWh.DK.Ser.Bld.Thermal.SH.Oil.Oil_LiqBio</t>
  </si>
  <si>
    <t>FEC_per_building.kWh.DK.Ser.Bld.Thermal.SH.GasHP.NG_Biogas</t>
  </si>
  <si>
    <t>FEC_per_building.kWh.DK.Ser.Bld.Thermal.SH.GasTH.NG_Biogas</t>
  </si>
  <si>
    <t>FEC_per_building.kWh.DK.Ser.Bld.Thermal.SH.Biomass.Biomass_Waste</t>
  </si>
  <si>
    <t>FEC_per_building.kWh.DK.Ser.Bld.Thermal.SH.Geo.Geo</t>
  </si>
  <si>
    <t>FEC_per_building.kWh.DK.Ser.Bld.Thermal.SH.DistrHeat.Steam_Distr</t>
  </si>
  <si>
    <t>FEC_per_building.kWh.DK.Ser.Bld.Thermal.SH.AdvElc.Elec</t>
  </si>
  <si>
    <t>FEC_per_building.kWh.DK.Ser.Bld.Thermal.SH.ConvElc.Elec</t>
  </si>
  <si>
    <t>FEC_per_building.kWh.DK.Ser.Bld.Thermal.SH.TotalCirculation.Elec</t>
  </si>
  <si>
    <t>FEC_per_building.kWh.DK.Ser.Bld.Thermal.SC</t>
  </si>
  <si>
    <t>FEC_per_building.kWh.DK.Ser.Bld.Thermal.SC.GasHP.NG_Biogas</t>
  </si>
  <si>
    <t>FEC_per_building.kWh.DK.Ser.Bld.Thermal.SC.AC.Elec</t>
  </si>
  <si>
    <t>FEC_per_building.kWh.DK.Ser.Bld.Thermal.HW</t>
  </si>
  <si>
    <t>FEC_per_building.kWh.DK.Ser.Bld.Thermal.HW.Solids.Solids</t>
  </si>
  <si>
    <t>FEC_per_building.kWh.DK.Ser.Bld.Thermal.HW.LPG.LPG</t>
  </si>
  <si>
    <t>FEC_per_building.kWh.DK.Ser.Bld.Thermal.HW.Oil.Oil_LiqBio</t>
  </si>
  <si>
    <t>FEC_per_building.kWh.DK.Ser.Bld.Thermal.HW.Gas.NG_Biogas</t>
  </si>
  <si>
    <t>FEC_per_building.kWh.DK.Ser.Bld.Thermal.HW.Biomass.Biomass_Waste</t>
  </si>
  <si>
    <t>FEC_per_building.kWh.DK.Ser.Bld.Thermal.HW.DistrHeat.Steam_Distr</t>
  </si>
  <si>
    <t>FEC_per_building.kWh.DK.Ser.Bld.Thermal.HW.Elc.Elec</t>
  </si>
  <si>
    <t>FEC_per_building.kWh.DK.Ser.Bld.Thermal.HW.TotalSolar.Solar</t>
  </si>
  <si>
    <t>FEC_per_building.kWh.DK.Ser.Bld.Thermal.CA</t>
  </si>
  <si>
    <t>FEC_per_building.kWh.DK.Ser.Bld.Thermal.CA.LPG</t>
  </si>
  <si>
    <t>FEC_per_building.kWh.DK.Ser.Bld.Thermal.CA.Gas.NG_Biogas</t>
  </si>
  <si>
    <t>FEC_per_building.kWh.DK.Ser.Bld.Thermal.CA.Biomass.Biomass_Waste</t>
  </si>
  <si>
    <t>FEC_per_building.kWh.DK.Ser.Bld.Thermal.CA.Elc.Elec</t>
  </si>
  <si>
    <t>DK - Thermal energy service per building</t>
  </si>
  <si>
    <t>TES_per_building.kWh.DK.Ser.Bld.Thermal</t>
  </si>
  <si>
    <t>TES_per_building.kWh.DK.Ser.Bld.Thermal.SH</t>
  </si>
  <si>
    <t>TES_per_building.kWh.DK.Ser.Bld.Thermal.SH.Solids.Solids</t>
  </si>
  <si>
    <t>TES_per_building.kWh.DK.Ser.Bld.Thermal.SH.LPG.LPG</t>
  </si>
  <si>
    <t>TES_per_building.kWh.DK.Ser.Bld.Thermal.SH.Oil.Oil_LiqBio</t>
  </si>
  <si>
    <t>TES_per_building.kWh.DK.Ser.Bld.Thermal.SH.GasHP.NG_Biogas</t>
  </si>
  <si>
    <t>TES_per_building.kWh.DK.Ser.Bld.Thermal.SH.GasTH.NG_Biogas</t>
  </si>
  <si>
    <t>TES_per_building.kWh.DK.Ser.Bld.Thermal.SH.Biomass.Biomass_Waste</t>
  </si>
  <si>
    <t>TES_per_building.kWh.DK.Ser.Bld.Thermal.SH.Geo.Geo</t>
  </si>
  <si>
    <t>TES_per_building.kWh.DK.Ser.Bld.Thermal.SH.DistrHeat.Steam_Distr</t>
  </si>
  <si>
    <t>TES_per_building.kWh.DK.Ser.Bld.Thermal.SH.AdvElc.Elec</t>
  </si>
  <si>
    <t>TES_per_building.kWh.DK.Ser.Bld.Thermal.SH.ConvElc.Elec</t>
  </si>
  <si>
    <t>TES_per_building.kWh.DK.Ser.Bld.Thermal.SH.TotalCirculation.Elec</t>
  </si>
  <si>
    <t>TES_per_building.kWh.DK.Ser.Bld.Thermal.SC</t>
  </si>
  <si>
    <t>TES_per_building.kWh.DK.Ser.Bld.Thermal.SC.GasHP.NG_Biogas</t>
  </si>
  <si>
    <t>TES_per_building.kWh.DK.Ser.Bld.Thermal.SC.AC.Elec</t>
  </si>
  <si>
    <t>TES_per_building.kWh.DK.Ser.Bld.Thermal.HW</t>
  </si>
  <si>
    <t>TES_per_building.kWh.DK.Ser.Bld.Thermal.HW.Solids.Solids</t>
  </si>
  <si>
    <t>TES_per_building.kWh.DK.Ser.Bld.Thermal.HW.LPG.LPG</t>
  </si>
  <si>
    <t>TES_per_building.kWh.DK.Ser.Bld.Thermal.HW.Oil.Oil_LiqBio</t>
  </si>
  <si>
    <t>TES_per_building.kWh.DK.Ser.Bld.Thermal.HW.Gas.NG_Biogas</t>
  </si>
  <si>
    <t>TES_per_building.kWh.DK.Ser.Bld.Thermal.HW.Biomass.Biomass_Waste</t>
  </si>
  <si>
    <t>TES_per_building.kWh.DK.Ser.Bld.Thermal.HW.DistrHeat.Steam_Distr</t>
  </si>
  <si>
    <t>TES_per_building.kWh.DK.Ser.Bld.Thermal.HW.Elc.Elec</t>
  </si>
  <si>
    <t>TES_per_building.kWh.DK.Ser.Bld.Thermal.HW.TotalSolar.Solar</t>
  </si>
  <si>
    <t>TES_per_building.kWh.DK.Ser.Bld.Thermal.CA</t>
  </si>
  <si>
    <t>TES_per_building.kWh.DK.Ser.Bld.Thermal.CA.LPG</t>
  </si>
  <si>
    <t>TES_per_building.kWh.DK.Ser.Bld.Thermal.CA.Gas.NG_Biogas</t>
  </si>
  <si>
    <t>TES_per_building.kWh.DK.Ser.Bld.Thermal.CA.Biomass.Biomass_Waste</t>
  </si>
  <si>
    <t>TES_per_building.kWh.DK.Ser.Bld.Thermal.CA.Elc.Elec</t>
  </si>
  <si>
    <t>DK - CO2 emissions per building</t>
  </si>
  <si>
    <t>EMI_per_building.kgCO2.DK.Ser.Bld.Thermal</t>
  </si>
  <si>
    <t>EMI_per_building.kgCO2.DK.Ser.Bld.Thermal.SH</t>
  </si>
  <si>
    <t>EMI_per_building.kgCO2.DK.Ser.Bld.Thermal.SH.Solids.Solids</t>
  </si>
  <si>
    <t>EMI_per_building.kgCO2.DK.Ser.Bld.Thermal.SH.LPG.LPG</t>
  </si>
  <si>
    <t>EMI_per_building.kgCO2.DK.Ser.Bld.Thermal.SH.Oil.Oil_LiqBio</t>
  </si>
  <si>
    <t>EMI_per_building.kgCO2.DK.Ser.Bld.Thermal.SH.GasHP.NG_Biogas</t>
  </si>
  <si>
    <t>EMI_per_building.kgCO2.DK.Ser.Bld.Thermal.SH.GasTH.NG_Biogas</t>
  </si>
  <si>
    <t>EMI_per_building.kgCO2.DK.Ser.Bld.Thermal.SH.Biomass.Biomass_Waste</t>
  </si>
  <si>
    <t>EMI_per_building.kgCO2.DK.Ser.Bld.Thermal.SH.Geo.Geo</t>
  </si>
  <si>
    <t>EMI_per_building.kgCO2.DK.Ser.Bld.Thermal.SH.DistrHeat.Steam_Distr</t>
  </si>
  <si>
    <t>EMI_per_building.kgCO2.DK.Ser.Bld.Thermal.SH.AdvElc.Elec</t>
  </si>
  <si>
    <t>EMI_per_building.kgCO2.DK.Ser.Bld.Thermal.SH.ConvElc.Elec</t>
  </si>
  <si>
    <t>EMI_per_building.kgCO2.DK.Ser.Bld.Thermal.SH.TotalCirculation.Elec</t>
  </si>
  <si>
    <t>EMI_per_building.kgCO2.DK.Ser.Bld.Thermal.SC</t>
  </si>
  <si>
    <t>EMI_per_building.kgCO2.DK.Ser.Bld.Thermal.SC.GasHP.NG_Biogas</t>
  </si>
  <si>
    <t>EMI_per_building.kgCO2.DK.Ser.Bld.Thermal.SC.AC.Elec</t>
  </si>
  <si>
    <t>EMI_per_building.kgCO2.DK.Ser.Bld.Thermal.HW</t>
  </si>
  <si>
    <t>EMI_per_building.kgCO2.DK.Ser.Bld.Thermal.HW.Solids.Solids</t>
  </si>
  <si>
    <t>EMI_per_building.kgCO2.DK.Ser.Bld.Thermal.HW.LPG.LPG</t>
  </si>
  <si>
    <t>EMI_per_building.kgCO2.DK.Ser.Bld.Thermal.HW.Oil.Oil_LiqBio</t>
  </si>
  <si>
    <t>EMI_per_building.kgCO2.DK.Ser.Bld.Thermal.HW.Gas.NG_Biogas</t>
  </si>
  <si>
    <t>EMI_per_building.kgCO2.DK.Ser.Bld.Thermal.HW.Biomass.Biomass_Waste</t>
  </si>
  <si>
    <t>EMI_per_building.kgCO2.DK.Ser.Bld.Thermal.HW.DistrHeat.Steam_Distr</t>
  </si>
  <si>
    <t>EMI_per_building.kgCO2.DK.Ser.Bld.Thermal.HW.Elc.Elec</t>
  </si>
  <si>
    <t>EMI_per_building.kgCO2.DK.Ser.Bld.Thermal.HW.TotalSolar.Solar</t>
  </si>
  <si>
    <t>EMI_per_building.kgCO2.DK.Ser.Bld.Thermal.CA</t>
  </si>
  <si>
    <t>EMI_per_building.kgCO2.DK.Ser.Bld.Thermal.CA.LPG</t>
  </si>
  <si>
    <t>EMI_per_building.kgCO2.DK.Ser.Bld.Thermal.CA.Gas.NG_Biogas</t>
  </si>
  <si>
    <t>EMI_per_building.kgCO2.DK.Ser.Bld.Thermal.CA.Biomass.Biomass_Waste</t>
  </si>
  <si>
    <t>EMI_per_building.kgCO2.DK.Ser.Bld.Thermal.CA.Elc.Elec</t>
  </si>
  <si>
    <t>DK - Final energy consumption per useful surface area</t>
  </si>
  <si>
    <t>FEC_per_sqm.kWh.DK.Ser.Bld.Thermal</t>
  </si>
  <si>
    <t>FEC_per_sqm.kWh.DK.Ser.Bld.Thermal.SH</t>
  </si>
  <si>
    <t>FEC_per_sqm.kWh.DK.Ser.Bld.Thermal.SH.Solids.Solids</t>
  </si>
  <si>
    <t>FEC_per_sqm.kWh.DK.Ser.Bld.Thermal.SH.LPG.LPG</t>
  </si>
  <si>
    <t>FEC_per_sqm.kWh.DK.Ser.Bld.Thermal.SH.Oil.Oil_LiqBio</t>
  </si>
  <si>
    <t>FEC_per_sqm.kWh.DK.Ser.Bld.Thermal.SH.GasHP.NG_Biogas</t>
  </si>
  <si>
    <t>FEC_per_sqm.kWh.DK.Ser.Bld.Thermal.SH.GasTH.NG_Biogas</t>
  </si>
  <si>
    <t>FEC_per_sqm.kWh.DK.Ser.Bld.Thermal.SH.Biomass.Biomass_Waste</t>
  </si>
  <si>
    <t>FEC_per_sqm.kWh.DK.Ser.Bld.Thermal.SH.Geo.Geo</t>
  </si>
  <si>
    <t>FEC_per_sqm.kWh.DK.Ser.Bld.Thermal.SH.DistrHeat.Steam_Distr</t>
  </si>
  <si>
    <t>FEC_per_sqm.kWh.DK.Ser.Bld.Thermal.SH.AdvElc.Elec</t>
  </si>
  <si>
    <t>FEC_per_sqm.kWh.DK.Ser.Bld.Thermal.SH.ConvElc.Elec</t>
  </si>
  <si>
    <t>FEC_per_sqm.kWh.DK.Ser.Bld.Thermal.SH.TotalCirculation.Elec</t>
  </si>
  <si>
    <t>FEC_per_sqm.kWh.DK.Ser.Bld.Thermal.SC</t>
  </si>
  <si>
    <t>FEC_per_sqm.kWh.DK.Ser.Bld.Thermal.SC.GasHP.NG_Biogas</t>
  </si>
  <si>
    <t>FEC_per_sqm.kWh.DK.Ser.Bld.Thermal.SC.AC.Elec</t>
  </si>
  <si>
    <t>FEC_per_sqm.kWh.DK.Ser.Bld.Thermal.HW</t>
  </si>
  <si>
    <t>FEC_per_sqm.kWh.DK.Ser.Bld.Thermal.HW.Solids.Solids</t>
  </si>
  <si>
    <t>FEC_per_sqm.kWh.DK.Ser.Bld.Thermal.HW.LPG.LPG</t>
  </si>
  <si>
    <t>FEC_per_sqm.kWh.DK.Ser.Bld.Thermal.HW.Oil.Oil_LiqBio</t>
  </si>
  <si>
    <t>FEC_per_sqm.kWh.DK.Ser.Bld.Thermal.HW.Gas.NG_Biogas</t>
  </si>
  <si>
    <t>FEC_per_sqm.kWh.DK.Ser.Bld.Thermal.HW.Biomass.Biomass_Waste</t>
  </si>
  <si>
    <t>FEC_per_sqm.kWh.DK.Ser.Bld.Thermal.HW.DistrHeat.Steam_Distr</t>
  </si>
  <si>
    <t>FEC_per_sqm.kWh.DK.Ser.Bld.Thermal.HW.Elc.Elec</t>
  </si>
  <si>
    <t>FEC_per_sqm.kWh.DK.Ser.Bld.Thermal.HW.TotalSolar.Solar</t>
  </si>
  <si>
    <t>FEC_per_sqm.kWh.DK.Ser.Bld.Thermal.CA</t>
  </si>
  <si>
    <t>FEC_per_sqm.kWh.DK.Ser.Bld.Thermal.CA.LPG</t>
  </si>
  <si>
    <t>FEC_per_sqm.kWh.DK.Ser.Bld.Thermal.CA.Gas.NG_Biogas</t>
  </si>
  <si>
    <t>FEC_per_sqm.kWh.DK.Ser.Bld.Thermal.CA.Biomass.Biomass_Waste</t>
  </si>
  <si>
    <t>FEC_per_sqm.kWh.DK.Ser.Bld.Thermal.CA.Elc.Elec</t>
  </si>
  <si>
    <t>DK - Thermal energy service per useful surface area</t>
  </si>
  <si>
    <t>TES_per_sqm.kWh.DK.Ser.Bld.Thermal</t>
  </si>
  <si>
    <t>TES_per_sqm.kWh.DK.Ser.Bld.Thermal.SH</t>
  </si>
  <si>
    <t>TES_per_sqm.kWh.DK.Ser.Bld.Thermal.SH.Solids.Solids</t>
  </si>
  <si>
    <t>TES_per_sqm.kWh.DK.Ser.Bld.Thermal.SH.LPG.LPG</t>
  </si>
  <si>
    <t>TES_per_sqm.kWh.DK.Ser.Bld.Thermal.SH.Oil.Oil_LiqBio</t>
  </si>
  <si>
    <t>TES_per_sqm.kWh.DK.Ser.Bld.Thermal.SH.GasHP.NG_Biogas</t>
  </si>
  <si>
    <t>TES_per_sqm.kWh.DK.Ser.Bld.Thermal.SH.GasTH.NG_Biogas</t>
  </si>
  <si>
    <t>TES_per_sqm.kWh.DK.Ser.Bld.Thermal.SH.Biomass.Biomass_Waste</t>
  </si>
  <si>
    <t>TES_per_sqm.kWh.DK.Ser.Bld.Thermal.SH.Geo.Geo</t>
  </si>
  <si>
    <t>TES_per_sqm.kWh.DK.Ser.Bld.Thermal.SH.DistrHeat.Steam_Distr</t>
  </si>
  <si>
    <t>TES_per_sqm.kWh.DK.Ser.Bld.Thermal.SH.AdvElc.Elec</t>
  </si>
  <si>
    <t>TES_per_sqm.kWh.DK.Ser.Bld.Thermal.SH.ConvElc.Elec</t>
  </si>
  <si>
    <t>TES_per_sqm.kWh.DK.Ser.Bld.Thermal.SH.TotalCirculation.Elec</t>
  </si>
  <si>
    <t>TES_per_sqm.kWh.DK.Ser.Bld.Thermal.SC</t>
  </si>
  <si>
    <t>TES_per_sqm.kWh.DK.Ser.Bld.Thermal.SC.GasHP.NG_Biogas</t>
  </si>
  <si>
    <t>TES_per_sqm.kWh.DK.Ser.Bld.Thermal.SC.AC.Elec</t>
  </si>
  <si>
    <t>TES_per_sqm.kWh.DK.Ser.Bld.Thermal.HW</t>
  </si>
  <si>
    <t>TES_per_sqm.kWh.DK.Ser.Bld.Thermal.HW.Solids.Solids</t>
  </si>
  <si>
    <t>TES_per_sqm.kWh.DK.Ser.Bld.Thermal.HW.LPG.LPG</t>
  </si>
  <si>
    <t>TES_per_sqm.kWh.DK.Ser.Bld.Thermal.HW.Oil.Oil_LiqBio</t>
  </si>
  <si>
    <t>TES_per_sqm.kWh.DK.Ser.Bld.Thermal.HW.Gas.NG_Biogas</t>
  </si>
  <si>
    <t>TES_per_sqm.kWh.DK.Ser.Bld.Thermal.HW.Biomass.Biomass_Waste</t>
  </si>
  <si>
    <t>TES_per_sqm.kWh.DK.Ser.Bld.Thermal.HW.DistrHeat.Steam_Distr</t>
  </si>
  <si>
    <t>TES_per_sqm.kWh.DK.Ser.Bld.Thermal.HW.Elc.Elec</t>
  </si>
  <si>
    <t>TES_per_sqm.kWh.DK.Ser.Bld.Thermal.HW.TotalSolar.Solar</t>
  </si>
  <si>
    <t>TES_per_sqm.kWh.DK.Ser.Bld.Thermal.CA</t>
  </si>
  <si>
    <t>TES_per_sqm.kWh.DK.Ser.Bld.Thermal.CA.LPG</t>
  </si>
  <si>
    <t>TES_per_sqm.kWh.DK.Ser.Bld.Thermal.CA.Gas.NG_Biogas</t>
  </si>
  <si>
    <t>TES_per_sqm.kWh.DK.Ser.Bld.Thermal.CA.Biomass.Biomass_Waste</t>
  </si>
  <si>
    <t>TES_per_sqm.kWh.DK.Ser.Bld.Thermal.CA.Elc.Elec</t>
  </si>
  <si>
    <t>DK - CO2 emissions per useful surface area</t>
  </si>
  <si>
    <t>EMI_per_sqm.kgCO2.DK.Ser.Bld.Thermal</t>
  </si>
  <si>
    <t>EMI_per_sqm.kgCO2.DK.Ser.Bld.Thermal.SH</t>
  </si>
  <si>
    <t>EMI_per_sqm.kgCO2.DK.Ser.Bld.Thermal.SH.Solids.Solids</t>
  </si>
  <si>
    <t>EMI_per_sqm.kgCO2.DK.Ser.Bld.Thermal.SH.LPG.LPG</t>
  </si>
  <si>
    <t>EMI_per_sqm.kgCO2.DK.Ser.Bld.Thermal.SH.Oil.Oil_LiqBio</t>
  </si>
  <si>
    <t>EMI_per_sqm.kgCO2.DK.Ser.Bld.Thermal.SH.GasHP.NG_Biogas</t>
  </si>
  <si>
    <t>EMI_per_sqm.kgCO2.DK.Ser.Bld.Thermal.SH.GasTH.NG_Biogas</t>
  </si>
  <si>
    <t>EMI_per_sqm.kgCO2.DK.Ser.Bld.Thermal.SH.Biomass.Biomass_Waste</t>
  </si>
  <si>
    <t>EMI_per_sqm.kgCO2.DK.Ser.Bld.Thermal.SH.Geo.Geo</t>
  </si>
  <si>
    <t>EMI_per_sqm.kgCO2.DK.Ser.Bld.Thermal.SH.DistrHeat.Steam_Distr</t>
  </si>
  <si>
    <t>EMI_per_sqm.kgCO2.DK.Ser.Bld.Thermal.SH.AdvElc.Elec</t>
  </si>
  <si>
    <t>EMI_per_sqm.kgCO2.DK.Ser.Bld.Thermal.SH.ConvElc.Elec</t>
  </si>
  <si>
    <t>EMI_per_sqm.kgCO2.DK.Ser.Bld.Thermal.SH.TotalCirculation.Elec</t>
  </si>
  <si>
    <t>EMI_per_sqm.kgCO2.DK.Ser.Bld.Thermal.SC</t>
  </si>
  <si>
    <t>EMI_per_sqm.kgCO2.DK.Ser.Bld.Thermal.SC.GasHP.NG_Biogas</t>
  </si>
  <si>
    <t>EMI_per_sqm.kgCO2.DK.Ser.Bld.Thermal.SC.AC.Elec</t>
  </si>
  <si>
    <t>EMI_per_sqm.kgCO2.DK.Ser.Bld.Thermal.HW</t>
  </si>
  <si>
    <t>EMI_per_sqm.kgCO2.DK.Ser.Bld.Thermal.HW.Solids.Solids</t>
  </si>
  <si>
    <t>EMI_per_sqm.kgCO2.DK.Ser.Bld.Thermal.HW.LPG.LPG</t>
  </si>
  <si>
    <t>EMI_per_sqm.kgCO2.DK.Ser.Bld.Thermal.HW.Oil.Oil_LiqBio</t>
  </si>
  <si>
    <t>EMI_per_sqm.kgCO2.DK.Ser.Bld.Thermal.HW.Gas.NG_Biogas</t>
  </si>
  <si>
    <t>EMI_per_sqm.kgCO2.DK.Ser.Bld.Thermal.HW.Biomass.Biomass_Waste</t>
  </si>
  <si>
    <t>EMI_per_sqm.kgCO2.DK.Ser.Bld.Thermal.HW.DistrHeat.Steam_Distr</t>
  </si>
  <si>
    <t>EMI_per_sqm.kgCO2.DK.Ser.Bld.Thermal.HW.Elc.Elec</t>
  </si>
  <si>
    <t>EMI_per_sqm.kgCO2.DK.Ser.Bld.Thermal.HW.TotalSolar.Solar</t>
  </si>
  <si>
    <t>EMI_per_sqm.kgCO2.DK.Ser.Bld.Thermal.CA</t>
  </si>
  <si>
    <t>EMI_per_sqm.kgCO2.DK.Ser.Bld.Thermal.CA.LPG</t>
  </si>
  <si>
    <t>EMI_per_sqm.kgCO2.DK.Ser.Bld.Thermal.CA.Gas.NG_Biogas</t>
  </si>
  <si>
    <t>EMI_per_sqm.kgCO2.DK.Ser.Bld.Thermal.CA.Biomass.Biomass_Waste</t>
  </si>
  <si>
    <t>EMI_per_sqm.kgCO2.DK.Ser.Bld.Thermal.CA.Elc.Elec</t>
  </si>
  <si>
    <t>DK - Number of new and renovated buildings</t>
  </si>
  <si>
    <t>NUM.number.DK.Ser.BldNew.Thermal</t>
  </si>
  <si>
    <t>NUM.number.DK.Ser.BldNew.Thermal.SH</t>
  </si>
  <si>
    <t>NUM.number.DK.Ser.BldNew.Thermal.SH.Solids</t>
  </si>
  <si>
    <t>NUM.number.DK.Ser.BldNew.Thermal.SH.LPG</t>
  </si>
  <si>
    <t>NUM.number.DK.Ser.BldNew.Thermal.SH.Oil</t>
  </si>
  <si>
    <t>NUM.number.DK.Ser.BldNew.Thermal.SH.GasHP</t>
  </si>
  <si>
    <t>NUM.number.DK.Ser.BldNew.Thermal.SH.GasTH</t>
  </si>
  <si>
    <t>NUM.number.DK.Ser.BldNew.Thermal.SH.Biomass</t>
  </si>
  <si>
    <t>NUM.number.DK.Ser.BldNew.Thermal.SH.Geo</t>
  </si>
  <si>
    <t>NUM.number.DK.Ser.BldNew.Thermal.SH.DistrHeat</t>
  </si>
  <si>
    <t>NUM.number.DK.Ser.BldNew.Thermal.SH.AdvElc</t>
  </si>
  <si>
    <t>NUM.number.DK.Ser.BldNew.Thermal.SH.ConvElc</t>
  </si>
  <si>
    <t>NUM.number.DK.Ser.BldNew.Thermal.SC</t>
  </si>
  <si>
    <t>NUM.number.DK.Ser.BldNew.Thermal.SC.GasHP</t>
  </si>
  <si>
    <t>NUM.number.DK.Ser.BldNew.Thermal.SC.AC</t>
  </si>
  <si>
    <t>NUM.number.DK.Ser.BldNew.Thermal.HW</t>
  </si>
  <si>
    <t>NUM.number.DK.Ser.BldNew.Thermal.HW.Solids</t>
  </si>
  <si>
    <t>NUM.number.DK.Ser.BldNew.Thermal.HW.LPG</t>
  </si>
  <si>
    <t>NUM.number.DK.Ser.BldNew.Thermal.HW.Oil</t>
  </si>
  <si>
    <t>NUM.number.DK.Ser.BldNew.Thermal.HW.Gas</t>
  </si>
  <si>
    <t>NUM.number.DK.Ser.BldNew.Thermal.HW.Biomass</t>
  </si>
  <si>
    <t>NUM.number.DK.Ser.BldNew.Thermal.HW.DistrHeat</t>
  </si>
  <si>
    <t>NUM.number.DK.Ser.BldNew.Thermal.HW.Elc</t>
  </si>
  <si>
    <t>NUM.number.DK.Ser.BldNew.Thermal.HW.Solar</t>
  </si>
  <si>
    <t>NUM.number.DK.Ser.BldNew.Thermal.CA</t>
  </si>
  <si>
    <t>NUM.number.DK.Ser.BldNew.Thermal.CA.LPG</t>
  </si>
  <si>
    <t>NUM.number.DK.Ser.BldNew.Thermal.CA.Gas</t>
  </si>
  <si>
    <t>NUM.number.DK.Ser.BldNew.Thermal.CA.Biomass</t>
  </si>
  <si>
    <t>NUM.number.DK.Ser.BldNew.Thermal.CA.Elc</t>
  </si>
  <si>
    <t>DK - Final energy consumption in new and renovated buildings</t>
  </si>
  <si>
    <t>FEC.ktoe.DK.Ser.BldNew.Thermal</t>
  </si>
  <si>
    <t>FEC.ktoe.DK.Ser.BldNew.Thermal.SH</t>
  </si>
  <si>
    <t>FEC.ktoe.DK.Ser.BldNew.Thermal.SH.Solids.Solids</t>
  </si>
  <si>
    <t>FEC.ktoe.DK.Ser.BldNew.Thermal.SH.LPG.LPG</t>
  </si>
  <si>
    <t>FEC.ktoe.DK.Ser.BldNew.Thermal.SH.Oil.Oil_LiqBio</t>
  </si>
  <si>
    <t>FEC.ktoe.DK.Ser.BldNew.Thermal.SH.GasHP.NG_Biogas</t>
  </si>
  <si>
    <t>FEC.ktoe.DK.Ser.BldNew.Thermal.SH.GasTH.NG_Biogas</t>
  </si>
  <si>
    <t>FEC.ktoe.DK.Ser.BldNew.Thermal.SH.Biomass.Biomass_Waste</t>
  </si>
  <si>
    <t>FEC.ktoe.DK.Ser.BldNew.Thermal.SH.Geo.Geo</t>
  </si>
  <si>
    <t>FEC.ktoe.DK.Ser.BldNew.Thermal.SH.DistrHeat.Steam_Distr</t>
  </si>
  <si>
    <t>FEC.ktoe.DK.Ser.BldNew.Thermal.SH.AdvElc.Elec</t>
  </si>
  <si>
    <t>FEC.ktoe.DK.Ser.BldNew.Thermal.SH.ConvElc.Elec</t>
  </si>
  <si>
    <t>FEC.ktoe.DK.Ser.BldNew.Thermal.SH.TotalCirculation.Elec</t>
  </si>
  <si>
    <t>FEC.ktoe.DK.Ser.BldNew.Thermal.SC</t>
  </si>
  <si>
    <t>FEC.ktoe.DK.Ser.BldNew.Thermal.SC.GasHP.NG_Biogas</t>
  </si>
  <si>
    <t>FEC.ktoe.DK.Ser.BldNew.Thermal.SC.AC.Elec</t>
  </si>
  <si>
    <t>FEC.ktoe.DK.Ser.BldNew.Thermal.HW</t>
  </si>
  <si>
    <t>FEC.ktoe.DK.Ser.BldNew.Thermal.HW.Solids.Solids</t>
  </si>
  <si>
    <t>FEC.ktoe.DK.Ser.BldNew.Thermal.HW.LPG.LPG</t>
  </si>
  <si>
    <t>FEC.ktoe.DK.Ser.BldNew.Thermal.HW.Oil.Oil_LiqBio</t>
  </si>
  <si>
    <t>FEC.ktoe.DK.Ser.BldNew.Thermal.HW.Gas.NG_Biogas</t>
  </si>
  <si>
    <t>FEC.ktoe.DK.Ser.BldNew.Thermal.HW.Biomass.Biomass_Waste</t>
  </si>
  <si>
    <t>FEC.ktoe.DK.Ser.BldNew.Thermal.HW.DistrHeat.Steam_Distr</t>
  </si>
  <si>
    <t>FEC.ktoe.DK.Ser.BldNew.Thermal.HW.Elc.Elec</t>
  </si>
  <si>
    <t>FEC.ktoe.DK.Ser.BldNew.Thermal.HW.TotalSolar.Solar</t>
  </si>
  <si>
    <t>FEC.ktoe.DK.Ser.BldNew.Thermal.CA</t>
  </si>
  <si>
    <t>FEC.ktoe.DK.Ser.BldNew.Thermal.CA.LPG</t>
  </si>
  <si>
    <t>FEC.ktoe.DK.Ser.BldNew.Thermal.CA.Gas.NG_Biogas</t>
  </si>
  <si>
    <t>FEC.ktoe.DK.Ser.BldNew.Thermal.CA.Biomass.Biomass_Waste</t>
  </si>
  <si>
    <t>FEC.ktoe.DK.Ser.BldNew.Thermal.CA.Elc.Elec</t>
  </si>
  <si>
    <t>DK - Thermal energy service in new and renovated buildings</t>
  </si>
  <si>
    <t>TES.ktoe.DK.Ser.BldNew.Thermal</t>
  </si>
  <si>
    <t>TES.ktoe.DK.Ser.BldNew.Thermal.SH</t>
  </si>
  <si>
    <t>TES.ktoe.DK.Ser.BldNew.Thermal.SH.Solids.Solids</t>
  </si>
  <si>
    <t>TES.ktoe.DK.Ser.BldNew.Thermal.SH.LPG.LPG</t>
  </si>
  <si>
    <t>TES.ktoe.DK.Ser.BldNew.Thermal.SH.Oil.Oil_LiqBio</t>
  </si>
  <si>
    <t>TES.ktoe.DK.Ser.BldNew.Thermal.SH.GasHP.NG_Biogas</t>
  </si>
  <si>
    <t>TES.ktoe.DK.Ser.BldNew.Thermal.SH.GasTH.NG_Biogas</t>
  </si>
  <si>
    <t>TES.ktoe.DK.Ser.BldNew.Thermal.SH.Biomass.Biomass_Waste</t>
  </si>
  <si>
    <t>TES.ktoe.DK.Ser.BldNew.Thermal.SH.Geo.Geo</t>
  </si>
  <si>
    <t>TES.ktoe.DK.Ser.BldNew.Thermal.SH.DistrHeat.Steam_Distr</t>
  </si>
  <si>
    <t>TES.ktoe.DK.Ser.BldNew.Thermal.SH.AdvElc.Elec</t>
  </si>
  <si>
    <t>TES.ktoe.DK.Ser.BldNew.Thermal.SH.ConvElc.Elec</t>
  </si>
  <si>
    <t>TES.ktoe.DK.Ser.BldNew.Thermal.SH.TotalCirculation.Elec</t>
  </si>
  <si>
    <t>TES.ktoe.DK.Ser.BldNew.Thermal.SC</t>
  </si>
  <si>
    <t>TES.ktoe.DK.Ser.BldNew.Thermal.SC.GasHP.NG_Biogas</t>
  </si>
  <si>
    <t>TES.ktoe.DK.Ser.BldNew.Thermal.SC.AC.Elec</t>
  </si>
  <si>
    <t>TES.ktoe.DK.Ser.BldNew.Thermal.HW</t>
  </si>
  <si>
    <t>TES.ktoe.DK.Ser.BldNew.Thermal.HW.Solids.Solids</t>
  </si>
  <si>
    <t>TES.ktoe.DK.Ser.BldNew.Thermal.HW.LPG.LPG</t>
  </si>
  <si>
    <t>TES.ktoe.DK.Ser.BldNew.Thermal.HW.Oil.Oil_LiqBio</t>
  </si>
  <si>
    <t>TES.ktoe.DK.Ser.BldNew.Thermal.HW.Gas.NG_Biogas</t>
  </si>
  <si>
    <t>TES.ktoe.DK.Ser.BldNew.Thermal.HW.Biomass.Biomass_Waste</t>
  </si>
  <si>
    <t>TES.ktoe.DK.Ser.BldNew.Thermal.HW.DistrHeat.Steam_Distr</t>
  </si>
  <si>
    <t>TES.ktoe.DK.Ser.BldNew.Thermal.HW.Elc.Elec</t>
  </si>
  <si>
    <t>TES.ktoe.DK.Ser.BldNew.Thermal.HW.TotalSolar.Solar</t>
  </si>
  <si>
    <t>TES.ktoe.DK.Ser.BldNew.Thermal.CA</t>
  </si>
  <si>
    <t>TES.ktoe.DK.Ser.BldNew.Thermal.CA.LPG</t>
  </si>
  <si>
    <t>TES.ktoe.DK.Ser.BldNew.Thermal.CA.Gas.NG_Biogas</t>
  </si>
  <si>
    <t>TES.ktoe.DK.Ser.BldNew.Thermal.CA.Biomass.Biomass_Waste</t>
  </si>
  <si>
    <t>TES.ktoe.DK.Ser.BldNew.Thermal.CA.Elc.Elec</t>
  </si>
  <si>
    <t>DK - System efficiency indicator of new and renovated buildings</t>
  </si>
  <si>
    <t>Eff.ratio.DK.Ser.BldNew.Thermal</t>
  </si>
  <si>
    <t>Eff.ratio.DK.Ser.BldNew.Thermal.SH</t>
  </si>
  <si>
    <t>Eff.ratio.DK.Ser.BldNew.Thermal.SH.Solids.Solids</t>
  </si>
  <si>
    <t>Eff.ratio.DK.Ser.BldNew.Thermal.SH.LPG.LPG</t>
  </si>
  <si>
    <t>Eff.ratio.DK.Ser.BldNew.Thermal.SH.Oil.Oil_LiqBio</t>
  </si>
  <si>
    <t>Eff.ratio.DK.Ser.BldNew.Thermal.SH.GasHP.NG_Biogas</t>
  </si>
  <si>
    <t>Eff.ratio.DK.Ser.BldNew.Thermal.SH.GasTH.NG_Biogas</t>
  </si>
  <si>
    <t>Eff.ratio.DK.Ser.BldNew.Thermal.SH.Biomass.Biomass_Waste</t>
  </si>
  <si>
    <t>Eff.ratio.DK.Ser.BldNew.Thermal.SH.Geo.Geo</t>
  </si>
  <si>
    <t>Eff.ratio.DK.Ser.BldNew.Thermal.SH.DistrHeat.Steam_Distr</t>
  </si>
  <si>
    <t>Eff.ratio.DK.Ser.BldNew.Thermal.SH.AdvElc.Elec</t>
  </si>
  <si>
    <t>Eff.ratio.DK.Ser.BldNew.Thermal.SH.ConvElc.Elec</t>
  </si>
  <si>
    <t>Eff.ratio.DK.Ser.BldNew.Thermal.SH.TotalCirculation.Elec</t>
  </si>
  <si>
    <t>Eff.ratio.DK.Ser.BldNew.Thermal.SC</t>
  </si>
  <si>
    <t>Eff.ratio.DK.Ser.BldNew.Thermal.SC.GasHP.NG_Biogas</t>
  </si>
  <si>
    <t>Eff.ratio.DK.Ser.BldNew.Thermal.SC.AC.Elec</t>
  </si>
  <si>
    <t>Eff.ratio.DK.Ser.BldNew.Thermal.HW</t>
  </si>
  <si>
    <t>Eff.ratio.DK.Ser.BldNew.Thermal.HW.Solids.Solids</t>
  </si>
  <si>
    <t>Eff.ratio.DK.Ser.BldNew.Thermal.HW.LPG.LPG</t>
  </si>
  <si>
    <t>Eff.ratio.DK.Ser.BldNew.Thermal.HW.Oil.Oil_LiqBio</t>
  </si>
  <si>
    <t>Eff.ratio.DK.Ser.BldNew.Thermal.HW.Gas.NG_Biogas</t>
  </si>
  <si>
    <t>Eff.ratio.DK.Ser.BldNew.Thermal.HW.Biomass.Biomass_Waste</t>
  </si>
  <si>
    <t>Eff.ratio.DK.Ser.BldNew.Thermal.HW.DistrHeat.Steam_Distr</t>
  </si>
  <si>
    <t>Eff.ratio.DK.Ser.BldNew.Thermal.HW.Elc.Elec</t>
  </si>
  <si>
    <t>Eff.ratio.DK.Ser.BldNew.Thermal.HW.TotalSolar.Solar</t>
  </si>
  <si>
    <t>Eff.ratio.DK.Ser.BldNew.Thermal.CA</t>
  </si>
  <si>
    <t>Eff.ratio.DK.Ser.BldNew.Thermal.CA.LPG</t>
  </si>
  <si>
    <t>Eff.ratio.DK.Ser.BldNew.Thermal.CA.Gas.NG_Biogas</t>
  </si>
  <si>
    <t>Eff.ratio.DK.Ser.BldNew.Thermal.CA.Biomass.Biomass_Waste</t>
  </si>
  <si>
    <t>Eff.ratio.DK.Ser.BldNew.Thermal.CA.Elc.Elec</t>
  </si>
  <si>
    <t>DK - CO2 emissions in new and renovated buildings</t>
  </si>
  <si>
    <t>EMI.ktCO2.DK.Ser.BldNew.Thermal</t>
  </si>
  <si>
    <t>EMI.ktCO2.DK.Ser.BldNew.Thermal.SH</t>
  </si>
  <si>
    <t>EMI.ktCO2.DK.Ser.BldNew.Thermal.SH.Solids.Solids</t>
  </si>
  <si>
    <t>EMI.ktCO2.DK.Ser.BldNew.Thermal.SH.LPG.LPG</t>
  </si>
  <si>
    <t>EMI.ktCO2.DK.Ser.BldNew.Thermal.SH.Oil.Oil_LiqBio</t>
  </si>
  <si>
    <t>EMI.ktCO2.DK.Ser.BldNew.Thermal.SH.GasHP.NG_Biogas</t>
  </si>
  <si>
    <t>EMI.ktCO2.DK.Ser.BldNew.Thermal.SH.GasTH.NG_Biogas</t>
  </si>
  <si>
    <t>EMI.ktCO2.DK.Ser.BldNew.Thermal.SH.Biomass.Biomass_Waste</t>
  </si>
  <si>
    <t>EMI.ktCO2.DK.Ser.BldNew.Thermal.SH.Geo.Geo</t>
  </si>
  <si>
    <t>EMI.ktCO2.DK.Ser.BldNew.Thermal.SH.DistrHeat.Steam_Distr</t>
  </si>
  <si>
    <t>EMI.ktCO2.DK.Ser.BldNew.Thermal.SH.AdvElc.Elec</t>
  </si>
  <si>
    <t>EMI.ktCO2.DK.Ser.BldNew.Thermal.SH.ConvElc.Elec</t>
  </si>
  <si>
    <t>EMI.ktCO2.DK.Ser.BldNew.Thermal.SH.TotalCirculation.Elec</t>
  </si>
  <si>
    <t>EMI.ktCO2.DK.Ser.BldNew.Thermal.SC</t>
  </si>
  <si>
    <t>EMI.ktCO2.DK.Ser.BldNew.Thermal.SC.GasHP.NG_Biogas</t>
  </si>
  <si>
    <t>EMI.ktCO2.DK.Ser.BldNew.Thermal.SC.AC.Elec</t>
  </si>
  <si>
    <t>EMI.ktCO2.DK.Ser.BldNew.Thermal.HW</t>
  </si>
  <si>
    <t>EMI.ktCO2.DK.Ser.BldNew.Thermal.HW.Solids.Solids</t>
  </si>
  <si>
    <t>EMI.ktCO2.DK.Ser.BldNew.Thermal.HW.LPG.LPG</t>
  </si>
  <si>
    <t>EMI.ktCO2.DK.Ser.BldNew.Thermal.HW.Oil.Oil_LiqBio</t>
  </si>
  <si>
    <t>EMI.ktCO2.DK.Ser.BldNew.Thermal.HW.Gas.NG_Biogas</t>
  </si>
  <si>
    <t>EMI.ktCO2.DK.Ser.BldNew.Thermal.HW.Biomass.Biomass_Waste</t>
  </si>
  <si>
    <t>EMI.ktCO2.DK.Ser.BldNew.Thermal.HW.DistrHeat.Steam_Distr</t>
  </si>
  <si>
    <t>EMI.ktCO2.DK.Ser.BldNew.Thermal.HW.Elc.Elec</t>
  </si>
  <si>
    <t>EMI.ktCO2.DK.Ser.BldNew.Thermal.HW.TotalSolar.Solar</t>
  </si>
  <si>
    <t>EMI.ktCO2.DK.Ser.BldNew.Thermal.CA</t>
  </si>
  <si>
    <t>EMI.ktCO2.DK.Ser.BldNew.Thermal.CA.LPG</t>
  </si>
  <si>
    <t>EMI.ktCO2.DK.Ser.BldNew.Thermal.CA.Gas.NG_Biogas</t>
  </si>
  <si>
    <t>EMI.ktCO2.DK.Ser.BldNew.Thermal.CA.Biomass.Biomass_Waste</t>
  </si>
  <si>
    <t>EMI.ktCO2.DK.Ser.BldNew.Thermal.CA.Elc.Elec</t>
  </si>
  <si>
    <t>DK - Final energy consumption of new and renovated buildings (per building)</t>
  </si>
  <si>
    <t>FEC_per_building.kWh.DK.Ser.BldNew.Thermal</t>
  </si>
  <si>
    <t>FEC_per_building.kWh.DK.Ser.BldNew.Thermal.SH</t>
  </si>
  <si>
    <t>FEC_per_building.kWh.DK.Ser.BldNew.Thermal.SH.Solids.Solids</t>
  </si>
  <si>
    <t>FEC_per_building.kWh.DK.Ser.BldNew.Thermal.SH.LPG.LPG</t>
  </si>
  <si>
    <t>FEC_per_building.kWh.DK.Ser.BldNew.Thermal.SH.Oil.Oil_LiqBio</t>
  </si>
  <si>
    <t>FEC_per_building.kWh.DK.Ser.BldNew.Thermal.SH.GasHP.NG_Biogas</t>
  </si>
  <si>
    <t>FEC_per_building.kWh.DK.Ser.BldNew.Thermal.SH.GasTH.NG_Biogas</t>
  </si>
  <si>
    <t>FEC_per_building.kWh.DK.Ser.BldNew.Thermal.SH.Biomass.Biomass_Waste</t>
  </si>
  <si>
    <t>FEC_per_building.kWh.DK.Ser.BldNew.Thermal.SH.Geo.Geo</t>
  </si>
  <si>
    <t>FEC_per_building.kWh.DK.Ser.BldNew.Thermal.SH.DistrHeat.Steam_Distr</t>
  </si>
  <si>
    <t>FEC_per_building.kWh.DK.Ser.BldNew.Thermal.SH.AdvElc.Elec</t>
  </si>
  <si>
    <t>FEC_per_building.kWh.DK.Ser.BldNew.Thermal.SH.ConvElc.Elec</t>
  </si>
  <si>
    <t>FEC_per_building.kWh.DK.Ser.BldNew.Thermal.SH.TotalCirculation.Elec</t>
  </si>
  <si>
    <t>FEC_per_building.kWh.DK.Ser.BldNew.Thermal.SC</t>
  </si>
  <si>
    <t>FEC_per_building.kWh.DK.Ser.BldNew.Thermal.SC.GasHP.NG_Biogas</t>
  </si>
  <si>
    <t>FEC_per_building.kWh.DK.Ser.BldNew.Thermal.SC.AC.Elec</t>
  </si>
  <si>
    <t>FEC_per_building.kWh.DK.Ser.BldNew.Thermal.HW</t>
  </si>
  <si>
    <t>FEC_per_building.kWh.DK.Ser.BldNew.Thermal.HW.Solids.Solids</t>
  </si>
  <si>
    <t>FEC_per_building.kWh.DK.Ser.BldNew.Thermal.HW.LPG.LPG</t>
  </si>
  <si>
    <t>FEC_per_building.kWh.DK.Ser.BldNew.Thermal.HW.Oil.Oil_LiqBio</t>
  </si>
  <si>
    <t>FEC_per_building.kWh.DK.Ser.BldNew.Thermal.HW.Gas.NG_Biogas</t>
  </si>
  <si>
    <t>FEC_per_building.kWh.DK.Ser.BldNew.Thermal.HW.Biomass.Biomass_Waste</t>
  </si>
  <si>
    <t>FEC_per_building.kWh.DK.Ser.BldNew.Thermal.HW.DistrHeat.Steam_Distr</t>
  </si>
  <si>
    <t>FEC_per_building.kWh.DK.Ser.BldNew.Thermal.HW.Elc.Elec</t>
  </si>
  <si>
    <t>FEC_per_building.kWh.DK.Ser.BldNew.Thermal.HW.TotalSolar.Solar</t>
  </si>
  <si>
    <t>FEC_per_building.kWh.DK.Ser.BldNew.Thermal.CA</t>
  </si>
  <si>
    <t>FEC_per_building.kWh.DK.Ser.BldNew.Thermal.CA.LPG</t>
  </si>
  <si>
    <t>FEC_per_building.kWh.DK.Ser.BldNew.Thermal.CA.Gas.NG_Biogas</t>
  </si>
  <si>
    <t>FEC_per_building.kWh.DK.Ser.BldNew.Thermal.CA.Biomass.Biomass_Waste</t>
  </si>
  <si>
    <t>FEC_per_building.kWh.DK.Ser.BldNew.Thermal.CA.Elc.Elec</t>
  </si>
  <si>
    <t>DK - Thermal energy service of new and renovated buildings (per building)</t>
  </si>
  <si>
    <t>TES_per_building.kWh.DK.Ser.BldNew.Thermal</t>
  </si>
  <si>
    <t>TES_per_building.kWh.DK.Ser.BldNew.Thermal.SH</t>
  </si>
  <si>
    <t>TES_per_building.kWh.DK.Ser.BldNew.Thermal.SH.Solids.Solids</t>
  </si>
  <si>
    <t>TES_per_building.kWh.DK.Ser.BldNew.Thermal.SH.LPG.LPG</t>
  </si>
  <si>
    <t>TES_per_building.kWh.DK.Ser.BldNew.Thermal.SH.Oil.Oil_LiqBio</t>
  </si>
  <si>
    <t>TES_per_building.kWh.DK.Ser.BldNew.Thermal.SH.GasHP.NG_Biogas</t>
  </si>
  <si>
    <t>TES_per_building.kWh.DK.Ser.BldNew.Thermal.SH.GasTH.NG_Biogas</t>
  </si>
  <si>
    <t>TES_per_building.kWh.DK.Ser.BldNew.Thermal.SH.Biomass.Biomass_Waste</t>
  </si>
  <si>
    <t>TES_per_building.kWh.DK.Ser.BldNew.Thermal.SH.Geo.Geo</t>
  </si>
  <si>
    <t>TES_per_building.kWh.DK.Ser.BldNew.Thermal.SH.DistrHeat.Steam_Distr</t>
  </si>
  <si>
    <t>TES_per_building.kWh.DK.Ser.BldNew.Thermal.SH.AdvElc.Elec</t>
  </si>
  <si>
    <t>TES_per_building.kWh.DK.Ser.BldNew.Thermal.SH.ConvElc.Elec</t>
  </si>
  <si>
    <t>TES_per_building.kWh.DK.Ser.BldNew.Thermal.SH.TotalCirculation.Elec</t>
  </si>
  <si>
    <t>TES_per_building.kWh.DK.Ser.BldNew.Thermal.SC</t>
  </si>
  <si>
    <t>TES_per_building.kWh.DK.Ser.BldNew.Thermal.SC.GasHP.NG_Biogas</t>
  </si>
  <si>
    <t>TES_per_building.kWh.DK.Ser.BldNew.Thermal.SC.AC.Elec</t>
  </si>
  <si>
    <t>TES_per_building.kWh.DK.Ser.BldNew.Thermal.HW</t>
  </si>
  <si>
    <t>TES_per_building.kWh.DK.Ser.BldNew.Thermal.HW.Solids.Solids</t>
  </si>
  <si>
    <t>TES_per_building.kWh.DK.Ser.BldNew.Thermal.HW.LPG.LPG</t>
  </si>
  <si>
    <t>TES_per_building.kWh.DK.Ser.BldNew.Thermal.HW.Oil.Oil_LiqBio</t>
  </si>
  <si>
    <t>TES_per_building.kWh.DK.Ser.BldNew.Thermal.HW.Gas.NG_Biogas</t>
  </si>
  <si>
    <t>TES_per_building.kWh.DK.Ser.BldNew.Thermal.HW.Biomass.Biomass_Waste</t>
  </si>
  <si>
    <t>TES_per_building.kWh.DK.Ser.BldNew.Thermal.HW.DistrHeat.Steam_Distr</t>
  </si>
  <si>
    <t>TES_per_building.kWh.DK.Ser.BldNew.Thermal.HW.Elc.Elec</t>
  </si>
  <si>
    <t>TES_per_building.kWh.DK.Ser.BldNew.Thermal.HW.TotalSolar.Solar</t>
  </si>
  <si>
    <t>TES_per_building.kWh.DK.Ser.BldNew.Thermal.CA</t>
  </si>
  <si>
    <t>TES_per_building.kWh.DK.Ser.BldNew.Thermal.CA.LPG</t>
  </si>
  <si>
    <t>TES_per_building.kWh.DK.Ser.BldNew.Thermal.CA.Gas.NG_Biogas</t>
  </si>
  <si>
    <t>TES_per_building.kWh.DK.Ser.BldNew.Thermal.CA.Biomass.Biomass_Waste</t>
  </si>
  <si>
    <t>TES_per_building.kWh.DK.Ser.BldNew.Thermal.CA.Elc.Elec</t>
  </si>
  <si>
    <t>DK - CO2 emissions in new and renovated buildings (per building)</t>
  </si>
  <si>
    <t>EMI_per_building.kgCO2.DK.Ser.BldNew.Thermal</t>
  </si>
  <si>
    <t>EMI_per_building.kgCO2.DK.Ser.BldNew.Thermal.SH</t>
  </si>
  <si>
    <t>EMI_per_building.kgCO2.DK.Ser.BldNew.Thermal.SH.Solids.Solids</t>
  </si>
  <si>
    <t>EMI_per_building.kgCO2.DK.Ser.BldNew.Thermal.SH.LPG.LPG</t>
  </si>
  <si>
    <t>EMI_per_building.kgCO2.DK.Ser.BldNew.Thermal.SH.Oil.Oil_LiqBio</t>
  </si>
  <si>
    <t>EMI_per_building.kgCO2.DK.Ser.BldNew.Thermal.SH.GasHP.NG_Biogas</t>
  </si>
  <si>
    <t>EMI_per_building.kgCO2.DK.Ser.BldNew.Thermal.SH.GasTH.NG_Biogas</t>
  </si>
  <si>
    <t>EMI_per_building.kgCO2.DK.Ser.BldNew.Thermal.SH.Biomass.Biomass_Waste</t>
  </si>
  <si>
    <t>EMI_per_building.kgCO2.DK.Ser.BldNew.Thermal.SH.Geo.Geo</t>
  </si>
  <si>
    <t>EMI_per_building.kgCO2.DK.Ser.BldNew.Thermal.SH.DistrHeat.Steam_Distr</t>
  </si>
  <si>
    <t>EMI_per_building.kgCO2.DK.Ser.BldNew.Thermal.SH.AdvElc.Elec</t>
  </si>
  <si>
    <t>EMI_per_building.kgCO2.DK.Ser.BldNew.Thermal.SH.ConvElc.Elec</t>
  </si>
  <si>
    <t>EMI_per_building.kgCO2.DK.Ser.BldNew.Thermal.SH.TotalCirculation.Elec</t>
  </si>
  <si>
    <t>EMI_per_building.kgCO2.DK.Ser.BldNew.Thermal.SC</t>
  </si>
  <si>
    <t>EMI_per_building.kgCO2.DK.Ser.BldNew.Thermal.SC.GasHP.NG_Biogas</t>
  </si>
  <si>
    <t>EMI_per_building.kgCO2.DK.Ser.BldNew.Thermal.SC.AC.Elec</t>
  </si>
  <si>
    <t>EMI_per_building.kgCO2.DK.Ser.BldNew.Thermal.HW</t>
  </si>
  <si>
    <t>EMI_per_building.kgCO2.DK.Ser.BldNew.Thermal.HW.Solids.Solids</t>
  </si>
  <si>
    <t>EMI_per_building.kgCO2.DK.Ser.BldNew.Thermal.HW.LPG.LPG</t>
  </si>
  <si>
    <t>EMI_per_building.kgCO2.DK.Ser.BldNew.Thermal.HW.Oil.Oil_LiqBio</t>
  </si>
  <si>
    <t>EMI_per_building.kgCO2.DK.Ser.BldNew.Thermal.HW.Gas.NG_Biogas</t>
  </si>
  <si>
    <t>EMI_per_building.kgCO2.DK.Ser.BldNew.Thermal.HW.Biomass.Biomass_Waste</t>
  </si>
  <si>
    <t>EMI_per_building.kgCO2.DK.Ser.BldNew.Thermal.HW.DistrHeat.Steam_Distr</t>
  </si>
  <si>
    <t>EMI_per_building.kgCO2.DK.Ser.BldNew.Thermal.HW.Elc.Elec</t>
  </si>
  <si>
    <t>EMI_per_building.kgCO2.DK.Ser.BldNew.Thermal.HW.TotalSolar.Solar</t>
  </si>
  <si>
    <t>EMI_per_building.kgCO2.DK.Ser.BldNew.Thermal.CA</t>
  </si>
  <si>
    <t>EMI_per_building.kgCO2.DK.Ser.BldNew.Thermal.CA.LPG</t>
  </si>
  <si>
    <t>EMI_per_building.kgCO2.DK.Ser.BldNew.Thermal.CA.Gas.NG_Biogas</t>
  </si>
  <si>
    <t>EMI_per_building.kgCO2.DK.Ser.BldNew.Thermal.CA.Biomass.Biomass_Waste</t>
  </si>
  <si>
    <t>EMI_per_building.kgCO2.DK.Ser.BldNew.Thermal.CA.Elc.Elec</t>
  </si>
  <si>
    <t>DK - Final energy consumption in new and renovated buildings per surface area</t>
  </si>
  <si>
    <t>FEC_per_sqm.kWh.DK.Ser.BldNew.Thermal</t>
  </si>
  <si>
    <t>FEC_per_sqm.kWh.DK.Ser.BldNew.Thermal.SH</t>
  </si>
  <si>
    <t>FEC_per_sqm.kWh.DK.Ser.BldNew.Thermal.SH.Solids.Solids</t>
  </si>
  <si>
    <t>FEC_per_sqm.kWh.DK.Ser.BldNew.Thermal.SH.LPG.LPG</t>
  </si>
  <si>
    <t>FEC_per_sqm.kWh.DK.Ser.BldNew.Thermal.SH.Oil.Oil_LiqBio</t>
  </si>
  <si>
    <t>FEC_per_sqm.kWh.DK.Ser.BldNew.Thermal.SH.GasHP.NG_Biogas</t>
  </si>
  <si>
    <t>FEC_per_sqm.kWh.DK.Ser.BldNew.Thermal.SH.GasTH.NG_Biogas</t>
  </si>
  <si>
    <t>FEC_per_sqm.kWh.DK.Ser.BldNew.Thermal.SH.Biomass.Biomass_Waste</t>
  </si>
  <si>
    <t>FEC_per_sqm.kWh.DK.Ser.BldNew.Thermal.SH.Geo.Geo</t>
  </si>
  <si>
    <t>FEC_per_sqm.kWh.DK.Ser.BldNew.Thermal.SH.DistrHeat.Steam_Distr</t>
  </si>
  <si>
    <t>FEC_per_sqm.kWh.DK.Ser.BldNew.Thermal.SH.AdvElc.Elec</t>
  </si>
  <si>
    <t>FEC_per_sqm.kWh.DK.Ser.BldNew.Thermal.SH.ConvElc.Elec</t>
  </si>
  <si>
    <t>FEC_per_sqm.kWh.DK.Ser.BldNew.Thermal.SH.TotalCirculation.Elec</t>
  </si>
  <si>
    <t>FEC_per_sqm.kWh.DK.Ser.BldNew.Thermal.SC</t>
  </si>
  <si>
    <t>FEC_per_sqm.kWh.DK.Ser.BldNew.Thermal.SC.GasHP.NG_Biogas</t>
  </si>
  <si>
    <t>FEC_per_sqm.kWh.DK.Ser.BldNew.Thermal.SC.AC.Elec</t>
  </si>
  <si>
    <t>FEC_per_sqm.kWh.DK.Ser.BldNew.Thermal.HW</t>
  </si>
  <si>
    <t>FEC_per_sqm.kWh.DK.Ser.BldNew.Thermal.HW.Solids.Solids</t>
  </si>
  <si>
    <t>FEC_per_sqm.kWh.DK.Ser.BldNew.Thermal.HW.LPG.LPG</t>
  </si>
  <si>
    <t>FEC_per_sqm.kWh.DK.Ser.BldNew.Thermal.HW.Oil.Oil_LiqBio</t>
  </si>
  <si>
    <t>FEC_per_sqm.kWh.DK.Ser.BldNew.Thermal.HW.Gas.NG_Biogas</t>
  </si>
  <si>
    <t>FEC_per_sqm.kWh.DK.Ser.BldNew.Thermal.HW.Biomass.Biomass_Waste</t>
  </si>
  <si>
    <t>FEC_per_sqm.kWh.DK.Ser.BldNew.Thermal.HW.DistrHeat.Steam_Distr</t>
  </si>
  <si>
    <t>FEC_per_sqm.kWh.DK.Ser.BldNew.Thermal.HW.Elc.Elec</t>
  </si>
  <si>
    <t>FEC_per_sqm.kWh.DK.Ser.BldNew.Thermal.HW.TotalSolar.Solar</t>
  </si>
  <si>
    <t>FEC_per_sqm.kWh.DK.Ser.BldNew.Thermal.CA</t>
  </si>
  <si>
    <t>FEC_per_sqm.kWh.DK.Ser.BldNew.Thermal.CA.LPG</t>
  </si>
  <si>
    <t>FEC_per_sqm.kWh.DK.Ser.BldNew.Thermal.CA.Gas.NG_Biogas</t>
  </si>
  <si>
    <t>FEC_per_sqm.kWh.DK.Ser.BldNew.Thermal.CA.Biomass.Biomass_Waste</t>
  </si>
  <si>
    <t>FEC_per_sqm.kWh.DK.Ser.BldNew.Thermal.CA.Elc.Elec</t>
  </si>
  <si>
    <t>DK - Thermal energy service in new and renovated buildings per surface area</t>
  </si>
  <si>
    <t>TES_per_sqm.kWh.DK.Ser.BldNew.Thermal</t>
  </si>
  <si>
    <t>TES_per_sqm.kWh.DK.Ser.BldNew.Thermal.SH</t>
  </si>
  <si>
    <t>TES_per_sqm.kWh.DK.Ser.BldNew.Thermal.SH.Solids.Solids</t>
  </si>
  <si>
    <t>TES_per_sqm.kWh.DK.Ser.BldNew.Thermal.SH.LPG.LPG</t>
  </si>
  <si>
    <t>TES_per_sqm.kWh.DK.Ser.BldNew.Thermal.SH.Oil.Oil_LiqBio</t>
  </si>
  <si>
    <t>TES_per_sqm.kWh.DK.Ser.BldNew.Thermal.SH.GasHP.NG_Biogas</t>
  </si>
  <si>
    <t>TES_per_sqm.kWh.DK.Ser.BldNew.Thermal.SH.GasTH.NG_Biogas</t>
  </si>
  <si>
    <t>TES_per_sqm.kWh.DK.Ser.BldNew.Thermal.SH.Biomass.Biomass_Waste</t>
  </si>
  <si>
    <t>TES_per_sqm.kWh.DK.Ser.BldNew.Thermal.SH.Geo.Geo</t>
  </si>
  <si>
    <t>TES_per_sqm.kWh.DK.Ser.BldNew.Thermal.SH.DistrHeat.Steam_Distr</t>
  </si>
  <si>
    <t>TES_per_sqm.kWh.DK.Ser.BldNew.Thermal.SH.AdvElc.Elec</t>
  </si>
  <si>
    <t>TES_per_sqm.kWh.DK.Ser.BldNew.Thermal.SH.ConvElc.Elec</t>
  </si>
  <si>
    <t>TES_per_sqm.kWh.DK.Ser.BldNew.Thermal.SH.TotalCirculation.Elec</t>
  </si>
  <si>
    <t>TES_per_sqm.kWh.DK.Ser.BldNew.Thermal.SC</t>
  </si>
  <si>
    <t>TES_per_sqm.kWh.DK.Ser.BldNew.Thermal.SC.GasHP.NG_Biogas</t>
  </si>
  <si>
    <t>TES_per_sqm.kWh.DK.Ser.BldNew.Thermal.SC.AC.Elec</t>
  </si>
  <si>
    <t>TES_per_sqm.kWh.DK.Ser.BldNew.Thermal.HW</t>
  </si>
  <si>
    <t>TES_per_sqm.kWh.DK.Ser.BldNew.Thermal.HW.Solids.Solids</t>
  </si>
  <si>
    <t>TES_per_sqm.kWh.DK.Ser.BldNew.Thermal.HW.LPG.LPG</t>
  </si>
  <si>
    <t>TES_per_sqm.kWh.DK.Ser.BldNew.Thermal.HW.Oil.Oil_LiqBio</t>
  </si>
  <si>
    <t>TES_per_sqm.kWh.DK.Ser.BldNew.Thermal.HW.Gas.NG_Biogas</t>
  </si>
  <si>
    <t>TES_per_sqm.kWh.DK.Ser.BldNew.Thermal.HW.Biomass.Biomass_Waste</t>
  </si>
  <si>
    <t>TES_per_sqm.kWh.DK.Ser.BldNew.Thermal.HW.DistrHeat.Steam_Distr</t>
  </si>
  <si>
    <t>TES_per_sqm.kWh.DK.Ser.BldNew.Thermal.HW.Elc.Elec</t>
  </si>
  <si>
    <t>TES_per_sqm.kWh.DK.Ser.BldNew.Thermal.HW.TotalSolar.Solar</t>
  </si>
  <si>
    <t>TES_per_sqm.kWh.DK.Ser.BldNew.Thermal.CA</t>
  </si>
  <si>
    <t>TES_per_sqm.kWh.DK.Ser.BldNew.Thermal.CA.LPG</t>
  </si>
  <si>
    <t>TES_per_sqm.kWh.DK.Ser.BldNew.Thermal.CA.Gas.NG_Biogas</t>
  </si>
  <si>
    <t>TES_per_sqm.kWh.DK.Ser.BldNew.Thermal.CA.Biomass.Biomass_Waste</t>
  </si>
  <si>
    <t>TES_per_sqm.kWh.DK.Ser.BldNew.Thermal.CA.Elc.Elec</t>
  </si>
  <si>
    <t>DK - CO2 emissions in new and renovated buildings per surface area</t>
  </si>
  <si>
    <t>EMI_per_sqm.kgCO2.DK.Ser.BldNew.Thermal</t>
  </si>
  <si>
    <t>EMI_per_sqm.kgCO2.DK.Ser.BldNew.Thermal.SH</t>
  </si>
  <si>
    <t>EMI_per_sqm.kgCO2.DK.Ser.BldNew.Thermal.SH.Solids.Solids</t>
  </si>
  <si>
    <t>EMI_per_sqm.kgCO2.DK.Ser.BldNew.Thermal.SH.LPG.LPG</t>
  </si>
  <si>
    <t>EMI_per_sqm.kgCO2.DK.Ser.BldNew.Thermal.SH.Oil.Oil_LiqBio</t>
  </si>
  <si>
    <t>EMI_per_sqm.kgCO2.DK.Ser.BldNew.Thermal.SH.GasHP.NG_Biogas</t>
  </si>
  <si>
    <t>EMI_per_sqm.kgCO2.DK.Ser.BldNew.Thermal.SH.GasTH.NG_Biogas</t>
  </si>
  <si>
    <t>EMI_per_sqm.kgCO2.DK.Ser.BldNew.Thermal.SH.Biomass.Biomass_Waste</t>
  </si>
  <si>
    <t>EMI_per_sqm.kgCO2.DK.Ser.BldNew.Thermal.SH.Geo.Geo</t>
  </si>
  <si>
    <t>EMI_per_sqm.kgCO2.DK.Ser.BldNew.Thermal.SH.DistrHeat.Steam_Distr</t>
  </si>
  <si>
    <t>EMI_per_sqm.kgCO2.DK.Ser.BldNew.Thermal.SH.AdvElc.Elec</t>
  </si>
  <si>
    <t>EMI_per_sqm.kgCO2.DK.Ser.BldNew.Thermal.SH.ConvElc.Elec</t>
  </si>
  <si>
    <t>EMI_per_sqm.kgCO2.DK.Ser.BldNew.Thermal.SH.TotalCirculation.Elec</t>
  </si>
  <si>
    <t>EMI_per_sqm.kgCO2.DK.Ser.BldNew.Thermal.SC</t>
  </si>
  <si>
    <t>EMI_per_sqm.kgCO2.DK.Ser.BldNew.Thermal.SC.GasHP.NG_Biogas</t>
  </si>
  <si>
    <t>EMI_per_sqm.kgCO2.DK.Ser.BldNew.Thermal.SC.AC.Elec</t>
  </si>
  <si>
    <t>EMI_per_sqm.kgCO2.DK.Ser.BldNew.Thermal.HW</t>
  </si>
  <si>
    <t>EMI_per_sqm.kgCO2.DK.Ser.BldNew.Thermal.HW.Solids.Solids</t>
  </si>
  <si>
    <t>EMI_per_sqm.kgCO2.DK.Ser.BldNew.Thermal.HW.LPG.LPG</t>
  </si>
  <si>
    <t>EMI_per_sqm.kgCO2.DK.Ser.BldNew.Thermal.HW.Oil.Oil_LiqBio</t>
  </si>
  <si>
    <t>EMI_per_sqm.kgCO2.DK.Ser.BldNew.Thermal.HW.Gas.NG_Biogas</t>
  </si>
  <si>
    <t>EMI_per_sqm.kgCO2.DK.Ser.BldNew.Thermal.HW.Biomass.Biomass_Waste</t>
  </si>
  <si>
    <t>EMI_per_sqm.kgCO2.DK.Ser.BldNew.Thermal.HW.DistrHeat.Steam_Distr</t>
  </si>
  <si>
    <t>EMI_per_sqm.kgCO2.DK.Ser.BldNew.Thermal.HW.Elc.Elec</t>
  </si>
  <si>
    <t>EMI_per_sqm.kgCO2.DK.Ser.BldNew.Thermal.HW.TotalSolar.Solar</t>
  </si>
  <si>
    <t>EMI_per_sqm.kgCO2.DK.Ser.BldNew.Thermal.CA</t>
  </si>
  <si>
    <t>EMI_per_sqm.kgCO2.DK.Ser.BldNew.Thermal.CA.LPG</t>
  </si>
  <si>
    <t>EMI_per_sqm.kgCO2.DK.Ser.BldNew.Thermal.CA.Gas.NG_Biogas</t>
  </si>
  <si>
    <t>EMI_per_sqm.kgCO2.DK.Ser.BldNew.Thermal.CA.Biomass.Biomass_Waste</t>
  </si>
  <si>
    <t>EMI_per_sqm.kgCO2.DK.Ser.BldNew.Thermal.CA.Elc.Elec</t>
  </si>
  <si>
    <t>FEC.ktoe.DK.Ser.SEU.VE</t>
  </si>
  <si>
    <t>FEC.ktoe.DK.Ser.SEU.SL</t>
  </si>
  <si>
    <t>FEC.ktoe.DK.Ser.SEU.BL</t>
  </si>
  <si>
    <t>FEC.ktoe.DK.Ser.SEU.CR</t>
  </si>
  <si>
    <t>FEC.ktoe.DK.Ser.SEU.BT</t>
  </si>
  <si>
    <t>FEC.ktoe.DK.Ser.SEU.IT</t>
  </si>
  <si>
    <t>Size.MW.DK.Ser.SEU</t>
  </si>
  <si>
    <t>Size.MW.DK.Ser.SEU.VE</t>
  </si>
  <si>
    <t>Size.MW.DK.Ser.SEU.SL</t>
  </si>
  <si>
    <t>Size.MW.DK.Ser.SEU.BL</t>
  </si>
  <si>
    <t>Size.MW.DK.Ser.SEU.CR</t>
  </si>
  <si>
    <t>Size.MW.DK.Ser.SEU.BT</t>
  </si>
  <si>
    <t>Size.MW.DK.Ser.SEU.IT</t>
  </si>
  <si>
    <t>NUM.Msqm.DK.Ser.SEU.VE</t>
  </si>
  <si>
    <t>NUM.k.DK.Ser.SEU.SL</t>
  </si>
  <si>
    <t>NUM.M.DK.Ser.SEU.BL</t>
  </si>
  <si>
    <t>NUM.k.DK.Ser.SEU.CR</t>
  </si>
  <si>
    <t>NUM.Msqm.DK.Ser.SEU.BT</t>
  </si>
  <si>
    <t>NUM.k.DK.Ser.SEU.IT</t>
  </si>
  <si>
    <t>NUM.Msqm.DK.Ser.SEUnew.VE</t>
  </si>
  <si>
    <t>NUM.k.DK.Ser.SEUnew.SL</t>
  </si>
  <si>
    <t>NUM.M.DK.Ser.SEUnew.BL</t>
  </si>
  <si>
    <t>NUM.k.DK.Ser.SEUnew.CR</t>
  </si>
  <si>
    <t>NUM.Msqm.DK.Ser.SEUnew.BT</t>
  </si>
  <si>
    <t>NUM.k.DK.Ser.SEUnew.IT</t>
  </si>
  <si>
    <t>NUM.Msqm.DK.Ser.SEUrepl.VE</t>
  </si>
  <si>
    <t>NUM.k.DK.Ser.SEUrepl.SL</t>
  </si>
  <si>
    <t>NUM.M.DK.Ser.SEUrepl.BL</t>
  </si>
  <si>
    <t>NUM.k.DK.Ser.SEUrepl.CR</t>
  </si>
  <si>
    <t>NUM.Msqm.DK.Ser.SEUrepl.BT</t>
  </si>
  <si>
    <t>NUM.k.DK.Ser.SEUrepl.IT</t>
  </si>
  <si>
    <t>Op.hours.DK.Ser.SEU.VE</t>
  </si>
  <si>
    <t>Op.hours.DK.Ser.SEU.SL</t>
  </si>
  <si>
    <t>Op.hours.DK.Ser.SEU.BL</t>
  </si>
  <si>
    <t>Op.hours.DK.Ser.SEU.CR</t>
  </si>
  <si>
    <t>Op.hours.DK.Ser.SEU.BT</t>
  </si>
  <si>
    <t>Op.hours.DK.Ser.SEU.IT</t>
  </si>
  <si>
    <t>Size_per_appl.W.DK.Ser.SEU.VE</t>
  </si>
  <si>
    <t>Size_per_appl.W.DK.Ser.SEU.SL</t>
  </si>
  <si>
    <t>Size_per_appl.W.DK.Ser.SEU.BL</t>
  </si>
  <si>
    <t>Size_per_appl.W.DK.Ser.SEU.CR</t>
  </si>
  <si>
    <t>Size_per_appl.W.DK.Ser.SEU.BT</t>
  </si>
  <si>
    <t>Size_per_appl.W.DK.Ser.SEU.IT</t>
  </si>
  <si>
    <t>Size_per_appl.W.DK.Ser.SEUnew.VE</t>
  </si>
  <si>
    <t>Size_per_appl.W.DK.Ser.SEUnew.SL</t>
  </si>
  <si>
    <t>Size_per_appl.W.DK.Ser.SEUnew.BL</t>
  </si>
  <si>
    <t>Size_per_appl.W.DK.Ser.SEUnew.CR</t>
  </si>
  <si>
    <t>Size_per_appl.W.DK.Ser.SEUnew.BT</t>
  </si>
  <si>
    <t>Size_per_appl.W.DK.Ser.SEUnew.IT</t>
  </si>
  <si>
    <t>NUM.sqm_per_building.DK.Ser.SEU.VE</t>
  </si>
  <si>
    <t>NUM.number_per_capita.DK.Ser.SEU.SL</t>
  </si>
  <si>
    <t>NUM.number_per_building.DK.Ser.SEU.BL</t>
  </si>
  <si>
    <t>NUM.number_per_capita.DK.Ser.SEU.CR</t>
  </si>
  <si>
    <t>NUM.sqm_per_building.DK.Ser.SEU.BT</t>
  </si>
  <si>
    <t>NUM.number_per_capita.DK.Ser.SEU.IT</t>
  </si>
  <si>
    <t>Lumens_per_sqm.lumen.DK.Ser.SEU.BL</t>
  </si>
  <si>
    <t>DK - Services / specific electric uses</t>
  </si>
  <si>
    <t>DK - Ventilation and others</t>
  </si>
  <si>
    <t>DK - Street lighting</t>
  </si>
  <si>
    <t>DK - Building lighting</t>
  </si>
  <si>
    <t>DK - Commercial refrigeration</t>
  </si>
  <si>
    <t>DK - Miscellaneous building technologies</t>
  </si>
  <si>
    <t>DK - ICT and multimedia</t>
  </si>
  <si>
    <t>DK - Agriculture, forestry and fishing</t>
  </si>
  <si>
    <t>VA.Meuro2015.DK.AGR.AGR</t>
  </si>
  <si>
    <t>OUTPUT.index.DK.AGR.AGR</t>
  </si>
  <si>
    <t>CAP.index.DK.AGR.AGR</t>
  </si>
  <si>
    <t>NEWCAP.index.DK.AGR.AGR</t>
  </si>
  <si>
    <t>CAPOUT.index.DK.AGR.AGR</t>
  </si>
  <si>
    <t>CAPIDLE.index.DK.AGR.AGR</t>
  </si>
  <si>
    <t>FEC.ktoe.DK.ES.AGR</t>
  </si>
  <si>
    <t>FEC.ktoe.DK.ES.AGR.Solids</t>
  </si>
  <si>
    <t>FEC.ktoe.DK.ES.AGR.LPG</t>
  </si>
  <si>
    <t>FEC.ktoe.DK.ES.AGR.Diesel</t>
  </si>
  <si>
    <t>FEC.ktoe.DK.ES.AGR.RFO</t>
  </si>
  <si>
    <t>FEC.ktoe.DK.ES.AGR.NG</t>
  </si>
  <si>
    <t>FEC.ktoe.DK.ES.AGR.Biomass_Waste</t>
  </si>
  <si>
    <t>FEC.ktoe.DK.ES.AGR.Biogas</t>
  </si>
  <si>
    <t>FEC.ktoe.DK.ES.AGR.LiqBio</t>
  </si>
  <si>
    <t>FEC.ktoe.DK.ES.AGR.Solar</t>
  </si>
  <si>
    <t>FEC.ktoe.DK.ES.AGR.Geo</t>
  </si>
  <si>
    <t>FEC.ktoe.DK.ES.AGR.Ambient</t>
  </si>
  <si>
    <t>FEC.ktoe.DK.ES.AGR.Steam_Distr</t>
  </si>
  <si>
    <t>FEC.ktoe.DK.ES.AGR.Elec</t>
  </si>
  <si>
    <t>DK - Agriculture, forestry and fishing / final energy consumption</t>
  </si>
  <si>
    <t>FEC.ktoe.DK.AGR.AGR.LIGHT.GENERIC.ELEC</t>
  </si>
  <si>
    <t>FEC.ktoe.DK.AGR.AGR.FANS.GENERIC.ELEC</t>
  </si>
  <si>
    <t>FEC.ktoe.DK.AGR.AGR.MOTOR.GENERIC.ELEC</t>
  </si>
  <si>
    <t>FEC.ktoe.DK.AGR.AGR.LOW_ENTH.THERM.DIESEL_LIQBIO</t>
  </si>
  <si>
    <t>FEC.ktoe.DK.AGR.AGR.LOW_ENTH.THERM.NG_BIOGAS</t>
  </si>
  <si>
    <t>FEC.ktoe.DK.AGR.AGR.LOW_ENTH.THERM.SOLAR_GEO</t>
  </si>
  <si>
    <t>FEC.ktoe.DK.AGR.AGR.LOW_ENTH.HP.AMBIENT</t>
  </si>
  <si>
    <t>FEC.ktoe.DK.AGR.AGR.LOW_ENTH.THERM.STEAM_DISTR</t>
  </si>
  <si>
    <t>FEC.ktoe.DK.AGR.AGR.LOW_ENTH.THERM.ELEC</t>
  </si>
  <si>
    <t>FEC.ktoe.DK.AGR.AGR.FARM_DRIVES.MECH.DIESEL_LIQBIO</t>
  </si>
  <si>
    <t>FEC.ktoe.DK.AGR.AGR.HEAT_USE.THERM.SOLIDS</t>
  </si>
  <si>
    <t>FEC.ktoe.DK.AGR.AGR.HEAT_USE.THERM.LPG</t>
  </si>
  <si>
    <t>FEC.ktoe.DK.AGR.AGR.HEAT_USE.THERM.DIESEL_LIQBIO</t>
  </si>
  <si>
    <t>FEC.ktoe.DK.AGR.AGR.HEAT_USE.THERM.RFO</t>
  </si>
  <si>
    <t>FEC.ktoe.DK.AGR.AGR.HEAT_USE.THERM.NG_BIOGAS</t>
  </si>
  <si>
    <t>FEC.ktoe.DK.AGR.AGR.HEAT_USE.THERM.BIOMASS_WASTE</t>
  </si>
  <si>
    <t>FEC.ktoe.DK.AGR.AGR.HEAT_USE.THERM.SOLAR_GEO</t>
  </si>
  <si>
    <t>FEC.ktoe.DK.AGR.AGR.FARM_PUMP.MECH.DIESEL_LIQBIO</t>
  </si>
  <si>
    <t>FEC.ktoe.DK.AGR.AGR.FARM_PUMP_ELEC.MECH.ELEC</t>
  </si>
  <si>
    <t>FEC.ktoe.DK.AGR.AGR.GENERIC.MECH.ELEC</t>
  </si>
  <si>
    <t>DK - Agriculture, forestry and fishing / useful energy demand</t>
  </si>
  <si>
    <t>UED.ktoe.DK.AGR.AGR.LIGHT.GENERIC.ELEC</t>
  </si>
  <si>
    <t>UED.ktoe.DK.AGR.AGR.FANS.GENERIC.ELEC</t>
  </si>
  <si>
    <t>UED.ktoe.DK.AGR.AGR.MOTOR.GENERIC.ELEC</t>
  </si>
  <si>
    <t>UED.ktoe.DK.AGR.AGR.LOW_ENTH.THERM.DIESEL_LIQBIO</t>
  </si>
  <si>
    <t>UED.ktoe.DK.AGR.AGR.LOW_ENTH.THERM.NG_BIOGAS</t>
  </si>
  <si>
    <t>UED.ktoe.DK.AGR.AGR.LOW_ENTH.THERM.SOLAR_GEO</t>
  </si>
  <si>
    <t>UED.ktoe.DK.AGR.AGR.LOW_ENTH.HP.AMBIENT</t>
  </si>
  <si>
    <t>UED.ktoe.DK.AGR.AGR.LOW_ENTH.THERM.STEAM_DISTR</t>
  </si>
  <si>
    <t>UED.ktoe.DK.AGR.AGR.LOW_ENTH.THERM.ELEC</t>
  </si>
  <si>
    <t>UED.ktoe.DK.AGR.AGR.FARM_DRIVES.MECH.DIESEL_LIQBIO</t>
  </si>
  <si>
    <t>UED.ktoe.DK.AGR.AGR.HEAT_USE.THERM.SOLIDS</t>
  </si>
  <si>
    <t>UED.ktoe.DK.AGR.AGR.HEAT_USE.THERM.LPG</t>
  </si>
  <si>
    <t>UED.ktoe.DK.AGR.AGR.HEAT_USE.THERM.DIESEL_LIQBIO</t>
  </si>
  <si>
    <t>UED.ktoe.DK.AGR.AGR.HEAT_USE.THERM.RFO</t>
  </si>
  <si>
    <t>UED.ktoe.DK.AGR.AGR.HEAT_USE.THERM.NG_BIOGAS</t>
  </si>
  <si>
    <t>UED.ktoe.DK.AGR.AGR.HEAT_USE.THERM.BIOMASS_WASTE</t>
  </si>
  <si>
    <t>UED.ktoe.DK.AGR.AGR.HEAT_USE.THERM.SOLAR_GEO</t>
  </si>
  <si>
    <t>UED.ktoe.DK.AGR.AGR.FARM_PUMP.MECH.DIESEL_LIQBIO</t>
  </si>
  <si>
    <t>UED.ktoe.DK.AGR.AGR.FARM_PUMP_ELEC.MECH.ELEC</t>
  </si>
  <si>
    <t>UED.ktoe.DK.AGR.AGR.GENERIC.MECH.ELEC</t>
  </si>
  <si>
    <t>DK - Agriculture, forestry and fishing / CO2 emissions</t>
  </si>
  <si>
    <t>FUEL_EMI.ktCO2.DK.AGR.AGR.LIGHT.GENERIC.ELEC</t>
  </si>
  <si>
    <t>FUEL_EMI.ktCO2.DK.AGR.AGR.FANS.GENERIC.ELEC</t>
  </si>
  <si>
    <t>FUEL_EMI.ktCO2.DK.AGR.AGR.MOTOR.GENERIC.ELEC</t>
  </si>
  <si>
    <t>FUEL_EMI.ktCO2.DK.AGR.AGR.LOW_ENTH.THERM.DIESEL_LIQBIO</t>
  </si>
  <si>
    <t>FUEL_EMI.ktCO2.DK.AGR.AGR.LOW_ENTH.THERM.NG_BIOGAS</t>
  </si>
  <si>
    <t>FUEL_EMI.ktCO2.DK.AGR.AGR.LOW_ENTH.THERM.SOLAR_GEO</t>
  </si>
  <si>
    <t>FUEL_EMI.ktCO2.DK.AGR.AGR.LOW_ENTH.HP.AMBIENT</t>
  </si>
  <si>
    <t>FUEL_EMI.ktCO2.DK.AGR.AGR.LOW_ENTH.THERM.STEAM_DISTR</t>
  </si>
  <si>
    <t>FUEL_EMI.ktCO2.DK.AGR.AGR.LOW_ENTH.THERM.ELEC</t>
  </si>
  <si>
    <t>FUEL_EMI.ktCO2.DK.AGR.AGR.FARM_DRIVES.MECH.DIESEL_LIQBIO</t>
  </si>
  <si>
    <t>FUEL_EMI.ktCO2.DK.AGR.AGR.HEAT_USE.THERM.SOLIDS</t>
  </si>
  <si>
    <t>FUEL_EMI.ktCO2.DK.AGR.AGR.HEAT_USE.THERM.LPG</t>
  </si>
  <si>
    <t>FUEL_EMI.ktCO2.DK.AGR.AGR.HEAT_USE.THERM.DIESEL_LIQBIO</t>
  </si>
  <si>
    <t>FUEL_EMI.ktCO2.DK.AGR.AGR.HEAT_USE.THERM.RFO</t>
  </si>
  <si>
    <t>FUEL_EMI.ktCO2.DK.AGR.AGR.HEAT_USE.THERM.NG_BIOGAS</t>
  </si>
  <si>
    <t>FUEL_EMI.ktCO2.DK.AGR.AGR.HEAT_USE.THERM.BIOMASS_WASTE</t>
  </si>
  <si>
    <t>FUEL_EMI.ktCO2.DK.AGR.AGR.HEAT_USE.THERM.SOLAR_GEO</t>
  </si>
  <si>
    <t>FUEL_EMI.ktCO2.DK.AGR.AGR.FARM_PUMP.MECH.DIESEL_LIQBIO</t>
  </si>
  <si>
    <t>FUEL_EMI.ktCO2.DK.AGR.AGR.FARM_PUMP_ELEC.MECH.ELEC</t>
  </si>
  <si>
    <t>FUEL_EMI.ktCO2.DK.AGR.AGR.GENERIC.MECH.ELEC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</si>
</sst>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2">
    <xf numFmtId="0" fontId="0" fillId="0" borderId="0" xfId="0"/>
    <xf numFmtId="0" fontId="11" fillId="2" borderId="0" xfId="5" applyFont="1" applyFill="1" applyAlignment="1">
      <alignment vertical="center"/>
    </xf>
    <xf numFmtId="0" fontId="11" fillId="2" borderId="0" xfId="5" applyNumberFormat="1" applyFont="1" applyFill="1" applyAlignment="1">
      <alignment vertical="center"/>
    </xf>
    <xf numFmtId="166" fontId="11" fillId="2" borderId="0" xfId="5" applyNumberFormat="1" applyFont="1" applyFill="1" applyAlignment="1">
      <alignment vertical="center"/>
    </xf>
    <xf numFmtId="0" fontId="12" fillId="2" borderId="0" xfId="5" applyFont="1" applyFill="1" applyBorder="1" applyAlignment="1">
      <alignment horizontal="left" vertical="center"/>
    </xf>
    <xf numFmtId="0" fontId="12" fillId="2" borderId="0" xfId="5" applyFont="1" applyFill="1" applyAlignment="1">
      <alignment horizontal="left" vertical="center"/>
    </xf>
    <xf numFmtId="3" fontId="11" fillId="2" borderId="0" xfId="5" applyNumberFormat="1" applyFont="1" applyFill="1" applyAlignment="1">
      <alignment vertical="center"/>
    </xf>
    <xf numFmtId="0" fontId="11" fillId="2" borderId="0" xfId="5" applyNumberFormat="1" applyFont="1" applyFill="1" applyAlignment="1">
      <alignment vertical="center" shrinkToFit="1"/>
    </xf>
    <xf numFmtId="0" fontId="11" fillId="2" borderId="2" xfId="5" applyNumberFormat="1" applyFont="1" applyFill="1" applyBorder="1" applyAlignment="1">
      <alignment vertical="center" shrinkToFit="1"/>
    </xf>
    <xf numFmtId="0" fontId="11" fillId="2" borderId="5" xfId="5" applyNumberFormat="1" applyFont="1" applyFill="1" applyBorder="1" applyAlignment="1">
      <alignment vertical="center" shrinkToFit="1"/>
    </xf>
    <xf numFmtId="0" fontId="11" fillId="2" borderId="0" xfId="5" applyNumberFormat="1" applyFont="1" applyFill="1" applyBorder="1" applyAlignment="1">
      <alignment vertical="center" shrinkToFit="1"/>
    </xf>
    <xf numFmtId="0" fontId="11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5" fillId="2" borderId="0" xfId="3" applyFont="1" applyFill="1"/>
    <xf numFmtId="0" fontId="15" fillId="2" borderId="0" xfId="3" applyFont="1" applyFill="1" applyAlignment="1">
      <alignment horizontal="left" indent="1"/>
    </xf>
    <xf numFmtId="0" fontId="15" fillId="2" borderId="0" xfId="3" applyFont="1" applyFill="1" applyAlignment="1">
      <alignment horizontal="left" indent="2"/>
    </xf>
    <xf numFmtId="1" fontId="17" fillId="3" borderId="2" xfId="5" applyNumberFormat="1" applyFont="1" applyFill="1" applyBorder="1" applyAlignment="1">
      <alignment horizontal="center" vertical="center"/>
    </xf>
    <xf numFmtId="0" fontId="16" fillId="3" borderId="2" xfId="5" applyFont="1" applyFill="1" applyBorder="1" applyAlignment="1">
      <alignment horizontal="left" vertical="center" wrapText="1"/>
    </xf>
    <xf numFmtId="172" fontId="11" fillId="2" borderId="0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horizontal="left" vertical="center"/>
    </xf>
    <xf numFmtId="0" fontId="12" fillId="2" borderId="2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vertical="center" shrinkToFit="1"/>
    </xf>
    <xf numFmtId="0" fontId="17" fillId="2" borderId="5" xfId="5" applyFont="1" applyFill="1" applyBorder="1" applyAlignment="1">
      <alignment horizontal="left" vertical="center"/>
    </xf>
    <xf numFmtId="169" fontId="18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/>
    </xf>
    <xf numFmtId="169" fontId="18" fillId="2" borderId="0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/>
    </xf>
    <xf numFmtId="169" fontId="18" fillId="2" borderId="1" xfId="5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/>
    </xf>
    <xf numFmtId="169" fontId="18" fillId="2" borderId="3" xfId="5" applyNumberFormat="1" applyFont="1" applyFill="1" applyBorder="1" applyAlignment="1">
      <alignment vertical="center"/>
    </xf>
    <xf numFmtId="173" fontId="18" fillId="2" borderId="0" xfId="5" applyNumberFormat="1" applyFont="1" applyFill="1" applyBorder="1" applyAlignment="1">
      <alignment vertical="center"/>
    </xf>
    <xf numFmtId="173" fontId="18" fillId="2" borderId="1" xfId="5" applyNumberFormat="1" applyFont="1" applyFill="1" applyBorder="1" applyAlignment="1">
      <alignment vertical="center"/>
    </xf>
    <xf numFmtId="172" fontId="18" fillId="2" borderId="5" xfId="5" applyNumberFormat="1" applyFont="1" applyFill="1" applyBorder="1" applyAlignment="1">
      <alignment vertical="center"/>
    </xf>
    <xf numFmtId="172" fontId="18" fillId="2" borderId="0" xfId="5" applyNumberFormat="1" applyFont="1" applyFill="1" applyBorder="1" applyAlignment="1">
      <alignment vertical="center"/>
    </xf>
    <xf numFmtId="0" fontId="19" fillId="2" borderId="1" xfId="5" applyFont="1" applyFill="1" applyBorder="1" applyAlignment="1">
      <alignment horizontal="left" vertical="center"/>
    </xf>
    <xf numFmtId="171" fontId="18" fillId="2" borderId="1" xfId="5" applyNumberFormat="1" applyFont="1" applyFill="1" applyBorder="1" applyAlignment="1">
      <alignment vertical="center"/>
    </xf>
    <xf numFmtId="0" fontId="16" fillId="4" borderId="2" xfId="5" applyNumberFormat="1" applyFont="1" applyFill="1" applyBorder="1" applyAlignment="1">
      <alignment horizontal="left" vertical="center"/>
    </xf>
    <xf numFmtId="0" fontId="20" fillId="4" borderId="2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1"/>
    </xf>
    <xf numFmtId="0" fontId="17" fillId="2" borderId="0" xfId="5" applyFont="1" applyFill="1" applyBorder="1" applyAlignment="1">
      <alignment horizontal="left" vertical="center" indent="1"/>
    </xf>
    <xf numFmtId="0" fontId="17" fillId="2" borderId="1" xfId="5" applyFont="1" applyFill="1" applyBorder="1" applyAlignment="1">
      <alignment horizontal="left" vertical="center" indent="1"/>
    </xf>
    <xf numFmtId="165" fontId="18" fillId="2" borderId="1" xfId="5" applyNumberFormat="1" applyFont="1" applyFill="1" applyBorder="1" applyAlignment="1">
      <alignment vertical="center"/>
    </xf>
    <xf numFmtId="165" fontId="18" fillId="2" borderId="5" xfId="5" applyNumberFormat="1" applyFont="1" applyFill="1" applyBorder="1" applyAlignment="1">
      <alignment vertical="center"/>
    </xf>
    <xf numFmtId="165" fontId="18" fillId="2" borderId="0" xfId="5" applyNumberFormat="1" applyFont="1" applyFill="1" applyBorder="1" applyAlignment="1">
      <alignment vertical="center"/>
    </xf>
    <xf numFmtId="166" fontId="18" fillId="2" borderId="0" xfId="5" applyNumberFormat="1" applyFont="1" applyFill="1" applyBorder="1" applyAlignment="1">
      <alignment vertical="center"/>
    </xf>
    <xf numFmtId="167" fontId="18" fillId="2" borderId="1" xfId="5" applyNumberFormat="1" applyFont="1" applyFill="1" applyBorder="1" applyAlignment="1">
      <alignment vertical="center"/>
    </xf>
    <xf numFmtId="170" fontId="18" fillId="2" borderId="1" xfId="5" applyNumberFormat="1" applyFont="1" applyFill="1" applyBorder="1" applyAlignment="1">
      <alignment vertical="center"/>
    </xf>
    <xf numFmtId="0" fontId="18" fillId="2" borderId="5" xfId="5" applyFont="1" applyFill="1" applyBorder="1" applyAlignment="1">
      <alignment horizontal="left" vertical="center" indent="2"/>
    </xf>
    <xf numFmtId="166" fontId="18" fillId="2" borderId="5" xfId="5" applyNumberFormat="1" applyFont="1" applyFill="1" applyBorder="1" applyAlignment="1">
      <alignment vertical="center"/>
    </xf>
    <xf numFmtId="0" fontId="18" fillId="2" borderId="0" xfId="5" applyFont="1" applyFill="1" applyBorder="1" applyAlignment="1">
      <alignment horizontal="left" vertical="center" indent="2"/>
    </xf>
    <xf numFmtId="0" fontId="18" fillId="2" borderId="0" xfId="5" applyFont="1" applyFill="1" applyBorder="1" applyAlignment="1">
      <alignment horizontal="left" vertical="center" indent="3"/>
    </xf>
    <xf numFmtId="0" fontId="18" fillId="2" borderId="1" xfId="5" applyFont="1" applyFill="1" applyBorder="1" applyAlignment="1">
      <alignment horizontal="left" vertical="center" indent="2"/>
    </xf>
    <xf numFmtId="166" fontId="18" fillId="2" borderId="1" xfId="5" applyNumberFormat="1" applyFont="1" applyFill="1" applyBorder="1" applyAlignment="1">
      <alignment vertical="center"/>
    </xf>
    <xf numFmtId="166" fontId="18" fillId="2" borderId="4" xfId="1" applyNumberFormat="1" applyFont="1" applyFill="1" applyBorder="1" applyAlignment="1">
      <alignment vertical="center"/>
    </xf>
    <xf numFmtId="166" fontId="18" fillId="2" borderId="0" xfId="1" applyNumberFormat="1" applyFont="1" applyFill="1" applyBorder="1" applyAlignment="1">
      <alignment vertical="center"/>
    </xf>
    <xf numFmtId="0" fontId="18" fillId="2" borderId="3" xfId="5" applyFont="1" applyFill="1" applyBorder="1" applyAlignment="1">
      <alignment horizontal="left" vertical="center" indent="3"/>
    </xf>
    <xf numFmtId="166" fontId="18" fillId="2" borderId="3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0" fontId="19" fillId="2" borderId="2" xfId="5" applyFont="1" applyFill="1" applyBorder="1" applyAlignment="1">
      <alignment horizontal="left" vertical="center" indent="2"/>
    </xf>
    <xf numFmtId="168" fontId="18" fillId="2" borderId="2" xfId="5" applyNumberFormat="1" applyFont="1" applyFill="1" applyBorder="1" applyAlignment="1">
      <alignment vertical="center"/>
    </xf>
    <xf numFmtId="168" fontId="18" fillId="2" borderId="5" xfId="5" applyNumberFormat="1" applyFont="1" applyFill="1" applyBorder="1" applyAlignment="1">
      <alignment vertical="center"/>
    </xf>
    <xf numFmtId="168" fontId="18" fillId="2" borderId="0" xfId="5" applyNumberFormat="1" applyFont="1" applyFill="1" applyBorder="1" applyAlignment="1">
      <alignment vertical="center"/>
    </xf>
    <xf numFmtId="168" fontId="18" fillId="2" borderId="1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 indent="3"/>
    </xf>
    <xf numFmtId="167" fontId="18" fillId="2" borderId="5" xfId="5" applyNumberFormat="1" applyFont="1" applyFill="1" applyBorder="1" applyAlignment="1">
      <alignment vertical="center"/>
    </xf>
    <xf numFmtId="167" fontId="18" fillId="2" borderId="0" xfId="5" applyNumberFormat="1" applyFont="1" applyFill="1" applyBorder="1" applyAlignment="1">
      <alignment vertical="center"/>
    </xf>
    <xf numFmtId="0" fontId="19" fillId="2" borderId="4" xfId="5" applyFont="1" applyFill="1" applyBorder="1" applyAlignment="1">
      <alignment horizontal="left" vertical="center" indent="2"/>
    </xf>
    <xf numFmtId="0" fontId="19" fillId="2" borderId="1" xfId="5" applyFont="1" applyFill="1" applyBorder="1" applyAlignment="1">
      <alignment horizontal="left" vertical="center" indent="2"/>
    </xf>
    <xf numFmtId="0" fontId="21" fillId="5" borderId="2" xfId="5" applyFont="1" applyFill="1" applyBorder="1" applyAlignment="1">
      <alignment horizontal="left" vertical="center" indent="1"/>
    </xf>
    <xf numFmtId="166" fontId="22" fillId="5" borderId="2" xfId="5" applyNumberFormat="1" applyFont="1" applyFill="1" applyBorder="1" applyAlignment="1">
      <alignment vertical="center"/>
    </xf>
    <xf numFmtId="0" fontId="21" fillId="5" borderId="5" xfId="5" applyFont="1" applyFill="1" applyBorder="1" applyAlignment="1">
      <alignment horizontal="left" vertical="center" indent="1"/>
    </xf>
    <xf numFmtId="166" fontId="22" fillId="5" borderId="5" xfId="5" applyNumberFormat="1" applyFont="1" applyFill="1" applyBorder="1" applyAlignment="1">
      <alignment vertical="center"/>
    </xf>
    <xf numFmtId="168" fontId="23" fillId="5" borderId="2" xfId="2" applyNumberFormat="1" applyFont="1" applyFill="1" applyBorder="1" applyAlignment="1">
      <alignment vertical="center"/>
    </xf>
    <xf numFmtId="0" fontId="21" fillId="5" borderId="4" xfId="5" applyFont="1" applyFill="1" applyBorder="1" applyAlignment="1">
      <alignment horizontal="left" vertical="center" indent="1"/>
    </xf>
    <xf numFmtId="166" fontId="22" fillId="5" borderId="4" xfId="5" applyNumberFormat="1" applyFont="1" applyFill="1" applyBorder="1" applyAlignment="1">
      <alignment vertical="center"/>
    </xf>
    <xf numFmtId="167" fontId="23" fillId="5" borderId="2" xfId="1" applyNumberFormat="1" applyFont="1" applyFill="1" applyBorder="1" applyAlignment="1">
      <alignment vertical="center"/>
    </xf>
    <xf numFmtId="1" fontId="17" fillId="3" borderId="2" xfId="5" applyNumberFormat="1" applyFont="1" applyFill="1" applyBorder="1" applyAlignment="1">
      <alignment horizontal="center" vertical="center" shrinkToFit="1"/>
    </xf>
    <xf numFmtId="169" fontId="18" fillId="2" borderId="5" xfId="5" applyNumberFormat="1" applyFont="1" applyFill="1" applyBorder="1" applyAlignment="1">
      <alignment vertical="center" shrinkToFit="1"/>
    </xf>
    <xf numFmtId="169" fontId="18" fillId="2" borderId="0" xfId="5" applyNumberFormat="1" applyFont="1" applyFill="1" applyBorder="1" applyAlignment="1">
      <alignment vertical="center" shrinkToFit="1"/>
    </xf>
    <xf numFmtId="169" fontId="18" fillId="2" borderId="1" xfId="5" applyNumberFormat="1" applyFont="1" applyFill="1" applyBorder="1" applyAlignment="1">
      <alignment vertical="center" shrinkToFit="1"/>
    </xf>
    <xf numFmtId="169" fontId="18" fillId="2" borderId="3" xfId="5" applyNumberFormat="1" applyFont="1" applyFill="1" applyBorder="1" applyAlignment="1">
      <alignment vertical="center" shrinkToFit="1"/>
    </xf>
    <xf numFmtId="173" fontId="18" fillId="2" borderId="0" xfId="5" applyNumberFormat="1" applyFont="1" applyFill="1" applyBorder="1" applyAlignment="1">
      <alignment vertical="center" shrinkToFit="1"/>
    </xf>
    <xf numFmtId="173" fontId="18" fillId="2" borderId="1" xfId="5" applyNumberFormat="1" applyFont="1" applyFill="1" applyBorder="1" applyAlignment="1">
      <alignment vertical="center" shrinkToFit="1"/>
    </xf>
    <xf numFmtId="172" fontId="18" fillId="2" borderId="5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Border="1" applyAlignment="1">
      <alignment vertical="center" shrinkToFit="1"/>
    </xf>
    <xf numFmtId="171" fontId="18" fillId="2" borderId="1" xfId="5" applyNumberFormat="1" applyFont="1" applyFill="1" applyBorder="1" applyAlignment="1">
      <alignment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165" fontId="18" fillId="2" borderId="1" xfId="5" applyNumberFormat="1" applyFont="1" applyFill="1" applyBorder="1" applyAlignment="1">
      <alignment vertical="center" shrinkToFit="1"/>
    </xf>
    <xf numFmtId="165" fontId="18" fillId="2" borderId="5" xfId="5" applyNumberFormat="1" applyFont="1" applyFill="1" applyBorder="1" applyAlignment="1">
      <alignment vertical="center" shrinkToFit="1"/>
    </xf>
    <xf numFmtId="165" fontId="18" fillId="2" borderId="0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Border="1" applyAlignment="1">
      <alignment vertical="center" shrinkToFit="1"/>
    </xf>
    <xf numFmtId="170" fontId="18" fillId="2" borderId="1" xfId="5" applyNumberFormat="1" applyFont="1" applyFill="1" applyBorder="1" applyAlignment="1">
      <alignment vertical="center" shrinkToFit="1"/>
    </xf>
    <xf numFmtId="166" fontId="22" fillId="5" borderId="2" xfId="5" applyNumberFormat="1" applyFont="1" applyFill="1" applyBorder="1" applyAlignment="1">
      <alignment vertical="center" shrinkToFit="1"/>
    </xf>
    <xf numFmtId="166" fontId="18" fillId="2" borderId="5" xfId="5" applyNumberFormat="1" applyFont="1" applyFill="1" applyBorder="1" applyAlignment="1">
      <alignment vertical="center" shrinkToFit="1"/>
    </xf>
    <xf numFmtId="166" fontId="18" fillId="2" borderId="1" xfId="5" applyNumberFormat="1" applyFont="1" applyFill="1" applyBorder="1" applyAlignment="1">
      <alignment vertical="center" shrinkToFit="1"/>
    </xf>
    <xf numFmtId="166" fontId="11" fillId="2" borderId="0" xfId="5" applyNumberFormat="1" applyFont="1" applyFill="1" applyAlignment="1">
      <alignment vertical="center" shrinkToFit="1"/>
    </xf>
    <xf numFmtId="166" fontId="22" fillId="5" borderId="5" xfId="5" applyNumberFormat="1" applyFont="1" applyFill="1" applyBorder="1" applyAlignment="1">
      <alignment vertical="center" shrinkToFit="1"/>
    </xf>
    <xf numFmtId="166" fontId="18" fillId="2" borderId="4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Border="1" applyAlignment="1">
      <alignment vertical="center" shrinkToFit="1"/>
    </xf>
    <xf numFmtId="166" fontId="18" fillId="2" borderId="3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8" fontId="23" fillId="5" borderId="2" xfId="2" applyNumberFormat="1" applyFont="1" applyFill="1" applyBorder="1" applyAlignment="1">
      <alignment vertical="center" shrinkToFit="1"/>
    </xf>
    <xf numFmtId="168" fontId="18" fillId="2" borderId="2" xfId="5" applyNumberFormat="1" applyFont="1" applyFill="1" applyBorder="1" applyAlignment="1">
      <alignment vertical="center" shrinkToFit="1"/>
    </xf>
    <xf numFmtId="168" fontId="18" fillId="2" borderId="5" xfId="5" applyNumberFormat="1" applyFont="1" applyFill="1" applyBorder="1" applyAlignment="1">
      <alignment vertical="center" shrinkToFit="1"/>
    </xf>
    <xf numFmtId="168" fontId="18" fillId="2" borderId="0" xfId="5" applyNumberFormat="1" applyFont="1" applyFill="1" applyBorder="1" applyAlignment="1">
      <alignment vertical="center" shrinkToFit="1"/>
    </xf>
    <xf numFmtId="168" fontId="18" fillId="2" borderId="1" xfId="5" applyNumberFormat="1" applyFont="1" applyFill="1" applyBorder="1" applyAlignment="1">
      <alignment vertical="center" shrinkToFit="1"/>
    </xf>
    <xf numFmtId="166" fontId="22" fillId="5" borderId="4" xfId="5" applyNumberFormat="1" applyFont="1" applyFill="1" applyBorder="1" applyAlignment="1">
      <alignment vertical="center" shrinkToFit="1"/>
    </xf>
    <xf numFmtId="0" fontId="11" fillId="2" borderId="0" xfId="5" applyFont="1" applyFill="1" applyAlignment="1">
      <alignment vertical="center" shrinkToFit="1"/>
    </xf>
    <xf numFmtId="167" fontId="23" fillId="5" borderId="2" xfId="1" applyNumberFormat="1" applyFont="1" applyFill="1" applyBorder="1" applyAlignment="1">
      <alignment vertical="center" shrinkToFit="1"/>
    </xf>
    <xf numFmtId="167" fontId="18" fillId="2" borderId="5" xfId="5" applyNumberFormat="1" applyFont="1" applyFill="1" applyBorder="1" applyAlignment="1">
      <alignment vertical="center" shrinkToFit="1"/>
    </xf>
    <xf numFmtId="167" fontId="18" fillId="2" borderId="0" xfId="5" applyNumberFormat="1" applyFont="1" applyFill="1" applyBorder="1" applyAlignment="1">
      <alignment vertical="center" shrinkToFit="1"/>
    </xf>
    <xf numFmtId="167" fontId="18" fillId="2" borderId="1" xfId="5" applyNumberFormat="1" applyFont="1" applyFill="1" applyBorder="1" applyAlignment="1">
      <alignment vertical="center" shrinkToFit="1"/>
    </xf>
    <xf numFmtId="0" fontId="10" fillId="2" borderId="2" xfId="5" applyNumberFormat="1" applyFont="1" applyFill="1" applyBorder="1" applyAlignment="1">
      <alignment horizontal="center" vertical="center" shrinkToFit="1"/>
    </xf>
    <xf numFmtId="0" fontId="25" fillId="6" borderId="2" xfId="5" applyFont="1" applyFill="1" applyBorder="1" applyAlignment="1">
      <alignment horizontal="left" vertical="center"/>
    </xf>
    <xf numFmtId="169" fontId="23" fillId="6" borderId="2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/>
    </xf>
    <xf numFmtId="165" fontId="23" fillId="6" borderId="2" xfId="1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0" fontId="26" fillId="2" borderId="7" xfId="5" applyFont="1" applyFill="1" applyBorder="1" applyAlignment="1">
      <alignment horizontal="left" vertical="center" indent="2"/>
    </xf>
    <xf numFmtId="0" fontId="17" fillId="5" borderId="2" xfId="5" applyFont="1" applyFill="1" applyBorder="1" applyAlignment="1">
      <alignment horizontal="left" vertical="center" indent="1"/>
    </xf>
    <xf numFmtId="166" fontId="18" fillId="5" borderId="2" xfId="1" applyNumberFormat="1" applyFont="1" applyFill="1" applyBorder="1" applyAlignment="1">
      <alignment vertical="center"/>
    </xf>
    <xf numFmtId="0" fontId="18" fillId="2" borderId="0" xfId="5" applyFont="1" applyFill="1" applyAlignment="1">
      <alignment horizontal="left" vertical="center" indent="2"/>
    </xf>
    <xf numFmtId="166" fontId="18" fillId="2" borderId="0" xfId="1" applyNumberFormat="1" applyFont="1" applyFill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6" fontId="18" fillId="2" borderId="7" xfId="1" applyNumberFormat="1" applyFont="1" applyFill="1" applyBorder="1" applyAlignment="1">
      <alignment vertical="center"/>
    </xf>
    <xf numFmtId="165" fontId="18" fillId="5" borderId="2" xfId="1" applyNumberFormat="1" applyFont="1" applyFill="1" applyBorder="1" applyAlignment="1">
      <alignment vertical="center"/>
    </xf>
    <xf numFmtId="165" fontId="18" fillId="2" borderId="0" xfId="1" applyNumberFormat="1" applyFont="1" applyFill="1" applyAlignment="1">
      <alignment vertical="center"/>
    </xf>
    <xf numFmtId="165" fontId="18" fillId="2" borderId="0" xfId="1" applyNumberFormat="1" applyFont="1" applyFill="1" applyBorder="1" applyAlignment="1">
      <alignment vertical="center"/>
    </xf>
    <xf numFmtId="165" fontId="18" fillId="2" borderId="7" xfId="1" applyNumberFormat="1" applyFont="1" applyFill="1" applyBorder="1" applyAlignment="1">
      <alignment vertical="center"/>
    </xf>
    <xf numFmtId="169" fontId="18" fillId="5" borderId="2" xfId="1" applyNumberFormat="1" applyFont="1" applyFill="1" applyBorder="1" applyAlignment="1">
      <alignment vertical="center"/>
    </xf>
    <xf numFmtId="169" fontId="18" fillId="2" borderId="0" xfId="1" applyNumberFormat="1" applyFont="1" applyFill="1" applyAlignment="1">
      <alignment vertical="center"/>
    </xf>
    <xf numFmtId="169" fontId="18" fillId="2" borderId="0" xfId="1" applyNumberFormat="1" applyFont="1" applyFill="1" applyBorder="1" applyAlignment="1">
      <alignment vertical="center"/>
    </xf>
    <xf numFmtId="0" fontId="19" fillId="2" borderId="7" xfId="5" applyFont="1" applyFill="1" applyBorder="1" applyAlignment="1">
      <alignment horizontal="left" vertical="center" indent="2"/>
    </xf>
    <xf numFmtId="169" fontId="19" fillId="2" borderId="7" xfId="1" applyNumberFormat="1" applyFont="1" applyFill="1" applyBorder="1" applyAlignment="1">
      <alignment vertical="center"/>
    </xf>
    <xf numFmtId="0" fontId="19" fillId="2" borderId="6" xfId="5" applyFont="1" applyFill="1" applyBorder="1" applyAlignment="1">
      <alignment horizontal="left" vertical="center" indent="2"/>
    </xf>
    <xf numFmtId="166" fontId="19" fillId="2" borderId="6" xfId="1" applyNumberFormat="1" applyFont="1" applyFill="1" applyBorder="1" applyAlignment="1">
      <alignment vertical="center"/>
    </xf>
    <xf numFmtId="166" fontId="19" fillId="2" borderId="1" xfId="1" applyNumberFormat="1" applyFont="1" applyFill="1" applyBorder="1" applyAlignment="1">
      <alignment vertical="center"/>
    </xf>
    <xf numFmtId="166" fontId="18" fillId="2" borderId="6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5" fontId="18" fillId="2" borderId="1" xfId="1" applyNumberFormat="1" applyFont="1" applyFill="1" applyBorder="1" applyAlignment="1">
      <alignment vertical="center"/>
    </xf>
    <xf numFmtId="169" fontId="19" fillId="2" borderId="6" xfId="1" applyNumberFormat="1" applyFont="1" applyFill="1" applyBorder="1" applyAlignment="1">
      <alignment vertical="center"/>
    </xf>
    <xf numFmtId="169" fontId="19" fillId="2" borderId="1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5" fontId="19" fillId="2" borderId="6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 shrinkToFit="1"/>
    </xf>
    <xf numFmtId="166" fontId="18" fillId="5" borderId="2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Alignment="1">
      <alignment vertical="center" shrinkToFit="1"/>
    </xf>
    <xf numFmtId="166" fontId="18" fillId="2" borderId="7" xfId="1" applyNumberFormat="1" applyFont="1" applyFill="1" applyBorder="1" applyAlignment="1">
      <alignment vertical="center" shrinkToFit="1"/>
    </xf>
    <xf numFmtId="166" fontId="19" fillId="2" borderId="6" xfId="1" applyNumberFormat="1" applyFont="1" applyFill="1" applyBorder="1" applyAlignment="1">
      <alignment vertical="center" shrinkToFit="1"/>
    </xf>
    <xf numFmtId="166" fontId="19" fillId="2" borderId="1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5" fontId="23" fillId="6" borderId="2" xfId="1" applyNumberFormat="1" applyFont="1" applyFill="1" applyBorder="1" applyAlignment="1">
      <alignment vertical="center" shrinkToFit="1"/>
    </xf>
    <xf numFmtId="165" fontId="18" fillId="5" borderId="2" xfId="1" applyNumberFormat="1" applyFont="1" applyFill="1" applyBorder="1" applyAlignment="1">
      <alignment vertical="center" shrinkToFit="1"/>
    </xf>
    <xf numFmtId="165" fontId="18" fillId="2" borderId="0" xfId="1" applyNumberFormat="1" applyFont="1" applyFill="1" applyAlignment="1">
      <alignment vertical="center" shrinkToFit="1"/>
    </xf>
    <xf numFmtId="165" fontId="18" fillId="2" borderId="0" xfId="1" applyNumberFormat="1" applyFont="1" applyFill="1" applyBorder="1" applyAlignment="1">
      <alignment vertical="center" shrinkToFit="1"/>
    </xf>
    <xf numFmtId="165" fontId="18" fillId="2" borderId="7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5" fontId="18" fillId="2" borderId="1" xfId="1" applyNumberFormat="1" applyFont="1" applyFill="1" applyBorder="1" applyAlignment="1">
      <alignment vertical="center" shrinkToFit="1"/>
    </xf>
    <xf numFmtId="169" fontId="23" fillId="6" borderId="2" xfId="1" applyNumberFormat="1" applyFont="1" applyFill="1" applyBorder="1" applyAlignment="1">
      <alignment vertical="center" shrinkToFit="1"/>
    </xf>
    <xf numFmtId="169" fontId="18" fillId="5" borderId="2" xfId="1" applyNumberFormat="1" applyFont="1" applyFill="1" applyBorder="1" applyAlignment="1">
      <alignment vertical="center" shrinkToFit="1"/>
    </xf>
    <xf numFmtId="169" fontId="18" fillId="2" borderId="0" xfId="1" applyNumberFormat="1" applyFont="1" applyFill="1" applyAlignment="1">
      <alignment vertical="center" shrinkToFit="1"/>
    </xf>
    <xf numFmtId="169" fontId="18" fillId="2" borderId="0" xfId="1" applyNumberFormat="1" applyFont="1" applyFill="1" applyBorder="1" applyAlignment="1">
      <alignment vertical="center" shrinkToFit="1"/>
    </xf>
    <xf numFmtId="169" fontId="19" fillId="2" borderId="7" xfId="1" applyNumberFormat="1" applyFont="1" applyFill="1" applyBorder="1" applyAlignment="1">
      <alignment vertical="center" shrinkToFit="1"/>
    </xf>
    <xf numFmtId="169" fontId="19" fillId="2" borderId="6" xfId="1" applyNumberFormat="1" applyFont="1" applyFill="1" applyBorder="1" applyAlignment="1">
      <alignment vertical="center" shrinkToFit="1"/>
    </xf>
    <xf numFmtId="169" fontId="19" fillId="2" borderId="1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5" fontId="19" fillId="2" borderId="6" xfId="1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166" fontId="18" fillId="2" borderId="0" xfId="5" applyNumberFormat="1" applyFont="1" applyFill="1" applyAlignment="1">
      <alignment vertical="center"/>
    </xf>
    <xf numFmtId="169" fontId="18" fillId="2" borderId="0" xfId="5" applyNumberFormat="1" applyFont="1" applyFill="1" applyAlignment="1">
      <alignment vertical="center"/>
    </xf>
    <xf numFmtId="173" fontId="18" fillId="2" borderId="0" xfId="5" applyNumberFormat="1" applyFont="1" applyFill="1" applyAlignment="1">
      <alignment vertical="center"/>
    </xf>
    <xf numFmtId="172" fontId="17" fillId="6" borderId="2" xfId="5" applyNumberFormat="1" applyFont="1" applyFill="1" applyBorder="1" applyAlignment="1">
      <alignment vertical="center"/>
    </xf>
    <xf numFmtId="172" fontId="18" fillId="2" borderId="0" xfId="5" applyNumberFormat="1" applyFont="1" applyFill="1" applyAlignment="1">
      <alignment vertical="center"/>
    </xf>
    <xf numFmtId="172" fontId="18" fillId="2" borderId="1" xfId="5" applyNumberFormat="1" applyFont="1" applyFill="1" applyBorder="1" applyAlignment="1">
      <alignment vertical="center"/>
    </xf>
    <xf numFmtId="165" fontId="17" fillId="6" borderId="2" xfId="2" applyNumberFormat="1" applyFont="1" applyFill="1" applyBorder="1" applyAlignment="1">
      <alignment vertical="center"/>
    </xf>
    <xf numFmtId="165" fontId="18" fillId="2" borderId="0" xfId="5" applyNumberFormat="1" applyFont="1" applyFill="1" applyAlignment="1">
      <alignment vertical="center"/>
    </xf>
    <xf numFmtId="166" fontId="17" fillId="6" borderId="2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Alignment="1">
      <alignment vertical="center" shrinkToFit="1"/>
    </xf>
    <xf numFmtId="169" fontId="18" fillId="2" borderId="0" xfId="5" applyNumberFormat="1" applyFont="1" applyFill="1" applyAlignment="1">
      <alignment vertical="center" shrinkToFit="1"/>
    </xf>
    <xf numFmtId="173" fontId="18" fillId="2" borderId="0" xfId="5" applyNumberFormat="1" applyFont="1" applyFill="1" applyAlignment="1">
      <alignment vertical="center" shrinkToFit="1"/>
    </xf>
    <xf numFmtId="172" fontId="17" fillId="6" borderId="2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Alignment="1">
      <alignment vertical="center" shrinkToFit="1"/>
    </xf>
    <xf numFmtId="172" fontId="18" fillId="2" borderId="1" xfId="5" applyNumberFormat="1" applyFont="1" applyFill="1" applyBorder="1" applyAlignment="1">
      <alignment vertical="center" shrinkToFit="1"/>
    </xf>
    <xf numFmtId="165" fontId="17" fillId="6" borderId="2" xfId="2" applyNumberFormat="1" applyFont="1" applyFill="1" applyBorder="1" applyAlignment="1">
      <alignment vertical="center" shrinkToFit="1"/>
    </xf>
    <xf numFmtId="165" fontId="18" fillId="2" borderId="0" xfId="5" applyNumberFormat="1" applyFont="1" applyFill="1" applyAlignment="1">
      <alignment vertical="center" shrinkToFit="1"/>
    </xf>
    <xf numFmtId="0" fontId="24" fillId="2" borderId="2" xfId="5" applyFont="1" applyFill="1" applyBorder="1" applyAlignment="1">
      <alignment horizontal="left" vertical="center"/>
    </xf>
    <xf numFmtId="166" fontId="18" fillId="2" borderId="2" xfId="5" applyNumberFormat="1" applyFont="1" applyFill="1" applyBorder="1" applyAlignment="1">
      <alignment vertical="center"/>
    </xf>
    <xf numFmtId="0" fontId="24" fillId="2" borderId="5" xfId="5" applyFont="1" applyFill="1" applyBorder="1" applyAlignment="1">
      <alignment horizontal="left" vertical="center"/>
    </xf>
    <xf numFmtId="0" fontId="24" fillId="2" borderId="7" xfId="5" applyFont="1" applyFill="1" applyBorder="1" applyAlignment="1">
      <alignment horizontal="left" vertical="center"/>
    </xf>
    <xf numFmtId="165" fontId="18" fillId="2" borderId="7" xfId="5" applyNumberFormat="1" applyFont="1" applyFill="1" applyBorder="1" applyAlignment="1">
      <alignment vertical="center"/>
    </xf>
    <xf numFmtId="0" fontId="24" fillId="2" borderId="0" xfId="5" applyFont="1" applyFill="1" applyBorder="1" applyAlignment="1">
      <alignment horizontal="left" vertical="center"/>
    </xf>
    <xf numFmtId="0" fontId="24" fillId="2" borderId="1" xfId="5" applyFont="1" applyFill="1" applyBorder="1" applyAlignment="1">
      <alignment horizontal="left" vertical="center"/>
    </xf>
    <xf numFmtId="172" fontId="18" fillId="2" borderId="2" xfId="5" applyNumberFormat="1" applyFont="1" applyFill="1" applyBorder="1" applyAlignment="1">
      <alignment vertical="center"/>
    </xf>
    <xf numFmtId="166" fontId="18" fillId="2" borderId="2" xfId="5" applyNumberFormat="1" applyFont="1" applyFill="1" applyBorder="1" applyAlignment="1">
      <alignment vertical="center" shrinkToFit="1"/>
    </xf>
    <xf numFmtId="165" fontId="18" fillId="2" borderId="7" xfId="5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 shrinkToFit="1"/>
    </xf>
    <xf numFmtId="172" fontId="18" fillId="2" borderId="2" xfId="5" applyNumberFormat="1" applyFont="1" applyFill="1" applyBorder="1" applyAlignment="1">
      <alignment vertical="center" shrinkToFit="1"/>
    </xf>
    <xf numFmtId="172" fontId="11" fillId="2" borderId="0" xfId="5" applyNumberFormat="1" applyFont="1" applyFill="1" applyBorder="1" applyAlignment="1">
      <alignment vertical="center" shrinkToFit="1"/>
    </xf>
    <xf numFmtId="0" fontId="14" fillId="2" borderId="2" xfId="5" applyNumberFormat="1" applyFont="1" applyFill="1" applyBorder="1" applyAlignment="1">
      <alignment vertical="center" shrinkToFit="1"/>
    </xf>
    <xf numFmtId="0" fontId="14" fillId="2" borderId="5" xfId="5" applyNumberFormat="1" applyFont="1" applyFill="1" applyBorder="1" applyAlignment="1">
      <alignment vertical="center" shrinkToFit="1"/>
    </xf>
    <xf numFmtId="0" fontId="14" fillId="2" borderId="6" xfId="5" applyNumberFormat="1" applyFont="1" applyFill="1" applyBorder="1" applyAlignment="1">
      <alignment vertical="center" shrinkToFit="1"/>
    </xf>
    <xf numFmtId="0" fontId="14" fillId="2" borderId="3" xfId="5" applyNumberFormat="1" applyFont="1" applyFill="1" applyBorder="1" applyAlignment="1">
      <alignment vertical="center" shrinkToFit="1"/>
    </xf>
    <xf numFmtId="0" fontId="14" fillId="2" borderId="1" xfId="5" applyNumberFormat="1" applyFont="1" applyFill="1" applyBorder="1" applyAlignment="1">
      <alignment vertical="center" shrinkToFit="1"/>
    </xf>
    <xf numFmtId="175" fontId="11" fillId="2" borderId="0" xfId="5" applyNumberFormat="1" applyFont="1" applyFill="1" applyAlignment="1">
      <alignment vertical="center"/>
    </xf>
    <xf numFmtId="0" fontId="14" fillId="2" borderId="0" xfId="5" applyNumberFormat="1" applyFont="1" applyFill="1" applyBorder="1" applyAlignment="1">
      <alignment vertical="center" shrinkToFit="1"/>
    </xf>
    <xf numFmtId="174" fontId="18" fillId="2" borderId="1" xfId="5" applyNumberFormat="1" applyFont="1" applyFill="1" applyBorder="1" applyAlignment="1">
      <alignment vertical="center"/>
    </xf>
    <xf numFmtId="0" fontId="17" fillId="6" borderId="2" xfId="5" applyFont="1" applyFill="1" applyBorder="1" applyAlignment="1">
      <alignment horizontal="left" vertical="center"/>
    </xf>
    <xf numFmtId="166" fontId="18" fillId="6" borderId="2" xfId="5" applyNumberFormat="1" applyFont="1" applyFill="1" applyBorder="1" applyAlignment="1">
      <alignment vertical="center"/>
    </xf>
    <xf numFmtId="0" fontId="17" fillId="6" borderId="5" xfId="5" applyFont="1" applyFill="1" applyBorder="1" applyAlignment="1">
      <alignment horizontal="left" vertical="center"/>
    </xf>
    <xf numFmtId="166" fontId="18" fillId="6" borderId="5" xfId="5" applyNumberFormat="1" applyFont="1" applyFill="1" applyBorder="1" applyAlignment="1">
      <alignment vertical="center"/>
    </xf>
    <xf numFmtId="0" fontId="17" fillId="6" borderId="1" xfId="5" applyFont="1" applyFill="1" applyBorder="1" applyAlignment="1">
      <alignment horizontal="left" vertical="center"/>
    </xf>
    <xf numFmtId="166" fontId="18" fillId="6" borderId="1" xfId="5" applyNumberFormat="1" applyFont="1" applyFill="1" applyBorder="1" applyAlignment="1">
      <alignment vertical="center"/>
    </xf>
    <xf numFmtId="0" fontId="17" fillId="5" borderId="6" xfId="5" applyFont="1" applyFill="1" applyBorder="1" applyAlignment="1">
      <alignment horizontal="left" vertical="center" indent="1"/>
    </xf>
    <xf numFmtId="166" fontId="18" fillId="5" borderId="6" xfId="5" applyNumberFormat="1" applyFont="1" applyFill="1" applyBorder="1" applyAlignment="1">
      <alignment vertical="center"/>
    </xf>
    <xf numFmtId="0" fontId="17" fillId="5" borderId="3" xfId="5" applyFont="1" applyFill="1" applyBorder="1" applyAlignment="1">
      <alignment horizontal="left" vertical="center" indent="1"/>
    </xf>
    <xf numFmtId="166" fontId="18" fillId="5" borderId="3" xfId="5" applyNumberFormat="1" applyFont="1" applyFill="1" applyBorder="1" applyAlignment="1">
      <alignment vertical="center"/>
    </xf>
    <xf numFmtId="0" fontId="19" fillId="5" borderId="2" xfId="5" applyFont="1" applyFill="1" applyBorder="1" applyAlignment="1">
      <alignment horizontal="left" vertical="center" indent="1"/>
    </xf>
    <xf numFmtId="166" fontId="18" fillId="5" borderId="2" xfId="5" applyNumberFormat="1" applyFont="1" applyFill="1" applyBorder="1" applyAlignment="1">
      <alignment vertical="center"/>
    </xf>
    <xf numFmtId="3" fontId="18" fillId="6" borderId="2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/>
    </xf>
    <xf numFmtId="0" fontId="16" fillId="6" borderId="2" xfId="5" applyNumberFormat="1" applyFont="1" applyFill="1" applyBorder="1" applyAlignment="1">
      <alignment horizontal="left" vertical="center"/>
    </xf>
    <xf numFmtId="0" fontId="25" fillId="5" borderId="2" xfId="5" applyFont="1" applyFill="1" applyBorder="1" applyAlignment="1">
      <alignment horizontal="left" vertical="center" indent="1"/>
    </xf>
    <xf numFmtId="0" fontId="23" fillId="5" borderId="2" xfId="5" applyFont="1" applyFill="1" applyBorder="1" applyAlignment="1">
      <alignment horizontal="left" vertical="center" indent="1"/>
    </xf>
    <xf numFmtId="176" fontId="23" fillId="5" borderId="2" xfId="2" applyNumberFormat="1" applyFont="1" applyFill="1" applyBorder="1" applyAlignment="1">
      <alignment vertical="center"/>
    </xf>
    <xf numFmtId="174" fontId="23" fillId="5" borderId="2" xfId="2" applyNumberFormat="1" applyFont="1" applyFill="1" applyBorder="1" applyAlignment="1">
      <alignment vertical="center"/>
    </xf>
    <xf numFmtId="165" fontId="23" fillId="5" borderId="2" xfId="2" applyNumberFormat="1" applyFont="1" applyFill="1" applyBorder="1" applyAlignment="1">
      <alignment vertical="center"/>
    </xf>
    <xf numFmtId="0" fontId="27" fillId="2" borderId="5" xfId="5" applyFont="1" applyFill="1" applyBorder="1" applyAlignment="1">
      <alignment horizontal="left" vertical="center" indent="2"/>
    </xf>
    <xf numFmtId="166" fontId="27" fillId="2" borderId="5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2"/>
    </xf>
    <xf numFmtId="166" fontId="27" fillId="2" borderId="0" xfId="5" applyNumberFormat="1" applyFont="1" applyFill="1" applyBorder="1" applyAlignment="1">
      <alignment vertical="center"/>
    </xf>
    <xf numFmtId="0" fontId="27" fillId="2" borderId="3" xfId="5" applyFont="1" applyFill="1" applyBorder="1" applyAlignment="1">
      <alignment horizontal="left" vertical="center" indent="2"/>
    </xf>
    <xf numFmtId="166" fontId="27" fillId="2" borderId="3" xfId="5" applyNumberFormat="1" applyFont="1" applyFill="1" applyBorder="1" applyAlignment="1">
      <alignment vertical="center"/>
    </xf>
    <xf numFmtId="176" fontId="27" fillId="2" borderId="5" xfId="5" applyNumberFormat="1" applyFont="1" applyFill="1" applyBorder="1" applyAlignment="1">
      <alignment vertical="center"/>
    </xf>
    <xf numFmtId="176" fontId="27" fillId="2" borderId="0" xfId="5" applyNumberFormat="1" applyFont="1" applyFill="1" applyBorder="1" applyAlignment="1">
      <alignment vertical="center"/>
    </xf>
    <xf numFmtId="176" fontId="27" fillId="2" borderId="3" xfId="5" applyNumberFormat="1" applyFont="1" applyFill="1" applyBorder="1" applyAlignment="1">
      <alignment vertical="center"/>
    </xf>
    <xf numFmtId="174" fontId="27" fillId="2" borderId="5" xfId="5" applyNumberFormat="1" applyFont="1" applyFill="1" applyBorder="1" applyAlignment="1">
      <alignment vertical="center"/>
    </xf>
    <xf numFmtId="174" fontId="27" fillId="2" borderId="0" xfId="5" applyNumberFormat="1" applyFont="1" applyFill="1" applyBorder="1" applyAlignment="1">
      <alignment vertical="center"/>
    </xf>
    <xf numFmtId="174" fontId="27" fillId="2" borderId="3" xfId="5" applyNumberFormat="1" applyFont="1" applyFill="1" applyBorder="1" applyAlignment="1">
      <alignment vertical="center"/>
    </xf>
    <xf numFmtId="165" fontId="27" fillId="2" borderId="5" xfId="5" applyNumberFormat="1" applyFont="1" applyFill="1" applyBorder="1" applyAlignment="1">
      <alignment vertical="center"/>
    </xf>
    <xf numFmtId="165" fontId="27" fillId="2" borderId="0" xfId="5" applyNumberFormat="1" applyFont="1" applyFill="1" applyBorder="1" applyAlignment="1">
      <alignment vertical="center"/>
    </xf>
    <xf numFmtId="165" fontId="27" fillId="2" borderId="3" xfId="5" applyNumberFormat="1" applyFont="1" applyFill="1" applyBorder="1" applyAlignment="1">
      <alignment vertical="center"/>
    </xf>
    <xf numFmtId="0" fontId="28" fillId="2" borderId="0" xfId="5" applyFont="1" applyFill="1" applyBorder="1" applyAlignment="1">
      <alignment horizontal="left" vertical="center" indent="3"/>
    </xf>
    <xf numFmtId="166" fontId="28" fillId="2" borderId="0" xfId="5" applyNumberFormat="1" applyFont="1" applyFill="1" applyAlignment="1">
      <alignment vertical="center"/>
    </xf>
    <xf numFmtId="166" fontId="28" fillId="2" borderId="0" xfId="5" applyNumberFormat="1" applyFont="1" applyFill="1" applyBorder="1" applyAlignment="1">
      <alignment vertical="center"/>
    </xf>
    <xf numFmtId="0" fontId="26" fillId="2" borderId="8" xfId="5" applyFont="1" applyFill="1" applyBorder="1" applyAlignment="1">
      <alignment horizontal="left" vertical="center" indent="2"/>
    </xf>
    <xf numFmtId="166" fontId="26" fillId="2" borderId="8" xfId="5" applyNumberFormat="1" applyFont="1" applyFill="1" applyBorder="1" applyAlignment="1">
      <alignment vertical="center"/>
    </xf>
    <xf numFmtId="166" fontId="26" fillId="2" borderId="7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0" fontId="26" fillId="2" borderId="1" xfId="5" applyFont="1" applyFill="1" applyBorder="1" applyAlignment="1">
      <alignment horizontal="left" vertical="center" indent="2"/>
    </xf>
    <xf numFmtId="176" fontId="26" fillId="2" borderId="1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1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1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 shrinkToFit="1"/>
    </xf>
    <xf numFmtId="166" fontId="27" fillId="2" borderId="5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7" fillId="2" borderId="3" xfId="5" applyNumberFormat="1" applyFont="1" applyFill="1" applyBorder="1" applyAlignment="1">
      <alignment vertical="center" shrinkToFit="1"/>
    </xf>
    <xf numFmtId="166" fontId="28" fillId="2" borderId="0" xfId="5" applyNumberFormat="1" applyFont="1" applyFill="1" applyAlignment="1">
      <alignment vertical="center" shrinkToFit="1"/>
    </xf>
    <xf numFmtId="166" fontId="28" fillId="2" borderId="0" xfId="5" applyNumberFormat="1" applyFont="1" applyFill="1" applyBorder="1" applyAlignment="1">
      <alignment vertical="center" shrinkToFit="1"/>
    </xf>
    <xf numFmtId="166" fontId="26" fillId="2" borderId="8" xfId="5" applyNumberFormat="1" applyFont="1" applyFill="1" applyBorder="1" applyAlignment="1">
      <alignment vertical="center" shrinkToFit="1"/>
    </xf>
    <xf numFmtId="166" fontId="26" fillId="2" borderId="7" xfId="5" applyNumberFormat="1" applyFont="1" applyFill="1" applyBorder="1" applyAlignment="1">
      <alignment vertical="center" shrinkToFit="1"/>
    </xf>
    <xf numFmtId="176" fontId="23" fillId="5" borderId="2" xfId="2" applyNumberFormat="1" applyFont="1" applyFill="1" applyBorder="1" applyAlignment="1">
      <alignment vertical="center" shrinkToFit="1"/>
    </xf>
    <xf numFmtId="176" fontId="27" fillId="2" borderId="5" xfId="5" applyNumberFormat="1" applyFont="1" applyFill="1" applyBorder="1" applyAlignment="1">
      <alignment vertical="center" shrinkToFit="1"/>
    </xf>
    <xf numFmtId="176" fontId="27" fillId="2" borderId="0" xfId="5" applyNumberFormat="1" applyFont="1" applyFill="1" applyBorder="1" applyAlignment="1">
      <alignment vertical="center" shrinkToFit="1"/>
    </xf>
    <xf numFmtId="176" fontId="27" fillId="2" borderId="3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1" xfId="5" applyNumberFormat="1" applyFont="1" applyFill="1" applyBorder="1" applyAlignment="1">
      <alignment vertical="center" shrinkToFit="1"/>
    </xf>
    <xf numFmtId="174" fontId="23" fillId="5" borderId="2" xfId="2" applyNumberFormat="1" applyFont="1" applyFill="1" applyBorder="1" applyAlignment="1">
      <alignment vertical="center" shrinkToFit="1"/>
    </xf>
    <xf numFmtId="174" fontId="27" fillId="2" borderId="5" xfId="5" applyNumberFormat="1" applyFont="1" applyFill="1" applyBorder="1" applyAlignment="1">
      <alignment vertical="center" shrinkToFit="1"/>
    </xf>
    <xf numFmtId="174" fontId="27" fillId="2" borderId="0" xfId="5" applyNumberFormat="1" applyFont="1" applyFill="1" applyBorder="1" applyAlignment="1">
      <alignment vertical="center" shrinkToFit="1"/>
    </xf>
    <xf numFmtId="174" fontId="27" fillId="2" borderId="3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1" xfId="5" applyNumberFormat="1" applyFont="1" applyFill="1" applyBorder="1" applyAlignment="1">
      <alignment vertical="center" shrinkToFit="1"/>
    </xf>
    <xf numFmtId="165" fontId="23" fillId="5" borderId="2" xfId="2" applyNumberFormat="1" applyFont="1" applyFill="1" applyBorder="1" applyAlignment="1">
      <alignment vertical="center" shrinkToFit="1"/>
    </xf>
    <xf numFmtId="165" fontId="27" fillId="2" borderId="5" xfId="5" applyNumberFormat="1" applyFont="1" applyFill="1" applyBorder="1" applyAlignment="1">
      <alignment vertical="center" shrinkToFit="1"/>
    </xf>
    <xf numFmtId="165" fontId="27" fillId="2" borderId="0" xfId="5" applyNumberFormat="1" applyFont="1" applyFill="1" applyBorder="1" applyAlignment="1">
      <alignment vertical="center" shrinkToFit="1"/>
    </xf>
    <xf numFmtId="165" fontId="27" fillId="2" borderId="3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1" xfId="5" applyNumberFormat="1" applyFont="1" applyFill="1" applyBorder="1" applyAlignment="1">
      <alignment vertical="center" shrinkToFit="1"/>
    </xf>
    <xf numFmtId="0" fontId="29" fillId="2" borderId="0" xfId="0" applyFont="1" applyFill="1"/>
    <xf numFmtId="0" fontId="30" fillId="2" borderId="1" xfId="0" applyFont="1" applyFill="1" applyBorder="1"/>
    <xf numFmtId="0" fontId="24" fillId="2" borderId="0" xfId="0" applyFont="1" applyFill="1"/>
    <xf numFmtId="0" fontId="31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3" fillId="2" borderId="0" xfId="6" applyFont="1" applyFill="1"/>
    <xf numFmtId="0" fontId="18" fillId="2" borderId="0" xfId="6" applyFont="1" applyFill="1" applyAlignment="1">
      <alignment vertical="center"/>
    </xf>
    <xf numFmtId="0" fontId="18" fillId="2" borderId="0" xfId="6" applyFont="1" applyFill="1" applyAlignment="1">
      <alignment horizontal="center" vertical="center"/>
    </xf>
    <xf numFmtId="0" fontId="34" fillId="2" borderId="2" xfId="6" applyFont="1" applyFill="1" applyBorder="1" applyAlignment="1">
      <alignment vertical="center"/>
    </xf>
    <xf numFmtId="0" fontId="35" fillId="2" borderId="2" xfId="6" applyFont="1" applyFill="1" applyBorder="1" applyAlignment="1">
      <alignment vertical="center"/>
    </xf>
    <xf numFmtId="0" fontId="36" fillId="2" borderId="0" xfId="6" applyFont="1" applyFill="1" applyAlignment="1">
      <alignment vertical="center"/>
    </xf>
    <xf numFmtId="0" fontId="35" fillId="2" borderId="0" xfId="6" applyFont="1" applyFill="1" applyAlignment="1">
      <alignment vertical="center"/>
    </xf>
    <xf numFmtId="0" fontId="16" fillId="2" borderId="0" xfId="6" applyFont="1" applyFill="1" applyAlignment="1">
      <alignment vertical="center"/>
    </xf>
    <xf numFmtId="0" fontId="20" fillId="2" borderId="0" xfId="6" applyFont="1" applyFill="1" applyAlignment="1">
      <alignment vertical="center"/>
    </xf>
    <xf numFmtId="0" fontId="39" fillId="2" borderId="0" xfId="9" applyFont="1" applyFill="1" applyAlignment="1">
      <alignment vertical="center"/>
    </xf>
    <xf numFmtId="0" fontId="40" fillId="2" borderId="0" xfId="3" applyFont="1" applyFill="1" applyAlignment="1">
      <alignment horizontal="left" vertical="center" indent="1"/>
    </xf>
    <xf numFmtId="0" fontId="37" fillId="2" borderId="0" xfId="6" applyFont="1" applyFill="1" applyAlignment="1">
      <alignment horizontal="left" vertical="center"/>
    </xf>
    <xf numFmtId="177" fontId="38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00"/>
    <col min="5" max="21" width="9.7109375" style="300" customWidth="1"/>
    <col min="22" max="22" width="9.7109375" style="301" customWidth="1"/>
    <col min="23" max="23" width="107.42578125" style="300" customWidth="1"/>
    <col min="24" max="24" width="44.7109375" style="300" customWidth="1"/>
    <col min="25" max="26" width="9.7109375" style="300" customWidth="1"/>
    <col min="27" max="16384" width="9.140625" style="300"/>
  </cols>
  <sheetData>
    <row r="2" spans="1:23" ht="21" x14ac:dyDescent="0.35">
      <c r="A2" s="299"/>
    </row>
    <row r="6" spans="1:23" ht="31.5" x14ac:dyDescent="0.25">
      <c r="A6" s="302"/>
      <c r="B6" s="303" t="s">
        <v>159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303"/>
      <c r="V6" s="300"/>
    </row>
    <row r="7" spans="1:23" ht="15" customHeight="1" x14ac:dyDescent="0.25">
      <c r="V7" s="300"/>
    </row>
    <row r="8" spans="1:23" ht="15" customHeight="1" x14ac:dyDescent="0.25">
      <c r="V8" s="300"/>
    </row>
    <row r="9" spans="1:23" ht="15" customHeight="1" x14ac:dyDescent="0.25">
      <c r="V9" s="300"/>
    </row>
    <row r="10" spans="1:23" ht="28.5" x14ac:dyDescent="0.25">
      <c r="C10" s="304" t="s">
        <v>185</v>
      </c>
      <c r="V10" s="300"/>
    </row>
    <row r="11" spans="1:23" ht="15" customHeight="1" x14ac:dyDescent="0.25">
      <c r="V11" s="300"/>
    </row>
    <row r="15" spans="1:23" ht="30" customHeight="1" x14ac:dyDescent="0.25">
      <c r="C15" s="304" t="s">
        <v>137</v>
      </c>
    </row>
    <row r="16" spans="1:23" ht="15" customHeight="1" x14ac:dyDescent="0.25">
      <c r="W16" s="305"/>
    </row>
    <row r="17" spans="12:32" ht="15" customHeight="1" x14ac:dyDescent="0.25">
      <c r="W17" s="305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300"/>
    </row>
    <row r="30" spans="12:32" ht="18.75" x14ac:dyDescent="0.25">
      <c r="L30" s="311">
        <v>45432.783645833333</v>
      </c>
      <c r="M30" s="311"/>
      <c r="N30" s="311"/>
      <c r="O30" s="311"/>
      <c r="V30" s="300"/>
    </row>
    <row r="31" spans="12:32" ht="15" customHeight="1" x14ac:dyDescent="0.25">
      <c r="L31" s="306" t="s">
        <v>155</v>
      </c>
      <c r="V31" s="300"/>
      <c r="AA31" s="307"/>
      <c r="AB31" s="307"/>
      <c r="AC31" s="307"/>
      <c r="AD31" s="307"/>
      <c r="AE31" s="307"/>
      <c r="AF31" s="307"/>
    </row>
    <row r="32" spans="12:32" ht="15" customHeight="1" x14ac:dyDescent="0.25">
      <c r="V32" s="300"/>
    </row>
    <row r="33" spans="2:32" ht="15" customHeight="1" x14ac:dyDescent="0.25">
      <c r="B33" s="308" t="s">
        <v>138</v>
      </c>
      <c r="V33" s="300"/>
    </row>
    <row r="34" spans="2:32" ht="15" customHeight="1" x14ac:dyDescent="0.25">
      <c r="B34" s="308"/>
      <c r="V34" s="308"/>
    </row>
    <row r="35" spans="2:32" ht="15" customHeight="1" x14ac:dyDescent="0.25">
      <c r="B35" s="308" t="s">
        <v>143</v>
      </c>
      <c r="V35" s="308"/>
    </row>
    <row r="36" spans="2:32" ht="15" customHeight="1" x14ac:dyDescent="0.25">
      <c r="B36" s="308" t="s">
        <v>139</v>
      </c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W36" s="307"/>
      <c r="X36" s="307"/>
      <c r="Y36" s="307"/>
      <c r="Z36" s="307"/>
    </row>
    <row r="38" spans="2:32" ht="15" customHeight="1" x14ac:dyDescent="0.25">
      <c r="B38" s="308" t="s">
        <v>144</v>
      </c>
    </row>
    <row r="39" spans="2:32" ht="15" customHeight="1" x14ac:dyDescent="0.25">
      <c r="B39" s="308" t="s">
        <v>145</v>
      </c>
    </row>
    <row r="40" spans="2:32" ht="15" customHeight="1" x14ac:dyDescent="0.25">
      <c r="B40" s="309" t="s">
        <v>146</v>
      </c>
      <c r="AA40" s="307"/>
      <c r="AB40" s="307"/>
      <c r="AC40" s="307"/>
      <c r="AD40" s="307"/>
      <c r="AE40" s="307"/>
      <c r="AF40" s="30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3" t="s">
        <v>184</v>
      </c>
      <c r="B1" s="293" t="s">
        <v>185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4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5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6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7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7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7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7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7" t="s">
        <v>160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7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7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7" t="s">
        <v>161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7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7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7" t="s">
        <v>162</v>
      </c>
    </row>
    <row r="18" spans="1:4" x14ac:dyDescent="0.25">
      <c r="B18" s="21"/>
      <c r="C18" s="21"/>
      <c r="D18" s="23"/>
    </row>
    <row r="19" spans="1:4" x14ac:dyDescent="0.25">
      <c r="A19" s="19"/>
      <c r="B19" s="296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7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7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7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7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7" t="s">
        <v>160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7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7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7" t="s">
        <v>161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7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7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7" t="s">
        <v>162</v>
      </c>
    </row>
    <row r="31" spans="1:4" x14ac:dyDescent="0.25">
      <c r="B31" s="21"/>
      <c r="C31" s="21"/>
      <c r="D31" s="23"/>
    </row>
    <row r="32" spans="1:4" x14ac:dyDescent="0.25">
      <c r="B32" s="296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7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7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7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7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7" t="s">
        <v>179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7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7" t="s">
        <v>3</v>
      </c>
    </row>
    <row r="41" spans="2:4" x14ac:dyDescent="0.25">
      <c r="B41" s="296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5" t="s">
        <v>183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8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8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8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5330020</v>
      </c>
      <c r="C3" s="34">
        <v>5349212</v>
      </c>
      <c r="D3" s="34">
        <v>5368354</v>
      </c>
      <c r="E3" s="34">
        <v>5383507</v>
      </c>
      <c r="F3" s="34">
        <v>5397640</v>
      </c>
      <c r="G3" s="34">
        <v>5411405</v>
      </c>
      <c r="H3" s="34">
        <v>5427459</v>
      </c>
      <c r="I3" s="34">
        <v>5447084</v>
      </c>
      <c r="J3" s="34">
        <v>5475791</v>
      </c>
      <c r="K3" s="34">
        <v>5511451</v>
      </c>
      <c r="L3" s="34">
        <v>5534738</v>
      </c>
      <c r="M3" s="34">
        <v>5560628</v>
      </c>
      <c r="N3" s="34">
        <v>5580516</v>
      </c>
      <c r="O3" s="34">
        <v>5602628</v>
      </c>
      <c r="P3" s="34">
        <v>5627235</v>
      </c>
      <c r="Q3" s="34">
        <v>5659715</v>
      </c>
      <c r="R3" s="34">
        <v>5707251</v>
      </c>
      <c r="S3" s="34">
        <v>5748769</v>
      </c>
      <c r="T3" s="34">
        <v>5781190</v>
      </c>
      <c r="U3" s="34">
        <v>5806081</v>
      </c>
      <c r="V3" s="34">
        <v>5822763</v>
      </c>
      <c r="W3" s="34">
        <v>5840045</v>
      </c>
      <c r="DA3" s="88" t="s">
        <v>187</v>
      </c>
    </row>
    <row r="4" spans="1:105" ht="12" customHeight="1" x14ac:dyDescent="0.25">
      <c r="A4" s="35" t="s">
        <v>178</v>
      </c>
      <c r="B4" s="36">
        <v>237170.8922314446</v>
      </c>
      <c r="C4" s="36">
        <v>239122.74091493757</v>
      </c>
      <c r="D4" s="36">
        <v>240237.58591445893</v>
      </c>
      <c r="E4" s="36">
        <v>241176.23579598605</v>
      </c>
      <c r="F4" s="36">
        <v>247611.25382262998</v>
      </c>
      <c r="G4" s="36">
        <v>253396.03771787789</v>
      </c>
      <c r="H4" s="36">
        <v>263311.18946434406</v>
      </c>
      <c r="I4" s="36">
        <v>265706.49513291969</v>
      </c>
      <c r="J4" s="36">
        <v>264344.48200785549</v>
      </c>
      <c r="K4" s="36">
        <v>251375.46872452585</v>
      </c>
      <c r="L4" s="36">
        <v>256079.48861063432</v>
      </c>
      <c r="M4" s="36">
        <v>259503.04121606768</v>
      </c>
      <c r="N4" s="36">
        <v>260089.29209959033</v>
      </c>
      <c r="O4" s="36">
        <v>262517.70459203346</v>
      </c>
      <c r="P4" s="36">
        <v>266768.05091296014</v>
      </c>
      <c r="Q4" s="36">
        <v>273017.59999999998</v>
      </c>
      <c r="R4" s="36">
        <v>281880.70014735748</v>
      </c>
      <c r="S4" s="36">
        <v>289834.6376184671</v>
      </c>
      <c r="T4" s="36">
        <v>295600.82521803747</v>
      </c>
      <c r="U4" s="36">
        <v>300015.89609382575</v>
      </c>
      <c r="V4" s="36">
        <v>292740.90580016735</v>
      </c>
      <c r="W4" s="36">
        <v>312778.56817145459</v>
      </c>
      <c r="DA4" s="89" t="s">
        <v>188</v>
      </c>
    </row>
    <row r="5" spans="1:105" ht="12" customHeight="1" x14ac:dyDescent="0.25">
      <c r="A5" s="35" t="s">
        <v>147</v>
      </c>
      <c r="B5" s="36">
        <v>145667.96843218614</v>
      </c>
      <c r="C5" s="36">
        <v>148268.16972968687</v>
      </c>
      <c r="D5" s="36">
        <v>150527.64661867535</v>
      </c>
      <c r="E5" s="36">
        <v>152800.78720162515</v>
      </c>
      <c r="F5" s="36">
        <v>155689.50757434769</v>
      </c>
      <c r="G5" s="36">
        <v>158603.30328513525</v>
      </c>
      <c r="H5" s="36">
        <v>163050.46742276847</v>
      </c>
      <c r="I5" s="36">
        <v>165525.0135535741</v>
      </c>
      <c r="J5" s="36">
        <v>166024.16279018496</v>
      </c>
      <c r="K5" s="36">
        <v>165698.84939185268</v>
      </c>
      <c r="L5" s="36">
        <v>168471.79987073396</v>
      </c>
      <c r="M5" s="36">
        <v>169350.66442903437</v>
      </c>
      <c r="N5" s="36">
        <v>168475.4678910416</v>
      </c>
      <c r="O5" s="36">
        <v>171960.72630827298</v>
      </c>
      <c r="P5" s="36">
        <v>175311.03557852819</v>
      </c>
      <c r="Q5" s="36">
        <v>179737.9</v>
      </c>
      <c r="R5" s="36">
        <v>183517.43694343566</v>
      </c>
      <c r="S5" s="36">
        <v>187884.6078315856</v>
      </c>
      <c r="T5" s="36">
        <v>191606.65820560383</v>
      </c>
      <c r="U5" s="36">
        <v>194277.18455498645</v>
      </c>
      <c r="V5" s="36">
        <v>191162.71252906081</v>
      </c>
      <c r="W5" s="36">
        <v>205863.51843649152</v>
      </c>
      <c r="DA5" s="89" t="s">
        <v>189</v>
      </c>
    </row>
    <row r="6" spans="1:105" ht="12" customHeight="1" x14ac:dyDescent="0.25">
      <c r="A6" s="37" t="s">
        <v>70</v>
      </c>
      <c r="B6" s="38">
        <v>2080000</v>
      </c>
      <c r="C6" s="38">
        <v>2108000</v>
      </c>
      <c r="D6" s="38">
        <v>2123000</v>
      </c>
      <c r="E6" s="38">
        <v>2122000</v>
      </c>
      <c r="F6" s="38">
        <v>2126000</v>
      </c>
      <c r="G6" s="38">
        <v>2163000</v>
      </c>
      <c r="H6" s="38">
        <v>2218000</v>
      </c>
      <c r="I6" s="38">
        <v>2268000</v>
      </c>
      <c r="J6" s="38">
        <v>2298000</v>
      </c>
      <c r="K6" s="38">
        <v>2273000</v>
      </c>
      <c r="L6" s="38">
        <v>2253000</v>
      </c>
      <c r="M6" s="38">
        <v>2256000</v>
      </c>
      <c r="N6" s="38">
        <v>2245000</v>
      </c>
      <c r="O6" s="38">
        <v>2255000</v>
      </c>
      <c r="P6" s="38">
        <v>2270000</v>
      </c>
      <c r="Q6" s="38">
        <v>2302000</v>
      </c>
      <c r="R6" s="38">
        <v>2341000</v>
      </c>
      <c r="S6" s="38">
        <v>2374000</v>
      </c>
      <c r="T6" s="38">
        <v>2409000</v>
      </c>
      <c r="U6" s="38">
        <v>2441000</v>
      </c>
      <c r="V6" s="38">
        <v>2425000</v>
      </c>
      <c r="W6" s="38">
        <v>2479000</v>
      </c>
      <c r="DA6" s="90" t="s">
        <v>190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119477.70052822621</v>
      </c>
      <c r="C8" s="34">
        <v>122165.37917569031</v>
      </c>
      <c r="D8" s="34">
        <v>125306.95082177984</v>
      </c>
      <c r="E8" s="34">
        <v>128186.35788324017</v>
      </c>
      <c r="F8" s="34">
        <v>130895.08598977952</v>
      </c>
      <c r="G8" s="34">
        <v>133607.15082681717</v>
      </c>
      <c r="H8" s="34">
        <v>136388.83603675748</v>
      </c>
      <c r="I8" s="34">
        <v>140487.92674731012</v>
      </c>
      <c r="J8" s="34">
        <v>142416.49997481008</v>
      </c>
      <c r="K8" s="34">
        <v>145396.81705721348</v>
      </c>
      <c r="L8" s="34">
        <v>148509.16636174527</v>
      </c>
      <c r="M8" s="34">
        <v>149546.6504156256</v>
      </c>
      <c r="N8" s="34">
        <v>150060.89195188886</v>
      </c>
      <c r="O8" s="34">
        <v>150763.81319661444</v>
      </c>
      <c r="P8" s="34">
        <v>151808.81898215198</v>
      </c>
      <c r="Q8" s="34">
        <v>152896.62034606264</v>
      </c>
      <c r="R8" s="34">
        <v>154235.5308712952</v>
      </c>
      <c r="S8" s="34">
        <v>155717.70368522327</v>
      </c>
      <c r="T8" s="34">
        <v>157038.30729118455</v>
      </c>
      <c r="U8" s="34">
        <v>158393.01542561734</v>
      </c>
      <c r="V8" s="34">
        <v>159721.10444444444</v>
      </c>
      <c r="W8" s="34">
        <v>161040.51769853642</v>
      </c>
      <c r="DA8" s="88" t="s">
        <v>191</v>
      </c>
    </row>
    <row r="9" spans="1:105" ht="12" customHeight="1" x14ac:dyDescent="0.25">
      <c r="A9" s="39" t="s">
        <v>68</v>
      </c>
      <c r="B9" s="40">
        <v>107529.93047540358</v>
      </c>
      <c r="C9" s="40">
        <v>109948.84125812128</v>
      </c>
      <c r="D9" s="40">
        <v>112776.25573960187</v>
      </c>
      <c r="E9" s="40">
        <v>115367.72209491614</v>
      </c>
      <c r="F9" s="40">
        <v>117805.57739080157</v>
      </c>
      <c r="G9" s="40">
        <v>120246.43574413545</v>
      </c>
      <c r="H9" s="40">
        <v>122749.95243308172</v>
      </c>
      <c r="I9" s="40">
        <v>126439.13407257911</v>
      </c>
      <c r="J9" s="40">
        <v>128174.84997732908</v>
      </c>
      <c r="K9" s="40">
        <v>130857.13535149215</v>
      </c>
      <c r="L9" s="40">
        <v>133658.24972557076</v>
      </c>
      <c r="M9" s="40">
        <v>134591.98537406305</v>
      </c>
      <c r="N9" s="40">
        <v>135054.80275669997</v>
      </c>
      <c r="O9" s="40">
        <v>135687.43187695299</v>
      </c>
      <c r="P9" s="40">
        <v>136627.93708393679</v>
      </c>
      <c r="Q9" s="40">
        <v>137606.95831145637</v>
      </c>
      <c r="R9" s="40">
        <v>138811.97778416568</v>
      </c>
      <c r="S9" s="40">
        <v>140145.93331670095</v>
      </c>
      <c r="T9" s="40">
        <v>141334.47656206612</v>
      </c>
      <c r="U9" s="40">
        <v>142553.71388305561</v>
      </c>
      <c r="V9" s="40">
        <v>143748.99400000001</v>
      </c>
      <c r="W9" s="40">
        <v>144936.4659286828</v>
      </c>
      <c r="DA9" s="91" t="s">
        <v>192</v>
      </c>
    </row>
    <row r="10" spans="1:105" ht="12" customHeight="1" x14ac:dyDescent="0.25">
      <c r="A10" s="35" t="s">
        <v>17</v>
      </c>
      <c r="B10" s="41"/>
      <c r="C10" s="41">
        <v>3165.5337283212557</v>
      </c>
      <c r="D10" s="41">
        <v>3630.0908679647828</v>
      </c>
      <c r="E10" s="41">
        <v>3380.6216893093756</v>
      </c>
      <c r="F10" s="41">
        <v>3221.6225078844609</v>
      </c>
      <c r="G10" s="41">
        <v>3235.6233794007831</v>
      </c>
      <c r="H10" s="41">
        <v>3315.9078933214928</v>
      </c>
      <c r="I10" s="41">
        <v>4644.4853511909032</v>
      </c>
      <c r="J10" s="41">
        <v>2490.7258040237402</v>
      </c>
      <c r="K10" s="41">
        <v>3550.086902511483</v>
      </c>
      <c r="L10" s="41">
        <v>3693.7988981358958</v>
      </c>
      <c r="M10" s="41">
        <v>1631.629053458259</v>
      </c>
      <c r="N10" s="41">
        <v>1112.4490657528083</v>
      </c>
      <c r="O10" s="41">
        <v>1303.1600391710438</v>
      </c>
      <c r="P10" s="41">
        <v>1648.2914774166989</v>
      </c>
      <c r="Q10" s="41">
        <v>1695.1495857014372</v>
      </c>
      <c r="R10" s="41">
        <v>2131.120993346839</v>
      </c>
      <c r="S10" s="41">
        <v>2281.3206422767958</v>
      </c>
      <c r="T10" s="41">
        <v>2127.4310861956073</v>
      </c>
      <c r="U10" s="41">
        <v>2168.3781203974754</v>
      </c>
      <c r="V10" s="41">
        <v>2148.7782179235614</v>
      </c>
      <c r="W10" s="41">
        <v>2146.9837434414035</v>
      </c>
      <c r="DA10" s="92" t="s">
        <v>193</v>
      </c>
    </row>
    <row r="11" spans="1:105" ht="12" customHeight="1" x14ac:dyDescent="0.25">
      <c r="A11" s="37" t="s">
        <v>67</v>
      </c>
      <c r="B11" s="42"/>
      <c r="C11" s="42">
        <v>2848.98035548913</v>
      </c>
      <c r="D11" s="42">
        <v>3267.0817811683046</v>
      </c>
      <c r="E11" s="42">
        <v>3042.5595203784378</v>
      </c>
      <c r="F11" s="42">
        <v>2899.4602570960146</v>
      </c>
      <c r="G11" s="42">
        <v>2912.0610414607049</v>
      </c>
      <c r="H11" s="42">
        <v>2984.3171039893432</v>
      </c>
      <c r="I11" s="42">
        <v>4180.0368160718135</v>
      </c>
      <c r="J11" s="42">
        <v>2241.6532236213666</v>
      </c>
      <c r="K11" s="42">
        <v>3195.078212260335</v>
      </c>
      <c r="L11" s="42">
        <v>3324.4190083223066</v>
      </c>
      <c r="M11" s="42">
        <v>1468.4661481124331</v>
      </c>
      <c r="N11" s="42">
        <v>1001.2041591775273</v>
      </c>
      <c r="O11" s="42">
        <v>1172.8440352539394</v>
      </c>
      <c r="P11" s="42">
        <v>1483.462329675029</v>
      </c>
      <c r="Q11" s="42">
        <v>1525.6346271312934</v>
      </c>
      <c r="R11" s="42">
        <v>1918.0088940121552</v>
      </c>
      <c r="S11" s="42">
        <v>2053.1885780491161</v>
      </c>
      <c r="T11" s="42">
        <v>1914.6879775760467</v>
      </c>
      <c r="U11" s="42">
        <v>1951.5403083577278</v>
      </c>
      <c r="V11" s="42">
        <v>1933.9003961312053</v>
      </c>
      <c r="W11" s="42">
        <v>1932.2853690972634</v>
      </c>
      <c r="DA11" s="93" t="s">
        <v>194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3112.07</v>
      </c>
      <c r="C13" s="43">
        <v>3494.43</v>
      </c>
      <c r="D13" s="43">
        <v>3189.34</v>
      </c>
      <c r="E13" s="43">
        <v>3325.61</v>
      </c>
      <c r="F13" s="43">
        <v>3309.22</v>
      </c>
      <c r="G13" s="43">
        <v>3261.34</v>
      </c>
      <c r="H13" s="43">
        <v>3084.26</v>
      </c>
      <c r="I13" s="43">
        <v>3000.97</v>
      </c>
      <c r="J13" s="43">
        <v>3019.35</v>
      </c>
      <c r="K13" s="43">
        <v>3230.76</v>
      </c>
      <c r="L13" s="43">
        <v>3982.16</v>
      </c>
      <c r="M13" s="43">
        <v>3148.45</v>
      </c>
      <c r="N13" s="43">
        <v>3424.15</v>
      </c>
      <c r="O13" s="43">
        <v>3396.28</v>
      </c>
      <c r="P13" s="43">
        <v>2834.98</v>
      </c>
      <c r="Q13" s="43">
        <v>3114.15</v>
      </c>
      <c r="R13" s="43">
        <v>3141.46</v>
      </c>
      <c r="S13" s="43">
        <v>3112.11</v>
      </c>
      <c r="T13" s="43">
        <v>3048.54</v>
      </c>
      <c r="U13" s="43">
        <v>3026.8</v>
      </c>
      <c r="V13" s="43">
        <v>2920.71</v>
      </c>
      <c r="W13" s="43">
        <v>3263.77</v>
      </c>
      <c r="DA13" s="94" t="s">
        <v>195</v>
      </c>
    </row>
    <row r="14" spans="1:105" ht="12" customHeight="1" x14ac:dyDescent="0.25">
      <c r="A14" s="35" t="s">
        <v>148</v>
      </c>
      <c r="B14" s="44">
        <f>AVERAGE($B$13:$V$13)</f>
        <v>3198.911428571429</v>
      </c>
      <c r="C14" s="44">
        <f t="shared" ref="C14:W14" si="0">AVERAGE($B$13:$V$13)</f>
        <v>3198.911428571429</v>
      </c>
      <c r="D14" s="44">
        <f t="shared" si="0"/>
        <v>3198.911428571429</v>
      </c>
      <c r="E14" s="44">
        <f t="shared" si="0"/>
        <v>3198.911428571429</v>
      </c>
      <c r="F14" s="44">
        <f t="shared" si="0"/>
        <v>3198.911428571429</v>
      </c>
      <c r="G14" s="44">
        <f t="shared" si="0"/>
        <v>3198.911428571429</v>
      </c>
      <c r="H14" s="44">
        <f t="shared" si="0"/>
        <v>3198.911428571429</v>
      </c>
      <c r="I14" s="44">
        <f t="shared" si="0"/>
        <v>3198.911428571429</v>
      </c>
      <c r="J14" s="44">
        <f t="shared" si="0"/>
        <v>3198.911428571429</v>
      </c>
      <c r="K14" s="44">
        <f t="shared" si="0"/>
        <v>3198.911428571429</v>
      </c>
      <c r="L14" s="44">
        <f t="shared" si="0"/>
        <v>3198.911428571429</v>
      </c>
      <c r="M14" s="44">
        <f t="shared" si="0"/>
        <v>3198.911428571429</v>
      </c>
      <c r="N14" s="44">
        <f t="shared" si="0"/>
        <v>3198.911428571429</v>
      </c>
      <c r="O14" s="44">
        <f t="shared" si="0"/>
        <v>3198.911428571429</v>
      </c>
      <c r="P14" s="44">
        <f t="shared" si="0"/>
        <v>3198.911428571429</v>
      </c>
      <c r="Q14" s="44">
        <f t="shared" si="0"/>
        <v>3198.911428571429</v>
      </c>
      <c r="R14" s="44">
        <f t="shared" si="0"/>
        <v>3198.911428571429</v>
      </c>
      <c r="S14" s="44">
        <f t="shared" si="0"/>
        <v>3198.911428571429</v>
      </c>
      <c r="T14" s="44">
        <f t="shared" si="0"/>
        <v>3198.911428571429</v>
      </c>
      <c r="U14" s="44">
        <f t="shared" si="0"/>
        <v>3198.911428571429</v>
      </c>
      <c r="V14" s="44">
        <f t="shared" si="0"/>
        <v>3198.911428571429</v>
      </c>
      <c r="W14" s="44">
        <f t="shared" si="0"/>
        <v>3198.911428571429</v>
      </c>
      <c r="DA14" s="95" t="s">
        <v>196</v>
      </c>
    </row>
    <row r="15" spans="1:105" ht="12" customHeight="1" x14ac:dyDescent="0.25">
      <c r="A15" s="45" t="s">
        <v>65</v>
      </c>
      <c r="B15" s="46">
        <f>B13/B14</f>
        <v>0.97285281868206941</v>
      </c>
      <c r="C15" s="46">
        <f t="shared" ref="C15:W15" si="1">C13/C14</f>
        <v>1.0923809796010961</v>
      </c>
      <c r="D15" s="46">
        <f t="shared" si="1"/>
        <v>0.99700791072677397</v>
      </c>
      <c r="E15" s="46">
        <f t="shared" si="1"/>
        <v>1.0396067769482296</v>
      </c>
      <c r="F15" s="46">
        <f t="shared" si="1"/>
        <v>1.0344831590031964</v>
      </c>
      <c r="G15" s="46">
        <f t="shared" si="1"/>
        <v>1.01951556734925</v>
      </c>
      <c r="H15" s="46">
        <f t="shared" si="1"/>
        <v>0.96415923631163813</v>
      </c>
      <c r="I15" s="46">
        <f t="shared" si="1"/>
        <v>0.93812225408822092</v>
      </c>
      <c r="J15" s="46">
        <f t="shared" si="1"/>
        <v>0.94386795865379192</v>
      </c>
      <c r="K15" s="46">
        <f t="shared" si="1"/>
        <v>1.0099560654115372</v>
      </c>
      <c r="L15" s="46">
        <f t="shared" si="1"/>
        <v>1.2448484707744329</v>
      </c>
      <c r="M15" s="46">
        <f t="shared" si="1"/>
        <v>0.9842254374032593</v>
      </c>
      <c r="N15" s="46">
        <f t="shared" si="1"/>
        <v>1.0704110058868239</v>
      </c>
      <c r="O15" s="46">
        <f t="shared" si="1"/>
        <v>1.0616986671358739</v>
      </c>
      <c r="P15" s="46">
        <f t="shared" si="1"/>
        <v>0.88623272738315428</v>
      </c>
      <c r="Q15" s="46">
        <f t="shared" si="1"/>
        <v>0.97350303987338538</v>
      </c>
      <c r="R15" s="46">
        <f t="shared" si="1"/>
        <v>0.98204031907282729</v>
      </c>
      <c r="S15" s="46">
        <f t="shared" si="1"/>
        <v>0.97286532293574857</v>
      </c>
      <c r="T15" s="46">
        <f t="shared" si="1"/>
        <v>0.95299293777615401</v>
      </c>
      <c r="U15" s="46">
        <f t="shared" si="1"/>
        <v>0.94619687590153423</v>
      </c>
      <c r="V15" s="46">
        <f t="shared" si="1"/>
        <v>0.91303246908099978</v>
      </c>
      <c r="W15" s="46">
        <f t="shared" si="1"/>
        <v>1.0202752007602585</v>
      </c>
      <c r="DA15" s="96" t="s">
        <v>197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149</v>
      </c>
      <c r="B19" s="34">
        <f t="shared" ref="B19:C19" si="2">B4*1000000/B3</f>
        <v>44497.186170304165</v>
      </c>
      <c r="C19" s="34">
        <f t="shared" si="2"/>
        <v>44702.423630796002</v>
      </c>
      <c r="D19" s="34">
        <f t="shared" ref="D19:W19" si="3">D4*1000000/D3</f>
        <v>44750.697497679721</v>
      </c>
      <c r="E19" s="34">
        <f t="shared" si="3"/>
        <v>44799.093935604811</v>
      </c>
      <c r="F19" s="34">
        <f t="shared" si="3"/>
        <v>45873.984523352796</v>
      </c>
      <c r="G19" s="34">
        <f t="shared" si="3"/>
        <v>46826.293304211737</v>
      </c>
      <c r="H19" s="34">
        <f t="shared" si="3"/>
        <v>48514.634466026189</v>
      </c>
      <c r="I19" s="34">
        <f t="shared" si="3"/>
        <v>48779.584660879045</v>
      </c>
      <c r="J19" s="34">
        <f t="shared" si="3"/>
        <v>48275.122627553807</v>
      </c>
      <c r="K19" s="34">
        <f t="shared" si="3"/>
        <v>45609.671341453613</v>
      </c>
      <c r="L19" s="34">
        <f t="shared" si="3"/>
        <v>46267.680351018294</v>
      </c>
      <c r="M19" s="34">
        <f t="shared" si="3"/>
        <v>46667.937725031719</v>
      </c>
      <c r="N19" s="34">
        <f t="shared" si="3"/>
        <v>46606.6743827256</v>
      </c>
      <c r="O19" s="34">
        <f t="shared" si="3"/>
        <v>46856.172601863531</v>
      </c>
      <c r="P19" s="34">
        <f t="shared" si="3"/>
        <v>47406.595052980752</v>
      </c>
      <c r="Q19" s="34">
        <f t="shared" si="3"/>
        <v>48238.754071538933</v>
      </c>
      <c r="R19" s="34">
        <f t="shared" si="3"/>
        <v>49389.925227987602</v>
      </c>
      <c r="S19" s="34">
        <f t="shared" si="3"/>
        <v>50416.817516666109</v>
      </c>
      <c r="T19" s="34">
        <f t="shared" si="3"/>
        <v>51131.484213118318</v>
      </c>
      <c r="U19" s="34">
        <f t="shared" si="3"/>
        <v>51672.702481041124</v>
      </c>
      <c r="V19" s="34">
        <f t="shared" si="3"/>
        <v>50275.256918436724</v>
      </c>
      <c r="W19" s="34">
        <f t="shared" si="3"/>
        <v>53557.561315273182</v>
      </c>
      <c r="DA19" s="88"/>
    </row>
    <row r="20" spans="1:105" ht="12" customHeight="1" x14ac:dyDescent="0.25">
      <c r="A20" s="50" t="s">
        <v>150</v>
      </c>
      <c r="B20" s="36">
        <f t="shared" ref="B20:C20" si="4">B5*1000000/B6</f>
        <v>70032.677130858734</v>
      </c>
      <c r="C20" s="36">
        <f t="shared" si="4"/>
        <v>70335.943894538359</v>
      </c>
      <c r="D20" s="36">
        <f t="shared" ref="D20:W20" si="5">D5*1000000/D6</f>
        <v>70903.272076625231</v>
      </c>
      <c r="E20" s="36">
        <f t="shared" si="5"/>
        <v>72007.911028098562</v>
      </c>
      <c r="F20" s="36">
        <f t="shared" si="5"/>
        <v>73231.188887275493</v>
      </c>
      <c r="G20" s="36">
        <f t="shared" si="5"/>
        <v>73325.614093913668</v>
      </c>
      <c r="H20" s="36">
        <f t="shared" si="5"/>
        <v>73512.383869598038</v>
      </c>
      <c r="I20" s="36">
        <f t="shared" si="5"/>
        <v>72982.810208806928</v>
      </c>
      <c r="J20" s="36">
        <f t="shared" si="5"/>
        <v>72247.242293379008</v>
      </c>
      <c r="K20" s="36">
        <f t="shared" si="5"/>
        <v>72898.745882909236</v>
      </c>
      <c r="L20" s="36">
        <f t="shared" si="5"/>
        <v>74776.653293712356</v>
      </c>
      <c r="M20" s="36">
        <f t="shared" si="5"/>
        <v>75066.783878118062</v>
      </c>
      <c r="N20" s="36">
        <f t="shared" si="5"/>
        <v>75044.751844561964</v>
      </c>
      <c r="O20" s="36">
        <f t="shared" si="5"/>
        <v>76257.528296351651</v>
      </c>
      <c r="P20" s="36">
        <f t="shared" si="5"/>
        <v>77229.531091862649</v>
      </c>
      <c r="Q20" s="36">
        <f t="shared" si="5"/>
        <v>78079.01824500435</v>
      </c>
      <c r="R20" s="36">
        <f t="shared" si="5"/>
        <v>78392.753927140395</v>
      </c>
      <c r="S20" s="36">
        <f t="shared" si="5"/>
        <v>79142.631774046167</v>
      </c>
      <c r="T20" s="36">
        <f t="shared" si="5"/>
        <v>79537.84068310661</v>
      </c>
      <c r="U20" s="36">
        <f t="shared" si="5"/>
        <v>79589.178433013702</v>
      </c>
      <c r="V20" s="36">
        <f t="shared" si="5"/>
        <v>78829.984548066321</v>
      </c>
      <c r="W20" s="36">
        <f t="shared" si="5"/>
        <v>83042.968308387062</v>
      </c>
      <c r="DA20" s="89"/>
    </row>
    <row r="21" spans="1:105" ht="12" customHeight="1" x14ac:dyDescent="0.25">
      <c r="A21" s="50" t="s">
        <v>151</v>
      </c>
      <c r="B21" s="36">
        <f t="shared" ref="B21:C21" si="6">B5*1000000/B3</f>
        <v>27329.722671244414</v>
      </c>
      <c r="C21" s="36">
        <f t="shared" si="6"/>
        <v>27717.759125958528</v>
      </c>
      <c r="D21" s="36">
        <f t="shared" ref="D21:W21" si="7">D5*1000000/D3</f>
        <v>28039.813808604154</v>
      </c>
      <c r="E21" s="36">
        <f t="shared" si="7"/>
        <v>28383.131516616428</v>
      </c>
      <c r="F21" s="36">
        <f t="shared" si="7"/>
        <v>28843.99618617538</v>
      </c>
      <c r="G21" s="36">
        <f t="shared" si="7"/>
        <v>29309.080226879203</v>
      </c>
      <c r="H21" s="36">
        <f t="shared" si="7"/>
        <v>30041.76861083031</v>
      </c>
      <c r="I21" s="36">
        <f t="shared" si="7"/>
        <v>30387.820998092575</v>
      </c>
      <c r="J21" s="36">
        <f t="shared" si="7"/>
        <v>30319.667567696608</v>
      </c>
      <c r="K21" s="36">
        <f t="shared" si="7"/>
        <v>30064.469300707326</v>
      </c>
      <c r="L21" s="36">
        <f t="shared" si="7"/>
        <v>30438.983718964464</v>
      </c>
      <c r="M21" s="36">
        <f t="shared" si="7"/>
        <v>30455.312678538172</v>
      </c>
      <c r="N21" s="36">
        <f t="shared" si="7"/>
        <v>30189.944422888777</v>
      </c>
      <c r="O21" s="36">
        <f t="shared" si="7"/>
        <v>30692.8688301763</v>
      </c>
      <c r="P21" s="36">
        <f t="shared" si="7"/>
        <v>31154.02779136258</v>
      </c>
      <c r="Q21" s="36">
        <f t="shared" si="7"/>
        <v>31757.411813139002</v>
      </c>
      <c r="R21" s="36">
        <f t="shared" si="7"/>
        <v>32155.136850199102</v>
      </c>
      <c r="S21" s="36">
        <f t="shared" si="7"/>
        <v>32682.580884983479</v>
      </c>
      <c r="T21" s="36">
        <f t="shared" si="7"/>
        <v>33143.117283051382</v>
      </c>
      <c r="U21" s="36">
        <f t="shared" si="7"/>
        <v>33460.984191399752</v>
      </c>
      <c r="V21" s="36">
        <f t="shared" si="7"/>
        <v>32830.240991958766</v>
      </c>
      <c r="W21" s="36">
        <f t="shared" si="7"/>
        <v>35250.330851301922</v>
      </c>
      <c r="DA21" s="89"/>
    </row>
    <row r="22" spans="1:105" ht="12" customHeight="1" x14ac:dyDescent="0.25">
      <c r="A22" s="51" t="s">
        <v>152</v>
      </c>
      <c r="B22" s="52">
        <v>1.8784982388382272</v>
      </c>
      <c r="C22" s="52">
        <v>1.8567612726874445</v>
      </c>
      <c r="D22" s="52">
        <v>1.8425531550854464</v>
      </c>
      <c r="E22" s="52">
        <v>1.8444160837859376</v>
      </c>
      <c r="F22" s="52">
        <v>1.831457062939722</v>
      </c>
      <c r="G22" s="52">
        <v>1.8240815039527207</v>
      </c>
      <c r="H22" s="52">
        <v>1.8168580310328193</v>
      </c>
      <c r="I22" s="52">
        <v>1.7835152199497628</v>
      </c>
      <c r="J22" s="52">
        <v>1.7564180066741226</v>
      </c>
      <c r="K22" s="52">
        <v>1.7816383846640089</v>
      </c>
      <c r="L22" s="52">
        <v>1.7797905538470733</v>
      </c>
      <c r="M22" s="52">
        <v>1.7475727466289492</v>
      </c>
      <c r="N22" s="52">
        <v>1.7376208914350584</v>
      </c>
      <c r="O22" s="52">
        <v>1.7598732341845007</v>
      </c>
      <c r="P22" s="52">
        <v>1.7632181422559472</v>
      </c>
      <c r="Q22" s="52">
        <v>1.7715679013982228</v>
      </c>
      <c r="R22" s="52">
        <v>1.7650978271015467</v>
      </c>
      <c r="S22" s="52">
        <v>1.7479614407141566</v>
      </c>
      <c r="T22" s="52">
        <v>1.735927984936372</v>
      </c>
      <c r="U22" s="52">
        <v>1.7197675996939048</v>
      </c>
      <c r="V22" s="52">
        <v>1.7875433097904156</v>
      </c>
      <c r="W22" s="52">
        <v>1.8216487528277938</v>
      </c>
      <c r="DA22" s="98"/>
    </row>
    <row r="23" spans="1:105" ht="12" customHeight="1" x14ac:dyDescent="0.25">
      <c r="A23" s="49" t="s">
        <v>63</v>
      </c>
      <c r="B23" s="53">
        <f t="shared" ref="B23:C23" si="8">B6/B8</f>
        <v>17.409106392272815</v>
      </c>
      <c r="C23" s="53">
        <f t="shared" si="8"/>
        <v>17.25529781206189</v>
      </c>
      <c r="D23" s="53">
        <f t="shared" ref="D23:W23" si="9">D6/D8</f>
        <v>16.942396140653653</v>
      </c>
      <c r="E23" s="53">
        <f t="shared" si="9"/>
        <v>16.554023649949123</v>
      </c>
      <c r="F23" s="53">
        <f t="shared" si="9"/>
        <v>16.242015381433045</v>
      </c>
      <c r="G23" s="53">
        <f t="shared" si="9"/>
        <v>16.189253244414296</v>
      </c>
      <c r="H23" s="53">
        <f t="shared" si="9"/>
        <v>16.262328094084165</v>
      </c>
      <c r="I23" s="53">
        <f t="shared" si="9"/>
        <v>16.143735995758259</v>
      </c>
      <c r="J23" s="53">
        <f t="shared" si="9"/>
        <v>16.135770787840304</v>
      </c>
      <c r="K23" s="53">
        <f t="shared" si="9"/>
        <v>15.633079499295896</v>
      </c>
      <c r="L23" s="53">
        <f t="shared" si="9"/>
        <v>15.170780734921383</v>
      </c>
      <c r="M23" s="53">
        <f t="shared" si="9"/>
        <v>15.085593650744039</v>
      </c>
      <c r="N23" s="53">
        <f t="shared" si="9"/>
        <v>14.960593468415283</v>
      </c>
      <c r="O23" s="53">
        <f t="shared" si="9"/>
        <v>14.957170107253816</v>
      </c>
      <c r="P23" s="53">
        <f t="shared" si="9"/>
        <v>14.953017981563256</v>
      </c>
      <c r="Q23" s="53">
        <f t="shared" si="9"/>
        <v>15.055924681590129</v>
      </c>
      <c r="R23" s="53">
        <f t="shared" si="9"/>
        <v>15.178085015660189</v>
      </c>
      <c r="S23" s="53">
        <f t="shared" si="9"/>
        <v>15.245536915949778</v>
      </c>
      <c r="T23" s="53">
        <f t="shared" si="9"/>
        <v>15.340206103553886</v>
      </c>
      <c r="U23" s="53">
        <f t="shared" si="9"/>
        <v>15.411033077694727</v>
      </c>
      <c r="V23" s="53">
        <f t="shared" si="9"/>
        <v>15.182714948252091</v>
      </c>
      <c r="W23" s="53">
        <f t="shared" si="9"/>
        <v>15.393641522195193</v>
      </c>
      <c r="DA23" s="99"/>
    </row>
    <row r="24" spans="1:105" ht="12" customHeight="1" x14ac:dyDescent="0.25">
      <c r="A24" s="50" t="s">
        <v>62</v>
      </c>
      <c r="B24" s="54">
        <f t="shared" ref="B24:C24" si="10">B9*1000/B3</f>
        <v>20.174395307222785</v>
      </c>
      <c r="C24" s="54">
        <f t="shared" si="10"/>
        <v>20.554212706118449</v>
      </c>
      <c r="D24" s="54">
        <f t="shared" ref="D24:W24" si="11">D9*1000/D3</f>
        <v>21.007604144510935</v>
      </c>
      <c r="E24" s="54">
        <f t="shared" si="11"/>
        <v>21.429845283922941</v>
      </c>
      <c r="F24" s="54">
        <f t="shared" si="11"/>
        <v>21.825386167065897</v>
      </c>
      <c r="G24" s="54">
        <f t="shared" si="11"/>
        <v>22.220927050208857</v>
      </c>
      <c r="H24" s="54">
        <f t="shared" si="11"/>
        <v>22.616467933351817</v>
      </c>
      <c r="I24" s="54">
        <f t="shared" si="11"/>
        <v>23.212260738512406</v>
      </c>
      <c r="J24" s="54">
        <f t="shared" si="11"/>
        <v>23.407549699637748</v>
      </c>
      <c r="K24" s="54">
        <f t="shared" si="11"/>
        <v>23.742773972134046</v>
      </c>
      <c r="L24" s="54">
        <f t="shared" si="11"/>
        <v>24.148975023853119</v>
      </c>
      <c r="M24" s="54">
        <f t="shared" si="11"/>
        <v>24.204457729246236</v>
      </c>
      <c r="N24" s="54">
        <f t="shared" si="11"/>
        <v>24.201131715543863</v>
      </c>
      <c r="O24" s="54">
        <f t="shared" si="11"/>
        <v>24.218533137833354</v>
      </c>
      <c r="P24" s="54">
        <f t="shared" si="11"/>
        <v>24.27976387763027</v>
      </c>
      <c r="Q24" s="54">
        <f t="shared" si="11"/>
        <v>24.31340770894937</v>
      </c>
      <c r="R24" s="54">
        <f t="shared" si="11"/>
        <v>24.322038365609938</v>
      </c>
      <c r="S24" s="54">
        <f t="shared" si="11"/>
        <v>24.378424896999849</v>
      </c>
      <c r="T24" s="54">
        <f t="shared" si="11"/>
        <v>24.447298317831816</v>
      </c>
      <c r="U24" s="54">
        <f t="shared" si="11"/>
        <v>24.552484521496616</v>
      </c>
      <c r="V24" s="54">
        <f t="shared" si="11"/>
        <v>24.687419700922053</v>
      </c>
      <c r="W24" s="54">
        <f t="shared" si="11"/>
        <v>24.817696769234278</v>
      </c>
      <c r="DA24" s="100"/>
    </row>
    <row r="25" spans="1:105" ht="12" customHeight="1" x14ac:dyDescent="0.25">
      <c r="A25" s="50" t="s">
        <v>61</v>
      </c>
      <c r="B25" s="54">
        <f t="shared" ref="B25:C25" si="12">B9*1000/B6</f>
        <v>51.697081959328642</v>
      </c>
      <c r="C25" s="54">
        <f t="shared" si="12"/>
        <v>52.157894334972148</v>
      </c>
      <c r="D25" s="54">
        <f t="shared" ref="D25:W25" si="13">D9*1000/D6</f>
        <v>53.12117557211581</v>
      </c>
      <c r="E25" s="54">
        <f t="shared" si="13"/>
        <v>54.367446793080177</v>
      </c>
      <c r="F25" s="54">
        <f t="shared" si="13"/>
        <v>55.411842610913247</v>
      </c>
      <c r="G25" s="54">
        <f t="shared" si="13"/>
        <v>55.592434463308116</v>
      </c>
      <c r="H25" s="54">
        <f t="shared" si="13"/>
        <v>55.342629591109883</v>
      </c>
      <c r="I25" s="54">
        <f t="shared" si="13"/>
        <v>55.749177280678623</v>
      </c>
      <c r="J25" s="54">
        <f t="shared" si="13"/>
        <v>55.776697118071837</v>
      </c>
      <c r="K25" s="54">
        <f t="shared" si="13"/>
        <v>57.570231126921314</v>
      </c>
      <c r="L25" s="54">
        <f t="shared" si="13"/>
        <v>59.324567121868952</v>
      </c>
      <c r="M25" s="54">
        <f t="shared" si="13"/>
        <v>59.659567984957022</v>
      </c>
      <c r="N25" s="54">
        <f t="shared" si="13"/>
        <v>60.158041317015581</v>
      </c>
      <c r="O25" s="54">
        <f t="shared" si="13"/>
        <v>60.171810144990246</v>
      </c>
      <c r="P25" s="54">
        <f t="shared" si="13"/>
        <v>60.188518539179199</v>
      </c>
      <c r="Q25" s="54">
        <f t="shared" si="13"/>
        <v>59.777132194377231</v>
      </c>
      <c r="R25" s="54">
        <f t="shared" si="13"/>
        <v>59.296017848853346</v>
      </c>
      <c r="S25" s="54">
        <f t="shared" si="13"/>
        <v>59.033670310320531</v>
      </c>
      <c r="T25" s="54">
        <f t="shared" si="13"/>
        <v>58.669355152372816</v>
      </c>
      <c r="U25" s="54">
        <f t="shared" si="13"/>
        <v>58.399718919727817</v>
      </c>
      <c r="V25" s="54">
        <f t="shared" si="13"/>
        <v>59.277935670103091</v>
      </c>
      <c r="W25" s="54">
        <f t="shared" si="13"/>
        <v>58.465698236661076</v>
      </c>
      <c r="DA25" s="100"/>
    </row>
    <row r="26" spans="1:105" ht="12" customHeight="1" x14ac:dyDescent="0.25">
      <c r="A26" s="50" t="s">
        <v>60</v>
      </c>
      <c r="B26" s="55">
        <f t="shared" ref="B26:C26" si="14">B9*1000/B8</f>
        <v>899.99999999999989</v>
      </c>
      <c r="C26" s="55">
        <f t="shared" si="14"/>
        <v>900</v>
      </c>
      <c r="D26" s="55">
        <f t="shared" ref="D26:W26" si="15">D9*1000/D8</f>
        <v>900</v>
      </c>
      <c r="E26" s="55">
        <f t="shared" si="15"/>
        <v>899.99999999999989</v>
      </c>
      <c r="F26" s="55">
        <f t="shared" si="15"/>
        <v>900</v>
      </c>
      <c r="G26" s="55">
        <f t="shared" si="15"/>
        <v>900</v>
      </c>
      <c r="H26" s="55">
        <f t="shared" si="15"/>
        <v>899.99999999999989</v>
      </c>
      <c r="I26" s="55">
        <f t="shared" si="15"/>
        <v>900</v>
      </c>
      <c r="J26" s="55">
        <f t="shared" si="15"/>
        <v>900</v>
      </c>
      <c r="K26" s="55">
        <f t="shared" si="15"/>
        <v>900.00000000000011</v>
      </c>
      <c r="L26" s="55">
        <f t="shared" si="15"/>
        <v>900</v>
      </c>
      <c r="M26" s="55">
        <f t="shared" si="15"/>
        <v>900</v>
      </c>
      <c r="N26" s="55">
        <f t="shared" si="15"/>
        <v>900</v>
      </c>
      <c r="O26" s="55">
        <f t="shared" si="15"/>
        <v>900</v>
      </c>
      <c r="P26" s="55">
        <f t="shared" si="15"/>
        <v>900</v>
      </c>
      <c r="Q26" s="55">
        <f t="shared" si="15"/>
        <v>900</v>
      </c>
      <c r="R26" s="55">
        <f t="shared" si="15"/>
        <v>900</v>
      </c>
      <c r="S26" s="55">
        <f t="shared" si="15"/>
        <v>900</v>
      </c>
      <c r="T26" s="55">
        <f t="shared" si="15"/>
        <v>900.00000000000011</v>
      </c>
      <c r="U26" s="55">
        <f t="shared" si="15"/>
        <v>899.99999999999989</v>
      </c>
      <c r="V26" s="55">
        <f t="shared" si="15"/>
        <v>900</v>
      </c>
      <c r="W26" s="55">
        <f t="shared" si="15"/>
        <v>900.00000000000011</v>
      </c>
      <c r="DA26" s="101"/>
    </row>
    <row r="27" spans="1:105" ht="12" customHeight="1" x14ac:dyDescent="0.25">
      <c r="A27" s="51" t="s">
        <v>59</v>
      </c>
      <c r="B27" s="56" t="str">
        <f t="shared" ref="B27:C27" si="16">IF(SUM(B11)=0,"",B11*1000/B10)</f>
        <v/>
      </c>
      <c r="C27" s="57">
        <f t="shared" si="16"/>
        <v>900</v>
      </c>
      <c r="D27" s="57">
        <f t="shared" ref="D27:W27" si="17">IF(SUM(D11)=0,"",D11*1000/D10)</f>
        <v>900</v>
      </c>
      <c r="E27" s="57">
        <f t="shared" si="17"/>
        <v>899.99999999999989</v>
      </c>
      <c r="F27" s="57">
        <f t="shared" si="17"/>
        <v>899.99999999999989</v>
      </c>
      <c r="G27" s="57">
        <f t="shared" si="17"/>
        <v>900.00000000000011</v>
      </c>
      <c r="H27" s="57">
        <f t="shared" si="17"/>
        <v>899.99999999999989</v>
      </c>
      <c r="I27" s="57">
        <f t="shared" si="17"/>
        <v>900.00000000000011</v>
      </c>
      <c r="J27" s="57">
        <f t="shared" si="17"/>
        <v>900.00000000000011</v>
      </c>
      <c r="K27" s="57">
        <f t="shared" si="17"/>
        <v>900.00000000000011</v>
      </c>
      <c r="L27" s="57">
        <f t="shared" si="17"/>
        <v>900.00000000000011</v>
      </c>
      <c r="M27" s="57">
        <f t="shared" si="17"/>
        <v>900</v>
      </c>
      <c r="N27" s="57">
        <f t="shared" si="17"/>
        <v>899.99999999999977</v>
      </c>
      <c r="O27" s="57">
        <f t="shared" si="17"/>
        <v>900</v>
      </c>
      <c r="P27" s="57">
        <f t="shared" si="17"/>
        <v>900</v>
      </c>
      <c r="Q27" s="57">
        <f t="shared" si="17"/>
        <v>900</v>
      </c>
      <c r="R27" s="57">
        <f t="shared" si="17"/>
        <v>900.00000000000011</v>
      </c>
      <c r="S27" s="57">
        <f t="shared" si="17"/>
        <v>900</v>
      </c>
      <c r="T27" s="57">
        <f t="shared" si="17"/>
        <v>900</v>
      </c>
      <c r="U27" s="57">
        <f t="shared" si="17"/>
        <v>899.99999999999989</v>
      </c>
      <c r="V27" s="57">
        <f t="shared" si="17"/>
        <v>900</v>
      </c>
      <c r="W27" s="57">
        <f t="shared" si="17"/>
        <v>900.00000000000011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1856.941702493551</v>
      </c>
      <c r="C31" s="80">
        <f t="shared" ref="C31:W31" si="18">SUM(C32:C33,C36:C37,C44:C45)</f>
        <v>1918.6315563198623</v>
      </c>
      <c r="D31" s="80">
        <f t="shared" si="18"/>
        <v>1940.7041272570937</v>
      </c>
      <c r="E31" s="80">
        <f t="shared" si="18"/>
        <v>1998.9024935511609</v>
      </c>
      <c r="F31" s="80">
        <f t="shared" si="18"/>
        <v>2013.2566638005158</v>
      </c>
      <c r="G31" s="80">
        <f t="shared" si="18"/>
        <v>2014.8862424763543</v>
      </c>
      <c r="H31" s="80">
        <f t="shared" si="18"/>
        <v>2048.4656061908854</v>
      </c>
      <c r="I31" s="80">
        <f t="shared" si="18"/>
        <v>2018.6288907996559</v>
      </c>
      <c r="J31" s="80">
        <f t="shared" si="18"/>
        <v>2027.1331040412724</v>
      </c>
      <c r="K31" s="80">
        <f t="shared" si="18"/>
        <v>2008.3202005650496</v>
      </c>
      <c r="L31" s="80">
        <f t="shared" si="18"/>
        <v>2140.9261613185113</v>
      </c>
      <c r="M31" s="80">
        <f t="shared" si="18"/>
        <v>1959.1743830951877</v>
      </c>
      <c r="N31" s="80">
        <f t="shared" si="18"/>
        <v>1989.2469650634062</v>
      </c>
      <c r="O31" s="80">
        <f t="shared" si="18"/>
        <v>1974.3804454804726</v>
      </c>
      <c r="P31" s="80">
        <f t="shared" si="18"/>
        <v>1855.0640204933718</v>
      </c>
      <c r="Q31" s="80">
        <f t="shared" si="18"/>
        <v>1935.6274118144242</v>
      </c>
      <c r="R31" s="80">
        <f t="shared" si="18"/>
        <v>1988.1877940975342</v>
      </c>
      <c r="S31" s="80">
        <f t="shared" si="18"/>
        <v>2033.3148257793343</v>
      </c>
      <c r="T31" s="80">
        <f t="shared" si="18"/>
        <v>1971.3010241908214</v>
      </c>
      <c r="U31" s="80">
        <f t="shared" si="18"/>
        <v>1912.4606768786405</v>
      </c>
      <c r="V31" s="80">
        <f t="shared" si="18"/>
        <v>1807.7797992228602</v>
      </c>
      <c r="W31" s="80">
        <f t="shared" si="18"/>
        <v>2044.5971445400714</v>
      </c>
      <c r="DA31" s="103" t="s">
        <v>198</v>
      </c>
    </row>
    <row r="32" spans="1:105" ht="12" customHeight="1" x14ac:dyDescent="0.25">
      <c r="A32" s="58" t="s">
        <v>29</v>
      </c>
      <c r="B32" s="59">
        <v>0</v>
      </c>
      <c r="C32" s="59">
        <v>0</v>
      </c>
      <c r="D32" s="59">
        <v>0</v>
      </c>
      <c r="E32" s="59">
        <v>0</v>
      </c>
      <c r="F32" s="59">
        <v>0</v>
      </c>
      <c r="G32" s="59">
        <v>0</v>
      </c>
      <c r="H32" s="59">
        <v>0</v>
      </c>
      <c r="I32" s="59">
        <v>0</v>
      </c>
      <c r="J32" s="59">
        <v>0</v>
      </c>
      <c r="K32" s="59">
        <v>0</v>
      </c>
      <c r="L32" s="59">
        <v>0</v>
      </c>
      <c r="M32" s="59">
        <v>0</v>
      </c>
      <c r="N32" s="59">
        <v>0</v>
      </c>
      <c r="O32" s="59">
        <v>0</v>
      </c>
      <c r="P32" s="59">
        <v>0</v>
      </c>
      <c r="Q32" s="59">
        <v>0</v>
      </c>
      <c r="R32" s="59">
        <v>0</v>
      </c>
      <c r="S32" s="59">
        <v>0</v>
      </c>
      <c r="T32" s="59">
        <v>0</v>
      </c>
      <c r="U32" s="59">
        <v>0</v>
      </c>
      <c r="V32" s="59">
        <v>0</v>
      </c>
      <c r="W32" s="59">
        <v>0</v>
      </c>
      <c r="DA32" s="104" t="s">
        <v>199</v>
      </c>
    </row>
    <row r="33" spans="1:105" ht="12" customHeight="1" x14ac:dyDescent="0.25">
      <c r="A33" s="60" t="s">
        <v>28</v>
      </c>
      <c r="B33" s="55">
        <f>SUM(B34:B35)</f>
        <v>134.4379191745486</v>
      </c>
      <c r="C33" s="55">
        <f t="shared" ref="C33:W33" si="19">SUM(C34:C35)</f>
        <v>124.43508168529661</v>
      </c>
      <c r="D33" s="55">
        <f t="shared" si="19"/>
        <v>115.93336199484091</v>
      </c>
      <c r="E33" s="55">
        <f t="shared" si="19"/>
        <v>116.40395528804815</v>
      </c>
      <c r="F33" s="55">
        <f t="shared" si="19"/>
        <v>120.63035253654338</v>
      </c>
      <c r="G33" s="55">
        <f t="shared" si="19"/>
        <v>107.93086844368014</v>
      </c>
      <c r="H33" s="55">
        <f t="shared" si="19"/>
        <v>90.917884780739456</v>
      </c>
      <c r="I33" s="55">
        <f t="shared" si="19"/>
        <v>80.430180567497843</v>
      </c>
      <c r="J33" s="55">
        <f t="shared" si="19"/>
        <v>81.358125537403268</v>
      </c>
      <c r="K33" s="55">
        <f t="shared" si="19"/>
        <v>75.888478073946686</v>
      </c>
      <c r="L33" s="55">
        <f t="shared" si="19"/>
        <v>75.026225279449704</v>
      </c>
      <c r="M33" s="55">
        <f t="shared" si="19"/>
        <v>59.649355116079107</v>
      </c>
      <c r="N33" s="55">
        <f t="shared" si="19"/>
        <v>68.584608770421312</v>
      </c>
      <c r="O33" s="55">
        <f t="shared" si="19"/>
        <v>64.693723129836627</v>
      </c>
      <c r="P33" s="55">
        <f t="shared" si="19"/>
        <v>56.188478073946683</v>
      </c>
      <c r="Q33" s="55">
        <f t="shared" si="19"/>
        <v>62.085984522785893</v>
      </c>
      <c r="R33" s="55">
        <f t="shared" si="19"/>
        <v>62.593637145313842</v>
      </c>
      <c r="S33" s="55">
        <f t="shared" si="19"/>
        <v>57.269561478933781</v>
      </c>
      <c r="T33" s="55">
        <f t="shared" si="19"/>
        <v>61.932932072227004</v>
      </c>
      <c r="U33" s="55">
        <f t="shared" si="19"/>
        <v>34.59716251074807</v>
      </c>
      <c r="V33" s="55">
        <f t="shared" si="19"/>
        <v>37.732072226999136</v>
      </c>
      <c r="W33" s="55">
        <f t="shared" si="19"/>
        <v>30.991401547721406</v>
      </c>
      <c r="DA33" s="101"/>
    </row>
    <row r="34" spans="1:105" ht="12" customHeight="1" x14ac:dyDescent="0.25">
      <c r="A34" s="61" t="s">
        <v>52</v>
      </c>
      <c r="B34" s="55">
        <v>3.2960447119518479</v>
      </c>
      <c r="C34" s="55">
        <v>3.2960447119518479</v>
      </c>
      <c r="D34" s="55">
        <v>3.2960447119518479</v>
      </c>
      <c r="E34" s="55">
        <v>4.3947549441100593</v>
      </c>
      <c r="F34" s="55">
        <v>5.4934651762682716</v>
      </c>
      <c r="G34" s="55">
        <v>6.592175408426483</v>
      </c>
      <c r="H34" s="55">
        <v>6.592175408426483</v>
      </c>
      <c r="I34" s="55">
        <v>6.592175408426483</v>
      </c>
      <c r="J34" s="55">
        <v>6.592175408426483</v>
      </c>
      <c r="K34" s="55">
        <v>6.592175408426483</v>
      </c>
      <c r="L34" s="55">
        <v>8.7895098882201186</v>
      </c>
      <c r="M34" s="55">
        <v>7.690799656061909</v>
      </c>
      <c r="N34" s="55">
        <v>6.592175408426483</v>
      </c>
      <c r="O34" s="55">
        <v>7.690799656061909</v>
      </c>
      <c r="P34" s="55">
        <v>4.3947549441100593</v>
      </c>
      <c r="Q34" s="55">
        <v>9.1147033533963882</v>
      </c>
      <c r="R34" s="55">
        <v>9.6288907996560607</v>
      </c>
      <c r="S34" s="55">
        <v>9.5552880481513327</v>
      </c>
      <c r="T34" s="55">
        <v>9.8047291487532231</v>
      </c>
      <c r="U34" s="55">
        <v>9.6245055889939817</v>
      </c>
      <c r="V34" s="55">
        <v>8.1325021496130692</v>
      </c>
      <c r="W34" s="55">
        <v>8.7543422184006872</v>
      </c>
      <c r="DA34" s="101" t="s">
        <v>200</v>
      </c>
    </row>
    <row r="35" spans="1:105" ht="12" customHeight="1" x14ac:dyDescent="0.25">
      <c r="A35" s="61" t="s">
        <v>170</v>
      </c>
      <c r="B35" s="55">
        <v>131.14187446259675</v>
      </c>
      <c r="C35" s="55">
        <v>121.13903697334476</v>
      </c>
      <c r="D35" s="55">
        <v>112.63731728288906</v>
      </c>
      <c r="E35" s="55">
        <v>112.00920034393809</v>
      </c>
      <c r="F35" s="55">
        <v>115.13688736027511</v>
      </c>
      <c r="G35" s="55">
        <v>101.33869303525366</v>
      </c>
      <c r="H35" s="55">
        <v>84.325709372312971</v>
      </c>
      <c r="I35" s="55">
        <v>73.838005159071358</v>
      </c>
      <c r="J35" s="55">
        <v>74.765950128976783</v>
      </c>
      <c r="K35" s="55">
        <v>69.296302665520201</v>
      </c>
      <c r="L35" s="55">
        <v>66.236715391229581</v>
      </c>
      <c r="M35" s="55">
        <v>51.958555460017195</v>
      </c>
      <c r="N35" s="55">
        <v>61.992433361994827</v>
      </c>
      <c r="O35" s="55">
        <v>57.002923473774715</v>
      </c>
      <c r="P35" s="55">
        <v>51.793723129836621</v>
      </c>
      <c r="Q35" s="55">
        <v>52.971281169389506</v>
      </c>
      <c r="R35" s="55">
        <v>52.96474634565778</v>
      </c>
      <c r="S35" s="55">
        <v>47.714273430782448</v>
      </c>
      <c r="T35" s="55">
        <v>52.128202923473779</v>
      </c>
      <c r="U35" s="55">
        <v>24.972656921754087</v>
      </c>
      <c r="V35" s="55">
        <v>29.599570077386069</v>
      </c>
      <c r="W35" s="55">
        <v>22.237059329320719</v>
      </c>
      <c r="DA35" s="101" t="s">
        <v>201</v>
      </c>
    </row>
    <row r="36" spans="1:105" ht="12" customHeight="1" x14ac:dyDescent="0.25">
      <c r="A36" s="60" t="s">
        <v>153</v>
      </c>
      <c r="B36" s="55">
        <v>174.0322441960447</v>
      </c>
      <c r="C36" s="55">
        <v>176.26870163370592</v>
      </c>
      <c r="D36" s="55">
        <v>183.32141014617372</v>
      </c>
      <c r="E36" s="55">
        <v>221.60240756663796</v>
      </c>
      <c r="F36" s="55">
        <v>221.17317282889081</v>
      </c>
      <c r="G36" s="55">
        <v>234.07386070507314</v>
      </c>
      <c r="H36" s="55">
        <v>258.48890799656061</v>
      </c>
      <c r="I36" s="55">
        <v>242.88478073946689</v>
      </c>
      <c r="J36" s="55">
        <v>240.9742046431642</v>
      </c>
      <c r="K36" s="55">
        <v>243.29518486672401</v>
      </c>
      <c r="L36" s="55">
        <v>240.24264832330181</v>
      </c>
      <c r="M36" s="55">
        <v>189.14703353396388</v>
      </c>
      <c r="N36" s="55">
        <v>209.31066208082541</v>
      </c>
      <c r="O36" s="55">
        <v>217.60300945829749</v>
      </c>
      <c r="P36" s="55">
        <v>162.19862424763545</v>
      </c>
      <c r="Q36" s="55">
        <v>214.88839208942392</v>
      </c>
      <c r="R36" s="55">
        <v>218.51590713671541</v>
      </c>
      <c r="S36" s="55">
        <v>237.06870163370593</v>
      </c>
      <c r="T36" s="55">
        <v>194.26646603611348</v>
      </c>
      <c r="U36" s="55">
        <v>208.14763542562341</v>
      </c>
      <c r="V36" s="55">
        <v>205.60249355116079</v>
      </c>
      <c r="W36" s="55">
        <v>315.19638865004293</v>
      </c>
      <c r="DA36" s="101" t="s">
        <v>202</v>
      </c>
    </row>
    <row r="37" spans="1:105" ht="12" customHeight="1" x14ac:dyDescent="0.25">
      <c r="A37" s="60" t="s">
        <v>51</v>
      </c>
      <c r="B37" s="55">
        <f>SUM(B38:B42)</f>
        <v>60.977472055030098</v>
      </c>
      <c r="C37" s="55">
        <f t="shared" ref="C37:W37" si="20">SUM(C38:C42)</f>
        <v>53.931384350816849</v>
      </c>
      <c r="D37" s="55">
        <f t="shared" si="20"/>
        <v>69.217540842648319</v>
      </c>
      <c r="E37" s="55">
        <f t="shared" si="20"/>
        <v>67.808340498710223</v>
      </c>
      <c r="F37" s="55">
        <f t="shared" si="20"/>
        <v>61.431126397248484</v>
      </c>
      <c r="G37" s="55">
        <f t="shared" si="20"/>
        <v>65.41994840928632</v>
      </c>
      <c r="H37" s="55">
        <f t="shared" si="20"/>
        <v>71.558125537403271</v>
      </c>
      <c r="I37" s="55">
        <f t="shared" si="20"/>
        <v>58.541186586414433</v>
      </c>
      <c r="J37" s="55">
        <f t="shared" si="20"/>
        <v>52.737145313843506</v>
      </c>
      <c r="K37" s="55">
        <f t="shared" si="20"/>
        <v>44.019346517626829</v>
      </c>
      <c r="L37" s="55">
        <f t="shared" si="20"/>
        <v>43.92381771281169</v>
      </c>
      <c r="M37" s="55">
        <f t="shared" si="20"/>
        <v>45.428976784178843</v>
      </c>
      <c r="N37" s="55">
        <f t="shared" si="20"/>
        <v>44.154772141014618</v>
      </c>
      <c r="O37" s="55">
        <f t="shared" si="20"/>
        <v>48.912123817712811</v>
      </c>
      <c r="P37" s="55">
        <f t="shared" si="20"/>
        <v>51.755546001719679</v>
      </c>
      <c r="Q37" s="55">
        <f t="shared" si="20"/>
        <v>42.929492691315573</v>
      </c>
      <c r="R37" s="55">
        <f t="shared" si="20"/>
        <v>56.038950988821995</v>
      </c>
      <c r="S37" s="55">
        <f t="shared" si="20"/>
        <v>59.319604471195177</v>
      </c>
      <c r="T37" s="55">
        <f t="shared" si="20"/>
        <v>65.956663800515912</v>
      </c>
      <c r="U37" s="55">
        <f t="shared" si="20"/>
        <v>59.318228718830625</v>
      </c>
      <c r="V37" s="55">
        <f t="shared" si="20"/>
        <v>50.313757523645741</v>
      </c>
      <c r="W37" s="55">
        <f t="shared" si="20"/>
        <v>60.400687876182289</v>
      </c>
      <c r="DA37" s="101"/>
    </row>
    <row r="38" spans="1:105" ht="12" customHeight="1" x14ac:dyDescent="0.25">
      <c r="A38" s="61" t="s">
        <v>171</v>
      </c>
      <c r="B38" s="55">
        <v>52.307308684436805</v>
      </c>
      <c r="C38" s="55">
        <v>44.138693035253645</v>
      </c>
      <c r="D38" s="55">
        <v>57.609630266552017</v>
      </c>
      <c r="E38" s="55">
        <v>58.469475494411</v>
      </c>
      <c r="F38" s="55">
        <v>49.608254514187436</v>
      </c>
      <c r="G38" s="55">
        <v>52.808856405846946</v>
      </c>
      <c r="H38" s="55">
        <v>57.275150472914881</v>
      </c>
      <c r="I38" s="55">
        <v>47.769217540842632</v>
      </c>
      <c r="J38" s="55">
        <v>41.726397248495275</v>
      </c>
      <c r="K38" s="55">
        <v>34.226655202063633</v>
      </c>
      <c r="L38" s="55">
        <v>33.041014617368873</v>
      </c>
      <c r="M38" s="55">
        <v>36.217540842648319</v>
      </c>
      <c r="N38" s="55">
        <v>33.758899398108341</v>
      </c>
      <c r="O38" s="55">
        <v>35.351590713671534</v>
      </c>
      <c r="P38" s="55">
        <v>43.526053310404116</v>
      </c>
      <c r="Q38" s="55">
        <v>36.763972484952717</v>
      </c>
      <c r="R38" s="55">
        <v>44.976440240756645</v>
      </c>
      <c r="S38" s="55">
        <v>51.231040412725704</v>
      </c>
      <c r="T38" s="55">
        <v>58.634995700773864</v>
      </c>
      <c r="U38" s="55">
        <v>51.57153912295788</v>
      </c>
      <c r="V38" s="55">
        <v>46.318572656921752</v>
      </c>
      <c r="W38" s="55">
        <v>49.020378331900261</v>
      </c>
      <c r="DA38" s="101" t="s">
        <v>203</v>
      </c>
    </row>
    <row r="39" spans="1:105" ht="12" customHeight="1" x14ac:dyDescent="0.25">
      <c r="A39" s="61" t="s">
        <v>50</v>
      </c>
      <c r="B39" s="55">
        <v>7.5714531384350812</v>
      </c>
      <c r="C39" s="55">
        <v>8.6700773860705063</v>
      </c>
      <c r="D39" s="55">
        <v>10.46147893379192</v>
      </c>
      <c r="E39" s="55">
        <v>8.16852966466036</v>
      </c>
      <c r="F39" s="55">
        <v>10.60472914875322</v>
      </c>
      <c r="G39" s="55">
        <v>11.321324161650899</v>
      </c>
      <c r="H39" s="55">
        <v>12.921582115219261</v>
      </c>
      <c r="I39" s="55">
        <v>9.291143594153052</v>
      </c>
      <c r="J39" s="55">
        <v>9.4343938091143578</v>
      </c>
      <c r="K39" s="55">
        <v>8.0969045571797071</v>
      </c>
      <c r="L39" s="55">
        <v>9.1187446259673255</v>
      </c>
      <c r="M39" s="55">
        <v>7.3545141874462594</v>
      </c>
      <c r="N39" s="55">
        <v>8.4815993121238176</v>
      </c>
      <c r="O39" s="55">
        <v>11.58435081685297</v>
      </c>
      <c r="P39" s="55">
        <v>6.206878761822872</v>
      </c>
      <c r="Q39" s="55">
        <v>4.0848667239896814</v>
      </c>
      <c r="R39" s="55">
        <v>8.9528804815133274</v>
      </c>
      <c r="S39" s="55">
        <v>5.9498710232158212</v>
      </c>
      <c r="T39" s="55">
        <v>5.1597592433361994</v>
      </c>
      <c r="U39" s="55">
        <v>5.5576956147893366</v>
      </c>
      <c r="V39" s="55">
        <v>1.8061908856405851</v>
      </c>
      <c r="W39" s="55">
        <v>9.1913155631986232</v>
      </c>
      <c r="DA39" s="101" t="s">
        <v>204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0</v>
      </c>
      <c r="N40" s="55">
        <v>0</v>
      </c>
      <c r="O40" s="55">
        <v>0</v>
      </c>
      <c r="P40" s="55">
        <v>0</v>
      </c>
      <c r="Q40" s="55">
        <v>0</v>
      </c>
      <c r="R40" s="55">
        <v>0</v>
      </c>
      <c r="S40" s="55">
        <v>0</v>
      </c>
      <c r="T40" s="55">
        <v>0</v>
      </c>
      <c r="U40" s="55">
        <v>0</v>
      </c>
      <c r="V40" s="55">
        <v>0</v>
      </c>
      <c r="W40" s="55">
        <v>0</v>
      </c>
      <c r="DA40" s="101" t="s">
        <v>205</v>
      </c>
    </row>
    <row r="41" spans="1:105" ht="12" customHeight="1" x14ac:dyDescent="0.25">
      <c r="A41" s="61" t="s">
        <v>26</v>
      </c>
      <c r="B41" s="55">
        <v>1.098710232158211</v>
      </c>
      <c r="C41" s="55">
        <v>1.1226139294926909</v>
      </c>
      <c r="D41" s="55">
        <v>1.146431642304385</v>
      </c>
      <c r="E41" s="55">
        <v>1.1703353396388649</v>
      </c>
      <c r="F41" s="55">
        <v>1.218142734307825</v>
      </c>
      <c r="G41" s="55">
        <v>1.2897678417884779</v>
      </c>
      <c r="H41" s="55">
        <v>1.361392949269131</v>
      </c>
      <c r="I41" s="55">
        <v>1.4808254514187451</v>
      </c>
      <c r="J41" s="55">
        <v>1.5763542562338779</v>
      </c>
      <c r="K41" s="55">
        <v>1.6957867583834909</v>
      </c>
      <c r="L41" s="55">
        <v>1.7640584694754939</v>
      </c>
      <c r="M41" s="55">
        <v>1.8569217540842651</v>
      </c>
      <c r="N41" s="55">
        <v>1.9142734307824589</v>
      </c>
      <c r="O41" s="55">
        <v>1.9761822871883059</v>
      </c>
      <c r="P41" s="55">
        <v>2.022613929492691</v>
      </c>
      <c r="Q41" s="55">
        <v>2.0806534823731728</v>
      </c>
      <c r="R41" s="55">
        <v>2.109630266552021</v>
      </c>
      <c r="S41" s="55">
        <v>2.1386930352536542</v>
      </c>
      <c r="T41" s="55">
        <v>2.1619088564058471</v>
      </c>
      <c r="U41" s="55">
        <v>2.1889939810834051</v>
      </c>
      <c r="V41" s="55">
        <v>2.1889939810834051</v>
      </c>
      <c r="W41" s="55">
        <v>2.1889939810834051</v>
      </c>
      <c r="DA41" s="101" t="s">
        <v>206</v>
      </c>
    </row>
    <row r="42" spans="1:105" ht="12" customHeight="1" x14ac:dyDescent="0.25">
      <c r="A42" s="61" t="s">
        <v>25</v>
      </c>
      <c r="B42" s="55">
        <v>0</v>
      </c>
      <c r="C42" s="55">
        <v>0</v>
      </c>
      <c r="D42" s="55">
        <v>0</v>
      </c>
      <c r="E42" s="55">
        <v>0</v>
      </c>
      <c r="F42" s="55">
        <v>0</v>
      </c>
      <c r="G42" s="55">
        <v>0</v>
      </c>
      <c r="H42" s="55">
        <v>0</v>
      </c>
      <c r="I42" s="55">
        <v>0</v>
      </c>
      <c r="J42" s="55">
        <v>0</v>
      </c>
      <c r="K42" s="55">
        <v>0</v>
      </c>
      <c r="L42" s="55">
        <v>0</v>
      </c>
      <c r="M42" s="55">
        <v>0</v>
      </c>
      <c r="N42" s="55">
        <v>0</v>
      </c>
      <c r="O42" s="55">
        <v>0</v>
      </c>
      <c r="P42" s="55">
        <v>0</v>
      </c>
      <c r="Q42" s="55">
        <v>0</v>
      </c>
      <c r="R42" s="55">
        <v>0</v>
      </c>
      <c r="S42" s="55">
        <v>0</v>
      </c>
      <c r="T42" s="55">
        <v>0</v>
      </c>
      <c r="U42" s="55">
        <v>0</v>
      </c>
      <c r="V42" s="55">
        <v>0</v>
      </c>
      <c r="W42" s="55">
        <v>0</v>
      </c>
      <c r="DA42" s="101" t="s">
        <v>207</v>
      </c>
    </row>
    <row r="43" spans="1:105" ht="12" customHeight="1" x14ac:dyDescent="0.25">
      <c r="A43" s="61" t="s">
        <v>157</v>
      </c>
      <c r="B43" s="55">
        <v>1.5047291487532237</v>
      </c>
      <c r="C43" s="55">
        <v>1.5286328460877039</v>
      </c>
      <c r="D43" s="55">
        <v>1.5525365434221847</v>
      </c>
      <c r="E43" s="55">
        <v>1.5525365434221843</v>
      </c>
      <c r="F43" s="55">
        <v>1.5763542562338759</v>
      </c>
      <c r="G43" s="55">
        <v>1.6957867583834914</v>
      </c>
      <c r="H43" s="55">
        <v>1.886844368013757</v>
      </c>
      <c r="I43" s="55">
        <v>8.1207222699913988</v>
      </c>
      <c r="J43" s="55">
        <v>8.8612209802235604</v>
      </c>
      <c r="K43" s="55">
        <v>9.6016337059329278</v>
      </c>
      <c r="L43" s="55">
        <v>10.331126397248488</v>
      </c>
      <c r="M43" s="55">
        <v>11.129664660361112</v>
      </c>
      <c r="N43" s="55">
        <v>11.958469475494413</v>
      </c>
      <c r="O43" s="55">
        <v>12.749441100601889</v>
      </c>
      <c r="P43" s="55">
        <v>13.437661220980214</v>
      </c>
      <c r="Q43" s="55">
        <v>15.145227858985381</v>
      </c>
      <c r="R43" s="55">
        <v>17.036887360275159</v>
      </c>
      <c r="S43" s="55">
        <v>17.466809974204637</v>
      </c>
      <c r="T43" s="55">
        <v>19.988907996560634</v>
      </c>
      <c r="U43" s="55">
        <v>22.805503009458274</v>
      </c>
      <c r="V43" s="55">
        <v>26.330868443680153</v>
      </c>
      <c r="W43" s="55">
        <v>30.974032674118664</v>
      </c>
      <c r="DA43" s="101" t="s">
        <v>208</v>
      </c>
    </row>
    <row r="44" spans="1:105" ht="12" customHeight="1" x14ac:dyDescent="0.25">
      <c r="A44" s="60" t="s">
        <v>169</v>
      </c>
      <c r="B44" s="55">
        <v>631.60412725709364</v>
      </c>
      <c r="C44" s="55">
        <v>688.75993121238173</v>
      </c>
      <c r="D44" s="55">
        <v>691.14840928632839</v>
      </c>
      <c r="E44" s="55">
        <v>716.99148753224426</v>
      </c>
      <c r="F44" s="55">
        <v>715.86895958727428</v>
      </c>
      <c r="G44" s="55">
        <v>707.03164230438517</v>
      </c>
      <c r="H44" s="55">
        <v>704.28486672398958</v>
      </c>
      <c r="I44" s="55">
        <v>691.88882201203785</v>
      </c>
      <c r="J44" s="55">
        <v>708.29750644883916</v>
      </c>
      <c r="K44" s="55">
        <v>726.80808254514181</v>
      </c>
      <c r="L44" s="55">
        <v>850.10034393809099</v>
      </c>
      <c r="M44" s="55">
        <v>748.78185726569222</v>
      </c>
      <c r="N44" s="55">
        <v>766.16990541702489</v>
      </c>
      <c r="O44" s="55">
        <v>764.09191745485805</v>
      </c>
      <c r="P44" s="55">
        <v>700.89329320722265</v>
      </c>
      <c r="Q44" s="55">
        <v>751.20584694754939</v>
      </c>
      <c r="R44" s="55">
        <v>772.43946689595862</v>
      </c>
      <c r="S44" s="55">
        <v>779.40309544282024</v>
      </c>
      <c r="T44" s="55">
        <v>778.06483233018048</v>
      </c>
      <c r="U44" s="55">
        <v>761.16371453138436</v>
      </c>
      <c r="V44" s="55">
        <v>737.71659501289764</v>
      </c>
      <c r="W44" s="55">
        <v>816.08392089423899</v>
      </c>
      <c r="DA44" s="101" t="s">
        <v>209</v>
      </c>
    </row>
    <row r="45" spans="1:105" ht="12" customHeight="1" x14ac:dyDescent="0.25">
      <c r="A45" s="62" t="s">
        <v>24</v>
      </c>
      <c r="B45" s="63">
        <v>855.88993981083399</v>
      </c>
      <c r="C45" s="63">
        <v>875.23645743766122</v>
      </c>
      <c r="D45" s="63">
        <v>881.08340498710231</v>
      </c>
      <c r="E45" s="63">
        <v>876.09630266552017</v>
      </c>
      <c r="F45" s="63">
        <v>894.15305245055879</v>
      </c>
      <c r="G45" s="63">
        <v>900.42992261392942</v>
      </c>
      <c r="H45" s="63">
        <v>923.21582115219258</v>
      </c>
      <c r="I45" s="63">
        <v>944.88392089423894</v>
      </c>
      <c r="J45" s="63">
        <v>943.76612209802227</v>
      </c>
      <c r="K45" s="63">
        <v>918.30910856161017</v>
      </c>
      <c r="L45" s="63">
        <v>931.63312606485704</v>
      </c>
      <c r="M45" s="63">
        <v>916.16716039527364</v>
      </c>
      <c r="N45" s="63">
        <v>901.02701665412008</v>
      </c>
      <c r="O45" s="63">
        <v>879.07967161976751</v>
      </c>
      <c r="P45" s="63">
        <v>884.0280789628473</v>
      </c>
      <c r="Q45" s="63">
        <v>864.51769556334955</v>
      </c>
      <c r="R45" s="63">
        <v>878.59983193072424</v>
      </c>
      <c r="S45" s="63">
        <v>900.2538627526792</v>
      </c>
      <c r="T45" s="63">
        <v>871.08012995178456</v>
      </c>
      <c r="U45" s="63">
        <v>849.23393569205405</v>
      </c>
      <c r="V45" s="63">
        <v>776.41488090815699</v>
      </c>
      <c r="W45" s="63">
        <v>821.92474557188586</v>
      </c>
      <c r="DA45" s="105" t="s">
        <v>210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DA46" s="106"/>
    </row>
    <row r="47" spans="1:105" ht="12.95" customHeight="1" x14ac:dyDescent="0.25">
      <c r="A47" s="81" t="s">
        <v>56</v>
      </c>
      <c r="B47" s="82">
        <f t="shared" ref="B47" si="21">SUM(B48,B53)</f>
        <v>1856.941702493551</v>
      </c>
      <c r="C47" s="82">
        <f t="shared" ref="C47:W47" si="22">SUM(C48,C53)</f>
        <v>1918.6315563198623</v>
      </c>
      <c r="D47" s="82">
        <f t="shared" si="22"/>
        <v>1940.7041272570937</v>
      </c>
      <c r="E47" s="82">
        <f t="shared" si="22"/>
        <v>1998.9024935511604</v>
      </c>
      <c r="F47" s="82">
        <f t="shared" si="22"/>
        <v>2013.2566638005155</v>
      </c>
      <c r="G47" s="82">
        <f t="shared" si="22"/>
        <v>2014.886242476354</v>
      </c>
      <c r="H47" s="82">
        <f t="shared" si="22"/>
        <v>2048.4656061908854</v>
      </c>
      <c r="I47" s="82">
        <f t="shared" si="22"/>
        <v>2018.6288907996554</v>
      </c>
      <c r="J47" s="82">
        <f t="shared" si="22"/>
        <v>2027.1331040412724</v>
      </c>
      <c r="K47" s="82">
        <f t="shared" si="22"/>
        <v>2008.3202005650496</v>
      </c>
      <c r="L47" s="82">
        <f t="shared" si="22"/>
        <v>2140.9261613185108</v>
      </c>
      <c r="M47" s="82">
        <f t="shared" si="22"/>
        <v>1959.1743830951877</v>
      </c>
      <c r="N47" s="82">
        <f t="shared" si="22"/>
        <v>1989.2469650634066</v>
      </c>
      <c r="O47" s="82">
        <f t="shared" si="22"/>
        <v>1974.3804454804717</v>
      </c>
      <c r="P47" s="82">
        <f t="shared" si="22"/>
        <v>1855.0640204933711</v>
      </c>
      <c r="Q47" s="82">
        <f t="shared" si="22"/>
        <v>1935.6274118144242</v>
      </c>
      <c r="R47" s="82">
        <f t="shared" si="22"/>
        <v>1988.1877940975346</v>
      </c>
      <c r="S47" s="82">
        <f t="shared" si="22"/>
        <v>2033.3148257793348</v>
      </c>
      <c r="T47" s="82">
        <f t="shared" si="22"/>
        <v>1971.3010241908214</v>
      </c>
      <c r="U47" s="82">
        <f t="shared" si="22"/>
        <v>1912.4606768786407</v>
      </c>
      <c r="V47" s="82">
        <f t="shared" si="22"/>
        <v>1807.7797992228593</v>
      </c>
      <c r="W47" s="82">
        <f t="shared" si="22"/>
        <v>2044.5971445400714</v>
      </c>
      <c r="DA47" s="107" t="s">
        <v>211</v>
      </c>
    </row>
    <row r="48" spans="1:105" ht="12" customHeight="1" x14ac:dyDescent="0.25">
      <c r="A48" s="77" t="s">
        <v>36</v>
      </c>
      <c r="B48" s="64">
        <f t="shared" ref="B48" si="23">SUM(B49:B52)</f>
        <v>1411.7326716081686</v>
      </c>
      <c r="C48" s="64">
        <f t="shared" ref="C48:W48" si="24">SUM(C49:C52)</f>
        <v>1460.6402527644409</v>
      </c>
      <c r="D48" s="64">
        <f t="shared" si="24"/>
        <v>1468.4531728110026</v>
      </c>
      <c r="E48" s="64">
        <f t="shared" si="24"/>
        <v>1512.0925117219153</v>
      </c>
      <c r="F48" s="64">
        <f t="shared" si="24"/>
        <v>1512.280553918436</v>
      </c>
      <c r="G48" s="64">
        <f t="shared" si="24"/>
        <v>1499.2969728605665</v>
      </c>
      <c r="H48" s="64">
        <f t="shared" si="24"/>
        <v>1522.9870964538302</v>
      </c>
      <c r="I48" s="64">
        <f t="shared" si="24"/>
        <v>1481.3300901179659</v>
      </c>
      <c r="J48" s="64">
        <f t="shared" si="24"/>
        <v>1480.8701013787042</v>
      </c>
      <c r="K48" s="64">
        <f t="shared" si="24"/>
        <v>1451.4542516703355</v>
      </c>
      <c r="L48" s="64">
        <f t="shared" si="24"/>
        <v>1574.1884788062775</v>
      </c>
      <c r="M48" s="64">
        <f t="shared" si="24"/>
        <v>1386.5751043509063</v>
      </c>
      <c r="N48" s="64">
        <f t="shared" si="24"/>
        <v>1412.3781410743668</v>
      </c>
      <c r="O48" s="64">
        <f t="shared" si="24"/>
        <v>1388.2873970854873</v>
      </c>
      <c r="P48" s="64">
        <f t="shared" si="24"/>
        <v>1258.6209617819161</v>
      </c>
      <c r="Q48" s="64">
        <f t="shared" si="24"/>
        <v>1328.6517978279564</v>
      </c>
      <c r="R48" s="64">
        <f t="shared" si="24"/>
        <v>1378.3294112992846</v>
      </c>
      <c r="S48" s="64">
        <f t="shared" si="24"/>
        <v>1404.9742551487716</v>
      </c>
      <c r="T48" s="64">
        <f t="shared" si="24"/>
        <v>1347.0290313792684</v>
      </c>
      <c r="U48" s="64">
        <f t="shared" si="24"/>
        <v>1290.382620034399</v>
      </c>
      <c r="V48" s="64">
        <f t="shared" si="24"/>
        <v>1224.0466318806759</v>
      </c>
      <c r="W48" s="64">
        <f t="shared" si="24"/>
        <v>1442.3250134140524</v>
      </c>
      <c r="DA48" s="108" t="s">
        <v>212</v>
      </c>
    </row>
    <row r="49" spans="1:105" ht="12" customHeight="1" x14ac:dyDescent="0.25">
      <c r="A49" s="61" t="s">
        <v>32</v>
      </c>
      <c r="B49" s="65">
        <v>1128.6053575584669</v>
      </c>
      <c r="C49" s="65">
        <v>1174.0739735302527</v>
      </c>
      <c r="D49" s="65">
        <v>1176.1620192236244</v>
      </c>
      <c r="E49" s="65">
        <v>1212.4741637289637</v>
      </c>
      <c r="F49" s="65">
        <v>1207.1064033420475</v>
      </c>
      <c r="G49" s="65">
        <v>1189.1653997020819</v>
      </c>
      <c r="H49" s="65">
        <v>1205.9449310747291</v>
      </c>
      <c r="I49" s="65">
        <v>1159.4887518436353</v>
      </c>
      <c r="J49" s="65">
        <v>1155.4779082146379</v>
      </c>
      <c r="K49" s="65">
        <v>1121.5635811333266</v>
      </c>
      <c r="L49" s="65">
        <v>1240.6016191095591</v>
      </c>
      <c r="M49" s="65">
        <v>1049.5680187162839</v>
      </c>
      <c r="N49" s="65">
        <v>1070.4190440766015</v>
      </c>
      <c r="O49" s="65">
        <v>1044.5854635917051</v>
      </c>
      <c r="P49" s="65">
        <v>913.69547238070481</v>
      </c>
      <c r="Q49" s="65">
        <v>978.49814896028545</v>
      </c>
      <c r="R49" s="65">
        <v>1024.1961916400373</v>
      </c>
      <c r="S49" s="65">
        <v>1050.163756006061</v>
      </c>
      <c r="T49" s="65">
        <v>994.07126443070558</v>
      </c>
      <c r="U49" s="65">
        <v>940.49618449745242</v>
      </c>
      <c r="V49" s="65">
        <v>915.20572866461009</v>
      </c>
      <c r="W49" s="65">
        <v>1109.0958996490215</v>
      </c>
      <c r="DA49" s="109" t="s">
        <v>213</v>
      </c>
    </row>
    <row r="50" spans="1:105" ht="12" customHeight="1" x14ac:dyDescent="0.25">
      <c r="A50" s="61" t="s">
        <v>31</v>
      </c>
      <c r="B50" s="65">
        <v>22.733278859691765</v>
      </c>
      <c r="C50" s="65">
        <v>22.524980063922733</v>
      </c>
      <c r="D50" s="65">
        <v>22.67178742429013</v>
      </c>
      <c r="E50" s="65">
        <v>22.257224505731791</v>
      </c>
      <c r="F50" s="65">
        <v>21.98869072388845</v>
      </c>
      <c r="G50" s="65">
        <v>21.769040457070133</v>
      </c>
      <c r="H50" s="65">
        <v>21.657015567065883</v>
      </c>
      <c r="I50" s="65">
        <v>21.787324253998623</v>
      </c>
      <c r="J50" s="65">
        <v>21.2802964300433</v>
      </c>
      <c r="K50" s="65">
        <v>21.880178920266371</v>
      </c>
      <c r="L50" s="65">
        <v>22.395999392133632</v>
      </c>
      <c r="M50" s="65">
        <v>22.197469848023708</v>
      </c>
      <c r="N50" s="65">
        <v>22.053586106119269</v>
      </c>
      <c r="O50" s="65">
        <v>22.054495416641956</v>
      </c>
      <c r="P50" s="65">
        <v>22.141610995215853</v>
      </c>
      <c r="Q50" s="65">
        <v>21.826634259675483</v>
      </c>
      <c r="R50" s="65">
        <v>21.630992900157803</v>
      </c>
      <c r="S50" s="65">
        <v>21.482300242326346</v>
      </c>
      <c r="T50" s="65">
        <v>22.32482198133539</v>
      </c>
      <c r="U50" s="65">
        <v>21.7702488364645</v>
      </c>
      <c r="V50" s="65">
        <v>20.561499050173232</v>
      </c>
      <c r="W50" s="65">
        <v>20.691985480840092</v>
      </c>
      <c r="DA50" s="109" t="s">
        <v>214</v>
      </c>
    </row>
    <row r="51" spans="1:105" ht="12" customHeight="1" x14ac:dyDescent="0.25">
      <c r="A51" s="61" t="s">
        <v>35</v>
      </c>
      <c r="B51" s="65">
        <v>140.32938973162413</v>
      </c>
      <c r="C51" s="65">
        <v>141.09303106121428</v>
      </c>
      <c r="D51" s="65">
        <v>143.16891127992503</v>
      </c>
      <c r="E51" s="65">
        <v>145.08277138991548</v>
      </c>
      <c r="F51" s="65">
        <v>146.6162022012391</v>
      </c>
      <c r="G51" s="65">
        <v>149.01338328301048</v>
      </c>
      <c r="H51" s="65">
        <v>151.58965300441471</v>
      </c>
      <c r="I51" s="65">
        <v>153.99229512601582</v>
      </c>
      <c r="J51" s="65">
        <v>155.37108763217117</v>
      </c>
      <c r="K51" s="65">
        <v>156.78676377647284</v>
      </c>
      <c r="L51" s="65">
        <v>156.93672091385253</v>
      </c>
      <c r="M51" s="65">
        <v>157.92525130281763</v>
      </c>
      <c r="N51" s="65">
        <v>160.04518018793584</v>
      </c>
      <c r="O51" s="65">
        <v>160.42916529153879</v>
      </c>
      <c r="P51" s="65">
        <v>162.57988315880527</v>
      </c>
      <c r="Q51" s="65">
        <v>164.27654581473047</v>
      </c>
      <c r="R51" s="65">
        <v>165.07591193826391</v>
      </c>
      <c r="S51" s="65">
        <v>165.77510937676939</v>
      </c>
      <c r="T51" s="65">
        <v>163.50259685101423</v>
      </c>
      <c r="U51" s="65">
        <v>160.2480228850082</v>
      </c>
      <c r="V51" s="65">
        <v>139.76985217396833</v>
      </c>
      <c r="W51" s="65">
        <v>153.98099342158048</v>
      </c>
      <c r="DA51" s="109" t="s">
        <v>215</v>
      </c>
    </row>
    <row r="52" spans="1:105" ht="12" customHeight="1" x14ac:dyDescent="0.25">
      <c r="A52" s="66" t="s">
        <v>34</v>
      </c>
      <c r="B52" s="67">
        <v>120.06464545838574</v>
      </c>
      <c r="C52" s="67">
        <v>122.94826810905103</v>
      </c>
      <c r="D52" s="67">
        <v>126.45045488316302</v>
      </c>
      <c r="E52" s="67">
        <v>132.27835209730446</v>
      </c>
      <c r="F52" s="67">
        <v>136.56925765126095</v>
      </c>
      <c r="G52" s="67">
        <v>139.34914941840401</v>
      </c>
      <c r="H52" s="67">
        <v>143.79549680762065</v>
      </c>
      <c r="I52" s="67">
        <v>146.0617188943163</v>
      </c>
      <c r="J52" s="67">
        <v>148.74080910185185</v>
      </c>
      <c r="K52" s="67">
        <v>151.22372784026959</v>
      </c>
      <c r="L52" s="67">
        <v>154.25413939073235</v>
      </c>
      <c r="M52" s="67">
        <v>156.88436448378124</v>
      </c>
      <c r="N52" s="67">
        <v>159.86033070371013</v>
      </c>
      <c r="O52" s="67">
        <v>161.21827278560158</v>
      </c>
      <c r="P52" s="67">
        <v>160.20399524719019</v>
      </c>
      <c r="Q52" s="67">
        <v>164.05046879326514</v>
      </c>
      <c r="R52" s="67">
        <v>167.42631482082561</v>
      </c>
      <c r="S52" s="67">
        <v>167.55308952361483</v>
      </c>
      <c r="T52" s="67">
        <v>167.13034811621304</v>
      </c>
      <c r="U52" s="67">
        <v>167.86816381547388</v>
      </c>
      <c r="V52" s="67">
        <v>148.50955199192444</v>
      </c>
      <c r="W52" s="67">
        <v>158.55613486261041</v>
      </c>
      <c r="DA52" s="110" t="s">
        <v>216</v>
      </c>
    </row>
    <row r="53" spans="1:105" ht="12" customHeight="1" x14ac:dyDescent="0.25">
      <c r="A53" s="78" t="s">
        <v>33</v>
      </c>
      <c r="B53" s="68">
        <v>445.2090308853825</v>
      </c>
      <c r="C53" s="68">
        <v>457.9913035554215</v>
      </c>
      <c r="D53" s="68">
        <v>472.25095444609121</v>
      </c>
      <c r="E53" s="68">
        <v>486.80998182924509</v>
      </c>
      <c r="F53" s="68">
        <v>500.97610988207958</v>
      </c>
      <c r="G53" s="68">
        <v>515.58926961578754</v>
      </c>
      <c r="H53" s="68">
        <v>525.47850973705522</v>
      </c>
      <c r="I53" s="68">
        <v>537.2988006816895</v>
      </c>
      <c r="J53" s="68">
        <v>546.26300266256817</v>
      </c>
      <c r="K53" s="68">
        <v>556.86594889471405</v>
      </c>
      <c r="L53" s="68">
        <v>566.73768251223305</v>
      </c>
      <c r="M53" s="68">
        <v>572.59927874428149</v>
      </c>
      <c r="N53" s="68">
        <v>576.86882398903992</v>
      </c>
      <c r="O53" s="68">
        <v>586.09304839498441</v>
      </c>
      <c r="P53" s="68">
        <v>596.44305871145502</v>
      </c>
      <c r="Q53" s="68">
        <v>606.97561398646781</v>
      </c>
      <c r="R53" s="68">
        <v>609.85838279824998</v>
      </c>
      <c r="S53" s="68">
        <v>628.34057063056321</v>
      </c>
      <c r="T53" s="68">
        <v>624.2719928115531</v>
      </c>
      <c r="U53" s="68">
        <v>622.0780568442417</v>
      </c>
      <c r="V53" s="68">
        <v>583.73316734218326</v>
      </c>
      <c r="W53" s="68">
        <v>602.27213112601919</v>
      </c>
      <c r="DA53" s="111" t="s">
        <v>217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25">IF(B47=0,0,B47/B$47)</f>
        <v>1</v>
      </c>
      <c r="C55" s="83">
        <f t="shared" ref="C55:W55" si="26">IF(C47=0,0,C47/C$47)</f>
        <v>1</v>
      </c>
      <c r="D55" s="83">
        <f t="shared" si="26"/>
        <v>1</v>
      </c>
      <c r="E55" s="83">
        <f t="shared" si="26"/>
        <v>1</v>
      </c>
      <c r="F55" s="83">
        <f t="shared" si="26"/>
        <v>1</v>
      </c>
      <c r="G55" s="83">
        <f t="shared" si="26"/>
        <v>1</v>
      </c>
      <c r="H55" s="83">
        <f t="shared" si="26"/>
        <v>1</v>
      </c>
      <c r="I55" s="83">
        <f t="shared" si="26"/>
        <v>1</v>
      </c>
      <c r="J55" s="83">
        <f t="shared" si="26"/>
        <v>1</v>
      </c>
      <c r="K55" s="83">
        <f t="shared" si="26"/>
        <v>1</v>
      </c>
      <c r="L55" s="83">
        <f t="shared" si="26"/>
        <v>1</v>
      </c>
      <c r="M55" s="83">
        <f t="shared" si="26"/>
        <v>1</v>
      </c>
      <c r="N55" s="83">
        <f t="shared" si="26"/>
        <v>1</v>
      </c>
      <c r="O55" s="83">
        <f t="shared" si="26"/>
        <v>1</v>
      </c>
      <c r="P55" s="83">
        <f t="shared" si="26"/>
        <v>1</v>
      </c>
      <c r="Q55" s="83">
        <f t="shared" si="26"/>
        <v>1</v>
      </c>
      <c r="R55" s="83">
        <f t="shared" si="26"/>
        <v>1</v>
      </c>
      <c r="S55" s="83">
        <f t="shared" si="26"/>
        <v>1</v>
      </c>
      <c r="T55" s="83">
        <f t="shared" si="26"/>
        <v>1</v>
      </c>
      <c r="U55" s="83">
        <f t="shared" si="26"/>
        <v>1</v>
      </c>
      <c r="V55" s="83">
        <f t="shared" si="26"/>
        <v>1</v>
      </c>
      <c r="W55" s="83">
        <f t="shared" si="26"/>
        <v>1</v>
      </c>
      <c r="DA55" s="112"/>
    </row>
    <row r="56" spans="1:105" ht="12" customHeight="1" x14ac:dyDescent="0.25">
      <c r="A56" s="69" t="s">
        <v>36</v>
      </c>
      <c r="B56" s="70">
        <f t="shared" ref="B56" si="27">IF(B48=0,0,B48/B$47)</f>
        <v>0.76024609157759571</v>
      </c>
      <c r="C56" s="70">
        <f t="shared" ref="C56:W56" si="28">IF(C48=0,0,C48/C$47)</f>
        <v>0.76129272863941788</v>
      </c>
      <c r="D56" s="70">
        <f t="shared" si="28"/>
        <v>0.75665999375517901</v>
      </c>
      <c r="E56" s="70">
        <f t="shared" si="28"/>
        <v>0.75646136647495976</v>
      </c>
      <c r="F56" s="70">
        <f t="shared" si="28"/>
        <v>0.75116133035101229</v>
      </c>
      <c r="G56" s="70">
        <f t="shared" si="28"/>
        <v>0.74410998559297659</v>
      </c>
      <c r="H56" s="70">
        <f t="shared" si="28"/>
        <v>0.74347701609001837</v>
      </c>
      <c r="I56" s="70">
        <f t="shared" si="28"/>
        <v>0.73382982720075651</v>
      </c>
      <c r="J56" s="70">
        <f t="shared" si="28"/>
        <v>0.73052435403795457</v>
      </c>
      <c r="K56" s="70">
        <f t="shared" si="28"/>
        <v>0.72272053592946106</v>
      </c>
      <c r="L56" s="70">
        <f t="shared" si="28"/>
        <v>0.73528387258194738</v>
      </c>
      <c r="M56" s="70">
        <f t="shared" si="28"/>
        <v>0.70773439889528134</v>
      </c>
      <c r="N56" s="70">
        <f t="shared" si="28"/>
        <v>0.71000643252425311</v>
      </c>
      <c r="O56" s="70">
        <f t="shared" si="28"/>
        <v>0.70315090501600019</v>
      </c>
      <c r="P56" s="70">
        <f t="shared" si="28"/>
        <v>0.67847845027320108</v>
      </c>
      <c r="Q56" s="70">
        <f t="shared" si="28"/>
        <v>0.68641918879548247</v>
      </c>
      <c r="R56" s="70">
        <f t="shared" si="28"/>
        <v>0.69325916565387979</v>
      </c>
      <c r="S56" s="70">
        <f t="shared" si="28"/>
        <v>0.69097723448225434</v>
      </c>
      <c r="T56" s="70">
        <f t="shared" si="28"/>
        <v>0.68331980496595957</v>
      </c>
      <c r="U56" s="70">
        <f t="shared" si="28"/>
        <v>0.67472373975315103</v>
      </c>
      <c r="V56" s="70">
        <f t="shared" si="28"/>
        <v>0.6770994080179884</v>
      </c>
      <c r="W56" s="70">
        <f t="shared" si="28"/>
        <v>0.70543237197883346</v>
      </c>
      <c r="DA56" s="113"/>
    </row>
    <row r="57" spans="1:105" ht="12" customHeight="1" x14ac:dyDescent="0.25">
      <c r="A57" s="61" t="s">
        <v>32</v>
      </c>
      <c r="B57" s="71">
        <f t="shared" ref="B57" si="29">IF(B49=0,0,B49/B$47)</f>
        <v>0.60777640786619502</v>
      </c>
      <c r="C57" s="71">
        <f t="shared" ref="C57:W57" si="30">IF(C49=0,0,C49/C$47)</f>
        <v>0.61193300488721791</v>
      </c>
      <c r="D57" s="71">
        <f t="shared" si="30"/>
        <v>0.60604911521776395</v>
      </c>
      <c r="E57" s="71">
        <f t="shared" si="30"/>
        <v>0.60656993907438506</v>
      </c>
      <c r="F57" s="71">
        <f t="shared" si="30"/>
        <v>0.59957899310430607</v>
      </c>
      <c r="G57" s="71">
        <f t="shared" si="30"/>
        <v>0.5901898452790878</v>
      </c>
      <c r="H57" s="71">
        <f t="shared" si="30"/>
        <v>0.58870645786295595</v>
      </c>
      <c r="I57" s="71">
        <f t="shared" si="30"/>
        <v>0.57439421239251054</v>
      </c>
      <c r="J57" s="71">
        <f t="shared" si="30"/>
        <v>0.57000593888535911</v>
      </c>
      <c r="K57" s="71">
        <f t="shared" si="30"/>
        <v>0.5584585470074791</v>
      </c>
      <c r="L57" s="71">
        <f t="shared" si="30"/>
        <v>0.57946959662799491</v>
      </c>
      <c r="M57" s="71">
        <f t="shared" si="30"/>
        <v>0.53571954991476112</v>
      </c>
      <c r="N57" s="71">
        <f t="shared" si="30"/>
        <v>0.53810264028352173</v>
      </c>
      <c r="O57" s="71">
        <f t="shared" si="30"/>
        <v>0.52907000065911913</v>
      </c>
      <c r="P57" s="71">
        <f t="shared" si="30"/>
        <v>0.49254120735827717</v>
      </c>
      <c r="Q57" s="71">
        <f t="shared" si="30"/>
        <v>0.50551988620736565</v>
      </c>
      <c r="R57" s="71">
        <f t="shared" si="30"/>
        <v>0.51514056905521532</v>
      </c>
      <c r="S57" s="71">
        <f t="shared" si="30"/>
        <v>0.5164786793916929</v>
      </c>
      <c r="T57" s="71">
        <f t="shared" si="30"/>
        <v>0.50427167248023497</v>
      </c>
      <c r="U57" s="71">
        <f t="shared" si="30"/>
        <v>0.49177282224304453</v>
      </c>
      <c r="V57" s="71">
        <f t="shared" si="30"/>
        <v>0.50625951736934161</v>
      </c>
      <c r="W57" s="71">
        <f t="shared" si="30"/>
        <v>0.54245204372449163</v>
      </c>
      <c r="DA57" s="114"/>
    </row>
    <row r="58" spans="1:105" ht="12" customHeight="1" x14ac:dyDescent="0.25">
      <c r="A58" s="61" t="s">
        <v>31</v>
      </c>
      <c r="B58" s="72">
        <f t="shared" ref="B58" si="31">IF(B50=0,0,B50/B$47)</f>
        <v>1.224232232447842E-2</v>
      </c>
      <c r="C58" s="72">
        <f t="shared" ref="C58:W58" si="32">IF(C50=0,0,C50/C$47)</f>
        <v>1.1740128004111441E-2</v>
      </c>
      <c r="D58" s="72">
        <f t="shared" si="32"/>
        <v>1.1682248265392955E-2</v>
      </c>
      <c r="E58" s="72">
        <f t="shared" si="32"/>
        <v>1.1134722467723079E-2</v>
      </c>
      <c r="F58" s="72">
        <f t="shared" si="32"/>
        <v>1.0921951045416834E-2</v>
      </c>
      <c r="G58" s="72">
        <f t="shared" si="32"/>
        <v>1.0804103972795678E-2</v>
      </c>
      <c r="H58" s="72">
        <f t="shared" si="32"/>
        <v>1.0572311051556793E-2</v>
      </c>
      <c r="I58" s="72">
        <f t="shared" si="32"/>
        <v>1.079313010593435E-2</v>
      </c>
      <c r="J58" s="72">
        <f t="shared" si="32"/>
        <v>1.0497730212001921E-2</v>
      </c>
      <c r="K58" s="72">
        <f t="shared" si="32"/>
        <v>1.0894766140434322E-2</v>
      </c>
      <c r="L58" s="72">
        <f t="shared" si="32"/>
        <v>1.0460892952207578E-2</v>
      </c>
      <c r="M58" s="72">
        <f t="shared" si="32"/>
        <v>1.133001229474795E-2</v>
      </c>
      <c r="N58" s="72">
        <f t="shared" si="32"/>
        <v>1.1086399272408249E-2</v>
      </c>
      <c r="O58" s="72">
        <f t="shared" si="32"/>
        <v>1.1170337240285483E-2</v>
      </c>
      <c r="P58" s="72">
        <f t="shared" si="32"/>
        <v>1.1935766502186319E-2</v>
      </c>
      <c r="Q58" s="72">
        <f t="shared" si="32"/>
        <v>1.1276258088955026E-2</v>
      </c>
      <c r="R58" s="72">
        <f t="shared" si="32"/>
        <v>1.0879753393706153E-2</v>
      </c>
      <c r="S58" s="72">
        <f t="shared" si="32"/>
        <v>1.0565161857850787E-2</v>
      </c>
      <c r="T58" s="72">
        <f t="shared" si="32"/>
        <v>1.1324917761101084E-2</v>
      </c>
      <c r="U58" s="72">
        <f t="shared" si="32"/>
        <v>1.1383370701245524E-2</v>
      </c>
      <c r="V58" s="72">
        <f t="shared" si="32"/>
        <v>1.1373895791407974E-2</v>
      </c>
      <c r="W58" s="72">
        <f t="shared" si="32"/>
        <v>1.0120323965088348E-2</v>
      </c>
      <c r="DA58" s="115"/>
    </row>
    <row r="59" spans="1:105" ht="12" customHeight="1" x14ac:dyDescent="0.25">
      <c r="A59" s="61" t="s">
        <v>35</v>
      </c>
      <c r="B59" s="72">
        <f t="shared" ref="B59" si="33">IF(B51=0,0,B51/B$47)</f>
        <v>7.5570164396214529E-2</v>
      </c>
      <c r="C59" s="72">
        <f t="shared" ref="C59:W59" si="34">IF(C51=0,0,C51/C$47)</f>
        <v>7.3538366757526702E-2</v>
      </c>
      <c r="D59" s="72">
        <f t="shared" si="34"/>
        <v>7.3771632300423717E-2</v>
      </c>
      <c r="E59" s="72">
        <f t="shared" si="34"/>
        <v>7.2581214870650321E-2</v>
      </c>
      <c r="F59" s="72">
        <f t="shared" si="34"/>
        <v>7.2825390243321034E-2</v>
      </c>
      <c r="G59" s="72">
        <f t="shared" si="34"/>
        <v>7.3956226481485463E-2</v>
      </c>
      <c r="H59" s="72">
        <f t="shared" si="34"/>
        <v>7.4001561239924907E-2</v>
      </c>
      <c r="I59" s="72">
        <f t="shared" si="34"/>
        <v>7.6285589603849194E-2</v>
      </c>
      <c r="J59" s="72">
        <f t="shared" si="34"/>
        <v>7.6645725592673172E-2</v>
      </c>
      <c r="K59" s="72">
        <f t="shared" si="34"/>
        <v>7.8068608647346271E-2</v>
      </c>
      <c r="L59" s="72">
        <f t="shared" si="34"/>
        <v>7.3303191744455806E-2</v>
      </c>
      <c r="M59" s="72">
        <f t="shared" si="34"/>
        <v>8.0608062592835941E-2</v>
      </c>
      <c r="N59" s="72">
        <f t="shared" si="34"/>
        <v>8.045515865991755E-2</v>
      </c>
      <c r="O59" s="72">
        <f t="shared" si="34"/>
        <v>8.1255446820684987E-2</v>
      </c>
      <c r="P59" s="72">
        <f t="shared" si="34"/>
        <v>8.7641117159700868E-2</v>
      </c>
      <c r="Q59" s="72">
        <f t="shared" si="34"/>
        <v>8.486992114910194E-2</v>
      </c>
      <c r="R59" s="72">
        <f t="shared" si="34"/>
        <v>8.3028329832994532E-2</v>
      </c>
      <c r="S59" s="72">
        <f t="shared" si="34"/>
        <v>8.1529484403985802E-2</v>
      </c>
      <c r="T59" s="72">
        <f t="shared" si="34"/>
        <v>8.294146598849797E-2</v>
      </c>
      <c r="U59" s="72">
        <f t="shared" si="34"/>
        <v>8.3791538734564575E-2</v>
      </c>
      <c r="V59" s="72">
        <f t="shared" si="34"/>
        <v>7.7315750642889994E-2</v>
      </c>
      <c r="W59" s="72">
        <f t="shared" si="34"/>
        <v>7.5311165249728571E-2</v>
      </c>
      <c r="DA59" s="115"/>
    </row>
    <row r="60" spans="1:105" ht="12" customHeight="1" x14ac:dyDescent="0.25">
      <c r="A60" s="61" t="s">
        <v>34</v>
      </c>
      <c r="B60" s="73">
        <f t="shared" ref="B60" si="35">IF(B52=0,0,B52/B$47)</f>
        <v>6.4657196990707738E-2</v>
      </c>
      <c r="C60" s="73">
        <f t="shared" ref="C60:W60" si="36">IF(C52=0,0,C52/C$47)</f>
        <v>6.4081228990561775E-2</v>
      </c>
      <c r="D60" s="73">
        <f t="shared" si="36"/>
        <v>6.5156997971598365E-2</v>
      </c>
      <c r="E60" s="73">
        <f t="shared" si="36"/>
        <v>6.6175490062201428E-2</v>
      </c>
      <c r="F60" s="73">
        <f t="shared" si="36"/>
        <v>6.7834995957968422E-2</v>
      </c>
      <c r="G60" s="73">
        <f t="shared" si="36"/>
        <v>6.9159809859607679E-2</v>
      </c>
      <c r="H60" s="73">
        <f t="shared" si="36"/>
        <v>7.019668593558076E-2</v>
      </c>
      <c r="I60" s="73">
        <f t="shared" si="36"/>
        <v>7.2356895098462465E-2</v>
      </c>
      <c r="J60" s="73">
        <f t="shared" si="36"/>
        <v>7.3374959347920293E-2</v>
      </c>
      <c r="K60" s="73">
        <f t="shared" si="36"/>
        <v>7.5298614134201372E-2</v>
      </c>
      <c r="L60" s="73">
        <f t="shared" si="36"/>
        <v>7.2050191257289037E-2</v>
      </c>
      <c r="M60" s="73">
        <f t="shared" si="36"/>
        <v>8.0076774092936329E-2</v>
      </c>
      <c r="N60" s="73">
        <f t="shared" si="36"/>
        <v>8.0362234308405556E-2</v>
      </c>
      <c r="O60" s="73">
        <f t="shared" si="36"/>
        <v>8.1655120295910655E-2</v>
      </c>
      <c r="P60" s="73">
        <f t="shared" si="36"/>
        <v>8.6360359253036714E-2</v>
      </c>
      <c r="Q60" s="73">
        <f t="shared" si="36"/>
        <v>8.4753123350059925E-2</v>
      </c>
      <c r="R60" s="73">
        <f t="shared" si="36"/>
        <v>8.421051337196378E-2</v>
      </c>
      <c r="S60" s="73">
        <f t="shared" si="36"/>
        <v>8.2403908828724837E-2</v>
      </c>
      <c r="T60" s="73">
        <f t="shared" si="36"/>
        <v>8.4781748736125484E-2</v>
      </c>
      <c r="U60" s="73">
        <f t="shared" si="36"/>
        <v>8.7776008074296377E-2</v>
      </c>
      <c r="V60" s="73">
        <f t="shared" si="36"/>
        <v>8.2150244214348855E-2</v>
      </c>
      <c r="W60" s="73">
        <f t="shared" si="36"/>
        <v>7.7548839039524989E-2</v>
      </c>
      <c r="DA60" s="116"/>
    </row>
    <row r="61" spans="1:105" ht="12" customHeight="1" x14ac:dyDescent="0.25">
      <c r="A61" s="69" t="s">
        <v>33</v>
      </c>
      <c r="B61" s="70">
        <f t="shared" ref="B61" si="37">IF(B53=0,0,B53/B$47)</f>
        <v>0.23975390842240438</v>
      </c>
      <c r="C61" s="70">
        <f t="shared" ref="C61:W61" si="38">IF(C53=0,0,C53/C$47)</f>
        <v>0.2387072713605822</v>
      </c>
      <c r="D61" s="70">
        <f t="shared" si="38"/>
        <v>0.24334000624482108</v>
      </c>
      <c r="E61" s="70">
        <f t="shared" si="38"/>
        <v>0.24353863352504021</v>
      </c>
      <c r="F61" s="70">
        <f t="shared" si="38"/>
        <v>0.24883866964898771</v>
      </c>
      <c r="G61" s="70">
        <f t="shared" si="38"/>
        <v>0.25589001440702341</v>
      </c>
      <c r="H61" s="70">
        <f t="shared" si="38"/>
        <v>0.25652298390998163</v>
      </c>
      <c r="I61" s="70">
        <f t="shared" si="38"/>
        <v>0.26617017279924349</v>
      </c>
      <c r="J61" s="70">
        <f t="shared" si="38"/>
        <v>0.26947564596204543</v>
      </c>
      <c r="K61" s="70">
        <f t="shared" si="38"/>
        <v>0.27727946407053883</v>
      </c>
      <c r="L61" s="70">
        <f t="shared" si="38"/>
        <v>0.26471612741805256</v>
      </c>
      <c r="M61" s="70">
        <f t="shared" si="38"/>
        <v>0.29226560110471872</v>
      </c>
      <c r="N61" s="70">
        <f t="shared" si="38"/>
        <v>0.289993567475747</v>
      </c>
      <c r="O61" s="70">
        <f t="shared" si="38"/>
        <v>0.29684909498399981</v>
      </c>
      <c r="P61" s="70">
        <f t="shared" si="38"/>
        <v>0.32152154972679897</v>
      </c>
      <c r="Q61" s="70">
        <f t="shared" si="38"/>
        <v>0.31358081120451747</v>
      </c>
      <c r="R61" s="70">
        <f t="shared" si="38"/>
        <v>0.30674083434612021</v>
      </c>
      <c r="S61" s="70">
        <f t="shared" si="38"/>
        <v>0.30902276551774566</v>
      </c>
      <c r="T61" s="70">
        <f t="shared" si="38"/>
        <v>0.31668019503404049</v>
      </c>
      <c r="U61" s="70">
        <f t="shared" si="38"/>
        <v>0.32527626024684897</v>
      </c>
      <c r="V61" s="70">
        <f t="shared" si="38"/>
        <v>0.32290059198201154</v>
      </c>
      <c r="W61" s="70">
        <f t="shared" si="38"/>
        <v>0.29456762802116659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877.91577276470889</v>
      </c>
      <c r="C65" s="80">
        <v>843.23867390271369</v>
      </c>
      <c r="D65" s="80">
        <v>855.28971227035811</v>
      </c>
      <c r="E65" s="80">
        <v>945.91863956605096</v>
      </c>
      <c r="F65" s="80">
        <v>943.58361559224909</v>
      </c>
      <c r="G65" s="80">
        <v>935.44305340753181</v>
      </c>
      <c r="H65" s="80">
        <v>940.69255063481955</v>
      </c>
      <c r="I65" s="80">
        <v>855.44592202317358</v>
      </c>
      <c r="J65" s="80">
        <v>842.58409705174165</v>
      </c>
      <c r="K65" s="80">
        <v>819.24607817243668</v>
      </c>
      <c r="L65" s="80">
        <v>808.14124006684858</v>
      </c>
      <c r="M65" s="80">
        <v>648.15660564573795</v>
      </c>
      <c r="N65" s="80">
        <v>723.43560399621288</v>
      </c>
      <c r="O65" s="80">
        <v>730.11161298425145</v>
      </c>
      <c r="P65" s="80">
        <v>584.53187852623591</v>
      </c>
      <c r="Q65" s="80">
        <v>705.78377428300496</v>
      </c>
      <c r="R65" s="80">
        <v>722.4789166875903</v>
      </c>
      <c r="S65" s="80">
        <v>756.0983753278615</v>
      </c>
      <c r="T65" s="80">
        <v>673.74772959671498</v>
      </c>
      <c r="U65" s="80">
        <v>620.01843410773392</v>
      </c>
      <c r="V65" s="80">
        <v>618.6594533995941</v>
      </c>
      <c r="W65" s="80">
        <v>854.01858614875107</v>
      </c>
      <c r="DA65" s="103" t="s">
        <v>218</v>
      </c>
    </row>
    <row r="66" spans="1:105" ht="12" customHeight="1" x14ac:dyDescent="0.25">
      <c r="A66" s="58" t="s">
        <v>29</v>
      </c>
      <c r="B66" s="59">
        <v>0</v>
      </c>
      <c r="C66" s="59">
        <v>0</v>
      </c>
      <c r="D66" s="59">
        <v>0</v>
      </c>
      <c r="E66" s="59">
        <v>0</v>
      </c>
      <c r="F66" s="59">
        <v>0</v>
      </c>
      <c r="G66" s="59">
        <v>0</v>
      </c>
      <c r="H66" s="59">
        <v>0</v>
      </c>
      <c r="I66" s="59">
        <v>0</v>
      </c>
      <c r="J66" s="59">
        <v>0</v>
      </c>
      <c r="K66" s="59">
        <v>0</v>
      </c>
      <c r="L66" s="59">
        <v>0</v>
      </c>
      <c r="M66" s="59">
        <v>0</v>
      </c>
      <c r="N66" s="59">
        <v>0</v>
      </c>
      <c r="O66" s="59">
        <v>0</v>
      </c>
      <c r="P66" s="59">
        <v>0</v>
      </c>
      <c r="Q66" s="59">
        <v>0</v>
      </c>
      <c r="R66" s="59">
        <v>0</v>
      </c>
      <c r="S66" s="59">
        <v>0</v>
      </c>
      <c r="T66" s="59">
        <v>0</v>
      </c>
      <c r="U66" s="59">
        <v>0</v>
      </c>
      <c r="V66" s="59">
        <v>0</v>
      </c>
      <c r="W66" s="59">
        <v>0</v>
      </c>
      <c r="DA66" s="104" t="s">
        <v>219</v>
      </c>
    </row>
    <row r="67" spans="1:105" ht="12" customHeight="1" x14ac:dyDescent="0.25">
      <c r="A67" s="60" t="s">
        <v>28</v>
      </c>
      <c r="B67" s="55">
        <f>SUM(B68:B69)</f>
        <v>416.67634872000014</v>
      </c>
      <c r="C67" s="55">
        <f t="shared" ref="C67:W67" si="39">SUM(C68:C69)</f>
        <v>385.10677367999995</v>
      </c>
      <c r="D67" s="55">
        <f t="shared" si="39"/>
        <v>359.66989763999993</v>
      </c>
      <c r="E67" s="55">
        <f t="shared" si="39"/>
        <v>359.55071028000009</v>
      </c>
      <c r="F67" s="55">
        <f t="shared" si="39"/>
        <v>371.92690152</v>
      </c>
      <c r="G67" s="55">
        <f t="shared" si="39"/>
        <v>333.49125708000003</v>
      </c>
      <c r="H67" s="55">
        <f t="shared" si="39"/>
        <v>279.87266339999996</v>
      </c>
      <c r="I67" s="55">
        <f t="shared" si="39"/>
        <v>248.16585131999997</v>
      </c>
      <c r="J67" s="55">
        <f t="shared" si="39"/>
        <v>251.24041151999998</v>
      </c>
      <c r="K67" s="55">
        <f t="shared" si="39"/>
        <v>232.53514523999999</v>
      </c>
      <c r="L67" s="55">
        <f t="shared" si="39"/>
        <v>228.84809795999999</v>
      </c>
      <c r="M67" s="55">
        <f t="shared" si="39"/>
        <v>181.64861567999998</v>
      </c>
      <c r="N67" s="55">
        <f t="shared" si="39"/>
        <v>210.27544775999996</v>
      </c>
      <c r="O67" s="55">
        <f t="shared" si="39"/>
        <v>197.43167519999997</v>
      </c>
      <c r="P67" s="55">
        <f t="shared" si="39"/>
        <v>172.82947643999995</v>
      </c>
      <c r="Q67" s="55">
        <f t="shared" si="39"/>
        <v>188.48043432</v>
      </c>
      <c r="R67" s="55">
        <f t="shared" si="39"/>
        <v>189.81316007999999</v>
      </c>
      <c r="S67" s="55">
        <f t="shared" si="39"/>
        <v>173.35022831999999</v>
      </c>
      <c r="T67" s="55">
        <f t="shared" si="39"/>
        <v>187.61527224000002</v>
      </c>
      <c r="U67" s="55">
        <f t="shared" si="39"/>
        <v>102.93206436000001</v>
      </c>
      <c r="V67" s="55">
        <f t="shared" si="39"/>
        <v>113.38068599999998</v>
      </c>
      <c r="W67" s="55">
        <f t="shared" si="39"/>
        <v>92.218838399999981</v>
      </c>
      <c r="DA67" s="101"/>
    </row>
    <row r="68" spans="1:105" ht="12" customHeight="1" x14ac:dyDescent="0.25">
      <c r="A68" s="61" t="s">
        <v>52</v>
      </c>
      <c r="B68" s="55">
        <v>8.707724279999999</v>
      </c>
      <c r="C68" s="55">
        <v>8.707724279999999</v>
      </c>
      <c r="D68" s="55">
        <v>8.707724279999999</v>
      </c>
      <c r="E68" s="55">
        <v>11.610374759999999</v>
      </c>
      <c r="F68" s="55">
        <v>14.513025240000001</v>
      </c>
      <c r="G68" s="55">
        <v>17.415675720000003</v>
      </c>
      <c r="H68" s="55">
        <v>17.415675720000003</v>
      </c>
      <c r="I68" s="55">
        <v>17.415675720000003</v>
      </c>
      <c r="J68" s="55">
        <v>17.415675720000003</v>
      </c>
      <c r="K68" s="55">
        <v>17.415675720000003</v>
      </c>
      <c r="L68" s="55">
        <v>23.220749519999998</v>
      </c>
      <c r="M68" s="55">
        <v>20.318099040000003</v>
      </c>
      <c r="N68" s="55">
        <v>17.415675720000003</v>
      </c>
      <c r="O68" s="55">
        <v>20.318099040000003</v>
      </c>
      <c r="P68" s="55">
        <v>11.610374759999999</v>
      </c>
      <c r="Q68" s="55">
        <v>24.079868640000001</v>
      </c>
      <c r="R68" s="55">
        <v>25.438285440000001</v>
      </c>
      <c r="S68" s="55">
        <v>25.243836480000002</v>
      </c>
      <c r="T68" s="55">
        <v>25.902827640000002</v>
      </c>
      <c r="U68" s="55">
        <v>25.426700280000006</v>
      </c>
      <c r="V68" s="55">
        <v>21.485019960000002</v>
      </c>
      <c r="W68" s="55">
        <v>23.127841080000003</v>
      </c>
      <c r="DA68" s="101" t="s">
        <v>220</v>
      </c>
    </row>
    <row r="69" spans="1:105" ht="12" customHeight="1" x14ac:dyDescent="0.25">
      <c r="A69" s="61" t="s">
        <v>170</v>
      </c>
      <c r="B69" s="55">
        <v>407.96862444000016</v>
      </c>
      <c r="C69" s="55">
        <v>376.39904939999997</v>
      </c>
      <c r="D69" s="55">
        <v>350.96217335999995</v>
      </c>
      <c r="E69" s="55">
        <v>347.94033552000008</v>
      </c>
      <c r="F69" s="55">
        <v>357.41387628000001</v>
      </c>
      <c r="G69" s="55">
        <v>316.07558136</v>
      </c>
      <c r="H69" s="55">
        <v>262.45698767999994</v>
      </c>
      <c r="I69" s="55">
        <v>230.75017559999998</v>
      </c>
      <c r="J69" s="55">
        <v>233.82473579999998</v>
      </c>
      <c r="K69" s="55">
        <v>215.11946952</v>
      </c>
      <c r="L69" s="55">
        <v>205.62734843999999</v>
      </c>
      <c r="M69" s="55">
        <v>161.33051663999998</v>
      </c>
      <c r="N69" s="55">
        <v>192.85977203999997</v>
      </c>
      <c r="O69" s="55">
        <v>177.11357615999998</v>
      </c>
      <c r="P69" s="55">
        <v>161.21910167999994</v>
      </c>
      <c r="Q69" s="55">
        <v>164.40056568</v>
      </c>
      <c r="R69" s="55">
        <v>164.37487463999997</v>
      </c>
      <c r="S69" s="55">
        <v>148.10639183999999</v>
      </c>
      <c r="T69" s="55">
        <v>161.71244460000003</v>
      </c>
      <c r="U69" s="55">
        <v>77.505364080000007</v>
      </c>
      <c r="V69" s="55">
        <v>91.895666039999981</v>
      </c>
      <c r="W69" s="55">
        <v>69.090997319999985</v>
      </c>
      <c r="DA69" s="101" t="s">
        <v>221</v>
      </c>
    </row>
    <row r="70" spans="1:105" ht="12" customHeight="1" x14ac:dyDescent="0.25">
      <c r="A70" s="60" t="s">
        <v>153</v>
      </c>
      <c r="B70" s="55">
        <v>408.76603020000005</v>
      </c>
      <c r="C70" s="55">
        <v>414.01900979999999</v>
      </c>
      <c r="D70" s="55">
        <v>430.5843748800001</v>
      </c>
      <c r="E70" s="55">
        <v>520.49858255999993</v>
      </c>
      <c r="F70" s="55">
        <v>519.4903982400001</v>
      </c>
      <c r="G70" s="55">
        <v>549.79146684000023</v>
      </c>
      <c r="H70" s="55">
        <v>607.13740296000003</v>
      </c>
      <c r="I70" s="55">
        <v>570.48651000000007</v>
      </c>
      <c r="J70" s="55">
        <v>565.99895879999997</v>
      </c>
      <c r="K70" s="55">
        <v>571.45046508000019</v>
      </c>
      <c r="L70" s="55">
        <v>564.28068312000005</v>
      </c>
      <c r="M70" s="55">
        <v>444.26756880000005</v>
      </c>
      <c r="N70" s="55">
        <v>491.62779467999997</v>
      </c>
      <c r="O70" s="55">
        <v>511.10481708000003</v>
      </c>
      <c r="P70" s="55">
        <v>380.97128520000012</v>
      </c>
      <c r="Q70" s="55">
        <v>504.72873792000007</v>
      </c>
      <c r="R70" s="55">
        <v>513.24902640000016</v>
      </c>
      <c r="S70" s="55">
        <v>556.82573364000007</v>
      </c>
      <c r="T70" s="55">
        <v>456.29206524</v>
      </c>
      <c r="U70" s="55">
        <v>488.89608372000009</v>
      </c>
      <c r="V70" s="55">
        <v>482.91806772000007</v>
      </c>
      <c r="W70" s="55">
        <v>740.33163863999994</v>
      </c>
      <c r="DA70" s="101" t="s">
        <v>222</v>
      </c>
    </row>
    <row r="71" spans="1:105" ht="12" customHeight="1" x14ac:dyDescent="0.25">
      <c r="A71" s="60" t="s">
        <v>51</v>
      </c>
      <c r="B71" s="55">
        <f>SUM(B72:B76)</f>
        <v>52.473393844708689</v>
      </c>
      <c r="C71" s="55">
        <f t="shared" ref="C71:W71" si="40">SUM(C72:C76)</f>
        <v>44.112890422713804</v>
      </c>
      <c r="D71" s="55">
        <f t="shared" si="40"/>
        <v>65.035439750357995</v>
      </c>
      <c r="E71" s="55">
        <f t="shared" si="40"/>
        <v>65.869346726050907</v>
      </c>
      <c r="F71" s="55">
        <f t="shared" si="40"/>
        <v>52.166315832249005</v>
      </c>
      <c r="G71" s="55">
        <f t="shared" si="40"/>
        <v>52.160329487531534</v>
      </c>
      <c r="H71" s="55">
        <f t="shared" si="40"/>
        <v>53.682484274819544</v>
      </c>
      <c r="I71" s="55">
        <f t="shared" si="40"/>
        <v>36.793560703173547</v>
      </c>
      <c r="J71" s="55">
        <f t="shared" si="40"/>
        <v>25.344726731741737</v>
      </c>
      <c r="K71" s="55">
        <f t="shared" si="40"/>
        <v>15.260467852436495</v>
      </c>
      <c r="L71" s="55">
        <f t="shared" si="40"/>
        <v>15.012458986848523</v>
      </c>
      <c r="M71" s="55">
        <f t="shared" si="40"/>
        <v>22.240421165737814</v>
      </c>
      <c r="N71" s="55">
        <f t="shared" si="40"/>
        <v>21.532361556212837</v>
      </c>
      <c r="O71" s="55">
        <f t="shared" si="40"/>
        <v>21.575120704251482</v>
      </c>
      <c r="P71" s="55">
        <f t="shared" si="40"/>
        <v>30.731116886235952</v>
      </c>
      <c r="Q71" s="55">
        <f t="shared" si="40"/>
        <v>12.574602043004891</v>
      </c>
      <c r="R71" s="55">
        <f t="shared" si="40"/>
        <v>19.416730207590145</v>
      </c>
      <c r="S71" s="55">
        <f t="shared" si="40"/>
        <v>25.922413367861473</v>
      </c>
      <c r="T71" s="55">
        <f t="shared" si="40"/>
        <v>29.840392116714973</v>
      </c>
      <c r="U71" s="55">
        <f t="shared" si="40"/>
        <v>28.19028602773383</v>
      </c>
      <c r="V71" s="55">
        <f t="shared" si="40"/>
        <v>22.360699679594074</v>
      </c>
      <c r="W71" s="55">
        <f t="shared" si="40"/>
        <v>21.468109108751197</v>
      </c>
      <c r="DA71" s="101"/>
    </row>
    <row r="72" spans="1:105" ht="12" customHeight="1" x14ac:dyDescent="0.25">
      <c r="A72" s="61" t="s">
        <v>171</v>
      </c>
      <c r="B72" s="55">
        <v>52.473393844708689</v>
      </c>
      <c r="C72" s="55">
        <v>44.112890422713804</v>
      </c>
      <c r="D72" s="55">
        <v>65.035439750357995</v>
      </c>
      <c r="E72" s="55">
        <v>65.869346726050907</v>
      </c>
      <c r="F72" s="55">
        <v>52.166315832249005</v>
      </c>
      <c r="G72" s="55">
        <v>52.160329487531534</v>
      </c>
      <c r="H72" s="55">
        <v>53.682484274819544</v>
      </c>
      <c r="I72" s="55">
        <v>36.793560703173547</v>
      </c>
      <c r="J72" s="55">
        <v>25.344726731741737</v>
      </c>
      <c r="K72" s="55">
        <v>15.260467852436495</v>
      </c>
      <c r="L72" s="55">
        <v>15.012458986848523</v>
      </c>
      <c r="M72" s="55">
        <v>22.240421165737814</v>
      </c>
      <c r="N72" s="55">
        <v>21.532361556212837</v>
      </c>
      <c r="O72" s="55">
        <v>21.575120704251482</v>
      </c>
      <c r="P72" s="55">
        <v>30.731116886235952</v>
      </c>
      <c r="Q72" s="55">
        <v>12.574602043004891</v>
      </c>
      <c r="R72" s="55">
        <v>19.416730207590145</v>
      </c>
      <c r="S72" s="55">
        <v>25.922413367861473</v>
      </c>
      <c r="T72" s="55">
        <v>29.840392116714973</v>
      </c>
      <c r="U72" s="55">
        <v>28.19028602773383</v>
      </c>
      <c r="V72" s="55">
        <v>22.360699679594074</v>
      </c>
      <c r="W72" s="55">
        <v>21.468109108751197</v>
      </c>
      <c r="DA72" s="101" t="s">
        <v>223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DA73" s="101" t="s">
        <v>224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DA74" s="101" t="s">
        <v>225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DA75" s="101" t="s">
        <v>226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DA76" s="101" t="s">
        <v>227</v>
      </c>
    </row>
    <row r="77" spans="1:105" ht="12" customHeight="1" x14ac:dyDescent="0.25">
      <c r="A77" s="61" t="s">
        <v>157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DA77" s="101" t="s">
        <v>228</v>
      </c>
    </row>
    <row r="78" spans="1:105" ht="12" customHeight="1" x14ac:dyDescent="0.25">
      <c r="A78" s="60" t="s">
        <v>169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DA78" s="101" t="s">
        <v>229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DA79" s="105" t="s">
        <v>230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41">B82+B87</f>
        <v>877.91577276470878</v>
      </c>
      <c r="C81" s="82">
        <f t="shared" ref="C81:W81" si="42">C82+C87</f>
        <v>843.23867390271369</v>
      </c>
      <c r="D81" s="82">
        <f t="shared" si="42"/>
        <v>855.28971227035811</v>
      </c>
      <c r="E81" s="82">
        <f t="shared" si="42"/>
        <v>945.91863956605096</v>
      </c>
      <c r="F81" s="82">
        <f t="shared" si="42"/>
        <v>943.58361559224909</v>
      </c>
      <c r="G81" s="82">
        <f t="shared" si="42"/>
        <v>935.44305340753181</v>
      </c>
      <c r="H81" s="82">
        <f t="shared" si="42"/>
        <v>940.69255063481967</v>
      </c>
      <c r="I81" s="82">
        <f t="shared" si="42"/>
        <v>855.44592202317335</v>
      </c>
      <c r="J81" s="82">
        <f t="shared" si="42"/>
        <v>842.58409705174188</v>
      </c>
      <c r="K81" s="82">
        <f t="shared" si="42"/>
        <v>819.2460781724368</v>
      </c>
      <c r="L81" s="82">
        <f t="shared" si="42"/>
        <v>808.14124006684847</v>
      </c>
      <c r="M81" s="82">
        <f t="shared" si="42"/>
        <v>648.15660564573773</v>
      </c>
      <c r="N81" s="82">
        <f t="shared" si="42"/>
        <v>723.43560399621276</v>
      </c>
      <c r="O81" s="82">
        <f t="shared" si="42"/>
        <v>730.11161298425191</v>
      </c>
      <c r="P81" s="82">
        <f t="shared" si="42"/>
        <v>584.53187852623603</v>
      </c>
      <c r="Q81" s="82">
        <f t="shared" si="42"/>
        <v>705.78377428300462</v>
      </c>
      <c r="R81" s="82">
        <f t="shared" si="42"/>
        <v>722.4789166875903</v>
      </c>
      <c r="S81" s="82">
        <f t="shared" si="42"/>
        <v>756.09837532786139</v>
      </c>
      <c r="T81" s="82">
        <f t="shared" si="42"/>
        <v>673.74772959671486</v>
      </c>
      <c r="U81" s="82">
        <f t="shared" si="42"/>
        <v>620.0184341077337</v>
      </c>
      <c r="V81" s="82">
        <f t="shared" si="42"/>
        <v>618.65945339959433</v>
      </c>
      <c r="W81" s="82">
        <f t="shared" si="42"/>
        <v>854.01858614875107</v>
      </c>
      <c r="DA81" s="107" t="s">
        <v>231</v>
      </c>
    </row>
    <row r="82" spans="1:105" ht="12" customHeight="1" x14ac:dyDescent="0.25">
      <c r="A82" s="77" t="s">
        <v>36</v>
      </c>
      <c r="B82" s="64">
        <f t="shared" ref="B82" si="43">SUM(B83:B86)</f>
        <v>877.91577276470878</v>
      </c>
      <c r="C82" s="64">
        <f t="shared" ref="C82:W82" si="44">SUM(C83:C86)</f>
        <v>843.23867390271369</v>
      </c>
      <c r="D82" s="64">
        <f t="shared" si="44"/>
        <v>855.28971227035811</v>
      </c>
      <c r="E82" s="64">
        <f t="shared" si="44"/>
        <v>945.91863956605096</v>
      </c>
      <c r="F82" s="64">
        <f t="shared" si="44"/>
        <v>943.58361559224909</v>
      </c>
      <c r="G82" s="64">
        <f t="shared" si="44"/>
        <v>935.44305340753181</v>
      </c>
      <c r="H82" s="64">
        <f t="shared" si="44"/>
        <v>940.69255063481967</v>
      </c>
      <c r="I82" s="64">
        <f t="shared" si="44"/>
        <v>855.44592202317335</v>
      </c>
      <c r="J82" s="64">
        <f t="shared" si="44"/>
        <v>842.58409705174188</v>
      </c>
      <c r="K82" s="64">
        <f t="shared" si="44"/>
        <v>819.2460781724368</v>
      </c>
      <c r="L82" s="64">
        <f t="shared" si="44"/>
        <v>808.14124006684847</v>
      </c>
      <c r="M82" s="64">
        <f t="shared" si="44"/>
        <v>648.15660564573773</v>
      </c>
      <c r="N82" s="64">
        <f t="shared" si="44"/>
        <v>723.43560399621276</v>
      </c>
      <c r="O82" s="64">
        <f t="shared" si="44"/>
        <v>730.11161298425191</v>
      </c>
      <c r="P82" s="64">
        <f t="shared" si="44"/>
        <v>584.53187852623603</v>
      </c>
      <c r="Q82" s="64">
        <f t="shared" si="44"/>
        <v>705.78377428300462</v>
      </c>
      <c r="R82" s="64">
        <f t="shared" si="44"/>
        <v>722.4789166875903</v>
      </c>
      <c r="S82" s="64">
        <f t="shared" si="44"/>
        <v>756.09837532786139</v>
      </c>
      <c r="T82" s="64">
        <f t="shared" si="44"/>
        <v>673.74772959671486</v>
      </c>
      <c r="U82" s="64">
        <f t="shared" si="44"/>
        <v>620.0184341077337</v>
      </c>
      <c r="V82" s="64">
        <f t="shared" si="44"/>
        <v>618.65945339959433</v>
      </c>
      <c r="W82" s="64">
        <f t="shared" si="44"/>
        <v>854.01858614875107</v>
      </c>
      <c r="DA82" s="108" t="s">
        <v>232</v>
      </c>
    </row>
    <row r="83" spans="1:105" ht="12" customHeight="1" x14ac:dyDescent="0.25">
      <c r="A83" s="61" t="s">
        <v>32</v>
      </c>
      <c r="B83" s="65">
        <v>734.56632436940833</v>
      </c>
      <c r="C83" s="65">
        <v>701.14752890291231</v>
      </c>
      <c r="D83" s="65">
        <v>710.63205489565007</v>
      </c>
      <c r="E83" s="65">
        <v>787.8478858911509</v>
      </c>
      <c r="F83" s="65">
        <v>782.46702181544003</v>
      </c>
      <c r="G83" s="65">
        <v>761.80689626738649</v>
      </c>
      <c r="H83" s="65">
        <v>765.90248306808917</v>
      </c>
      <c r="I83" s="65">
        <v>682.54780821371219</v>
      </c>
      <c r="J83" s="65">
        <v>668.90021687876481</v>
      </c>
      <c r="K83" s="65">
        <v>644.1389128536473</v>
      </c>
      <c r="L83" s="65">
        <v>629.14379892509714</v>
      </c>
      <c r="M83" s="65">
        <v>485.10204666330986</v>
      </c>
      <c r="N83" s="65">
        <v>564.481898899881</v>
      </c>
      <c r="O83" s="65">
        <v>571.14870323816376</v>
      </c>
      <c r="P83" s="65">
        <v>439.6487389661479</v>
      </c>
      <c r="Q83" s="65">
        <v>531.86198594562927</v>
      </c>
      <c r="R83" s="65">
        <v>549.55336557226963</v>
      </c>
      <c r="S83" s="65">
        <v>587.23913042790241</v>
      </c>
      <c r="T83" s="65">
        <v>500.01086366972146</v>
      </c>
      <c r="U83" s="65">
        <v>444.09497308545338</v>
      </c>
      <c r="V83" s="65">
        <v>496.75963977962698</v>
      </c>
      <c r="W83" s="65">
        <v>689.16495917716679</v>
      </c>
      <c r="DA83" s="109" t="s">
        <v>233</v>
      </c>
    </row>
    <row r="84" spans="1:105" ht="12" customHeight="1" x14ac:dyDescent="0.25">
      <c r="A84" s="61" t="s">
        <v>31</v>
      </c>
      <c r="B84" s="65">
        <v>7.082608684562601E-2</v>
      </c>
      <c r="C84" s="65">
        <v>7.420307096891969E-2</v>
      </c>
      <c r="D84" s="65">
        <v>8.0913542140249428E-2</v>
      </c>
      <c r="E84" s="65">
        <v>8.4619745467051102E-2</v>
      </c>
      <c r="F84" s="65">
        <v>9.176735807653072E-2</v>
      </c>
      <c r="G84" s="65">
        <v>0.10149721463937078</v>
      </c>
      <c r="H84" s="65">
        <v>0.10836287584577557</v>
      </c>
      <c r="I84" s="65">
        <v>0.11611412948540875</v>
      </c>
      <c r="J84" s="65">
        <v>0.12231418245943418</v>
      </c>
      <c r="K84" s="65">
        <v>0.12684181253230911</v>
      </c>
      <c r="L84" s="65">
        <v>0.13609905278257423</v>
      </c>
      <c r="M84" s="65">
        <v>0.14822863029609687</v>
      </c>
      <c r="N84" s="65">
        <v>0.16949233814787307</v>
      </c>
      <c r="O84" s="65">
        <v>0.20541183500198251</v>
      </c>
      <c r="P84" s="65">
        <v>0.27403052575532194</v>
      </c>
      <c r="Q84" s="65">
        <v>0.38293174759229093</v>
      </c>
      <c r="R84" s="65">
        <v>0.47506641149877343</v>
      </c>
      <c r="S84" s="65">
        <v>0.57623286326073098</v>
      </c>
      <c r="T84" s="65">
        <v>0.65744053633334332</v>
      </c>
      <c r="U84" s="65">
        <v>0.72644922169666448</v>
      </c>
      <c r="V84" s="65">
        <v>0.71721482801868763</v>
      </c>
      <c r="W84" s="65">
        <v>0.74367262862514538</v>
      </c>
      <c r="DA84" s="109" t="s">
        <v>234</v>
      </c>
    </row>
    <row r="85" spans="1:105" ht="12" customHeight="1" x14ac:dyDescent="0.25">
      <c r="A85" s="61" t="s">
        <v>35</v>
      </c>
      <c r="B85" s="65">
        <v>77.802769314731947</v>
      </c>
      <c r="C85" s="65">
        <v>76.364224583806163</v>
      </c>
      <c r="D85" s="65">
        <v>78.121762473314064</v>
      </c>
      <c r="E85" s="65">
        <v>85.48166274312419</v>
      </c>
      <c r="F85" s="65">
        <v>85.217160259816623</v>
      </c>
      <c r="G85" s="65">
        <v>88.765800122701762</v>
      </c>
      <c r="H85" s="65">
        <v>87.99665156322817</v>
      </c>
      <c r="I85" s="65">
        <v>84.372878983094196</v>
      </c>
      <c r="J85" s="65">
        <v>84.314497346661781</v>
      </c>
      <c r="K85" s="65">
        <v>83.535324730353864</v>
      </c>
      <c r="L85" s="65">
        <v>81.752114504085753</v>
      </c>
      <c r="M85" s="65">
        <v>70.113490273215675</v>
      </c>
      <c r="N85" s="65">
        <v>69.743758422765922</v>
      </c>
      <c r="O85" s="65">
        <v>68.50351157023367</v>
      </c>
      <c r="P85" s="65">
        <v>64.629248929112435</v>
      </c>
      <c r="Q85" s="65">
        <v>69.967062211673664</v>
      </c>
      <c r="R85" s="65">
        <v>70.024693571677261</v>
      </c>
      <c r="S85" s="65">
        <v>70.80246547275317</v>
      </c>
      <c r="T85" s="65">
        <v>68.653391323621491</v>
      </c>
      <c r="U85" s="65">
        <v>61.220355265683168</v>
      </c>
      <c r="V85" s="65">
        <v>44.679180713433297</v>
      </c>
      <c r="W85" s="65">
        <v>56.107779454991395</v>
      </c>
      <c r="DA85" s="109" t="s">
        <v>235</v>
      </c>
    </row>
    <row r="86" spans="1:105" ht="12" customHeight="1" x14ac:dyDescent="0.25">
      <c r="A86" s="66" t="s">
        <v>34</v>
      </c>
      <c r="B86" s="67">
        <v>65.475852993722953</v>
      </c>
      <c r="C86" s="67">
        <v>65.652717345026304</v>
      </c>
      <c r="D86" s="67">
        <v>66.454981359253651</v>
      </c>
      <c r="E86" s="67">
        <v>72.504471186308791</v>
      </c>
      <c r="F86" s="67">
        <v>75.807666158915936</v>
      </c>
      <c r="G86" s="67">
        <v>84.768859802804144</v>
      </c>
      <c r="H86" s="67">
        <v>86.685053127656573</v>
      </c>
      <c r="I86" s="67">
        <v>88.409120696881544</v>
      </c>
      <c r="J86" s="67">
        <v>89.247068643855727</v>
      </c>
      <c r="K86" s="67">
        <v>91.444998775903272</v>
      </c>
      <c r="L86" s="67">
        <v>97.109227584883044</v>
      </c>
      <c r="M86" s="67">
        <v>92.792840078916115</v>
      </c>
      <c r="N86" s="67">
        <v>89.040454335417962</v>
      </c>
      <c r="O86" s="67">
        <v>90.253986340852478</v>
      </c>
      <c r="P86" s="67">
        <v>79.979860105220354</v>
      </c>
      <c r="Q86" s="67">
        <v>103.57179437810943</v>
      </c>
      <c r="R86" s="67">
        <v>102.42579113214452</v>
      </c>
      <c r="S86" s="67">
        <v>97.480546563945012</v>
      </c>
      <c r="T86" s="67">
        <v>104.42603406703864</v>
      </c>
      <c r="U86" s="67">
        <v>113.97665653490048</v>
      </c>
      <c r="V86" s="67">
        <v>76.503418078515367</v>
      </c>
      <c r="W86" s="67">
        <v>108.00217488796773</v>
      </c>
      <c r="DA86" s="110" t="s">
        <v>236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DA87" s="111" t="s">
        <v>237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45">IF(B81=0,0,B81/B$81)</f>
        <v>1</v>
      </c>
      <c r="C89" s="83">
        <f t="shared" ref="C89:W89" si="46">IF(C81=0,0,C81/C$81)</f>
        <v>1</v>
      </c>
      <c r="D89" s="83">
        <f t="shared" si="46"/>
        <v>1</v>
      </c>
      <c r="E89" s="83">
        <f t="shared" si="46"/>
        <v>1</v>
      </c>
      <c r="F89" s="83">
        <f t="shared" si="46"/>
        <v>1</v>
      </c>
      <c r="G89" s="83">
        <f t="shared" si="46"/>
        <v>1</v>
      </c>
      <c r="H89" s="83">
        <f t="shared" si="46"/>
        <v>1</v>
      </c>
      <c r="I89" s="83">
        <f t="shared" si="46"/>
        <v>1</v>
      </c>
      <c r="J89" s="83">
        <f t="shared" si="46"/>
        <v>1</v>
      </c>
      <c r="K89" s="83">
        <f t="shared" si="46"/>
        <v>1</v>
      </c>
      <c r="L89" s="83">
        <f t="shared" si="46"/>
        <v>1</v>
      </c>
      <c r="M89" s="83">
        <f t="shared" si="46"/>
        <v>1</v>
      </c>
      <c r="N89" s="83">
        <f t="shared" si="46"/>
        <v>1</v>
      </c>
      <c r="O89" s="83">
        <f t="shared" si="46"/>
        <v>1</v>
      </c>
      <c r="P89" s="83">
        <f t="shared" si="46"/>
        <v>1</v>
      </c>
      <c r="Q89" s="83">
        <f t="shared" si="46"/>
        <v>1</v>
      </c>
      <c r="R89" s="83">
        <f t="shared" si="46"/>
        <v>1</v>
      </c>
      <c r="S89" s="83">
        <f t="shared" si="46"/>
        <v>1</v>
      </c>
      <c r="T89" s="83">
        <f t="shared" si="46"/>
        <v>1</v>
      </c>
      <c r="U89" s="83">
        <f t="shared" si="46"/>
        <v>1</v>
      </c>
      <c r="V89" s="83">
        <f t="shared" si="46"/>
        <v>1</v>
      </c>
      <c r="W89" s="83">
        <f t="shared" si="46"/>
        <v>1</v>
      </c>
      <c r="DA89" s="112"/>
    </row>
    <row r="90" spans="1:105" ht="12" customHeight="1" x14ac:dyDescent="0.25">
      <c r="A90" s="69" t="s">
        <v>36</v>
      </c>
      <c r="B90" s="70">
        <f t="shared" ref="B90" si="47">IF(B82=0,0,B82/B$81)</f>
        <v>1</v>
      </c>
      <c r="C90" s="70">
        <f t="shared" ref="C90:W90" si="48">IF(C82=0,0,C82/C$81)</f>
        <v>1</v>
      </c>
      <c r="D90" s="70">
        <f t="shared" si="48"/>
        <v>1</v>
      </c>
      <c r="E90" s="70">
        <f t="shared" si="48"/>
        <v>1</v>
      </c>
      <c r="F90" s="70">
        <f t="shared" si="48"/>
        <v>1</v>
      </c>
      <c r="G90" s="70">
        <f t="shared" si="48"/>
        <v>1</v>
      </c>
      <c r="H90" s="70">
        <f t="shared" si="48"/>
        <v>1</v>
      </c>
      <c r="I90" s="70">
        <f t="shared" si="48"/>
        <v>1</v>
      </c>
      <c r="J90" s="70">
        <f t="shared" si="48"/>
        <v>1</v>
      </c>
      <c r="K90" s="70">
        <f t="shared" si="48"/>
        <v>1</v>
      </c>
      <c r="L90" s="70">
        <f t="shared" si="48"/>
        <v>1</v>
      </c>
      <c r="M90" s="70">
        <f t="shared" si="48"/>
        <v>1</v>
      </c>
      <c r="N90" s="70">
        <f t="shared" si="48"/>
        <v>1</v>
      </c>
      <c r="O90" s="70">
        <f t="shared" si="48"/>
        <v>1</v>
      </c>
      <c r="P90" s="70">
        <f t="shared" si="48"/>
        <v>1</v>
      </c>
      <c r="Q90" s="70">
        <f t="shared" si="48"/>
        <v>1</v>
      </c>
      <c r="R90" s="70">
        <f t="shared" si="48"/>
        <v>1</v>
      </c>
      <c r="S90" s="70">
        <f t="shared" si="48"/>
        <v>1</v>
      </c>
      <c r="T90" s="70">
        <f t="shared" si="48"/>
        <v>1</v>
      </c>
      <c r="U90" s="70">
        <f t="shared" si="48"/>
        <v>1</v>
      </c>
      <c r="V90" s="70">
        <f t="shared" si="48"/>
        <v>1</v>
      </c>
      <c r="W90" s="70">
        <f t="shared" si="48"/>
        <v>1</v>
      </c>
      <c r="DA90" s="113"/>
    </row>
    <row r="91" spans="1:105" ht="12" customHeight="1" x14ac:dyDescent="0.25">
      <c r="A91" s="61" t="s">
        <v>32</v>
      </c>
      <c r="B91" s="71">
        <f t="shared" ref="B91" si="49">IF(B83=0,0,B83/B$81)</f>
        <v>0.83671617159369605</v>
      </c>
      <c r="C91" s="71">
        <f t="shared" ref="C91:W91" si="50">IF(C83=0,0,C83/C$81)</f>
        <v>0.83149356238350769</v>
      </c>
      <c r="D91" s="71">
        <f t="shared" si="50"/>
        <v>0.83086706726459303</v>
      </c>
      <c r="E91" s="71">
        <f t="shared" si="50"/>
        <v>0.83289180795991447</v>
      </c>
      <c r="F91" s="71">
        <f t="shared" si="50"/>
        <v>0.82925032703574164</v>
      </c>
      <c r="G91" s="71">
        <f t="shared" si="50"/>
        <v>0.81438083643077774</v>
      </c>
      <c r="H91" s="71">
        <f t="shared" si="50"/>
        <v>0.81419001622924014</v>
      </c>
      <c r="I91" s="71">
        <f t="shared" si="50"/>
        <v>0.79788539595752783</v>
      </c>
      <c r="J91" s="71">
        <f t="shared" si="50"/>
        <v>0.79386760231921227</v>
      </c>
      <c r="K91" s="71">
        <f t="shared" si="50"/>
        <v>0.78625815858720227</v>
      </c>
      <c r="L91" s="71">
        <f t="shared" si="50"/>
        <v>0.77850723083140161</v>
      </c>
      <c r="M91" s="71">
        <f t="shared" si="50"/>
        <v>0.74843339161840094</v>
      </c>
      <c r="N91" s="71">
        <f t="shared" si="50"/>
        <v>0.78027939982732186</v>
      </c>
      <c r="O91" s="71">
        <f t="shared" si="50"/>
        <v>0.78227587820943634</v>
      </c>
      <c r="P91" s="71">
        <f t="shared" si="50"/>
        <v>0.7521381726427343</v>
      </c>
      <c r="Q91" s="71">
        <f t="shared" si="50"/>
        <v>0.75357638603400889</v>
      </c>
      <c r="R91" s="71">
        <f t="shared" si="50"/>
        <v>0.76064969216244127</v>
      </c>
      <c r="S91" s="71">
        <f t="shared" si="50"/>
        <v>0.77667027147527223</v>
      </c>
      <c r="T91" s="71">
        <f t="shared" si="50"/>
        <v>0.74213365285700172</v>
      </c>
      <c r="U91" s="71">
        <f t="shared" si="50"/>
        <v>0.71626091847502704</v>
      </c>
      <c r="V91" s="71">
        <f t="shared" si="50"/>
        <v>0.80296136598234147</v>
      </c>
      <c r="W91" s="71">
        <f t="shared" si="50"/>
        <v>0.80696716717255323</v>
      </c>
      <c r="DA91" s="114"/>
    </row>
    <row r="92" spans="1:105" ht="12" customHeight="1" x14ac:dyDescent="0.25">
      <c r="A92" s="61" t="s">
        <v>31</v>
      </c>
      <c r="B92" s="72">
        <f t="shared" ref="B92" si="51">IF(B84=0,0,B84/B$81)</f>
        <v>8.0675264123097372E-5</v>
      </c>
      <c r="C92" s="72">
        <f t="shared" ref="C92:W92" si="52">IF(C84=0,0,C84/C$81)</f>
        <v>8.7997708437031035E-5</v>
      </c>
      <c r="D92" s="72">
        <f t="shared" si="52"/>
        <v>9.4603665844951212E-5</v>
      </c>
      <c r="E92" s="72">
        <f t="shared" si="52"/>
        <v>8.9457741847513657E-5</v>
      </c>
      <c r="F92" s="72">
        <f t="shared" si="52"/>
        <v>9.7254081737029824E-5</v>
      </c>
      <c r="G92" s="72">
        <f t="shared" si="52"/>
        <v>1.0850175675541937E-4</v>
      </c>
      <c r="H92" s="72">
        <f t="shared" si="52"/>
        <v>1.151947847069137E-4</v>
      </c>
      <c r="I92" s="72">
        <f t="shared" si="52"/>
        <v>1.3573520721309057E-4</v>
      </c>
      <c r="J92" s="72">
        <f t="shared" si="52"/>
        <v>1.4516554832617857E-4</v>
      </c>
      <c r="K92" s="72">
        <f t="shared" si="52"/>
        <v>1.5482748823804704E-4</v>
      </c>
      <c r="L92" s="72">
        <f t="shared" si="52"/>
        <v>1.684099833481042E-4</v>
      </c>
      <c r="M92" s="72">
        <f t="shared" si="52"/>
        <v>2.2869261688449725E-4</v>
      </c>
      <c r="N92" s="72">
        <f t="shared" si="52"/>
        <v>2.3428807928668158E-4</v>
      </c>
      <c r="O92" s="72">
        <f t="shared" si="52"/>
        <v>2.8134305953905314E-4</v>
      </c>
      <c r="P92" s="72">
        <f t="shared" si="52"/>
        <v>4.6880338921159866E-4</v>
      </c>
      <c r="Q92" s="72">
        <f t="shared" si="52"/>
        <v>5.4256241294482245E-4</v>
      </c>
      <c r="R92" s="72">
        <f t="shared" si="52"/>
        <v>6.5755055341524746E-4</v>
      </c>
      <c r="S92" s="72">
        <f t="shared" si="52"/>
        <v>7.6211361122269748E-4</v>
      </c>
      <c r="T92" s="72">
        <f t="shared" si="52"/>
        <v>9.7579629207339587E-4</v>
      </c>
      <c r="U92" s="72">
        <f t="shared" si="52"/>
        <v>1.1716574568336746E-3</v>
      </c>
      <c r="V92" s="72">
        <f t="shared" si="52"/>
        <v>1.1593047258512286E-3</v>
      </c>
      <c r="W92" s="72">
        <f t="shared" si="52"/>
        <v>8.7079208893893337E-4</v>
      </c>
      <c r="DA92" s="115"/>
    </row>
    <row r="93" spans="1:105" ht="12" customHeight="1" x14ac:dyDescent="0.25">
      <c r="A93" s="61" t="s">
        <v>35</v>
      </c>
      <c r="B93" s="72">
        <f t="shared" ref="B93" si="53">IF(B85=0,0,B85/B$81)</f>
        <v>8.8622134068417013E-2</v>
      </c>
      <c r="C93" s="72">
        <f t="shared" ref="C93:W93" si="54">IF(C85=0,0,C85/C$81)</f>
        <v>9.0560628855379646E-2</v>
      </c>
      <c r="D93" s="72">
        <f t="shared" si="54"/>
        <v>9.1339532502899654E-2</v>
      </c>
      <c r="E93" s="72">
        <f t="shared" si="54"/>
        <v>9.0368937842624286E-2</v>
      </c>
      <c r="F93" s="72">
        <f t="shared" si="54"/>
        <v>9.0312250924714579E-2</v>
      </c>
      <c r="G93" s="72">
        <f t="shared" si="54"/>
        <v>9.4891719810580893E-2</v>
      </c>
      <c r="H93" s="72">
        <f t="shared" si="54"/>
        <v>9.3544539609508176E-2</v>
      </c>
      <c r="I93" s="72">
        <f t="shared" si="54"/>
        <v>9.8630289549511238E-2</v>
      </c>
      <c r="J93" s="72">
        <f t="shared" si="54"/>
        <v>0.10006656622369665</v>
      </c>
      <c r="K93" s="72">
        <f t="shared" si="54"/>
        <v>0.10196609658077747</v>
      </c>
      <c r="L93" s="72">
        <f t="shared" si="54"/>
        <v>0.10116067643983039</v>
      </c>
      <c r="M93" s="72">
        <f t="shared" si="54"/>
        <v>0.1081736877515332</v>
      </c>
      <c r="N93" s="72">
        <f t="shared" si="54"/>
        <v>9.6406311823064542E-2</v>
      </c>
      <c r="O93" s="72">
        <f t="shared" si="54"/>
        <v>9.3826081316845528E-2</v>
      </c>
      <c r="P93" s="72">
        <f t="shared" si="54"/>
        <v>0.11056582421485782</v>
      </c>
      <c r="Q93" s="72">
        <f t="shared" si="54"/>
        <v>9.9133849149128109E-2</v>
      </c>
      <c r="R93" s="72">
        <f t="shared" si="54"/>
        <v>9.6922819412814637E-2</v>
      </c>
      <c r="S93" s="72">
        <f t="shared" si="54"/>
        <v>9.3641869607313494E-2</v>
      </c>
      <c r="T93" s="72">
        <f t="shared" si="54"/>
        <v>0.10189777020059919</v>
      </c>
      <c r="U93" s="72">
        <f t="shared" si="54"/>
        <v>9.8739572725422525E-2</v>
      </c>
      <c r="V93" s="72">
        <f t="shared" si="54"/>
        <v>7.2219345340828175E-2</v>
      </c>
      <c r="W93" s="72">
        <f t="shared" si="54"/>
        <v>6.5698546103092267E-2</v>
      </c>
      <c r="DA93" s="115"/>
    </row>
    <row r="94" spans="1:105" ht="12" customHeight="1" x14ac:dyDescent="0.25">
      <c r="A94" s="61" t="s">
        <v>34</v>
      </c>
      <c r="B94" s="73">
        <f t="shared" ref="B94" si="55">IF(B86=0,0,B86/B$81)</f>
        <v>7.4581019073763938E-2</v>
      </c>
      <c r="C94" s="73">
        <f t="shared" ref="C94:W94" si="56">IF(C86=0,0,C86/C$81)</f>
        <v>7.7857811052675696E-2</v>
      </c>
      <c r="D94" s="73">
        <f t="shared" si="56"/>
        <v>7.7698796566662259E-2</v>
      </c>
      <c r="E94" s="73">
        <f t="shared" si="56"/>
        <v>7.6649796455613664E-2</v>
      </c>
      <c r="F94" s="73">
        <f t="shared" si="56"/>
        <v>8.0340167957806838E-2</v>
      </c>
      <c r="G94" s="73">
        <f t="shared" si="56"/>
        <v>9.061894200188586E-2</v>
      </c>
      <c r="H94" s="73">
        <f t="shared" si="56"/>
        <v>9.2150249376544743E-2</v>
      </c>
      <c r="I94" s="73">
        <f t="shared" si="56"/>
        <v>0.10334857928574778</v>
      </c>
      <c r="J94" s="73">
        <f t="shared" si="56"/>
        <v>0.1059206659087647</v>
      </c>
      <c r="K94" s="73">
        <f t="shared" si="56"/>
        <v>0.11162091734378217</v>
      </c>
      <c r="L94" s="73">
        <f t="shared" si="56"/>
        <v>0.12016368274541996</v>
      </c>
      <c r="M94" s="73">
        <f t="shared" si="56"/>
        <v>0.14316422801318143</v>
      </c>
      <c r="N94" s="73">
        <f t="shared" si="56"/>
        <v>0.12308000027032689</v>
      </c>
      <c r="O94" s="73">
        <f t="shared" si="56"/>
        <v>0.12361669741417906</v>
      </c>
      <c r="P94" s="73">
        <f t="shared" si="56"/>
        <v>0.13682719975319627</v>
      </c>
      <c r="Q94" s="73">
        <f t="shared" si="56"/>
        <v>0.14674720240391825</v>
      </c>
      <c r="R94" s="73">
        <f t="shared" si="56"/>
        <v>0.14176993787132869</v>
      </c>
      <c r="S94" s="73">
        <f t="shared" si="56"/>
        <v>0.12892574530619147</v>
      </c>
      <c r="T94" s="73">
        <f t="shared" si="56"/>
        <v>0.15499278065032579</v>
      </c>
      <c r="U94" s="73">
        <f t="shared" si="56"/>
        <v>0.18382785134271673</v>
      </c>
      <c r="V94" s="73">
        <f t="shared" si="56"/>
        <v>0.12365998395097914</v>
      </c>
      <c r="W94" s="73">
        <f t="shared" si="56"/>
        <v>0.12646349463541551</v>
      </c>
      <c r="DA94" s="116"/>
    </row>
    <row r="95" spans="1:105" ht="12" customHeight="1" x14ac:dyDescent="0.25">
      <c r="A95" s="69" t="s">
        <v>33</v>
      </c>
      <c r="B95" s="70">
        <f t="shared" ref="B95" si="57">IF(B87=0,0,B87/B$81)</f>
        <v>0</v>
      </c>
      <c r="C95" s="70">
        <f t="shared" ref="C95:W95" si="58">IF(C87=0,0,C87/C$81)</f>
        <v>0</v>
      </c>
      <c r="D95" s="70">
        <f t="shared" si="58"/>
        <v>0</v>
      </c>
      <c r="E95" s="70">
        <f t="shared" si="58"/>
        <v>0</v>
      </c>
      <c r="F95" s="70">
        <f t="shared" si="58"/>
        <v>0</v>
      </c>
      <c r="G95" s="70">
        <f t="shared" si="58"/>
        <v>0</v>
      </c>
      <c r="H95" s="70">
        <f t="shared" si="58"/>
        <v>0</v>
      </c>
      <c r="I95" s="70">
        <f t="shared" si="58"/>
        <v>0</v>
      </c>
      <c r="J95" s="70">
        <f t="shared" si="58"/>
        <v>0</v>
      </c>
      <c r="K95" s="70">
        <f t="shared" si="58"/>
        <v>0</v>
      </c>
      <c r="L95" s="70">
        <f t="shared" si="58"/>
        <v>0</v>
      </c>
      <c r="M95" s="70">
        <f t="shared" si="58"/>
        <v>0</v>
      </c>
      <c r="N95" s="70">
        <f t="shared" si="58"/>
        <v>0</v>
      </c>
      <c r="O95" s="70">
        <f t="shared" si="58"/>
        <v>0</v>
      </c>
      <c r="P95" s="70">
        <f t="shared" si="58"/>
        <v>0</v>
      </c>
      <c r="Q95" s="70">
        <f t="shared" si="58"/>
        <v>0</v>
      </c>
      <c r="R95" s="70">
        <f t="shared" si="58"/>
        <v>0</v>
      </c>
      <c r="S95" s="70">
        <f t="shared" si="58"/>
        <v>0</v>
      </c>
      <c r="T95" s="70">
        <f t="shared" si="58"/>
        <v>0</v>
      </c>
      <c r="U95" s="70">
        <f t="shared" si="58"/>
        <v>0</v>
      </c>
      <c r="V95" s="70">
        <f t="shared" si="58"/>
        <v>0</v>
      </c>
      <c r="W95" s="70">
        <f t="shared" si="58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59">B47*11630*1000/B$8</f>
        <v>180755.3368077917</v>
      </c>
      <c r="C99" s="82">
        <f t="shared" ref="C99:W99" si="60">C47*11630*1000/C$8</f>
        <v>182651.46108137484</v>
      </c>
      <c r="D99" s="82">
        <f t="shared" si="60"/>
        <v>180120.80616422594</v>
      </c>
      <c r="E99" s="82">
        <f t="shared" si="60"/>
        <v>181354.99271439612</v>
      </c>
      <c r="F99" s="82">
        <f t="shared" si="60"/>
        <v>178877.41791795156</v>
      </c>
      <c r="G99" s="82">
        <f t="shared" si="60"/>
        <v>175388.26967707914</v>
      </c>
      <c r="H99" s="82">
        <f t="shared" si="60"/>
        <v>174674.52390003094</v>
      </c>
      <c r="I99" s="82">
        <f t="shared" si="60"/>
        <v>167107.98246903086</v>
      </c>
      <c r="J99" s="82">
        <f t="shared" si="60"/>
        <v>165539.51265597684</v>
      </c>
      <c r="K99" s="82">
        <f t="shared" si="60"/>
        <v>160641.50787689295</v>
      </c>
      <c r="L99" s="82">
        <f t="shared" si="60"/>
        <v>167659.49110160815</v>
      </c>
      <c r="M99" s="82">
        <f t="shared" si="60"/>
        <v>152361.80825228494</v>
      </c>
      <c r="N99" s="82">
        <f t="shared" si="60"/>
        <v>154170.36312902052</v>
      </c>
      <c r="O99" s="82">
        <f t="shared" si="60"/>
        <v>152304.74802990403</v>
      </c>
      <c r="P99" s="82">
        <f t="shared" si="60"/>
        <v>142115.55496571242</v>
      </c>
      <c r="Q99" s="82">
        <f t="shared" si="60"/>
        <v>147232.46824194083</v>
      </c>
      <c r="R99" s="82">
        <f t="shared" si="60"/>
        <v>149917.62218946454</v>
      </c>
      <c r="S99" s="82">
        <f t="shared" si="60"/>
        <v>151861.03355091842</v>
      </c>
      <c r="T99" s="82">
        <f t="shared" si="60"/>
        <v>145991.32725513165</v>
      </c>
      <c r="U99" s="82">
        <f t="shared" si="60"/>
        <v>140422.33877758062</v>
      </c>
      <c r="V99" s="82">
        <f t="shared" si="60"/>
        <v>131632.44230053999</v>
      </c>
      <c r="W99" s="82">
        <f t="shared" si="60"/>
        <v>147656.41051597995</v>
      </c>
      <c r="DA99" s="107"/>
    </row>
    <row r="100" spans="1:105" ht="12" customHeight="1" x14ac:dyDescent="0.25">
      <c r="A100" s="77" t="s">
        <v>36</v>
      </c>
      <c r="B100" s="64">
        <f t="shared" si="59"/>
        <v>137418.53833991554</v>
      </c>
      <c r="C100" s="64">
        <f t="shared" ref="C100:W100" si="61">C48*11630*1000/C$8</f>
        <v>139051.2291966163</v>
      </c>
      <c r="D100" s="64">
        <f t="shared" si="61"/>
        <v>136290.20806740099</v>
      </c>
      <c r="E100" s="64">
        <f t="shared" si="61"/>
        <v>137188.04560578847</v>
      </c>
      <c r="F100" s="64">
        <f t="shared" si="61"/>
        <v>134365.79921300249</v>
      </c>
      <c r="G100" s="64">
        <f t="shared" si="61"/>
        <v>130508.16282258845</v>
      </c>
      <c r="H100" s="64">
        <f t="shared" si="61"/>
        <v>129866.49381613961</v>
      </c>
      <c r="I100" s="64">
        <f t="shared" si="61"/>
        <v>122628.82189911598</v>
      </c>
      <c r="J100" s="64">
        <f t="shared" si="61"/>
        <v>120930.64555076529</v>
      </c>
      <c r="K100" s="64">
        <f t="shared" si="61"/>
        <v>116098.91666530483</v>
      </c>
      <c r="L100" s="64">
        <f t="shared" si="61"/>
        <v>123277.31989230902</v>
      </c>
      <c r="M100" s="64">
        <f t="shared" si="61"/>
        <v>107831.69277802898</v>
      </c>
      <c r="N100" s="64">
        <f t="shared" si="61"/>
        <v>109461.94952620449</v>
      </c>
      <c r="O100" s="64">
        <f t="shared" si="61"/>
        <v>107093.22141546091</v>
      </c>
      <c r="P100" s="64">
        <f t="shared" si="61"/>
        <v>96422.341492852487</v>
      </c>
      <c r="Q100" s="64">
        <f t="shared" si="61"/>
        <v>101063.19141498966</v>
      </c>
      <c r="R100" s="64">
        <f t="shared" si="61"/>
        <v>103931.76567588176</v>
      </c>
      <c r="S100" s="64">
        <f t="shared" si="61"/>
        <v>104932.51698863045</v>
      </c>
      <c r="T100" s="64">
        <f t="shared" si="61"/>
        <v>99758.765266698159</v>
      </c>
      <c r="U100" s="64">
        <f t="shared" si="61"/>
        <v>94746.285564893114</v>
      </c>
      <c r="V100" s="64">
        <f t="shared" si="61"/>
        <v>89128.248757657653</v>
      </c>
      <c r="W100" s="64">
        <f t="shared" si="61"/>
        <v>104161.61190816811</v>
      </c>
      <c r="DA100" s="108"/>
    </row>
    <row r="101" spans="1:105" ht="12" customHeight="1" x14ac:dyDescent="0.25">
      <c r="A101" s="61" t="s">
        <v>32</v>
      </c>
      <c r="B101" s="65">
        <f t="shared" si="59"/>
        <v>109858.82930768383</v>
      </c>
      <c r="C101" s="65">
        <f t="shared" ref="C101:W101" si="62">C49*11630*1000/C$8</f>
        <v>111770.45742656644</v>
      </c>
      <c r="D101" s="65">
        <f t="shared" si="62"/>
        <v>109162.05520813949</v>
      </c>
      <c r="E101" s="65">
        <f t="shared" si="62"/>
        <v>110004.4868816068</v>
      </c>
      <c r="F101" s="65">
        <f t="shared" si="62"/>
        <v>107251.14212434355</v>
      </c>
      <c r="G101" s="65">
        <f t="shared" si="62"/>
        <v>103512.37574448225</v>
      </c>
      <c r="H101" s="65">
        <f t="shared" si="62"/>
        <v>102832.02024408548</v>
      </c>
      <c r="I101" s="65">
        <f t="shared" si="62"/>
        <v>95985.85797480047</v>
      </c>
      <c r="J101" s="65">
        <f t="shared" si="62"/>
        <v>94358.505334094865</v>
      </c>
      <c r="K101" s="65">
        <f t="shared" si="62"/>
        <v>89711.623078020159</v>
      </c>
      <c r="L101" s="65">
        <f t="shared" si="62"/>
        <v>97153.577679503811</v>
      </c>
      <c r="M101" s="65">
        <f t="shared" si="62"/>
        <v>81623.199341113228</v>
      </c>
      <c r="N101" s="65">
        <f t="shared" si="62"/>
        <v>82959.47945319525</v>
      </c>
      <c r="O101" s="65">
        <f t="shared" si="62"/>
        <v>80579.873140568307</v>
      </c>
      <c r="P101" s="65">
        <f t="shared" si="62"/>
        <v>69997.767027203605</v>
      </c>
      <c r="Q101" s="65">
        <f t="shared" si="62"/>
        <v>74428.940591695515</v>
      </c>
      <c r="R101" s="65">
        <f t="shared" si="62"/>
        <v>77228.649206085538</v>
      </c>
      <c r="S101" s="65">
        <f t="shared" si="62"/>
        <v>78432.986059435905</v>
      </c>
      <c r="T101" s="65">
        <f t="shared" si="62"/>
        <v>73619.290762554563</v>
      </c>
      <c r="U101" s="65">
        <f t="shared" si="62"/>
        <v>69055.889846619742</v>
      </c>
      <c r="V101" s="65">
        <f t="shared" si="62"/>
        <v>66640.176709219086</v>
      </c>
      <c r="W101" s="65">
        <f t="shared" si="62"/>
        <v>80096.521653415839</v>
      </c>
      <c r="DA101" s="109"/>
    </row>
    <row r="102" spans="1:105" ht="12" customHeight="1" x14ac:dyDescent="0.25">
      <c r="A102" s="61" t="s">
        <v>31</v>
      </c>
      <c r="B102" s="65">
        <f t="shared" si="59"/>
        <v>2212.8650950706442</v>
      </c>
      <c r="C102" s="65">
        <f t="shared" ref="C102:W102" si="63">C50*11630*1000/C$8</f>
        <v>2144.3515332333195</v>
      </c>
      <c r="D102" s="65">
        <f t="shared" si="63"/>
        <v>2104.2159753732089</v>
      </c>
      <c r="E102" s="65">
        <f t="shared" si="63"/>
        <v>2019.3375120107416</v>
      </c>
      <c r="F102" s="65">
        <f t="shared" si="63"/>
        <v>1953.690401630435</v>
      </c>
      <c r="G102" s="65">
        <f t="shared" si="63"/>
        <v>1894.9131011998904</v>
      </c>
      <c r="H102" s="65">
        <f t="shared" si="63"/>
        <v>1846.7133994537185</v>
      </c>
      <c r="I102" s="65">
        <f t="shared" si="63"/>
        <v>1803.6181965284463</v>
      </c>
      <c r="J102" s="65">
        <f t="shared" si="63"/>
        <v>1737.7891432887225</v>
      </c>
      <c r="K102" s="65">
        <f t="shared" si="63"/>
        <v>1750.1516607654871</v>
      </c>
      <c r="L102" s="65">
        <f t="shared" si="63"/>
        <v>1753.8679888355218</v>
      </c>
      <c r="M102" s="65">
        <f t="shared" si="63"/>
        <v>1726.2611607484182</v>
      </c>
      <c r="N102" s="65">
        <f t="shared" si="63"/>
        <v>1709.1942016204887</v>
      </c>
      <c r="O102" s="65">
        <f t="shared" si="63"/>
        <v>1701.2953987907342</v>
      </c>
      <c r="P102" s="65">
        <f t="shared" si="63"/>
        <v>1696.258080399369</v>
      </c>
      <c r="Q102" s="65">
        <f t="shared" si="63"/>
        <v>1660.2313109699994</v>
      </c>
      <c r="R102" s="65">
        <f t="shared" si="63"/>
        <v>1631.0667587921839</v>
      </c>
      <c r="S102" s="65">
        <f t="shared" si="63"/>
        <v>1604.436399365962</v>
      </c>
      <c r="T102" s="65">
        <f t="shared" si="63"/>
        <v>1653.3397749983615</v>
      </c>
      <c r="U102" s="65">
        <f t="shared" si="63"/>
        <v>1598.4795370410843</v>
      </c>
      <c r="V102" s="65">
        <f t="shared" si="63"/>
        <v>1497.1736814948647</v>
      </c>
      <c r="W102" s="65">
        <f t="shared" si="63"/>
        <v>1494.3307099437952</v>
      </c>
      <c r="DA102" s="109"/>
    </row>
    <row r="103" spans="1:105" ht="12" customHeight="1" x14ac:dyDescent="0.25">
      <c r="A103" s="61" t="s">
        <v>35</v>
      </c>
      <c r="B103" s="65">
        <f t="shared" si="59"/>
        <v>13659.710518057944</v>
      </c>
      <c r="C103" s="65">
        <f t="shared" ref="C103:W103" si="64">C51*11630*1000/C$8</f>
        <v>13431.890133800258</v>
      </c>
      <c r="D103" s="65">
        <f t="shared" si="64"/>
        <v>13287.805882003169</v>
      </c>
      <c r="E103" s="65">
        <f t="shared" si="64"/>
        <v>13162.965694068809</v>
      </c>
      <c r="F103" s="65">
        <f t="shared" si="64"/>
        <v>13026.817765592446</v>
      </c>
      <c r="G103" s="65">
        <f t="shared" si="64"/>
        <v>12971.054594433916</v>
      </c>
      <c r="H103" s="65">
        <f t="shared" si="64"/>
        <v>12926.187477442867</v>
      </c>
      <c r="I103" s="65">
        <f t="shared" si="64"/>
        <v>12747.930970159714</v>
      </c>
      <c r="J103" s="65">
        <f t="shared" si="64"/>
        <v>12687.896061774851</v>
      </c>
      <c r="K103" s="65">
        <f t="shared" si="64"/>
        <v>12541.059010960751</v>
      </c>
      <c r="L103" s="65">
        <f t="shared" si="64"/>
        <v>12289.975823999066</v>
      </c>
      <c r="M103" s="65">
        <f t="shared" si="64"/>
        <v>12281.590176357851</v>
      </c>
      <c r="N103" s="65">
        <f t="shared" si="64"/>
        <v>12403.801026202449</v>
      </c>
      <c r="O103" s="65">
        <f t="shared" si="64"/>
        <v>12375.590354081694</v>
      </c>
      <c r="P103" s="65">
        <f t="shared" si="64"/>
        <v>12455.166002965911</v>
      </c>
      <c r="Q103" s="65">
        <f t="shared" si="64"/>
        <v>12495.607970281177</v>
      </c>
      <c r="R103" s="65">
        <f t="shared" si="64"/>
        <v>12447.40978292512</v>
      </c>
      <c r="S103" s="65">
        <f t="shared" si="64"/>
        <v>12381.151766462768</v>
      </c>
      <c r="T103" s="65">
        <f t="shared" si="64"/>
        <v>12108.73470414718</v>
      </c>
      <c r="U103" s="65">
        <f t="shared" si="64"/>
        <v>11766.203838879794</v>
      </c>
      <c r="V103" s="65">
        <f t="shared" si="64"/>
        <v>10177.261085423155</v>
      </c>
      <c r="W103" s="65">
        <f t="shared" si="64"/>
        <v>11120.176332550725</v>
      </c>
      <c r="DA103" s="109"/>
    </row>
    <row r="104" spans="1:105" ht="12" customHeight="1" x14ac:dyDescent="0.25">
      <c r="A104" s="66" t="s">
        <v>34</v>
      </c>
      <c r="B104" s="67">
        <f t="shared" si="59"/>
        <v>11687.133419103113</v>
      </c>
      <c r="C104" s="67">
        <f t="shared" ref="C104:W104" si="65">C52*11630*1000/C$8</f>
        <v>11704.530103016265</v>
      </c>
      <c r="D104" s="67">
        <f t="shared" si="65"/>
        <v>11736.131001885131</v>
      </c>
      <c r="E104" s="67">
        <f t="shared" si="65"/>
        <v>12001.255518102133</v>
      </c>
      <c r="F104" s="67">
        <f t="shared" si="65"/>
        <v>12134.14892143607</v>
      </c>
      <c r="G104" s="67">
        <f t="shared" si="65"/>
        <v>12129.819382472388</v>
      </c>
      <c r="H104" s="67">
        <f t="shared" si="65"/>
        <v>12261.572695157569</v>
      </c>
      <c r="I104" s="67">
        <f t="shared" si="65"/>
        <v>12091.41475762737</v>
      </c>
      <c r="J104" s="67">
        <f t="shared" si="65"/>
        <v>12146.455011606839</v>
      </c>
      <c r="K104" s="67">
        <f t="shared" si="65"/>
        <v>12096.082915558434</v>
      </c>
      <c r="L104" s="67">
        <f t="shared" si="65"/>
        <v>12079.89839997062</v>
      </c>
      <c r="M104" s="67">
        <f t="shared" si="65"/>
        <v>12200.642099809502</v>
      </c>
      <c r="N104" s="67">
        <f t="shared" si="65"/>
        <v>12389.474845186318</v>
      </c>
      <c r="O104" s="67">
        <f t="shared" si="65"/>
        <v>12436.462522020176</v>
      </c>
      <c r="P104" s="67">
        <f t="shared" si="65"/>
        <v>12273.150382283611</v>
      </c>
      <c r="Q104" s="67">
        <f t="shared" si="65"/>
        <v>12478.411542042993</v>
      </c>
      <c r="R104" s="67">
        <f t="shared" si="65"/>
        <v>12624.639928078917</v>
      </c>
      <c r="S104" s="67">
        <f t="shared" si="65"/>
        <v>12513.942763365803</v>
      </c>
      <c r="T104" s="67">
        <f t="shared" si="65"/>
        <v>12377.400024998042</v>
      </c>
      <c r="U104" s="67">
        <f t="shared" si="65"/>
        <v>12325.712342352497</v>
      </c>
      <c r="V104" s="67">
        <f t="shared" si="65"/>
        <v>10813.637281520545</v>
      </c>
      <c r="W104" s="67">
        <f t="shared" si="65"/>
        <v>11450.583212257754</v>
      </c>
      <c r="DA104" s="110"/>
    </row>
    <row r="105" spans="1:105" ht="12" customHeight="1" x14ac:dyDescent="0.25">
      <c r="A105" s="78" t="s">
        <v>33</v>
      </c>
      <c r="B105" s="68">
        <f t="shared" si="59"/>
        <v>43336.798467876135</v>
      </c>
      <c r="C105" s="68">
        <f t="shared" ref="C105:W105" si="66">C53*11630*1000/C$8</f>
        <v>43600.231884758563</v>
      </c>
      <c r="D105" s="68">
        <f t="shared" si="66"/>
        <v>43830.59809682495</v>
      </c>
      <c r="E105" s="68">
        <f t="shared" si="66"/>
        <v>44166.947108607659</v>
      </c>
      <c r="F105" s="68">
        <f t="shared" si="66"/>
        <v>44511.618704949062</v>
      </c>
      <c r="G105" s="68">
        <f t="shared" si="66"/>
        <v>44880.106854490688</v>
      </c>
      <c r="H105" s="68">
        <f t="shared" si="66"/>
        <v>44808.030083891339</v>
      </c>
      <c r="I105" s="68">
        <f t="shared" si="66"/>
        <v>44479.1605699149</v>
      </c>
      <c r="J105" s="68">
        <f t="shared" si="66"/>
        <v>44608.867105211553</v>
      </c>
      <c r="K105" s="68">
        <f t="shared" si="66"/>
        <v>44542.591211588129</v>
      </c>
      <c r="L105" s="68">
        <f t="shared" si="66"/>
        <v>44382.171209299158</v>
      </c>
      <c r="M105" s="68">
        <f t="shared" si="66"/>
        <v>44530.115474255945</v>
      </c>
      <c r="N105" s="68">
        <f t="shared" si="66"/>
        <v>44708.413602816028</v>
      </c>
      <c r="O105" s="68">
        <f t="shared" si="66"/>
        <v>45211.526614443144</v>
      </c>
      <c r="P105" s="68">
        <f t="shared" si="66"/>
        <v>45693.213472859934</v>
      </c>
      <c r="Q105" s="68">
        <f t="shared" si="66"/>
        <v>46169.276826951165</v>
      </c>
      <c r="R105" s="68">
        <f t="shared" si="66"/>
        <v>45985.856513582774</v>
      </c>
      <c r="S105" s="68">
        <f t="shared" si="66"/>
        <v>46928.516562287965</v>
      </c>
      <c r="T105" s="68">
        <f t="shared" si="66"/>
        <v>46232.561988433525</v>
      </c>
      <c r="U105" s="68">
        <f t="shared" si="66"/>
        <v>45676.053212687504</v>
      </c>
      <c r="V105" s="68">
        <f t="shared" si="66"/>
        <v>42504.193542882342</v>
      </c>
      <c r="W105" s="68">
        <f t="shared" si="66"/>
        <v>43494.798607811856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67">SUM(B108:B111)</f>
        <v>97615.112007247866</v>
      </c>
      <c r="C107" s="85">
        <f t="shared" ref="C107:W107" si="68">SUM(C108:C111)</f>
        <v>100197.34626268227</v>
      </c>
      <c r="D107" s="85">
        <f t="shared" si="68"/>
        <v>98811.324445637612</v>
      </c>
      <c r="E107" s="85">
        <f t="shared" si="68"/>
        <v>99812.334004982142</v>
      </c>
      <c r="F107" s="85">
        <f t="shared" si="68"/>
        <v>98629.94638521313</v>
      </c>
      <c r="G107" s="85">
        <f t="shared" si="68"/>
        <v>96614.768180309096</v>
      </c>
      <c r="H107" s="85">
        <f t="shared" si="68"/>
        <v>96906.469049456617</v>
      </c>
      <c r="I107" s="85">
        <f t="shared" si="68"/>
        <v>93698.532854142424</v>
      </c>
      <c r="J107" s="85">
        <f t="shared" si="68"/>
        <v>93530.502605244823</v>
      </c>
      <c r="K107" s="85">
        <f t="shared" si="68"/>
        <v>91079.723966492355</v>
      </c>
      <c r="L107" s="85">
        <f t="shared" si="68"/>
        <v>98010.108529772464</v>
      </c>
      <c r="M107" s="85">
        <f t="shared" si="68"/>
        <v>87388.056598369149</v>
      </c>
      <c r="N107" s="85">
        <f t="shared" si="68"/>
        <v>89353.099352541918</v>
      </c>
      <c r="O107" s="85">
        <f t="shared" si="68"/>
        <v>88491.367691628722</v>
      </c>
      <c r="P107" s="85">
        <f t="shared" si="68"/>
        <v>81061.162246212567</v>
      </c>
      <c r="Q107" s="85">
        <f t="shared" si="68"/>
        <v>85200.613476363113</v>
      </c>
      <c r="R107" s="85">
        <f t="shared" si="68"/>
        <v>88126.76502821187</v>
      </c>
      <c r="S107" s="85">
        <f t="shared" si="68"/>
        <v>89661.658549120999</v>
      </c>
      <c r="T107" s="85">
        <f t="shared" si="68"/>
        <v>86970.939430966828</v>
      </c>
      <c r="U107" s="85">
        <f t="shared" si="68"/>
        <v>84146.554900805859</v>
      </c>
      <c r="V107" s="85">
        <f t="shared" si="68"/>
        <v>80498.373797072127</v>
      </c>
      <c r="W107" s="85">
        <f t="shared" si="68"/>
        <v>93517.487705546504</v>
      </c>
      <c r="DA107" s="117"/>
    </row>
    <row r="108" spans="1:105" ht="12" customHeight="1" x14ac:dyDescent="0.25">
      <c r="A108" s="61" t="s">
        <v>32</v>
      </c>
      <c r="B108" s="65">
        <v>75626.186277796834</v>
      </c>
      <c r="C108" s="65">
        <v>78186.363012455578</v>
      </c>
      <c r="D108" s="65">
        <v>76654.52984379539</v>
      </c>
      <c r="E108" s="65">
        <v>77488.544689533795</v>
      </c>
      <c r="F108" s="65">
        <v>76139.128305085629</v>
      </c>
      <c r="G108" s="65">
        <v>73998.627246675256</v>
      </c>
      <c r="H108" s="65">
        <v>73947.971711023973</v>
      </c>
      <c r="I108" s="65">
        <v>70598.802616317233</v>
      </c>
      <c r="J108" s="65">
        <v>70119.198716583691</v>
      </c>
      <c r="K108" s="65">
        <v>67527.361662963769</v>
      </c>
      <c r="L108" s="65">
        <v>74362.431713090336</v>
      </c>
      <c r="M108" s="65">
        <v>63389.270985564224</v>
      </c>
      <c r="N108" s="65">
        <v>64848.330712322699</v>
      </c>
      <c r="O108" s="65">
        <v>63640.928357828241</v>
      </c>
      <c r="P108" s="65">
        <v>55835.432013870945</v>
      </c>
      <c r="Q108" s="65">
        <v>59691.196063860618</v>
      </c>
      <c r="R108" s="65">
        <v>62254.980452379052</v>
      </c>
      <c r="S108" s="65">
        <v>63537.108732142777</v>
      </c>
      <c r="T108" s="65">
        <v>60488.24615862334</v>
      </c>
      <c r="U108" s="65">
        <v>57847.118874412474</v>
      </c>
      <c r="V108" s="65">
        <v>56517.560858244862</v>
      </c>
      <c r="W108" s="65">
        <v>68074.905058835546</v>
      </c>
      <c r="DA108" s="109"/>
    </row>
    <row r="109" spans="1:105" ht="12" customHeight="1" x14ac:dyDescent="0.25">
      <c r="A109" s="61" t="s">
        <v>31</v>
      </c>
      <c r="B109" s="65">
        <v>4622.9648751827344</v>
      </c>
      <c r="C109" s="65">
        <v>4679.0233096927341</v>
      </c>
      <c r="D109" s="65">
        <v>4839.7557327215018</v>
      </c>
      <c r="E109" s="65">
        <v>4876.3234458497936</v>
      </c>
      <c r="F109" s="65">
        <v>4985.4078972684219</v>
      </c>
      <c r="G109" s="65">
        <v>5135.3373654277848</v>
      </c>
      <c r="H109" s="65">
        <v>5345.2450591961542</v>
      </c>
      <c r="I109" s="65">
        <v>5609.892405748802</v>
      </c>
      <c r="J109" s="65">
        <v>5817.963268580339</v>
      </c>
      <c r="K109" s="65">
        <v>5961.6093692146997</v>
      </c>
      <c r="L109" s="65">
        <v>6120.5148915996087</v>
      </c>
      <c r="M109" s="65">
        <v>6228.1166764424497</v>
      </c>
      <c r="N109" s="65">
        <v>6385.8542153922399</v>
      </c>
      <c r="O109" s="65">
        <v>6595.6475358834823</v>
      </c>
      <c r="P109" s="65">
        <v>6846.6435009381439</v>
      </c>
      <c r="Q109" s="65">
        <v>6970.9191599552778</v>
      </c>
      <c r="R109" s="65">
        <v>7120.5284074984556</v>
      </c>
      <c r="S109" s="65">
        <v>7276.6020212232315</v>
      </c>
      <c r="T109" s="65">
        <v>7753.1292608627664</v>
      </c>
      <c r="U109" s="65">
        <v>7697.1188713671063</v>
      </c>
      <c r="V109" s="65">
        <v>7365.6567821543322</v>
      </c>
      <c r="W109" s="65">
        <v>7550.2792222733324</v>
      </c>
      <c r="DA109" s="109"/>
    </row>
    <row r="110" spans="1:105" ht="12" customHeight="1" x14ac:dyDescent="0.25">
      <c r="A110" s="61" t="s">
        <v>35</v>
      </c>
      <c r="B110" s="65">
        <v>9437.1321833359489</v>
      </c>
      <c r="C110" s="65">
        <v>9366.0558335939168</v>
      </c>
      <c r="D110" s="65">
        <v>9305.9394288259282</v>
      </c>
      <c r="E110" s="65">
        <v>9244.6574916441914</v>
      </c>
      <c r="F110" s="65">
        <v>9198.0914172648572</v>
      </c>
      <c r="G110" s="65">
        <v>9200.0093776119284</v>
      </c>
      <c r="H110" s="65">
        <v>9212.9376129270913</v>
      </c>
      <c r="I110" s="65">
        <v>9175.2276480107685</v>
      </c>
      <c r="J110" s="65">
        <v>9207.5976088546777</v>
      </c>
      <c r="K110" s="65">
        <v>9209.0074065123172</v>
      </c>
      <c r="L110" s="65">
        <v>9152.4817851091175</v>
      </c>
      <c r="M110" s="65">
        <v>9267.6054572591129</v>
      </c>
      <c r="N110" s="65">
        <v>9436.2688326968801</v>
      </c>
      <c r="O110" s="65">
        <v>9517.7927799965491</v>
      </c>
      <c r="P110" s="65">
        <v>9665.8481998827119</v>
      </c>
      <c r="Q110" s="65">
        <v>9757.7017745820649</v>
      </c>
      <c r="R110" s="65">
        <v>9807.0113789543811</v>
      </c>
      <c r="S110" s="65">
        <v>9876.9101636135474</v>
      </c>
      <c r="T110" s="65">
        <v>9819.3609181295888</v>
      </c>
      <c r="U110" s="65">
        <v>9693.6923590777096</v>
      </c>
      <c r="V110" s="65">
        <v>8536.1442378926986</v>
      </c>
      <c r="W110" s="65">
        <v>9424.1405946142804</v>
      </c>
      <c r="DA110" s="109"/>
    </row>
    <row r="111" spans="1:105" ht="12" customHeight="1" x14ac:dyDescent="0.25">
      <c r="A111" s="74" t="s">
        <v>34</v>
      </c>
      <c r="B111" s="68">
        <v>7928.8286709323447</v>
      </c>
      <c r="C111" s="68">
        <v>7965.9041069400355</v>
      </c>
      <c r="D111" s="68">
        <v>8011.0994402947763</v>
      </c>
      <c r="E111" s="68">
        <v>8202.8083779543631</v>
      </c>
      <c r="F111" s="68">
        <v>8307.318765594222</v>
      </c>
      <c r="G111" s="68">
        <v>8280.7941905941334</v>
      </c>
      <c r="H111" s="68">
        <v>8400.3146663093976</v>
      </c>
      <c r="I111" s="68">
        <v>8314.6101840656174</v>
      </c>
      <c r="J111" s="68">
        <v>8385.7430112261191</v>
      </c>
      <c r="K111" s="68">
        <v>8381.7455278015714</v>
      </c>
      <c r="L111" s="68">
        <v>8374.6801399733995</v>
      </c>
      <c r="M111" s="68">
        <v>8503.0634791033663</v>
      </c>
      <c r="N111" s="68">
        <v>8682.6455921300894</v>
      </c>
      <c r="O111" s="68">
        <v>8736.9990179204415</v>
      </c>
      <c r="P111" s="68">
        <v>8713.2385315207575</v>
      </c>
      <c r="Q111" s="68">
        <v>8780.7964779651556</v>
      </c>
      <c r="R111" s="68">
        <v>8944.2447893799854</v>
      </c>
      <c r="S111" s="68">
        <v>8971.0376321414587</v>
      </c>
      <c r="T111" s="68">
        <v>8910.2030933511342</v>
      </c>
      <c r="U111" s="68">
        <v>8908.6247959485627</v>
      </c>
      <c r="V111" s="68">
        <v>8079.0119187802356</v>
      </c>
      <c r="W111" s="68">
        <v>8468.16282982335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69">B81*1000000/B$8</f>
        <v>7347.9466786130861</v>
      </c>
      <c r="C113" s="82">
        <f t="shared" ref="C113:W113" si="70">C81*1000000/C$8</f>
        <v>6902.4356948953809</v>
      </c>
      <c r="D113" s="82">
        <f t="shared" si="70"/>
        <v>6825.5568159727218</v>
      </c>
      <c r="E113" s="82">
        <f t="shared" si="70"/>
        <v>7379.2457729991092</v>
      </c>
      <c r="F113" s="82">
        <f t="shared" si="70"/>
        <v>7208.701598361954</v>
      </c>
      <c r="G113" s="82">
        <f t="shared" si="70"/>
        <v>7001.4445156461861</v>
      </c>
      <c r="H113" s="82">
        <f t="shared" si="70"/>
        <v>6897.1374635186285</v>
      </c>
      <c r="I113" s="82">
        <f t="shared" si="70"/>
        <v>6089.1063156041082</v>
      </c>
      <c r="J113" s="82">
        <f t="shared" si="70"/>
        <v>5916.3376238060473</v>
      </c>
      <c r="K113" s="82">
        <f t="shared" si="70"/>
        <v>5634.5530442393692</v>
      </c>
      <c r="L113" s="82">
        <f t="shared" si="70"/>
        <v>5441.6926568582439</v>
      </c>
      <c r="M113" s="82">
        <f t="shared" si="70"/>
        <v>4334.1432512487363</v>
      </c>
      <c r="N113" s="82">
        <f t="shared" si="70"/>
        <v>4820.9469808306485</v>
      </c>
      <c r="O113" s="82">
        <f t="shared" si="70"/>
        <v>4842.7510388855517</v>
      </c>
      <c r="P113" s="82">
        <f t="shared" si="70"/>
        <v>3850.4474407047387</v>
      </c>
      <c r="Q113" s="82">
        <f t="shared" si="70"/>
        <v>4616.08485972777</v>
      </c>
      <c r="R113" s="82">
        <f t="shared" si="70"/>
        <v>4684.2573342615633</v>
      </c>
      <c r="S113" s="82">
        <f t="shared" si="70"/>
        <v>4855.5710586143896</v>
      </c>
      <c r="T113" s="82">
        <f t="shared" si="70"/>
        <v>4290.3399891303852</v>
      </c>
      <c r="U113" s="82">
        <f t="shared" si="70"/>
        <v>3914.4303960732377</v>
      </c>
      <c r="V113" s="82">
        <f t="shared" si="70"/>
        <v>3873.3732498999952</v>
      </c>
      <c r="W113" s="82">
        <f t="shared" si="70"/>
        <v>5303.1286681992115</v>
      </c>
      <c r="DA113" s="107"/>
    </row>
    <row r="114" spans="1:105" ht="12" customHeight="1" x14ac:dyDescent="0.25">
      <c r="A114" s="77" t="s">
        <v>36</v>
      </c>
      <c r="B114" s="64">
        <f t="shared" ref="B114" si="71">B82*1000000/B$8</f>
        <v>7347.9466786130861</v>
      </c>
      <c r="C114" s="64">
        <f t="shared" ref="C114:W114" si="72">C82*1000000/C$8</f>
        <v>6902.4356948953809</v>
      </c>
      <c r="D114" s="64">
        <f t="shared" si="72"/>
        <v>6825.5568159727218</v>
      </c>
      <c r="E114" s="64">
        <f t="shared" si="72"/>
        <v>7379.2457729991092</v>
      </c>
      <c r="F114" s="64">
        <f t="shared" si="72"/>
        <v>7208.701598361954</v>
      </c>
      <c r="G114" s="64">
        <f t="shared" si="72"/>
        <v>7001.4445156461861</v>
      </c>
      <c r="H114" s="64">
        <f t="shared" si="72"/>
        <v>6897.1374635186285</v>
      </c>
      <c r="I114" s="64">
        <f t="shared" si="72"/>
        <v>6089.1063156041082</v>
      </c>
      <c r="J114" s="64">
        <f t="shared" si="72"/>
        <v>5916.3376238060473</v>
      </c>
      <c r="K114" s="64">
        <f t="shared" si="72"/>
        <v>5634.5530442393692</v>
      </c>
      <c r="L114" s="64">
        <f t="shared" si="72"/>
        <v>5441.6926568582439</v>
      </c>
      <c r="M114" s="64">
        <f t="shared" si="72"/>
        <v>4334.1432512487363</v>
      </c>
      <c r="N114" s="64">
        <f t="shared" si="72"/>
        <v>4820.9469808306485</v>
      </c>
      <c r="O114" s="64">
        <f t="shared" si="72"/>
        <v>4842.7510388855517</v>
      </c>
      <c r="P114" s="64">
        <f t="shared" si="72"/>
        <v>3850.4474407047387</v>
      </c>
      <c r="Q114" s="64">
        <f t="shared" si="72"/>
        <v>4616.08485972777</v>
      </c>
      <c r="R114" s="64">
        <f t="shared" si="72"/>
        <v>4684.2573342615633</v>
      </c>
      <c r="S114" s="64">
        <f t="shared" si="72"/>
        <v>4855.5710586143896</v>
      </c>
      <c r="T114" s="64">
        <f t="shared" si="72"/>
        <v>4290.3399891303852</v>
      </c>
      <c r="U114" s="64">
        <f t="shared" si="72"/>
        <v>3914.4303960732377</v>
      </c>
      <c r="V114" s="64">
        <f t="shared" si="72"/>
        <v>3873.3732498999952</v>
      </c>
      <c r="W114" s="64">
        <f t="shared" si="72"/>
        <v>5303.1286681992115</v>
      </c>
      <c r="DA114" s="108"/>
    </row>
    <row r="115" spans="1:105" ht="12" customHeight="1" x14ac:dyDescent="0.25">
      <c r="A115" s="61" t="s">
        <v>32</v>
      </c>
      <c r="B115" s="65">
        <f t="shared" ref="B115" si="73">B83*1000000/B$8</f>
        <v>6148.1458140037566</v>
      </c>
      <c r="C115" s="65">
        <f t="shared" ref="C115:W115" si="74">C83*1000000/C$8</f>
        <v>5739.3308450716422</v>
      </c>
      <c r="D115" s="65">
        <f t="shared" si="74"/>
        <v>5671.1303741351094</v>
      </c>
      <c r="E115" s="65">
        <f t="shared" si="74"/>
        <v>6146.1133532537842</v>
      </c>
      <c r="F115" s="65">
        <f t="shared" si="74"/>
        <v>5977.8181579447246</v>
      </c>
      <c r="G115" s="65">
        <f t="shared" si="74"/>
        <v>5701.8422408756223</v>
      </c>
      <c r="H115" s="65">
        <f t="shared" si="74"/>
        <v>5615.5804633575326</v>
      </c>
      <c r="I115" s="65">
        <f t="shared" si="74"/>
        <v>4858.409003653268</v>
      </c>
      <c r="J115" s="65">
        <f t="shared" si="74"/>
        <v>4696.7887639218534</v>
      </c>
      <c r="K115" s="65">
        <f t="shared" si="74"/>
        <v>4430.2133010255611</v>
      </c>
      <c r="L115" s="65">
        <f t="shared" si="74"/>
        <v>4236.3970813262831</v>
      </c>
      <c r="M115" s="65">
        <f t="shared" si="74"/>
        <v>3243.817533292095</v>
      </c>
      <c r="N115" s="65">
        <f t="shared" si="74"/>
        <v>3761.685616801878</v>
      </c>
      <c r="O115" s="65">
        <f t="shared" si="74"/>
        <v>3788.3673218938552</v>
      </c>
      <c r="P115" s="65">
        <f t="shared" si="74"/>
        <v>2896.0685019085549</v>
      </c>
      <c r="Q115" s="65">
        <f t="shared" si="74"/>
        <v>3478.5725462199575</v>
      </c>
      <c r="R115" s="65">
        <f t="shared" si="74"/>
        <v>3563.0788993157162</v>
      </c>
      <c r="S115" s="65">
        <f t="shared" si="74"/>
        <v>3771.1776922615136</v>
      </c>
      <c r="T115" s="65">
        <f t="shared" si="74"/>
        <v>3184.0056881318023</v>
      </c>
      <c r="U115" s="65">
        <f t="shared" si="74"/>
        <v>2803.7535107979811</v>
      </c>
      <c r="V115" s="65">
        <f t="shared" si="74"/>
        <v>3110.1690756991611</v>
      </c>
      <c r="W115" s="65">
        <f t="shared" si="74"/>
        <v>4279.4507185282737</v>
      </c>
      <c r="DA115" s="109"/>
    </row>
    <row r="116" spans="1:105" ht="12" customHeight="1" x14ac:dyDescent="0.25">
      <c r="A116" s="61" t="s">
        <v>31</v>
      </c>
      <c r="B116" s="65">
        <f t="shared" ref="B116" si="75">B84*1000000/B$8</f>
        <v>0.5927975390595468</v>
      </c>
      <c r="C116" s="65">
        <f t="shared" ref="C116:W116" si="76">C84*1000000/C$8</f>
        <v>0.60739852378475956</v>
      </c>
      <c r="D116" s="65">
        <f t="shared" si="76"/>
        <v>0.64572269622401257</v>
      </c>
      <c r="E116" s="65">
        <f t="shared" si="76"/>
        <v>0.66013066339031068</v>
      </c>
      <c r="F116" s="65">
        <f t="shared" si="76"/>
        <v>0.70107565446495101</v>
      </c>
      <c r="G116" s="65">
        <f t="shared" si="76"/>
        <v>0.75966902977320738</v>
      </c>
      <c r="H116" s="65">
        <f t="shared" si="76"/>
        <v>0.79451426520401736</v>
      </c>
      <c r="I116" s="65">
        <f t="shared" si="76"/>
        <v>0.82650610749106201</v>
      </c>
      <c r="J116" s="65">
        <f t="shared" si="76"/>
        <v>0.85884839524260526</v>
      </c>
      <c r="K116" s="65">
        <f t="shared" si="76"/>
        <v>0.87238369518362291</v>
      </c>
      <c r="L116" s="65">
        <f t="shared" si="76"/>
        <v>0.91643536972699768</v>
      </c>
      <c r="M116" s="65">
        <f t="shared" si="76"/>
        <v>0.9911865620803566</v>
      </c>
      <c r="N116" s="65">
        <f t="shared" si="76"/>
        <v>1.129490408481739</v>
      </c>
      <c r="O116" s="65">
        <f t="shared" si="76"/>
        <v>1.3624743938659893</v>
      </c>
      <c r="P116" s="65">
        <f t="shared" si="76"/>
        <v>1.8051028101835076</v>
      </c>
      <c r="Q116" s="65">
        <f t="shared" si="76"/>
        <v>2.504514139851961</v>
      </c>
      <c r="R116" s="65">
        <f t="shared" si="76"/>
        <v>3.0801360024831226</v>
      </c>
      <c r="S116" s="65">
        <f t="shared" si="76"/>
        <v>3.7004967940290285</v>
      </c>
      <c r="T116" s="65">
        <f t="shared" si="76"/>
        <v>4.1864978531276442</v>
      </c>
      <c r="U116" s="65">
        <f t="shared" si="76"/>
        <v>4.5863715628156028</v>
      </c>
      <c r="V116" s="65">
        <f t="shared" si="76"/>
        <v>4.4904199135947964</v>
      </c>
      <c r="W116" s="65">
        <f t="shared" si="76"/>
        <v>4.617922490893136</v>
      </c>
      <c r="DA116" s="109"/>
    </row>
    <row r="117" spans="1:105" ht="12" customHeight="1" x14ac:dyDescent="0.25">
      <c r="A117" s="61" t="s">
        <v>35</v>
      </c>
      <c r="B117" s="65">
        <f t="shared" ref="B117" si="77">B85*1000000/B$8</f>
        <v>651.1907156796284</v>
      </c>
      <c r="C117" s="65">
        <f t="shared" ref="C117:W117" si="78">C85*1000000/C$8</f>
        <v>625.08891716354515</v>
      </c>
      <c r="D117" s="65">
        <f t="shared" si="78"/>
        <v>623.44316864292864</v>
      </c>
      <c r="E117" s="65">
        <f t="shared" si="78"/>
        <v>666.85460258560443</v>
      </c>
      <c r="F117" s="65">
        <f t="shared" si="78"/>
        <v>651.0340675926559</v>
      </c>
      <c r="G117" s="65">
        <f t="shared" si="78"/>
        <v>664.37911124802611</v>
      </c>
      <c r="H117" s="65">
        <f t="shared" si="78"/>
        <v>645.1895486483412</v>
      </c>
      <c r="I117" s="65">
        <f t="shared" si="78"/>
        <v>600.57031900579079</v>
      </c>
      <c r="J117" s="65">
        <f t="shared" si="78"/>
        <v>592.02759063433598</v>
      </c>
      <c r="K117" s="65">
        <f t="shared" si="78"/>
        <v>574.53337989842521</v>
      </c>
      <c r="L117" s="65">
        <f t="shared" si="78"/>
        <v>550.48531014543767</v>
      </c>
      <c r="M117" s="65">
        <f t="shared" si="78"/>
        <v>468.84025873099574</v>
      </c>
      <c r="N117" s="65">
        <f t="shared" si="78"/>
        <v>464.76971791642109</v>
      </c>
      <c r="O117" s="65">
        <f t="shared" si="78"/>
        <v>454.37635277171398</v>
      </c>
      <c r="P117" s="65">
        <f t="shared" si="78"/>
        <v>425.7278948775093</v>
      </c>
      <c r="Q117" s="65">
        <f t="shared" si="78"/>
        <v>457.61026014382691</v>
      </c>
      <c r="R117" s="65">
        <f t="shared" si="78"/>
        <v>454.01142769178603</v>
      </c>
      <c r="S117" s="65">
        <f t="shared" si="78"/>
        <v>454.68475193981379</v>
      </c>
      <c r="T117" s="65">
        <f t="shared" si="78"/>
        <v>437.17607829484928</v>
      </c>
      <c r="U117" s="65">
        <f t="shared" si="78"/>
        <v>386.50918477167795</v>
      </c>
      <c r="V117" s="65">
        <f t="shared" si="78"/>
        <v>279.73248036845371</v>
      </c>
      <c r="W117" s="65">
        <f t="shared" si="78"/>
        <v>348.40784329831621</v>
      </c>
      <c r="DA117" s="109"/>
    </row>
    <row r="118" spans="1:105" ht="12" customHeight="1" x14ac:dyDescent="0.25">
      <c r="A118" s="66" t="s">
        <v>34</v>
      </c>
      <c r="B118" s="67">
        <f t="shared" ref="B118" si="79">B86*1000000/B$8</f>
        <v>548.01735139064294</v>
      </c>
      <c r="C118" s="67">
        <f t="shared" ref="C118:W118" si="80">C86*1000000/C$8</f>
        <v>537.40853413640889</v>
      </c>
      <c r="D118" s="67">
        <f t="shared" si="80"/>
        <v>530.33755049845956</v>
      </c>
      <c r="E118" s="67">
        <f t="shared" si="80"/>
        <v>565.61768649632916</v>
      </c>
      <c r="F118" s="67">
        <f t="shared" si="80"/>
        <v>579.14829717011003</v>
      </c>
      <c r="G118" s="67">
        <f t="shared" si="80"/>
        <v>634.46349449276352</v>
      </c>
      <c r="H118" s="67">
        <f t="shared" si="80"/>
        <v>635.57293724755095</v>
      </c>
      <c r="I118" s="67">
        <f t="shared" si="80"/>
        <v>629.30048683755876</v>
      </c>
      <c r="J118" s="67">
        <f t="shared" si="80"/>
        <v>626.66242085461511</v>
      </c>
      <c r="K118" s="67">
        <f t="shared" si="80"/>
        <v>628.93397962019878</v>
      </c>
      <c r="L118" s="67">
        <f t="shared" si="80"/>
        <v>653.89383001679539</v>
      </c>
      <c r="M118" s="67">
        <f t="shared" si="80"/>
        <v>620.49427266356565</v>
      </c>
      <c r="N118" s="67">
        <f t="shared" si="80"/>
        <v>593.36215570386776</v>
      </c>
      <c r="O118" s="67">
        <f t="shared" si="80"/>
        <v>598.6448898261167</v>
      </c>
      <c r="P118" s="67">
        <f t="shared" si="80"/>
        <v>526.84594110849059</v>
      </c>
      <c r="Q118" s="67">
        <f t="shared" si="80"/>
        <v>677.39753922413354</v>
      </c>
      <c r="R118" s="67">
        <f t="shared" si="80"/>
        <v>664.08687125157758</v>
      </c>
      <c r="S118" s="67">
        <f t="shared" si="80"/>
        <v>626.00811761903321</v>
      </c>
      <c r="T118" s="67">
        <f t="shared" si="80"/>
        <v>664.97172485060696</v>
      </c>
      <c r="U118" s="67">
        <f t="shared" si="80"/>
        <v>719.58132894076289</v>
      </c>
      <c r="V118" s="67">
        <f t="shared" si="80"/>
        <v>478.98127391878535</v>
      </c>
      <c r="W118" s="67">
        <f t="shared" si="80"/>
        <v>670.65218388172923</v>
      </c>
      <c r="DA118" s="110"/>
    </row>
    <row r="119" spans="1:105" ht="12" customHeight="1" x14ac:dyDescent="0.25">
      <c r="A119" s="78" t="s">
        <v>33</v>
      </c>
      <c r="B119" s="68">
        <f t="shared" ref="B119" si="81">B87*1000000/B$8</f>
        <v>0</v>
      </c>
      <c r="C119" s="68">
        <f t="shared" ref="C119:W119" si="82">C87*1000000/C$8</f>
        <v>0</v>
      </c>
      <c r="D119" s="68">
        <f t="shared" si="82"/>
        <v>0</v>
      </c>
      <c r="E119" s="68">
        <f t="shared" si="82"/>
        <v>0</v>
      </c>
      <c r="F119" s="68">
        <f t="shared" si="82"/>
        <v>0</v>
      </c>
      <c r="G119" s="68">
        <f t="shared" si="82"/>
        <v>0</v>
      </c>
      <c r="H119" s="68">
        <f t="shared" si="82"/>
        <v>0</v>
      </c>
      <c r="I119" s="68">
        <f t="shared" si="82"/>
        <v>0</v>
      </c>
      <c r="J119" s="68">
        <f t="shared" si="82"/>
        <v>0</v>
      </c>
      <c r="K119" s="68">
        <f t="shared" si="82"/>
        <v>0</v>
      </c>
      <c r="L119" s="68">
        <f t="shared" si="82"/>
        <v>0</v>
      </c>
      <c r="M119" s="68">
        <f t="shared" si="82"/>
        <v>0</v>
      </c>
      <c r="N119" s="68">
        <f t="shared" si="82"/>
        <v>0</v>
      </c>
      <c r="O119" s="68">
        <f t="shared" si="82"/>
        <v>0</v>
      </c>
      <c r="P119" s="68">
        <f t="shared" si="82"/>
        <v>0</v>
      </c>
      <c r="Q119" s="68">
        <f t="shared" si="82"/>
        <v>0</v>
      </c>
      <c r="R119" s="68">
        <f t="shared" si="82"/>
        <v>0</v>
      </c>
      <c r="S119" s="68">
        <f t="shared" si="82"/>
        <v>0</v>
      </c>
      <c r="T119" s="68">
        <f t="shared" si="82"/>
        <v>0</v>
      </c>
      <c r="U119" s="68">
        <f t="shared" si="82"/>
        <v>0</v>
      </c>
      <c r="V119" s="68">
        <f t="shared" si="82"/>
        <v>0</v>
      </c>
      <c r="W119" s="68">
        <f t="shared" si="82"/>
        <v>0</v>
      </c>
      <c r="DA119" s="111"/>
    </row>
    <row r="121" spans="1:105" ht="12.95" customHeight="1" x14ac:dyDescent="0.25">
      <c r="A121" s="79" t="s">
        <v>30</v>
      </c>
      <c r="B121" s="86">
        <f t="shared" ref="B121" si="83">IF(B107=0,"",B107/B100)</f>
        <v>0.71034893244017216</v>
      </c>
      <c r="C121" s="86">
        <f t="shared" ref="C121:W121" si="84">IF(C107=0,"",C107/C100)</f>
        <v>0.72057864458720289</v>
      </c>
      <c r="D121" s="86">
        <f t="shared" si="84"/>
        <v>0.72500677669206759</v>
      </c>
      <c r="E121" s="86">
        <f t="shared" si="84"/>
        <v>0.72755853882337607</v>
      </c>
      <c r="F121" s="86">
        <f t="shared" si="84"/>
        <v>0.73404055915196587</v>
      </c>
      <c r="G121" s="86">
        <f t="shared" si="84"/>
        <v>0.74029674535872736</v>
      </c>
      <c r="H121" s="86">
        <f t="shared" si="84"/>
        <v>0.7462007035213668</v>
      </c>
      <c r="I121" s="86">
        <f t="shared" si="84"/>
        <v>0.76408246775155464</v>
      </c>
      <c r="J121" s="86">
        <f t="shared" si="84"/>
        <v>0.77342266866492326</v>
      </c>
      <c r="K121" s="86">
        <f t="shared" si="84"/>
        <v>0.78450106669867625</v>
      </c>
      <c r="L121" s="86">
        <f t="shared" si="84"/>
        <v>0.79503763235111569</v>
      </c>
      <c r="M121" s="86">
        <f t="shared" si="84"/>
        <v>0.8104116178372256</v>
      </c>
      <c r="N121" s="86">
        <f t="shared" si="84"/>
        <v>0.81629369602220869</v>
      </c>
      <c r="O121" s="86">
        <f t="shared" si="84"/>
        <v>0.8263022301694749</v>
      </c>
      <c r="P121" s="86">
        <f t="shared" si="84"/>
        <v>0.84068858929568102</v>
      </c>
      <c r="Q121" s="86">
        <f t="shared" si="84"/>
        <v>0.84304297423687125</v>
      </c>
      <c r="R121" s="86">
        <f t="shared" si="84"/>
        <v>0.84792906629760478</v>
      </c>
      <c r="S121" s="86">
        <f t="shared" si="84"/>
        <v>0.85446972132419097</v>
      </c>
      <c r="T121" s="86">
        <f t="shared" si="84"/>
        <v>0.87181250889038209</v>
      </c>
      <c r="U121" s="86">
        <f t="shared" si="84"/>
        <v>0.88812510589845395</v>
      </c>
      <c r="V121" s="86">
        <f t="shared" si="84"/>
        <v>0.90317463788556629</v>
      </c>
      <c r="W121" s="86">
        <f t="shared" si="84"/>
        <v>0.89781144888573949</v>
      </c>
      <c r="DA121" s="119" t="s">
        <v>238</v>
      </c>
    </row>
    <row r="122" spans="1:105" ht="12" customHeight="1" x14ac:dyDescent="0.25">
      <c r="A122" s="61" t="s">
        <v>32</v>
      </c>
      <c r="B122" s="75">
        <f t="shared" ref="B122" si="85">IF(B108=0,"",B108/B101)</f>
        <v>0.68839424882263267</v>
      </c>
      <c r="C122" s="75">
        <f t="shared" ref="C122:W122" si="86">IF(C108=0,"",C108/C101)</f>
        <v>0.69952619692752238</v>
      </c>
      <c r="D122" s="75">
        <f t="shared" si="86"/>
        <v>0.70220856228510964</v>
      </c>
      <c r="E122" s="75">
        <f t="shared" si="86"/>
        <v>0.70441258248794392</v>
      </c>
      <c r="F122" s="75">
        <f t="shared" si="86"/>
        <v>0.70991438223391934</v>
      </c>
      <c r="G122" s="75">
        <f t="shared" si="86"/>
        <v>0.7148771025151528</v>
      </c>
      <c r="H122" s="75">
        <f t="shared" si="86"/>
        <v>0.71911425580766208</v>
      </c>
      <c r="I122" s="75">
        <f t="shared" si="86"/>
        <v>0.73551254430472246</v>
      </c>
      <c r="J122" s="75">
        <f t="shared" si="86"/>
        <v>0.74311476711413416</v>
      </c>
      <c r="K122" s="75">
        <f t="shared" si="86"/>
        <v>0.75271586162516269</v>
      </c>
      <c r="L122" s="75">
        <f t="shared" si="86"/>
        <v>0.76541115097584667</v>
      </c>
      <c r="M122" s="75">
        <f t="shared" si="86"/>
        <v>0.77660850710657381</v>
      </c>
      <c r="N122" s="75">
        <f t="shared" si="86"/>
        <v>0.78168680830391846</v>
      </c>
      <c r="O122" s="75">
        <f t="shared" si="86"/>
        <v>0.78978690183352895</v>
      </c>
      <c r="P122" s="75">
        <f t="shared" si="86"/>
        <v>0.79767447427531968</v>
      </c>
      <c r="Q122" s="75">
        <f t="shared" si="86"/>
        <v>0.8019890594885174</v>
      </c>
      <c r="R122" s="75">
        <f t="shared" si="86"/>
        <v>0.80611251255024441</v>
      </c>
      <c r="S122" s="75">
        <f t="shared" si="86"/>
        <v>0.81008147112995099</v>
      </c>
      <c r="T122" s="75">
        <f t="shared" si="86"/>
        <v>0.82163581762444593</v>
      </c>
      <c r="U122" s="75">
        <f t="shared" si="86"/>
        <v>0.837685518250462</v>
      </c>
      <c r="V122" s="75">
        <f t="shared" si="86"/>
        <v>0.8481004050282801</v>
      </c>
      <c r="W122" s="75">
        <f t="shared" si="86"/>
        <v>0.8499108781952005</v>
      </c>
      <c r="DA122" s="120" t="s">
        <v>239</v>
      </c>
    </row>
    <row r="123" spans="1:105" ht="12" customHeight="1" x14ac:dyDescent="0.25">
      <c r="A123" s="61" t="s">
        <v>31</v>
      </c>
      <c r="B123" s="76">
        <f t="shared" ref="B123" si="87">IF(B109=0,"",B109/B102)</f>
        <v>2.0891309124450488</v>
      </c>
      <c r="C123" s="76">
        <f t="shared" ref="C123:W123" si="88">IF(C109=0,"",C109/C102)</f>
        <v>2.1820225075865047</v>
      </c>
      <c r="D123" s="76">
        <f t="shared" si="88"/>
        <v>2.3000280338918682</v>
      </c>
      <c r="E123" s="76">
        <f t="shared" si="88"/>
        <v>2.4148134805826627</v>
      </c>
      <c r="F123" s="76">
        <f t="shared" si="88"/>
        <v>2.5517901368138443</v>
      </c>
      <c r="G123" s="76">
        <f t="shared" si="88"/>
        <v>2.7100648373669505</v>
      </c>
      <c r="H123" s="76">
        <f t="shared" si="88"/>
        <v>2.8944637867345016</v>
      </c>
      <c r="I123" s="76">
        <f t="shared" si="88"/>
        <v>3.1103547394601394</v>
      </c>
      <c r="J123" s="76">
        <f t="shared" si="88"/>
        <v>3.3479109309947632</v>
      </c>
      <c r="K123" s="76">
        <f t="shared" si="88"/>
        <v>3.406338720729603</v>
      </c>
      <c r="L123" s="76">
        <f t="shared" si="88"/>
        <v>3.4897238164790934</v>
      </c>
      <c r="M123" s="76">
        <f t="shared" si="88"/>
        <v>3.6078646835466412</v>
      </c>
      <c r="N123" s="76">
        <f t="shared" si="88"/>
        <v>3.7361782583499319</v>
      </c>
      <c r="O123" s="76">
        <f t="shared" si="88"/>
        <v>3.8768385199722579</v>
      </c>
      <c r="P123" s="76">
        <f t="shared" si="88"/>
        <v>4.0363218192164263</v>
      </c>
      <c r="Q123" s="76">
        <f t="shared" si="88"/>
        <v>4.1987638191707628</v>
      </c>
      <c r="R123" s="76">
        <f t="shared" si="88"/>
        <v>4.3655652775189013</v>
      </c>
      <c r="S123" s="76">
        <f t="shared" si="88"/>
        <v>4.5353010091885135</v>
      </c>
      <c r="T123" s="76">
        <f t="shared" si="88"/>
        <v>4.689374427510189</v>
      </c>
      <c r="U123" s="76">
        <f t="shared" si="88"/>
        <v>4.8152751993404301</v>
      </c>
      <c r="V123" s="76">
        <f t="shared" si="88"/>
        <v>4.919707628576556</v>
      </c>
      <c r="W123" s="76">
        <f t="shared" si="88"/>
        <v>5.052615978532164</v>
      </c>
      <c r="DA123" s="121" t="s">
        <v>240</v>
      </c>
    </row>
    <row r="124" spans="1:105" ht="12" customHeight="1" x14ac:dyDescent="0.25">
      <c r="A124" s="61" t="s">
        <v>35</v>
      </c>
      <c r="B124" s="76">
        <f t="shared" ref="B124" si="89">IF(B110=0,"",B110/B103)</f>
        <v>0.69087351235300298</v>
      </c>
      <c r="C124" s="76">
        <f t="shared" ref="C124:W124" si="90">IF(C110=0,"",C110/C103)</f>
        <v>0.69729991388367596</v>
      </c>
      <c r="D124" s="76">
        <f t="shared" si="90"/>
        <v>0.70033679837464902</v>
      </c>
      <c r="E124" s="76">
        <f t="shared" si="90"/>
        <v>0.70232329905788671</v>
      </c>
      <c r="F124" s="76">
        <f t="shared" si="90"/>
        <v>0.70608889928280483</v>
      </c>
      <c r="G124" s="76">
        <f t="shared" si="90"/>
        <v>0.70927227317043273</v>
      </c>
      <c r="H124" s="76">
        <f t="shared" si="90"/>
        <v>0.71273433322890711</v>
      </c>
      <c r="I124" s="76">
        <f t="shared" si="90"/>
        <v>0.71974249542832403</v>
      </c>
      <c r="J124" s="76">
        <f t="shared" si="90"/>
        <v>0.725699325090993</v>
      </c>
      <c r="K124" s="76">
        <f t="shared" si="90"/>
        <v>0.73430859375302704</v>
      </c>
      <c r="L124" s="76">
        <f t="shared" si="90"/>
        <v>0.74471113012580104</v>
      </c>
      <c r="M124" s="76">
        <f t="shared" si="90"/>
        <v>0.75459328345765186</v>
      </c>
      <c r="N124" s="76">
        <f t="shared" si="90"/>
        <v>0.76075622406093135</v>
      </c>
      <c r="O124" s="76">
        <f t="shared" si="90"/>
        <v>0.76907787892780466</v>
      </c>
      <c r="P124" s="76">
        <f t="shared" si="90"/>
        <v>0.77605133464949505</v>
      </c>
      <c r="Q124" s="76">
        <f t="shared" si="90"/>
        <v>0.7808905175153712</v>
      </c>
      <c r="R124" s="76">
        <f t="shared" si="90"/>
        <v>0.78787567453650187</v>
      </c>
      <c r="S124" s="76">
        <f t="shared" si="90"/>
        <v>0.79773758935476891</v>
      </c>
      <c r="T124" s="76">
        <f t="shared" si="90"/>
        <v>0.81093203856935669</v>
      </c>
      <c r="U124" s="76">
        <f t="shared" si="90"/>
        <v>0.82385895160563538</v>
      </c>
      <c r="V124" s="76">
        <f t="shared" si="90"/>
        <v>0.8387467085932363</v>
      </c>
      <c r="W124" s="76">
        <f t="shared" si="90"/>
        <v>0.84748121907277241</v>
      </c>
      <c r="DA124" s="121" t="s">
        <v>241</v>
      </c>
    </row>
    <row r="125" spans="1:105" ht="12" customHeight="1" x14ac:dyDescent="0.25">
      <c r="A125" s="74" t="s">
        <v>34</v>
      </c>
      <c r="B125" s="56">
        <f t="shared" ref="B125" si="91">IF(B111=0,"",B111/B104)</f>
        <v>0.67842373203101625</v>
      </c>
      <c r="C125" s="56">
        <f t="shared" ref="C125:W125" si="92">IF(C111=0,"",C111/C104)</f>
        <v>0.68058299110078901</v>
      </c>
      <c r="D125" s="56">
        <f t="shared" si="92"/>
        <v>0.68260139896256977</v>
      </c>
      <c r="E125" s="56">
        <f t="shared" si="92"/>
        <v>0.68349585304484439</v>
      </c>
      <c r="F125" s="56">
        <f t="shared" si="92"/>
        <v>0.68462310948884042</v>
      </c>
      <c r="G125" s="56">
        <f t="shared" si="92"/>
        <v>0.68268074976943982</v>
      </c>
      <c r="H125" s="56">
        <f t="shared" si="92"/>
        <v>0.685092758910683</v>
      </c>
      <c r="I125" s="56">
        <f t="shared" si="92"/>
        <v>0.68764576773951858</v>
      </c>
      <c r="J125" s="56">
        <f t="shared" si="92"/>
        <v>0.69038604294116435</v>
      </c>
      <c r="K125" s="56">
        <f t="shared" si="92"/>
        <v>0.69293056159698252</v>
      </c>
      <c r="L125" s="56">
        <f t="shared" si="92"/>
        <v>0.69327405435742473</v>
      </c>
      <c r="M125" s="56">
        <f t="shared" si="92"/>
        <v>0.69693573580329282</v>
      </c>
      <c r="N125" s="56">
        <f t="shared" si="92"/>
        <v>0.70080820217360196</v>
      </c>
      <c r="O125" s="56">
        <f t="shared" si="92"/>
        <v>0.70253088468289016</v>
      </c>
      <c r="P125" s="56">
        <f t="shared" si="92"/>
        <v>0.70994310833984287</v>
      </c>
      <c r="Q125" s="56">
        <f t="shared" si="92"/>
        <v>0.70367902584238251</v>
      </c>
      <c r="R125" s="56">
        <f t="shared" si="92"/>
        <v>0.70847523892438058</v>
      </c>
      <c r="S125" s="56">
        <f t="shared" si="92"/>
        <v>0.71688338374088667</v>
      </c>
      <c r="T125" s="56">
        <f t="shared" si="92"/>
        <v>0.7198767976598982</v>
      </c>
      <c r="U125" s="56">
        <f t="shared" si="92"/>
        <v>0.72276754061001025</v>
      </c>
      <c r="V125" s="56">
        <f t="shared" si="92"/>
        <v>0.7471132708128172</v>
      </c>
      <c r="W125" s="56">
        <f t="shared" si="92"/>
        <v>0.73953987083891515</v>
      </c>
      <c r="DA125" s="122" t="s">
        <v>242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93">IF(B99=0,0,B99/B$26)</f>
        <v>200.83926311976859</v>
      </c>
      <c r="C129" s="82">
        <f t="shared" ref="C129:W129" si="94">IF(C99=0,0,C99/C$26)</f>
        <v>202.94606786819426</v>
      </c>
      <c r="D129" s="82">
        <f t="shared" si="94"/>
        <v>200.13422907136217</v>
      </c>
      <c r="E129" s="82">
        <f t="shared" si="94"/>
        <v>201.50554746044017</v>
      </c>
      <c r="F129" s="82">
        <f t="shared" si="94"/>
        <v>198.75268657550174</v>
      </c>
      <c r="G129" s="82">
        <f t="shared" si="94"/>
        <v>194.8758551967546</v>
      </c>
      <c r="H129" s="82">
        <f t="shared" si="94"/>
        <v>194.08280433336773</v>
      </c>
      <c r="I129" s="82">
        <f t="shared" si="94"/>
        <v>185.67553607670095</v>
      </c>
      <c r="J129" s="82">
        <f t="shared" si="94"/>
        <v>183.93279183997427</v>
      </c>
      <c r="K129" s="82">
        <f t="shared" si="94"/>
        <v>178.49056430765881</v>
      </c>
      <c r="L129" s="82">
        <f t="shared" si="94"/>
        <v>186.28832344623126</v>
      </c>
      <c r="M129" s="82">
        <f t="shared" si="94"/>
        <v>169.29089805809437</v>
      </c>
      <c r="N129" s="82">
        <f t="shared" si="94"/>
        <v>171.30040347668947</v>
      </c>
      <c r="O129" s="82">
        <f t="shared" si="94"/>
        <v>169.22749781100447</v>
      </c>
      <c r="P129" s="82">
        <f t="shared" si="94"/>
        <v>157.9061721841249</v>
      </c>
      <c r="Q129" s="82">
        <f t="shared" si="94"/>
        <v>163.59163137993426</v>
      </c>
      <c r="R129" s="82">
        <f t="shared" si="94"/>
        <v>166.57513576607172</v>
      </c>
      <c r="S129" s="82">
        <f t="shared" si="94"/>
        <v>168.73448172324268</v>
      </c>
      <c r="T129" s="82">
        <f t="shared" si="94"/>
        <v>162.21258583903514</v>
      </c>
      <c r="U129" s="82">
        <f t="shared" si="94"/>
        <v>156.02482086397848</v>
      </c>
      <c r="V129" s="82">
        <f t="shared" si="94"/>
        <v>146.25826922282221</v>
      </c>
      <c r="W129" s="82">
        <f t="shared" si="94"/>
        <v>164.06267835108881</v>
      </c>
      <c r="DA129" s="107"/>
    </row>
    <row r="130" spans="1:105" ht="12" customHeight="1" x14ac:dyDescent="0.25">
      <c r="A130" s="77" t="s">
        <v>36</v>
      </c>
      <c r="B130" s="64">
        <f t="shared" ref="B130" si="95">IF(B100=0,0,B100/B$26)</f>
        <v>152.68726482212838</v>
      </c>
      <c r="C130" s="64">
        <f t="shared" ref="C130:W130" si="96">IF(C100=0,0,C100/C$26)</f>
        <v>154.50136577401813</v>
      </c>
      <c r="D130" s="64">
        <f t="shared" si="96"/>
        <v>151.43356451933442</v>
      </c>
      <c r="E130" s="64">
        <f t="shared" si="96"/>
        <v>152.43116178420942</v>
      </c>
      <c r="F130" s="64">
        <f t="shared" si="96"/>
        <v>149.29533245889166</v>
      </c>
      <c r="G130" s="64">
        <f t="shared" si="96"/>
        <v>145.00906980287604</v>
      </c>
      <c r="H130" s="64">
        <f t="shared" si="96"/>
        <v>144.29610424015513</v>
      </c>
      <c r="I130" s="64">
        <f t="shared" si="96"/>
        <v>136.25424655457331</v>
      </c>
      <c r="J130" s="64">
        <f t="shared" si="96"/>
        <v>134.36738394529476</v>
      </c>
      <c r="K130" s="64">
        <f t="shared" si="96"/>
        <v>128.99879629478312</v>
      </c>
      <c r="L130" s="64">
        <f t="shared" si="96"/>
        <v>136.97479988034337</v>
      </c>
      <c r="M130" s="64">
        <f t="shared" si="96"/>
        <v>119.81299197558776</v>
      </c>
      <c r="N130" s="64">
        <f t="shared" si="96"/>
        <v>121.62438836244944</v>
      </c>
      <c r="O130" s="64">
        <f t="shared" si="96"/>
        <v>118.99246823940101</v>
      </c>
      <c r="P130" s="64">
        <f t="shared" si="96"/>
        <v>107.13593499205832</v>
      </c>
      <c r="Q130" s="64">
        <f t="shared" si="96"/>
        <v>112.29243490554407</v>
      </c>
      <c r="R130" s="64">
        <f t="shared" si="96"/>
        <v>115.47973963986863</v>
      </c>
      <c r="S130" s="64">
        <f t="shared" si="96"/>
        <v>116.59168554292272</v>
      </c>
      <c r="T130" s="64">
        <f t="shared" si="96"/>
        <v>110.8430725185535</v>
      </c>
      <c r="U130" s="64">
        <f t="shared" si="96"/>
        <v>105.27365062765902</v>
      </c>
      <c r="V130" s="64">
        <f t="shared" si="96"/>
        <v>99.031387508508502</v>
      </c>
      <c r="W130" s="64">
        <f t="shared" si="96"/>
        <v>115.73512434240899</v>
      </c>
      <c r="DA130" s="108"/>
    </row>
    <row r="131" spans="1:105" ht="12" customHeight="1" x14ac:dyDescent="0.25">
      <c r="A131" s="61" t="s">
        <v>32</v>
      </c>
      <c r="B131" s="65">
        <f t="shared" ref="B131" si="97">IF(B101=0,0,B101/B$26)</f>
        <v>122.06536589742649</v>
      </c>
      <c r="C131" s="65">
        <f t="shared" ref="C131:W131" si="98">IF(C101=0,0,C101/C$26)</f>
        <v>124.18939714062938</v>
      </c>
      <c r="D131" s="65">
        <f t="shared" si="98"/>
        <v>121.29117245348831</v>
      </c>
      <c r="E131" s="65">
        <f t="shared" si="98"/>
        <v>122.2272076462298</v>
      </c>
      <c r="F131" s="65">
        <f t="shared" si="98"/>
        <v>119.16793569371505</v>
      </c>
      <c r="G131" s="65">
        <f t="shared" si="98"/>
        <v>115.0137508272025</v>
      </c>
      <c r="H131" s="65">
        <f t="shared" si="98"/>
        <v>114.25780027120609</v>
      </c>
      <c r="I131" s="65">
        <f t="shared" si="98"/>
        <v>106.65095330533386</v>
      </c>
      <c r="J131" s="65">
        <f t="shared" si="98"/>
        <v>104.84278370454984</v>
      </c>
      <c r="K131" s="65">
        <f t="shared" si="98"/>
        <v>99.679581197800161</v>
      </c>
      <c r="L131" s="65">
        <f t="shared" si="98"/>
        <v>107.94841964389312</v>
      </c>
      <c r="M131" s="65">
        <f t="shared" si="98"/>
        <v>90.692443712348037</v>
      </c>
      <c r="N131" s="65">
        <f t="shared" si="98"/>
        <v>92.177199392439164</v>
      </c>
      <c r="O131" s="65">
        <f t="shared" si="98"/>
        <v>89.533192378409225</v>
      </c>
      <c r="P131" s="65">
        <f t="shared" si="98"/>
        <v>77.775296696892894</v>
      </c>
      <c r="Q131" s="65">
        <f t="shared" si="98"/>
        <v>82.698822879661677</v>
      </c>
      <c r="R131" s="65">
        <f t="shared" si="98"/>
        <v>85.809610228983928</v>
      </c>
      <c r="S131" s="65">
        <f t="shared" si="98"/>
        <v>87.147762288262115</v>
      </c>
      <c r="T131" s="65">
        <f t="shared" si="98"/>
        <v>81.799211958393954</v>
      </c>
      <c r="U131" s="65">
        <f t="shared" si="98"/>
        <v>76.728766496244162</v>
      </c>
      <c r="V131" s="65">
        <f t="shared" si="98"/>
        <v>74.044640788021212</v>
      </c>
      <c r="W131" s="65">
        <f t="shared" si="98"/>
        <v>88.996135170462026</v>
      </c>
      <c r="DA131" s="109"/>
    </row>
    <row r="132" spans="1:105" ht="12" customHeight="1" x14ac:dyDescent="0.25">
      <c r="A132" s="61" t="s">
        <v>31</v>
      </c>
      <c r="B132" s="65">
        <f t="shared" ref="B132" si="99">IF(B102=0,0,B102/B$26)</f>
        <v>2.4587389945229381</v>
      </c>
      <c r="C132" s="65">
        <f t="shared" ref="C132:W132" si="100">IF(C102=0,0,C102/C$26)</f>
        <v>2.3826128147036885</v>
      </c>
      <c r="D132" s="65">
        <f t="shared" si="100"/>
        <v>2.3380177504146764</v>
      </c>
      <c r="E132" s="65">
        <f t="shared" si="100"/>
        <v>2.2437083466786021</v>
      </c>
      <c r="F132" s="65">
        <f t="shared" si="100"/>
        <v>2.1707671129227055</v>
      </c>
      <c r="G132" s="65">
        <f t="shared" si="100"/>
        <v>2.1054590013332115</v>
      </c>
      <c r="H132" s="65">
        <f t="shared" si="100"/>
        <v>2.0519037771707986</v>
      </c>
      <c r="I132" s="65">
        <f t="shared" si="100"/>
        <v>2.0040202183649405</v>
      </c>
      <c r="J132" s="65">
        <f t="shared" si="100"/>
        <v>1.9308768258763582</v>
      </c>
      <c r="K132" s="65">
        <f t="shared" si="100"/>
        <v>1.9446129564060965</v>
      </c>
      <c r="L132" s="65">
        <f t="shared" si="100"/>
        <v>1.9487422098172464</v>
      </c>
      <c r="M132" s="65">
        <f t="shared" si="100"/>
        <v>1.9180679563871312</v>
      </c>
      <c r="N132" s="65">
        <f t="shared" si="100"/>
        <v>1.8991046684672097</v>
      </c>
      <c r="O132" s="65">
        <f t="shared" si="100"/>
        <v>1.8903282208785936</v>
      </c>
      <c r="P132" s="65">
        <f t="shared" si="100"/>
        <v>1.8847312004437433</v>
      </c>
      <c r="Q132" s="65">
        <f t="shared" si="100"/>
        <v>1.8447014566333326</v>
      </c>
      <c r="R132" s="65">
        <f t="shared" si="100"/>
        <v>1.8122963986579821</v>
      </c>
      <c r="S132" s="65">
        <f t="shared" si="100"/>
        <v>1.7827071104066243</v>
      </c>
      <c r="T132" s="65">
        <f t="shared" si="100"/>
        <v>1.8370441944426237</v>
      </c>
      <c r="U132" s="65">
        <f t="shared" si="100"/>
        <v>1.7760883744900939</v>
      </c>
      <c r="V132" s="65">
        <f t="shared" si="100"/>
        <v>1.6635263127720719</v>
      </c>
      <c r="W132" s="65">
        <f t="shared" si="100"/>
        <v>1.6603674554931056</v>
      </c>
      <c r="DA132" s="109"/>
    </row>
    <row r="133" spans="1:105" ht="12" customHeight="1" x14ac:dyDescent="0.25">
      <c r="A133" s="61" t="s">
        <v>35</v>
      </c>
      <c r="B133" s="65">
        <f t="shared" ref="B133" si="101">IF(B103=0,0,B103/B$26)</f>
        <v>15.177456131175495</v>
      </c>
      <c r="C133" s="65">
        <f t="shared" ref="C133:W133" si="102">IF(C103=0,0,C103/C$26)</f>
        <v>14.924322370889175</v>
      </c>
      <c r="D133" s="65">
        <f t="shared" si="102"/>
        <v>14.764228757781298</v>
      </c>
      <c r="E133" s="65">
        <f t="shared" si="102"/>
        <v>14.625517437854235</v>
      </c>
      <c r="F133" s="65">
        <f t="shared" si="102"/>
        <v>14.474241961769385</v>
      </c>
      <c r="G133" s="65">
        <f t="shared" si="102"/>
        <v>14.41228288270435</v>
      </c>
      <c r="H133" s="65">
        <f t="shared" si="102"/>
        <v>14.362430530492077</v>
      </c>
      <c r="I133" s="65">
        <f t="shared" si="102"/>
        <v>14.164367744621904</v>
      </c>
      <c r="J133" s="65">
        <f t="shared" si="102"/>
        <v>14.097662290860946</v>
      </c>
      <c r="K133" s="65">
        <f t="shared" si="102"/>
        <v>13.93451001217861</v>
      </c>
      <c r="L133" s="65">
        <f t="shared" si="102"/>
        <v>13.655528693332295</v>
      </c>
      <c r="M133" s="65">
        <f t="shared" si="102"/>
        <v>13.646211307064279</v>
      </c>
      <c r="N133" s="65">
        <f t="shared" si="102"/>
        <v>13.782001140224944</v>
      </c>
      <c r="O133" s="65">
        <f t="shared" si="102"/>
        <v>13.750655948979661</v>
      </c>
      <c r="P133" s="65">
        <f t="shared" si="102"/>
        <v>13.83907333662879</v>
      </c>
      <c r="Q133" s="65">
        <f t="shared" si="102"/>
        <v>13.884008855867974</v>
      </c>
      <c r="R133" s="65">
        <f t="shared" si="102"/>
        <v>13.830455314361245</v>
      </c>
      <c r="S133" s="65">
        <f t="shared" si="102"/>
        <v>13.756835296069742</v>
      </c>
      <c r="T133" s="65">
        <f t="shared" si="102"/>
        <v>13.454149671274642</v>
      </c>
      <c r="U133" s="65">
        <f t="shared" si="102"/>
        <v>13.07355982097755</v>
      </c>
      <c r="V133" s="65">
        <f t="shared" si="102"/>
        <v>11.308067872692394</v>
      </c>
      <c r="W133" s="65">
        <f t="shared" si="102"/>
        <v>12.355751480611916</v>
      </c>
      <c r="DA133" s="109"/>
    </row>
    <row r="134" spans="1:105" ht="12" customHeight="1" x14ac:dyDescent="0.25">
      <c r="A134" s="66" t="s">
        <v>34</v>
      </c>
      <c r="B134" s="67">
        <f t="shared" ref="B134" si="103">IF(B104=0,0,B104/B$26)</f>
        <v>12.98570379900346</v>
      </c>
      <c r="C134" s="67">
        <f t="shared" ref="C134:W134" si="104">IF(C104=0,0,C104/C$26)</f>
        <v>13.005033447795849</v>
      </c>
      <c r="D134" s="67">
        <f t="shared" si="104"/>
        <v>13.040145557650145</v>
      </c>
      <c r="E134" s="67">
        <f t="shared" si="104"/>
        <v>13.334728353446815</v>
      </c>
      <c r="F134" s="67">
        <f t="shared" si="104"/>
        <v>13.482387690484522</v>
      </c>
      <c r="G134" s="67">
        <f t="shared" si="104"/>
        <v>13.477577091635986</v>
      </c>
      <c r="H134" s="67">
        <f t="shared" si="104"/>
        <v>13.623969661286189</v>
      </c>
      <c r="I134" s="67">
        <f t="shared" si="104"/>
        <v>13.434905286252633</v>
      </c>
      <c r="J134" s="67">
        <f t="shared" si="104"/>
        <v>13.496061124007598</v>
      </c>
      <c r="K134" s="67">
        <f t="shared" si="104"/>
        <v>13.440092128398259</v>
      </c>
      <c r="L134" s="67">
        <f t="shared" si="104"/>
        <v>13.422109333300689</v>
      </c>
      <c r="M134" s="67">
        <f t="shared" si="104"/>
        <v>13.556268999788335</v>
      </c>
      <c r="N134" s="67">
        <f t="shared" si="104"/>
        <v>13.76608316131813</v>
      </c>
      <c r="O134" s="67">
        <f t="shared" si="104"/>
        <v>13.818291691133529</v>
      </c>
      <c r="P134" s="67">
        <f t="shared" si="104"/>
        <v>13.636833758092902</v>
      </c>
      <c r="Q134" s="67">
        <f t="shared" si="104"/>
        <v>13.864901713381103</v>
      </c>
      <c r="R134" s="67">
        <f t="shared" si="104"/>
        <v>14.027377697865465</v>
      </c>
      <c r="S134" s="67">
        <f t="shared" si="104"/>
        <v>13.904380848184227</v>
      </c>
      <c r="T134" s="67">
        <f t="shared" si="104"/>
        <v>13.752666694442267</v>
      </c>
      <c r="U134" s="67">
        <f t="shared" si="104"/>
        <v>13.69523593594722</v>
      </c>
      <c r="V134" s="67">
        <f t="shared" si="104"/>
        <v>12.015152535022828</v>
      </c>
      <c r="W134" s="67">
        <f t="shared" si="104"/>
        <v>12.722870235841947</v>
      </c>
      <c r="DA134" s="110"/>
    </row>
    <row r="135" spans="1:105" ht="12" customHeight="1" x14ac:dyDescent="0.25">
      <c r="A135" s="78" t="s">
        <v>33</v>
      </c>
      <c r="B135" s="68">
        <f t="shared" ref="B135" si="105">IF(B105=0,0,B105/B$26)</f>
        <v>48.151998297640155</v>
      </c>
      <c r="C135" s="68">
        <f t="shared" ref="C135:W135" si="106">IF(C105=0,0,C105/C$26)</f>
        <v>48.444702094176179</v>
      </c>
      <c r="D135" s="68">
        <f t="shared" si="106"/>
        <v>48.700664552027725</v>
      </c>
      <c r="E135" s="68">
        <f t="shared" si="106"/>
        <v>49.07438567623074</v>
      </c>
      <c r="F135" s="68">
        <f t="shared" si="106"/>
        <v>49.45735411661007</v>
      </c>
      <c r="G135" s="68">
        <f t="shared" si="106"/>
        <v>49.866785393878544</v>
      </c>
      <c r="H135" s="68">
        <f t="shared" si="106"/>
        <v>49.786700093212602</v>
      </c>
      <c r="I135" s="68">
        <f t="shared" si="106"/>
        <v>49.421289522127665</v>
      </c>
      <c r="J135" s="68">
        <f t="shared" si="106"/>
        <v>49.565407894679502</v>
      </c>
      <c r="K135" s="68">
        <f t="shared" si="106"/>
        <v>49.491768012875696</v>
      </c>
      <c r="L135" s="68">
        <f t="shared" si="106"/>
        <v>49.313523565887955</v>
      </c>
      <c r="M135" s="68">
        <f t="shared" si="106"/>
        <v>49.477906082506607</v>
      </c>
      <c r="N135" s="68">
        <f t="shared" si="106"/>
        <v>49.67601511424003</v>
      </c>
      <c r="O135" s="68">
        <f t="shared" si="106"/>
        <v>50.235029571603491</v>
      </c>
      <c r="P135" s="68">
        <f t="shared" si="106"/>
        <v>50.770237192066595</v>
      </c>
      <c r="Q135" s="68">
        <f t="shared" si="106"/>
        <v>51.299196474390186</v>
      </c>
      <c r="R135" s="68">
        <f t="shared" si="106"/>
        <v>51.095396126203084</v>
      </c>
      <c r="S135" s="68">
        <f t="shared" si="106"/>
        <v>52.142796180319962</v>
      </c>
      <c r="T135" s="68">
        <f t="shared" si="106"/>
        <v>51.369513320481687</v>
      </c>
      <c r="U135" s="68">
        <f t="shared" si="106"/>
        <v>50.751170236319453</v>
      </c>
      <c r="V135" s="68">
        <f t="shared" si="106"/>
        <v>47.226881714313713</v>
      </c>
      <c r="W135" s="68">
        <f t="shared" si="106"/>
        <v>48.327554008679833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07">IF(B107=0,0,B107/B$26)</f>
        <v>108.46123556360875</v>
      </c>
      <c r="C137" s="85">
        <f t="shared" ref="C137:W137" si="108">IF(C107=0,0,C107/C$26)</f>
        <v>111.33038473631363</v>
      </c>
      <c r="D137" s="85">
        <f t="shared" si="108"/>
        <v>109.7903604951529</v>
      </c>
      <c r="E137" s="85">
        <f t="shared" si="108"/>
        <v>110.90259333886907</v>
      </c>
      <c r="F137" s="85">
        <f t="shared" si="108"/>
        <v>109.58882931690347</v>
      </c>
      <c r="G137" s="85">
        <f t="shared" si="108"/>
        <v>107.34974242256567</v>
      </c>
      <c r="H137" s="85">
        <f t="shared" si="108"/>
        <v>107.67385449939626</v>
      </c>
      <c r="I137" s="85">
        <f t="shared" si="108"/>
        <v>104.10948094904714</v>
      </c>
      <c r="J137" s="85">
        <f t="shared" si="108"/>
        <v>103.92278067249424</v>
      </c>
      <c r="K137" s="85">
        <f t="shared" si="108"/>
        <v>101.19969329610261</v>
      </c>
      <c r="L137" s="85">
        <f t="shared" si="108"/>
        <v>108.90012058863607</v>
      </c>
      <c r="M137" s="85">
        <f t="shared" si="108"/>
        <v>97.097840664854616</v>
      </c>
      <c r="N137" s="85">
        <f t="shared" si="108"/>
        <v>99.281221502824351</v>
      </c>
      <c r="O137" s="85">
        <f t="shared" si="108"/>
        <v>98.323741879587473</v>
      </c>
      <c r="P137" s="85">
        <f t="shared" si="108"/>
        <v>90.06795805134729</v>
      </c>
      <c r="Q137" s="85">
        <f t="shared" si="108"/>
        <v>94.667348307070128</v>
      </c>
      <c r="R137" s="85">
        <f t="shared" si="108"/>
        <v>97.918627809124303</v>
      </c>
      <c r="S137" s="85">
        <f t="shared" si="108"/>
        <v>99.624065054578892</v>
      </c>
      <c r="T137" s="85">
        <f t="shared" si="108"/>
        <v>96.634377145518684</v>
      </c>
      <c r="U137" s="85">
        <f t="shared" si="108"/>
        <v>93.496172112006519</v>
      </c>
      <c r="V137" s="85">
        <f t="shared" si="108"/>
        <v>89.442637552302358</v>
      </c>
      <c r="W137" s="85">
        <f t="shared" si="108"/>
        <v>103.90831967282944</v>
      </c>
      <c r="DA137" s="117"/>
    </row>
    <row r="138" spans="1:105" ht="12" customHeight="1" x14ac:dyDescent="0.25">
      <c r="A138" s="61" t="s">
        <v>32</v>
      </c>
      <c r="B138" s="65">
        <f t="shared" ref="B138" si="109">IF(B108=0,0,B108/B$26)</f>
        <v>84.029095864218718</v>
      </c>
      <c r="C138" s="65">
        <f t="shared" ref="C138:W138" si="110">IF(C108=0,0,C108/C$26)</f>
        <v>86.873736680506198</v>
      </c>
      <c r="D138" s="65">
        <f t="shared" si="110"/>
        <v>85.171699826439323</v>
      </c>
      <c r="E138" s="65">
        <f t="shared" si="110"/>
        <v>86.098382988370901</v>
      </c>
      <c r="F138" s="65">
        <f t="shared" si="110"/>
        <v>84.59903145009514</v>
      </c>
      <c r="G138" s="65">
        <f t="shared" si="110"/>
        <v>82.220696940750287</v>
      </c>
      <c r="H138" s="65">
        <f t="shared" si="110"/>
        <v>82.164413012248872</v>
      </c>
      <c r="I138" s="65">
        <f t="shared" si="110"/>
        <v>78.44311401813026</v>
      </c>
      <c r="J138" s="65">
        <f t="shared" si="110"/>
        <v>77.910220796204101</v>
      </c>
      <c r="K138" s="65">
        <f t="shared" si="110"/>
        <v>75.030401847737508</v>
      </c>
      <c r="L138" s="65">
        <f t="shared" si="110"/>
        <v>82.624924125655923</v>
      </c>
      <c r="M138" s="65">
        <f t="shared" si="110"/>
        <v>70.432523317293587</v>
      </c>
      <c r="N138" s="65">
        <f t="shared" si="110"/>
        <v>72.053700791469666</v>
      </c>
      <c r="O138" s="65">
        <f t="shared" si="110"/>
        <v>70.712142619809157</v>
      </c>
      <c r="P138" s="65">
        <f t="shared" si="110"/>
        <v>62.03936890430105</v>
      </c>
      <c r="Q138" s="65">
        <f t="shared" si="110"/>
        <v>66.323551182067348</v>
      </c>
      <c r="R138" s="65">
        <f t="shared" si="110"/>
        <v>69.172200502643392</v>
      </c>
      <c r="S138" s="65">
        <f t="shared" si="110"/>
        <v>70.596787480158639</v>
      </c>
      <c r="T138" s="65">
        <f t="shared" si="110"/>
        <v>67.209162398470369</v>
      </c>
      <c r="U138" s="65">
        <f t="shared" si="110"/>
        <v>64.274576527124978</v>
      </c>
      <c r="V138" s="65">
        <f t="shared" si="110"/>
        <v>62.797289842494294</v>
      </c>
      <c r="W138" s="65">
        <f t="shared" si="110"/>
        <v>75.638783398706153</v>
      </c>
      <c r="DA138" s="109"/>
    </row>
    <row r="139" spans="1:105" ht="12" customHeight="1" x14ac:dyDescent="0.25">
      <c r="A139" s="61" t="s">
        <v>31</v>
      </c>
      <c r="B139" s="65">
        <f t="shared" ref="B139" si="111">IF(B109=0,0,B109/B$26)</f>
        <v>5.1366276390919277</v>
      </c>
      <c r="C139" s="65">
        <f t="shared" ref="C139:W139" si="112">IF(C109=0,0,C109/C$26)</f>
        <v>5.1989147885474827</v>
      </c>
      <c r="D139" s="65">
        <f t="shared" si="112"/>
        <v>5.3775063696905576</v>
      </c>
      <c r="E139" s="65">
        <f t="shared" si="112"/>
        <v>5.4181371620553271</v>
      </c>
      <c r="F139" s="65">
        <f t="shared" si="112"/>
        <v>5.5393421080760241</v>
      </c>
      <c r="G139" s="65">
        <f t="shared" si="112"/>
        <v>5.7059304060308724</v>
      </c>
      <c r="H139" s="65">
        <f t="shared" si="112"/>
        <v>5.9391611768846166</v>
      </c>
      <c r="I139" s="65">
        <f t="shared" si="112"/>
        <v>6.2332137841653354</v>
      </c>
      <c r="J139" s="65">
        <f t="shared" si="112"/>
        <v>6.4644036317559319</v>
      </c>
      <c r="K139" s="65">
        <f t="shared" si="112"/>
        <v>6.6240104102385544</v>
      </c>
      <c r="L139" s="65">
        <f t="shared" si="112"/>
        <v>6.8005721017773428</v>
      </c>
      <c r="M139" s="65">
        <f t="shared" si="112"/>
        <v>6.9201296404916111</v>
      </c>
      <c r="N139" s="65">
        <f t="shared" si="112"/>
        <v>7.0953935726580442</v>
      </c>
      <c r="O139" s="65">
        <f t="shared" si="112"/>
        <v>7.3284972620927578</v>
      </c>
      <c r="P139" s="65">
        <f t="shared" si="112"/>
        <v>7.6073816677090491</v>
      </c>
      <c r="Q139" s="65">
        <f t="shared" si="112"/>
        <v>7.7454657332836421</v>
      </c>
      <c r="R139" s="65">
        <f t="shared" si="112"/>
        <v>7.9116982305538395</v>
      </c>
      <c r="S139" s="65">
        <f t="shared" si="112"/>
        <v>8.085113356914702</v>
      </c>
      <c r="T139" s="65">
        <f t="shared" si="112"/>
        <v>8.6145880676252951</v>
      </c>
      <c r="U139" s="65">
        <f t="shared" si="112"/>
        <v>8.5523543015190082</v>
      </c>
      <c r="V139" s="65">
        <f t="shared" si="112"/>
        <v>8.1840630912825905</v>
      </c>
      <c r="W139" s="65">
        <f t="shared" si="112"/>
        <v>8.3891991358592577</v>
      </c>
      <c r="DA139" s="109"/>
    </row>
    <row r="140" spans="1:105" ht="12" customHeight="1" x14ac:dyDescent="0.25">
      <c r="A140" s="61" t="s">
        <v>35</v>
      </c>
      <c r="B140" s="65">
        <f t="shared" ref="B140" si="113">IF(B110=0,0,B110/B$26)</f>
        <v>10.485702425928833</v>
      </c>
      <c r="C140" s="65">
        <f t="shared" ref="C140:W140" si="114">IF(C110=0,0,C110/C$26)</f>
        <v>10.406728703993242</v>
      </c>
      <c r="D140" s="65">
        <f t="shared" si="114"/>
        <v>10.339932698695476</v>
      </c>
      <c r="E140" s="65">
        <f t="shared" si="114"/>
        <v>10.271841657382437</v>
      </c>
      <c r="F140" s="65">
        <f t="shared" si="114"/>
        <v>10.220101574738731</v>
      </c>
      <c r="G140" s="65">
        <f t="shared" si="114"/>
        <v>10.222232641791031</v>
      </c>
      <c r="H140" s="65">
        <f t="shared" si="114"/>
        <v>10.236597347696769</v>
      </c>
      <c r="I140" s="65">
        <f t="shared" si="114"/>
        <v>10.194697386678632</v>
      </c>
      <c r="J140" s="65">
        <f t="shared" si="114"/>
        <v>10.230664009838531</v>
      </c>
      <c r="K140" s="65">
        <f t="shared" si="114"/>
        <v>10.232230451680351</v>
      </c>
      <c r="L140" s="65">
        <f t="shared" si="114"/>
        <v>10.169424205676798</v>
      </c>
      <c r="M140" s="65">
        <f t="shared" si="114"/>
        <v>10.29733939695457</v>
      </c>
      <c r="N140" s="65">
        <f t="shared" si="114"/>
        <v>10.484743147440978</v>
      </c>
      <c r="O140" s="65">
        <f t="shared" si="114"/>
        <v>10.575325311107276</v>
      </c>
      <c r="P140" s="65">
        <f t="shared" si="114"/>
        <v>10.739831333203012</v>
      </c>
      <c r="Q140" s="65">
        <f t="shared" si="114"/>
        <v>10.841890860646739</v>
      </c>
      <c r="R140" s="65">
        <f t="shared" si="114"/>
        <v>10.896679309949313</v>
      </c>
      <c r="S140" s="65">
        <f t="shared" si="114"/>
        <v>10.974344626237276</v>
      </c>
      <c r="T140" s="65">
        <f t="shared" si="114"/>
        <v>10.910401020143986</v>
      </c>
      <c r="U140" s="65">
        <f t="shared" si="114"/>
        <v>10.770769287864123</v>
      </c>
      <c r="V140" s="65">
        <f t="shared" si="114"/>
        <v>9.4846047087696643</v>
      </c>
      <c r="W140" s="65">
        <f t="shared" si="114"/>
        <v>10.471267327349199</v>
      </c>
      <c r="DA140" s="109"/>
    </row>
    <row r="141" spans="1:105" ht="12" customHeight="1" x14ac:dyDescent="0.25">
      <c r="A141" s="74" t="s">
        <v>34</v>
      </c>
      <c r="B141" s="68">
        <f t="shared" ref="B141" si="115">IF(B111=0,0,B111/B$26)</f>
        <v>8.8098096343692731</v>
      </c>
      <c r="C141" s="68">
        <f t="shared" ref="C141:W141" si="116">IF(C111=0,0,C111/C$26)</f>
        <v>8.8510045632667058</v>
      </c>
      <c r="D141" s="68">
        <f t="shared" si="116"/>
        <v>8.9012216003275295</v>
      </c>
      <c r="E141" s="68">
        <f t="shared" si="116"/>
        <v>9.1142315310604047</v>
      </c>
      <c r="F141" s="68">
        <f t="shared" si="116"/>
        <v>9.2303541839935797</v>
      </c>
      <c r="G141" s="68">
        <f t="shared" si="116"/>
        <v>9.2008824339934812</v>
      </c>
      <c r="H141" s="68">
        <f t="shared" si="116"/>
        <v>9.3336829625659981</v>
      </c>
      <c r="I141" s="68">
        <f t="shared" si="116"/>
        <v>9.2384557600729078</v>
      </c>
      <c r="J141" s="68">
        <f t="shared" si="116"/>
        <v>9.3174922346956883</v>
      </c>
      <c r="K141" s="68">
        <f t="shared" si="116"/>
        <v>9.3130505864461899</v>
      </c>
      <c r="L141" s="68">
        <f t="shared" si="116"/>
        <v>9.3052001555260002</v>
      </c>
      <c r="M141" s="68">
        <f t="shared" si="116"/>
        <v>9.4478483101148516</v>
      </c>
      <c r="N141" s="68">
        <f t="shared" si="116"/>
        <v>9.6473839912556549</v>
      </c>
      <c r="O141" s="68">
        <f t="shared" si="116"/>
        <v>9.7077766865782689</v>
      </c>
      <c r="P141" s="68">
        <f t="shared" si="116"/>
        <v>9.6813761461341752</v>
      </c>
      <c r="Q141" s="68">
        <f t="shared" si="116"/>
        <v>9.7564405310723945</v>
      </c>
      <c r="R141" s="68">
        <f t="shared" si="116"/>
        <v>9.9380497659777607</v>
      </c>
      <c r="S141" s="68">
        <f t="shared" si="116"/>
        <v>9.9678195912682881</v>
      </c>
      <c r="T141" s="68">
        <f t="shared" si="116"/>
        <v>9.9002256592790374</v>
      </c>
      <c r="U141" s="68">
        <f t="shared" si="116"/>
        <v>9.8984719954984044</v>
      </c>
      <c r="V141" s="68">
        <f t="shared" si="116"/>
        <v>8.9766799097558181</v>
      </c>
      <c r="W141" s="68">
        <f t="shared" si="116"/>
        <v>9.4090698109148327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17">IF(B113=0,0,B113/B$26)</f>
        <v>8.1643851984589855</v>
      </c>
      <c r="C143" s="82">
        <f t="shared" ref="C143:W143" si="118">IF(C113=0,0,C113/C$26)</f>
        <v>7.6693729943282012</v>
      </c>
      <c r="D143" s="82">
        <f t="shared" si="118"/>
        <v>7.5839520177474684</v>
      </c>
      <c r="E143" s="82">
        <f t="shared" si="118"/>
        <v>8.199161969999011</v>
      </c>
      <c r="F143" s="82">
        <f t="shared" si="118"/>
        <v>8.0096684426243936</v>
      </c>
      <c r="G143" s="82">
        <f t="shared" si="118"/>
        <v>7.7793827951624293</v>
      </c>
      <c r="H143" s="82">
        <f t="shared" si="118"/>
        <v>7.6634860705762549</v>
      </c>
      <c r="I143" s="82">
        <f t="shared" si="118"/>
        <v>6.7656736840045646</v>
      </c>
      <c r="J143" s="82">
        <f t="shared" si="118"/>
        <v>6.5737084708956077</v>
      </c>
      <c r="K143" s="82">
        <f t="shared" si="118"/>
        <v>6.2606144935992987</v>
      </c>
      <c r="L143" s="82">
        <f t="shared" si="118"/>
        <v>6.0463251742869373</v>
      </c>
      <c r="M143" s="82">
        <f t="shared" si="118"/>
        <v>4.8157147236097071</v>
      </c>
      <c r="N143" s="82">
        <f t="shared" si="118"/>
        <v>5.356607756478498</v>
      </c>
      <c r="O143" s="82">
        <f t="shared" si="118"/>
        <v>5.3808344876506133</v>
      </c>
      <c r="P143" s="82">
        <f t="shared" si="118"/>
        <v>4.2782749341163759</v>
      </c>
      <c r="Q143" s="82">
        <f t="shared" si="118"/>
        <v>5.1289831774753001</v>
      </c>
      <c r="R143" s="82">
        <f t="shared" si="118"/>
        <v>5.2047303714017374</v>
      </c>
      <c r="S143" s="82">
        <f t="shared" si="118"/>
        <v>5.3950789540159887</v>
      </c>
      <c r="T143" s="82">
        <f t="shared" si="118"/>
        <v>4.7670444323670944</v>
      </c>
      <c r="U143" s="82">
        <f t="shared" si="118"/>
        <v>4.3493671067480424</v>
      </c>
      <c r="V143" s="82">
        <f t="shared" si="118"/>
        <v>4.3037480554444389</v>
      </c>
      <c r="W143" s="82">
        <f t="shared" si="118"/>
        <v>5.8923651868880116</v>
      </c>
      <c r="DA143" s="107"/>
    </row>
    <row r="144" spans="1:105" ht="12" customHeight="1" x14ac:dyDescent="0.25">
      <c r="A144" s="77" t="s">
        <v>36</v>
      </c>
      <c r="B144" s="64">
        <f t="shared" ref="B144" si="119">IF(B114=0,0,B114/B$26)</f>
        <v>8.1643851984589855</v>
      </c>
      <c r="C144" s="64">
        <f t="shared" ref="C144:W144" si="120">IF(C114=0,0,C114/C$26)</f>
        <v>7.6693729943282012</v>
      </c>
      <c r="D144" s="64">
        <f t="shared" si="120"/>
        <v>7.5839520177474684</v>
      </c>
      <c r="E144" s="64">
        <f t="shared" si="120"/>
        <v>8.199161969999011</v>
      </c>
      <c r="F144" s="64">
        <f t="shared" si="120"/>
        <v>8.0096684426243936</v>
      </c>
      <c r="G144" s="64">
        <f t="shared" si="120"/>
        <v>7.7793827951624293</v>
      </c>
      <c r="H144" s="64">
        <f t="shared" si="120"/>
        <v>7.6634860705762549</v>
      </c>
      <c r="I144" s="64">
        <f t="shared" si="120"/>
        <v>6.7656736840045646</v>
      </c>
      <c r="J144" s="64">
        <f t="shared" si="120"/>
        <v>6.5737084708956077</v>
      </c>
      <c r="K144" s="64">
        <f t="shared" si="120"/>
        <v>6.2606144935992987</v>
      </c>
      <c r="L144" s="64">
        <f t="shared" si="120"/>
        <v>6.0463251742869373</v>
      </c>
      <c r="M144" s="64">
        <f t="shared" si="120"/>
        <v>4.8157147236097071</v>
      </c>
      <c r="N144" s="64">
        <f t="shared" si="120"/>
        <v>5.356607756478498</v>
      </c>
      <c r="O144" s="64">
        <f t="shared" si="120"/>
        <v>5.3808344876506133</v>
      </c>
      <c r="P144" s="64">
        <f t="shared" si="120"/>
        <v>4.2782749341163759</v>
      </c>
      <c r="Q144" s="64">
        <f t="shared" si="120"/>
        <v>5.1289831774753001</v>
      </c>
      <c r="R144" s="64">
        <f t="shared" si="120"/>
        <v>5.2047303714017374</v>
      </c>
      <c r="S144" s="64">
        <f t="shared" si="120"/>
        <v>5.3950789540159887</v>
      </c>
      <c r="T144" s="64">
        <f t="shared" si="120"/>
        <v>4.7670444323670944</v>
      </c>
      <c r="U144" s="64">
        <f t="shared" si="120"/>
        <v>4.3493671067480424</v>
      </c>
      <c r="V144" s="64">
        <f t="shared" si="120"/>
        <v>4.3037480554444389</v>
      </c>
      <c r="W144" s="64">
        <f t="shared" si="120"/>
        <v>5.8923651868880116</v>
      </c>
      <c r="DA144" s="108"/>
    </row>
    <row r="145" spans="1:105" ht="12" customHeight="1" x14ac:dyDescent="0.25">
      <c r="A145" s="61" t="s">
        <v>32</v>
      </c>
      <c r="B145" s="65">
        <f t="shared" ref="B145" si="121">IF(B115=0,0,B115/B$26)</f>
        <v>6.8312731266708413</v>
      </c>
      <c r="C145" s="65">
        <f t="shared" ref="C145:W145" si="122">IF(C115=0,0,C115/C$26)</f>
        <v>6.3770342723018247</v>
      </c>
      <c r="D145" s="65">
        <f t="shared" si="122"/>
        <v>6.3012559712612326</v>
      </c>
      <c r="E145" s="65">
        <f t="shared" si="122"/>
        <v>6.8290148369486499</v>
      </c>
      <c r="F145" s="65">
        <f t="shared" si="122"/>
        <v>6.6420201754941388</v>
      </c>
      <c r="G145" s="65">
        <f t="shared" si="122"/>
        <v>6.3353802676395805</v>
      </c>
      <c r="H145" s="65">
        <f t="shared" si="122"/>
        <v>6.2395338481750366</v>
      </c>
      <c r="I145" s="65">
        <f t="shared" si="122"/>
        <v>5.3982322262814089</v>
      </c>
      <c r="J145" s="65">
        <f t="shared" si="122"/>
        <v>5.2186541821353929</v>
      </c>
      <c r="K145" s="65">
        <f t="shared" si="122"/>
        <v>4.9224592233617344</v>
      </c>
      <c r="L145" s="65">
        <f t="shared" si="122"/>
        <v>4.7071078681403149</v>
      </c>
      <c r="M145" s="65">
        <f t="shared" si="122"/>
        <v>3.6042417036578835</v>
      </c>
      <c r="N145" s="65">
        <f t="shared" si="122"/>
        <v>4.1796506853354201</v>
      </c>
      <c r="O145" s="65">
        <f t="shared" si="122"/>
        <v>4.2092970243265055</v>
      </c>
      <c r="P145" s="65">
        <f t="shared" si="122"/>
        <v>3.2178538910095056</v>
      </c>
      <c r="Q145" s="65">
        <f t="shared" si="122"/>
        <v>3.8650806069110639</v>
      </c>
      <c r="R145" s="65">
        <f t="shared" si="122"/>
        <v>3.9589765547952402</v>
      </c>
      <c r="S145" s="65">
        <f t="shared" si="122"/>
        <v>4.1901974358461258</v>
      </c>
      <c r="T145" s="65">
        <f t="shared" si="122"/>
        <v>3.5377840979242245</v>
      </c>
      <c r="U145" s="65">
        <f t="shared" si="122"/>
        <v>3.1152816786644237</v>
      </c>
      <c r="V145" s="65">
        <f t="shared" si="122"/>
        <v>3.4557434174435122</v>
      </c>
      <c r="W145" s="65">
        <f t="shared" si="122"/>
        <v>4.7549452428091925</v>
      </c>
      <c r="DA145" s="109"/>
    </row>
    <row r="146" spans="1:105" ht="12" customHeight="1" x14ac:dyDescent="0.25">
      <c r="A146" s="61" t="s">
        <v>31</v>
      </c>
      <c r="B146" s="65">
        <f t="shared" ref="B146" si="123">IF(B116=0,0,B116/B$26)</f>
        <v>6.5866393228838536E-4</v>
      </c>
      <c r="C146" s="65">
        <f t="shared" ref="C146:W146" si="124">IF(C116=0,0,C116/C$26)</f>
        <v>6.7488724864973285E-4</v>
      </c>
      <c r="D146" s="65">
        <f t="shared" si="124"/>
        <v>7.1746966247112503E-4</v>
      </c>
      <c r="E146" s="65">
        <f t="shared" si="124"/>
        <v>7.3347851487812307E-4</v>
      </c>
      <c r="F146" s="65">
        <f t="shared" si="124"/>
        <v>7.7897294940550111E-4</v>
      </c>
      <c r="G146" s="65">
        <f t="shared" si="124"/>
        <v>8.4407669974800815E-4</v>
      </c>
      <c r="H146" s="65">
        <f t="shared" si="124"/>
        <v>8.8279362800446385E-4</v>
      </c>
      <c r="I146" s="65">
        <f t="shared" si="124"/>
        <v>9.183401194345133E-4</v>
      </c>
      <c r="J146" s="65">
        <f t="shared" si="124"/>
        <v>9.5427599471400581E-4</v>
      </c>
      <c r="K146" s="65">
        <f t="shared" si="124"/>
        <v>9.6931521687069198E-4</v>
      </c>
      <c r="L146" s="65">
        <f t="shared" si="124"/>
        <v>1.0182615219188863E-3</v>
      </c>
      <c r="M146" s="65">
        <f t="shared" si="124"/>
        <v>1.1013184023115072E-3</v>
      </c>
      <c r="N146" s="65">
        <f t="shared" si="124"/>
        <v>1.2549893427574877E-3</v>
      </c>
      <c r="O146" s="65">
        <f t="shared" si="124"/>
        <v>1.513860437628877E-3</v>
      </c>
      <c r="P146" s="65">
        <f t="shared" si="124"/>
        <v>2.0056697890927862E-3</v>
      </c>
      <c r="Q146" s="65">
        <f t="shared" si="124"/>
        <v>2.7827934887244012E-3</v>
      </c>
      <c r="R146" s="65">
        <f t="shared" si="124"/>
        <v>3.4223733360923586E-3</v>
      </c>
      <c r="S146" s="65">
        <f t="shared" si="124"/>
        <v>4.1116631044766988E-3</v>
      </c>
      <c r="T146" s="65">
        <f t="shared" si="124"/>
        <v>4.6516642812529374E-3</v>
      </c>
      <c r="U146" s="65">
        <f t="shared" si="124"/>
        <v>5.0959684031284484E-3</v>
      </c>
      <c r="V146" s="65">
        <f t="shared" si="124"/>
        <v>4.9893554595497741E-3</v>
      </c>
      <c r="W146" s="65">
        <f t="shared" si="124"/>
        <v>5.1310249898812617E-3</v>
      </c>
      <c r="DA146" s="109"/>
    </row>
    <row r="147" spans="1:105" ht="12" customHeight="1" x14ac:dyDescent="0.25">
      <c r="A147" s="61" t="s">
        <v>35</v>
      </c>
      <c r="B147" s="65">
        <f t="shared" ref="B147" si="125">IF(B117=0,0,B117/B$26)</f>
        <v>0.72354523964403161</v>
      </c>
      <c r="C147" s="65">
        <f t="shared" ref="C147:W147" si="126">IF(C117=0,0,C117/C$26)</f>
        <v>0.69454324129282796</v>
      </c>
      <c r="D147" s="65">
        <f t="shared" si="126"/>
        <v>0.69271463182547621</v>
      </c>
      <c r="E147" s="65">
        <f t="shared" si="126"/>
        <v>0.74094955842844945</v>
      </c>
      <c r="F147" s="65">
        <f t="shared" si="126"/>
        <v>0.72337118621406216</v>
      </c>
      <c r="G147" s="65">
        <f t="shared" si="126"/>
        <v>0.73819901249780684</v>
      </c>
      <c r="H147" s="65">
        <f t="shared" si="126"/>
        <v>0.71687727627593478</v>
      </c>
      <c r="I147" s="65">
        <f t="shared" si="126"/>
        <v>0.66730035445087865</v>
      </c>
      <c r="J147" s="65">
        <f t="shared" si="126"/>
        <v>0.65780843403815104</v>
      </c>
      <c r="K147" s="65">
        <f t="shared" si="126"/>
        <v>0.63837042210936124</v>
      </c>
      <c r="L147" s="65">
        <f t="shared" si="126"/>
        <v>0.61165034460604184</v>
      </c>
      <c r="M147" s="65">
        <f t="shared" si="126"/>
        <v>0.5209336208122175</v>
      </c>
      <c r="N147" s="65">
        <f t="shared" si="126"/>
        <v>0.51641079768491227</v>
      </c>
      <c r="O147" s="65">
        <f t="shared" si="126"/>
        <v>0.50486261419079337</v>
      </c>
      <c r="P147" s="65">
        <f t="shared" si="126"/>
        <v>0.47303099430834367</v>
      </c>
      <c r="Q147" s="65">
        <f t="shared" si="126"/>
        <v>0.50845584460425208</v>
      </c>
      <c r="R147" s="65">
        <f t="shared" si="126"/>
        <v>0.50445714187976221</v>
      </c>
      <c r="S147" s="65">
        <f t="shared" si="126"/>
        <v>0.50520527993312647</v>
      </c>
      <c r="T147" s="65">
        <f t="shared" si="126"/>
        <v>0.48575119810538803</v>
      </c>
      <c r="U147" s="65">
        <f t="shared" si="126"/>
        <v>0.42945464974630887</v>
      </c>
      <c r="V147" s="65">
        <f t="shared" si="126"/>
        <v>0.31081386707605968</v>
      </c>
      <c r="W147" s="65">
        <f t="shared" si="126"/>
        <v>0.38711982588701799</v>
      </c>
      <c r="DA147" s="109"/>
    </row>
    <row r="148" spans="1:105" ht="12" customHeight="1" x14ac:dyDescent="0.25">
      <c r="A148" s="66" t="s">
        <v>34</v>
      </c>
      <c r="B148" s="67">
        <f t="shared" ref="B148" si="127">IF(B118=0,0,B118/B$26)</f>
        <v>0.60890816821182558</v>
      </c>
      <c r="C148" s="67">
        <f t="shared" ref="C148:W148" si="128">IF(C118=0,0,C118/C$26)</f>
        <v>0.59712059348489877</v>
      </c>
      <c r="D148" s="67">
        <f t="shared" si="128"/>
        <v>0.58926394499828838</v>
      </c>
      <c r="E148" s="67">
        <f t="shared" si="128"/>
        <v>0.62846409610703247</v>
      </c>
      <c r="F148" s="67">
        <f t="shared" si="128"/>
        <v>0.64349810796678897</v>
      </c>
      <c r="G148" s="67">
        <f t="shared" si="128"/>
        <v>0.70495943832529284</v>
      </c>
      <c r="H148" s="67">
        <f t="shared" si="128"/>
        <v>0.70619215249727896</v>
      </c>
      <c r="I148" s="67">
        <f t="shared" si="128"/>
        <v>0.69922276315284304</v>
      </c>
      <c r="J148" s="67">
        <f t="shared" si="128"/>
        <v>0.69629157872735015</v>
      </c>
      <c r="K148" s="67">
        <f t="shared" si="128"/>
        <v>0.69881553291133192</v>
      </c>
      <c r="L148" s="67">
        <f t="shared" si="128"/>
        <v>0.72654870001866156</v>
      </c>
      <c r="M148" s="67">
        <f t="shared" si="128"/>
        <v>0.68943808073729518</v>
      </c>
      <c r="N148" s="67">
        <f t="shared" si="128"/>
        <v>0.6592912841154086</v>
      </c>
      <c r="O148" s="67">
        <f t="shared" si="128"/>
        <v>0.66516098869568518</v>
      </c>
      <c r="P148" s="67">
        <f t="shared" si="128"/>
        <v>0.58538437900943396</v>
      </c>
      <c r="Q148" s="67">
        <f t="shared" si="128"/>
        <v>0.75266393247125951</v>
      </c>
      <c r="R148" s="67">
        <f t="shared" si="128"/>
        <v>0.73787430139064181</v>
      </c>
      <c r="S148" s="67">
        <f t="shared" si="128"/>
        <v>0.69556457513225911</v>
      </c>
      <c r="T148" s="67">
        <f t="shared" si="128"/>
        <v>0.73885747205622987</v>
      </c>
      <c r="U148" s="67">
        <f t="shared" si="128"/>
        <v>0.79953480993418113</v>
      </c>
      <c r="V148" s="67">
        <f t="shared" si="128"/>
        <v>0.53220141546531707</v>
      </c>
      <c r="W148" s="67">
        <f t="shared" si="128"/>
        <v>0.74516909320192126</v>
      </c>
      <c r="DA148" s="110"/>
    </row>
    <row r="149" spans="1:105" ht="12" customHeight="1" x14ac:dyDescent="0.25">
      <c r="A149" s="78" t="s">
        <v>33</v>
      </c>
      <c r="B149" s="68">
        <f t="shared" ref="B149" si="129">IF(B119=0,0,B119/B$26)</f>
        <v>0</v>
      </c>
      <c r="C149" s="68">
        <f t="shared" ref="C149:W149" si="130">IF(C119=0,0,C119/C$26)</f>
        <v>0</v>
      </c>
      <c r="D149" s="68">
        <f t="shared" si="130"/>
        <v>0</v>
      </c>
      <c r="E149" s="68">
        <f t="shared" si="130"/>
        <v>0</v>
      </c>
      <c r="F149" s="68">
        <f t="shared" si="130"/>
        <v>0</v>
      </c>
      <c r="G149" s="68">
        <f t="shared" si="130"/>
        <v>0</v>
      </c>
      <c r="H149" s="68">
        <f t="shared" si="130"/>
        <v>0</v>
      </c>
      <c r="I149" s="68">
        <f t="shared" si="130"/>
        <v>0</v>
      </c>
      <c r="J149" s="68">
        <f t="shared" si="130"/>
        <v>0</v>
      </c>
      <c r="K149" s="68">
        <f t="shared" si="130"/>
        <v>0</v>
      </c>
      <c r="L149" s="68">
        <f t="shared" si="130"/>
        <v>0</v>
      </c>
      <c r="M149" s="68">
        <f t="shared" si="130"/>
        <v>0</v>
      </c>
      <c r="N149" s="68">
        <f t="shared" si="130"/>
        <v>0</v>
      </c>
      <c r="O149" s="68">
        <f t="shared" si="130"/>
        <v>0</v>
      </c>
      <c r="P149" s="68">
        <f t="shared" si="130"/>
        <v>0</v>
      </c>
      <c r="Q149" s="68">
        <f t="shared" si="130"/>
        <v>0</v>
      </c>
      <c r="R149" s="68">
        <f t="shared" si="130"/>
        <v>0</v>
      </c>
      <c r="S149" s="68">
        <f t="shared" si="130"/>
        <v>0</v>
      </c>
      <c r="T149" s="68">
        <f t="shared" si="130"/>
        <v>0</v>
      </c>
      <c r="U149" s="68">
        <f t="shared" si="130"/>
        <v>0</v>
      </c>
      <c r="V149" s="68">
        <f t="shared" si="130"/>
        <v>0</v>
      </c>
      <c r="W149" s="68">
        <f t="shared" si="130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131">IF(B99=0,0,B99/B$23)</f>
        <v>10382.803846153847</v>
      </c>
      <c r="C153" s="82">
        <f t="shared" ref="C153:W153" si="132">IF(C99=0,0,C99/C$23)</f>
        <v>10585.239563567362</v>
      </c>
      <c r="D153" s="82">
        <f t="shared" si="132"/>
        <v>10631.365520489873</v>
      </c>
      <c r="E153" s="82">
        <f t="shared" si="132"/>
        <v>10955.342130065974</v>
      </c>
      <c r="F153" s="82">
        <f t="shared" si="132"/>
        <v>11013.252587017872</v>
      </c>
      <c r="G153" s="82">
        <f t="shared" si="132"/>
        <v>10833.623208506702</v>
      </c>
      <c r="H153" s="82">
        <f t="shared" si="132"/>
        <v>10741.052750225426</v>
      </c>
      <c r="I153" s="82">
        <f t="shared" si="132"/>
        <v>10351.25837742504</v>
      </c>
      <c r="J153" s="82">
        <f t="shared" si="132"/>
        <v>10259.163620539599</v>
      </c>
      <c r="K153" s="82">
        <f t="shared" si="132"/>
        <v>10275.74304116653</v>
      </c>
      <c r="L153" s="82">
        <f t="shared" si="132"/>
        <v>11051.474148306381</v>
      </c>
      <c r="M153" s="82">
        <f t="shared" si="132"/>
        <v>10099.821841931311</v>
      </c>
      <c r="N153" s="82">
        <f t="shared" si="132"/>
        <v>10305.096749972125</v>
      </c>
      <c r="O153" s="82">
        <f t="shared" si="132"/>
        <v>10182.724869595513</v>
      </c>
      <c r="P153" s="82">
        <f t="shared" si="132"/>
        <v>9504.1385719550253</v>
      </c>
      <c r="Q153" s="82">
        <f t="shared" si="132"/>
        <v>9779.0385748921599</v>
      </c>
      <c r="R153" s="82">
        <f t="shared" si="132"/>
        <v>9877.2422235601571</v>
      </c>
      <c r="S153" s="82">
        <f t="shared" si="132"/>
        <v>9961.0157640327143</v>
      </c>
      <c r="T153" s="82">
        <f t="shared" si="132"/>
        <v>9516.907808775115</v>
      </c>
      <c r="U153" s="82">
        <f t="shared" si="132"/>
        <v>9111.805682957227</v>
      </c>
      <c r="V153" s="82">
        <f t="shared" si="132"/>
        <v>8669.8882742110727</v>
      </c>
      <c r="W153" s="82">
        <f t="shared" si="132"/>
        <v>9592.0390443731449</v>
      </c>
      <c r="DA153" s="107"/>
    </row>
    <row r="154" spans="1:105" ht="12" customHeight="1" x14ac:dyDescent="0.25">
      <c r="A154" s="77" t="s">
        <v>36</v>
      </c>
      <c r="B154" s="64">
        <f t="shared" ref="B154" si="133">IF(B100=0,0,B100/B$23)</f>
        <v>7893.486043655289</v>
      </c>
      <c r="C154" s="64">
        <f t="shared" ref="C154:W154" si="134">IF(C100=0,0,C100/C$23)</f>
        <v>8058.4659106501176</v>
      </c>
      <c r="D154" s="64">
        <f t="shared" si="134"/>
        <v>8044.328968342892</v>
      </c>
      <c r="E154" s="64">
        <f t="shared" si="134"/>
        <v>8287.2930779104026</v>
      </c>
      <c r="F154" s="64">
        <f t="shared" si="134"/>
        <v>8272.729464756072</v>
      </c>
      <c r="G154" s="64">
        <f t="shared" si="134"/>
        <v>8061.4072096016589</v>
      </c>
      <c r="H154" s="64">
        <f t="shared" si="134"/>
        <v>7985.7258484030863</v>
      </c>
      <c r="I154" s="64">
        <f t="shared" si="134"/>
        <v>7596.0621464162014</v>
      </c>
      <c r="J154" s="64">
        <f t="shared" si="134"/>
        <v>7494.568876864374</v>
      </c>
      <c r="K154" s="64">
        <f t="shared" si="134"/>
        <v>7426.4905177853061</v>
      </c>
      <c r="L154" s="64">
        <f t="shared" si="134"/>
        <v>8125.9707095059975</v>
      </c>
      <c r="M154" s="64">
        <f t="shared" si="134"/>
        <v>7147.9913402486882</v>
      </c>
      <c r="N154" s="64">
        <f t="shared" si="134"/>
        <v>7316.6849802649822</v>
      </c>
      <c r="O154" s="64">
        <f t="shared" si="134"/>
        <v>7159.9922075850191</v>
      </c>
      <c r="P154" s="64">
        <f t="shared" si="134"/>
        <v>6448.3532094818001</v>
      </c>
      <c r="Q154" s="64">
        <f t="shared" si="134"/>
        <v>6712.519725777207</v>
      </c>
      <c r="R154" s="64">
        <f t="shared" si="134"/>
        <v>6847.4887028665862</v>
      </c>
      <c r="S154" s="64">
        <f t="shared" si="134"/>
        <v>6882.8351252654647</v>
      </c>
      <c r="T154" s="64">
        <f t="shared" si="134"/>
        <v>6503.0915877712305</v>
      </c>
      <c r="U154" s="64">
        <f t="shared" si="134"/>
        <v>6147.951606308915</v>
      </c>
      <c r="V154" s="64">
        <f t="shared" si="134"/>
        <v>5870.3762180504182</v>
      </c>
      <c r="W154" s="64">
        <f t="shared" si="134"/>
        <v>6766.5348551857314</v>
      </c>
      <c r="DA154" s="108"/>
    </row>
    <row r="155" spans="1:105" ht="12" customHeight="1" x14ac:dyDescent="0.25">
      <c r="A155" s="61" t="s">
        <v>32</v>
      </c>
      <c r="B155" s="65">
        <f t="shared" ref="B155" si="135">IF(B101=0,0,B101/B$23)</f>
        <v>6310.4232251946969</v>
      </c>
      <c r="C155" s="65">
        <f t="shared" ref="C155:W155" si="136">IF(C101=0,0,C101/C$23)</f>
        <v>6477.4574535848378</v>
      </c>
      <c r="D155" s="65">
        <f t="shared" si="136"/>
        <v>6443.12966724953</v>
      </c>
      <c r="E155" s="65">
        <f t="shared" si="136"/>
        <v>6645.1812083731611</v>
      </c>
      <c r="F155" s="65">
        <f t="shared" si="136"/>
        <v>6603.314896927569</v>
      </c>
      <c r="G155" s="65">
        <f t="shared" si="136"/>
        <v>6393.894405240505</v>
      </c>
      <c r="H155" s="65">
        <f t="shared" si="136"/>
        <v>6323.3271183043735</v>
      </c>
      <c r="I155" s="65">
        <f t="shared" si="136"/>
        <v>5945.7029029724345</v>
      </c>
      <c r="J155" s="65">
        <f t="shared" si="136"/>
        <v>5847.7841917041942</v>
      </c>
      <c r="K155" s="65">
        <f t="shared" si="136"/>
        <v>5738.5765281920758</v>
      </c>
      <c r="L155" s="65">
        <f t="shared" si="136"/>
        <v>6403.9932668638148</v>
      </c>
      <c r="M155" s="65">
        <f t="shared" si="136"/>
        <v>5410.6720113787151</v>
      </c>
      <c r="N155" s="65">
        <f t="shared" si="136"/>
        <v>5545.1997695371392</v>
      </c>
      <c r="O155" s="65">
        <f t="shared" si="136"/>
        <v>5387.374253468528</v>
      </c>
      <c r="P155" s="65">
        <f t="shared" si="136"/>
        <v>4681.1798871311012</v>
      </c>
      <c r="Q155" s="65">
        <f t="shared" si="136"/>
        <v>4943.4984675969245</v>
      </c>
      <c r="R155" s="65">
        <f t="shared" si="136"/>
        <v>5088.1681797409792</v>
      </c>
      <c r="S155" s="65">
        <f t="shared" si="136"/>
        <v>5144.6522672074507</v>
      </c>
      <c r="T155" s="65">
        <f t="shared" si="136"/>
        <v>4799.1070175712366</v>
      </c>
      <c r="U155" s="65">
        <f t="shared" si="136"/>
        <v>4480.9383964380877</v>
      </c>
      <c r="V155" s="65">
        <f t="shared" si="136"/>
        <v>4389.2134533482122</v>
      </c>
      <c r="W155" s="65">
        <f t="shared" si="136"/>
        <v>5203.2211831053328</v>
      </c>
      <c r="DA155" s="109"/>
    </row>
    <row r="156" spans="1:105" ht="12" customHeight="1" x14ac:dyDescent="0.25">
      <c r="A156" s="61" t="s">
        <v>31</v>
      </c>
      <c r="B156" s="65">
        <f t="shared" ref="B156" si="137">IF(B102=0,0,B102/B$23)</f>
        <v>127.10963131644964</v>
      </c>
      <c r="C156" s="65">
        <f t="shared" ref="C156:W156" si="138">IF(C102=0,0,C102/C$23)</f>
        <v>124.27206743046553</v>
      </c>
      <c r="D156" s="65">
        <f t="shared" si="138"/>
        <v>124.19825141050129</v>
      </c>
      <c r="E156" s="65">
        <f t="shared" si="138"/>
        <v>121.98469415723879</v>
      </c>
      <c r="F156" s="65">
        <f t="shared" si="138"/>
        <v>120.2862056062195</v>
      </c>
      <c r="G156" s="65">
        <f t="shared" si="138"/>
        <v>117.04759154679871</v>
      </c>
      <c r="H156" s="65">
        <f t="shared" si="138"/>
        <v>113.55775069656278</v>
      </c>
      <c r="I156" s="65">
        <f t="shared" si="138"/>
        <v>111.72247842769134</v>
      </c>
      <c r="J156" s="65">
        <f t="shared" si="138"/>
        <v>107.69793188920957</v>
      </c>
      <c r="K156" s="65">
        <f t="shared" si="138"/>
        <v>111.95181735270475</v>
      </c>
      <c r="L156" s="65">
        <f t="shared" si="138"/>
        <v>115.60828802952247</v>
      </c>
      <c r="M156" s="65">
        <f t="shared" si="138"/>
        <v>114.43110564384564</v>
      </c>
      <c r="N156" s="65">
        <f t="shared" si="138"/>
        <v>114.24641711098758</v>
      </c>
      <c r="O156" s="65">
        <f t="shared" si="138"/>
        <v>113.74447081842392</v>
      </c>
      <c r="P156" s="65">
        <f t="shared" si="138"/>
        <v>113.43917879927771</v>
      </c>
      <c r="Q156" s="65">
        <f t="shared" si="138"/>
        <v>110.27096283233095</v>
      </c>
      <c r="R156" s="65">
        <f t="shared" si="138"/>
        <v>107.46195960223633</v>
      </c>
      <c r="S156" s="65">
        <f t="shared" si="138"/>
        <v>105.23974381560885</v>
      </c>
      <c r="T156" s="65">
        <f t="shared" si="138"/>
        <v>107.77819827435891</v>
      </c>
      <c r="U156" s="65">
        <f t="shared" si="138"/>
        <v>103.72306184681776</v>
      </c>
      <c r="V156" s="65">
        <f t="shared" si="138"/>
        <v>98.610405754026672</v>
      </c>
      <c r="W156" s="65">
        <f t="shared" si="138"/>
        <v>97.074542614832694</v>
      </c>
      <c r="DA156" s="109"/>
    </row>
    <row r="157" spans="1:105" ht="12" customHeight="1" x14ac:dyDescent="0.25">
      <c r="A157" s="61" t="s">
        <v>35</v>
      </c>
      <c r="B157" s="65">
        <f t="shared" ref="B157" si="139">IF(B103=0,0,B103/B$23)</f>
        <v>784.63019354749463</v>
      </c>
      <c r="C157" s="65">
        <f t="shared" ref="C157:W157" si="140">IF(C103=0,0,C103/C$23)</f>
        <v>778.42122924189846</v>
      </c>
      <c r="D157" s="65">
        <f t="shared" si="140"/>
        <v>784.29318802898172</v>
      </c>
      <c r="E157" s="65">
        <f t="shared" si="140"/>
        <v>795.15204112380638</v>
      </c>
      <c r="F157" s="65">
        <f t="shared" si="140"/>
        <v>802.04441749784132</v>
      </c>
      <c r="G157" s="65">
        <f t="shared" si="140"/>
        <v>801.21389162339892</v>
      </c>
      <c r="H157" s="65">
        <f t="shared" si="140"/>
        <v>794.85467287707081</v>
      </c>
      <c r="I157" s="65">
        <f t="shared" si="140"/>
        <v>789.65184846365253</v>
      </c>
      <c r="J157" s="65">
        <f t="shared" si="140"/>
        <v>786.32103967021362</v>
      </c>
      <c r="K157" s="65">
        <f t="shared" si="140"/>
        <v>802.21296204152179</v>
      </c>
      <c r="L157" s="65">
        <f t="shared" si="140"/>
        <v>810.10832855219917</v>
      </c>
      <c r="M157" s="65">
        <f t="shared" si="140"/>
        <v>814.12707121089056</v>
      </c>
      <c r="N157" s="65">
        <f t="shared" si="140"/>
        <v>829.09819402480798</v>
      </c>
      <c r="O157" s="65">
        <f t="shared" si="140"/>
        <v>827.40185913108485</v>
      </c>
      <c r="P157" s="65">
        <f t="shared" si="140"/>
        <v>832.95332208674245</v>
      </c>
      <c r="Q157" s="65">
        <f t="shared" si="140"/>
        <v>829.94623276512402</v>
      </c>
      <c r="R157" s="65">
        <f t="shared" si="140"/>
        <v>820.09092517813292</v>
      </c>
      <c r="S157" s="65">
        <f t="shared" si="140"/>
        <v>812.11647938156193</v>
      </c>
      <c r="T157" s="65">
        <f t="shared" si="140"/>
        <v>789.34628533719206</v>
      </c>
      <c r="U157" s="65">
        <f t="shared" si="140"/>
        <v>763.49221882533595</v>
      </c>
      <c r="V157" s="65">
        <f t="shared" si="140"/>
        <v>670.31891991061923</v>
      </c>
      <c r="W157" s="65">
        <f t="shared" si="140"/>
        <v>722.38763755263449</v>
      </c>
      <c r="DA157" s="109"/>
    </row>
    <row r="158" spans="1:105" ht="12" customHeight="1" x14ac:dyDescent="0.25">
      <c r="A158" s="66" t="s">
        <v>34</v>
      </c>
      <c r="B158" s="67">
        <f t="shared" ref="B158" si="141">IF(B104=0,0,B104/B$23)</f>
        <v>671.32299359664717</v>
      </c>
      <c r="C158" s="67">
        <f t="shared" ref="C158:W158" si="142">IF(C104=0,0,C104/C$23)</f>
        <v>678.31516039291432</v>
      </c>
      <c r="D158" s="67">
        <f t="shared" si="142"/>
        <v>692.70786165387938</v>
      </c>
      <c r="E158" s="67">
        <f t="shared" si="142"/>
        <v>724.97513425619741</v>
      </c>
      <c r="F158" s="67">
        <f t="shared" si="142"/>
        <v>747.08394472444252</v>
      </c>
      <c r="G158" s="67">
        <f t="shared" si="142"/>
        <v>749.25132119095633</v>
      </c>
      <c r="H158" s="67">
        <f t="shared" si="142"/>
        <v>753.98630652508041</v>
      </c>
      <c r="I158" s="67">
        <f t="shared" si="142"/>
        <v>748.98491655242435</v>
      </c>
      <c r="J158" s="67">
        <f t="shared" si="142"/>
        <v>752.76571360075593</v>
      </c>
      <c r="K158" s="67">
        <f t="shared" si="142"/>
        <v>773.74921019900364</v>
      </c>
      <c r="L158" s="67">
        <f t="shared" si="142"/>
        <v>796.26082606046043</v>
      </c>
      <c r="M158" s="67">
        <f t="shared" si="142"/>
        <v>808.76115201523749</v>
      </c>
      <c r="N158" s="67">
        <f t="shared" si="142"/>
        <v>828.1405995920486</v>
      </c>
      <c r="O158" s="67">
        <f t="shared" si="142"/>
        <v>831.47162416698291</v>
      </c>
      <c r="P158" s="67">
        <f t="shared" si="142"/>
        <v>820.78082146467932</v>
      </c>
      <c r="Q158" s="67">
        <f t="shared" si="142"/>
        <v>828.80406258282949</v>
      </c>
      <c r="R158" s="67">
        <f t="shared" si="142"/>
        <v>831.76763834523786</v>
      </c>
      <c r="S158" s="67">
        <f t="shared" si="142"/>
        <v>820.82663486084255</v>
      </c>
      <c r="T158" s="67">
        <f t="shared" si="142"/>
        <v>806.86008658844241</v>
      </c>
      <c r="U158" s="67">
        <f t="shared" si="142"/>
        <v>799.79792919867316</v>
      </c>
      <c r="V158" s="67">
        <f t="shared" si="142"/>
        <v>712.23343903755926</v>
      </c>
      <c r="W158" s="67">
        <f t="shared" si="142"/>
        <v>743.85149191293215</v>
      </c>
      <c r="DA158" s="110"/>
    </row>
    <row r="159" spans="1:105" ht="12" customHeight="1" x14ac:dyDescent="0.25">
      <c r="A159" s="78" t="s">
        <v>33</v>
      </c>
      <c r="B159" s="68">
        <f t="shared" ref="B159" si="143">IF(B105=0,0,B105/B$23)</f>
        <v>2489.3178024985564</v>
      </c>
      <c r="C159" s="68">
        <f t="shared" ref="C159:W159" si="144">IF(C105=0,0,C105/C$23)</f>
        <v>2526.7736529172448</v>
      </c>
      <c r="D159" s="68">
        <f t="shared" si="144"/>
        <v>2587.0365521469812</v>
      </c>
      <c r="E159" s="68">
        <f t="shared" si="144"/>
        <v>2668.0490521555707</v>
      </c>
      <c r="F159" s="68">
        <f t="shared" si="144"/>
        <v>2740.5231222617995</v>
      </c>
      <c r="G159" s="68">
        <f t="shared" si="144"/>
        <v>2772.2159989050433</v>
      </c>
      <c r="H159" s="68">
        <f t="shared" si="144"/>
        <v>2755.3269018223409</v>
      </c>
      <c r="I159" s="68">
        <f t="shared" si="144"/>
        <v>2755.1962310088402</v>
      </c>
      <c r="J159" s="68">
        <f t="shared" si="144"/>
        <v>2764.5947436752253</v>
      </c>
      <c r="K159" s="68">
        <f t="shared" si="144"/>
        <v>2849.2525233812253</v>
      </c>
      <c r="L159" s="68">
        <f t="shared" si="144"/>
        <v>2925.5034388003864</v>
      </c>
      <c r="M159" s="68">
        <f t="shared" si="144"/>
        <v>2951.8305016826212</v>
      </c>
      <c r="N159" s="68">
        <f t="shared" si="144"/>
        <v>2988.4117697071424</v>
      </c>
      <c r="O159" s="68">
        <f t="shared" si="144"/>
        <v>3022.7326620104959</v>
      </c>
      <c r="P159" s="68">
        <f t="shared" si="144"/>
        <v>3055.7853624732256</v>
      </c>
      <c r="Q159" s="68">
        <f t="shared" si="144"/>
        <v>3066.518849114952</v>
      </c>
      <c r="R159" s="68">
        <f t="shared" si="144"/>
        <v>3029.75352069357</v>
      </c>
      <c r="S159" s="68">
        <f t="shared" si="144"/>
        <v>3078.1806387672491</v>
      </c>
      <c r="T159" s="68">
        <f t="shared" si="144"/>
        <v>3013.8162210038863</v>
      </c>
      <c r="U159" s="68">
        <f t="shared" si="144"/>
        <v>2963.8540766483125</v>
      </c>
      <c r="V159" s="68">
        <f t="shared" si="144"/>
        <v>2799.5120561606564</v>
      </c>
      <c r="W159" s="68">
        <f t="shared" si="144"/>
        <v>2825.5041891874152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145">IF(B107=0,0,B107/B$23)</f>
        <v>5607.1293843419326</v>
      </c>
      <c r="C161" s="85">
        <f t="shared" ref="C161:W161" si="146">IF(C107=0,0,C107/C$23)</f>
        <v>5806.7584433484417</v>
      </c>
      <c r="D161" s="85">
        <f t="shared" si="146"/>
        <v>5832.1930159889052</v>
      </c>
      <c r="E161" s="85">
        <f t="shared" si="146"/>
        <v>6029.4908425655722</v>
      </c>
      <c r="F161" s="85">
        <f t="shared" si="146"/>
        <v>6072.518962022491</v>
      </c>
      <c r="G161" s="85">
        <f t="shared" si="146"/>
        <v>5967.8335202794888</v>
      </c>
      <c r="H161" s="85">
        <f t="shared" si="146"/>
        <v>5958.9542462071477</v>
      </c>
      <c r="I161" s="85">
        <f t="shared" si="146"/>
        <v>5804.0179100278619</v>
      </c>
      <c r="J161" s="85">
        <f t="shared" si="146"/>
        <v>5796.4694612375215</v>
      </c>
      <c r="K161" s="85">
        <f t="shared" si="146"/>
        <v>5826.0897330301768</v>
      </c>
      <c r="L161" s="85">
        <f t="shared" si="146"/>
        <v>6460.4525134401638</v>
      </c>
      <c r="M161" s="85">
        <f t="shared" si="146"/>
        <v>5792.8152263374177</v>
      </c>
      <c r="N161" s="85">
        <f t="shared" si="146"/>
        <v>5972.5638251706832</v>
      </c>
      <c r="O161" s="85">
        <f t="shared" si="146"/>
        <v>5916.3175291235639</v>
      </c>
      <c r="P161" s="85">
        <f t="shared" si="146"/>
        <v>5421.0569629595311</v>
      </c>
      <c r="Q161" s="85">
        <f t="shared" si="146"/>
        <v>5658.9425942428843</v>
      </c>
      <c r="R161" s="85">
        <f t="shared" si="146"/>
        <v>5806.1847023050614</v>
      </c>
      <c r="S161" s="85">
        <f t="shared" si="146"/>
        <v>5881.1742114059343</v>
      </c>
      <c r="T161" s="85">
        <f t="shared" si="146"/>
        <v>5669.476592678775</v>
      </c>
      <c r="U161" s="85">
        <f t="shared" si="146"/>
        <v>5460.1501714116748</v>
      </c>
      <c r="V161" s="85">
        <f t="shared" si="146"/>
        <v>5301.9749149897261</v>
      </c>
      <c r="W161" s="85">
        <f t="shared" si="146"/>
        <v>6075.0724622701591</v>
      </c>
      <c r="DA161" s="117"/>
    </row>
    <row r="162" spans="1:105" ht="12" customHeight="1" x14ac:dyDescent="0.25">
      <c r="A162" s="61" t="s">
        <v>32</v>
      </c>
      <c r="B162" s="65">
        <f t="shared" ref="B162" si="147">IF(B108=0,0,B108/B$23)</f>
        <v>4344.0590558607983</v>
      </c>
      <c r="C162" s="65">
        <f t="shared" ref="C162:W162" si="148">IF(C108=0,0,C108/C$23)</f>
        <v>4531.1511782660355</v>
      </c>
      <c r="D162" s="65">
        <f t="shared" si="148"/>
        <v>4524.4208202558293</v>
      </c>
      <c r="E162" s="65">
        <f t="shared" si="148"/>
        <v>4680.9492560904946</v>
      </c>
      <c r="F162" s="65">
        <f t="shared" si="148"/>
        <v>4687.7882157483718</v>
      </c>
      <c r="G162" s="65">
        <f t="shared" si="148"/>
        <v>4570.8487062061786</v>
      </c>
      <c r="H162" s="65">
        <f t="shared" si="148"/>
        <v>4547.1946749078579</v>
      </c>
      <c r="I162" s="65">
        <f t="shared" si="148"/>
        <v>4373.1390698452296</v>
      </c>
      <c r="J162" s="65">
        <f t="shared" si="148"/>
        <v>4345.574787751978</v>
      </c>
      <c r="K162" s="65">
        <f t="shared" si="148"/>
        <v>4319.5175759200329</v>
      </c>
      <c r="L162" s="65">
        <f t="shared" si="148"/>
        <v>4901.6878572318046</v>
      </c>
      <c r="M162" s="65">
        <f t="shared" si="148"/>
        <v>4201.9739132001469</v>
      </c>
      <c r="N162" s="65">
        <f t="shared" si="148"/>
        <v>4334.6095092571104</v>
      </c>
      <c r="O162" s="65">
        <f t="shared" si="148"/>
        <v>4254.8776206646298</v>
      </c>
      <c r="P162" s="65">
        <f t="shared" si="148"/>
        <v>3734.0577054555015</v>
      </c>
      <c r="Q162" s="65">
        <f t="shared" si="148"/>
        <v>3964.6316866109842</v>
      </c>
      <c r="R162" s="65">
        <f t="shared" si="148"/>
        <v>4101.6360356492041</v>
      </c>
      <c r="S162" s="65">
        <f t="shared" si="148"/>
        <v>4167.587477071449</v>
      </c>
      <c r="T162" s="65">
        <f t="shared" si="148"/>
        <v>3943.118218249359</v>
      </c>
      <c r="U162" s="65">
        <f t="shared" si="148"/>
        <v>3753.6172028686337</v>
      </c>
      <c r="V162" s="65">
        <f t="shared" si="148"/>
        <v>3722.4937075401949</v>
      </c>
      <c r="W162" s="65">
        <f t="shared" si="148"/>
        <v>4422.2742851769226</v>
      </c>
      <c r="DA162" s="109"/>
    </row>
    <row r="163" spans="1:105" ht="12" customHeight="1" x14ac:dyDescent="0.25">
      <c r="A163" s="61" t="s">
        <v>31</v>
      </c>
      <c r="B163" s="65">
        <f t="shared" ref="B163" si="149">IF(B109=0,0,B109/B$23)</f>
        <v>265.54866005268821</v>
      </c>
      <c r="C163" s="65">
        <f t="shared" ref="C163:W163" si="150">IF(C109=0,0,C109/C$23)</f>
        <v>271.16444819758362</v>
      </c>
      <c r="D163" s="65">
        <f t="shared" si="150"/>
        <v>285.65946000450322</v>
      </c>
      <c r="E163" s="65">
        <f t="shared" si="150"/>
        <v>294.57028387565344</v>
      </c>
      <c r="F163" s="65">
        <f t="shared" si="150"/>
        <v>306.94515306071304</v>
      </c>
      <c r="G163" s="65">
        <f t="shared" si="150"/>
        <v>317.20656214946831</v>
      </c>
      <c r="H163" s="65">
        <f t="shared" si="150"/>
        <v>328.68879709422561</v>
      </c>
      <c r="I163" s="65">
        <f t="shared" si="150"/>
        <v>347.49654028180294</v>
      </c>
      <c r="J163" s="65">
        <f t="shared" si="150"/>
        <v>360.56308341741419</v>
      </c>
      <c r="K163" s="65">
        <f t="shared" si="150"/>
        <v>381.3458103045665</v>
      </c>
      <c r="L163" s="65">
        <f t="shared" si="150"/>
        <v>403.44099611899941</v>
      </c>
      <c r="M163" s="65">
        <f t="shared" si="150"/>
        <v>412.85194475162547</v>
      </c>
      <c r="N163" s="65">
        <f t="shared" si="150"/>
        <v>426.84497970444943</v>
      </c>
      <c r="O163" s="65">
        <f t="shared" si="150"/>
        <v>440.96894590272626</v>
      </c>
      <c r="P163" s="65">
        <f t="shared" si="150"/>
        <v>457.87703254151808</v>
      </c>
      <c r="Q163" s="65">
        <f t="shared" si="150"/>
        <v>463.00172904551522</v>
      </c>
      <c r="R163" s="65">
        <f t="shared" si="150"/>
        <v>469.13219949366186</v>
      </c>
      <c r="S163" s="65">
        <f t="shared" si="150"/>
        <v>477.29391633367135</v>
      </c>
      <c r="T163" s="65">
        <f t="shared" si="150"/>
        <v>505.41232683090152</v>
      </c>
      <c r="U163" s="65">
        <f t="shared" si="150"/>
        <v>499.45508731063518</v>
      </c>
      <c r="V163" s="65">
        <f t="shared" si="150"/>
        <v>485.1343654451145</v>
      </c>
      <c r="W163" s="65">
        <f t="shared" si="150"/>
        <v>490.48038512440513</v>
      </c>
      <c r="DA163" s="109"/>
    </row>
    <row r="164" spans="1:105" ht="12" customHeight="1" x14ac:dyDescent="0.25">
      <c r="A164" s="61" t="s">
        <v>35</v>
      </c>
      <c r="B164" s="65">
        <f t="shared" ref="B164" si="151">IF(B110=0,0,B110/B$23)</f>
        <v>542.08021771437404</v>
      </c>
      <c r="C164" s="65">
        <f t="shared" ref="C164:W164" si="152">IF(C110=0,0,C110/C$23)</f>
        <v>542.79305611560096</v>
      </c>
      <c r="D164" s="65">
        <f t="shared" si="152"/>
        <v>549.26938029126359</v>
      </c>
      <c r="E164" s="65">
        <f t="shared" si="152"/>
        <v>558.45380477468416</v>
      </c>
      <c r="F164" s="65">
        <f t="shared" si="152"/>
        <v>566.31465992696917</v>
      </c>
      <c r="G164" s="65">
        <f t="shared" si="152"/>
        <v>568.27879820745693</v>
      </c>
      <c r="H164" s="65">
        <f t="shared" si="152"/>
        <v>566.52021528692023</v>
      </c>
      <c r="I164" s="65">
        <f t="shared" si="152"/>
        <v>568.34599193281804</v>
      </c>
      <c r="J164" s="65">
        <f t="shared" si="152"/>
        <v>570.63264779352198</v>
      </c>
      <c r="K164" s="65">
        <f t="shared" si="152"/>
        <v>589.07187204716035</v>
      </c>
      <c r="L164" s="65">
        <f t="shared" si="152"/>
        <v>603.29668888043204</v>
      </c>
      <c r="M164" s="65">
        <f t="shared" si="152"/>
        <v>614.33481981678744</v>
      </c>
      <c r="N164" s="65">
        <f t="shared" si="152"/>
        <v>630.74161146205029</v>
      </c>
      <c r="O164" s="65">
        <f t="shared" si="152"/>
        <v>636.33646684145697</v>
      </c>
      <c r="P164" s="65">
        <f t="shared" si="152"/>
        <v>646.41453730614728</v>
      </c>
      <c r="Q164" s="65">
        <f t="shared" si="152"/>
        <v>648.09714321389038</v>
      </c>
      <c r="R164" s="65">
        <f t="shared" si="152"/>
        <v>646.12969085598536</v>
      </c>
      <c r="S164" s="65">
        <f t="shared" si="152"/>
        <v>647.85584253712909</v>
      </c>
      <c r="T164" s="65">
        <f t="shared" si="152"/>
        <v>640.10619230563827</v>
      </c>
      <c r="U164" s="65">
        <f t="shared" si="152"/>
        <v>629.00989896050169</v>
      </c>
      <c r="V164" s="65">
        <f t="shared" si="152"/>
        <v>562.22778778280508</v>
      </c>
      <c r="W164" s="65">
        <f t="shared" si="152"/>
        <v>612.20995571620676</v>
      </c>
      <c r="DA164" s="109"/>
    </row>
    <row r="165" spans="1:105" ht="12" customHeight="1" x14ac:dyDescent="0.25">
      <c r="A165" s="74" t="s">
        <v>34</v>
      </c>
      <c r="B165" s="68">
        <f t="shared" ref="B165" si="153">IF(B111=0,0,B111/B$23)</f>
        <v>455.44145071407144</v>
      </c>
      <c r="C165" s="68">
        <f t="shared" ref="C165:W165" si="154">IF(C111=0,0,C111/C$23)</f>
        <v>461.64976076922107</v>
      </c>
      <c r="D165" s="68">
        <f t="shared" si="154"/>
        <v>472.84335543730833</v>
      </c>
      <c r="E165" s="68">
        <f t="shared" si="154"/>
        <v>495.51749782474025</v>
      </c>
      <c r="F165" s="68">
        <f t="shared" si="154"/>
        <v>511.47093328643683</v>
      </c>
      <c r="G165" s="68">
        <f t="shared" si="154"/>
        <v>511.49945371638546</v>
      </c>
      <c r="H165" s="68">
        <f t="shared" si="154"/>
        <v>516.55055891814322</v>
      </c>
      <c r="I165" s="68">
        <f t="shared" si="154"/>
        <v>515.0363079680111</v>
      </c>
      <c r="J165" s="68">
        <f t="shared" si="154"/>
        <v>519.6989422746077</v>
      </c>
      <c r="K165" s="68">
        <f t="shared" si="154"/>
        <v>536.15447475841722</v>
      </c>
      <c r="L165" s="68">
        <f t="shared" si="154"/>
        <v>552.02697120892753</v>
      </c>
      <c r="M165" s="68">
        <f t="shared" si="154"/>
        <v>563.65454856885833</v>
      </c>
      <c r="N165" s="68">
        <f t="shared" si="154"/>
        <v>580.36772474707232</v>
      </c>
      <c r="O165" s="68">
        <f t="shared" si="154"/>
        <v>584.13449571475007</v>
      </c>
      <c r="P165" s="68">
        <f t="shared" si="154"/>
        <v>582.7076876563641</v>
      </c>
      <c r="Q165" s="68">
        <f t="shared" si="154"/>
        <v>583.21203537249448</v>
      </c>
      <c r="R165" s="68">
        <f t="shared" si="154"/>
        <v>589.28677630621007</v>
      </c>
      <c r="S165" s="68">
        <f t="shared" si="154"/>
        <v>588.43697546368605</v>
      </c>
      <c r="T165" s="68">
        <f t="shared" si="154"/>
        <v>580.83985529287611</v>
      </c>
      <c r="U165" s="68">
        <f t="shared" si="154"/>
        <v>578.06798227190404</v>
      </c>
      <c r="V165" s="68">
        <f t="shared" si="154"/>
        <v>532.11905422161215</v>
      </c>
      <c r="W165" s="68">
        <f t="shared" si="154"/>
        <v>550.10783625262422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155">IF(B113=0,0,B113/B$23)</f>
        <v>422.07489075226385</v>
      </c>
      <c r="C167" s="82">
        <f t="shared" ref="C167:W167" si="156">IF(C113=0,0,C113/C$23)</f>
        <v>400.01834625365916</v>
      </c>
      <c r="D167" s="82">
        <f t="shared" si="156"/>
        <v>402.86844666526525</v>
      </c>
      <c r="E167" s="82">
        <f t="shared" si="156"/>
        <v>445.7675021517677</v>
      </c>
      <c r="F167" s="82">
        <f t="shared" si="156"/>
        <v>443.8304871083015</v>
      </c>
      <c r="G167" s="82">
        <f t="shared" si="156"/>
        <v>432.47482820505405</v>
      </c>
      <c r="H167" s="82">
        <f t="shared" si="156"/>
        <v>424.11747098053183</v>
      </c>
      <c r="I167" s="82">
        <f t="shared" si="156"/>
        <v>377.18074163279249</v>
      </c>
      <c r="J167" s="82">
        <f t="shared" si="156"/>
        <v>366.65974632364748</v>
      </c>
      <c r="K167" s="82">
        <f t="shared" si="156"/>
        <v>360.42502339306509</v>
      </c>
      <c r="L167" s="82">
        <f t="shared" si="156"/>
        <v>358.69562364263146</v>
      </c>
      <c r="M167" s="82">
        <f t="shared" si="156"/>
        <v>287.3034599493518</v>
      </c>
      <c r="N167" s="82">
        <f t="shared" si="156"/>
        <v>322.24303073327962</v>
      </c>
      <c r="O167" s="82">
        <f t="shared" si="156"/>
        <v>323.77455121252854</v>
      </c>
      <c r="P167" s="82">
        <f t="shared" si="156"/>
        <v>257.50303018776918</v>
      </c>
      <c r="Q167" s="82">
        <f t="shared" si="156"/>
        <v>306.59590542267796</v>
      </c>
      <c r="R167" s="82">
        <f t="shared" si="156"/>
        <v>308.61978500110649</v>
      </c>
      <c r="S167" s="82">
        <f t="shared" si="156"/>
        <v>318.49131226952881</v>
      </c>
      <c r="T167" s="82">
        <f t="shared" si="156"/>
        <v>279.67942282968653</v>
      </c>
      <c r="U167" s="82">
        <f t="shared" si="156"/>
        <v>254.00181651279547</v>
      </c>
      <c r="V167" s="82">
        <f t="shared" si="156"/>
        <v>255.11730037096672</v>
      </c>
      <c r="W167" s="82">
        <f t="shared" si="156"/>
        <v>344.50124491680151</v>
      </c>
      <c r="DA167" s="107"/>
    </row>
    <row r="168" spans="1:105" ht="12" customHeight="1" x14ac:dyDescent="0.25">
      <c r="A168" s="77" t="s">
        <v>36</v>
      </c>
      <c r="B168" s="64">
        <f t="shared" ref="B168" si="157">IF(B114=0,0,B114/B$23)</f>
        <v>422.07489075226385</v>
      </c>
      <c r="C168" s="64">
        <f t="shared" ref="C168:W168" si="158">IF(C114=0,0,C114/C$23)</f>
        <v>400.01834625365916</v>
      </c>
      <c r="D168" s="64">
        <f t="shared" si="158"/>
        <v>402.86844666526525</v>
      </c>
      <c r="E168" s="64">
        <f t="shared" si="158"/>
        <v>445.7675021517677</v>
      </c>
      <c r="F168" s="64">
        <f t="shared" si="158"/>
        <v>443.8304871083015</v>
      </c>
      <c r="G168" s="64">
        <f t="shared" si="158"/>
        <v>432.47482820505405</v>
      </c>
      <c r="H168" s="64">
        <f t="shared" si="158"/>
        <v>424.11747098053183</v>
      </c>
      <c r="I168" s="64">
        <f t="shared" si="158"/>
        <v>377.18074163279249</v>
      </c>
      <c r="J168" s="64">
        <f t="shared" si="158"/>
        <v>366.65974632364748</v>
      </c>
      <c r="K168" s="64">
        <f t="shared" si="158"/>
        <v>360.42502339306509</v>
      </c>
      <c r="L168" s="64">
        <f t="shared" si="158"/>
        <v>358.69562364263146</v>
      </c>
      <c r="M168" s="64">
        <f t="shared" si="158"/>
        <v>287.3034599493518</v>
      </c>
      <c r="N168" s="64">
        <f t="shared" si="158"/>
        <v>322.24303073327962</v>
      </c>
      <c r="O168" s="64">
        <f t="shared" si="158"/>
        <v>323.77455121252854</v>
      </c>
      <c r="P168" s="64">
        <f t="shared" si="158"/>
        <v>257.50303018776918</v>
      </c>
      <c r="Q168" s="64">
        <f t="shared" si="158"/>
        <v>306.59590542267796</v>
      </c>
      <c r="R168" s="64">
        <f t="shared" si="158"/>
        <v>308.61978500110649</v>
      </c>
      <c r="S168" s="64">
        <f t="shared" si="158"/>
        <v>318.49131226952881</v>
      </c>
      <c r="T168" s="64">
        <f t="shared" si="158"/>
        <v>279.67942282968653</v>
      </c>
      <c r="U168" s="64">
        <f t="shared" si="158"/>
        <v>254.00181651279547</v>
      </c>
      <c r="V168" s="64">
        <f t="shared" si="158"/>
        <v>255.11730037096672</v>
      </c>
      <c r="W168" s="64">
        <f t="shared" si="158"/>
        <v>344.50124491680151</v>
      </c>
      <c r="DA168" s="108"/>
    </row>
    <row r="169" spans="1:105" ht="12" customHeight="1" x14ac:dyDescent="0.25">
      <c r="A169" s="61" t="s">
        <v>32</v>
      </c>
      <c r="B169" s="65">
        <f t="shared" ref="B169" si="159">IF(B115=0,0,B115/B$23)</f>
        <v>353.15688671606176</v>
      </c>
      <c r="C169" s="65">
        <f t="shared" ref="C169:W169" si="160">IF(C115=0,0,C115/C$23)</f>
        <v>332.61267974521451</v>
      </c>
      <c r="D169" s="65">
        <f t="shared" si="160"/>
        <v>334.73012477421105</v>
      </c>
      <c r="E169" s="65">
        <f t="shared" si="160"/>
        <v>371.27610079696086</v>
      </c>
      <c r="F169" s="65">
        <f t="shared" si="160"/>
        <v>368.04657658299158</v>
      </c>
      <c r="G169" s="65">
        <f t="shared" si="160"/>
        <v>352.19921232888879</v>
      </c>
      <c r="H169" s="65">
        <f t="shared" si="160"/>
        <v>345.31221058074351</v>
      </c>
      <c r="I169" s="65">
        <f t="shared" si="160"/>
        <v>300.94700538523466</v>
      </c>
      <c r="J169" s="65">
        <f t="shared" si="160"/>
        <v>291.07929368092471</v>
      </c>
      <c r="K169" s="65">
        <f t="shared" si="160"/>
        <v>283.38711520178066</v>
      </c>
      <c r="L169" s="65">
        <f t="shared" si="160"/>
        <v>279.24713667336755</v>
      </c>
      <c r="M169" s="65">
        <f t="shared" si="160"/>
        <v>215.02750295359482</v>
      </c>
      <c r="N169" s="65">
        <f t="shared" si="160"/>
        <v>251.43959861910068</v>
      </c>
      <c r="O169" s="65">
        <f t="shared" si="160"/>
        <v>253.2810213916469</v>
      </c>
      <c r="P169" s="65">
        <f t="shared" si="160"/>
        <v>193.67785857539553</v>
      </c>
      <c r="Q169" s="65">
        <f t="shared" si="160"/>
        <v>231.04343438124641</v>
      </c>
      <c r="R169" s="65">
        <f t="shared" si="160"/>
        <v>234.75154445633046</v>
      </c>
      <c r="S169" s="65">
        <f t="shared" si="160"/>
        <v>247.36273396289067</v>
      </c>
      <c r="T169" s="65">
        <f t="shared" si="160"/>
        <v>207.55951169353321</v>
      </c>
      <c r="U169" s="65">
        <f t="shared" si="160"/>
        <v>181.93157438978017</v>
      </c>
      <c r="V169" s="65">
        <f t="shared" si="160"/>
        <v>204.84933599159874</v>
      </c>
      <c r="W169" s="65">
        <f t="shared" si="160"/>
        <v>278.00119369792935</v>
      </c>
      <c r="DA169" s="109"/>
    </row>
    <row r="170" spans="1:105" ht="12" customHeight="1" x14ac:dyDescent="0.25">
      <c r="A170" s="61" t="s">
        <v>31</v>
      </c>
      <c r="B170" s="65">
        <f t="shared" ref="B170" si="161">IF(B116=0,0,B116/B$23)</f>
        <v>3.4051003291166351E-2</v>
      </c>
      <c r="C170" s="65">
        <f t="shared" ref="C170:W170" si="162">IF(C116=0,0,C116/C$23)</f>
        <v>3.5200697803092831E-2</v>
      </c>
      <c r="D170" s="65">
        <f t="shared" si="162"/>
        <v>3.8112831907795304E-2</v>
      </c>
      <c r="E170" s="65">
        <f t="shared" si="162"/>
        <v>3.9877354131503825E-2</v>
      </c>
      <c r="F170" s="65">
        <f t="shared" si="162"/>
        <v>4.3164326470616514E-2</v>
      </c>
      <c r="G170" s="65">
        <f t="shared" si="162"/>
        <v>4.6924278612746548E-2</v>
      </c>
      <c r="H170" s="65">
        <f t="shared" si="162"/>
        <v>4.8856120760043094E-2</v>
      </c>
      <c r="I170" s="65">
        <f t="shared" si="162"/>
        <v>5.1196706122314264E-2</v>
      </c>
      <c r="J170" s="65">
        <f t="shared" si="162"/>
        <v>5.3226363124209822E-2</v>
      </c>
      <c r="K170" s="65">
        <f t="shared" si="162"/>
        <v>5.58037010700876E-2</v>
      </c>
      <c r="L170" s="65">
        <f t="shared" si="162"/>
        <v>6.0407924004693407E-2</v>
      </c>
      <c r="M170" s="65">
        <f t="shared" si="162"/>
        <v>6.5704180095787615E-2</v>
      </c>
      <c r="N170" s="65">
        <f t="shared" si="162"/>
        <v>7.549770073401918E-2</v>
      </c>
      <c r="O170" s="65">
        <f t="shared" si="162"/>
        <v>9.1091722839016634E-2</v>
      </c>
      <c r="P170" s="65">
        <f t="shared" si="162"/>
        <v>0.1207182932842828</v>
      </c>
      <c r="Q170" s="65">
        <f t="shared" si="162"/>
        <v>0.16634741424513072</v>
      </c>
      <c r="R170" s="65">
        <f t="shared" si="162"/>
        <v>0.20293311042237225</v>
      </c>
      <c r="S170" s="65">
        <f t="shared" si="162"/>
        <v>0.24272656413678639</v>
      </c>
      <c r="T170" s="65">
        <f t="shared" si="162"/>
        <v>0.27291014376643563</v>
      </c>
      <c r="U170" s="65">
        <f t="shared" si="162"/>
        <v>0.29760312236651554</v>
      </c>
      <c r="V170" s="65">
        <f t="shared" si="162"/>
        <v>0.29575869196646914</v>
      </c>
      <c r="W170" s="65">
        <f t="shared" si="162"/>
        <v>0.29998895870316478</v>
      </c>
      <c r="DA170" s="109"/>
    </row>
    <row r="171" spans="1:105" ht="12" customHeight="1" x14ac:dyDescent="0.25">
      <c r="A171" s="61" t="s">
        <v>35</v>
      </c>
      <c r="B171" s="65">
        <f t="shared" ref="B171" si="163">IF(B117=0,0,B117/B$23)</f>
        <v>37.40517755515959</v>
      </c>
      <c r="C171" s="65">
        <f t="shared" ref="C171:W171" si="164">IF(C117=0,0,C117/C$23)</f>
        <v>36.225912990420376</v>
      </c>
      <c r="D171" s="65">
        <f t="shared" si="164"/>
        <v>36.797815578574685</v>
      </c>
      <c r="E171" s="65">
        <f t="shared" si="164"/>
        <v>40.283535694214976</v>
      </c>
      <c r="F171" s="65">
        <f t="shared" si="164"/>
        <v>40.083330319763228</v>
      </c>
      <c r="G171" s="65">
        <f t="shared" si="164"/>
        <v>41.038280223163092</v>
      </c>
      <c r="H171" s="65">
        <f t="shared" si="164"/>
        <v>39.673873563222806</v>
      </c>
      <c r="I171" s="65">
        <f t="shared" si="164"/>
        <v>37.201445759741716</v>
      </c>
      <c r="J171" s="65">
        <f t="shared" si="164"/>
        <v>36.690381787059088</v>
      </c>
      <c r="K171" s="65">
        <f t="shared" si="164"/>
        <v>36.751132745426254</v>
      </c>
      <c r="L171" s="65">
        <f t="shared" si="164"/>
        <v>36.285891923695409</v>
      </c>
      <c r="M171" s="65">
        <f t="shared" si="164"/>
        <v>31.078674766496313</v>
      </c>
      <c r="N171" s="65">
        <f t="shared" si="164"/>
        <v>31.066262103681929</v>
      </c>
      <c r="O171" s="65">
        <f t="shared" si="164"/>
        <v>30.378497370391873</v>
      </c>
      <c r="P171" s="65">
        <f t="shared" si="164"/>
        <v>28.471034770534114</v>
      </c>
      <c r="Q171" s="65">
        <f t="shared" si="164"/>
        <v>30.394032237912104</v>
      </c>
      <c r="R171" s="65">
        <f t="shared" si="164"/>
        <v>29.912299688883923</v>
      </c>
      <c r="S171" s="65">
        <f t="shared" si="164"/>
        <v>29.82412193460538</v>
      </c>
      <c r="T171" s="65">
        <f t="shared" si="164"/>
        <v>28.498709557335616</v>
      </c>
      <c r="U171" s="65">
        <f t="shared" si="164"/>
        <v>25.080030833954595</v>
      </c>
      <c r="V171" s="65">
        <f t="shared" si="164"/>
        <v>18.424404417910637</v>
      </c>
      <c r="W171" s="65">
        <f t="shared" si="164"/>
        <v>22.633230921739166</v>
      </c>
      <c r="DA171" s="109"/>
    </row>
    <row r="172" spans="1:105" ht="12" customHeight="1" x14ac:dyDescent="0.25">
      <c r="A172" s="66" t="s">
        <v>34</v>
      </c>
      <c r="B172" s="67">
        <f t="shared" ref="B172" si="165">IF(B118=0,0,B118/B$23)</f>
        <v>31.478775477751419</v>
      </c>
      <c r="C172" s="67">
        <f t="shared" ref="C172:W172" si="166">IF(C118=0,0,C118/C$23)</f>
        <v>31.144552820221204</v>
      </c>
      <c r="D172" s="67">
        <f t="shared" si="166"/>
        <v>31.302393480571673</v>
      </c>
      <c r="E172" s="67">
        <f t="shared" si="166"/>
        <v>34.167988306460316</v>
      </c>
      <c r="F172" s="67">
        <f t="shared" si="166"/>
        <v>35.657415879076169</v>
      </c>
      <c r="G172" s="67">
        <f t="shared" si="166"/>
        <v>39.190411374389335</v>
      </c>
      <c r="H172" s="67">
        <f t="shared" si="166"/>
        <v>39.08253071580549</v>
      </c>
      <c r="I172" s="67">
        <f t="shared" si="166"/>
        <v>38.981093781693808</v>
      </c>
      <c r="J172" s="67">
        <f t="shared" si="166"/>
        <v>38.836844492539477</v>
      </c>
      <c r="K172" s="67">
        <f t="shared" si="166"/>
        <v>40.230971744788071</v>
      </c>
      <c r="L172" s="67">
        <f t="shared" si="166"/>
        <v>43.102187121563716</v>
      </c>
      <c r="M172" s="67">
        <f t="shared" si="166"/>
        <v>41.131578049164951</v>
      </c>
      <c r="N172" s="67">
        <f t="shared" si="166"/>
        <v>39.661672309763006</v>
      </c>
      <c r="O172" s="67">
        <f t="shared" si="166"/>
        <v>40.023940727650775</v>
      </c>
      <c r="P172" s="67">
        <f t="shared" si="166"/>
        <v>35.233418548555221</v>
      </c>
      <c r="Q172" s="67">
        <f t="shared" si="166"/>
        <v>44.992091389274293</v>
      </c>
      <c r="R172" s="67">
        <f t="shared" si="166"/>
        <v>43.753007745469681</v>
      </c>
      <c r="S172" s="67">
        <f t="shared" si="166"/>
        <v>41.061729807895958</v>
      </c>
      <c r="T172" s="67">
        <f t="shared" si="166"/>
        <v>43.348291435051323</v>
      </c>
      <c r="U172" s="67">
        <f t="shared" si="166"/>
        <v>46.692608166694178</v>
      </c>
      <c r="V172" s="67">
        <f t="shared" si="166"/>
        <v>31.547801269490872</v>
      </c>
      <c r="W172" s="67">
        <f t="shared" si="166"/>
        <v>43.5668313384299</v>
      </c>
      <c r="DA172" s="110"/>
    </row>
    <row r="173" spans="1:105" ht="12" customHeight="1" x14ac:dyDescent="0.25">
      <c r="A173" s="78" t="s">
        <v>33</v>
      </c>
      <c r="B173" s="68">
        <f t="shared" ref="B173" si="167">IF(B119=0,0,B119/B$23)</f>
        <v>0</v>
      </c>
      <c r="C173" s="68">
        <f t="shared" ref="C173:W173" si="168">IF(C119=0,0,C119/C$23)</f>
        <v>0</v>
      </c>
      <c r="D173" s="68">
        <f t="shared" si="168"/>
        <v>0</v>
      </c>
      <c r="E173" s="68">
        <f t="shared" si="168"/>
        <v>0</v>
      </c>
      <c r="F173" s="68">
        <f t="shared" si="168"/>
        <v>0</v>
      </c>
      <c r="G173" s="68">
        <f t="shared" si="168"/>
        <v>0</v>
      </c>
      <c r="H173" s="68">
        <f t="shared" si="168"/>
        <v>0</v>
      </c>
      <c r="I173" s="68">
        <f t="shared" si="168"/>
        <v>0</v>
      </c>
      <c r="J173" s="68">
        <f t="shared" si="168"/>
        <v>0</v>
      </c>
      <c r="K173" s="68">
        <f t="shared" si="168"/>
        <v>0</v>
      </c>
      <c r="L173" s="68">
        <f t="shared" si="168"/>
        <v>0</v>
      </c>
      <c r="M173" s="68">
        <f t="shared" si="168"/>
        <v>0</v>
      </c>
      <c r="N173" s="68">
        <f t="shared" si="168"/>
        <v>0</v>
      </c>
      <c r="O173" s="68">
        <f t="shared" si="168"/>
        <v>0</v>
      </c>
      <c r="P173" s="68">
        <f t="shared" si="168"/>
        <v>0</v>
      </c>
      <c r="Q173" s="68">
        <f t="shared" si="168"/>
        <v>0</v>
      </c>
      <c r="R173" s="68">
        <f t="shared" si="168"/>
        <v>0</v>
      </c>
      <c r="S173" s="68">
        <f t="shared" si="168"/>
        <v>0</v>
      </c>
      <c r="T173" s="68">
        <f t="shared" si="168"/>
        <v>0</v>
      </c>
      <c r="U173" s="68">
        <f t="shared" si="168"/>
        <v>0</v>
      </c>
      <c r="V173" s="68">
        <f t="shared" si="168"/>
        <v>0</v>
      </c>
      <c r="W173" s="68">
        <f t="shared" si="16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W31 B33:W33 B37:W37 B48:W48 B67:W67 B82:W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>
        <f t="shared" ref="B3:W3" si="0">B4</f>
        <v>119477.70052822623</v>
      </c>
      <c r="C3" s="125">
        <f t="shared" si="0"/>
        <v>122165.37917569031</v>
      </c>
      <c r="D3" s="125">
        <f t="shared" si="0"/>
        <v>125306.95082177987</v>
      </c>
      <c r="E3" s="125">
        <f t="shared" si="0"/>
        <v>128186.35788324018</v>
      </c>
      <c r="F3" s="125">
        <f t="shared" si="0"/>
        <v>130895.0859897795</v>
      </c>
      <c r="G3" s="125">
        <f t="shared" si="0"/>
        <v>133607.15082681712</v>
      </c>
      <c r="H3" s="125">
        <f t="shared" si="0"/>
        <v>136388.83603675751</v>
      </c>
      <c r="I3" s="125">
        <f t="shared" si="0"/>
        <v>140487.92674731012</v>
      </c>
      <c r="J3" s="125">
        <f t="shared" si="0"/>
        <v>142416.49997481002</v>
      </c>
      <c r="K3" s="125">
        <f t="shared" si="0"/>
        <v>145396.81705721351</v>
      </c>
      <c r="L3" s="125">
        <f t="shared" si="0"/>
        <v>148509.1663617453</v>
      </c>
      <c r="M3" s="125">
        <f t="shared" si="0"/>
        <v>149546.65041562554</v>
      </c>
      <c r="N3" s="125">
        <f t="shared" si="0"/>
        <v>150060.8919518888</v>
      </c>
      <c r="O3" s="125">
        <f t="shared" si="0"/>
        <v>150763.81319661444</v>
      </c>
      <c r="P3" s="125">
        <f t="shared" si="0"/>
        <v>151808.81898215195</v>
      </c>
      <c r="Q3" s="125">
        <f t="shared" si="0"/>
        <v>152896.6203460627</v>
      </c>
      <c r="R3" s="125">
        <f t="shared" si="0"/>
        <v>154235.5308712952</v>
      </c>
      <c r="S3" s="125">
        <f t="shared" si="0"/>
        <v>155717.70368522324</v>
      </c>
      <c r="T3" s="125">
        <f t="shared" si="0"/>
        <v>157038.30729118452</v>
      </c>
      <c r="U3" s="125">
        <f t="shared" si="0"/>
        <v>158393.01542561728</v>
      </c>
      <c r="V3" s="125">
        <f t="shared" si="0"/>
        <v>159721.1044444445</v>
      </c>
      <c r="W3" s="125">
        <f t="shared" si="0"/>
        <v>161040.51769853642</v>
      </c>
      <c r="DA3" s="169" t="s">
        <v>244</v>
      </c>
    </row>
    <row r="4" spans="1:105" ht="12.95" customHeight="1" x14ac:dyDescent="0.25">
      <c r="A4" s="130" t="s">
        <v>32</v>
      </c>
      <c r="B4" s="140">
        <f t="shared" ref="B4:Q4" si="1">SUM(B5:B14)</f>
        <v>119477.70052822623</v>
      </c>
      <c r="C4" s="140">
        <f t="shared" si="1"/>
        <v>122165.37917569031</v>
      </c>
      <c r="D4" s="140">
        <f t="shared" si="1"/>
        <v>125306.95082177987</v>
      </c>
      <c r="E4" s="140">
        <f t="shared" si="1"/>
        <v>128186.35788324018</v>
      </c>
      <c r="F4" s="140">
        <f t="shared" si="1"/>
        <v>130895.0859897795</v>
      </c>
      <c r="G4" s="140">
        <f t="shared" si="1"/>
        <v>133607.15082681712</v>
      </c>
      <c r="H4" s="140">
        <f t="shared" si="1"/>
        <v>136388.83603675751</v>
      </c>
      <c r="I4" s="140">
        <f t="shared" si="1"/>
        <v>140487.92674731012</v>
      </c>
      <c r="J4" s="140">
        <f t="shared" si="1"/>
        <v>142416.49997481002</v>
      </c>
      <c r="K4" s="140">
        <f t="shared" si="1"/>
        <v>145396.81705721351</v>
      </c>
      <c r="L4" s="140">
        <f t="shared" si="1"/>
        <v>148509.1663617453</v>
      </c>
      <c r="M4" s="140">
        <f t="shared" si="1"/>
        <v>149546.65041562554</v>
      </c>
      <c r="N4" s="140">
        <f t="shared" si="1"/>
        <v>150060.8919518888</v>
      </c>
      <c r="O4" s="140">
        <f t="shared" si="1"/>
        <v>150763.81319661444</v>
      </c>
      <c r="P4" s="140">
        <f t="shared" si="1"/>
        <v>151808.81898215195</v>
      </c>
      <c r="Q4" s="140">
        <f t="shared" si="1"/>
        <v>152896.6203460627</v>
      </c>
      <c r="R4" s="140">
        <f t="shared" ref="R4:W4" si="2">SUM(R5:R14)</f>
        <v>154235.5308712952</v>
      </c>
      <c r="S4" s="140">
        <f t="shared" si="2"/>
        <v>155717.70368522324</v>
      </c>
      <c r="T4" s="140">
        <f t="shared" si="2"/>
        <v>157038.30729118452</v>
      </c>
      <c r="U4" s="140">
        <f t="shared" si="2"/>
        <v>158393.01542561728</v>
      </c>
      <c r="V4" s="140">
        <f t="shared" si="2"/>
        <v>159721.1044444445</v>
      </c>
      <c r="W4" s="140">
        <f t="shared" si="2"/>
        <v>161040.51769853642</v>
      </c>
      <c r="DA4" s="170" t="s">
        <v>245</v>
      </c>
    </row>
    <row r="5" spans="1:105" ht="12" customHeight="1" x14ac:dyDescent="0.25">
      <c r="A5" s="132" t="s">
        <v>29</v>
      </c>
      <c r="B5" s="141">
        <v>0</v>
      </c>
      <c r="C5" s="141">
        <v>0</v>
      </c>
      <c r="D5" s="141">
        <v>0</v>
      </c>
      <c r="E5" s="141">
        <v>0</v>
      </c>
      <c r="F5" s="141">
        <v>0</v>
      </c>
      <c r="G5" s="141">
        <v>0</v>
      </c>
      <c r="H5" s="141">
        <v>0</v>
      </c>
      <c r="I5" s="141">
        <v>0</v>
      </c>
      <c r="J5" s="141">
        <v>0</v>
      </c>
      <c r="K5" s="141">
        <v>0</v>
      </c>
      <c r="L5" s="141">
        <v>0</v>
      </c>
      <c r="M5" s="141">
        <v>0</v>
      </c>
      <c r="N5" s="141">
        <v>0</v>
      </c>
      <c r="O5" s="141">
        <v>0</v>
      </c>
      <c r="P5" s="141">
        <v>0</v>
      </c>
      <c r="Q5" s="141">
        <v>0</v>
      </c>
      <c r="R5" s="141">
        <v>0</v>
      </c>
      <c r="S5" s="141">
        <v>0</v>
      </c>
      <c r="T5" s="141">
        <v>0</v>
      </c>
      <c r="U5" s="141">
        <v>0</v>
      </c>
      <c r="V5" s="141">
        <v>0</v>
      </c>
      <c r="W5" s="141">
        <v>0</v>
      </c>
      <c r="DA5" s="171" t="s">
        <v>246</v>
      </c>
    </row>
    <row r="6" spans="1:105" ht="12" customHeight="1" x14ac:dyDescent="0.25">
      <c r="A6" s="132" t="s">
        <v>52</v>
      </c>
      <c r="B6" s="141">
        <v>0</v>
      </c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247</v>
      </c>
    </row>
    <row r="7" spans="1:105" ht="12" customHeight="1" x14ac:dyDescent="0.25">
      <c r="A7" s="132" t="s">
        <v>168</v>
      </c>
      <c r="B7" s="141">
        <v>8199.972525918638</v>
      </c>
      <c r="C7" s="141">
        <v>7715.705630863813</v>
      </c>
      <c r="D7" s="141">
        <v>7432.8045676539577</v>
      </c>
      <c r="E7" s="141">
        <v>7260.7474759739625</v>
      </c>
      <c r="F7" s="141">
        <v>7130.5797114569568</v>
      </c>
      <c r="G7" s="141">
        <v>6645.3610205258628</v>
      </c>
      <c r="H7" s="141">
        <v>6018.8856598079392</v>
      </c>
      <c r="I7" s="141">
        <v>5578.4883992926307</v>
      </c>
      <c r="J7" s="141">
        <v>5389.3225683678193</v>
      </c>
      <c r="K7" s="141">
        <v>5203.9615411806963</v>
      </c>
      <c r="L7" s="141">
        <v>5040.8987620286962</v>
      </c>
      <c r="M7" s="141">
        <v>5025.5963241249792</v>
      </c>
      <c r="N7" s="141">
        <v>5376.0578193378778</v>
      </c>
      <c r="O7" s="141">
        <v>5543.328355166148</v>
      </c>
      <c r="P7" s="141">
        <v>5660.1167636887158</v>
      </c>
      <c r="Q7" s="141">
        <v>5528.1956140643651</v>
      </c>
      <c r="R7" s="141">
        <v>5420.7367996539651</v>
      </c>
      <c r="S7" s="141">
        <v>5029.6483369972311</v>
      </c>
      <c r="T7" s="141">
        <v>4740.3608214016895</v>
      </c>
      <c r="U7" s="141">
        <v>3724.880500200919</v>
      </c>
      <c r="V7" s="141">
        <v>3059.5652891690947</v>
      </c>
      <c r="W7" s="141">
        <v>2670.5456261570948</v>
      </c>
      <c r="DA7" s="171" t="s">
        <v>248</v>
      </c>
    </row>
    <row r="8" spans="1:105" ht="12" customHeight="1" x14ac:dyDescent="0.25">
      <c r="A8" s="132" t="s">
        <v>73</v>
      </c>
      <c r="B8" s="141">
        <v>35.108235910382156</v>
      </c>
      <c r="C8" s="141">
        <v>33.924216043497879</v>
      </c>
      <c r="D8" s="141">
        <v>36.498609318048821</v>
      </c>
      <c r="E8" s="141">
        <v>39.830924986544602</v>
      </c>
      <c r="F8" s="141">
        <v>41.418654977318972</v>
      </c>
      <c r="G8" s="141">
        <v>49.50191000086042</v>
      </c>
      <c r="H8" s="141">
        <v>63.47245353243067</v>
      </c>
      <c r="I8" s="141">
        <v>98.640884835349667</v>
      </c>
      <c r="J8" s="141">
        <v>120.10052828918622</v>
      </c>
      <c r="K8" s="141">
        <v>140.59815245994497</v>
      </c>
      <c r="L8" s="141">
        <v>153.4450406808387</v>
      </c>
      <c r="M8" s="141">
        <v>179.00423733439342</v>
      </c>
      <c r="N8" s="141">
        <v>216.31650034704728</v>
      </c>
      <c r="O8" s="141">
        <v>273.19827331067432</v>
      </c>
      <c r="P8" s="141">
        <v>355.42717054136131</v>
      </c>
      <c r="Q8" s="141">
        <v>424.68448141698525</v>
      </c>
      <c r="R8" s="141">
        <v>482.43545854222168</v>
      </c>
      <c r="S8" s="141">
        <v>537.48948725700768</v>
      </c>
      <c r="T8" s="141">
        <v>632.78679664635854</v>
      </c>
      <c r="U8" s="141">
        <v>746.85155279469279</v>
      </c>
      <c r="V8" s="141">
        <v>890.51144067253222</v>
      </c>
      <c r="W8" s="141">
        <v>953.06304296682902</v>
      </c>
      <c r="DA8" s="171" t="s">
        <v>249</v>
      </c>
    </row>
    <row r="9" spans="1:105" ht="12" customHeight="1" x14ac:dyDescent="0.25">
      <c r="A9" s="132" t="s">
        <v>78</v>
      </c>
      <c r="B9" s="141">
        <v>11257.928442349517</v>
      </c>
      <c r="C9" s="141">
        <v>11568.282288055738</v>
      </c>
      <c r="D9" s="141">
        <v>13030.078287221197</v>
      </c>
      <c r="E9" s="141">
        <v>14719.122995182723</v>
      </c>
      <c r="F9" s="141">
        <v>16270.858995880528</v>
      </c>
      <c r="G9" s="141">
        <v>17772.213380323508</v>
      </c>
      <c r="H9" s="141">
        <v>19035.035256778247</v>
      </c>
      <c r="I9" s="141">
        <v>19537.235068519203</v>
      </c>
      <c r="J9" s="141">
        <v>19714.709871676794</v>
      </c>
      <c r="K9" s="141">
        <v>19493.97787397747</v>
      </c>
      <c r="L9" s="141">
        <v>18798.199034548823</v>
      </c>
      <c r="M9" s="141">
        <v>18436.292344270787</v>
      </c>
      <c r="N9" s="141">
        <v>18810.059370224702</v>
      </c>
      <c r="O9" s="141">
        <v>19537.296789475189</v>
      </c>
      <c r="P9" s="141">
        <v>19339.20940342189</v>
      </c>
      <c r="Q9" s="141">
        <v>20919.949342089163</v>
      </c>
      <c r="R9" s="141">
        <v>21643.794313893501</v>
      </c>
      <c r="S9" s="141">
        <v>22514.893328767077</v>
      </c>
      <c r="T9" s="141">
        <v>23290.721925664504</v>
      </c>
      <c r="U9" s="141">
        <v>26265.830944601727</v>
      </c>
      <c r="V9" s="141">
        <v>29301.809661019463</v>
      </c>
      <c r="W9" s="141">
        <v>30231.313691285173</v>
      </c>
      <c r="DA9" s="171" t="s">
        <v>250</v>
      </c>
    </row>
    <row r="10" spans="1:105" ht="12" customHeight="1" x14ac:dyDescent="0.25">
      <c r="A10" s="132" t="s">
        <v>128</v>
      </c>
      <c r="B10" s="141">
        <v>3257.583641894003</v>
      </c>
      <c r="C10" s="141">
        <v>3269.889329734352</v>
      </c>
      <c r="D10" s="141">
        <v>3655.0409454055084</v>
      </c>
      <c r="E10" s="141">
        <v>3785.6657059109043</v>
      </c>
      <c r="F10" s="141">
        <v>3823.4861614891247</v>
      </c>
      <c r="G10" s="141">
        <v>3913.016965336602</v>
      </c>
      <c r="H10" s="141">
        <v>3945.8352339292123</v>
      </c>
      <c r="I10" s="141">
        <v>3696.3415112562429</v>
      </c>
      <c r="J10" s="141">
        <v>3300.8483441568055</v>
      </c>
      <c r="K10" s="141">
        <v>2956.9461678248394</v>
      </c>
      <c r="L10" s="141">
        <v>2810.9274719066516</v>
      </c>
      <c r="M10" s="141">
        <v>2989.4818975108124</v>
      </c>
      <c r="N10" s="141">
        <v>3210.4793142658709</v>
      </c>
      <c r="O10" s="141">
        <v>3526.8636268140563</v>
      </c>
      <c r="P10" s="141">
        <v>3980.4994381235147</v>
      </c>
      <c r="Q10" s="141">
        <v>4058.8285766929512</v>
      </c>
      <c r="R10" s="141">
        <v>4464.0666430017191</v>
      </c>
      <c r="S10" s="141">
        <v>4859.8693835031327</v>
      </c>
      <c r="T10" s="141">
        <v>5096.8090574823082</v>
      </c>
      <c r="U10" s="141">
        <v>5020.5373369291583</v>
      </c>
      <c r="V10" s="141">
        <v>4901.3152699276861</v>
      </c>
      <c r="W10" s="141">
        <v>4546.8956567699461</v>
      </c>
      <c r="DA10" s="171" t="s">
        <v>251</v>
      </c>
    </row>
    <row r="11" spans="1:105" ht="12" customHeight="1" x14ac:dyDescent="0.25">
      <c r="A11" s="132" t="s">
        <v>25</v>
      </c>
      <c r="B11" s="141">
        <v>0</v>
      </c>
      <c r="C11" s="141">
        <v>0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0</v>
      </c>
      <c r="J11" s="141">
        <v>0</v>
      </c>
      <c r="K11" s="141">
        <v>0</v>
      </c>
      <c r="L11" s="141">
        <v>0</v>
      </c>
      <c r="M11" s="141">
        <v>0</v>
      </c>
      <c r="N11" s="141">
        <v>0</v>
      </c>
      <c r="O11" s="141">
        <v>0</v>
      </c>
      <c r="P11" s="141">
        <v>0</v>
      </c>
      <c r="Q11" s="141">
        <v>0</v>
      </c>
      <c r="R11" s="141">
        <v>0</v>
      </c>
      <c r="S11" s="141">
        <v>0</v>
      </c>
      <c r="T11" s="141">
        <v>0</v>
      </c>
      <c r="U11" s="141">
        <v>0</v>
      </c>
      <c r="V11" s="141">
        <v>0</v>
      </c>
      <c r="W11" s="141">
        <v>0</v>
      </c>
      <c r="DA11" s="171" t="s">
        <v>252</v>
      </c>
    </row>
    <row r="12" spans="1:105" ht="12" customHeight="1" x14ac:dyDescent="0.25">
      <c r="A12" s="132" t="s">
        <v>169</v>
      </c>
      <c r="B12" s="141">
        <v>70317.933013452377</v>
      </c>
      <c r="C12" s="141">
        <v>73380.79285620428</v>
      </c>
      <c r="D12" s="141">
        <v>75962.297012737065</v>
      </c>
      <c r="E12" s="141">
        <v>78189.292914442776</v>
      </c>
      <c r="F12" s="141">
        <v>79633.680311084245</v>
      </c>
      <c r="G12" s="141">
        <v>80769.54418597836</v>
      </c>
      <c r="H12" s="141">
        <v>81777.018300763171</v>
      </c>
      <c r="I12" s="141">
        <v>84913.105548981941</v>
      </c>
      <c r="J12" s="141">
        <v>87506.298529324718</v>
      </c>
      <c r="K12" s="141">
        <v>92472.556866045154</v>
      </c>
      <c r="L12" s="141">
        <v>98039.326605431008</v>
      </c>
      <c r="M12" s="141">
        <v>100720.6832240175</v>
      </c>
      <c r="N12" s="141">
        <v>102397.05245460675</v>
      </c>
      <c r="O12" s="141">
        <v>104200.3431298935</v>
      </c>
      <c r="P12" s="141">
        <v>106202.55200199498</v>
      </c>
      <c r="Q12" s="141">
        <v>107321.03970963141</v>
      </c>
      <c r="R12" s="141">
        <v>108054.17512649899</v>
      </c>
      <c r="S12" s="141">
        <v>109253.70790162891</v>
      </c>
      <c r="T12" s="141">
        <v>110678.60349567827</v>
      </c>
      <c r="U12" s="141">
        <v>111072.65165090744</v>
      </c>
      <c r="V12" s="141">
        <v>111289.72752452461</v>
      </c>
      <c r="W12" s="141">
        <v>111374.97325265993</v>
      </c>
      <c r="DA12" s="171" t="s">
        <v>253</v>
      </c>
    </row>
    <row r="13" spans="1:105" ht="12" customHeight="1" x14ac:dyDescent="0.25">
      <c r="A13" s="132" t="s">
        <v>77</v>
      </c>
      <c r="B13" s="141">
        <v>843.19011775644287</v>
      </c>
      <c r="C13" s="141">
        <v>825.200476978339</v>
      </c>
      <c r="D13" s="141">
        <v>802.83747363424459</v>
      </c>
      <c r="E13" s="141">
        <v>771.71210862488738</v>
      </c>
      <c r="F13" s="141">
        <v>741.44263888331307</v>
      </c>
      <c r="G13" s="141">
        <v>898.16050473510006</v>
      </c>
      <c r="H13" s="141">
        <v>1271.1444971498452</v>
      </c>
      <c r="I13" s="141">
        <v>2080.2015288482075</v>
      </c>
      <c r="J13" s="141">
        <v>2543.9479909380643</v>
      </c>
      <c r="K13" s="141">
        <v>2890.3192330667948</v>
      </c>
      <c r="L13" s="141">
        <v>3029.2529630320187</v>
      </c>
      <c r="M13" s="141">
        <v>3314.146166172256</v>
      </c>
      <c r="N13" s="141">
        <v>3556.3426560178518</v>
      </c>
      <c r="O13" s="141">
        <v>3846.7764716979846</v>
      </c>
      <c r="P13" s="141">
        <v>4185.4375334954238</v>
      </c>
      <c r="Q13" s="141">
        <v>4418.8546284203094</v>
      </c>
      <c r="R13" s="141">
        <v>4671.0847183978667</v>
      </c>
      <c r="S13" s="141">
        <v>4952.6151164085313</v>
      </c>
      <c r="T13" s="141">
        <v>5548.0890222923836</v>
      </c>
      <c r="U13" s="141">
        <v>6211.1743832551692</v>
      </c>
      <c r="V13" s="141">
        <v>6924.6690331969894</v>
      </c>
      <c r="W13" s="141">
        <v>7534.8955626454872</v>
      </c>
      <c r="DA13" s="171" t="s">
        <v>254</v>
      </c>
    </row>
    <row r="14" spans="1:105" ht="12" customHeight="1" x14ac:dyDescent="0.25">
      <c r="A14" s="60" t="s">
        <v>76</v>
      </c>
      <c r="B14" s="142">
        <v>25565.984550944861</v>
      </c>
      <c r="C14" s="142">
        <v>25371.58437781029</v>
      </c>
      <c r="D14" s="142">
        <v>24387.393925809847</v>
      </c>
      <c r="E14" s="142">
        <v>23419.985758118393</v>
      </c>
      <c r="F14" s="142">
        <v>23253.619516008028</v>
      </c>
      <c r="G14" s="142">
        <v>23559.352859916824</v>
      </c>
      <c r="H14" s="142">
        <v>24277.444634796644</v>
      </c>
      <c r="I14" s="142">
        <v>24583.913805576547</v>
      </c>
      <c r="J14" s="142">
        <v>23841.272142056634</v>
      </c>
      <c r="K14" s="142">
        <v>22238.457222658624</v>
      </c>
      <c r="L14" s="142">
        <v>20637.116484117258</v>
      </c>
      <c r="M14" s="142">
        <v>18881.446222194812</v>
      </c>
      <c r="N14" s="142">
        <v>16494.583837088707</v>
      </c>
      <c r="O14" s="142">
        <v>13836.006550256889</v>
      </c>
      <c r="P14" s="142">
        <v>12085.576670886079</v>
      </c>
      <c r="Q14" s="142">
        <v>10225.067993747498</v>
      </c>
      <c r="R14" s="142">
        <v>9499.2378113069226</v>
      </c>
      <c r="S14" s="142">
        <v>8569.4801306613699</v>
      </c>
      <c r="T14" s="142">
        <v>7050.9361720190118</v>
      </c>
      <c r="U14" s="142">
        <v>5351.0890569281664</v>
      </c>
      <c r="V14" s="142">
        <v>3353.5062259341303</v>
      </c>
      <c r="W14" s="142">
        <v>3728.8308660519615</v>
      </c>
      <c r="DA14" s="172" t="s">
        <v>255</v>
      </c>
    </row>
    <row r="15" spans="1:105" ht="12" hidden="1" customHeight="1" x14ac:dyDescent="0.25">
      <c r="A15" s="143" t="s">
        <v>75</v>
      </c>
      <c r="B15" s="144">
        <f t="shared" ref="B15:Q15" si="3">SUM(B5:B12)</f>
        <v>93068.525859524918</v>
      </c>
      <c r="C15" s="144">
        <f t="shared" si="3"/>
        <v>95968.594320901684</v>
      </c>
      <c r="D15" s="144">
        <f t="shared" si="3"/>
        <v>100116.71942233578</v>
      </c>
      <c r="E15" s="144">
        <f t="shared" si="3"/>
        <v>103994.66001649691</v>
      </c>
      <c r="F15" s="144">
        <f t="shared" si="3"/>
        <v>106900.02383488817</v>
      </c>
      <c r="G15" s="144">
        <f t="shared" si="3"/>
        <v>109149.63746216519</v>
      </c>
      <c r="H15" s="144">
        <f t="shared" si="3"/>
        <v>110840.24690481101</v>
      </c>
      <c r="I15" s="144">
        <f t="shared" si="3"/>
        <v>113823.81141288536</v>
      </c>
      <c r="J15" s="144">
        <f t="shared" si="3"/>
        <v>116031.27984181533</v>
      </c>
      <c r="K15" s="144">
        <f t="shared" si="3"/>
        <v>120268.0406014881</v>
      </c>
      <c r="L15" s="144">
        <f t="shared" si="3"/>
        <v>124842.79691459602</v>
      </c>
      <c r="M15" s="144">
        <f t="shared" si="3"/>
        <v>127351.05802725846</v>
      </c>
      <c r="N15" s="144">
        <f t="shared" si="3"/>
        <v>130009.96545878224</v>
      </c>
      <c r="O15" s="144">
        <f t="shared" si="3"/>
        <v>133081.03017465957</v>
      </c>
      <c r="P15" s="144">
        <f t="shared" si="3"/>
        <v>135537.80477777045</v>
      </c>
      <c r="Q15" s="144">
        <f t="shared" si="3"/>
        <v>138252.69772389487</v>
      </c>
      <c r="R15" s="144">
        <f t="shared" ref="R15:W15" si="4">SUM(R5:R12)</f>
        <v>140065.20834159039</v>
      </c>
      <c r="S15" s="144">
        <f t="shared" si="4"/>
        <v>142195.60843815334</v>
      </c>
      <c r="T15" s="144">
        <f t="shared" si="4"/>
        <v>144439.28209687312</v>
      </c>
      <c r="U15" s="144">
        <f t="shared" si="4"/>
        <v>146830.75198543395</v>
      </c>
      <c r="V15" s="144">
        <f t="shared" si="4"/>
        <v>149442.92918531338</v>
      </c>
      <c r="W15" s="144">
        <f t="shared" si="4"/>
        <v>149776.79126983898</v>
      </c>
      <c r="DA15" s="173"/>
    </row>
    <row r="16" spans="1:105" ht="12.95" customHeight="1" x14ac:dyDescent="0.25">
      <c r="A16" s="130" t="s">
        <v>74</v>
      </c>
      <c r="B16" s="140">
        <f t="shared" ref="B16:Q16" si="5">SUM(B17:B18)</f>
        <v>23463.976668703381</v>
      </c>
      <c r="C16" s="140">
        <f t="shared" si="5"/>
        <v>24261.683458412761</v>
      </c>
      <c r="D16" s="140">
        <f t="shared" si="5"/>
        <v>25699.443075138017</v>
      </c>
      <c r="E16" s="140">
        <f t="shared" si="5"/>
        <v>26467.66590105357</v>
      </c>
      <c r="F16" s="140">
        <f t="shared" si="5"/>
        <v>27593.961233532267</v>
      </c>
      <c r="G16" s="140">
        <f t="shared" si="5"/>
        <v>28970.476547425384</v>
      </c>
      <c r="H16" s="140">
        <f t="shared" si="5"/>
        <v>30729.463390315032</v>
      </c>
      <c r="I16" s="140">
        <f t="shared" si="5"/>
        <v>33171.988507234506</v>
      </c>
      <c r="J16" s="140">
        <f t="shared" si="5"/>
        <v>34821.604327040768</v>
      </c>
      <c r="K16" s="140">
        <f t="shared" si="5"/>
        <v>36370.275279429115</v>
      </c>
      <c r="L16" s="140">
        <f t="shared" si="5"/>
        <v>37924.791448859818</v>
      </c>
      <c r="M16" s="140">
        <f t="shared" si="5"/>
        <v>38950.94562802634</v>
      </c>
      <c r="N16" s="140">
        <f t="shared" si="5"/>
        <v>39958.997807430962</v>
      </c>
      <c r="O16" s="140">
        <f t="shared" si="5"/>
        <v>41381.711309755265</v>
      </c>
      <c r="P16" s="140">
        <f t="shared" si="5"/>
        <v>42953.311964397923</v>
      </c>
      <c r="Q16" s="140">
        <f t="shared" si="5"/>
        <v>43954.929801139908</v>
      </c>
      <c r="R16" s="140">
        <f t="shared" ref="R16:W16" si="6">SUM(R17:R18)</f>
        <v>44891.539687121112</v>
      </c>
      <c r="S16" s="140">
        <f t="shared" si="6"/>
        <v>46246.38863902344</v>
      </c>
      <c r="T16" s="140">
        <f t="shared" si="6"/>
        <v>47823.666145055278</v>
      </c>
      <c r="U16" s="140">
        <f t="shared" si="6"/>
        <v>49418.060364043544</v>
      </c>
      <c r="V16" s="140">
        <f t="shared" si="6"/>
        <v>47796.527777804236</v>
      </c>
      <c r="W16" s="140">
        <f t="shared" si="6"/>
        <v>49299.990074888134</v>
      </c>
      <c r="DA16" s="170" t="s">
        <v>256</v>
      </c>
    </row>
    <row r="17" spans="1:105" ht="12.95" customHeight="1" x14ac:dyDescent="0.25">
      <c r="A17" s="132" t="s">
        <v>73</v>
      </c>
      <c r="B17" s="141">
        <v>20.887667367526642</v>
      </c>
      <c r="C17" s="141">
        <v>22.220076611863494</v>
      </c>
      <c r="D17" s="141">
        <v>24.681454190092271</v>
      </c>
      <c r="E17" s="141">
        <v>25.527530414395081</v>
      </c>
      <c r="F17" s="141">
        <v>28.266431694598879</v>
      </c>
      <c r="G17" s="141">
        <v>31.573716071590034</v>
      </c>
      <c r="H17" s="141">
        <v>34.016787053460995</v>
      </c>
      <c r="I17" s="141">
        <v>36.306821681786651</v>
      </c>
      <c r="J17" s="141">
        <v>38.55405239253988</v>
      </c>
      <c r="K17" s="141">
        <v>39.7652273792282</v>
      </c>
      <c r="L17" s="141">
        <v>42.756539389578215</v>
      </c>
      <c r="M17" s="141">
        <v>46.955329314917343</v>
      </c>
      <c r="N17" s="141">
        <v>54.025007906869604</v>
      </c>
      <c r="O17" s="141">
        <v>66.938734005521781</v>
      </c>
      <c r="P17" s="141">
        <v>89.034727483979722</v>
      </c>
      <c r="Q17" s="141">
        <v>124.59834555640001</v>
      </c>
      <c r="R17" s="141">
        <v>159.26073176614193</v>
      </c>
      <c r="S17" s="141">
        <v>192.90217017922515</v>
      </c>
      <c r="T17" s="141">
        <v>214.78104058734129</v>
      </c>
      <c r="U17" s="141">
        <v>249.10871847819496</v>
      </c>
      <c r="V17" s="141">
        <v>349.26428637555182</v>
      </c>
      <c r="W17" s="141">
        <v>366.47573410455135</v>
      </c>
      <c r="DA17" s="171" t="s">
        <v>257</v>
      </c>
    </row>
    <row r="18" spans="1:105" ht="12" customHeight="1" x14ac:dyDescent="0.25">
      <c r="A18" s="132" t="s">
        <v>72</v>
      </c>
      <c r="B18" s="141">
        <v>23443.089001335855</v>
      </c>
      <c r="C18" s="141">
        <v>24239.463381800899</v>
      </c>
      <c r="D18" s="141">
        <v>25674.761620947924</v>
      </c>
      <c r="E18" s="141">
        <v>26442.138370639175</v>
      </c>
      <c r="F18" s="141">
        <v>27565.694801837668</v>
      </c>
      <c r="G18" s="141">
        <v>28938.902831353793</v>
      </c>
      <c r="H18" s="141">
        <v>30695.446603261571</v>
      </c>
      <c r="I18" s="141">
        <v>33135.681685552721</v>
      </c>
      <c r="J18" s="141">
        <v>34783.050274648231</v>
      </c>
      <c r="K18" s="141">
        <v>36330.510052049889</v>
      </c>
      <c r="L18" s="141">
        <v>37882.03490947024</v>
      </c>
      <c r="M18" s="141">
        <v>38903.990298711426</v>
      </c>
      <c r="N18" s="141">
        <v>39904.97279952409</v>
      </c>
      <c r="O18" s="141">
        <v>41314.772575749746</v>
      </c>
      <c r="P18" s="141">
        <v>42864.277236913942</v>
      </c>
      <c r="Q18" s="141">
        <v>43830.33145558351</v>
      </c>
      <c r="R18" s="141">
        <v>44732.278955354974</v>
      </c>
      <c r="S18" s="141">
        <v>46053.486468844218</v>
      </c>
      <c r="T18" s="141">
        <v>47608.88510446794</v>
      </c>
      <c r="U18" s="141">
        <v>49168.95164556535</v>
      </c>
      <c r="V18" s="141">
        <v>47447.263491428683</v>
      </c>
      <c r="W18" s="141">
        <v>48933.514340783586</v>
      </c>
      <c r="DA18" s="171" t="s">
        <v>258</v>
      </c>
    </row>
    <row r="19" spans="1:105" ht="12.95" customHeight="1" x14ac:dyDescent="0.25">
      <c r="A19" s="130" t="s">
        <v>35</v>
      </c>
      <c r="B19" s="140">
        <f t="shared" ref="B19:Q19" si="7">SUM(B20:B26)</f>
        <v>119477.70052822621</v>
      </c>
      <c r="C19" s="140">
        <f t="shared" si="7"/>
        <v>122165.37917569032</v>
      </c>
      <c r="D19" s="140">
        <f t="shared" si="7"/>
        <v>125306.95082177986</v>
      </c>
      <c r="E19" s="140">
        <f t="shared" si="7"/>
        <v>128186.35788324013</v>
      </c>
      <c r="F19" s="140">
        <f t="shared" si="7"/>
        <v>130895.08598977953</v>
      </c>
      <c r="G19" s="140">
        <f t="shared" si="7"/>
        <v>133607.15082681715</v>
      </c>
      <c r="H19" s="140">
        <f t="shared" si="7"/>
        <v>136388.83603675751</v>
      </c>
      <c r="I19" s="140">
        <f t="shared" si="7"/>
        <v>140487.92674731006</v>
      </c>
      <c r="J19" s="140">
        <f t="shared" si="7"/>
        <v>142416.49997480999</v>
      </c>
      <c r="K19" s="140">
        <f t="shared" si="7"/>
        <v>145396.81705721351</v>
      </c>
      <c r="L19" s="140">
        <f t="shared" si="7"/>
        <v>148509.16636174533</v>
      </c>
      <c r="M19" s="140">
        <f t="shared" si="7"/>
        <v>149546.65041562566</v>
      </c>
      <c r="N19" s="140">
        <f t="shared" si="7"/>
        <v>150060.8919518888</v>
      </c>
      <c r="O19" s="140">
        <f t="shared" si="7"/>
        <v>150763.81319661444</v>
      </c>
      <c r="P19" s="140">
        <f t="shared" si="7"/>
        <v>151808.81898215198</v>
      </c>
      <c r="Q19" s="140">
        <f t="shared" si="7"/>
        <v>152896.62034606264</v>
      </c>
      <c r="R19" s="140">
        <f t="shared" ref="R19:W19" si="8">SUM(R20:R26)</f>
        <v>154235.53087129525</v>
      </c>
      <c r="S19" s="140">
        <f t="shared" si="8"/>
        <v>155717.70368522327</v>
      </c>
      <c r="T19" s="140">
        <f t="shared" si="8"/>
        <v>157038.30729118449</v>
      </c>
      <c r="U19" s="140">
        <f t="shared" si="8"/>
        <v>158393.01542561728</v>
      </c>
      <c r="V19" s="140">
        <f t="shared" si="8"/>
        <v>159721.10444444447</v>
      </c>
      <c r="W19" s="140">
        <f t="shared" si="8"/>
        <v>161040.51769853645</v>
      </c>
      <c r="DA19" s="170" t="s">
        <v>259</v>
      </c>
    </row>
    <row r="20" spans="1:105" ht="12" customHeight="1" x14ac:dyDescent="0.25">
      <c r="A20" s="132" t="s">
        <v>29</v>
      </c>
      <c r="B20" s="141">
        <v>0</v>
      </c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260</v>
      </c>
    </row>
    <row r="21" spans="1:105" s="2" customFormat="1" ht="12" customHeight="1" x14ac:dyDescent="0.25">
      <c r="A21" s="132" t="s">
        <v>52</v>
      </c>
      <c r="B21" s="141">
        <v>0</v>
      </c>
      <c r="C21" s="141">
        <v>0</v>
      </c>
      <c r="D21" s="141">
        <v>0</v>
      </c>
      <c r="E21" s="141">
        <v>0</v>
      </c>
      <c r="F21" s="141">
        <v>0</v>
      </c>
      <c r="G21" s="141">
        <v>0</v>
      </c>
      <c r="H21" s="141">
        <v>0</v>
      </c>
      <c r="I21" s="141">
        <v>0</v>
      </c>
      <c r="J21" s="141">
        <v>0</v>
      </c>
      <c r="K21" s="141">
        <v>0</v>
      </c>
      <c r="L21" s="141">
        <v>0</v>
      </c>
      <c r="M21" s="141">
        <v>0</v>
      </c>
      <c r="N21" s="141">
        <v>0</v>
      </c>
      <c r="O21" s="141">
        <v>0</v>
      </c>
      <c r="P21" s="141">
        <v>0</v>
      </c>
      <c r="Q21" s="141">
        <v>0</v>
      </c>
      <c r="R21" s="141">
        <v>0</v>
      </c>
      <c r="S21" s="141">
        <v>0</v>
      </c>
      <c r="T21" s="141">
        <v>0</v>
      </c>
      <c r="U21" s="141">
        <v>0</v>
      </c>
      <c r="V21" s="141">
        <v>0</v>
      </c>
      <c r="W21" s="141">
        <v>0</v>
      </c>
      <c r="DA21" s="171" t="s">
        <v>261</v>
      </c>
    </row>
    <row r="22" spans="1:105" ht="12" customHeight="1" x14ac:dyDescent="0.25">
      <c r="A22" s="132" t="s">
        <v>168</v>
      </c>
      <c r="B22" s="141">
        <v>8602.6156373313679</v>
      </c>
      <c r="C22" s="141">
        <v>8478.604741344232</v>
      </c>
      <c r="D22" s="141">
        <v>8387.178891219146</v>
      </c>
      <c r="E22" s="141">
        <v>8290.8557625829762</v>
      </c>
      <c r="F22" s="141">
        <v>8080.2273091094212</v>
      </c>
      <c r="G22" s="141">
        <v>7642.8379234905997</v>
      </c>
      <c r="H22" s="141">
        <v>6980.4015541717963</v>
      </c>
      <c r="I22" s="141">
        <v>6401.025933138616</v>
      </c>
      <c r="J22" s="141">
        <v>6072.9439357764422</v>
      </c>
      <c r="K22" s="141">
        <v>5808.8888654338461</v>
      </c>
      <c r="L22" s="141">
        <v>5503.2600971556012</v>
      </c>
      <c r="M22" s="141">
        <v>5123.2744065799425</v>
      </c>
      <c r="N22" s="141">
        <v>4914.8316337339511</v>
      </c>
      <c r="O22" s="141">
        <v>4789.768156375424</v>
      </c>
      <c r="P22" s="141">
        <v>4674.7912841491107</v>
      </c>
      <c r="Q22" s="141">
        <v>4486.1423965912345</v>
      </c>
      <c r="R22" s="141">
        <v>4271.0952027892718</v>
      </c>
      <c r="S22" s="141">
        <v>3779.1459241493644</v>
      </c>
      <c r="T22" s="141">
        <v>3272.554996245975</v>
      </c>
      <c r="U22" s="141">
        <v>2417.1257941704016</v>
      </c>
      <c r="V22" s="141">
        <v>1920.793555128005</v>
      </c>
      <c r="W22" s="141">
        <v>1723.959927815793</v>
      </c>
      <c r="DA22" s="171" t="s">
        <v>262</v>
      </c>
    </row>
    <row r="23" spans="1:105" ht="12" customHeight="1" x14ac:dyDescent="0.25">
      <c r="A23" s="132" t="s">
        <v>153</v>
      </c>
      <c r="B23" s="141">
        <v>9735.4776764104699</v>
      </c>
      <c r="C23" s="141">
        <v>10058.097988909314</v>
      </c>
      <c r="D23" s="141">
        <v>11346.141243088108</v>
      </c>
      <c r="E23" s="141">
        <v>12892.354918140238</v>
      </c>
      <c r="F23" s="141">
        <v>14292.264973202593</v>
      </c>
      <c r="G23" s="141">
        <v>15788.694150225369</v>
      </c>
      <c r="H23" s="141">
        <v>16994.036629040394</v>
      </c>
      <c r="I23" s="141">
        <v>17735.677219710644</v>
      </c>
      <c r="J23" s="141">
        <v>18202.448400169011</v>
      </c>
      <c r="K23" s="141">
        <v>18182.10224605268</v>
      </c>
      <c r="L23" s="141">
        <v>17782.242856156467</v>
      </c>
      <c r="M23" s="141">
        <v>16596.416220369665</v>
      </c>
      <c r="N23" s="141">
        <v>15785.017365986219</v>
      </c>
      <c r="O23" s="141">
        <v>15400.202080758736</v>
      </c>
      <c r="P23" s="141">
        <v>15380.15460057265</v>
      </c>
      <c r="Q23" s="141">
        <v>16413.522323015655</v>
      </c>
      <c r="R23" s="141">
        <v>17375.015294974313</v>
      </c>
      <c r="S23" s="141">
        <v>18482.273400489314</v>
      </c>
      <c r="T23" s="141">
        <v>18658.681078938629</v>
      </c>
      <c r="U23" s="141">
        <v>18935.299841397664</v>
      </c>
      <c r="V23" s="141">
        <v>19004.039258521589</v>
      </c>
      <c r="W23" s="141">
        <v>18920.173864609002</v>
      </c>
      <c r="DA23" s="171" t="s">
        <v>263</v>
      </c>
    </row>
    <row r="24" spans="1:105" ht="12" customHeight="1" x14ac:dyDescent="0.25">
      <c r="A24" s="132" t="s">
        <v>128</v>
      </c>
      <c r="B24" s="141">
        <v>1902.1006937510281</v>
      </c>
      <c r="C24" s="141">
        <v>2013.8673346151368</v>
      </c>
      <c r="D24" s="141">
        <v>2101.3505752433293</v>
      </c>
      <c r="E24" s="141">
        <v>2184.0183891447182</v>
      </c>
      <c r="F24" s="141">
        <v>2257.2342727693831</v>
      </c>
      <c r="G24" s="141">
        <v>2345.92952676715</v>
      </c>
      <c r="H24" s="141">
        <v>2434.0081331700844</v>
      </c>
      <c r="I24" s="141">
        <v>2531.3553757074583</v>
      </c>
      <c r="J24" s="141">
        <v>2628.3468503669415</v>
      </c>
      <c r="K24" s="141">
        <v>2733.9373805604951</v>
      </c>
      <c r="L24" s="141">
        <v>2840.5195149885676</v>
      </c>
      <c r="M24" s="141">
        <v>2935.7254792106642</v>
      </c>
      <c r="N24" s="141">
        <v>3003.2361172497599</v>
      </c>
      <c r="O24" s="141">
        <v>3034.9318531814856</v>
      </c>
      <c r="P24" s="141">
        <v>3086.4850688508559</v>
      </c>
      <c r="Q24" s="141">
        <v>3218.9825342509434</v>
      </c>
      <c r="R24" s="141">
        <v>3515.1050726971225</v>
      </c>
      <c r="S24" s="141">
        <v>3674.8294616577559</v>
      </c>
      <c r="T24" s="141">
        <v>3804.1222713720404</v>
      </c>
      <c r="U24" s="141">
        <v>3832.5466715709117</v>
      </c>
      <c r="V24" s="141">
        <v>3828.4240200683171</v>
      </c>
      <c r="W24" s="141">
        <v>3831.9787542204149</v>
      </c>
      <c r="DA24" s="171" t="s">
        <v>264</v>
      </c>
    </row>
    <row r="25" spans="1:105" ht="12" customHeight="1" x14ac:dyDescent="0.25">
      <c r="A25" s="132" t="s">
        <v>169</v>
      </c>
      <c r="B25" s="141">
        <v>58276.151955737972</v>
      </c>
      <c r="C25" s="141">
        <v>61133.268058066198</v>
      </c>
      <c r="D25" s="141">
        <v>63185.226364279544</v>
      </c>
      <c r="E25" s="141">
        <v>64932.564932825248</v>
      </c>
      <c r="F25" s="141">
        <v>65984.549716414142</v>
      </c>
      <c r="G25" s="141">
        <v>66916.09138471901</v>
      </c>
      <c r="H25" s="141">
        <v>67831.852413549743</v>
      </c>
      <c r="I25" s="141">
        <v>71007.262640330431</v>
      </c>
      <c r="J25" s="141">
        <v>73448.681664256306</v>
      </c>
      <c r="K25" s="141">
        <v>78141.053931553528</v>
      </c>
      <c r="L25" s="141">
        <v>83252.607864362348</v>
      </c>
      <c r="M25" s="141">
        <v>85232.895784331762</v>
      </c>
      <c r="N25" s="141">
        <v>85898.612087422254</v>
      </c>
      <c r="O25" s="141">
        <v>86828.863092206811</v>
      </c>
      <c r="P25" s="141">
        <v>88395.028201118097</v>
      </c>
      <c r="Q25" s="141">
        <v>89518.44435517797</v>
      </c>
      <c r="R25" s="141">
        <v>90779.098739213703</v>
      </c>
      <c r="S25" s="141">
        <v>92307.239975969496</v>
      </c>
      <c r="T25" s="141">
        <v>95582.161801764727</v>
      </c>
      <c r="U25" s="141">
        <v>98207.576424796949</v>
      </c>
      <c r="V25" s="141">
        <v>102182.26934956494</v>
      </c>
      <c r="W25" s="141">
        <v>102797.05590539204</v>
      </c>
      <c r="DA25" s="171" t="s">
        <v>265</v>
      </c>
    </row>
    <row r="26" spans="1:105" ht="12" customHeight="1" x14ac:dyDescent="0.25">
      <c r="A26" s="132" t="s">
        <v>24</v>
      </c>
      <c r="B26" s="142">
        <v>40961.354564995374</v>
      </c>
      <c r="C26" s="142">
        <v>40481.541052755441</v>
      </c>
      <c r="D26" s="142">
        <v>40287.053747949729</v>
      </c>
      <c r="E26" s="142">
        <v>39886.56388054695</v>
      </c>
      <c r="F26" s="142">
        <v>40280.809718283999</v>
      </c>
      <c r="G26" s="142">
        <v>40913.597841615025</v>
      </c>
      <c r="H26" s="142">
        <v>42148.537306825478</v>
      </c>
      <c r="I26" s="142">
        <v>42812.605578422917</v>
      </c>
      <c r="J26" s="142">
        <v>42064.079124241296</v>
      </c>
      <c r="K26" s="142">
        <v>40530.834633612969</v>
      </c>
      <c r="L26" s="142">
        <v>39130.536029082337</v>
      </c>
      <c r="M26" s="142">
        <v>39658.338525133608</v>
      </c>
      <c r="N26" s="142">
        <v>40459.194747496629</v>
      </c>
      <c r="O26" s="142">
        <v>40710.048014091997</v>
      </c>
      <c r="P26" s="142">
        <v>40272.359827461252</v>
      </c>
      <c r="Q26" s="142">
        <v>39259.528737026856</v>
      </c>
      <c r="R26" s="142">
        <v>38295.216561620859</v>
      </c>
      <c r="S26" s="142">
        <v>37474.214922957341</v>
      </c>
      <c r="T26" s="142">
        <v>35720.787142863104</v>
      </c>
      <c r="U26" s="142">
        <v>35000.466693681359</v>
      </c>
      <c r="V26" s="142">
        <v>32785.578261161601</v>
      </c>
      <c r="W26" s="142">
        <v>33767.349246499201</v>
      </c>
      <c r="DA26" s="172" t="s">
        <v>266</v>
      </c>
    </row>
    <row r="27" spans="1:105" ht="12" customHeight="1" x14ac:dyDescent="0.25">
      <c r="A27" s="145" t="s">
        <v>26</v>
      </c>
      <c r="B27" s="151">
        <v>3150.4305467410836</v>
      </c>
      <c r="C27" s="151">
        <v>3163.5105890167511</v>
      </c>
      <c r="D27" s="151">
        <v>3301.8111005927267</v>
      </c>
      <c r="E27" s="151">
        <v>3334.6289647018975</v>
      </c>
      <c r="F27" s="151">
        <v>3471.6348117484299</v>
      </c>
      <c r="G27" s="151">
        <v>3752.9613655570834</v>
      </c>
      <c r="H27" s="151">
        <v>3967.4059606151868</v>
      </c>
      <c r="I27" s="151">
        <v>4248.6862790103078</v>
      </c>
      <c r="J27" s="151">
        <v>4338.0712200103362</v>
      </c>
      <c r="K27" s="151">
        <v>4225.3288082169311</v>
      </c>
      <c r="L27" s="151">
        <v>5180.3472152843142</v>
      </c>
      <c r="M27" s="151">
        <v>5326.8373868679828</v>
      </c>
      <c r="N27" s="151">
        <v>5251.7628093341564</v>
      </c>
      <c r="O27" s="151">
        <v>5744.8295071872908</v>
      </c>
      <c r="P27" s="151">
        <v>5490.918621578332</v>
      </c>
      <c r="Q27" s="151">
        <v>5765.5957096678876</v>
      </c>
      <c r="R27" s="151">
        <v>5829.2533728906983</v>
      </c>
      <c r="S27" s="151">
        <v>5549.7682166157447</v>
      </c>
      <c r="T27" s="151">
        <v>5692.1816921136133</v>
      </c>
      <c r="U27" s="151">
        <v>5953.739832089429</v>
      </c>
      <c r="V27" s="151">
        <v>6801.5480458510929</v>
      </c>
      <c r="W27" s="151">
        <v>6222.3196326217676</v>
      </c>
      <c r="DA27" s="174" t="s">
        <v>267</v>
      </c>
    </row>
    <row r="28" spans="1:105" ht="12" hidden="1" customHeight="1" x14ac:dyDescent="0.25">
      <c r="A28" s="78" t="s">
        <v>26</v>
      </c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DA28" s="176"/>
    </row>
    <row r="29" spans="1:105" ht="12.95" customHeight="1" x14ac:dyDescent="0.25">
      <c r="A29" s="130" t="s">
        <v>34</v>
      </c>
      <c r="B29" s="140">
        <f t="shared" ref="B29:Q29" si="9">SUM(B30:B33)</f>
        <v>119477.70052822621</v>
      </c>
      <c r="C29" s="140">
        <f t="shared" si="9"/>
        <v>122165.37917569032</v>
      </c>
      <c r="D29" s="140">
        <f t="shared" si="9"/>
        <v>125306.95082177987</v>
      </c>
      <c r="E29" s="140">
        <f t="shared" si="9"/>
        <v>128186.35788324018</v>
      </c>
      <c r="F29" s="140">
        <f t="shared" si="9"/>
        <v>130895.0859897795</v>
      </c>
      <c r="G29" s="140">
        <f t="shared" si="9"/>
        <v>133607.15082681715</v>
      </c>
      <c r="H29" s="140">
        <f t="shared" si="9"/>
        <v>136388.83603675748</v>
      </c>
      <c r="I29" s="140">
        <f t="shared" si="9"/>
        <v>140487.92674731009</v>
      </c>
      <c r="J29" s="140">
        <f t="shared" si="9"/>
        <v>142416.49997481011</v>
      </c>
      <c r="K29" s="140">
        <f t="shared" si="9"/>
        <v>145396.81705721354</v>
      </c>
      <c r="L29" s="140">
        <f t="shared" si="9"/>
        <v>148509.16636174533</v>
      </c>
      <c r="M29" s="140">
        <f t="shared" si="9"/>
        <v>149546.6504156256</v>
      </c>
      <c r="N29" s="140">
        <f t="shared" si="9"/>
        <v>150060.89195188886</v>
      </c>
      <c r="O29" s="140">
        <f t="shared" si="9"/>
        <v>150763.81319661441</v>
      </c>
      <c r="P29" s="140">
        <f t="shared" si="9"/>
        <v>151808.81898215201</v>
      </c>
      <c r="Q29" s="140">
        <f t="shared" si="9"/>
        <v>152896.62034606267</v>
      </c>
      <c r="R29" s="140">
        <f t="shared" ref="R29:W29" si="10">SUM(R30:R33)</f>
        <v>154235.53087129511</v>
      </c>
      <c r="S29" s="140">
        <f t="shared" si="10"/>
        <v>155717.7036852233</v>
      </c>
      <c r="T29" s="140">
        <f t="shared" si="10"/>
        <v>157038.30729118449</v>
      </c>
      <c r="U29" s="140">
        <f t="shared" si="10"/>
        <v>158393.01542561734</v>
      </c>
      <c r="V29" s="140">
        <f t="shared" si="10"/>
        <v>159721.10444444447</v>
      </c>
      <c r="W29" s="140">
        <f t="shared" si="10"/>
        <v>161040.51769853654</v>
      </c>
      <c r="DA29" s="170" t="s">
        <v>268</v>
      </c>
    </row>
    <row r="30" spans="1:105" ht="12" customHeight="1" x14ac:dyDescent="0.25">
      <c r="A30" s="132" t="s">
        <v>52</v>
      </c>
      <c r="B30" s="141">
        <v>2644.9947765038219</v>
      </c>
      <c r="C30" s="141">
        <v>2639.3758412757834</v>
      </c>
      <c r="D30" s="141">
        <v>2958.6391710678263</v>
      </c>
      <c r="E30" s="141">
        <v>3530.9449097174788</v>
      </c>
      <c r="F30" s="141">
        <v>4189.0677260190096</v>
      </c>
      <c r="G30" s="141">
        <v>4779.50038346374</v>
      </c>
      <c r="H30" s="141">
        <v>5021.1982701851903</v>
      </c>
      <c r="I30" s="141">
        <v>5116.0388575227516</v>
      </c>
      <c r="J30" s="141">
        <v>5284.4927447598111</v>
      </c>
      <c r="K30" s="141">
        <v>5541.2859816986002</v>
      </c>
      <c r="L30" s="141">
        <v>5948.9826890963495</v>
      </c>
      <c r="M30" s="141">
        <v>5809.9768060508331</v>
      </c>
      <c r="N30" s="141">
        <v>5330.8278811287346</v>
      </c>
      <c r="O30" s="141">
        <v>5227.9432798979051</v>
      </c>
      <c r="P30" s="141">
        <v>5541.7463818135502</v>
      </c>
      <c r="Q30" s="141">
        <v>6084.3664786071031</v>
      </c>
      <c r="R30" s="141">
        <v>6664.3572063439206</v>
      </c>
      <c r="S30" s="141">
        <v>7088.0798899681722</v>
      </c>
      <c r="T30" s="141">
        <v>7137.2844694389087</v>
      </c>
      <c r="U30" s="141">
        <v>7067.2599496069924</v>
      </c>
      <c r="V30" s="141">
        <v>6882.6321902003883</v>
      </c>
      <c r="W30" s="141">
        <v>6857.2818182539813</v>
      </c>
      <c r="DA30" s="171" t="s">
        <v>269</v>
      </c>
    </row>
    <row r="31" spans="1:105" ht="12" customHeight="1" x14ac:dyDescent="0.25">
      <c r="A31" s="132" t="s">
        <v>153</v>
      </c>
      <c r="B31" s="141">
        <v>20404.264663709513</v>
      </c>
      <c r="C31" s="141">
        <v>20539.003654285178</v>
      </c>
      <c r="D31" s="141">
        <v>20807.915280013251</v>
      </c>
      <c r="E31" s="141">
        <v>21245.578730845089</v>
      </c>
      <c r="F31" s="141">
        <v>21881.597133538624</v>
      </c>
      <c r="G31" s="141">
        <v>22982.710736902809</v>
      </c>
      <c r="H31" s="141">
        <v>23760.52612899473</v>
      </c>
      <c r="I31" s="141">
        <v>24429.481902904543</v>
      </c>
      <c r="J31" s="141">
        <v>24822.774102593663</v>
      </c>
      <c r="K31" s="141">
        <v>25148.333229672851</v>
      </c>
      <c r="L31" s="141">
        <v>25125.678072303574</v>
      </c>
      <c r="M31" s="141">
        <v>24708.877817997956</v>
      </c>
      <c r="N31" s="141">
        <v>24110.553219429301</v>
      </c>
      <c r="O31" s="141">
        <v>23878.324421890924</v>
      </c>
      <c r="P31" s="141">
        <v>23964.07022454662</v>
      </c>
      <c r="Q31" s="141">
        <v>24664.845204312434</v>
      </c>
      <c r="R31" s="141">
        <v>24771.797724474054</v>
      </c>
      <c r="S31" s="141">
        <v>24983.441050839112</v>
      </c>
      <c r="T31" s="141">
        <v>25214.728903849445</v>
      </c>
      <c r="U31" s="141">
        <v>25993.850293415402</v>
      </c>
      <c r="V31" s="141">
        <v>26039.152502991194</v>
      </c>
      <c r="W31" s="141">
        <v>26377.010160835478</v>
      </c>
      <c r="DA31" s="171" t="s">
        <v>270</v>
      </c>
    </row>
    <row r="32" spans="1:105" ht="12" customHeight="1" x14ac:dyDescent="0.25">
      <c r="A32" s="132" t="s">
        <v>128</v>
      </c>
      <c r="B32" s="141">
        <v>0</v>
      </c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271</v>
      </c>
    </row>
    <row r="33" spans="1:105" ht="12" customHeight="1" x14ac:dyDescent="0.25">
      <c r="A33" s="62" t="s">
        <v>24</v>
      </c>
      <c r="B33" s="153">
        <v>96428.441088012871</v>
      </c>
      <c r="C33" s="153">
        <v>98986.99968012936</v>
      </c>
      <c r="D33" s="153">
        <v>101540.3963706988</v>
      </c>
      <c r="E33" s="153">
        <v>103409.83424267761</v>
      </c>
      <c r="F33" s="153">
        <v>104824.42113022188</v>
      </c>
      <c r="G33" s="153">
        <v>105844.9397064506</v>
      </c>
      <c r="H33" s="153">
        <v>107607.11163757756</v>
      </c>
      <c r="I33" s="153">
        <v>110942.4059868828</v>
      </c>
      <c r="J33" s="153">
        <v>112309.23312745662</v>
      </c>
      <c r="K33" s="153">
        <v>114707.19784584209</v>
      </c>
      <c r="L33" s="153">
        <v>117434.50560034541</v>
      </c>
      <c r="M33" s="153">
        <v>119027.79579157682</v>
      </c>
      <c r="N33" s="153">
        <v>120619.51085133084</v>
      </c>
      <c r="O33" s="153">
        <v>121657.54549482558</v>
      </c>
      <c r="P33" s="153">
        <v>122303.00237579184</v>
      </c>
      <c r="Q33" s="153">
        <v>122147.40866314314</v>
      </c>
      <c r="R33" s="153">
        <v>122799.37594047714</v>
      </c>
      <c r="S33" s="153">
        <v>123646.18274441602</v>
      </c>
      <c r="T33" s="153">
        <v>124686.29391789614</v>
      </c>
      <c r="U33" s="153">
        <v>125331.90518259494</v>
      </c>
      <c r="V33" s="153">
        <v>126799.31975125289</v>
      </c>
      <c r="W33" s="153">
        <v>127806.22571944707</v>
      </c>
      <c r="DA33" s="176" t="s">
        <v>272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W15 B19:W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>
        <f t="shared" ref="B3:Q3" si="0">SUM(B4,B16,B19,B29)</f>
        <v>1411.7326716081684</v>
      </c>
      <c r="C3" s="126">
        <f t="shared" si="0"/>
        <v>1460.6402527644409</v>
      </c>
      <c r="D3" s="126">
        <f t="shared" si="0"/>
        <v>1468.4531728110026</v>
      </c>
      <c r="E3" s="126">
        <f t="shared" si="0"/>
        <v>1512.0925117219153</v>
      </c>
      <c r="F3" s="126">
        <f t="shared" si="0"/>
        <v>1512.280553918436</v>
      </c>
      <c r="G3" s="126">
        <f t="shared" si="0"/>
        <v>1499.2969728605665</v>
      </c>
      <c r="H3" s="126">
        <f t="shared" si="0"/>
        <v>1522.98709645383</v>
      </c>
      <c r="I3" s="126">
        <f t="shared" si="0"/>
        <v>1481.3300901179662</v>
      </c>
      <c r="J3" s="126">
        <f t="shared" si="0"/>
        <v>1480.8701013787042</v>
      </c>
      <c r="K3" s="126">
        <f t="shared" si="0"/>
        <v>1451.4542516703355</v>
      </c>
      <c r="L3" s="126">
        <f t="shared" si="0"/>
        <v>1574.1884788062775</v>
      </c>
      <c r="M3" s="126">
        <f t="shared" si="0"/>
        <v>1386.5751043509063</v>
      </c>
      <c r="N3" s="126">
        <f t="shared" si="0"/>
        <v>1412.3781410743672</v>
      </c>
      <c r="O3" s="126">
        <f t="shared" si="0"/>
        <v>1388.2873970854873</v>
      </c>
      <c r="P3" s="126">
        <f t="shared" si="0"/>
        <v>1258.6209617819161</v>
      </c>
      <c r="Q3" s="126">
        <f t="shared" si="0"/>
        <v>1328.6517978279564</v>
      </c>
      <c r="R3" s="126">
        <f t="shared" ref="R3:W3" si="1">SUM(R4,R16,R19,R29)</f>
        <v>1378.3294112992844</v>
      </c>
      <c r="S3" s="126">
        <f t="shared" si="1"/>
        <v>1404.9742551487714</v>
      </c>
      <c r="T3" s="126">
        <f t="shared" si="1"/>
        <v>1347.0290313792684</v>
      </c>
      <c r="U3" s="126">
        <f t="shared" si="1"/>
        <v>1290.382620034399</v>
      </c>
      <c r="V3" s="126">
        <f t="shared" si="1"/>
        <v>1224.0466318806759</v>
      </c>
      <c r="W3" s="126">
        <f t="shared" si="1"/>
        <v>1442.3250134140521</v>
      </c>
      <c r="DA3" s="155" t="s">
        <v>212</v>
      </c>
    </row>
    <row r="4" spans="1:105" ht="12.95" customHeight="1" x14ac:dyDescent="0.25">
      <c r="A4" s="130" t="s">
        <v>32</v>
      </c>
      <c r="B4" s="131">
        <f t="shared" ref="B4:Q4" si="2">SUM(B5:B15)</f>
        <v>1128.6053575584667</v>
      </c>
      <c r="C4" s="131">
        <f t="shared" si="2"/>
        <v>1174.0739735302527</v>
      </c>
      <c r="D4" s="131">
        <f t="shared" si="2"/>
        <v>1176.1620192236244</v>
      </c>
      <c r="E4" s="131">
        <f t="shared" si="2"/>
        <v>1212.4741637289637</v>
      </c>
      <c r="F4" s="131">
        <f t="shared" si="2"/>
        <v>1207.1064033420475</v>
      </c>
      <c r="G4" s="131">
        <f t="shared" si="2"/>
        <v>1189.1653997020817</v>
      </c>
      <c r="H4" s="131">
        <f t="shared" si="2"/>
        <v>1205.9449310747289</v>
      </c>
      <c r="I4" s="131">
        <f t="shared" si="2"/>
        <v>1159.4887518436353</v>
      </c>
      <c r="J4" s="131">
        <f t="shared" si="2"/>
        <v>1155.4779082146379</v>
      </c>
      <c r="K4" s="131">
        <f t="shared" si="2"/>
        <v>1121.5635811333266</v>
      </c>
      <c r="L4" s="131">
        <f t="shared" si="2"/>
        <v>1240.6016191095591</v>
      </c>
      <c r="M4" s="131">
        <f t="shared" si="2"/>
        <v>1049.5680187162839</v>
      </c>
      <c r="N4" s="131">
        <f t="shared" si="2"/>
        <v>1070.4190440766019</v>
      </c>
      <c r="O4" s="131">
        <f t="shared" si="2"/>
        <v>1044.5854635917051</v>
      </c>
      <c r="P4" s="131">
        <f t="shared" si="2"/>
        <v>913.69547238070481</v>
      </c>
      <c r="Q4" s="131">
        <f t="shared" si="2"/>
        <v>978.49814896028533</v>
      </c>
      <c r="R4" s="131">
        <f t="shared" ref="R4:W4" si="3">SUM(R5:R15)</f>
        <v>1024.1961916400371</v>
      </c>
      <c r="S4" s="131">
        <f t="shared" si="3"/>
        <v>1050.1637560060608</v>
      </c>
      <c r="T4" s="131">
        <f t="shared" si="3"/>
        <v>994.07126443070558</v>
      </c>
      <c r="U4" s="131">
        <f t="shared" si="3"/>
        <v>940.49618449745242</v>
      </c>
      <c r="V4" s="131">
        <f t="shared" si="3"/>
        <v>915.20572866461009</v>
      </c>
      <c r="W4" s="131">
        <f t="shared" si="3"/>
        <v>1109.0958996490212</v>
      </c>
      <c r="DA4" s="156" t="s">
        <v>213</v>
      </c>
    </row>
    <row r="5" spans="1:105" ht="12" customHeight="1" x14ac:dyDescent="0.25">
      <c r="A5" s="132" t="s">
        <v>29</v>
      </c>
      <c r="B5" s="133">
        <v>0</v>
      </c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274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275</v>
      </c>
    </row>
    <row r="7" spans="1:105" ht="12" customHeight="1" x14ac:dyDescent="0.25">
      <c r="A7" s="132" t="s">
        <v>168</v>
      </c>
      <c r="B7" s="133">
        <v>117.72411045819018</v>
      </c>
      <c r="C7" s="133">
        <v>108.22348780648537</v>
      </c>
      <c r="D7" s="133">
        <v>99.981856238810138</v>
      </c>
      <c r="E7" s="133">
        <v>99.511811914028044</v>
      </c>
      <c r="F7" s="133">
        <v>102.83402983840678</v>
      </c>
      <c r="G7" s="133">
        <v>89.537952994344835</v>
      </c>
      <c r="H7" s="133">
        <v>74.128285360098133</v>
      </c>
      <c r="I7" s="133">
        <v>64.87818469250827</v>
      </c>
      <c r="J7" s="133">
        <v>65.860605222043773</v>
      </c>
      <c r="K7" s="133">
        <v>60.608416424731743</v>
      </c>
      <c r="L7" s="133">
        <v>58.146429151843755</v>
      </c>
      <c r="M7" s="133">
        <v>44.945326368622275</v>
      </c>
      <c r="N7" s="133">
        <v>55.05046234831034</v>
      </c>
      <c r="O7" s="133">
        <v>50.140804737869203</v>
      </c>
      <c r="P7" s="133">
        <v>45.120597934251848</v>
      </c>
      <c r="Q7" s="133">
        <v>46.585953783872476</v>
      </c>
      <c r="R7" s="133">
        <v>46.731443381887942</v>
      </c>
      <c r="S7" s="133">
        <v>42.341081287346725</v>
      </c>
      <c r="T7" s="133">
        <v>46.92745267087875</v>
      </c>
      <c r="U7" s="133">
        <v>22.62025342674141</v>
      </c>
      <c r="V7" s="133">
        <v>26.921712036551469</v>
      </c>
      <c r="W7" s="133">
        <v>20.313996119606216</v>
      </c>
      <c r="DA7" s="157" t="s">
        <v>276</v>
      </c>
    </row>
    <row r="8" spans="1:105" ht="12" customHeight="1" x14ac:dyDescent="0.25">
      <c r="A8" s="132" t="s">
        <v>73</v>
      </c>
      <c r="B8" s="133">
        <v>0.23203660059508863</v>
      </c>
      <c r="C8" s="133">
        <v>0.21168442634694598</v>
      </c>
      <c r="D8" s="133">
        <v>0.21112231807175064</v>
      </c>
      <c r="E8" s="133">
        <v>0.24723571420641793</v>
      </c>
      <c r="F8" s="133">
        <v>0.24503885589901875</v>
      </c>
      <c r="G8" s="133">
        <v>0.22916942603544169</v>
      </c>
      <c r="H8" s="133">
        <v>0.16478844244608576</v>
      </c>
      <c r="I8" s="133">
        <v>0.4948863692140219</v>
      </c>
      <c r="J8" s="133">
        <v>0.48962226062853359</v>
      </c>
      <c r="K8" s="133">
        <v>0.52525523410418939</v>
      </c>
      <c r="L8" s="133">
        <v>0.53936241792242079</v>
      </c>
      <c r="M8" s="133">
        <v>0.57571212214079248</v>
      </c>
      <c r="N8" s="133">
        <v>0.6325957762157709</v>
      </c>
      <c r="O8" s="133">
        <v>0.68749492004589552</v>
      </c>
      <c r="P8" s="133">
        <v>0.91091475484303686</v>
      </c>
      <c r="Q8" s="133">
        <v>1.1271648460584944</v>
      </c>
      <c r="R8" s="133">
        <v>1.2424191578137165</v>
      </c>
      <c r="S8" s="133">
        <v>1.2820109686613237</v>
      </c>
      <c r="T8" s="133">
        <v>1.449394831045038</v>
      </c>
      <c r="U8" s="133">
        <v>1.6052592108563337</v>
      </c>
      <c r="V8" s="133">
        <v>1.9771322646551441</v>
      </c>
      <c r="W8" s="133">
        <v>2.4090667029968076</v>
      </c>
      <c r="DA8" s="157" t="s">
        <v>277</v>
      </c>
    </row>
    <row r="9" spans="1:105" ht="12" customHeight="1" x14ac:dyDescent="0.25">
      <c r="A9" s="132" t="s">
        <v>78</v>
      </c>
      <c r="B9" s="133">
        <v>141.49724526234897</v>
      </c>
      <c r="C9" s="133">
        <v>144.59377161813984</v>
      </c>
      <c r="D9" s="133">
        <v>151.86697995585345</v>
      </c>
      <c r="E9" s="133">
        <v>183.69310419955929</v>
      </c>
      <c r="F9" s="133">
        <v>184.7520542337424</v>
      </c>
      <c r="G9" s="133">
        <v>193.39323347428569</v>
      </c>
      <c r="H9" s="133">
        <v>216.53981883869429</v>
      </c>
      <c r="I9" s="133">
        <v>196.52691162084241</v>
      </c>
      <c r="J9" s="133">
        <v>194.05743454608589</v>
      </c>
      <c r="K9" s="133">
        <v>194.06315965856103</v>
      </c>
      <c r="L9" s="133">
        <v>191.80446981561482</v>
      </c>
      <c r="M9" s="133">
        <v>143.41866027146068</v>
      </c>
      <c r="N9" s="133">
        <v>165.07763944910934</v>
      </c>
      <c r="O9" s="133">
        <v>176.89609878210476</v>
      </c>
      <c r="P9" s="133">
        <v>118.90098200316817</v>
      </c>
      <c r="Q9" s="133">
        <v>161.9843626747288</v>
      </c>
      <c r="R9" s="133">
        <v>170.23692705874308</v>
      </c>
      <c r="S9" s="133">
        <v>187.315836855133</v>
      </c>
      <c r="T9" s="133">
        <v>141.51944315113528</v>
      </c>
      <c r="U9" s="133">
        <v>150.53732792738106</v>
      </c>
      <c r="V9" s="133">
        <v>166.66624926316214</v>
      </c>
      <c r="W9" s="133">
        <v>263.26437213930438</v>
      </c>
      <c r="DA9" s="157" t="s">
        <v>278</v>
      </c>
    </row>
    <row r="10" spans="1:105" ht="12" customHeight="1" x14ac:dyDescent="0.25">
      <c r="A10" s="132" t="s">
        <v>128</v>
      </c>
      <c r="B10" s="133">
        <v>49.168870163370592</v>
      </c>
      <c r="C10" s="133">
        <v>40.729754454350875</v>
      </c>
      <c r="D10" s="133">
        <v>54.199666127447856</v>
      </c>
      <c r="E10" s="133">
        <v>55.079236893353205</v>
      </c>
      <c r="F10" s="133">
        <v>46.221640059808834</v>
      </c>
      <c r="G10" s="133">
        <v>49.345826463910115</v>
      </c>
      <c r="H10" s="133">
        <v>53.796705072997874</v>
      </c>
      <c r="I10" s="133">
        <v>44.251508367573443</v>
      </c>
      <c r="J10" s="133">
        <v>38.180984579697011</v>
      </c>
      <c r="K10" s="133">
        <v>30.641777756763499</v>
      </c>
      <c r="L10" s="133">
        <v>29.44091801462579</v>
      </c>
      <c r="M10" s="133">
        <v>32.557160633880507</v>
      </c>
      <c r="N10" s="133">
        <v>30.034727483012379</v>
      </c>
      <c r="O10" s="133">
        <v>31.675834727810855</v>
      </c>
      <c r="P10" s="133">
        <v>39.883885782517083</v>
      </c>
      <c r="Q10" s="133">
        <v>33.067170301276192</v>
      </c>
      <c r="R10" s="133">
        <v>40.782365727233888</v>
      </c>
      <c r="S10" s="133">
        <v>46.797600781904578</v>
      </c>
      <c r="T10" s="133">
        <v>53.674746422922553</v>
      </c>
      <c r="U10" s="133">
        <v>47.257721582219396</v>
      </c>
      <c r="V10" s="133">
        <v>42.502568691737935</v>
      </c>
      <c r="W10" s="133">
        <v>45.023152666979733</v>
      </c>
      <c r="DA10" s="157" t="s">
        <v>279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280</v>
      </c>
    </row>
    <row r="12" spans="1:105" ht="12" customHeight="1" x14ac:dyDescent="0.25">
      <c r="A12" s="132" t="s">
        <v>169</v>
      </c>
      <c r="B12" s="133">
        <v>573.22555318576883</v>
      </c>
      <c r="C12" s="133">
        <v>626.86723123629645</v>
      </c>
      <c r="D12" s="133">
        <v>628.58351708408236</v>
      </c>
      <c r="E12" s="133">
        <v>653.31985855217943</v>
      </c>
      <c r="F12" s="133">
        <v>651.66827484653959</v>
      </c>
      <c r="G12" s="133">
        <v>641.93443988220076</v>
      </c>
      <c r="H12" s="133">
        <v>639.5306450461527</v>
      </c>
      <c r="I12" s="133">
        <v>625.02232685210674</v>
      </c>
      <c r="J12" s="133">
        <v>639.10912430062206</v>
      </c>
      <c r="K12" s="133">
        <v>653.00567911928954</v>
      </c>
      <c r="L12" s="133">
        <v>770.68408266054075</v>
      </c>
      <c r="M12" s="133">
        <v>667.24785895425441</v>
      </c>
      <c r="N12" s="133">
        <v>684.41694257156269</v>
      </c>
      <c r="O12" s="133">
        <v>681.16525158214711</v>
      </c>
      <c r="P12" s="133">
        <v>614.11705880123327</v>
      </c>
      <c r="Q12" s="133">
        <v>662.8786016379596</v>
      </c>
      <c r="R12" s="133">
        <v>683.83736205465675</v>
      </c>
      <c r="S12" s="133">
        <v>690.51281842133062</v>
      </c>
      <c r="T12" s="133">
        <v>684.84632935562433</v>
      </c>
      <c r="U12" s="133">
        <v>669.32703406345695</v>
      </c>
      <c r="V12" s="133">
        <v>650.10205875906354</v>
      </c>
      <c r="W12" s="133">
        <v>724.34332737372551</v>
      </c>
      <c r="DA12" s="157" t="s">
        <v>281</v>
      </c>
    </row>
    <row r="13" spans="1:105" ht="12" customHeight="1" x14ac:dyDescent="0.25">
      <c r="A13" s="132" t="s">
        <v>77</v>
      </c>
      <c r="B13" s="133">
        <v>4.0634038063638567</v>
      </c>
      <c r="C13" s="133">
        <v>3.9257204425731635</v>
      </c>
      <c r="D13" s="133">
        <v>3.7612056306348083</v>
      </c>
      <c r="E13" s="133">
        <v>3.5409799154055688</v>
      </c>
      <c r="F13" s="133">
        <v>3.3658848812713678</v>
      </c>
      <c r="G13" s="133">
        <v>2.7845971505590681</v>
      </c>
      <c r="H13" s="133">
        <v>2.3417632899311474</v>
      </c>
      <c r="I13" s="133">
        <v>7.8817605287326034</v>
      </c>
      <c r="J13" s="133">
        <v>7.7683541070543898</v>
      </c>
      <c r="K13" s="133">
        <v>7.8082171615176232</v>
      </c>
      <c r="L13" s="133">
        <v>7.9944835049989402</v>
      </c>
      <c r="M13" s="133">
        <v>8.0518524733737635</v>
      </c>
      <c r="N13" s="133">
        <v>8.1044441908818001</v>
      </c>
      <c r="O13" s="133">
        <v>8.0935661854116603</v>
      </c>
      <c r="P13" s="133">
        <v>8.0342785227958355</v>
      </c>
      <c r="Q13" s="133">
        <v>8.6319406497181692</v>
      </c>
      <c r="R13" s="133">
        <v>9.3114673181490666</v>
      </c>
      <c r="S13" s="133">
        <v>9.0974190618956037</v>
      </c>
      <c r="T13" s="133">
        <v>9.7854085416029317</v>
      </c>
      <c r="U13" s="133">
        <v>10.555216658377548</v>
      </c>
      <c r="V13" s="133">
        <v>11.4536128670797</v>
      </c>
      <c r="W13" s="133">
        <v>12.778260523705397</v>
      </c>
      <c r="DA13" s="157" t="s">
        <v>282</v>
      </c>
    </row>
    <row r="14" spans="1:105" ht="12" customHeight="1" x14ac:dyDescent="0.25">
      <c r="A14" s="60" t="s">
        <v>76</v>
      </c>
      <c r="B14" s="65">
        <v>237.68796293587428</v>
      </c>
      <c r="C14" s="65">
        <v>244.44672708519317</v>
      </c>
      <c r="D14" s="65">
        <v>232.43922601069212</v>
      </c>
      <c r="E14" s="65">
        <v>211.57745626587968</v>
      </c>
      <c r="F14" s="65">
        <v>212.58336876704385</v>
      </c>
      <c r="G14" s="65">
        <v>206.6037739433321</v>
      </c>
      <c r="H14" s="65">
        <v>213.99236747119275</v>
      </c>
      <c r="I14" s="65">
        <v>215.41941623135392</v>
      </c>
      <c r="J14" s="65">
        <v>205.00816759428943</v>
      </c>
      <c r="K14" s="65">
        <v>169.9477663846337</v>
      </c>
      <c r="L14" s="65">
        <v>176.67489710997461</v>
      </c>
      <c r="M14" s="65">
        <v>148.40478612916564</v>
      </c>
      <c r="N14" s="65">
        <v>122.32497742621752</v>
      </c>
      <c r="O14" s="65">
        <v>91.017467460910268</v>
      </c>
      <c r="P14" s="65">
        <v>82.685985685222761</v>
      </c>
      <c r="Q14" s="65">
        <v>59.557999492934194</v>
      </c>
      <c r="R14" s="65">
        <v>67.186097511191079</v>
      </c>
      <c r="S14" s="65">
        <v>67.719166889129781</v>
      </c>
      <c r="T14" s="65">
        <v>51.221581488921302</v>
      </c>
      <c r="U14" s="65">
        <v>34.124718187094103</v>
      </c>
      <c r="V14" s="65">
        <v>10.974530830140637</v>
      </c>
      <c r="W14" s="65">
        <v>34.831958378243769</v>
      </c>
      <c r="DA14" s="109" t="s">
        <v>283</v>
      </c>
    </row>
    <row r="15" spans="1:105" ht="12" customHeight="1" x14ac:dyDescent="0.25">
      <c r="A15" s="134" t="s">
        <v>80</v>
      </c>
      <c r="B15" s="135">
        <v>5.0061751459550834</v>
      </c>
      <c r="C15" s="135">
        <v>5.0755964608669117</v>
      </c>
      <c r="D15" s="135">
        <v>5.1184458580319436</v>
      </c>
      <c r="E15" s="135">
        <v>5.5044802743520833</v>
      </c>
      <c r="F15" s="135">
        <v>5.4361118593357975</v>
      </c>
      <c r="G15" s="135">
        <v>5.3364063674137894</v>
      </c>
      <c r="H15" s="135">
        <v>5.4505575532160639</v>
      </c>
      <c r="I15" s="135">
        <v>5.013757181303836</v>
      </c>
      <c r="J15" s="135">
        <v>5.0036156042168045</v>
      </c>
      <c r="K15" s="135">
        <v>4.9633093937252566</v>
      </c>
      <c r="L15" s="135">
        <v>5.3169764340380343</v>
      </c>
      <c r="M15" s="135">
        <v>4.3666617633858138</v>
      </c>
      <c r="N15" s="135">
        <v>4.7772548312918</v>
      </c>
      <c r="O15" s="135">
        <v>4.9089451954052681</v>
      </c>
      <c r="P15" s="135">
        <v>4.0417688966729068</v>
      </c>
      <c r="Q15" s="135">
        <v>4.6649555737373936</v>
      </c>
      <c r="R15" s="135">
        <v>4.8681094303616881</v>
      </c>
      <c r="S15" s="135">
        <v>5.0978217406592137</v>
      </c>
      <c r="T15" s="135">
        <v>4.6469079685754524</v>
      </c>
      <c r="U15" s="135">
        <v>4.4686534413256158</v>
      </c>
      <c r="V15" s="135">
        <v>4.6078639522193754</v>
      </c>
      <c r="W15" s="135">
        <v>6.1317657444595648</v>
      </c>
      <c r="DA15" s="158" t="s">
        <v>284</v>
      </c>
    </row>
    <row r="16" spans="1:105" ht="12.95" customHeight="1" x14ac:dyDescent="0.25">
      <c r="A16" s="130" t="s">
        <v>74</v>
      </c>
      <c r="B16" s="131">
        <f t="shared" ref="B16:Q16" si="4">SUM(B17:B18)</f>
        <v>22.733278859691765</v>
      </c>
      <c r="C16" s="131">
        <f t="shared" si="4"/>
        <v>22.524980063922733</v>
      </c>
      <c r="D16" s="131">
        <f t="shared" si="4"/>
        <v>22.67178742429013</v>
      </c>
      <c r="E16" s="131">
        <f t="shared" si="4"/>
        <v>22.257224505731791</v>
      </c>
      <c r="F16" s="131">
        <f t="shared" si="4"/>
        <v>21.98869072388845</v>
      </c>
      <c r="G16" s="131">
        <f t="shared" si="4"/>
        <v>21.769040457070133</v>
      </c>
      <c r="H16" s="131">
        <f t="shared" si="4"/>
        <v>21.657015567065883</v>
      </c>
      <c r="I16" s="131">
        <f t="shared" si="4"/>
        <v>21.787324253998623</v>
      </c>
      <c r="J16" s="131">
        <f t="shared" si="4"/>
        <v>21.2802964300433</v>
      </c>
      <c r="K16" s="131">
        <f t="shared" si="4"/>
        <v>21.880178920266371</v>
      </c>
      <c r="L16" s="131">
        <f t="shared" si="4"/>
        <v>22.395999392133632</v>
      </c>
      <c r="M16" s="131">
        <f t="shared" si="4"/>
        <v>22.197469848023708</v>
      </c>
      <c r="N16" s="131">
        <f t="shared" si="4"/>
        <v>22.053586106119269</v>
      </c>
      <c r="O16" s="131">
        <f t="shared" si="4"/>
        <v>22.054495416641956</v>
      </c>
      <c r="P16" s="131">
        <f t="shared" si="4"/>
        <v>22.141610995215853</v>
      </c>
      <c r="Q16" s="131">
        <f t="shared" si="4"/>
        <v>21.826634259675483</v>
      </c>
      <c r="R16" s="131">
        <f t="shared" ref="R16:W16" si="5">SUM(R17:R18)</f>
        <v>21.630992900157803</v>
      </c>
      <c r="S16" s="131">
        <f t="shared" si="5"/>
        <v>21.482300242326346</v>
      </c>
      <c r="T16" s="131">
        <f t="shared" si="5"/>
        <v>22.32482198133539</v>
      </c>
      <c r="U16" s="131">
        <f t="shared" si="5"/>
        <v>21.7702488364645</v>
      </c>
      <c r="V16" s="131">
        <f t="shared" si="5"/>
        <v>20.561499050173232</v>
      </c>
      <c r="W16" s="131">
        <f t="shared" si="5"/>
        <v>20.691985480840092</v>
      </c>
      <c r="DA16" s="156" t="s">
        <v>214</v>
      </c>
    </row>
    <row r="17" spans="1:105" ht="12.95" customHeight="1" x14ac:dyDescent="0.25">
      <c r="A17" s="132" t="s">
        <v>73</v>
      </c>
      <c r="B17" s="133">
        <v>3.1466115793930875E-2</v>
      </c>
      <c r="C17" s="133">
        <v>3.3145882241346847E-2</v>
      </c>
      <c r="D17" s="133">
        <v>3.6414837314988166E-2</v>
      </c>
      <c r="E17" s="133">
        <v>3.7354872569699937E-2</v>
      </c>
      <c r="F17" s="133">
        <v>4.0943289417994411E-2</v>
      </c>
      <c r="G17" s="133">
        <v>4.5302499678727008E-2</v>
      </c>
      <c r="H17" s="133">
        <v>4.8441787805917097E-2</v>
      </c>
      <c r="I17" s="133">
        <v>5.1326696456287083E-2</v>
      </c>
      <c r="J17" s="133">
        <v>5.4114097781098582E-2</v>
      </c>
      <c r="K17" s="133">
        <v>5.5800161566669233E-2</v>
      </c>
      <c r="L17" s="133">
        <v>6.0143560458761229E-2</v>
      </c>
      <c r="M17" s="133">
        <v>6.5562191155393953E-2</v>
      </c>
      <c r="N17" s="133">
        <v>7.5085501701609603E-2</v>
      </c>
      <c r="O17" s="133">
        <v>9.2109866039494476E-2</v>
      </c>
      <c r="P17" s="133">
        <v>0.12113314132204131</v>
      </c>
      <c r="Q17" s="133">
        <v>0.16613243188599669</v>
      </c>
      <c r="R17" s="133">
        <v>0.2105464893323537</v>
      </c>
      <c r="S17" s="133">
        <v>0.25148853489980738</v>
      </c>
      <c r="T17" s="133">
        <v>0.28733983011011599</v>
      </c>
      <c r="U17" s="133">
        <v>0.31754410922147658</v>
      </c>
      <c r="V17" s="133">
        <v>0.30803689876472601</v>
      </c>
      <c r="W17" s="133">
        <v>0.32585161040678429</v>
      </c>
      <c r="DA17" s="157" t="s">
        <v>285</v>
      </c>
    </row>
    <row r="18" spans="1:105" ht="12" customHeight="1" x14ac:dyDescent="0.25">
      <c r="A18" s="132" t="s">
        <v>72</v>
      </c>
      <c r="B18" s="133">
        <v>22.701812743897836</v>
      </c>
      <c r="C18" s="133">
        <v>22.491834181681387</v>
      </c>
      <c r="D18" s="133">
        <v>22.635372586975141</v>
      </c>
      <c r="E18" s="133">
        <v>22.219869633162091</v>
      </c>
      <c r="F18" s="133">
        <v>21.947747434470454</v>
      </c>
      <c r="G18" s="133">
        <v>21.723737957391407</v>
      </c>
      <c r="H18" s="133">
        <v>21.608573779259967</v>
      </c>
      <c r="I18" s="133">
        <v>21.735997557542337</v>
      </c>
      <c r="J18" s="133">
        <v>21.226182332262201</v>
      </c>
      <c r="K18" s="133">
        <v>21.824378758699702</v>
      </c>
      <c r="L18" s="133">
        <v>22.33585583167487</v>
      </c>
      <c r="M18" s="133">
        <v>22.131907656868314</v>
      </c>
      <c r="N18" s="133">
        <v>21.978500604417661</v>
      </c>
      <c r="O18" s="133">
        <v>21.962385550602463</v>
      </c>
      <c r="P18" s="133">
        <v>22.020477853893812</v>
      </c>
      <c r="Q18" s="133">
        <v>21.660501827789485</v>
      </c>
      <c r="R18" s="133">
        <v>21.420446410825448</v>
      </c>
      <c r="S18" s="133">
        <v>21.23081170742654</v>
      </c>
      <c r="T18" s="133">
        <v>22.037482151225273</v>
      </c>
      <c r="U18" s="133">
        <v>21.452704727243024</v>
      </c>
      <c r="V18" s="133">
        <v>20.253462151408506</v>
      </c>
      <c r="W18" s="133">
        <v>20.366133870433309</v>
      </c>
      <c r="DA18" s="157" t="s">
        <v>286</v>
      </c>
    </row>
    <row r="19" spans="1:105" ht="12.95" customHeight="1" x14ac:dyDescent="0.25">
      <c r="A19" s="130" t="s">
        <v>35</v>
      </c>
      <c r="B19" s="131">
        <f t="shared" ref="B19:Q19" si="6">SUM(B20:B27)</f>
        <v>140.32938973162413</v>
      </c>
      <c r="C19" s="131">
        <f t="shared" si="6"/>
        <v>141.0930310612143</v>
      </c>
      <c r="D19" s="131">
        <f t="shared" si="6"/>
        <v>143.168911279925</v>
      </c>
      <c r="E19" s="131">
        <f t="shared" si="6"/>
        <v>145.08277138991548</v>
      </c>
      <c r="F19" s="131">
        <f t="shared" si="6"/>
        <v>146.6162022012391</v>
      </c>
      <c r="G19" s="131">
        <f t="shared" si="6"/>
        <v>149.01338328301054</v>
      </c>
      <c r="H19" s="131">
        <f t="shared" si="6"/>
        <v>151.58965300441469</v>
      </c>
      <c r="I19" s="131">
        <f t="shared" si="6"/>
        <v>153.99229512601585</v>
      </c>
      <c r="J19" s="131">
        <f t="shared" si="6"/>
        <v>155.37108763217117</v>
      </c>
      <c r="K19" s="131">
        <f t="shared" si="6"/>
        <v>156.7867637764729</v>
      </c>
      <c r="L19" s="131">
        <f t="shared" si="6"/>
        <v>156.93672091385253</v>
      </c>
      <c r="M19" s="131">
        <f t="shared" si="6"/>
        <v>157.92525130281763</v>
      </c>
      <c r="N19" s="131">
        <f t="shared" si="6"/>
        <v>160.04518018793584</v>
      </c>
      <c r="O19" s="131">
        <f t="shared" si="6"/>
        <v>160.42916529153879</v>
      </c>
      <c r="P19" s="131">
        <f t="shared" si="6"/>
        <v>162.57988315880525</v>
      </c>
      <c r="Q19" s="131">
        <f t="shared" si="6"/>
        <v>164.2765458147305</v>
      </c>
      <c r="R19" s="131">
        <f t="shared" ref="R19:W19" si="7">SUM(R20:R27)</f>
        <v>165.07591193826386</v>
      </c>
      <c r="S19" s="131">
        <f t="shared" si="7"/>
        <v>165.77510937676942</v>
      </c>
      <c r="T19" s="131">
        <f t="shared" si="7"/>
        <v>163.50259685101423</v>
      </c>
      <c r="U19" s="131">
        <f t="shared" si="7"/>
        <v>160.2480228850082</v>
      </c>
      <c r="V19" s="131">
        <f t="shared" si="7"/>
        <v>139.76985217396833</v>
      </c>
      <c r="W19" s="131">
        <f t="shared" si="7"/>
        <v>153.98099342158045</v>
      </c>
      <c r="DA19" s="156" t="s">
        <v>215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287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288</v>
      </c>
    </row>
    <row r="22" spans="1:105" ht="12" customHeight="1" x14ac:dyDescent="0.25">
      <c r="A22" s="132" t="s">
        <v>168</v>
      </c>
      <c r="B22" s="133">
        <v>13.417764004406566</v>
      </c>
      <c r="C22" s="133">
        <v>12.915549166859394</v>
      </c>
      <c r="D22" s="133">
        <v>12.655461044078912</v>
      </c>
      <c r="E22" s="133">
        <v>12.497388429910036</v>
      </c>
      <c r="F22" s="133">
        <v>12.302857521868306</v>
      </c>
      <c r="G22" s="133">
        <v>11.800740040908844</v>
      </c>
      <c r="H22" s="133">
        <v>10.197424012214842</v>
      </c>
      <c r="I22" s="133">
        <v>8.9598204665630679</v>
      </c>
      <c r="J22" s="133">
        <v>8.9053449069330419</v>
      </c>
      <c r="K22" s="133">
        <v>8.6878862407884814</v>
      </c>
      <c r="L22" s="133">
        <v>8.0902862393857884</v>
      </c>
      <c r="M22" s="133">
        <v>7.0132290913949227</v>
      </c>
      <c r="N22" s="133">
        <v>6.9419710136844932</v>
      </c>
      <c r="O22" s="133">
        <v>6.8621187359055584</v>
      </c>
      <c r="P22" s="133">
        <v>6.6731251955847979</v>
      </c>
      <c r="Q22" s="133">
        <v>6.3853273855170363</v>
      </c>
      <c r="R22" s="133">
        <v>6.2333029637698649</v>
      </c>
      <c r="S22" s="133">
        <v>5.3731921434357277</v>
      </c>
      <c r="T22" s="133">
        <v>5.2007502525950109</v>
      </c>
      <c r="U22" s="133">
        <v>2.3524034950127004</v>
      </c>
      <c r="V22" s="133">
        <v>2.67785804083459</v>
      </c>
      <c r="W22" s="133">
        <v>1.9230632097144889</v>
      </c>
      <c r="DA22" s="157" t="s">
        <v>289</v>
      </c>
    </row>
    <row r="23" spans="1:105" ht="12" customHeight="1" x14ac:dyDescent="0.25">
      <c r="A23" s="132" t="s">
        <v>153</v>
      </c>
      <c r="B23" s="133">
        <v>14.622404340962502</v>
      </c>
      <c r="C23" s="133">
        <v>14.663331828810389</v>
      </c>
      <c r="D23" s="133">
        <v>15.679434686967529</v>
      </c>
      <c r="E23" s="133">
        <v>18.911913510482812</v>
      </c>
      <c r="F23" s="133">
        <v>19.392404850915607</v>
      </c>
      <c r="G23" s="133">
        <v>21.664904733871417</v>
      </c>
      <c r="H23" s="133">
        <v>23.691739407105985</v>
      </c>
      <c r="I23" s="133">
        <v>23.721097722774058</v>
      </c>
      <c r="J23" s="133">
        <v>24.02786656577501</v>
      </c>
      <c r="K23" s="133">
        <v>24.180946282466003</v>
      </c>
      <c r="L23" s="133">
        <v>24.305344588680416</v>
      </c>
      <c r="M23" s="133">
        <v>20.385708575979354</v>
      </c>
      <c r="N23" s="133">
        <v>20.276996437332215</v>
      </c>
      <c r="O23" s="133">
        <v>20.151315611850023</v>
      </c>
      <c r="P23" s="133">
        <v>18.250254225530707</v>
      </c>
      <c r="Q23" s="133">
        <v>21.208547261576733</v>
      </c>
      <c r="R23" s="133">
        <v>21.65850952285912</v>
      </c>
      <c r="S23" s="133">
        <v>22.642564455539691</v>
      </c>
      <c r="T23" s="133">
        <v>21.850829914369402</v>
      </c>
      <c r="U23" s="133">
        <v>22.538410466521992</v>
      </c>
      <c r="V23" s="133">
        <v>14.827391014120067</v>
      </c>
      <c r="W23" s="133">
        <v>21.199417838149383</v>
      </c>
      <c r="DA23" s="157" t="s">
        <v>290</v>
      </c>
    </row>
    <row r="24" spans="1:105" ht="12" customHeight="1" x14ac:dyDescent="0.25">
      <c r="A24" s="132" t="s">
        <v>128</v>
      </c>
      <c r="B24" s="133">
        <v>3.1384385210662114</v>
      </c>
      <c r="C24" s="133">
        <v>3.4089385809027801</v>
      </c>
      <c r="D24" s="133">
        <v>3.4099641391041606</v>
      </c>
      <c r="E24" s="133">
        <v>3.3902386010577952</v>
      </c>
      <c r="F24" s="133">
        <v>3.3866144543785901</v>
      </c>
      <c r="G24" s="133">
        <v>3.4630299419368242</v>
      </c>
      <c r="H24" s="133">
        <v>3.47844539991701</v>
      </c>
      <c r="I24" s="133">
        <v>3.5177091732691492</v>
      </c>
      <c r="J24" s="133">
        <v>3.5454126687982708</v>
      </c>
      <c r="K24" s="133">
        <v>3.5848774453001284</v>
      </c>
      <c r="L24" s="133">
        <v>3.6000966027430654</v>
      </c>
      <c r="M24" s="133">
        <v>3.6603802087678177</v>
      </c>
      <c r="N24" s="133">
        <v>3.7241719150959565</v>
      </c>
      <c r="O24" s="133">
        <v>3.6757559858606736</v>
      </c>
      <c r="P24" s="133">
        <v>3.6421675278870174</v>
      </c>
      <c r="Q24" s="133">
        <v>3.6968021836765166</v>
      </c>
      <c r="R24" s="133">
        <v>4.1940745135227786</v>
      </c>
      <c r="S24" s="133">
        <v>4.4334396308211126</v>
      </c>
      <c r="T24" s="133">
        <v>4.9602492778512994</v>
      </c>
      <c r="U24" s="133">
        <v>4.3138175407385306</v>
      </c>
      <c r="V24" s="133">
        <v>3.8160039651838584</v>
      </c>
      <c r="W24" s="133">
        <v>3.9972256649205313</v>
      </c>
      <c r="DA24" s="157" t="s">
        <v>291</v>
      </c>
    </row>
    <row r="25" spans="1:105" ht="12" customHeight="1" x14ac:dyDescent="0.25">
      <c r="A25" s="132" t="s">
        <v>169</v>
      </c>
      <c r="B25" s="133">
        <v>58.378574071324842</v>
      </c>
      <c r="C25" s="133">
        <v>61.892699976085275</v>
      </c>
      <c r="D25" s="133">
        <v>62.564892202246156</v>
      </c>
      <c r="E25" s="133">
        <v>63.67162898006471</v>
      </c>
      <c r="F25" s="133">
        <v>64.200684740734715</v>
      </c>
      <c r="G25" s="133">
        <v>65.097202422184367</v>
      </c>
      <c r="H25" s="133">
        <v>64.754221677836767</v>
      </c>
      <c r="I25" s="133">
        <v>66.866495159931048</v>
      </c>
      <c r="J25" s="133">
        <v>69.188382148217002</v>
      </c>
      <c r="K25" s="133">
        <v>73.802403425852319</v>
      </c>
      <c r="L25" s="133">
        <v>79.416261277549879</v>
      </c>
      <c r="M25" s="133">
        <v>81.53399831143787</v>
      </c>
      <c r="N25" s="133">
        <v>81.752962845462704</v>
      </c>
      <c r="O25" s="133">
        <v>82.926665872710032</v>
      </c>
      <c r="P25" s="133">
        <v>86.776234405988902</v>
      </c>
      <c r="Q25" s="133">
        <v>88.327245309589941</v>
      </c>
      <c r="R25" s="133">
        <v>88.60210484130215</v>
      </c>
      <c r="S25" s="133">
        <v>88.890277021490064</v>
      </c>
      <c r="T25" s="133">
        <v>93.218502974555918</v>
      </c>
      <c r="U25" s="133">
        <v>91.836680467927636</v>
      </c>
      <c r="V25" s="133">
        <v>87.61453625383291</v>
      </c>
      <c r="W25" s="133">
        <v>91.740593520513457</v>
      </c>
      <c r="DA25" s="157" t="s">
        <v>292</v>
      </c>
    </row>
    <row r="26" spans="1:105" ht="12" customHeight="1" x14ac:dyDescent="0.25">
      <c r="A26" s="132" t="s">
        <v>24</v>
      </c>
      <c r="B26" s="65">
        <v>49.673498561705806</v>
      </c>
      <c r="C26" s="65">
        <v>47.089897579063766</v>
      </c>
      <c r="D26" s="65">
        <v>47.712727565223851</v>
      </c>
      <c r="E26" s="65">
        <v>45.441266528761275</v>
      </c>
      <c r="F26" s="65">
        <v>46.115497899034068</v>
      </c>
      <c r="G26" s="65">
        <v>45.697738302320602</v>
      </c>
      <c r="H26" s="65">
        <v>48.106429558070943</v>
      </c>
      <c r="I26" s="65">
        <v>49.446347152059779</v>
      </c>
      <c r="J26" s="65">
        <v>48.127727086213945</v>
      </c>
      <c r="K26" s="65">
        <v>44.834863623682466</v>
      </c>
      <c r="L26" s="65">
        <v>39.760673736017885</v>
      </c>
      <c r="M26" s="65">
        <v>43.475013361153394</v>
      </c>
      <c r="N26" s="65">
        <v>45.434804545578004</v>
      </c>
      <c r="O26" s="65">
        <v>44.837126798024222</v>
      </c>
      <c r="P26" s="65">
        <v>45.215487874321134</v>
      </c>
      <c r="Q26" s="65">
        <v>42.577970191997089</v>
      </c>
      <c r="R26" s="65">
        <v>42.278289830257926</v>
      </c>
      <c r="S26" s="65">
        <v>42.296943090229192</v>
      </c>
      <c r="T26" s="65">
        <v>36.110355575236746</v>
      </c>
      <c r="U26" s="65">
        <v>37.017716933723939</v>
      </c>
      <c r="V26" s="65">
        <v>28.645068918913495</v>
      </c>
      <c r="W26" s="65">
        <v>32.931699207199188</v>
      </c>
      <c r="DA26" s="109" t="s">
        <v>293</v>
      </c>
    </row>
    <row r="27" spans="1:105" ht="12" customHeight="1" x14ac:dyDescent="0.25">
      <c r="A27" s="145" t="s">
        <v>26</v>
      </c>
      <c r="B27" s="146">
        <v>1.098710232158211</v>
      </c>
      <c r="C27" s="146">
        <v>1.1226139294926907</v>
      </c>
      <c r="D27" s="146">
        <v>1.1464316423043845</v>
      </c>
      <c r="E27" s="146">
        <v>1.1703353396388647</v>
      </c>
      <c r="F27" s="146">
        <v>1.2181427343078253</v>
      </c>
      <c r="G27" s="146">
        <v>1.2897678417884779</v>
      </c>
      <c r="H27" s="146">
        <v>1.3613929492691312</v>
      </c>
      <c r="I27" s="146">
        <v>1.4808254514187458</v>
      </c>
      <c r="J27" s="146">
        <v>1.5763542562338775</v>
      </c>
      <c r="K27" s="146">
        <v>1.6957867583834902</v>
      </c>
      <c r="L27" s="146">
        <v>1.7640584694754935</v>
      </c>
      <c r="M27" s="146">
        <v>1.8569217540842635</v>
      </c>
      <c r="N27" s="146">
        <v>1.9142734307824596</v>
      </c>
      <c r="O27" s="146">
        <v>1.976182287188307</v>
      </c>
      <c r="P27" s="146">
        <v>2.0226139294926906</v>
      </c>
      <c r="Q27" s="146">
        <v>2.0806534823731715</v>
      </c>
      <c r="R27" s="146">
        <v>2.1096302665520223</v>
      </c>
      <c r="S27" s="146">
        <v>2.1386930352536559</v>
      </c>
      <c r="T27" s="146">
        <v>2.1619088564058471</v>
      </c>
      <c r="U27" s="146">
        <v>2.1889939810834038</v>
      </c>
      <c r="V27" s="146">
        <v>2.188993981083406</v>
      </c>
      <c r="W27" s="146">
        <v>2.1889939810834047</v>
      </c>
      <c r="DA27" s="159" t="s">
        <v>294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120.06464545838574</v>
      </c>
      <c r="C29" s="131">
        <f t="shared" si="8"/>
        <v>122.94826810905103</v>
      </c>
      <c r="D29" s="131">
        <f t="shared" si="8"/>
        <v>126.45045488316302</v>
      </c>
      <c r="E29" s="131">
        <f t="shared" si="8"/>
        <v>132.27835209730446</v>
      </c>
      <c r="F29" s="131">
        <f t="shared" si="8"/>
        <v>136.56925765126095</v>
      </c>
      <c r="G29" s="131">
        <f t="shared" si="8"/>
        <v>139.34914941840401</v>
      </c>
      <c r="H29" s="131">
        <f t="shared" si="8"/>
        <v>143.79549680762065</v>
      </c>
      <c r="I29" s="131">
        <f t="shared" si="8"/>
        <v>146.0617188943163</v>
      </c>
      <c r="J29" s="131">
        <f t="shared" si="8"/>
        <v>148.74080910185185</v>
      </c>
      <c r="K29" s="131">
        <f t="shared" si="8"/>
        <v>151.22372784026959</v>
      </c>
      <c r="L29" s="131">
        <f t="shared" si="8"/>
        <v>154.25413939073235</v>
      </c>
      <c r="M29" s="131">
        <f t="shared" si="8"/>
        <v>156.88436448378124</v>
      </c>
      <c r="N29" s="131">
        <f t="shared" si="8"/>
        <v>159.86033070371013</v>
      </c>
      <c r="O29" s="131">
        <f t="shared" si="8"/>
        <v>161.21827278560158</v>
      </c>
      <c r="P29" s="131">
        <f t="shared" si="8"/>
        <v>160.20399524719019</v>
      </c>
      <c r="Q29" s="131">
        <f t="shared" si="8"/>
        <v>164.05046879326514</v>
      </c>
      <c r="R29" s="131">
        <f t="shared" ref="R29:W29" si="9">SUM(R30:R33)</f>
        <v>167.42631482082561</v>
      </c>
      <c r="S29" s="131">
        <f t="shared" si="9"/>
        <v>167.55308952361483</v>
      </c>
      <c r="T29" s="131">
        <f t="shared" si="9"/>
        <v>167.13034811621304</v>
      </c>
      <c r="U29" s="131">
        <f t="shared" si="9"/>
        <v>167.86816381547388</v>
      </c>
      <c r="V29" s="131">
        <f t="shared" si="9"/>
        <v>148.50955199192444</v>
      </c>
      <c r="W29" s="131">
        <f t="shared" si="9"/>
        <v>158.55613486261041</v>
      </c>
      <c r="DA29" s="156" t="s">
        <v>216</v>
      </c>
    </row>
    <row r="30" spans="1:105" ht="12" customHeight="1" x14ac:dyDescent="0.25">
      <c r="A30" s="132" t="s">
        <v>52</v>
      </c>
      <c r="B30" s="133">
        <v>3.2960447119518479</v>
      </c>
      <c r="C30" s="133">
        <v>3.2960447119518479</v>
      </c>
      <c r="D30" s="133">
        <v>3.2960447119518475</v>
      </c>
      <c r="E30" s="133">
        <v>4.3947549441100593</v>
      </c>
      <c r="F30" s="133">
        <v>5.4934651762682707</v>
      </c>
      <c r="G30" s="133">
        <v>6.5921754084264839</v>
      </c>
      <c r="H30" s="133">
        <v>6.5921754084264839</v>
      </c>
      <c r="I30" s="133">
        <v>6.5921754084264821</v>
      </c>
      <c r="J30" s="133">
        <v>6.5921754084264856</v>
      </c>
      <c r="K30" s="133">
        <v>6.5921754084264821</v>
      </c>
      <c r="L30" s="133">
        <v>8.7895098882201133</v>
      </c>
      <c r="M30" s="133">
        <v>7.6907996560619099</v>
      </c>
      <c r="N30" s="133">
        <v>6.5921754084264812</v>
      </c>
      <c r="O30" s="133">
        <v>7.6907996560619107</v>
      </c>
      <c r="P30" s="133">
        <v>4.3947549441100593</v>
      </c>
      <c r="Q30" s="133">
        <v>9.114703353396397</v>
      </c>
      <c r="R30" s="133">
        <v>9.6288907996560589</v>
      </c>
      <c r="S30" s="133">
        <v>9.5552880481513469</v>
      </c>
      <c r="T30" s="133">
        <v>9.8047291487532231</v>
      </c>
      <c r="U30" s="133">
        <v>9.624505588993987</v>
      </c>
      <c r="V30" s="133">
        <v>8.1325021496130763</v>
      </c>
      <c r="W30" s="133">
        <v>8.7543422184006925</v>
      </c>
      <c r="DA30" s="157" t="s">
        <v>295</v>
      </c>
    </row>
    <row r="31" spans="1:105" ht="12" customHeight="1" x14ac:dyDescent="0.25">
      <c r="A31" s="132" t="s">
        <v>153</v>
      </c>
      <c r="B31" s="133">
        <v>25.220545014779301</v>
      </c>
      <c r="C31" s="133">
        <v>25.436845264237917</v>
      </c>
      <c r="D31" s="133">
        <v>25.988937281757938</v>
      </c>
      <c r="E31" s="133">
        <v>26.881328934480138</v>
      </c>
      <c r="F31" s="133">
        <v>27.347460747669089</v>
      </c>
      <c r="G31" s="133">
        <v>30.06257473285271</v>
      </c>
      <c r="H31" s="133">
        <v>30.965701635727669</v>
      </c>
      <c r="I31" s="133">
        <v>31.381701924333129</v>
      </c>
      <c r="J31" s="133">
        <v>31.779560982007993</v>
      </c>
      <c r="K31" s="133">
        <v>32.566928087205831</v>
      </c>
      <c r="L31" s="133">
        <v>32.652072566592729</v>
      </c>
      <c r="M31" s="133">
        <v>32.055904560673874</v>
      </c>
      <c r="N31" s="133">
        <v>31.729944228590277</v>
      </c>
      <c r="O31" s="133">
        <v>31.360341095110371</v>
      </c>
      <c r="P31" s="133">
        <v>30.222218884594348</v>
      </c>
      <c r="Q31" s="133">
        <v>34.487051599163436</v>
      </c>
      <c r="R31" s="133">
        <v>34.120385389480397</v>
      </c>
      <c r="S31" s="133">
        <v>31.526671842687808</v>
      </c>
      <c r="T31" s="133">
        <v>34.319217552789851</v>
      </c>
      <c r="U31" s="133">
        <v>38.706789326431725</v>
      </c>
      <c r="V31" s="133">
        <v>23.629874996099382</v>
      </c>
      <c r="W31" s="133">
        <v>37.188995922384173</v>
      </c>
      <c r="DA31" s="157" t="s">
        <v>296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297</v>
      </c>
    </row>
    <row r="33" spans="1:105" ht="12" customHeight="1" x14ac:dyDescent="0.25">
      <c r="A33" s="62" t="s">
        <v>24</v>
      </c>
      <c r="B33" s="68">
        <v>91.548055731654586</v>
      </c>
      <c r="C33" s="68">
        <v>94.215378132861261</v>
      </c>
      <c r="D33" s="68">
        <v>97.165472889453227</v>
      </c>
      <c r="E33" s="68">
        <v>101.00226821871428</v>
      </c>
      <c r="F33" s="68">
        <v>103.72833172732359</v>
      </c>
      <c r="G33" s="68">
        <v>102.69439927712483</v>
      </c>
      <c r="H33" s="68">
        <v>106.2376197634665</v>
      </c>
      <c r="I33" s="68">
        <v>108.08784156155669</v>
      </c>
      <c r="J33" s="68">
        <v>110.36907271141737</v>
      </c>
      <c r="K33" s="68">
        <v>112.06462434463728</v>
      </c>
      <c r="L33" s="68">
        <v>112.8125569359195</v>
      </c>
      <c r="M33" s="68">
        <v>117.13766026704545</v>
      </c>
      <c r="N33" s="68">
        <v>121.53821106669336</v>
      </c>
      <c r="O33" s="68">
        <v>122.1671320344293</v>
      </c>
      <c r="P33" s="68">
        <v>125.58702141848579</v>
      </c>
      <c r="Q33" s="68">
        <v>120.44871384070531</v>
      </c>
      <c r="R33" s="68">
        <v>123.67703863168916</v>
      </c>
      <c r="S33" s="68">
        <v>126.47112963277567</v>
      </c>
      <c r="T33" s="68">
        <v>123.00640141466995</v>
      </c>
      <c r="U33" s="68">
        <v>119.53686890004816</v>
      </c>
      <c r="V33" s="68">
        <v>116.74717484621199</v>
      </c>
      <c r="W33" s="68">
        <v>112.61279672182555</v>
      </c>
      <c r="DA33" s="111" t="s">
        <v>298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>
        <f t="shared" ref="B3:Q3" si="0">SUM(B4,B16,B19,B29)</f>
        <v>1002.8227961677748</v>
      </c>
      <c r="C3" s="126">
        <f t="shared" si="0"/>
        <v>1052.5061735665101</v>
      </c>
      <c r="D3" s="126">
        <f t="shared" si="0"/>
        <v>1064.6385015429444</v>
      </c>
      <c r="E3" s="126">
        <f t="shared" si="0"/>
        <v>1100.1358183941654</v>
      </c>
      <c r="F3" s="126">
        <f t="shared" si="0"/>
        <v>1110.0752633929333</v>
      </c>
      <c r="G3" s="126">
        <f t="shared" si="0"/>
        <v>1109.9246693348693</v>
      </c>
      <c r="H3" s="126">
        <f t="shared" si="0"/>
        <v>1136.4540428278124</v>
      </c>
      <c r="I3" s="126">
        <f t="shared" si="0"/>
        <v>1131.8583508119682</v>
      </c>
      <c r="J3" s="126">
        <f t="shared" si="0"/>
        <v>1145.3385057544126</v>
      </c>
      <c r="K3" s="126">
        <f t="shared" si="0"/>
        <v>1138.667408699707</v>
      </c>
      <c r="L3" s="126">
        <f t="shared" si="0"/>
        <v>1251.5390810645474</v>
      </c>
      <c r="M3" s="126">
        <f t="shared" si="0"/>
        <v>1123.6965735698375</v>
      </c>
      <c r="N3" s="126">
        <f t="shared" si="0"/>
        <v>1152.9153729585707</v>
      </c>
      <c r="O3" s="126">
        <f t="shared" si="0"/>
        <v>1147.1449723279134</v>
      </c>
      <c r="P3" s="126">
        <f t="shared" si="0"/>
        <v>1058.1082808184119</v>
      </c>
      <c r="Q3" s="126">
        <f t="shared" si="0"/>
        <v>1120.1105633660466</v>
      </c>
      <c r="R3" s="126">
        <f t="shared" ref="R3:W3" si="1">SUM(R4,R16,R19,R29)</f>
        <v>1168.7255707735294</v>
      </c>
      <c r="S3" s="126">
        <f t="shared" si="1"/>
        <v>1200.5079602646338</v>
      </c>
      <c r="T3" s="126">
        <f t="shared" si="1"/>
        <v>1174.356759394941</v>
      </c>
      <c r="U3" s="126">
        <f t="shared" si="1"/>
        <v>1146.0212010675748</v>
      </c>
      <c r="V3" s="126">
        <f t="shared" si="1"/>
        <v>1105.5278735038773</v>
      </c>
      <c r="W3" s="126">
        <f t="shared" si="1"/>
        <v>1294.935910057414</v>
      </c>
      <c r="DA3" s="155" t="s">
        <v>300</v>
      </c>
    </row>
    <row r="4" spans="1:105" ht="12.95" customHeight="1" x14ac:dyDescent="0.25">
      <c r="A4" s="130" t="s">
        <v>32</v>
      </c>
      <c r="B4" s="131">
        <f t="shared" ref="B4:Q4" si="2">SUM(B5:B15)</f>
        <v>776.92543733365972</v>
      </c>
      <c r="C4" s="131">
        <f t="shared" si="2"/>
        <v>821.29550161520228</v>
      </c>
      <c r="D4" s="131">
        <f t="shared" si="2"/>
        <v>825.91104053337278</v>
      </c>
      <c r="E4" s="131">
        <f t="shared" si="2"/>
        <v>854.08205687222949</v>
      </c>
      <c r="F4" s="131">
        <f t="shared" si="2"/>
        <v>856.94219661917782</v>
      </c>
      <c r="G4" s="131">
        <f t="shared" si="2"/>
        <v>850.10711535029748</v>
      </c>
      <c r="H4" s="131">
        <f t="shared" si="2"/>
        <v>867.2121916548266</v>
      </c>
      <c r="I4" s="131">
        <f t="shared" si="2"/>
        <v>852.81852196121929</v>
      </c>
      <c r="J4" s="131">
        <f t="shared" si="2"/>
        <v>858.65269666844711</v>
      </c>
      <c r="K4" s="131">
        <f t="shared" si="2"/>
        <v>844.21869734017514</v>
      </c>
      <c r="L4" s="131">
        <f t="shared" si="2"/>
        <v>949.57031318514669</v>
      </c>
      <c r="M4" s="131">
        <f t="shared" si="2"/>
        <v>815.10345212205721</v>
      </c>
      <c r="N4" s="131">
        <f t="shared" si="2"/>
        <v>836.73244611196992</v>
      </c>
      <c r="O4" s="131">
        <f t="shared" si="2"/>
        <v>824.99991699043323</v>
      </c>
      <c r="P4" s="131">
        <f t="shared" si="2"/>
        <v>728.83155557901841</v>
      </c>
      <c r="Q4" s="131">
        <f t="shared" si="2"/>
        <v>784.74481019591451</v>
      </c>
      <c r="R4" s="131">
        <f t="shared" ref="R4:W4" si="3">SUM(R5:R15)</f>
        <v>825.61736538734181</v>
      </c>
      <c r="S4" s="131">
        <f t="shared" si="3"/>
        <v>850.71820039274462</v>
      </c>
      <c r="T4" s="131">
        <f t="shared" si="3"/>
        <v>816.76455612748953</v>
      </c>
      <c r="U4" s="131">
        <f t="shared" si="3"/>
        <v>787.84003372333029</v>
      </c>
      <c r="V4" s="131">
        <f t="shared" si="3"/>
        <v>776.1863491646584</v>
      </c>
      <c r="W4" s="131">
        <f t="shared" si="3"/>
        <v>942.63267007339562</v>
      </c>
      <c r="DA4" s="156" t="s">
        <v>301</v>
      </c>
    </row>
    <row r="5" spans="1:105" ht="12" customHeight="1" x14ac:dyDescent="0.25">
      <c r="A5" s="132" t="s">
        <v>29</v>
      </c>
      <c r="B5" s="133">
        <v>0</v>
      </c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302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303</v>
      </c>
    </row>
    <row r="7" spans="1:105" ht="12" customHeight="1" x14ac:dyDescent="0.25">
      <c r="A7" s="132" t="s">
        <v>168</v>
      </c>
      <c r="B7" s="133">
        <v>54.245916209455174</v>
      </c>
      <c r="C7" s="133">
        <v>49.994579341851171</v>
      </c>
      <c r="D7" s="133">
        <v>46.496445305847054</v>
      </c>
      <c r="E7" s="133">
        <v>46.735539544400183</v>
      </c>
      <c r="F7" s="133">
        <v>48.876219137010615</v>
      </c>
      <c r="G7" s="133">
        <v>42.830500148181308</v>
      </c>
      <c r="H7" s="133">
        <v>35.618696000700716</v>
      </c>
      <c r="I7" s="133">
        <v>31.508165513889217</v>
      </c>
      <c r="J7" s="133">
        <v>32.639557389952188</v>
      </c>
      <c r="K7" s="133">
        <v>30.754438729985413</v>
      </c>
      <c r="L7" s="133">
        <v>30.35205202076639</v>
      </c>
      <c r="M7" s="133">
        <v>24.368085828665052</v>
      </c>
      <c r="N7" s="133">
        <v>31.45956163741219</v>
      </c>
      <c r="O7" s="133">
        <v>29.990516271543672</v>
      </c>
      <c r="P7" s="133">
        <v>27.257151377044309</v>
      </c>
      <c r="Q7" s="133">
        <v>28.319020431039398</v>
      </c>
      <c r="R7" s="133">
        <v>28.697497131438446</v>
      </c>
      <c r="S7" s="133">
        <v>26.17369100072316</v>
      </c>
      <c r="T7" s="133">
        <v>29.275190910750627</v>
      </c>
      <c r="U7" s="133">
        <v>14.220428714711593</v>
      </c>
      <c r="V7" s="133">
        <v>16.993488484471801</v>
      </c>
      <c r="W7" s="133">
        <v>12.848331864617881</v>
      </c>
      <c r="DA7" s="157" t="s">
        <v>304</v>
      </c>
    </row>
    <row r="8" spans="1:105" ht="12" customHeight="1" x14ac:dyDescent="0.25">
      <c r="A8" s="132" t="s">
        <v>73</v>
      </c>
      <c r="B8" s="133">
        <v>0.2356771882770293</v>
      </c>
      <c r="C8" s="133">
        <v>0.21726628530279884</v>
      </c>
      <c r="D8" s="133">
        <v>0.2251227880234993</v>
      </c>
      <c r="E8" s="133">
        <v>0.27530630614159157</v>
      </c>
      <c r="F8" s="133">
        <v>0.28218688158978861</v>
      </c>
      <c r="G8" s="133">
        <v>0.28211890403125545</v>
      </c>
      <c r="H8" s="133">
        <v>0.21885784728895996</v>
      </c>
      <c r="I8" s="133">
        <v>0.72329866629205342</v>
      </c>
      <c r="J8" s="133">
        <v>0.74956163039913315</v>
      </c>
      <c r="K8" s="133">
        <v>0.83602666753889587</v>
      </c>
      <c r="L8" s="133">
        <v>0.88373579963823368</v>
      </c>
      <c r="M8" s="133">
        <v>0.98243311759487251</v>
      </c>
      <c r="N8" s="133">
        <v>1.1307327970174934</v>
      </c>
      <c r="O8" s="133">
        <v>1.2919473472087315</v>
      </c>
      <c r="P8" s="133">
        <v>1.7903499486044478</v>
      </c>
      <c r="Q8" s="133">
        <v>2.2894597554921949</v>
      </c>
      <c r="R8" s="133">
        <v>2.5877964722038675</v>
      </c>
      <c r="S8" s="133">
        <v>2.7314880159406809</v>
      </c>
      <c r="T8" s="133">
        <v>3.1747921728841355</v>
      </c>
      <c r="U8" s="133">
        <v>3.6034632657122132</v>
      </c>
      <c r="V8" s="133">
        <v>4.5382626544646776</v>
      </c>
      <c r="W8" s="133">
        <v>5.6057780692042716</v>
      </c>
      <c r="DA8" s="157" t="s">
        <v>305</v>
      </c>
    </row>
    <row r="9" spans="1:105" ht="12" customHeight="1" x14ac:dyDescent="0.25">
      <c r="A9" s="132" t="s">
        <v>78</v>
      </c>
      <c r="B9" s="133">
        <v>71.668978376518055</v>
      </c>
      <c r="C9" s="133">
        <v>74.444049756094017</v>
      </c>
      <c r="D9" s="133">
        <v>80.522765365432193</v>
      </c>
      <c r="E9" s="133">
        <v>100.15306597095937</v>
      </c>
      <c r="F9" s="133">
        <v>103.14616329109336</v>
      </c>
      <c r="G9" s="133">
        <v>110.30330049199299</v>
      </c>
      <c r="H9" s="133">
        <v>125.84460417003648</v>
      </c>
      <c r="I9" s="133">
        <v>115.88897778045148</v>
      </c>
      <c r="J9" s="133">
        <v>116.00853073760395</v>
      </c>
      <c r="K9" s="133">
        <v>117.50104237702671</v>
      </c>
      <c r="L9" s="133">
        <v>117.528321523586</v>
      </c>
      <c r="M9" s="133">
        <v>89.295519182341394</v>
      </c>
      <c r="N9" s="133">
        <v>105.15176477918295</v>
      </c>
      <c r="O9" s="133">
        <v>115.44083194363768</v>
      </c>
      <c r="P9" s="133">
        <v>78.191573621165375</v>
      </c>
      <c r="Q9" s="133">
        <v>108.80663792367244</v>
      </c>
      <c r="R9" s="133">
        <v>116.47172348368655</v>
      </c>
      <c r="S9" s="133">
        <v>131.00857352772138</v>
      </c>
      <c r="T9" s="133">
        <v>101.16320071778954</v>
      </c>
      <c r="U9" s="133">
        <v>110.38869859195886</v>
      </c>
      <c r="V9" s="133">
        <v>124.64038551310544</v>
      </c>
      <c r="W9" s="133">
        <v>199.24242742493229</v>
      </c>
      <c r="DA9" s="157" t="s">
        <v>306</v>
      </c>
    </row>
    <row r="10" spans="1:105" ht="12" customHeight="1" x14ac:dyDescent="0.25">
      <c r="A10" s="132" t="s">
        <v>128</v>
      </c>
      <c r="B10" s="133">
        <v>22.366019941327046</v>
      </c>
      <c r="C10" s="133">
        <v>18.807742388049697</v>
      </c>
      <c r="D10" s="133">
        <v>25.825398229839713</v>
      </c>
      <c r="E10" s="133">
        <v>26.722281232930172</v>
      </c>
      <c r="F10" s="133">
        <v>22.750406656954208</v>
      </c>
      <c r="G10" s="133">
        <v>24.673454323451239</v>
      </c>
      <c r="H10" s="133">
        <v>27.279155081515047</v>
      </c>
      <c r="I10" s="133">
        <v>22.621639706386514</v>
      </c>
      <c r="J10" s="133">
        <v>19.685827028759057</v>
      </c>
      <c r="K10" s="133">
        <v>15.947351720530893</v>
      </c>
      <c r="L10" s="133">
        <v>15.521488874703248</v>
      </c>
      <c r="M10" s="133">
        <v>17.552411419717554</v>
      </c>
      <c r="N10" s="133">
        <v>16.531786177832192</v>
      </c>
      <c r="O10" s="133">
        <v>17.701896994011349</v>
      </c>
      <c r="P10" s="133">
        <v>22.300645989837523</v>
      </c>
      <c r="Q10" s="133">
        <v>18.495371909923534</v>
      </c>
      <c r="R10" s="133">
        <v>22.823967196327551</v>
      </c>
      <c r="S10" s="133">
        <v>26.206888942374732</v>
      </c>
      <c r="T10" s="133">
        <v>30.074389602515666</v>
      </c>
      <c r="U10" s="133">
        <v>26.486448246807001</v>
      </c>
      <c r="V10" s="133">
        <v>23.82668832917642</v>
      </c>
      <c r="W10" s="133">
        <v>25.242971247893248</v>
      </c>
      <c r="DA10" s="157" t="s">
        <v>307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308</v>
      </c>
    </row>
    <row r="12" spans="1:105" ht="12" customHeight="1" x14ac:dyDescent="0.25">
      <c r="A12" s="132" t="s">
        <v>169</v>
      </c>
      <c r="B12" s="133">
        <v>451.50001646349835</v>
      </c>
      <c r="C12" s="133">
        <v>495.61689583825057</v>
      </c>
      <c r="D12" s="133">
        <v>498.76255143760625</v>
      </c>
      <c r="E12" s="133">
        <v>520.21748748891855</v>
      </c>
      <c r="F12" s="133">
        <v>520.63738076315883</v>
      </c>
      <c r="G12" s="133">
        <v>514.59381562723161</v>
      </c>
      <c r="H12" s="133">
        <v>514.46223622759476</v>
      </c>
      <c r="I12" s="133">
        <v>504.94557061000421</v>
      </c>
      <c r="J12" s="133">
        <v>518.51645816390919</v>
      </c>
      <c r="K12" s="133">
        <v>532.39983453499599</v>
      </c>
      <c r="L12" s="133">
        <v>631.51746615065383</v>
      </c>
      <c r="M12" s="133">
        <v>549.33988235746631</v>
      </c>
      <c r="N12" s="133">
        <v>566.35080588351775</v>
      </c>
      <c r="O12" s="133">
        <v>566.56886332439274</v>
      </c>
      <c r="P12" s="133">
        <v>512.06259994695904</v>
      </c>
      <c r="Q12" s="133">
        <v>554.44266128212951</v>
      </c>
      <c r="R12" s="133">
        <v>574.23523860989144</v>
      </c>
      <c r="S12" s="133">
        <v>582.95143258601138</v>
      </c>
      <c r="T12" s="133">
        <v>581.4062120771041</v>
      </c>
      <c r="U12" s="133">
        <v>571.29468143186318</v>
      </c>
      <c r="V12" s="133">
        <v>557.97005565870086</v>
      </c>
      <c r="W12" s="133">
        <v>625.3083883924138</v>
      </c>
      <c r="DA12" s="157" t="s">
        <v>309</v>
      </c>
    </row>
    <row r="13" spans="1:105" ht="12" customHeight="1" x14ac:dyDescent="0.25">
      <c r="A13" s="132" t="s">
        <v>77</v>
      </c>
      <c r="B13" s="133">
        <v>5.5644923674351396</v>
      </c>
      <c r="C13" s="133">
        <v>5.4487714297050145</v>
      </c>
      <c r="D13" s="133">
        <v>5.2997417041052444</v>
      </c>
      <c r="E13" s="133">
        <v>5.0654458668925795</v>
      </c>
      <c r="F13" s="133">
        <v>4.9050911118144738</v>
      </c>
      <c r="G13" s="133">
        <v>4.4274344309467457</v>
      </c>
      <c r="H13" s="133">
        <v>4.1745382531020301</v>
      </c>
      <c r="I13" s="133">
        <v>15.774070501645971</v>
      </c>
      <c r="J13" s="133">
        <v>16.36963571750735</v>
      </c>
      <c r="K13" s="133">
        <v>17.099079434015845</v>
      </c>
      <c r="L13" s="133">
        <v>17.981236520531613</v>
      </c>
      <c r="M13" s="133">
        <v>18.774796138280795</v>
      </c>
      <c r="N13" s="133">
        <v>19.56477664557449</v>
      </c>
      <c r="O13" s="133">
        <v>20.238554858850712</v>
      </c>
      <c r="P13" s="133">
        <v>20.592504550014638</v>
      </c>
      <c r="Q13" s="133">
        <v>22.614873599269849</v>
      </c>
      <c r="R13" s="133">
        <v>25.002977364034074</v>
      </c>
      <c r="S13" s="133">
        <v>25.114751988820885</v>
      </c>
      <c r="T13" s="133">
        <v>28.048919196324466</v>
      </c>
      <c r="U13" s="133">
        <v>31.362515612979944</v>
      </c>
      <c r="V13" s="133">
        <v>35.223350920950317</v>
      </c>
      <c r="W13" s="133">
        <v>40.5555818316166</v>
      </c>
      <c r="DA13" s="157" t="s">
        <v>310</v>
      </c>
    </row>
    <row r="14" spans="1:105" ht="12" customHeight="1" x14ac:dyDescent="0.25">
      <c r="A14" s="60" t="s">
        <v>76</v>
      </c>
      <c r="B14" s="65">
        <v>166.33816164119378</v>
      </c>
      <c r="C14" s="65">
        <v>171.69060011508216</v>
      </c>
      <c r="D14" s="65">
        <v>163.6605698444869</v>
      </c>
      <c r="E14" s="65">
        <v>149.40845018763508</v>
      </c>
      <c r="F14" s="65">
        <v>150.90863691822074</v>
      </c>
      <c r="G14" s="65">
        <v>147.66008505704846</v>
      </c>
      <c r="H14" s="65">
        <v>154.16354652137244</v>
      </c>
      <c r="I14" s="65">
        <v>156.34304200124598</v>
      </c>
      <c r="J14" s="65">
        <v>149.67951039609957</v>
      </c>
      <c r="K14" s="65">
        <v>124.71761448235623</v>
      </c>
      <c r="L14" s="65">
        <v>130.46903586122932</v>
      </c>
      <c r="M14" s="65">
        <v>110.42366231460547</v>
      </c>
      <c r="N14" s="65">
        <v>91.765763360141051</v>
      </c>
      <c r="O14" s="65">
        <v>68.858361055383099</v>
      </c>
      <c r="P14" s="65">
        <v>62.594961248720168</v>
      </c>
      <c r="Q14" s="65">
        <v>45.111829720650228</v>
      </c>
      <c r="R14" s="65">
        <v>50.930055699398231</v>
      </c>
      <c r="S14" s="65">
        <v>51.433552590493164</v>
      </c>
      <c r="T14" s="65">
        <v>38.974943481545537</v>
      </c>
      <c r="U14" s="65">
        <v>26.015144417972028</v>
      </c>
      <c r="V14" s="65">
        <v>8.3862536515693868</v>
      </c>
      <c r="W14" s="65">
        <v>27.697425498257989</v>
      </c>
      <c r="DA14" s="109" t="s">
        <v>311</v>
      </c>
    </row>
    <row r="15" spans="1:105" ht="12" customHeight="1" x14ac:dyDescent="0.25">
      <c r="A15" s="134" t="s">
        <v>80</v>
      </c>
      <c r="B15" s="135">
        <v>5.0061751459550834</v>
      </c>
      <c r="C15" s="135">
        <v>5.0755964608669117</v>
      </c>
      <c r="D15" s="135">
        <v>5.1184458580319436</v>
      </c>
      <c r="E15" s="135">
        <v>5.5044802743520833</v>
      </c>
      <c r="F15" s="135">
        <v>5.4361118593357975</v>
      </c>
      <c r="G15" s="135">
        <v>5.3364063674137894</v>
      </c>
      <c r="H15" s="135">
        <v>5.4505575532160639</v>
      </c>
      <c r="I15" s="135">
        <v>5.013757181303836</v>
      </c>
      <c r="J15" s="135">
        <v>5.0036156042168045</v>
      </c>
      <c r="K15" s="135">
        <v>4.9633093937252566</v>
      </c>
      <c r="L15" s="135">
        <v>5.3169764340380343</v>
      </c>
      <c r="M15" s="135">
        <v>4.3666617633858138</v>
      </c>
      <c r="N15" s="135">
        <v>4.7772548312918</v>
      </c>
      <c r="O15" s="135">
        <v>4.9089451954052681</v>
      </c>
      <c r="P15" s="135">
        <v>4.0417688966729068</v>
      </c>
      <c r="Q15" s="135">
        <v>4.6649555737373936</v>
      </c>
      <c r="R15" s="135">
        <v>4.8681094303616881</v>
      </c>
      <c r="S15" s="135">
        <v>5.0978217406592137</v>
      </c>
      <c r="T15" s="135">
        <v>4.6469079685754524</v>
      </c>
      <c r="U15" s="135">
        <v>4.4686534413256158</v>
      </c>
      <c r="V15" s="135">
        <v>4.6078639522193754</v>
      </c>
      <c r="W15" s="135">
        <v>6.1317657444595648</v>
      </c>
      <c r="DA15" s="158" t="s">
        <v>312</v>
      </c>
    </row>
    <row r="16" spans="1:105" ht="12.95" customHeight="1" x14ac:dyDescent="0.25">
      <c r="A16" s="130" t="s">
        <v>74</v>
      </c>
      <c r="B16" s="131">
        <f t="shared" ref="B16:Q16" si="4">SUM(B17:B18)</f>
        <v>47.492795607015601</v>
      </c>
      <c r="C16" s="131">
        <f t="shared" si="4"/>
        <v>49.150013482416703</v>
      </c>
      <c r="D16" s="131">
        <f t="shared" si="4"/>
        <v>52.145746654304425</v>
      </c>
      <c r="E16" s="131">
        <f t="shared" si="4"/>
        <v>53.747045776795929</v>
      </c>
      <c r="F16" s="131">
        <f t="shared" si="4"/>
        <v>56.110524110668614</v>
      </c>
      <c r="G16" s="131">
        <f t="shared" si="4"/>
        <v>58.995511085924313</v>
      </c>
      <c r="H16" s="131">
        <f t="shared" si="4"/>
        <v>62.685447287617578</v>
      </c>
      <c r="I16" s="131">
        <f t="shared" si="4"/>
        <v>67.766307253579456</v>
      </c>
      <c r="J16" s="131">
        <f t="shared" si="4"/>
        <v>71.244537032950774</v>
      </c>
      <c r="K16" s="131">
        <f t="shared" si="4"/>
        <v>74.531300672594995</v>
      </c>
      <c r="L16" s="131">
        <f t="shared" si="4"/>
        <v>78.155852472580023</v>
      </c>
      <c r="M16" s="131">
        <f t="shared" si="4"/>
        <v>80.085467528776135</v>
      </c>
      <c r="N16" s="131">
        <f t="shared" si="4"/>
        <v>82.396128928330938</v>
      </c>
      <c r="O16" s="131">
        <f t="shared" si="4"/>
        <v>85.501717369789134</v>
      </c>
      <c r="P16" s="131">
        <f t="shared" si="4"/>
        <v>89.370667572592055</v>
      </c>
      <c r="Q16" s="131">
        <f t="shared" si="4"/>
        <v>91.644882223798461</v>
      </c>
      <c r="R16" s="131">
        <f t="shared" ref="R16:W16" si="5">SUM(R17:R18)</f>
        <v>94.431511523186785</v>
      </c>
      <c r="S16" s="131">
        <f t="shared" si="5"/>
        <v>97.428697968713308</v>
      </c>
      <c r="T16" s="131">
        <f t="shared" si="5"/>
        <v>104.68944929799154</v>
      </c>
      <c r="U16" s="131">
        <f t="shared" si="5"/>
        <v>104.82973930569733</v>
      </c>
      <c r="V16" s="131">
        <f t="shared" si="5"/>
        <v>101.15656373210689</v>
      </c>
      <c r="W16" s="131">
        <f t="shared" si="5"/>
        <v>104.54865646804819</v>
      </c>
      <c r="DA16" s="156" t="s">
        <v>313</v>
      </c>
    </row>
    <row r="17" spans="1:105" ht="12.95" customHeight="1" x14ac:dyDescent="0.25">
      <c r="A17" s="132" t="s">
        <v>73</v>
      </c>
      <c r="B17" s="133">
        <v>4.2278158174118709E-2</v>
      </c>
      <c r="C17" s="133">
        <v>4.5013412427001361E-2</v>
      </c>
      <c r="D17" s="133">
        <v>5.0080033728168938E-2</v>
      </c>
      <c r="E17" s="133">
        <v>5.1838131424543799E-2</v>
      </c>
      <c r="F17" s="133">
        <v>5.747834443237744E-2</v>
      </c>
      <c r="G17" s="133">
        <v>6.4297174992550096E-2</v>
      </c>
      <c r="H17" s="133">
        <v>6.9391567635658152E-2</v>
      </c>
      <c r="I17" s="133">
        <v>7.4170414644663812E-2</v>
      </c>
      <c r="J17" s="133">
        <v>7.888091615949383E-2</v>
      </c>
      <c r="K17" s="133">
        <v>8.1488075763180456E-2</v>
      </c>
      <c r="L17" s="133">
        <v>8.8112707137532442E-2</v>
      </c>
      <c r="M17" s="133">
        <v>9.654226586032412E-2</v>
      </c>
      <c r="N17" s="133">
        <v>0.11140072340744173</v>
      </c>
      <c r="O17" s="133">
        <v>0.13830800257535961</v>
      </c>
      <c r="P17" s="133">
        <v>0.1852515938298322</v>
      </c>
      <c r="Q17" s="133">
        <v>0.25978620257834228</v>
      </c>
      <c r="R17" s="133">
        <v>0.3350133514212692</v>
      </c>
      <c r="S17" s="133">
        <v>0.40639164735123695</v>
      </c>
      <c r="T17" s="133">
        <v>0.47016794623513475</v>
      </c>
      <c r="U17" s="133">
        <v>0.52842612462133309</v>
      </c>
      <c r="V17" s="133">
        <v>0.52753860620977</v>
      </c>
      <c r="W17" s="133">
        <v>0.5651024726324424</v>
      </c>
      <c r="DA17" s="157" t="s">
        <v>314</v>
      </c>
    </row>
    <row r="18" spans="1:105" ht="12" customHeight="1" x14ac:dyDescent="0.25">
      <c r="A18" s="132" t="s">
        <v>72</v>
      </c>
      <c r="B18" s="133">
        <v>47.450517448841481</v>
      </c>
      <c r="C18" s="133">
        <v>49.1050000699897</v>
      </c>
      <c r="D18" s="133">
        <v>52.095666620576253</v>
      </c>
      <c r="E18" s="133">
        <v>53.695207645371383</v>
      </c>
      <c r="F18" s="133">
        <v>56.053045766236238</v>
      </c>
      <c r="G18" s="133">
        <v>58.93121391093176</v>
      </c>
      <c r="H18" s="133">
        <v>62.616055719981922</v>
      </c>
      <c r="I18" s="133">
        <v>67.692136838934786</v>
      </c>
      <c r="J18" s="133">
        <v>71.165656116791283</v>
      </c>
      <c r="K18" s="133">
        <v>74.449812596831819</v>
      </c>
      <c r="L18" s="133">
        <v>78.067739765442496</v>
      </c>
      <c r="M18" s="133">
        <v>79.988925262915814</v>
      </c>
      <c r="N18" s="133">
        <v>82.284728204923496</v>
      </c>
      <c r="O18" s="133">
        <v>85.363409367213777</v>
      </c>
      <c r="P18" s="133">
        <v>89.185415978762222</v>
      </c>
      <c r="Q18" s="133">
        <v>91.385096021220122</v>
      </c>
      <c r="R18" s="133">
        <v>94.096498171765518</v>
      </c>
      <c r="S18" s="133">
        <v>97.022306321362066</v>
      </c>
      <c r="T18" s="133">
        <v>104.21928135175641</v>
      </c>
      <c r="U18" s="133">
        <v>104.301313181076</v>
      </c>
      <c r="V18" s="133">
        <v>100.62902512589712</v>
      </c>
      <c r="W18" s="133">
        <v>103.98355399541575</v>
      </c>
      <c r="DA18" s="157" t="s">
        <v>315</v>
      </c>
    </row>
    <row r="19" spans="1:105" ht="12.95" customHeight="1" x14ac:dyDescent="0.25">
      <c r="A19" s="130" t="s">
        <v>35</v>
      </c>
      <c r="B19" s="131">
        <f t="shared" ref="B19:Q19" si="6">SUM(B20:B27)</f>
        <v>96.949858370240619</v>
      </c>
      <c r="C19" s="131">
        <f t="shared" si="6"/>
        <v>98.384158408571508</v>
      </c>
      <c r="D19" s="131">
        <f t="shared" si="6"/>
        <v>100.26645695256684</v>
      </c>
      <c r="E19" s="131">
        <f t="shared" si="6"/>
        <v>101.89501063902658</v>
      </c>
      <c r="F19" s="131">
        <f t="shared" si="6"/>
        <v>103.52407282929802</v>
      </c>
      <c r="G19" s="131">
        <f t="shared" si="6"/>
        <v>105.6910610939578</v>
      </c>
      <c r="H19" s="131">
        <f t="shared" si="6"/>
        <v>108.04315025850293</v>
      </c>
      <c r="I19" s="131">
        <f t="shared" si="6"/>
        <v>110.83479877073358</v>
      </c>
      <c r="J19" s="131">
        <f t="shared" si="6"/>
        <v>112.75269343332013</v>
      </c>
      <c r="K19" s="131">
        <f t="shared" si="6"/>
        <v>115.1298680277898</v>
      </c>
      <c r="L19" s="131">
        <f t="shared" si="6"/>
        <v>116.87252278999253</v>
      </c>
      <c r="M19" s="131">
        <f t="shared" si="6"/>
        <v>119.16933392146804</v>
      </c>
      <c r="N19" s="131">
        <f t="shared" si="6"/>
        <v>121.75536695892539</v>
      </c>
      <c r="O19" s="131">
        <f t="shared" si="6"/>
        <v>123.38252216057488</v>
      </c>
      <c r="P19" s="131">
        <f t="shared" si="6"/>
        <v>126.17033531254977</v>
      </c>
      <c r="Q19" s="131">
        <f t="shared" si="6"/>
        <v>128.2819968769025</v>
      </c>
      <c r="R19" s="131">
        <f t="shared" ref="R19:W19" si="7">SUM(R20:R27)</f>
        <v>130.05929546808792</v>
      </c>
      <c r="S19" s="131">
        <f t="shared" si="7"/>
        <v>132.24503612924718</v>
      </c>
      <c r="T19" s="131">
        <f t="shared" si="7"/>
        <v>132.58949417577657</v>
      </c>
      <c r="U19" s="131">
        <f t="shared" si="7"/>
        <v>132.0217681309187</v>
      </c>
      <c r="V19" s="131">
        <f t="shared" si="7"/>
        <v>117.23150347147917</v>
      </c>
      <c r="W19" s="131">
        <f t="shared" si="7"/>
        <v>130.4960000189576</v>
      </c>
      <c r="DA19" s="156" t="s">
        <v>316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317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318</v>
      </c>
    </row>
    <row r="22" spans="1:105" ht="12" customHeight="1" x14ac:dyDescent="0.25">
      <c r="A22" s="132" t="s">
        <v>168</v>
      </c>
      <c r="B22" s="133">
        <v>7.0260998205999687</v>
      </c>
      <c r="C22" s="133">
        <v>6.7782629867755944</v>
      </c>
      <c r="D22" s="133">
        <v>6.6598500824611122</v>
      </c>
      <c r="E22" s="133">
        <v>6.5971389412083932</v>
      </c>
      <c r="F22" s="133">
        <v>6.5140703409670717</v>
      </c>
      <c r="G22" s="133">
        <v>6.262779496582831</v>
      </c>
      <c r="H22" s="133">
        <v>5.4195893192990328</v>
      </c>
      <c r="I22" s="133">
        <v>4.773595060394201</v>
      </c>
      <c r="J22" s="133">
        <v>4.7707280677193307</v>
      </c>
      <c r="K22" s="133">
        <v>4.689473582219005</v>
      </c>
      <c r="L22" s="133">
        <v>4.406294811184666</v>
      </c>
      <c r="M22" s="133">
        <v>3.8646024372129548</v>
      </c>
      <c r="N22" s="133">
        <v>3.9056651402674172</v>
      </c>
      <c r="O22" s="133">
        <v>3.9650824127581261</v>
      </c>
      <c r="P22" s="133">
        <v>3.8830777041738913</v>
      </c>
      <c r="Q22" s="133">
        <v>3.7470944803124726</v>
      </c>
      <c r="R22" s="133">
        <v>3.7050328711634322</v>
      </c>
      <c r="S22" s="133">
        <v>3.2207001914739855</v>
      </c>
      <c r="T22" s="133">
        <v>3.1437455108829</v>
      </c>
      <c r="U22" s="133">
        <v>1.4322472076933372</v>
      </c>
      <c r="V22" s="133">
        <v>1.6368479969689234</v>
      </c>
      <c r="W22" s="133">
        <v>1.1783108366721684</v>
      </c>
      <c r="DA22" s="157" t="s">
        <v>319</v>
      </c>
    </row>
    <row r="23" spans="1:105" ht="12" customHeight="1" x14ac:dyDescent="0.25">
      <c r="A23" s="132" t="s">
        <v>153</v>
      </c>
      <c r="B23" s="133">
        <v>7.8224730362166675</v>
      </c>
      <c r="C23" s="133">
        <v>7.9266594839327356</v>
      </c>
      <c r="D23" s="133">
        <v>8.6330510410441157</v>
      </c>
      <c r="E23" s="133">
        <v>10.602522695389546</v>
      </c>
      <c r="F23" s="133">
        <v>11.041077068221304</v>
      </c>
      <c r="G23" s="133">
        <v>12.518544100759458</v>
      </c>
      <c r="H23" s="133">
        <v>13.866193149526081</v>
      </c>
      <c r="I23" s="133">
        <v>14.035518658015887</v>
      </c>
      <c r="J23" s="133">
        <v>14.364343471320025</v>
      </c>
      <c r="K23" s="133">
        <v>14.589083371178784</v>
      </c>
      <c r="L23" s="133">
        <v>14.791704620404113</v>
      </c>
      <c r="M23" s="133">
        <v>12.487950919533958</v>
      </c>
      <c r="N23" s="133">
        <v>12.564619702046652</v>
      </c>
      <c r="O23" s="133">
        <v>12.692855218730658</v>
      </c>
      <c r="P23" s="133">
        <v>11.635983165148815</v>
      </c>
      <c r="Q23" s="133">
        <v>13.909665661451191</v>
      </c>
      <c r="R23" s="133">
        <v>14.657486045496755</v>
      </c>
      <c r="S23" s="133">
        <v>15.896556887573187</v>
      </c>
      <c r="T23" s="133">
        <v>15.814942505993027</v>
      </c>
      <c r="U23" s="133">
        <v>16.810283889705296</v>
      </c>
      <c r="V23" s="133">
        <v>11.349237770818963</v>
      </c>
      <c r="W23" s="133">
        <v>16.592039831493764</v>
      </c>
      <c r="DA23" s="157" t="s">
        <v>320</v>
      </c>
    </row>
    <row r="24" spans="1:105" ht="12" customHeight="1" x14ac:dyDescent="0.25">
      <c r="A24" s="132" t="s">
        <v>128</v>
      </c>
      <c r="B24" s="133">
        <v>1.4775663117190994</v>
      </c>
      <c r="C24" s="133">
        <v>1.6494652122769722</v>
      </c>
      <c r="D24" s="133">
        <v>1.6920433137313668</v>
      </c>
      <c r="E24" s="133">
        <v>1.725136965550369</v>
      </c>
      <c r="F24" s="133">
        <v>1.7667942445801437</v>
      </c>
      <c r="G24" s="133">
        <v>1.8555199229807149</v>
      </c>
      <c r="H24" s="133">
        <v>1.9150834666263006</v>
      </c>
      <c r="I24" s="133">
        <v>1.992189781327208</v>
      </c>
      <c r="J24" s="133">
        <v>2.0665507955364988</v>
      </c>
      <c r="K24" s="133">
        <v>2.1530225647180927</v>
      </c>
      <c r="L24" s="133">
        <v>2.2291589934949716</v>
      </c>
      <c r="M24" s="133">
        <v>2.3386202091866939</v>
      </c>
      <c r="N24" s="133">
        <v>2.455718387330398</v>
      </c>
      <c r="O24" s="133">
        <v>2.4903934953963107</v>
      </c>
      <c r="P24" s="133">
        <v>2.4897886283541695</v>
      </c>
      <c r="Q24" s="133">
        <v>2.5605751119235594</v>
      </c>
      <c r="R24" s="133">
        <v>2.9629794411539563</v>
      </c>
      <c r="S24" s="133">
        <v>3.1905771026495877</v>
      </c>
      <c r="T24" s="133">
        <v>3.6295606057314975</v>
      </c>
      <c r="U24" s="133">
        <v>3.2010172505237273</v>
      </c>
      <c r="V24" s="133">
        <v>2.868520915436064</v>
      </c>
      <c r="W24" s="133">
        <v>3.0452113763056405</v>
      </c>
      <c r="DA24" s="157" t="s">
        <v>321</v>
      </c>
    </row>
    <row r="25" spans="1:105" ht="12" customHeight="1" x14ac:dyDescent="0.25">
      <c r="A25" s="132" t="s">
        <v>169</v>
      </c>
      <c r="B25" s="133">
        <v>46.748505432661283</v>
      </c>
      <c r="C25" s="133">
        <v>49.75849033365845</v>
      </c>
      <c r="D25" s="133">
        <v>50.479330587304183</v>
      </c>
      <c r="E25" s="133">
        <v>51.553783642315324</v>
      </c>
      <c r="F25" s="133">
        <v>52.156482903438935</v>
      </c>
      <c r="G25" s="133">
        <v>53.067900740658835</v>
      </c>
      <c r="H25" s="133">
        <v>52.980694129948709</v>
      </c>
      <c r="I25" s="133">
        <v>54.96304814031069</v>
      </c>
      <c r="J25" s="133">
        <v>57.123735807026598</v>
      </c>
      <c r="K25" s="133">
        <v>61.250758031498876</v>
      </c>
      <c r="L25" s="133">
        <v>66.254742682000284</v>
      </c>
      <c r="M25" s="133">
        <v>68.342485138637898</v>
      </c>
      <c r="N25" s="133">
        <v>68.868717541612156</v>
      </c>
      <c r="O25" s="133">
        <v>70.216981550807475</v>
      </c>
      <c r="P25" s="133">
        <v>73.672730757129216</v>
      </c>
      <c r="Q25" s="133">
        <v>75.248370706488274</v>
      </c>
      <c r="R25" s="133">
        <v>75.831526697295928</v>
      </c>
      <c r="S25" s="133">
        <v>76.537895016156995</v>
      </c>
      <c r="T25" s="133">
        <v>80.814634841694229</v>
      </c>
      <c r="U25" s="133">
        <v>80.142969101666608</v>
      </c>
      <c r="V25" s="133">
        <v>77.00377379253348</v>
      </c>
      <c r="W25" s="133">
        <v>81.121400158660578</v>
      </c>
      <c r="DA25" s="157" t="s">
        <v>322</v>
      </c>
    </row>
    <row r="26" spans="1:105" ht="12" customHeight="1" x14ac:dyDescent="0.25">
      <c r="A26" s="132" t="s">
        <v>24</v>
      </c>
      <c r="B26" s="65">
        <v>32.776503536885379</v>
      </c>
      <c r="C26" s="65">
        <v>31.148666462435077</v>
      </c>
      <c r="D26" s="65">
        <v>31.65575028572168</v>
      </c>
      <c r="E26" s="65">
        <v>30.246093054924078</v>
      </c>
      <c r="F26" s="65">
        <v>30.827505537782748</v>
      </c>
      <c r="G26" s="65">
        <v>30.696548991187488</v>
      </c>
      <c r="H26" s="65">
        <v>32.500197243833689</v>
      </c>
      <c r="I26" s="65">
        <v>33.589621679266834</v>
      </c>
      <c r="J26" s="65">
        <v>32.850981035483805</v>
      </c>
      <c r="K26" s="65">
        <v>30.751743719791556</v>
      </c>
      <c r="L26" s="65">
        <v>27.42656321343302</v>
      </c>
      <c r="M26" s="65">
        <v>30.278753462812254</v>
      </c>
      <c r="N26" s="65">
        <v>32.046372756886313</v>
      </c>
      <c r="O26" s="65">
        <v>32.041027195693992</v>
      </c>
      <c r="P26" s="65">
        <v>32.466141128250989</v>
      </c>
      <c r="Q26" s="65">
        <v>30.735637434353837</v>
      </c>
      <c r="R26" s="65">
        <v>30.792640146425832</v>
      </c>
      <c r="S26" s="65">
        <v>31.26061389613977</v>
      </c>
      <c r="T26" s="65">
        <v>27.024701855069054</v>
      </c>
      <c r="U26" s="65">
        <v>28.246256700246324</v>
      </c>
      <c r="V26" s="65">
        <v>22.184129014638341</v>
      </c>
      <c r="W26" s="65">
        <v>26.370043834742059</v>
      </c>
      <c r="DA26" s="109" t="s">
        <v>323</v>
      </c>
    </row>
    <row r="27" spans="1:105" ht="12" customHeight="1" x14ac:dyDescent="0.25">
      <c r="A27" s="145" t="s">
        <v>26</v>
      </c>
      <c r="B27" s="146">
        <v>1.098710232158211</v>
      </c>
      <c r="C27" s="146">
        <v>1.1226139294926907</v>
      </c>
      <c r="D27" s="146">
        <v>1.1464316423043845</v>
      </c>
      <c r="E27" s="146">
        <v>1.1703353396388647</v>
      </c>
      <c r="F27" s="146">
        <v>1.2181427343078253</v>
      </c>
      <c r="G27" s="146">
        <v>1.2897678417884779</v>
      </c>
      <c r="H27" s="146">
        <v>1.3613929492691312</v>
      </c>
      <c r="I27" s="146">
        <v>1.4808254514187458</v>
      </c>
      <c r="J27" s="146">
        <v>1.5763542562338775</v>
      </c>
      <c r="K27" s="146">
        <v>1.6957867583834902</v>
      </c>
      <c r="L27" s="146">
        <v>1.7640584694754935</v>
      </c>
      <c r="M27" s="146">
        <v>1.8569217540842635</v>
      </c>
      <c r="N27" s="146">
        <v>1.9142734307824596</v>
      </c>
      <c r="O27" s="146">
        <v>1.976182287188307</v>
      </c>
      <c r="P27" s="146">
        <v>2.0226139294926906</v>
      </c>
      <c r="Q27" s="146">
        <v>2.0806534823731715</v>
      </c>
      <c r="R27" s="146">
        <v>2.1096302665520223</v>
      </c>
      <c r="S27" s="146">
        <v>2.1386930352536559</v>
      </c>
      <c r="T27" s="146">
        <v>2.1619088564058471</v>
      </c>
      <c r="U27" s="146">
        <v>2.1889939810834038</v>
      </c>
      <c r="V27" s="146">
        <v>2.188993981083406</v>
      </c>
      <c r="W27" s="146">
        <v>2.1889939810834047</v>
      </c>
      <c r="DA27" s="159" t="s">
        <v>324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81.454704856858854</v>
      </c>
      <c r="C29" s="131">
        <f t="shared" si="8"/>
        <v>83.676500060319711</v>
      </c>
      <c r="D29" s="131">
        <f t="shared" si="8"/>
        <v>86.315257402700425</v>
      </c>
      <c r="E29" s="131">
        <f t="shared" si="8"/>
        <v>90.411705106113388</v>
      </c>
      <c r="F29" s="131">
        <f t="shared" si="8"/>
        <v>93.498469833788874</v>
      </c>
      <c r="G29" s="131">
        <f t="shared" si="8"/>
        <v>95.130981804689739</v>
      </c>
      <c r="H29" s="131">
        <f t="shared" si="8"/>
        <v>98.513253626865122</v>
      </c>
      <c r="I29" s="131">
        <f t="shared" si="8"/>
        <v>100.43872282643585</v>
      </c>
      <c r="J29" s="131">
        <f t="shared" si="8"/>
        <v>102.68857861969465</v>
      </c>
      <c r="K29" s="131">
        <f t="shared" si="8"/>
        <v>104.78754265914726</v>
      </c>
      <c r="L29" s="131">
        <f t="shared" si="8"/>
        <v>106.9403926168284</v>
      </c>
      <c r="M29" s="131">
        <f t="shared" si="8"/>
        <v>109.33831999753606</v>
      </c>
      <c r="N29" s="131">
        <f t="shared" si="8"/>
        <v>112.03143095934458</v>
      </c>
      <c r="O29" s="131">
        <f t="shared" si="8"/>
        <v>113.26081580711617</v>
      </c>
      <c r="P29" s="131">
        <f t="shared" si="8"/>
        <v>113.73572235425162</v>
      </c>
      <c r="Q29" s="131">
        <f t="shared" si="8"/>
        <v>115.43887406943101</v>
      </c>
      <c r="R29" s="131">
        <f t="shared" ref="R29:W29" si="9">SUM(R30:R33)</f>
        <v>118.6173983949129</v>
      </c>
      <c r="S29" s="131">
        <f t="shared" si="9"/>
        <v>120.1160257739287</v>
      </c>
      <c r="T29" s="131">
        <f t="shared" si="9"/>
        <v>120.3132597936834</v>
      </c>
      <c r="U29" s="131">
        <f t="shared" si="9"/>
        <v>121.32965990762837</v>
      </c>
      <c r="V29" s="131">
        <f t="shared" si="9"/>
        <v>110.9534571356328</v>
      </c>
      <c r="W29" s="131">
        <f t="shared" si="9"/>
        <v>117.25858349701258</v>
      </c>
      <c r="DA29" s="156" t="s">
        <v>325</v>
      </c>
    </row>
    <row r="30" spans="1:105" ht="12" customHeight="1" x14ac:dyDescent="0.25">
      <c r="A30" s="132" t="s">
        <v>52</v>
      </c>
      <c r="B30" s="133">
        <v>1.805286936223315</v>
      </c>
      <c r="C30" s="133">
        <v>1.8075667705879939</v>
      </c>
      <c r="D30" s="133">
        <v>1.8126678451214493</v>
      </c>
      <c r="E30" s="133">
        <v>2.4252060786265477</v>
      </c>
      <c r="F30" s="133">
        <v>3.0410548318507127</v>
      </c>
      <c r="G30" s="133">
        <v>3.6588798764498871</v>
      </c>
      <c r="H30" s="133">
        <v>3.6657805713628058</v>
      </c>
      <c r="I30" s="133">
        <v>3.6721801724043885</v>
      </c>
      <c r="J30" s="133">
        <v>3.679849487014748</v>
      </c>
      <c r="K30" s="133">
        <v>3.6888775865194852</v>
      </c>
      <c r="L30" s="133">
        <v>4.9296304678251808</v>
      </c>
      <c r="M30" s="133">
        <v>4.3164407872129065</v>
      </c>
      <c r="N30" s="133">
        <v>3.7018011358496232</v>
      </c>
      <c r="O30" s="133">
        <v>4.3253709058899448</v>
      </c>
      <c r="P30" s="133">
        <v>2.4768452628136206</v>
      </c>
      <c r="Q30" s="133">
        <v>5.1464055560801905</v>
      </c>
      <c r="R30" s="133">
        <v>5.450421591607836</v>
      </c>
      <c r="S30" s="133">
        <v>5.4260266355140248</v>
      </c>
      <c r="T30" s="133">
        <v>5.5832168228651584</v>
      </c>
      <c r="U30" s="133">
        <v>5.4977909775502232</v>
      </c>
      <c r="V30" s="133">
        <v>4.6620341690670388</v>
      </c>
      <c r="W30" s="133">
        <v>5.0465036212184593</v>
      </c>
      <c r="DA30" s="157" t="s">
        <v>326</v>
      </c>
    </row>
    <row r="31" spans="1:105" ht="12" customHeight="1" x14ac:dyDescent="0.25">
      <c r="A31" s="132" t="s">
        <v>153</v>
      </c>
      <c r="B31" s="133">
        <v>13.886478337132832</v>
      </c>
      <c r="C31" s="133">
        <v>14.024542151425296</v>
      </c>
      <c r="D31" s="133">
        <v>14.352785179950365</v>
      </c>
      <c r="E31" s="133">
        <v>14.874982830362173</v>
      </c>
      <c r="F31" s="133">
        <v>15.167475519753227</v>
      </c>
      <c r="G31" s="133">
        <v>16.718128383627672</v>
      </c>
      <c r="H31" s="133">
        <v>17.265651340642446</v>
      </c>
      <c r="I31" s="133">
        <v>17.545634246801768</v>
      </c>
      <c r="J31" s="133">
        <v>17.818552072868936</v>
      </c>
      <c r="K31" s="133">
        <v>18.316674188897444</v>
      </c>
      <c r="L31" s="133">
        <v>18.406149959840512</v>
      </c>
      <c r="M31" s="133">
        <v>18.084227161886648</v>
      </c>
      <c r="N31" s="133">
        <v>17.918887835690533</v>
      </c>
      <c r="O31" s="133">
        <v>17.737045203702479</v>
      </c>
      <c r="P31" s="133">
        <v>17.11813377593618</v>
      </c>
      <c r="Q31" s="133">
        <v>19.560177933103397</v>
      </c>
      <c r="R31" s="133">
        <v>19.38776489057242</v>
      </c>
      <c r="S31" s="133">
        <v>17.966875176699428</v>
      </c>
      <c r="T31" s="133">
        <v>19.636471223005621</v>
      </c>
      <c r="U31" s="133">
        <v>22.271687461003591</v>
      </c>
      <c r="V31" s="133">
        <v>13.668819802536886</v>
      </c>
      <c r="W31" s="133">
        <v>21.647170048672308</v>
      </c>
      <c r="DA31" s="157" t="s">
        <v>327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328</v>
      </c>
    </row>
    <row r="33" spans="1:105" ht="12" customHeight="1" x14ac:dyDescent="0.25">
      <c r="A33" s="62" t="s">
        <v>24</v>
      </c>
      <c r="B33" s="68">
        <v>65.7629395835027</v>
      </c>
      <c r="C33" s="68">
        <v>67.84439113830642</v>
      </c>
      <c r="D33" s="68">
        <v>70.149804377628612</v>
      </c>
      <c r="E33" s="68">
        <v>73.111516197124672</v>
      </c>
      <c r="F33" s="68">
        <v>75.289939482184934</v>
      </c>
      <c r="G33" s="68">
        <v>74.75397354461218</v>
      </c>
      <c r="H33" s="68">
        <v>77.581821714859871</v>
      </c>
      <c r="I33" s="68">
        <v>79.2209084072297</v>
      </c>
      <c r="J33" s="68">
        <v>81.190177059810964</v>
      </c>
      <c r="K33" s="68">
        <v>82.78199088373033</v>
      </c>
      <c r="L33" s="68">
        <v>83.604612189162708</v>
      </c>
      <c r="M33" s="68">
        <v>86.937652048436505</v>
      </c>
      <c r="N33" s="68">
        <v>90.410741987804414</v>
      </c>
      <c r="O33" s="68">
        <v>91.198399697523755</v>
      </c>
      <c r="P33" s="68">
        <v>94.140743315501823</v>
      </c>
      <c r="Q33" s="68">
        <v>90.732290580247422</v>
      </c>
      <c r="R33" s="68">
        <v>93.779211912732649</v>
      </c>
      <c r="S33" s="68">
        <v>96.723123961715245</v>
      </c>
      <c r="T33" s="68">
        <v>95.093571747812618</v>
      </c>
      <c r="U33" s="68">
        <v>93.56018146907455</v>
      </c>
      <c r="V33" s="68">
        <v>92.622603164028874</v>
      </c>
      <c r="W33" s="68">
        <v>90.564909827121809</v>
      </c>
      <c r="DA33" s="111" t="s">
        <v>329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>
        <f>IF(SER_hh_tes!B3=0,"",SER_hh_tes!B3/SER_hh_fec!B3)</f>
        <v>0.71034893244017228</v>
      </c>
      <c r="C3" s="127">
        <f>IF(SER_hh_tes!C3=0,"",SER_hh_tes!C3/SER_hh_fec!C3)</f>
        <v>0.72057864458720278</v>
      </c>
      <c r="D3" s="127">
        <f>IF(SER_hh_tes!D3=0,"",SER_hh_tes!D3/SER_hh_fec!D3)</f>
        <v>0.72500677669206737</v>
      </c>
      <c r="E3" s="127">
        <f>IF(SER_hh_tes!E3=0,"",SER_hh_tes!E3/SER_hh_fec!E3)</f>
        <v>0.72755853882337607</v>
      </c>
      <c r="F3" s="127">
        <f>IF(SER_hh_tes!F3=0,"",SER_hh_tes!F3/SER_hh_fec!F3)</f>
        <v>0.73404055915196575</v>
      </c>
      <c r="G3" s="127">
        <f>IF(SER_hh_tes!G3=0,"",SER_hh_tes!G3/SER_hh_fec!G3)</f>
        <v>0.74029674535872725</v>
      </c>
      <c r="H3" s="127">
        <f>IF(SER_hh_tes!H3=0,"",SER_hh_tes!H3/SER_hh_fec!H3)</f>
        <v>0.74620070352136725</v>
      </c>
      <c r="I3" s="127">
        <f>IF(SER_hh_tes!I3=0,"",SER_hh_tes!I3/SER_hh_fec!I3)</f>
        <v>0.76408246775155453</v>
      </c>
      <c r="J3" s="127">
        <f>IF(SER_hh_tes!J3=0,"",SER_hh_tes!J3/SER_hh_fec!J3)</f>
        <v>0.77342266866492304</v>
      </c>
      <c r="K3" s="127">
        <f>IF(SER_hh_tes!K3=0,"",SER_hh_tes!K3/SER_hh_fec!K3)</f>
        <v>0.78450106669867625</v>
      </c>
      <c r="L3" s="127">
        <f>IF(SER_hh_tes!L3=0,"",SER_hh_tes!L3/SER_hh_fec!L3)</f>
        <v>0.79503763235111569</v>
      </c>
      <c r="M3" s="127">
        <f>IF(SER_hh_tes!M3=0,"",SER_hh_tes!M3/SER_hh_fec!M3)</f>
        <v>0.81041161783722537</v>
      </c>
      <c r="N3" s="127">
        <f>IF(SER_hh_tes!N3=0,"",SER_hh_tes!N3/SER_hh_fec!N3)</f>
        <v>0.81629369602220803</v>
      </c>
      <c r="O3" s="127">
        <f>IF(SER_hh_tes!O3=0,"",SER_hh_tes!O3/SER_hh_fec!O3)</f>
        <v>0.82630223016947479</v>
      </c>
      <c r="P3" s="127">
        <f>IF(SER_hh_tes!P3=0,"",SER_hh_tes!P3/SER_hh_fec!P3)</f>
        <v>0.84068858929568069</v>
      </c>
      <c r="Q3" s="127">
        <f>IF(SER_hh_tes!Q3=0,"",SER_hh_tes!Q3/SER_hh_fec!Q3)</f>
        <v>0.84304297423687125</v>
      </c>
      <c r="R3" s="127">
        <f>IF(SER_hh_tes!R3=0,"",SER_hh_tes!R3/SER_hh_fec!R3)</f>
        <v>0.84792906629760467</v>
      </c>
      <c r="S3" s="127">
        <f>IF(SER_hh_tes!S3=0,"",SER_hh_tes!S3/SER_hh_fec!S3)</f>
        <v>0.85446972132419119</v>
      </c>
      <c r="T3" s="127">
        <f>IF(SER_hh_tes!T3=0,"",SER_hh_tes!T3/SER_hh_fec!T3)</f>
        <v>0.87181250889038198</v>
      </c>
      <c r="U3" s="127">
        <f>IF(SER_hh_tes!U3=0,"",SER_hh_tes!U3/SER_hh_fec!U3)</f>
        <v>0.88812510589845373</v>
      </c>
      <c r="V3" s="127">
        <f>IF(SER_hh_tes!V3=0,"",SER_hh_tes!V3/SER_hh_fec!V3)</f>
        <v>0.90317463788556696</v>
      </c>
      <c r="W3" s="127">
        <f>IF(SER_hh_tes!W3=0,"",SER_hh_tes!W3/SER_hh_fec!W3)</f>
        <v>0.89781144888573972</v>
      </c>
      <c r="DA3" s="162" t="s">
        <v>238</v>
      </c>
    </row>
    <row r="4" spans="1:105" ht="12.95" customHeight="1" x14ac:dyDescent="0.25">
      <c r="A4" s="130" t="s">
        <v>32</v>
      </c>
      <c r="B4" s="136">
        <f>IF(SER_hh_tes!B4=0,"",SER_hh_tes!B4/SER_hh_fec!B4)</f>
        <v>0.68839424882263289</v>
      </c>
      <c r="C4" s="136">
        <f>IF(SER_hh_tes!C4=0,"",SER_hh_tes!C4/SER_hh_fec!C4)</f>
        <v>0.69952619692752238</v>
      </c>
      <c r="D4" s="136">
        <f>IF(SER_hh_tes!D4=0,"",SER_hh_tes!D4/SER_hh_fec!D4)</f>
        <v>0.70220856228510964</v>
      </c>
      <c r="E4" s="136">
        <f>IF(SER_hh_tes!E4=0,"",SER_hh_tes!E4/SER_hh_fec!E4)</f>
        <v>0.70441258248794392</v>
      </c>
      <c r="F4" s="136">
        <f>IF(SER_hh_tes!F4=0,"",SER_hh_tes!F4/SER_hh_fec!F4)</f>
        <v>0.70991438223391923</v>
      </c>
      <c r="G4" s="136">
        <f>IF(SER_hh_tes!G4=0,"",SER_hh_tes!G4/SER_hh_fec!G4)</f>
        <v>0.71487710251515257</v>
      </c>
      <c r="H4" s="136">
        <f>IF(SER_hh_tes!H4=0,"",SER_hh_tes!H4/SER_hh_fec!H4)</f>
        <v>0.71911425580766264</v>
      </c>
      <c r="I4" s="136">
        <f>IF(SER_hh_tes!I4=0,"",SER_hh_tes!I4/SER_hh_fec!I4)</f>
        <v>0.73551254430472257</v>
      </c>
      <c r="J4" s="136">
        <f>IF(SER_hh_tes!J4=0,"",SER_hh_tes!J4/SER_hh_fec!J4)</f>
        <v>0.74311476711413382</v>
      </c>
      <c r="K4" s="136">
        <f>IF(SER_hh_tes!K4=0,"",SER_hh_tes!K4/SER_hh_fec!K4)</f>
        <v>0.7527158616251628</v>
      </c>
      <c r="L4" s="136">
        <f>IF(SER_hh_tes!L4=0,"",SER_hh_tes!L4/SER_hh_fec!L4)</f>
        <v>0.76541115097584678</v>
      </c>
      <c r="M4" s="136">
        <f>IF(SER_hh_tes!M4=0,"",SER_hh_tes!M4/SER_hh_fec!M4)</f>
        <v>0.77660850710657336</v>
      </c>
      <c r="N4" s="136">
        <f>IF(SER_hh_tes!N4=0,"",SER_hh_tes!N4/SER_hh_fec!N4)</f>
        <v>0.78168680830391801</v>
      </c>
      <c r="O4" s="136">
        <f>IF(SER_hh_tes!O4=0,"",SER_hh_tes!O4/SER_hh_fec!O4)</f>
        <v>0.78978690183352884</v>
      </c>
      <c r="P4" s="136">
        <f>IF(SER_hh_tes!P4=0,"",SER_hh_tes!P4/SER_hh_fec!P4)</f>
        <v>0.79767447427531946</v>
      </c>
      <c r="Q4" s="136">
        <f>IF(SER_hh_tes!Q4=0,"",SER_hh_tes!Q4/SER_hh_fec!Q4)</f>
        <v>0.80198905948851751</v>
      </c>
      <c r="R4" s="136">
        <f>IF(SER_hh_tes!R4=0,"",SER_hh_tes!R4/SER_hh_fec!R4)</f>
        <v>0.8061125125502443</v>
      </c>
      <c r="S4" s="136">
        <f>IF(SER_hh_tes!S4=0,"",SER_hh_tes!S4/SER_hh_fec!S4)</f>
        <v>0.81008147112995099</v>
      </c>
      <c r="T4" s="136">
        <f>IF(SER_hh_tes!T4=0,"",SER_hh_tes!T4/SER_hh_fec!T4)</f>
        <v>0.82163581762444593</v>
      </c>
      <c r="U4" s="136">
        <f>IF(SER_hh_tes!U4=0,"",SER_hh_tes!U4/SER_hh_fec!U4)</f>
        <v>0.83768551825046167</v>
      </c>
      <c r="V4" s="136">
        <f>IF(SER_hh_tes!V4=0,"",SER_hh_tes!V4/SER_hh_fec!V4)</f>
        <v>0.84810040502828044</v>
      </c>
      <c r="W4" s="136">
        <f>IF(SER_hh_tes!W4=0,"",SER_hh_tes!W4/SER_hh_fec!W4)</f>
        <v>0.8499108781952005</v>
      </c>
      <c r="DA4" s="163" t="s">
        <v>239</v>
      </c>
    </row>
    <row r="5" spans="1:105" ht="12" customHeight="1" x14ac:dyDescent="0.25">
      <c r="A5" s="132" t="s">
        <v>29</v>
      </c>
      <c r="B5" s="137" t="str">
        <f>IF(SER_hh_tes!B5=0,"",SER_hh_tes!B5/SER_hh_fec!B5)</f>
        <v/>
      </c>
      <c r="C5" s="137" t="str">
        <f>IF(SER_hh_tes!C5=0,"",SER_hh_tes!C5/SER_hh_fec!C5)</f>
        <v/>
      </c>
      <c r="D5" s="137" t="str">
        <f>IF(SER_hh_tes!D5=0,"",SER_hh_tes!D5/SER_hh_fec!D5)</f>
        <v/>
      </c>
      <c r="E5" s="137" t="str">
        <f>IF(SER_hh_tes!E5=0,"",SER_hh_tes!E5/SER_hh_fec!E5)</f>
        <v/>
      </c>
      <c r="F5" s="137" t="str">
        <f>IF(SER_hh_tes!F5=0,"",SER_hh_tes!F5/SER_hh_fec!F5)</f>
        <v/>
      </c>
      <c r="G5" s="137" t="str">
        <f>IF(SER_hh_tes!G5=0,"",SER_hh_tes!G5/SER_hh_fec!G5)</f>
        <v/>
      </c>
      <c r="H5" s="137" t="str">
        <f>IF(SER_hh_tes!H5=0,"",SER_hh_tes!H5/SER_hh_fec!H5)</f>
        <v/>
      </c>
      <c r="I5" s="137" t="str">
        <f>IF(SER_hh_tes!I5=0,"",SER_hh_tes!I5/SER_hh_fec!I5)</f>
        <v/>
      </c>
      <c r="J5" s="137" t="str">
        <f>IF(SER_hh_tes!J5=0,"",SER_hh_tes!J5/SER_hh_fec!J5)</f>
        <v/>
      </c>
      <c r="K5" s="137" t="str">
        <f>IF(SER_hh_tes!K5=0,"",SER_hh_tes!K5/SER_hh_fec!K5)</f>
        <v/>
      </c>
      <c r="L5" s="137" t="str">
        <f>IF(SER_hh_tes!L5=0,"",SER_hh_tes!L5/SER_hh_fec!L5)</f>
        <v/>
      </c>
      <c r="M5" s="137" t="str">
        <f>IF(SER_hh_tes!M5=0,"",SER_hh_tes!M5/SER_hh_fec!M5)</f>
        <v/>
      </c>
      <c r="N5" s="137" t="str">
        <f>IF(SER_hh_tes!N5=0,"",SER_hh_tes!N5/SER_hh_fec!N5)</f>
        <v/>
      </c>
      <c r="O5" s="137" t="str">
        <f>IF(SER_hh_tes!O5=0,"",SER_hh_tes!O5/SER_hh_fec!O5)</f>
        <v/>
      </c>
      <c r="P5" s="137" t="str">
        <f>IF(SER_hh_tes!P5=0,"",SER_hh_tes!P5/SER_hh_fec!P5)</f>
        <v/>
      </c>
      <c r="Q5" s="137" t="str">
        <f>IF(SER_hh_tes!Q5=0,"",SER_hh_tes!Q5/SER_hh_fec!Q5)</f>
        <v/>
      </c>
      <c r="R5" s="137" t="str">
        <f>IF(SER_hh_tes!R5=0,"",SER_hh_tes!R5/SER_hh_fec!R5)</f>
        <v/>
      </c>
      <c r="S5" s="137" t="str">
        <f>IF(SER_hh_tes!S5=0,"",SER_hh_tes!S5/SER_hh_fec!S5)</f>
        <v/>
      </c>
      <c r="T5" s="137" t="str">
        <f>IF(SER_hh_tes!T5=0,"",SER_hh_tes!T5/SER_hh_fec!T5)</f>
        <v/>
      </c>
      <c r="U5" s="137" t="str">
        <f>IF(SER_hh_tes!U5=0,"",SER_hh_tes!U5/SER_hh_fec!U5)</f>
        <v/>
      </c>
      <c r="V5" s="137" t="str">
        <f>IF(SER_hh_tes!V5=0,"",SER_hh_tes!V5/SER_hh_fec!V5)</f>
        <v/>
      </c>
      <c r="W5" s="137" t="str">
        <f>IF(SER_hh_tes!W5=0,"",SER_hh_tes!W5/SER_hh_fec!W5)</f>
        <v/>
      </c>
      <c r="DA5" s="164" t="s">
        <v>331</v>
      </c>
    </row>
    <row r="6" spans="1:105" ht="12" customHeight="1" x14ac:dyDescent="0.25">
      <c r="A6" s="132" t="s">
        <v>52</v>
      </c>
      <c r="B6" s="137" t="str">
        <f>IF(SER_hh_tes!B6=0,"",SER_hh_tes!B6/SER_hh_fec!B6)</f>
        <v/>
      </c>
      <c r="C6" s="137" t="str">
        <f>IF(SER_hh_tes!C6=0,"",SER_hh_tes!C6/SER_hh_fec!C6)</f>
        <v/>
      </c>
      <c r="D6" s="137" t="str">
        <f>IF(SER_hh_tes!D6=0,"",SER_hh_tes!D6/SER_hh_fec!D6)</f>
        <v/>
      </c>
      <c r="E6" s="137" t="str">
        <f>IF(SER_hh_tes!E6=0,"",SER_hh_tes!E6/SER_hh_fec!E6)</f>
        <v/>
      </c>
      <c r="F6" s="137" t="str">
        <f>IF(SER_hh_tes!F6=0,"",SER_hh_tes!F6/SER_hh_fec!F6)</f>
        <v/>
      </c>
      <c r="G6" s="137" t="str">
        <f>IF(SER_hh_tes!G6=0,"",SER_hh_tes!G6/SER_hh_fec!G6)</f>
        <v/>
      </c>
      <c r="H6" s="137" t="str">
        <f>IF(SER_hh_tes!H6=0,"",SER_hh_tes!H6/SER_hh_fec!H6)</f>
        <v/>
      </c>
      <c r="I6" s="137" t="str">
        <f>IF(SER_hh_tes!I6=0,"",SER_hh_tes!I6/SER_hh_fec!I6)</f>
        <v/>
      </c>
      <c r="J6" s="137" t="str">
        <f>IF(SER_hh_tes!J6=0,"",SER_hh_tes!J6/SER_hh_fec!J6)</f>
        <v/>
      </c>
      <c r="K6" s="137" t="str">
        <f>IF(SER_hh_tes!K6=0,"",SER_hh_tes!K6/SER_hh_fec!K6)</f>
        <v/>
      </c>
      <c r="L6" s="137" t="str">
        <f>IF(SER_hh_tes!L6=0,"",SER_hh_tes!L6/SER_hh_fec!L6)</f>
        <v/>
      </c>
      <c r="M6" s="137" t="str">
        <f>IF(SER_hh_tes!M6=0,"",SER_hh_tes!M6/SER_hh_fec!M6)</f>
        <v/>
      </c>
      <c r="N6" s="137" t="str">
        <f>IF(SER_hh_tes!N6=0,"",SER_hh_tes!N6/SER_hh_fec!N6)</f>
        <v/>
      </c>
      <c r="O6" s="137" t="str">
        <f>IF(SER_hh_tes!O6=0,"",SER_hh_tes!O6/SER_hh_fec!O6)</f>
        <v/>
      </c>
      <c r="P6" s="137" t="str">
        <f>IF(SER_hh_tes!P6=0,"",SER_hh_tes!P6/SER_hh_fec!P6)</f>
        <v/>
      </c>
      <c r="Q6" s="137" t="str">
        <f>IF(SER_hh_tes!Q6=0,"",SER_hh_tes!Q6/SER_hh_fec!Q6)</f>
        <v/>
      </c>
      <c r="R6" s="137" t="str">
        <f>IF(SER_hh_tes!R6=0,"",SER_hh_tes!R6/SER_hh_fec!R6)</f>
        <v/>
      </c>
      <c r="S6" s="137" t="str">
        <f>IF(SER_hh_tes!S6=0,"",SER_hh_tes!S6/SER_hh_fec!S6)</f>
        <v/>
      </c>
      <c r="T6" s="137" t="str">
        <f>IF(SER_hh_tes!T6=0,"",SER_hh_tes!T6/SER_hh_fec!T6)</f>
        <v/>
      </c>
      <c r="U6" s="137" t="str">
        <f>IF(SER_hh_tes!U6=0,"",SER_hh_tes!U6/SER_hh_fec!U6)</f>
        <v/>
      </c>
      <c r="V6" s="137" t="str">
        <f>IF(SER_hh_tes!V6=0,"",SER_hh_tes!V6/SER_hh_fec!V6)</f>
        <v/>
      </c>
      <c r="W6" s="137" t="str">
        <f>IF(SER_hh_tes!W6=0,"",SER_hh_tes!W6/SER_hh_fec!W6)</f>
        <v/>
      </c>
      <c r="DA6" s="164" t="s">
        <v>332</v>
      </c>
    </row>
    <row r="7" spans="1:105" ht="12" customHeight="1" x14ac:dyDescent="0.25">
      <c r="A7" s="132" t="s">
        <v>168</v>
      </c>
      <c r="B7" s="137">
        <f>IF(SER_hh_tes!B7=0,"",SER_hh_tes!B7/SER_hh_fec!B7)</f>
        <v>0.46078849946987416</v>
      </c>
      <c r="C7" s="137">
        <f>IF(SER_hh_tes!C7=0,"",SER_hh_tes!C7/SER_hh_fec!C7)</f>
        <v>0.46195682984498315</v>
      </c>
      <c r="D7" s="137">
        <f>IF(SER_hh_tes!D7=0,"",SER_hh_tes!D7/SER_hh_fec!D7)</f>
        <v>0.46504883040767597</v>
      </c>
      <c r="E7" s="137">
        <f>IF(SER_hh_tes!E7=0,"",SER_hh_tes!E7/SER_hh_fec!E7)</f>
        <v>0.46964816181597369</v>
      </c>
      <c r="F7" s="137">
        <f>IF(SER_hh_tes!F7=0,"",SER_hh_tes!F7/SER_hh_fec!F7)</f>
        <v>0.47529226671185232</v>
      </c>
      <c r="G7" s="137">
        <f>IF(SER_hh_tes!G7=0,"",SER_hh_tes!G7/SER_hh_fec!G7)</f>
        <v>0.47835022709181724</v>
      </c>
      <c r="H7" s="137">
        <f>IF(SER_hh_tes!H7=0,"",SER_hh_tes!H7/SER_hh_fec!H7)</f>
        <v>0.4805007404079738</v>
      </c>
      <c r="I7" s="137">
        <f>IF(SER_hh_tes!I7=0,"",SER_hh_tes!I7/SER_hh_fec!I7)</f>
        <v>0.48565115783098634</v>
      </c>
      <c r="J7" s="137">
        <f>IF(SER_hh_tes!J7=0,"",SER_hh_tes!J7/SER_hh_fec!J7)</f>
        <v>0.49558544565314161</v>
      </c>
      <c r="K7" s="137">
        <f>IF(SER_hh_tes!K7=0,"",SER_hh_tes!K7/SER_hh_fec!K7)</f>
        <v>0.50742851478686413</v>
      </c>
      <c r="L7" s="137">
        <f>IF(SER_hh_tes!L7=0,"",SER_hh_tes!L7/SER_hh_fec!L7)</f>
        <v>0.52199339604337447</v>
      </c>
      <c r="M7" s="137">
        <f>IF(SER_hh_tes!M7=0,"",SER_hh_tes!M7/SER_hh_fec!M7)</f>
        <v>0.54217174059007767</v>
      </c>
      <c r="N7" s="137">
        <f>IF(SER_hh_tes!N7=0,"",SER_hh_tes!N7/SER_hh_fec!N7)</f>
        <v>0.57146770972356375</v>
      </c>
      <c r="O7" s="137">
        <f>IF(SER_hh_tes!O7=0,"",SER_hh_tes!O7/SER_hh_fec!O7)</f>
        <v>0.59812594608983449</v>
      </c>
      <c r="P7" s="137">
        <f>IF(SER_hh_tes!P7=0,"",SER_hh_tes!P7/SER_hh_fec!P7)</f>
        <v>0.60409552676501477</v>
      </c>
      <c r="Q7" s="137">
        <f>IF(SER_hh_tes!Q7=0,"",SER_hh_tes!Q7/SER_hh_fec!Q7)</f>
        <v>0.60788753113053395</v>
      </c>
      <c r="R7" s="137">
        <f>IF(SER_hh_tes!R7=0,"",SER_hh_tes!R7/SER_hh_fec!R7)</f>
        <v>0.61409396018272677</v>
      </c>
      <c r="S7" s="137">
        <f>IF(SER_hh_tes!S7=0,"",SER_hh_tes!S7/SER_hh_fec!S7)</f>
        <v>0.61816302760659414</v>
      </c>
      <c r="T7" s="137">
        <f>IF(SER_hh_tes!T7=0,"",SER_hh_tes!T7/SER_hh_fec!T7)</f>
        <v>0.62383933592282137</v>
      </c>
      <c r="U7" s="137">
        <f>IF(SER_hh_tes!U7=0,"",SER_hh_tes!U7/SER_hh_fec!U7)</f>
        <v>0.62865912447737482</v>
      </c>
      <c r="V7" s="137">
        <f>IF(SER_hh_tes!V7=0,"",SER_hh_tes!V7/SER_hh_fec!V7)</f>
        <v>0.63121871526594708</v>
      </c>
      <c r="W7" s="137">
        <f>IF(SER_hh_tes!W7=0,"",SER_hh_tes!W7/SER_hh_fec!W7)</f>
        <v>0.63248667514597046</v>
      </c>
      <c r="DA7" s="164" t="s">
        <v>333</v>
      </c>
    </row>
    <row r="8" spans="1:105" ht="12" customHeight="1" x14ac:dyDescent="0.25">
      <c r="A8" s="132" t="s">
        <v>73</v>
      </c>
      <c r="B8" s="137">
        <f>IF(SER_hh_tes!B8=0,"",SER_hh_tes!B8/SER_hh_fec!B8)</f>
        <v>1.0156897130564915</v>
      </c>
      <c r="C8" s="137">
        <f>IF(SER_hh_tes!C8=0,"",SER_hh_tes!C8/SER_hh_fec!C8)</f>
        <v>1.0263687747472945</v>
      </c>
      <c r="D8" s="137">
        <f>IF(SER_hh_tes!D8=0,"",SER_hh_tes!D8/SER_hh_fec!D8)</f>
        <v>1.0663144952159467</v>
      </c>
      <c r="E8" s="137">
        <f>IF(SER_hh_tes!E8=0,"",SER_hh_tes!E8/SER_hh_fec!E8)</f>
        <v>1.1135377711317929</v>
      </c>
      <c r="F8" s="137">
        <f>IF(SER_hh_tes!F8=0,"",SER_hh_tes!F8/SER_hh_fec!F8)</f>
        <v>1.1516005514899998</v>
      </c>
      <c r="G8" s="137">
        <f>IF(SER_hh_tes!G8=0,"",SER_hh_tes!G8/SER_hh_fec!G8)</f>
        <v>1.2310494855785212</v>
      </c>
      <c r="H8" s="137">
        <f>IF(SER_hh_tes!H8=0,"",SER_hh_tes!H8/SER_hh_fec!H8)</f>
        <v>1.3281140597015122</v>
      </c>
      <c r="I8" s="137">
        <f>IF(SER_hh_tes!I8=0,"",SER_hh_tes!I8/SER_hh_fec!I8)</f>
        <v>1.4615449349328327</v>
      </c>
      <c r="J8" s="137">
        <f>IF(SER_hh_tes!J8=0,"",SER_hh_tes!J8/SER_hh_fec!J8)</f>
        <v>1.5308977770678001</v>
      </c>
      <c r="K8" s="137">
        <f>IF(SER_hh_tes!K8=0,"",SER_hh_tes!K8/SER_hh_fec!K8)</f>
        <v>1.5916579469497718</v>
      </c>
      <c r="L8" s="137">
        <f>IF(SER_hh_tes!L8=0,"",SER_hh_tes!L8/SER_hh_fec!L8)</f>
        <v>1.6384823455855722</v>
      </c>
      <c r="M8" s="137">
        <f>IF(SER_hh_tes!M8=0,"",SER_hh_tes!M8/SER_hh_fec!M8)</f>
        <v>1.7064659224851531</v>
      </c>
      <c r="N8" s="137">
        <f>IF(SER_hh_tes!N8=0,"",SER_hh_tes!N8/SER_hh_fec!N8)</f>
        <v>1.7874491729641488</v>
      </c>
      <c r="O8" s="137">
        <f>IF(SER_hh_tes!O8=0,"",SER_hh_tes!O8/SER_hh_fec!O8)</f>
        <v>1.879210026922794</v>
      </c>
      <c r="P8" s="137">
        <f>IF(SER_hh_tes!P8=0,"",SER_hh_tes!P8/SER_hh_fec!P8)</f>
        <v>1.9654418144900394</v>
      </c>
      <c r="Q8" s="137">
        <f>IF(SER_hh_tes!Q8=0,"",SER_hh_tes!Q8/SER_hh_fec!Q8)</f>
        <v>2.0311667485887712</v>
      </c>
      <c r="R8" s="137">
        <f>IF(SER_hh_tes!R8=0,"",SER_hh_tes!R8/SER_hh_fec!R8)</f>
        <v>2.0828690993123526</v>
      </c>
      <c r="S8" s="137">
        <f>IF(SER_hh_tes!S8=0,"",SER_hh_tes!S8/SER_hh_fec!S8)</f>
        <v>2.1306276488358766</v>
      </c>
      <c r="T8" s="137">
        <f>IF(SER_hh_tes!T8=0,"",SER_hh_tes!T8/SER_hh_fec!T8)</f>
        <v>2.1904260349783757</v>
      </c>
      <c r="U8" s="137">
        <f>IF(SER_hh_tes!U8=0,"",SER_hh_tes!U8/SER_hh_fec!U8)</f>
        <v>2.2447859145377071</v>
      </c>
      <c r="V8" s="137">
        <f>IF(SER_hh_tes!V8=0,"",SER_hh_tes!V8/SER_hh_fec!V8)</f>
        <v>2.2953763567538825</v>
      </c>
      <c r="W8" s="137">
        <f>IF(SER_hh_tes!W8=0,"",SER_hh_tes!W8/SER_hh_fec!W8)</f>
        <v>2.3269501264663406</v>
      </c>
      <c r="DA8" s="164" t="s">
        <v>334</v>
      </c>
    </row>
    <row r="9" spans="1:105" ht="12" customHeight="1" x14ac:dyDescent="0.25">
      <c r="A9" s="132" t="s">
        <v>78</v>
      </c>
      <c r="B9" s="137">
        <f>IF(SER_hh_tes!B9=0,"",SER_hh_tes!B9/SER_hh_fec!B9)</f>
        <v>0.50650440751434522</v>
      </c>
      <c r="C9" s="137">
        <f>IF(SER_hh_tes!C9=0,"",SER_hh_tes!C9/SER_hh_fec!C9)</f>
        <v>0.51484962957252811</v>
      </c>
      <c r="D9" s="137">
        <f>IF(SER_hh_tes!D9=0,"",SER_hh_tes!D9/SER_hh_fec!D9)</f>
        <v>0.53021904688457977</v>
      </c>
      <c r="E9" s="137">
        <f>IF(SER_hh_tes!E9=0,"",SER_hh_tes!E9/SER_hh_fec!E9)</f>
        <v>0.54521951930299872</v>
      </c>
      <c r="F9" s="137">
        <f>IF(SER_hh_tes!F9=0,"",SER_hh_tes!F9/SER_hh_fec!F9)</f>
        <v>0.55829508212447876</v>
      </c>
      <c r="G9" s="137">
        <f>IF(SER_hh_tes!G9=0,"",SER_hh_tes!G9/SER_hh_fec!G9)</f>
        <v>0.57035759995532287</v>
      </c>
      <c r="H9" s="137">
        <f>IF(SER_hh_tes!H9=0,"",SER_hh_tes!H9/SER_hh_fec!H9)</f>
        <v>0.58116149189069533</v>
      </c>
      <c r="I9" s="137">
        <f>IF(SER_hh_tes!I9=0,"",SER_hh_tes!I9/SER_hh_fec!I9)</f>
        <v>0.58968503002802508</v>
      </c>
      <c r="J9" s="137">
        <f>IF(SER_hh_tes!J9=0,"",SER_hh_tes!J9/SER_hh_fec!J9)</f>
        <v>0.59780513438692073</v>
      </c>
      <c r="K9" s="137">
        <f>IF(SER_hh_tes!K9=0,"",SER_hh_tes!K9/SER_hh_fec!K9)</f>
        <v>0.60547835345853696</v>
      </c>
      <c r="L9" s="137">
        <f>IF(SER_hh_tes!L9=0,"",SER_hh_tes!L9/SER_hh_fec!L9)</f>
        <v>0.61275069155879502</v>
      </c>
      <c r="M9" s="137">
        <f>IF(SER_hh_tes!M9=0,"",SER_hh_tes!M9/SER_hh_fec!M9)</f>
        <v>0.62262134518147205</v>
      </c>
      <c r="N9" s="137">
        <f>IF(SER_hh_tes!N9=0,"",SER_hh_tes!N9/SER_hh_fec!N9)</f>
        <v>0.63698369524843779</v>
      </c>
      <c r="O9" s="137">
        <f>IF(SER_hh_tes!O9=0,"",SER_hh_tes!O9/SER_hh_fec!O9)</f>
        <v>0.65259116927069249</v>
      </c>
      <c r="P9" s="137">
        <f>IF(SER_hh_tes!P9=0,"",SER_hh_tes!P9/SER_hh_fec!P9)</f>
        <v>0.65761924169038344</v>
      </c>
      <c r="Q9" s="137">
        <f>IF(SER_hh_tes!Q9=0,"",SER_hh_tes!Q9/SER_hh_fec!Q9)</f>
        <v>0.67171075113071621</v>
      </c>
      <c r="R9" s="137">
        <f>IF(SER_hh_tes!R9=0,"",SER_hh_tes!R9/SER_hh_fec!R9)</f>
        <v>0.68417425934560039</v>
      </c>
      <c r="S9" s="137">
        <f>IF(SER_hh_tes!S9=0,"",SER_hh_tes!S9/SER_hh_fec!S9)</f>
        <v>0.69939934458954089</v>
      </c>
      <c r="T9" s="137">
        <f>IF(SER_hh_tes!T9=0,"",SER_hh_tes!T9/SER_hh_fec!T9)</f>
        <v>0.71483605690670071</v>
      </c>
      <c r="U9" s="137">
        <f>IF(SER_hh_tes!U9=0,"",SER_hh_tes!U9/SER_hh_fec!U9)</f>
        <v>0.73329784786142993</v>
      </c>
      <c r="V9" s="137">
        <f>IF(SER_hh_tes!V9=0,"",SER_hh_tes!V9/SER_hh_fec!V9)</f>
        <v>0.74784418599533709</v>
      </c>
      <c r="W9" s="137">
        <f>IF(SER_hh_tes!W9=0,"",SER_hh_tes!W9/SER_hh_fec!W9)</f>
        <v>0.75681500616993713</v>
      </c>
      <c r="DA9" s="164" t="s">
        <v>335</v>
      </c>
    </row>
    <row r="10" spans="1:105" ht="12" customHeight="1" x14ac:dyDescent="0.25">
      <c r="A10" s="132" t="s">
        <v>128</v>
      </c>
      <c r="B10" s="137">
        <f>IF(SER_hh_tes!B10=0,"",SER_hh_tes!B10/SER_hh_fec!B10)</f>
        <v>0.4548817141214096</v>
      </c>
      <c r="C10" s="137">
        <f>IF(SER_hh_tes!C10=0,"",SER_hh_tes!C10/SER_hh_fec!C10)</f>
        <v>0.46176910811306393</v>
      </c>
      <c r="D10" s="137">
        <f>IF(SER_hh_tes!D10=0,"",SER_hh_tes!D10/SER_hh_fec!D10)</f>
        <v>0.47648629733461006</v>
      </c>
      <c r="E10" s="137">
        <f>IF(SER_hh_tes!E10=0,"",SER_hh_tes!E10/SER_hh_fec!E10)</f>
        <v>0.48516070192967642</v>
      </c>
      <c r="F10" s="137">
        <f>IF(SER_hh_tes!F10=0,"",SER_hh_tes!F10/SER_hh_fec!F10)</f>
        <v>0.4922024970882935</v>
      </c>
      <c r="G10" s="137">
        <f>IF(SER_hh_tes!G10=0,"",SER_hh_tes!G10/SER_hh_fec!G10)</f>
        <v>0.500010965294027</v>
      </c>
      <c r="H10" s="137">
        <f>IF(SER_hh_tes!H10=0,"",SER_hh_tes!H10/SER_hh_fec!H10)</f>
        <v>0.50707854773818195</v>
      </c>
      <c r="I10" s="137">
        <f>IF(SER_hh_tes!I10=0,"",SER_hh_tes!I10/SER_hh_fec!I10)</f>
        <v>0.51120607050229194</v>
      </c>
      <c r="J10" s="137">
        <f>IF(SER_hh_tes!J10=0,"",SER_hh_tes!J10/SER_hh_fec!J10)</f>
        <v>0.51559244072577226</v>
      </c>
      <c r="K10" s="137">
        <f>IF(SER_hh_tes!K10=0,"",SER_hh_tes!K10/SER_hh_fec!K10)</f>
        <v>0.52044472899457883</v>
      </c>
      <c r="L10" s="137">
        <f>IF(SER_hh_tes!L10=0,"",SER_hh_tes!L10/SER_hh_fec!L10)</f>
        <v>0.52720804653551956</v>
      </c>
      <c r="M10" s="137">
        <f>IF(SER_hh_tes!M10=0,"",SER_hh_tes!M10/SER_hh_fec!M10)</f>
        <v>0.53912598881401508</v>
      </c>
      <c r="N10" s="137">
        <f>IF(SER_hh_tes!N10=0,"",SER_hh_tes!N10/SER_hh_fec!N10)</f>
        <v>0.55042237979960229</v>
      </c>
      <c r="O10" s="137">
        <f>IF(SER_hh_tes!O10=0,"",SER_hh_tes!O10/SER_hh_fec!O10)</f>
        <v>0.55884547782633109</v>
      </c>
      <c r="P10" s="137">
        <f>IF(SER_hh_tes!P10=0,"",SER_hh_tes!P10/SER_hh_fec!P10)</f>
        <v>0.55913925015834109</v>
      </c>
      <c r="Q10" s="137">
        <f>IF(SER_hh_tes!Q10=0,"",SER_hh_tes!Q10/SER_hh_fec!Q10)</f>
        <v>0.55932732499973625</v>
      </c>
      <c r="R10" s="137">
        <f>IF(SER_hh_tes!R10=0,"",SER_hh_tes!R10/SER_hh_fec!R10)</f>
        <v>0.55965284968954188</v>
      </c>
      <c r="S10" s="137">
        <f>IF(SER_hh_tes!S10=0,"",SER_hh_tes!S10/SER_hh_fec!S10)</f>
        <v>0.56000496829974789</v>
      </c>
      <c r="T10" s="137">
        <f>IF(SER_hh_tes!T10=0,"",SER_hh_tes!T10/SER_hh_fec!T10)</f>
        <v>0.5603079959716768</v>
      </c>
      <c r="U10" s="137">
        <f>IF(SER_hh_tes!U10=0,"",SER_hh_tes!U10/SER_hh_fec!U10)</f>
        <v>0.56046815970011687</v>
      </c>
      <c r="V10" s="137">
        <f>IF(SER_hh_tes!V10=0,"",SER_hh_tes!V10/SER_hh_fec!V10)</f>
        <v>0.56059407848938048</v>
      </c>
      <c r="W10" s="137">
        <f>IF(SER_hh_tes!W10=0,"",SER_hh_tes!W10/SER_hh_fec!W10)</f>
        <v>0.56066645165003304</v>
      </c>
      <c r="DA10" s="164" t="s">
        <v>336</v>
      </c>
    </row>
    <row r="11" spans="1:105" ht="12" customHeight="1" x14ac:dyDescent="0.25">
      <c r="A11" s="132" t="s">
        <v>25</v>
      </c>
      <c r="B11" s="137" t="str">
        <f>IF(SER_hh_tes!B11=0,"",SER_hh_tes!B11/SER_hh_fec!B11)</f>
        <v/>
      </c>
      <c r="C11" s="137" t="str">
        <f>IF(SER_hh_tes!C11=0,"",SER_hh_tes!C11/SER_hh_fec!C11)</f>
        <v/>
      </c>
      <c r="D11" s="137" t="str">
        <f>IF(SER_hh_tes!D11=0,"",SER_hh_tes!D11/SER_hh_fec!D11)</f>
        <v/>
      </c>
      <c r="E11" s="137" t="str">
        <f>IF(SER_hh_tes!E11=0,"",SER_hh_tes!E11/SER_hh_fec!E11)</f>
        <v/>
      </c>
      <c r="F11" s="137" t="str">
        <f>IF(SER_hh_tes!F11=0,"",SER_hh_tes!F11/SER_hh_fec!F11)</f>
        <v/>
      </c>
      <c r="G11" s="137" t="str">
        <f>IF(SER_hh_tes!G11=0,"",SER_hh_tes!G11/SER_hh_fec!G11)</f>
        <v/>
      </c>
      <c r="H11" s="137" t="str">
        <f>IF(SER_hh_tes!H11=0,"",SER_hh_tes!H11/SER_hh_fec!H11)</f>
        <v/>
      </c>
      <c r="I11" s="137" t="str">
        <f>IF(SER_hh_tes!I11=0,"",SER_hh_tes!I11/SER_hh_fec!I11)</f>
        <v/>
      </c>
      <c r="J11" s="137" t="str">
        <f>IF(SER_hh_tes!J11=0,"",SER_hh_tes!J11/SER_hh_fec!J11)</f>
        <v/>
      </c>
      <c r="K11" s="137" t="str">
        <f>IF(SER_hh_tes!K11=0,"",SER_hh_tes!K11/SER_hh_fec!K11)</f>
        <v/>
      </c>
      <c r="L11" s="137" t="str">
        <f>IF(SER_hh_tes!L11=0,"",SER_hh_tes!L11/SER_hh_fec!L11)</f>
        <v/>
      </c>
      <c r="M11" s="137" t="str">
        <f>IF(SER_hh_tes!M11=0,"",SER_hh_tes!M11/SER_hh_fec!M11)</f>
        <v/>
      </c>
      <c r="N11" s="137" t="str">
        <f>IF(SER_hh_tes!N11=0,"",SER_hh_tes!N11/SER_hh_fec!N11)</f>
        <v/>
      </c>
      <c r="O11" s="137" t="str">
        <f>IF(SER_hh_tes!O11=0,"",SER_hh_tes!O11/SER_hh_fec!O11)</f>
        <v/>
      </c>
      <c r="P11" s="137" t="str">
        <f>IF(SER_hh_tes!P11=0,"",SER_hh_tes!P11/SER_hh_fec!P11)</f>
        <v/>
      </c>
      <c r="Q11" s="137" t="str">
        <f>IF(SER_hh_tes!Q11=0,"",SER_hh_tes!Q11/SER_hh_fec!Q11)</f>
        <v/>
      </c>
      <c r="R11" s="137" t="str">
        <f>IF(SER_hh_tes!R11=0,"",SER_hh_tes!R11/SER_hh_fec!R11)</f>
        <v/>
      </c>
      <c r="S11" s="137" t="str">
        <f>IF(SER_hh_tes!S11=0,"",SER_hh_tes!S11/SER_hh_fec!S11)</f>
        <v/>
      </c>
      <c r="T11" s="137" t="str">
        <f>IF(SER_hh_tes!T11=0,"",SER_hh_tes!T11/SER_hh_fec!T11)</f>
        <v/>
      </c>
      <c r="U11" s="137" t="str">
        <f>IF(SER_hh_tes!U11=0,"",SER_hh_tes!U11/SER_hh_fec!U11)</f>
        <v/>
      </c>
      <c r="V11" s="137" t="str">
        <f>IF(SER_hh_tes!V11=0,"",SER_hh_tes!V11/SER_hh_fec!V11)</f>
        <v/>
      </c>
      <c r="W11" s="137" t="str">
        <f>IF(SER_hh_tes!W11=0,"",SER_hh_tes!W11/SER_hh_fec!W11)</f>
        <v/>
      </c>
      <c r="DA11" s="164" t="s">
        <v>337</v>
      </c>
    </row>
    <row r="12" spans="1:105" ht="12" customHeight="1" x14ac:dyDescent="0.25">
      <c r="A12" s="132" t="s">
        <v>169</v>
      </c>
      <c r="B12" s="137">
        <f>IF(SER_hh_tes!B12=0,"",SER_hh_tes!B12/SER_hh_fec!B12)</f>
        <v>0.78764809760177923</v>
      </c>
      <c r="C12" s="137">
        <f>IF(SER_hh_tes!C12=0,"",SER_hh_tes!C12/SER_hh_fec!C12)</f>
        <v>0.79062498586950181</v>
      </c>
      <c r="D12" s="137">
        <f>IF(SER_hh_tes!D12=0,"",SER_hh_tes!D12/SER_hh_fec!D12)</f>
        <v>0.79347061747864667</v>
      </c>
      <c r="E12" s="137">
        <f>IF(SER_hh_tes!E12=0,"",SER_hh_tes!E12/SER_hh_fec!E12)</f>
        <v>0.79626767911474672</v>
      </c>
      <c r="F12" s="137">
        <f>IF(SER_hh_tes!F12=0,"",SER_hh_tes!F12/SER_hh_fec!F12)</f>
        <v>0.79893007049600961</v>
      </c>
      <c r="G12" s="137">
        <f>IF(SER_hh_tes!G12=0,"",SER_hh_tes!G12/SER_hh_fec!G12)</f>
        <v>0.80162986070923847</v>
      </c>
      <c r="H12" s="137">
        <f>IF(SER_hh_tes!H12=0,"",SER_hh_tes!H12/SER_hh_fec!H12)</f>
        <v>0.80443719188854168</v>
      </c>
      <c r="I12" s="137">
        <f>IF(SER_hh_tes!I12=0,"",SER_hh_tes!I12/SER_hh_fec!I12)</f>
        <v>0.80788405296357491</v>
      </c>
      <c r="J12" s="137">
        <f>IF(SER_hh_tes!J12=0,"",SER_hh_tes!J12/SER_hh_fec!J12)</f>
        <v>0.81131130576694932</v>
      </c>
      <c r="K12" s="137">
        <f>IF(SER_hh_tes!K12=0,"",SER_hh_tes!K12/SER_hh_fec!K12)</f>
        <v>0.81530659159510688</v>
      </c>
      <c r="L12" s="137">
        <f>IF(SER_hh_tes!L12=0,"",SER_hh_tes!L12/SER_hh_fec!L12)</f>
        <v>0.81942456106079342</v>
      </c>
      <c r="M12" s="137">
        <f>IF(SER_hh_tes!M12=0,"",SER_hh_tes!M12/SER_hh_fec!M12)</f>
        <v>0.82329208701908818</v>
      </c>
      <c r="N12" s="137">
        <f>IF(SER_hh_tes!N12=0,"",SER_hh_tes!N12/SER_hh_fec!N12)</f>
        <v>0.82749384279641802</v>
      </c>
      <c r="O12" s="137">
        <f>IF(SER_hh_tes!O12=0,"",SER_hh_tes!O12/SER_hh_fec!O12)</f>
        <v>0.83176418939225016</v>
      </c>
      <c r="P12" s="137">
        <f>IF(SER_hh_tes!P12=0,"",SER_hh_tes!P12/SER_hh_fec!P12)</f>
        <v>0.83381920858299197</v>
      </c>
      <c r="Q12" s="137">
        <f>IF(SER_hh_tes!Q12=0,"",SER_hh_tes!Q12/SER_hh_fec!Q12)</f>
        <v>0.83641659258891887</v>
      </c>
      <c r="R12" s="137">
        <f>IF(SER_hh_tes!R12=0,"",SER_hh_tes!R12/SER_hh_fec!R12)</f>
        <v>0.83972486803667035</v>
      </c>
      <c r="S12" s="137">
        <f>IF(SER_hh_tes!S12=0,"",SER_hh_tes!S12/SER_hh_fec!S12)</f>
        <v>0.84422970440834244</v>
      </c>
      <c r="T12" s="137">
        <f>IF(SER_hh_tes!T12=0,"",SER_hh_tes!T12/SER_hh_fec!T12)</f>
        <v>0.84895864540027888</v>
      </c>
      <c r="U12" s="137">
        <f>IF(SER_hh_tes!U12=0,"",SER_hh_tes!U12/SER_hh_fec!U12)</f>
        <v>0.85353594335426231</v>
      </c>
      <c r="V12" s="137">
        <f>IF(SER_hh_tes!V12=0,"",SER_hh_tes!V12/SER_hh_fec!V12)</f>
        <v>0.85828070860715733</v>
      </c>
      <c r="W12" s="137">
        <f>IF(SER_hh_tes!W12=0,"",SER_hh_tes!W12/SER_hh_fec!W12)</f>
        <v>0.8632762458924198</v>
      </c>
      <c r="DA12" s="164" t="s">
        <v>338</v>
      </c>
    </row>
    <row r="13" spans="1:105" ht="12" customHeight="1" x14ac:dyDescent="0.25">
      <c r="A13" s="132" t="s">
        <v>77</v>
      </c>
      <c r="B13" s="137">
        <f>IF(SER_hh_tes!B13=0,"",SER_hh_tes!B13/SER_hh_fec!B13)</f>
        <v>1.3694165366288158</v>
      </c>
      <c r="C13" s="137">
        <f>IF(SER_hh_tes!C13=0,"",SER_hh_tes!C13/SER_hh_fec!C13)</f>
        <v>1.3879672557971416</v>
      </c>
      <c r="D13" s="137">
        <f>IF(SER_hh_tes!D13=0,"",SER_hh_tes!D13/SER_hh_fec!D13)</f>
        <v>1.4090539642233719</v>
      </c>
      <c r="E13" s="137">
        <f>IF(SER_hh_tes!E13=0,"",SER_hh_tes!E13/SER_hh_fec!E13)</f>
        <v>1.4305209258190341</v>
      </c>
      <c r="F13" s="137">
        <f>IF(SER_hh_tes!F13=0,"",SER_hh_tes!F13/SER_hh_fec!F13)</f>
        <v>1.4572961598026235</v>
      </c>
      <c r="G13" s="137">
        <f>IF(SER_hh_tes!G13=0,"",SER_hh_tes!G13/SER_hh_fec!G13)</f>
        <v>1.5899730523166853</v>
      </c>
      <c r="H13" s="137">
        <f>IF(SER_hh_tes!H13=0,"",SER_hh_tes!H13/SER_hh_fec!H13)</f>
        <v>1.7826474055047512</v>
      </c>
      <c r="I13" s="137">
        <f>IF(SER_hh_tes!I13=0,"",SER_hh_tes!I13/SER_hh_fec!I13)</f>
        <v>2.0013384629160336</v>
      </c>
      <c r="J13" s="137">
        <f>IF(SER_hh_tes!J13=0,"",SER_hh_tes!J13/SER_hh_fec!J13)</f>
        <v>2.1072205890617415</v>
      </c>
      <c r="K13" s="137">
        <f>IF(SER_hh_tes!K13=0,"",SER_hh_tes!K13/SER_hh_fec!K13)</f>
        <v>2.1898826685158981</v>
      </c>
      <c r="L13" s="137">
        <f>IF(SER_hh_tes!L13=0,"",SER_hh_tes!L13/SER_hh_fec!L13)</f>
        <v>2.249205531450277</v>
      </c>
      <c r="M13" s="137">
        <f>IF(SER_hh_tes!M13=0,"",SER_hh_tes!M13/SER_hh_fec!M13)</f>
        <v>2.3317362309314729</v>
      </c>
      <c r="N13" s="137">
        <f>IF(SER_hh_tes!N13=0,"",SER_hh_tes!N13/SER_hh_fec!N13)</f>
        <v>2.4140800016349737</v>
      </c>
      <c r="O13" s="137">
        <f>IF(SER_hh_tes!O13=0,"",SER_hh_tes!O13/SER_hh_fec!O13)</f>
        <v>2.500573220162198</v>
      </c>
      <c r="P13" s="137">
        <f>IF(SER_hh_tes!P13=0,"",SER_hh_tes!P13/SER_hh_fec!P13)</f>
        <v>2.5630807410506211</v>
      </c>
      <c r="Q13" s="137">
        <f>IF(SER_hh_tes!Q13=0,"",SER_hh_tes!Q13/SER_hh_fec!Q13)</f>
        <v>2.6199060578582891</v>
      </c>
      <c r="R13" s="137">
        <f>IF(SER_hh_tes!R13=0,"",SER_hh_tes!R13/SER_hh_fec!R13)</f>
        <v>2.6851812404797406</v>
      </c>
      <c r="S13" s="137">
        <f>IF(SER_hh_tes!S13=0,"",SER_hh_tes!S13/SER_hh_fec!S13)</f>
        <v>2.760645829102633</v>
      </c>
      <c r="T13" s="137">
        <f>IF(SER_hh_tes!T13=0,"",SER_hh_tes!T13/SER_hh_fec!T13)</f>
        <v>2.8664024682335665</v>
      </c>
      <c r="U13" s="137">
        <f>IF(SER_hh_tes!U13=0,"",SER_hh_tes!U13/SER_hh_fec!U13)</f>
        <v>2.9712810857452077</v>
      </c>
      <c r="V13" s="137">
        <f>IF(SER_hh_tes!V13=0,"",SER_hh_tes!V13/SER_hh_fec!V13)</f>
        <v>3.0753048256232121</v>
      </c>
      <c r="W13" s="137">
        <f>IF(SER_hh_tes!W13=0,"",SER_hh_tes!W13/SER_hh_fec!W13)</f>
        <v>3.173795193514839</v>
      </c>
      <c r="DA13" s="164" t="s">
        <v>339</v>
      </c>
    </row>
    <row r="14" spans="1:105" ht="12" customHeight="1" x14ac:dyDescent="0.25">
      <c r="A14" s="60" t="s">
        <v>76</v>
      </c>
      <c r="B14" s="138">
        <f>IF(SER_hh_tes!B14=0,"",SER_hh_tes!B14/SER_hh_fec!B14)</f>
        <v>0.69981735543785217</v>
      </c>
      <c r="C14" s="138">
        <f>IF(SER_hh_tes!C14=0,"",SER_hh_tes!C14/SER_hh_fec!C14)</f>
        <v>0.70236407810543333</v>
      </c>
      <c r="D14" s="138">
        <f>IF(SER_hh_tes!D14=0,"",SER_hh_tes!D14/SER_hh_fec!D14)</f>
        <v>0.70410047672830645</v>
      </c>
      <c r="E14" s="138">
        <f>IF(SER_hh_tes!E14=0,"",SER_hh_tes!E14/SER_hh_fec!E14)</f>
        <v>0.70616431837558513</v>
      </c>
      <c r="F14" s="138">
        <f>IF(SER_hh_tes!F14=0,"",SER_hh_tes!F14/SER_hh_fec!F14)</f>
        <v>0.7098797887787337</v>
      </c>
      <c r="G14" s="138">
        <f>IF(SER_hh_tes!G14=0,"",SER_hh_tes!G14/SER_hh_fec!G14)</f>
        <v>0.71470178031476383</v>
      </c>
      <c r="H14" s="138">
        <f>IF(SER_hh_tes!H14=0,"",SER_hh_tes!H14/SER_hh_fec!H14)</f>
        <v>0.72041609868223755</v>
      </c>
      <c r="I14" s="138">
        <f>IF(SER_hh_tes!I14=0,"",SER_hh_tes!I14/SER_hh_fec!I14)</f>
        <v>0.72576114417345872</v>
      </c>
      <c r="J14" s="138">
        <f>IF(SER_hh_tes!J14=0,"",SER_hh_tes!J14/SER_hh_fec!J14)</f>
        <v>0.7301148639712487</v>
      </c>
      <c r="K14" s="138">
        <f>IF(SER_hh_tes!K14=0,"",SER_hh_tes!K14/SER_hh_fec!K14)</f>
        <v>0.73385850920858542</v>
      </c>
      <c r="L14" s="138">
        <f>IF(SER_hh_tes!L14=0,"",SER_hh_tes!L14/SER_hh_fec!L14)</f>
        <v>0.73846957318456175</v>
      </c>
      <c r="M14" s="138">
        <f>IF(SER_hh_tes!M14=0,"",SER_hh_tes!M14/SER_hh_fec!M14)</f>
        <v>0.74407076210127809</v>
      </c>
      <c r="N14" s="138">
        <f>IF(SER_hh_tes!N14=0,"",SER_hh_tes!N14/SER_hh_fec!N14)</f>
        <v>0.75018009641972916</v>
      </c>
      <c r="O14" s="138">
        <f>IF(SER_hh_tes!O14=0,"",SER_hh_tes!O14/SER_hh_fec!O14)</f>
        <v>0.75654006836606447</v>
      </c>
      <c r="P14" s="138">
        <f>IF(SER_hh_tes!P14=0,"",SER_hh_tes!P14/SER_hh_fec!P14)</f>
        <v>0.75702019792099828</v>
      </c>
      <c r="Q14" s="138">
        <f>IF(SER_hh_tes!Q14=0,"",SER_hh_tes!Q14/SER_hh_fec!Q14)</f>
        <v>0.75744367011524927</v>
      </c>
      <c r="R14" s="138">
        <f>IF(SER_hh_tes!R14=0,"",SER_hh_tes!R14/SER_hh_fec!R14)</f>
        <v>0.758044559604238</v>
      </c>
      <c r="S14" s="138">
        <f>IF(SER_hh_tes!S14=0,"",SER_hh_tes!S14/SER_hh_fec!S14)</f>
        <v>0.75951248299761986</v>
      </c>
      <c r="T14" s="138">
        <f>IF(SER_hh_tes!T14=0,"",SER_hh_tes!T14/SER_hh_fec!T14)</f>
        <v>0.76090863164729527</v>
      </c>
      <c r="U14" s="138">
        <f>IF(SER_hh_tes!U14=0,"",SER_hh_tes!U14/SER_hh_fec!U14)</f>
        <v>0.76235485009253212</v>
      </c>
      <c r="V14" s="138">
        <f>IF(SER_hh_tes!V14=0,"",SER_hh_tes!V14/SER_hh_fec!V14)</f>
        <v>0.76415600642692061</v>
      </c>
      <c r="W14" s="138">
        <f>IF(SER_hh_tes!W14=0,"",SER_hh_tes!W14/SER_hh_fec!W14)</f>
        <v>0.79517278923822876</v>
      </c>
      <c r="DA14" s="165" t="s">
        <v>340</v>
      </c>
    </row>
    <row r="15" spans="1:105" ht="12" customHeight="1" x14ac:dyDescent="0.25">
      <c r="A15" s="134" t="s">
        <v>80</v>
      </c>
      <c r="B15" s="139">
        <f>IF(SER_hh_tes!B15=0,"",SER_hh_tes!B15/SER_hh_fec!B15)</f>
        <v>1</v>
      </c>
      <c r="C15" s="139">
        <f>IF(SER_hh_tes!C15=0,"",SER_hh_tes!C15/SER_hh_fec!C15)</f>
        <v>1</v>
      </c>
      <c r="D15" s="139">
        <f>IF(SER_hh_tes!D15=0,"",SER_hh_tes!D15/SER_hh_fec!D15)</f>
        <v>1</v>
      </c>
      <c r="E15" s="139">
        <f>IF(SER_hh_tes!E15=0,"",SER_hh_tes!E15/SER_hh_fec!E15)</f>
        <v>1</v>
      </c>
      <c r="F15" s="139">
        <f>IF(SER_hh_tes!F15=0,"",SER_hh_tes!F15/SER_hh_fec!F15)</f>
        <v>1</v>
      </c>
      <c r="G15" s="139">
        <f>IF(SER_hh_tes!G15=0,"",SER_hh_tes!G15/SER_hh_fec!G15)</f>
        <v>1</v>
      </c>
      <c r="H15" s="139">
        <f>IF(SER_hh_tes!H15=0,"",SER_hh_tes!H15/SER_hh_fec!H15)</f>
        <v>1</v>
      </c>
      <c r="I15" s="139">
        <f>IF(SER_hh_tes!I15=0,"",SER_hh_tes!I15/SER_hh_fec!I15)</f>
        <v>1</v>
      </c>
      <c r="J15" s="139">
        <f>IF(SER_hh_tes!J15=0,"",SER_hh_tes!J15/SER_hh_fec!J15)</f>
        <v>1</v>
      </c>
      <c r="K15" s="139">
        <f>IF(SER_hh_tes!K15=0,"",SER_hh_tes!K15/SER_hh_fec!K15)</f>
        <v>1</v>
      </c>
      <c r="L15" s="139">
        <f>IF(SER_hh_tes!L15=0,"",SER_hh_tes!L15/SER_hh_fec!L15)</f>
        <v>1</v>
      </c>
      <c r="M15" s="139">
        <f>IF(SER_hh_tes!M15=0,"",SER_hh_tes!M15/SER_hh_fec!M15)</f>
        <v>1</v>
      </c>
      <c r="N15" s="139">
        <f>IF(SER_hh_tes!N15=0,"",SER_hh_tes!N15/SER_hh_fec!N15)</f>
        <v>1</v>
      </c>
      <c r="O15" s="139">
        <f>IF(SER_hh_tes!O15=0,"",SER_hh_tes!O15/SER_hh_fec!O15)</f>
        <v>1</v>
      </c>
      <c r="P15" s="139">
        <f>IF(SER_hh_tes!P15=0,"",SER_hh_tes!P15/SER_hh_fec!P15)</f>
        <v>1</v>
      </c>
      <c r="Q15" s="139">
        <f>IF(SER_hh_tes!Q15=0,"",SER_hh_tes!Q15/SER_hh_fec!Q15)</f>
        <v>1</v>
      </c>
      <c r="R15" s="139">
        <f>IF(SER_hh_tes!R15=0,"",SER_hh_tes!R15/SER_hh_fec!R15)</f>
        <v>1</v>
      </c>
      <c r="S15" s="139">
        <f>IF(SER_hh_tes!S15=0,"",SER_hh_tes!S15/SER_hh_fec!S15)</f>
        <v>1</v>
      </c>
      <c r="T15" s="139">
        <f>IF(SER_hh_tes!T15=0,"",SER_hh_tes!T15/SER_hh_fec!T15)</f>
        <v>1</v>
      </c>
      <c r="U15" s="139">
        <f>IF(SER_hh_tes!U15=0,"",SER_hh_tes!U15/SER_hh_fec!U15)</f>
        <v>1</v>
      </c>
      <c r="V15" s="139">
        <f>IF(SER_hh_tes!V15=0,"",SER_hh_tes!V15/SER_hh_fec!V15)</f>
        <v>1</v>
      </c>
      <c r="W15" s="139">
        <f>IF(SER_hh_tes!W15=0,"",SER_hh_tes!W15/SER_hh_fec!W15)</f>
        <v>1</v>
      </c>
      <c r="DA15" s="166" t="s">
        <v>341</v>
      </c>
    </row>
    <row r="16" spans="1:105" ht="12.95" customHeight="1" x14ac:dyDescent="0.25">
      <c r="A16" s="130" t="s">
        <v>74</v>
      </c>
      <c r="B16" s="136">
        <f>IF(SER_hh_tes!B16=0,"",SER_hh_tes!B16/SER_hh_fec!B16)</f>
        <v>2.0891309124450492</v>
      </c>
      <c r="C16" s="136">
        <f>IF(SER_hh_tes!C16=0,"",SER_hh_tes!C16/SER_hh_fec!C16)</f>
        <v>2.1820225075865043</v>
      </c>
      <c r="D16" s="136">
        <f>IF(SER_hh_tes!D16=0,"",SER_hh_tes!D16/SER_hh_fec!D16)</f>
        <v>2.3000280338918686</v>
      </c>
      <c r="E16" s="136">
        <f>IF(SER_hh_tes!E16=0,"",SER_hh_tes!E16/SER_hh_fec!E16)</f>
        <v>2.4148134805826631</v>
      </c>
      <c r="F16" s="136">
        <f>IF(SER_hh_tes!F16=0,"",SER_hh_tes!F16/SER_hh_fec!F16)</f>
        <v>2.5517901368138443</v>
      </c>
      <c r="G16" s="136">
        <f>IF(SER_hh_tes!G16=0,"",SER_hh_tes!G16/SER_hh_fec!G16)</f>
        <v>2.7100648373669496</v>
      </c>
      <c r="H16" s="136">
        <f>IF(SER_hh_tes!H16=0,"",SER_hh_tes!H16/SER_hh_fec!H16)</f>
        <v>2.894463786734502</v>
      </c>
      <c r="I16" s="136">
        <f>IF(SER_hh_tes!I16=0,"",SER_hh_tes!I16/SER_hh_fec!I16)</f>
        <v>3.110354739460139</v>
      </c>
      <c r="J16" s="136">
        <f>IF(SER_hh_tes!J16=0,"",SER_hh_tes!J16/SER_hh_fec!J16)</f>
        <v>3.3479109309947619</v>
      </c>
      <c r="K16" s="136">
        <f>IF(SER_hh_tes!K16=0,"",SER_hh_tes!K16/SER_hh_fec!K16)</f>
        <v>3.4063387207296039</v>
      </c>
      <c r="L16" s="136">
        <f>IF(SER_hh_tes!L16=0,"",SER_hh_tes!L16/SER_hh_fec!L16)</f>
        <v>3.4897238164790929</v>
      </c>
      <c r="M16" s="136">
        <f>IF(SER_hh_tes!M16=0,"",SER_hh_tes!M16/SER_hh_fec!M16)</f>
        <v>3.6078646835466399</v>
      </c>
      <c r="N16" s="136">
        <f>IF(SER_hh_tes!N16=0,"",SER_hh_tes!N16/SER_hh_fec!N16)</f>
        <v>3.7361782583499314</v>
      </c>
      <c r="O16" s="136">
        <f>IF(SER_hh_tes!O16=0,"",SER_hh_tes!O16/SER_hh_fec!O16)</f>
        <v>3.8768385199722575</v>
      </c>
      <c r="P16" s="136">
        <f>IF(SER_hh_tes!P16=0,"",SER_hh_tes!P16/SER_hh_fec!P16)</f>
        <v>4.0363218192164254</v>
      </c>
      <c r="Q16" s="136">
        <f>IF(SER_hh_tes!Q16=0,"",SER_hh_tes!Q16/SER_hh_fec!Q16)</f>
        <v>4.1987638191707637</v>
      </c>
      <c r="R16" s="136">
        <f>IF(SER_hh_tes!R16=0,"",SER_hh_tes!R16/SER_hh_fec!R16)</f>
        <v>4.3655652775189013</v>
      </c>
      <c r="S16" s="136">
        <f>IF(SER_hh_tes!S16=0,"",SER_hh_tes!S16/SER_hh_fec!S16)</f>
        <v>4.5353010091885126</v>
      </c>
      <c r="T16" s="136">
        <f>IF(SER_hh_tes!T16=0,"",SER_hh_tes!T16/SER_hh_fec!T16)</f>
        <v>4.6893744275101898</v>
      </c>
      <c r="U16" s="136">
        <f>IF(SER_hh_tes!U16=0,"",SER_hh_tes!U16/SER_hh_fec!U16)</f>
        <v>4.8152751993404284</v>
      </c>
      <c r="V16" s="136">
        <f>IF(SER_hh_tes!V16=0,"",SER_hh_tes!V16/SER_hh_fec!V16)</f>
        <v>4.9197076285765577</v>
      </c>
      <c r="W16" s="136">
        <f>IF(SER_hh_tes!W16=0,"",SER_hh_tes!W16/SER_hh_fec!W16)</f>
        <v>5.052615978532164</v>
      </c>
      <c r="DA16" s="163" t="s">
        <v>240</v>
      </c>
    </row>
    <row r="17" spans="1:105" ht="12.95" customHeight="1" x14ac:dyDescent="0.25">
      <c r="A17" s="132" t="s">
        <v>73</v>
      </c>
      <c r="B17" s="137">
        <f>IF(SER_hh_tes!B17=0,"",SER_hh_tes!B17/SER_hh_fec!B17)</f>
        <v>1.343609057151987</v>
      </c>
      <c r="C17" s="137">
        <f>IF(SER_hh_tes!C17=0,"",SER_hh_tes!C17/SER_hh_fec!C17)</f>
        <v>1.35803935159254</v>
      </c>
      <c r="D17" s="137">
        <f>IF(SER_hh_tes!D17=0,"",SER_hh_tes!D17/SER_hh_fec!D17)</f>
        <v>1.37526451910184</v>
      </c>
      <c r="E17" s="137">
        <f>IF(SER_hh_tes!E17=0,"",SER_hh_tes!E17/SER_hh_fec!E17)</f>
        <v>1.3877207405223977</v>
      </c>
      <c r="F17" s="137">
        <f>IF(SER_hh_tes!F17=0,"",SER_hh_tes!F17/SER_hh_fec!F17)</f>
        <v>1.4038526276082728</v>
      </c>
      <c r="G17" s="137">
        <f>IF(SER_hh_tes!G17=0,"",SER_hh_tes!G17/SER_hh_fec!G17)</f>
        <v>1.4192853694283571</v>
      </c>
      <c r="H17" s="137">
        <f>IF(SER_hh_tes!H17=0,"",SER_hh_tes!H17/SER_hh_fec!H17)</f>
        <v>1.432473299987951</v>
      </c>
      <c r="I17" s="137">
        <f>IF(SER_hh_tes!I17=0,"",SER_hh_tes!I17/SER_hh_fec!I17)</f>
        <v>1.4450650395517237</v>
      </c>
      <c r="J17" s="137">
        <f>IF(SER_hh_tes!J17=0,"",SER_hh_tes!J17/SER_hh_fec!J17)</f>
        <v>1.4576777474620672</v>
      </c>
      <c r="K17" s="137">
        <f>IF(SER_hh_tes!K17=0,"",SER_hh_tes!K17/SER_hh_fec!K17)</f>
        <v>1.460355552301039</v>
      </c>
      <c r="L17" s="137">
        <f>IF(SER_hh_tes!L17=0,"",SER_hh_tes!L17/SER_hh_fec!L17)</f>
        <v>1.4650397559677046</v>
      </c>
      <c r="M17" s="137">
        <f>IF(SER_hh_tes!M17=0,"",SER_hh_tes!M17/SER_hh_fec!M17)</f>
        <v>1.4725295808296268</v>
      </c>
      <c r="N17" s="137">
        <f>IF(SER_hh_tes!N17=0,"",SER_hh_tes!N17/SER_hh_fec!N17)</f>
        <v>1.4836515823007896</v>
      </c>
      <c r="O17" s="137">
        <f>IF(SER_hh_tes!O17=0,"",SER_hh_tes!O17/SER_hh_fec!O17)</f>
        <v>1.5015547033371701</v>
      </c>
      <c r="P17" s="137">
        <f>IF(SER_hh_tes!P17=0,"",SER_hh_tes!P17/SER_hh_fec!P17)</f>
        <v>1.5293221310700371</v>
      </c>
      <c r="Q17" s="137">
        <f>IF(SER_hh_tes!Q17=0,"",SER_hh_tes!Q17/SER_hh_fec!Q17)</f>
        <v>1.5637296079347869</v>
      </c>
      <c r="R17" s="137">
        <f>IF(SER_hh_tes!R17=0,"",SER_hh_tes!R17/SER_hh_fec!R17)</f>
        <v>1.5911609473214297</v>
      </c>
      <c r="S17" s="137">
        <f>IF(SER_hh_tes!S17=0,"",SER_hh_tes!S17/SER_hh_fec!S17)</f>
        <v>1.6159450271287426</v>
      </c>
      <c r="T17" s="137">
        <f>IF(SER_hh_tes!T17=0,"",SER_hh_tes!T17/SER_hh_fec!T17)</f>
        <v>1.6362783609044187</v>
      </c>
      <c r="U17" s="137">
        <f>IF(SER_hh_tes!U17=0,"",SER_hh_tes!U17/SER_hh_fec!U17)</f>
        <v>1.664103062459185</v>
      </c>
      <c r="V17" s="137">
        <f>IF(SER_hh_tes!V17=0,"",SER_hh_tes!V17/SER_hh_fec!V17)</f>
        <v>1.7125825130861876</v>
      </c>
      <c r="W17" s="137">
        <f>IF(SER_hh_tes!W17=0,"",SER_hh_tes!W17/SER_hh_fec!W17)</f>
        <v>1.7342325604190933</v>
      </c>
      <c r="DA17" s="164" t="s">
        <v>342</v>
      </c>
    </row>
    <row r="18" spans="1:105" ht="12" customHeight="1" x14ac:dyDescent="0.25">
      <c r="A18" s="132" t="s">
        <v>72</v>
      </c>
      <c r="B18" s="137">
        <f>IF(SER_hh_tes!B18=0,"",SER_hh_tes!B18/SER_hh_fec!B18)</f>
        <v>2.0901642518215207</v>
      </c>
      <c r="C18" s="137">
        <f>IF(SER_hh_tes!C18=0,"",SER_hh_tes!C18/SER_hh_fec!C18)</f>
        <v>2.1832367993350923</v>
      </c>
      <c r="D18" s="137">
        <f>IF(SER_hh_tes!D18=0,"",SER_hh_tes!D18/SER_hh_fec!D18)</f>
        <v>2.3015157546182019</v>
      </c>
      <c r="E18" s="137">
        <f>IF(SER_hh_tes!E18=0,"",SER_hh_tes!E18/SER_hh_fec!E18)</f>
        <v>2.41654017471074</v>
      </c>
      <c r="F18" s="137">
        <f>IF(SER_hh_tes!F18=0,"",SER_hh_tes!F18/SER_hh_fec!F18)</f>
        <v>2.5539316020286007</v>
      </c>
      <c r="G18" s="137">
        <f>IF(SER_hh_tes!G18=0,"",SER_hh_tes!G18/SER_hh_fec!G18)</f>
        <v>2.7127566179687173</v>
      </c>
      <c r="H18" s="137">
        <f>IF(SER_hh_tes!H18=0,"",SER_hh_tes!H18/SER_hh_fec!H18)</f>
        <v>2.8977412558380493</v>
      </c>
      <c r="I18" s="137">
        <f>IF(SER_hh_tes!I18=0,"",SER_hh_tes!I18/SER_hh_fec!I18)</f>
        <v>3.1142871018333262</v>
      </c>
      <c r="J18" s="137">
        <f>IF(SER_hh_tes!J18=0,"",SER_hh_tes!J18/SER_hh_fec!J18)</f>
        <v>3.3527298975767694</v>
      </c>
      <c r="K18" s="137">
        <f>IF(SER_hh_tes!K18=0,"",SER_hh_tes!K18/SER_hh_fec!K18)</f>
        <v>3.4113141739328734</v>
      </c>
      <c r="L18" s="137">
        <f>IF(SER_hh_tes!L18=0,"",SER_hh_tes!L18/SER_hh_fec!L18)</f>
        <v>3.4951756652517996</v>
      </c>
      <c r="M18" s="137">
        <f>IF(SER_hh_tes!M18=0,"",SER_hh_tes!M18/SER_hh_fec!M18)</f>
        <v>3.6141902678729285</v>
      </c>
      <c r="N18" s="137">
        <f>IF(SER_hh_tes!N18=0,"",SER_hh_tes!N18/SER_hh_fec!N18)</f>
        <v>3.7438736011129135</v>
      </c>
      <c r="O18" s="137">
        <f>IF(SER_hh_tes!O18=0,"",SER_hh_tes!O18/SER_hh_fec!O18)</f>
        <v>3.8868004193138357</v>
      </c>
      <c r="P18" s="137">
        <f>IF(SER_hh_tes!P18=0,"",SER_hh_tes!P18/SER_hh_fec!P18)</f>
        <v>4.0501126528910385</v>
      </c>
      <c r="Q18" s="137">
        <f>IF(SER_hh_tes!Q18=0,"",SER_hh_tes!Q18/SER_hh_fec!Q18)</f>
        <v>4.218974091540991</v>
      </c>
      <c r="R18" s="137">
        <f>IF(SER_hh_tes!R18=0,"",SER_hh_tes!R18/SER_hh_fec!R18)</f>
        <v>4.392835535127368</v>
      </c>
      <c r="S18" s="137">
        <f>IF(SER_hh_tes!S18=0,"",SER_hh_tes!S18/SER_hh_fec!S18)</f>
        <v>4.569882096755804</v>
      </c>
      <c r="T18" s="137">
        <f>IF(SER_hh_tes!T18=0,"",SER_hh_tes!T18/SER_hh_fec!T18)</f>
        <v>4.7291827912365143</v>
      </c>
      <c r="U18" s="137">
        <f>IF(SER_hh_tes!U18=0,"",SER_hh_tes!U18/SER_hh_fec!U18)</f>
        <v>4.8619190217363419</v>
      </c>
      <c r="V18" s="137">
        <f>IF(SER_hh_tes!V18=0,"",SER_hh_tes!V18/SER_hh_fec!V18)</f>
        <v>4.9684851100333471</v>
      </c>
      <c r="W18" s="137">
        <f>IF(SER_hh_tes!W18=0,"",SER_hh_tes!W18/SER_hh_fec!W18)</f>
        <v>5.1057090489999517</v>
      </c>
      <c r="DA18" s="164" t="s">
        <v>343</v>
      </c>
    </row>
    <row r="19" spans="1:105" ht="12.95" customHeight="1" x14ac:dyDescent="0.25">
      <c r="A19" s="130" t="s">
        <v>35</v>
      </c>
      <c r="B19" s="136">
        <f>IF(SER_hh_tes!B19=0,"",SER_hh_tes!B19/SER_hh_fec!B19)</f>
        <v>0.69087351235300321</v>
      </c>
      <c r="C19" s="136">
        <f>IF(SER_hh_tes!C19=0,"",SER_hh_tes!C19/SER_hh_fec!C19)</f>
        <v>0.69729991388367563</v>
      </c>
      <c r="D19" s="136">
        <f>IF(SER_hh_tes!D19=0,"",SER_hh_tes!D19/SER_hh_fec!D19)</f>
        <v>0.70033679837464902</v>
      </c>
      <c r="E19" s="136">
        <f>IF(SER_hh_tes!E19=0,"",SER_hh_tes!E19/SER_hh_fec!E19)</f>
        <v>0.70232329905788649</v>
      </c>
      <c r="F19" s="136">
        <f>IF(SER_hh_tes!F19=0,"",SER_hh_tes!F19/SER_hh_fec!F19)</f>
        <v>0.70608889928280449</v>
      </c>
      <c r="G19" s="136">
        <f>IF(SER_hh_tes!G19=0,"",SER_hh_tes!G19/SER_hh_fec!G19)</f>
        <v>0.7092722731704324</v>
      </c>
      <c r="H19" s="136">
        <f>IF(SER_hh_tes!H19=0,"",SER_hh_tes!H19/SER_hh_fec!H19)</f>
        <v>0.71273433322890734</v>
      </c>
      <c r="I19" s="136">
        <f>IF(SER_hh_tes!I19=0,"",SER_hh_tes!I19/SER_hh_fec!I19)</f>
        <v>0.71974249542832403</v>
      </c>
      <c r="J19" s="136">
        <f>IF(SER_hh_tes!J19=0,"",SER_hh_tes!J19/SER_hh_fec!J19)</f>
        <v>0.72569932509099289</v>
      </c>
      <c r="K19" s="136">
        <f>IF(SER_hh_tes!K19=0,"",SER_hh_tes!K19/SER_hh_fec!K19)</f>
        <v>0.73430859375302671</v>
      </c>
      <c r="L19" s="136">
        <f>IF(SER_hh_tes!L19=0,"",SER_hh_tes!L19/SER_hh_fec!L19)</f>
        <v>0.74471113012580092</v>
      </c>
      <c r="M19" s="136">
        <f>IF(SER_hh_tes!M19=0,"",SER_hh_tes!M19/SER_hh_fec!M19)</f>
        <v>0.75459328345765231</v>
      </c>
      <c r="N19" s="136">
        <f>IF(SER_hh_tes!N19=0,"",SER_hh_tes!N19/SER_hh_fec!N19)</f>
        <v>0.76075622406093102</v>
      </c>
      <c r="O19" s="136">
        <f>IF(SER_hh_tes!O19=0,"",SER_hh_tes!O19/SER_hh_fec!O19)</f>
        <v>0.76907787892780499</v>
      </c>
      <c r="P19" s="136">
        <f>IF(SER_hh_tes!P19=0,"",SER_hh_tes!P19/SER_hh_fec!P19)</f>
        <v>0.77605133464949505</v>
      </c>
      <c r="Q19" s="136">
        <f>IF(SER_hh_tes!Q19=0,"",SER_hh_tes!Q19/SER_hh_fec!Q19)</f>
        <v>0.78089051751537131</v>
      </c>
      <c r="R19" s="136">
        <f>IF(SER_hh_tes!R19=0,"",SER_hh_tes!R19/SER_hh_fec!R19)</f>
        <v>0.78787567453650253</v>
      </c>
      <c r="S19" s="136">
        <f>IF(SER_hh_tes!S19=0,"",SER_hh_tes!S19/SER_hh_fec!S19)</f>
        <v>0.79773758935476891</v>
      </c>
      <c r="T19" s="136">
        <f>IF(SER_hh_tes!T19=0,"",SER_hh_tes!T19/SER_hh_fec!T19)</f>
        <v>0.81093203856935614</v>
      </c>
      <c r="U19" s="136">
        <f>IF(SER_hh_tes!U19=0,"",SER_hh_tes!U19/SER_hh_fec!U19)</f>
        <v>0.82385895160563527</v>
      </c>
      <c r="V19" s="136">
        <f>IF(SER_hh_tes!V19=0,"",SER_hh_tes!V19/SER_hh_fec!V19)</f>
        <v>0.83874670859323663</v>
      </c>
      <c r="W19" s="136">
        <f>IF(SER_hh_tes!W19=0,"",SER_hh_tes!W19/SER_hh_fec!W19)</f>
        <v>0.84748121907277274</v>
      </c>
      <c r="DA19" s="163" t="s">
        <v>241</v>
      </c>
    </row>
    <row r="20" spans="1:105" ht="12" customHeight="1" x14ac:dyDescent="0.25">
      <c r="A20" s="132" t="s">
        <v>29</v>
      </c>
      <c r="B20" s="137" t="str">
        <f>IF(SER_hh_tes!B20=0,"",SER_hh_tes!B20/SER_hh_fec!B20)</f>
        <v/>
      </c>
      <c r="C20" s="137" t="str">
        <f>IF(SER_hh_tes!C20=0,"",SER_hh_tes!C20/SER_hh_fec!C20)</f>
        <v/>
      </c>
      <c r="D20" s="137" t="str">
        <f>IF(SER_hh_tes!D20=0,"",SER_hh_tes!D20/SER_hh_fec!D20)</f>
        <v/>
      </c>
      <c r="E20" s="137" t="str">
        <f>IF(SER_hh_tes!E20=0,"",SER_hh_tes!E20/SER_hh_fec!E20)</f>
        <v/>
      </c>
      <c r="F20" s="137" t="str">
        <f>IF(SER_hh_tes!F20=0,"",SER_hh_tes!F20/SER_hh_fec!F20)</f>
        <v/>
      </c>
      <c r="G20" s="137" t="str">
        <f>IF(SER_hh_tes!G20=0,"",SER_hh_tes!G20/SER_hh_fec!G20)</f>
        <v/>
      </c>
      <c r="H20" s="137" t="str">
        <f>IF(SER_hh_tes!H20=0,"",SER_hh_tes!H20/SER_hh_fec!H20)</f>
        <v/>
      </c>
      <c r="I20" s="137" t="str">
        <f>IF(SER_hh_tes!I20=0,"",SER_hh_tes!I20/SER_hh_fec!I20)</f>
        <v/>
      </c>
      <c r="J20" s="137" t="str">
        <f>IF(SER_hh_tes!J20=0,"",SER_hh_tes!J20/SER_hh_fec!J20)</f>
        <v/>
      </c>
      <c r="K20" s="137" t="str">
        <f>IF(SER_hh_tes!K20=0,"",SER_hh_tes!K20/SER_hh_fec!K20)</f>
        <v/>
      </c>
      <c r="L20" s="137" t="str">
        <f>IF(SER_hh_tes!L20=0,"",SER_hh_tes!L20/SER_hh_fec!L20)</f>
        <v/>
      </c>
      <c r="M20" s="137" t="str">
        <f>IF(SER_hh_tes!M20=0,"",SER_hh_tes!M20/SER_hh_fec!M20)</f>
        <v/>
      </c>
      <c r="N20" s="137" t="str">
        <f>IF(SER_hh_tes!N20=0,"",SER_hh_tes!N20/SER_hh_fec!N20)</f>
        <v/>
      </c>
      <c r="O20" s="137" t="str">
        <f>IF(SER_hh_tes!O20=0,"",SER_hh_tes!O20/SER_hh_fec!O20)</f>
        <v/>
      </c>
      <c r="P20" s="137" t="str">
        <f>IF(SER_hh_tes!P20=0,"",SER_hh_tes!P20/SER_hh_fec!P20)</f>
        <v/>
      </c>
      <c r="Q20" s="137" t="str">
        <f>IF(SER_hh_tes!Q20=0,"",SER_hh_tes!Q20/SER_hh_fec!Q20)</f>
        <v/>
      </c>
      <c r="R20" s="137" t="str">
        <f>IF(SER_hh_tes!R20=0,"",SER_hh_tes!R20/SER_hh_fec!R20)</f>
        <v/>
      </c>
      <c r="S20" s="137" t="str">
        <f>IF(SER_hh_tes!S20=0,"",SER_hh_tes!S20/SER_hh_fec!S20)</f>
        <v/>
      </c>
      <c r="T20" s="137" t="str">
        <f>IF(SER_hh_tes!T20=0,"",SER_hh_tes!T20/SER_hh_fec!T20)</f>
        <v/>
      </c>
      <c r="U20" s="137" t="str">
        <f>IF(SER_hh_tes!U20=0,"",SER_hh_tes!U20/SER_hh_fec!U20)</f>
        <v/>
      </c>
      <c r="V20" s="137" t="str">
        <f>IF(SER_hh_tes!V20=0,"",SER_hh_tes!V20/SER_hh_fec!V20)</f>
        <v/>
      </c>
      <c r="W20" s="137" t="str">
        <f>IF(SER_hh_tes!W20=0,"",SER_hh_tes!W20/SER_hh_fec!W20)</f>
        <v/>
      </c>
      <c r="DA20" s="164" t="s">
        <v>344</v>
      </c>
    </row>
    <row r="21" spans="1:105" s="2" customFormat="1" ht="12" customHeight="1" x14ac:dyDescent="0.25">
      <c r="A21" s="132" t="s">
        <v>52</v>
      </c>
      <c r="B21" s="137" t="str">
        <f>IF(SER_hh_tes!B21=0,"",SER_hh_tes!B21/SER_hh_fec!B21)</f>
        <v/>
      </c>
      <c r="C21" s="137" t="str">
        <f>IF(SER_hh_tes!C21=0,"",SER_hh_tes!C21/SER_hh_fec!C21)</f>
        <v/>
      </c>
      <c r="D21" s="137" t="str">
        <f>IF(SER_hh_tes!D21=0,"",SER_hh_tes!D21/SER_hh_fec!D21)</f>
        <v/>
      </c>
      <c r="E21" s="137" t="str">
        <f>IF(SER_hh_tes!E21=0,"",SER_hh_tes!E21/SER_hh_fec!E21)</f>
        <v/>
      </c>
      <c r="F21" s="137" t="str">
        <f>IF(SER_hh_tes!F21=0,"",SER_hh_tes!F21/SER_hh_fec!F21)</f>
        <v/>
      </c>
      <c r="G21" s="137" t="str">
        <f>IF(SER_hh_tes!G21=0,"",SER_hh_tes!G21/SER_hh_fec!G21)</f>
        <v/>
      </c>
      <c r="H21" s="137" t="str">
        <f>IF(SER_hh_tes!H21=0,"",SER_hh_tes!H21/SER_hh_fec!H21)</f>
        <v/>
      </c>
      <c r="I21" s="137" t="str">
        <f>IF(SER_hh_tes!I21=0,"",SER_hh_tes!I21/SER_hh_fec!I21)</f>
        <v/>
      </c>
      <c r="J21" s="137" t="str">
        <f>IF(SER_hh_tes!J21=0,"",SER_hh_tes!J21/SER_hh_fec!J21)</f>
        <v/>
      </c>
      <c r="K21" s="137" t="str">
        <f>IF(SER_hh_tes!K21=0,"",SER_hh_tes!K21/SER_hh_fec!K21)</f>
        <v/>
      </c>
      <c r="L21" s="137" t="str">
        <f>IF(SER_hh_tes!L21=0,"",SER_hh_tes!L21/SER_hh_fec!L21)</f>
        <v/>
      </c>
      <c r="M21" s="137" t="str">
        <f>IF(SER_hh_tes!M21=0,"",SER_hh_tes!M21/SER_hh_fec!M21)</f>
        <v/>
      </c>
      <c r="N21" s="137" t="str">
        <f>IF(SER_hh_tes!N21=0,"",SER_hh_tes!N21/SER_hh_fec!N21)</f>
        <v/>
      </c>
      <c r="O21" s="137" t="str">
        <f>IF(SER_hh_tes!O21=0,"",SER_hh_tes!O21/SER_hh_fec!O21)</f>
        <v/>
      </c>
      <c r="P21" s="137" t="str">
        <f>IF(SER_hh_tes!P21=0,"",SER_hh_tes!P21/SER_hh_fec!P21)</f>
        <v/>
      </c>
      <c r="Q21" s="137" t="str">
        <f>IF(SER_hh_tes!Q21=0,"",SER_hh_tes!Q21/SER_hh_fec!Q21)</f>
        <v/>
      </c>
      <c r="R21" s="137" t="str">
        <f>IF(SER_hh_tes!R21=0,"",SER_hh_tes!R21/SER_hh_fec!R21)</f>
        <v/>
      </c>
      <c r="S21" s="137" t="str">
        <f>IF(SER_hh_tes!S21=0,"",SER_hh_tes!S21/SER_hh_fec!S21)</f>
        <v/>
      </c>
      <c r="T21" s="137" t="str">
        <f>IF(SER_hh_tes!T21=0,"",SER_hh_tes!T21/SER_hh_fec!T21)</f>
        <v/>
      </c>
      <c r="U21" s="137" t="str">
        <f>IF(SER_hh_tes!U21=0,"",SER_hh_tes!U21/SER_hh_fec!U21)</f>
        <v/>
      </c>
      <c r="V21" s="137" t="str">
        <f>IF(SER_hh_tes!V21=0,"",SER_hh_tes!V21/SER_hh_fec!V21)</f>
        <v/>
      </c>
      <c r="W21" s="137" t="str">
        <f>IF(SER_hh_tes!W21=0,"",SER_hh_tes!W21/SER_hh_fec!W21)</f>
        <v/>
      </c>
      <c r="DA21" s="164" t="s">
        <v>345</v>
      </c>
    </row>
    <row r="22" spans="1:105" ht="12" customHeight="1" x14ac:dyDescent="0.25">
      <c r="A22" s="132" t="s">
        <v>168</v>
      </c>
      <c r="B22" s="137">
        <f>IF(SER_hh_tes!B22=0,"",SER_hh_tes!B22/SER_hh_fec!B22)</f>
        <v>0.52364163047527945</v>
      </c>
      <c r="C22" s="137">
        <f>IF(SER_hh_tes!C22=0,"",SER_hh_tes!C22/SER_hh_fec!C22)</f>
        <v>0.52481415224435468</v>
      </c>
      <c r="D22" s="137">
        <f>IF(SER_hh_tes!D22=0,"",SER_hh_tes!D22/SER_hh_fec!D22)</f>
        <v>0.52624318144276894</v>
      </c>
      <c r="E22" s="137">
        <f>IF(SER_hh_tes!E22=0,"",SER_hh_tes!E22/SER_hh_fec!E22)</f>
        <v>0.52788140323937138</v>
      </c>
      <c r="F22" s="137">
        <f>IF(SER_hh_tes!F22=0,"",SER_hh_tes!F22/SER_hh_fec!F22)</f>
        <v>0.52947620740858969</v>
      </c>
      <c r="G22" s="137">
        <f>IF(SER_hh_tes!G22=0,"",SER_hh_tes!G22/SER_hh_fec!G22)</f>
        <v>0.53071074143418706</v>
      </c>
      <c r="H22" s="137">
        <f>IF(SER_hh_tes!H22=0,"",SER_hh_tes!H22/SER_hh_fec!H22)</f>
        <v>0.53146650691461428</v>
      </c>
      <c r="I22" s="137">
        <f>IF(SER_hh_tes!I22=0,"",SER_hh_tes!I22/SER_hh_fec!I22)</f>
        <v>0.53277798123396136</v>
      </c>
      <c r="J22" s="137">
        <f>IF(SER_hh_tes!J22=0,"",SER_hh_tes!J22/SER_hh_fec!J22)</f>
        <v>0.53571513709763174</v>
      </c>
      <c r="K22" s="137">
        <f>IF(SER_hh_tes!K22=0,"",SER_hh_tes!K22/SER_hh_fec!K22)</f>
        <v>0.53977152235287618</v>
      </c>
      <c r="L22" s="137">
        <f>IF(SER_hh_tes!L22=0,"",SER_hh_tes!L22/SER_hh_fec!L22)</f>
        <v>0.54464016238802326</v>
      </c>
      <c r="M22" s="137">
        <f>IF(SER_hh_tes!M22=0,"",SER_hh_tes!M22/SER_hh_fec!M22)</f>
        <v>0.55104465957838689</v>
      </c>
      <c r="N22" s="137">
        <f>IF(SER_hh_tes!N22=0,"",SER_hh_tes!N22/SER_hh_fec!N22)</f>
        <v>0.56261616946661119</v>
      </c>
      <c r="O22" s="137">
        <f>IF(SER_hh_tes!O22=0,"",SER_hh_tes!O22/SER_hh_fec!O22)</f>
        <v>0.57782188932568423</v>
      </c>
      <c r="P22" s="137">
        <f>IF(SER_hh_tes!P22=0,"",SER_hh_tes!P22/SER_hh_fec!P22)</f>
        <v>0.58189792493974013</v>
      </c>
      <c r="Q22" s="137">
        <f>IF(SER_hh_tes!Q22=0,"",SER_hh_tes!Q22/SER_hh_fec!Q22)</f>
        <v>0.58682887408584472</v>
      </c>
      <c r="R22" s="137">
        <f>IF(SER_hh_tes!R22=0,"",SER_hh_tes!R22/SER_hh_fec!R22)</f>
        <v>0.59439319614310071</v>
      </c>
      <c r="S22" s="137">
        <f>IF(SER_hh_tes!S22=0,"",SER_hh_tes!S22/SER_hh_fec!S22)</f>
        <v>0.59940164161235532</v>
      </c>
      <c r="T22" s="137">
        <f>IF(SER_hh_tes!T22=0,"",SER_hh_tes!T22/SER_hh_fec!T22)</f>
        <v>0.6044792305329928</v>
      </c>
      <c r="U22" s="137">
        <f>IF(SER_hh_tes!U22=0,"",SER_hh_tes!U22/SER_hh_fec!U22)</f>
        <v>0.60884419306884452</v>
      </c>
      <c r="V22" s="137">
        <f>IF(SER_hh_tes!V22=0,"",SER_hh_tes!V22/SER_hh_fec!V22)</f>
        <v>0.61125271467294728</v>
      </c>
      <c r="W22" s="137">
        <f>IF(SER_hh_tes!W22=0,"",SER_hh_tes!W22/SER_hh_fec!W22)</f>
        <v>0.61272600438708846</v>
      </c>
      <c r="DA22" s="164" t="s">
        <v>346</v>
      </c>
    </row>
    <row r="23" spans="1:105" ht="12" customHeight="1" x14ac:dyDescent="0.25">
      <c r="A23" s="132" t="s">
        <v>153</v>
      </c>
      <c r="B23" s="137">
        <f>IF(SER_hh_tes!B23=0,"",SER_hh_tes!B23/SER_hh_fec!B23)</f>
        <v>0.53496489727774565</v>
      </c>
      <c r="C23" s="137">
        <f>IF(SER_hh_tes!C23=0,"",SER_hh_tes!C23/SER_hh_fec!C23)</f>
        <v>0.54057696957784884</v>
      </c>
      <c r="D23" s="137">
        <f>IF(SER_hh_tes!D23=0,"",SER_hh_tes!D23/SER_hh_fec!D23)</f>
        <v>0.55059708550715525</v>
      </c>
      <c r="E23" s="137">
        <f>IF(SER_hh_tes!E23=0,"",SER_hh_tes!E23/SER_hh_fec!E23)</f>
        <v>0.56062664888524383</v>
      </c>
      <c r="F23" s="137">
        <f>IF(SER_hh_tes!F23=0,"",SER_hh_tes!F23/SER_hh_fec!F23)</f>
        <v>0.56935058612392786</v>
      </c>
      <c r="G23" s="137">
        <f>IF(SER_hh_tes!G23=0,"",SER_hh_tes!G23/SER_hh_fec!G23)</f>
        <v>0.57782594728827374</v>
      </c>
      <c r="H23" s="137">
        <f>IF(SER_hh_tes!H23=0,"",SER_hh_tes!H23/SER_hh_fec!H23)</f>
        <v>0.58527543762224243</v>
      </c>
      <c r="I23" s="137">
        <f>IF(SER_hh_tes!I23=0,"",SER_hh_tes!I23/SER_hh_fec!I23)</f>
        <v>0.5916892557860306</v>
      </c>
      <c r="J23" s="137">
        <f>IF(SER_hh_tes!J23=0,"",SER_hh_tes!J23/SER_hh_fec!J23)</f>
        <v>0.59782017816681299</v>
      </c>
      <c r="K23" s="137">
        <f>IF(SER_hh_tes!K23=0,"",SER_hh_tes!K23/SER_hh_fec!K23)</f>
        <v>0.60332971260754864</v>
      </c>
      <c r="L23" s="137">
        <f>IF(SER_hh_tes!L23=0,"",SER_hh_tes!L23/SER_hh_fec!L23)</f>
        <v>0.60857827242214724</v>
      </c>
      <c r="M23" s="137">
        <f>IF(SER_hh_tes!M23=0,"",SER_hh_tes!M23/SER_hh_fec!M23)</f>
        <v>0.61258360841322979</v>
      </c>
      <c r="N23" s="137">
        <f>IF(SER_hh_tes!N23=0,"",SER_hh_tes!N23/SER_hh_fec!N23)</f>
        <v>0.61964895742220405</v>
      </c>
      <c r="O23" s="137">
        <f>IF(SER_hh_tes!O23=0,"",SER_hh_tes!O23/SER_hh_fec!O23)</f>
        <v>0.62987724787887289</v>
      </c>
      <c r="P23" s="137">
        <f>IF(SER_hh_tes!P23=0,"",SER_hh_tes!P23/SER_hh_fec!P23)</f>
        <v>0.63757923705363873</v>
      </c>
      <c r="Q23" s="137">
        <f>IF(SER_hh_tes!Q23=0,"",SER_hh_tes!Q23/SER_hh_fec!Q23)</f>
        <v>0.65585188320046617</v>
      </c>
      <c r="R23" s="137">
        <f>IF(SER_hh_tes!R23=0,"",SER_hh_tes!R23/SER_hh_fec!R23)</f>
        <v>0.676754142755149</v>
      </c>
      <c r="S23" s="137">
        <f>IF(SER_hh_tes!S23=0,"",SER_hh_tes!S23/SER_hh_fec!S23)</f>
        <v>0.70206521521832133</v>
      </c>
      <c r="T23" s="137">
        <f>IF(SER_hh_tes!T23=0,"",SER_hh_tes!T23/SER_hh_fec!T23)</f>
        <v>0.72376850526820979</v>
      </c>
      <c r="U23" s="137">
        <f>IF(SER_hh_tes!U23=0,"",SER_hh_tes!U23/SER_hh_fec!U23)</f>
        <v>0.74585046335343319</v>
      </c>
      <c r="V23" s="137">
        <f>IF(SER_hh_tes!V23=0,"",SER_hh_tes!V23/SER_hh_fec!V23)</f>
        <v>0.76542378628924856</v>
      </c>
      <c r="W23" s="137">
        <f>IF(SER_hh_tes!W23=0,"",SER_hh_tes!W23/SER_hh_fec!W23)</f>
        <v>0.78266488061929618</v>
      </c>
      <c r="DA23" s="164" t="s">
        <v>347</v>
      </c>
    </row>
    <row r="24" spans="1:105" ht="12" customHeight="1" x14ac:dyDescent="0.25">
      <c r="A24" s="132" t="s">
        <v>128</v>
      </c>
      <c r="B24" s="137">
        <f>IF(SER_hh_tes!B24=0,"",SER_hh_tes!B24/SER_hh_fec!B24)</f>
        <v>0.4707966403678765</v>
      </c>
      <c r="C24" s="137">
        <f>IF(SER_hh_tes!C24=0,"",SER_hh_tes!C24/SER_hh_fec!C24)</f>
        <v>0.48386474943181546</v>
      </c>
      <c r="D24" s="137">
        <f>IF(SER_hh_tes!D24=0,"",SER_hh_tes!D24/SER_hh_fec!D24)</f>
        <v>0.49620560355097676</v>
      </c>
      <c r="E24" s="137">
        <f>IF(SER_hh_tes!E24=0,"",SER_hh_tes!E24/SER_hh_fec!E24)</f>
        <v>0.50885414525458639</v>
      </c>
      <c r="F24" s="137">
        <f>IF(SER_hh_tes!F24=0,"",SER_hh_tes!F24/SER_hh_fec!F24)</f>
        <v>0.52169925699568087</v>
      </c>
      <c r="G24" s="137">
        <f>IF(SER_hh_tes!G24=0,"",SER_hh_tes!G24/SER_hh_fec!G24)</f>
        <v>0.5358082240383254</v>
      </c>
      <c r="H24" s="137">
        <f>IF(SER_hh_tes!H24=0,"",SER_hh_tes!H24/SER_hh_fec!H24)</f>
        <v>0.55055728822766381</v>
      </c>
      <c r="I24" s="137">
        <f>IF(SER_hh_tes!I24=0,"",SER_hh_tes!I24/SER_hh_fec!I24)</f>
        <v>0.56633157637525378</v>
      </c>
      <c r="J24" s="137">
        <f>IF(SER_hh_tes!J24=0,"",SER_hh_tes!J24/SER_hh_fec!J24)</f>
        <v>0.58288018591555468</v>
      </c>
      <c r="K24" s="137">
        <f>IF(SER_hh_tes!K24=0,"",SER_hh_tes!K24/SER_hh_fec!K24)</f>
        <v>0.60058470549412046</v>
      </c>
      <c r="L24" s="137">
        <f>IF(SER_hh_tes!L24=0,"",SER_hh_tes!L24/SER_hh_fec!L24)</f>
        <v>0.61919421600978186</v>
      </c>
      <c r="M24" s="137">
        <f>IF(SER_hh_tes!M24=0,"",SER_hh_tes!M24/SER_hh_fec!M24)</f>
        <v>0.63890089985322485</v>
      </c>
      <c r="N24" s="137">
        <f>IF(SER_hh_tes!N24=0,"",SER_hh_tes!N24/SER_hh_fec!N24)</f>
        <v>0.6593998460103645</v>
      </c>
      <c r="O24" s="137">
        <f>IF(SER_hh_tes!O24=0,"",SER_hh_tes!O24/SER_hh_fec!O24)</f>
        <v>0.67751872131228763</v>
      </c>
      <c r="P24" s="137">
        <f>IF(SER_hh_tes!P24=0,"",SER_hh_tes!P24/SER_hh_fec!P24)</f>
        <v>0.68360079795632189</v>
      </c>
      <c r="Q24" s="137">
        <f>IF(SER_hh_tes!Q24=0,"",SER_hh_tes!Q24/SER_hh_fec!Q24)</f>
        <v>0.69264596391712663</v>
      </c>
      <c r="R24" s="137">
        <f>IF(SER_hh_tes!R24=0,"",SER_hh_tes!R24/SER_hh_fec!R24)</f>
        <v>0.70646800184416036</v>
      </c>
      <c r="S24" s="137">
        <f>IF(SER_hh_tes!S24=0,"",SER_hh_tes!S24/SER_hh_fec!S24)</f>
        <v>0.71966179046824286</v>
      </c>
      <c r="T24" s="137">
        <f>IF(SER_hh_tes!T24=0,"",SER_hh_tes!T24/SER_hh_fec!T24)</f>
        <v>0.73172947616531181</v>
      </c>
      <c r="U24" s="137">
        <f>IF(SER_hh_tes!U24=0,"",SER_hh_tes!U24/SER_hh_fec!U24)</f>
        <v>0.74203816464052608</v>
      </c>
      <c r="V24" s="137">
        <f>IF(SER_hh_tes!V24=0,"",SER_hh_tes!V24/SER_hh_fec!V24)</f>
        <v>0.75170805418643116</v>
      </c>
      <c r="W24" s="137">
        <f>IF(SER_hh_tes!W24=0,"",SER_hh_tes!W24/SER_hh_fec!W24)</f>
        <v>0.76183123785836648</v>
      </c>
      <c r="DA24" s="164" t="s">
        <v>348</v>
      </c>
    </row>
    <row r="25" spans="1:105" ht="12" customHeight="1" x14ac:dyDescent="0.25">
      <c r="A25" s="132" t="s">
        <v>169</v>
      </c>
      <c r="B25" s="137">
        <f>IF(SER_hh_tes!B25=0,"",SER_hh_tes!B25/SER_hh_fec!B25)</f>
        <v>0.80078189946101874</v>
      </c>
      <c r="C25" s="137">
        <f>IF(SER_hh_tes!C25=0,"",SER_hh_tes!C25/SER_hh_fec!C25)</f>
        <v>0.80394764411448583</v>
      </c>
      <c r="D25" s="137">
        <f>IF(SER_hh_tes!D25=0,"",SER_hh_tes!D25/SER_hh_fec!D25)</f>
        <v>0.80683157615177536</v>
      </c>
      <c r="E25" s="137">
        <f>IF(SER_hh_tes!E25=0,"",SER_hh_tes!E25/SER_hh_fec!E25)</f>
        <v>0.80968218448528417</v>
      </c>
      <c r="F25" s="137">
        <f>IF(SER_hh_tes!F25=0,"",SER_hh_tes!F25/SER_hh_fec!F25)</f>
        <v>0.8123976109299369</v>
      </c>
      <c r="G25" s="137">
        <f>IF(SER_hh_tes!G25=0,"",SER_hh_tes!G25/SER_hh_fec!G25)</f>
        <v>0.81521015905552818</v>
      </c>
      <c r="H25" s="137">
        <f>IF(SER_hh_tes!H25=0,"",SER_hh_tes!H25/SER_hh_fec!H25)</f>
        <v>0.81818131323601795</v>
      </c>
      <c r="I25" s="137">
        <f>IF(SER_hh_tes!I25=0,"",SER_hh_tes!I25/SER_hh_fec!I25)</f>
        <v>0.82198189106293462</v>
      </c>
      <c r="J25" s="137">
        <f>IF(SER_hh_tes!J25=0,"",SER_hh_tes!J25/SER_hh_fec!J25)</f>
        <v>0.82562612440705396</v>
      </c>
      <c r="K25" s="137">
        <f>IF(SER_hh_tes!K25=0,"",SER_hh_tes!K25/SER_hh_fec!K25)</f>
        <v>0.82992904279921165</v>
      </c>
      <c r="L25" s="137">
        <f>IF(SER_hh_tes!L25=0,"",SER_hh_tes!L25/SER_hh_fec!L25)</f>
        <v>0.83427174253958225</v>
      </c>
      <c r="M25" s="137">
        <f>IF(SER_hh_tes!M25=0,"",SER_hh_tes!M25/SER_hh_fec!M25)</f>
        <v>0.83820843518047583</v>
      </c>
      <c r="N25" s="137">
        <f>IF(SER_hh_tes!N25=0,"",SER_hh_tes!N25/SER_hh_fec!N25)</f>
        <v>0.84240026470715701</v>
      </c>
      <c r="O25" s="137">
        <f>IF(SER_hh_tes!O25=0,"",SER_hh_tes!O25/SER_hh_fec!O25)</f>
        <v>0.8467358576623405</v>
      </c>
      <c r="P25" s="137">
        <f>IF(SER_hh_tes!P25=0,"",SER_hh_tes!P25/SER_hh_fec!P25)</f>
        <v>0.84899663210143461</v>
      </c>
      <c r="Q25" s="137">
        <f>IF(SER_hh_tes!Q25=0,"",SER_hh_tes!Q25/SER_hh_fec!Q25)</f>
        <v>0.85192706330578094</v>
      </c>
      <c r="R25" s="137">
        <f>IF(SER_hh_tes!R25=0,"",SER_hh_tes!R25/SER_hh_fec!R25)</f>
        <v>0.85586597330977654</v>
      </c>
      <c r="S25" s="137">
        <f>IF(SER_hh_tes!S25=0,"",SER_hh_tes!S25/SER_hh_fec!S25)</f>
        <v>0.86103787254092179</v>
      </c>
      <c r="T25" s="137">
        <f>IF(SER_hh_tes!T25=0,"",SER_hh_tes!T25/SER_hh_fec!T25)</f>
        <v>0.86693770295530992</v>
      </c>
      <c r="U25" s="137">
        <f>IF(SER_hh_tes!U25=0,"",SER_hh_tes!U25/SER_hh_fec!U25)</f>
        <v>0.87266840104978693</v>
      </c>
      <c r="V25" s="137">
        <f>IF(SER_hh_tes!V25=0,"",SER_hh_tes!V25/SER_hh_fec!V25)</f>
        <v>0.87889267106820712</v>
      </c>
      <c r="W25" s="137">
        <f>IF(SER_hh_tes!W25=0,"",SER_hh_tes!W25/SER_hh_fec!W25)</f>
        <v>0.8842476056198787</v>
      </c>
      <c r="DA25" s="164" t="s">
        <v>349</v>
      </c>
    </row>
    <row r="26" spans="1:105" ht="12" customHeight="1" x14ac:dyDescent="0.25">
      <c r="A26" s="132" t="s">
        <v>24</v>
      </c>
      <c r="B26" s="138">
        <f>IF(SER_hh_tes!B26=0,"",SER_hh_tes!B26/SER_hh_fec!B26)</f>
        <v>0.65983883732629567</v>
      </c>
      <c r="C26" s="138">
        <f>IF(SER_hh_tes!C26=0,"",SER_hh_tes!C26/SER_hh_fec!C26)</f>
        <v>0.66147237653546775</v>
      </c>
      <c r="D26" s="138">
        <f>IF(SER_hh_tes!D26=0,"",SER_hh_tes!D26/SER_hh_fec!D26)</f>
        <v>0.66346553427380361</v>
      </c>
      <c r="E26" s="138">
        <f>IF(SER_hh_tes!E26=0,"",SER_hh_tes!E26/SER_hh_fec!E26)</f>
        <v>0.66560849565626279</v>
      </c>
      <c r="F26" s="138">
        <f>IF(SER_hh_tes!F26=0,"",SER_hh_tes!F26/SER_hh_fec!F26)</f>
        <v>0.66848471646726948</v>
      </c>
      <c r="G26" s="138">
        <f>IF(SER_hh_tes!G26=0,"",SER_hh_tes!G26/SER_hh_fec!G26)</f>
        <v>0.67173015846232087</v>
      </c>
      <c r="H26" s="138">
        <f>IF(SER_hh_tes!H26=0,"",SER_hh_tes!H26/SER_hh_fec!H26)</f>
        <v>0.67558946989822999</v>
      </c>
      <c r="I26" s="138">
        <f>IF(SER_hh_tes!I26=0,"",SER_hh_tes!I26/SER_hh_fec!I26)</f>
        <v>0.67931452198016606</v>
      </c>
      <c r="J26" s="138">
        <f>IF(SER_hh_tes!J26=0,"",SER_hh_tes!J26/SER_hh_fec!J26)</f>
        <v>0.68257910822665624</v>
      </c>
      <c r="K26" s="138">
        <f>IF(SER_hh_tes!K26=0,"",SER_hh_tes!K26/SER_hh_fec!K26)</f>
        <v>0.68588908796296666</v>
      </c>
      <c r="L26" s="138">
        <f>IF(SER_hh_tes!L26=0,"",SER_hh_tes!L26/SER_hh_fec!L26)</f>
        <v>0.68979120916123204</v>
      </c>
      <c r="M26" s="138">
        <f>IF(SER_hh_tes!M26=0,"",SER_hh_tes!M26/SER_hh_fec!M26)</f>
        <v>0.69646335036822538</v>
      </c>
      <c r="N26" s="138">
        <f>IF(SER_hh_tes!N26=0,"",SER_hh_tes!N26/SER_hh_fec!N26)</f>
        <v>0.70532652395893858</v>
      </c>
      <c r="O26" s="138">
        <f>IF(SER_hh_tes!O26=0,"",SER_hh_tes!O26/SER_hh_fec!O26)</f>
        <v>0.71460928663042478</v>
      </c>
      <c r="P26" s="138">
        <f>IF(SER_hh_tes!P26=0,"",SER_hh_tes!P26/SER_hh_fec!P26)</f>
        <v>0.71803142362396633</v>
      </c>
      <c r="Q26" s="138">
        <f>IF(SER_hh_tes!Q26=0,"",SER_hh_tes!Q26/SER_hh_fec!Q26)</f>
        <v>0.72186713682586201</v>
      </c>
      <c r="R26" s="138">
        <f>IF(SER_hh_tes!R26=0,"",SER_hh_tes!R26/SER_hh_fec!R26)</f>
        <v>0.72833220714590041</v>
      </c>
      <c r="S26" s="138">
        <f>IF(SER_hh_tes!S26=0,"",SER_hh_tes!S26/SER_hh_fec!S26)</f>
        <v>0.73907501611768089</v>
      </c>
      <c r="T26" s="138">
        <f>IF(SER_hh_tes!T26=0,"",SER_hh_tes!T26/SER_hh_fec!T26)</f>
        <v>0.74839201731931093</v>
      </c>
      <c r="U26" s="138">
        <f>IF(SER_hh_tes!U26=0,"",SER_hh_tes!U26/SER_hh_fec!U26)</f>
        <v>0.7630469688559689</v>
      </c>
      <c r="V26" s="138">
        <f>IF(SER_hh_tes!V26=0,"",SER_hh_tes!V26/SER_hh_fec!V26)</f>
        <v>0.77444844267736479</v>
      </c>
      <c r="W26" s="138">
        <f>IF(SER_hh_tes!W26=0,"",SER_hh_tes!W26/SER_hh_fec!W26)</f>
        <v>0.80074956560326271</v>
      </c>
      <c r="DA26" s="165" t="s">
        <v>350</v>
      </c>
    </row>
    <row r="27" spans="1:105" ht="12" customHeight="1" x14ac:dyDescent="0.25">
      <c r="A27" s="145" t="s">
        <v>26</v>
      </c>
      <c r="B27" s="154">
        <f>IF(SER_hh_tes!B27=0,"",SER_hh_tes!B27/SER_hh_fec!B27)</f>
        <v>1</v>
      </c>
      <c r="C27" s="154">
        <f>IF(SER_hh_tes!C27=0,"",SER_hh_tes!C27/SER_hh_fec!C27)</f>
        <v>1</v>
      </c>
      <c r="D27" s="154">
        <f>IF(SER_hh_tes!D27=0,"",SER_hh_tes!D27/SER_hh_fec!D27)</f>
        <v>1</v>
      </c>
      <c r="E27" s="154">
        <f>IF(SER_hh_tes!E27=0,"",SER_hh_tes!E27/SER_hh_fec!E27)</f>
        <v>1</v>
      </c>
      <c r="F27" s="154">
        <f>IF(SER_hh_tes!F27=0,"",SER_hh_tes!F27/SER_hh_fec!F27)</f>
        <v>1</v>
      </c>
      <c r="G27" s="154">
        <f>IF(SER_hh_tes!G27=0,"",SER_hh_tes!G27/SER_hh_fec!G27)</f>
        <v>1</v>
      </c>
      <c r="H27" s="154">
        <f>IF(SER_hh_tes!H27=0,"",SER_hh_tes!H27/SER_hh_fec!H27)</f>
        <v>1</v>
      </c>
      <c r="I27" s="154">
        <f>IF(SER_hh_tes!I27=0,"",SER_hh_tes!I27/SER_hh_fec!I27)</f>
        <v>1</v>
      </c>
      <c r="J27" s="154">
        <f>IF(SER_hh_tes!J27=0,"",SER_hh_tes!J27/SER_hh_fec!J27)</f>
        <v>1</v>
      </c>
      <c r="K27" s="154">
        <f>IF(SER_hh_tes!K27=0,"",SER_hh_tes!K27/SER_hh_fec!K27)</f>
        <v>1</v>
      </c>
      <c r="L27" s="154">
        <f>IF(SER_hh_tes!L27=0,"",SER_hh_tes!L27/SER_hh_fec!L27)</f>
        <v>1</v>
      </c>
      <c r="M27" s="154">
        <f>IF(SER_hh_tes!M27=0,"",SER_hh_tes!M27/SER_hh_fec!M27)</f>
        <v>1</v>
      </c>
      <c r="N27" s="154">
        <f>IF(SER_hh_tes!N27=0,"",SER_hh_tes!N27/SER_hh_fec!N27)</f>
        <v>1</v>
      </c>
      <c r="O27" s="154">
        <f>IF(SER_hh_tes!O27=0,"",SER_hh_tes!O27/SER_hh_fec!O27)</f>
        <v>1</v>
      </c>
      <c r="P27" s="154">
        <f>IF(SER_hh_tes!P27=0,"",SER_hh_tes!P27/SER_hh_fec!P27)</f>
        <v>1</v>
      </c>
      <c r="Q27" s="154">
        <f>IF(SER_hh_tes!Q27=0,"",SER_hh_tes!Q27/SER_hh_fec!Q27)</f>
        <v>1</v>
      </c>
      <c r="R27" s="154">
        <f>IF(SER_hh_tes!R27=0,"",SER_hh_tes!R27/SER_hh_fec!R27)</f>
        <v>1</v>
      </c>
      <c r="S27" s="154">
        <f>IF(SER_hh_tes!S27=0,"",SER_hh_tes!S27/SER_hh_fec!S27)</f>
        <v>1</v>
      </c>
      <c r="T27" s="154">
        <f>IF(SER_hh_tes!T27=0,"",SER_hh_tes!T27/SER_hh_fec!T27)</f>
        <v>1</v>
      </c>
      <c r="U27" s="154">
        <f>IF(SER_hh_tes!U27=0,"",SER_hh_tes!U27/SER_hh_fec!U27)</f>
        <v>1</v>
      </c>
      <c r="V27" s="154">
        <f>IF(SER_hh_tes!V27=0,"",SER_hh_tes!V27/SER_hh_fec!V27)</f>
        <v>1</v>
      </c>
      <c r="W27" s="154">
        <f>IF(SER_hh_tes!W27=0,"",SER_hh_tes!W27/SER_hh_fec!W27)</f>
        <v>1</v>
      </c>
      <c r="DA27" s="177" t="s">
        <v>351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>
        <f>IF(SER_hh_tes!B29=0,"",SER_hh_tes!B29/SER_hh_fec!B29)</f>
        <v>0.67842373203101625</v>
      </c>
      <c r="C29" s="136">
        <f>IF(SER_hh_tes!C29=0,"",SER_hh_tes!C29/SER_hh_fec!C29)</f>
        <v>0.68058299110078913</v>
      </c>
      <c r="D29" s="136">
        <f>IF(SER_hh_tes!D29=0,"",SER_hh_tes!D29/SER_hh_fec!D29)</f>
        <v>0.68260139896257011</v>
      </c>
      <c r="E29" s="136">
        <f>IF(SER_hh_tes!E29=0,"",SER_hh_tes!E29/SER_hh_fec!E29)</f>
        <v>0.68349585304484428</v>
      </c>
      <c r="F29" s="136">
        <f>IF(SER_hh_tes!F29=0,"",SER_hh_tes!F29/SER_hh_fec!F29)</f>
        <v>0.68462310948884031</v>
      </c>
      <c r="G29" s="136">
        <f>IF(SER_hh_tes!G29=0,"",SER_hh_tes!G29/SER_hh_fec!G29)</f>
        <v>0.68268074976943971</v>
      </c>
      <c r="H29" s="136">
        <f>IF(SER_hh_tes!H29=0,"",SER_hh_tes!H29/SER_hh_fec!H29)</f>
        <v>0.68509275891068289</v>
      </c>
      <c r="I29" s="136">
        <f>IF(SER_hh_tes!I29=0,"",SER_hh_tes!I29/SER_hh_fec!I29)</f>
        <v>0.68764576773951835</v>
      </c>
      <c r="J29" s="136">
        <f>IF(SER_hh_tes!J29=0,"",SER_hh_tes!J29/SER_hh_fec!J29)</f>
        <v>0.69038604294116457</v>
      </c>
      <c r="K29" s="136">
        <f>IF(SER_hh_tes!K29=0,"",SER_hh_tes!K29/SER_hh_fec!K29)</f>
        <v>0.69293056159698263</v>
      </c>
      <c r="L29" s="136">
        <f>IF(SER_hh_tes!L29=0,"",SER_hh_tes!L29/SER_hh_fec!L29)</f>
        <v>0.69327405435742506</v>
      </c>
      <c r="M29" s="136">
        <f>IF(SER_hh_tes!M29=0,"",SER_hh_tes!M29/SER_hh_fec!M29)</f>
        <v>0.69693573580329282</v>
      </c>
      <c r="N29" s="136">
        <f>IF(SER_hh_tes!N29=0,"",SER_hh_tes!N29/SER_hh_fec!N29)</f>
        <v>0.70080820217360207</v>
      </c>
      <c r="O29" s="136">
        <f>IF(SER_hh_tes!O29=0,"",SER_hh_tes!O29/SER_hh_fec!O29)</f>
        <v>0.70253088468289004</v>
      </c>
      <c r="P29" s="136">
        <f>IF(SER_hh_tes!P29=0,"",SER_hh_tes!P29/SER_hh_fec!P29)</f>
        <v>0.70994310833984287</v>
      </c>
      <c r="Q29" s="136">
        <f>IF(SER_hh_tes!Q29=0,"",SER_hh_tes!Q29/SER_hh_fec!Q29)</f>
        <v>0.70367902584238262</v>
      </c>
      <c r="R29" s="136">
        <f>IF(SER_hh_tes!R29=0,"",SER_hh_tes!R29/SER_hh_fec!R29)</f>
        <v>0.70847523892438002</v>
      </c>
      <c r="S29" s="136">
        <f>IF(SER_hh_tes!S29=0,"",SER_hh_tes!S29/SER_hh_fec!S29)</f>
        <v>0.71688338374088656</v>
      </c>
      <c r="T29" s="136">
        <f>IF(SER_hh_tes!T29=0,"",SER_hh_tes!T29/SER_hh_fec!T29)</f>
        <v>0.71987679765989798</v>
      </c>
      <c r="U29" s="136">
        <f>IF(SER_hh_tes!U29=0,"",SER_hh_tes!U29/SER_hh_fec!U29)</f>
        <v>0.72276754061001025</v>
      </c>
      <c r="V29" s="136">
        <f>IF(SER_hh_tes!V29=0,"",SER_hh_tes!V29/SER_hh_fec!V29)</f>
        <v>0.7471132708128172</v>
      </c>
      <c r="W29" s="136">
        <f>IF(SER_hh_tes!W29=0,"",SER_hh_tes!W29/SER_hh_fec!W29)</f>
        <v>0.73953987083891559</v>
      </c>
      <c r="DA29" s="163" t="s">
        <v>242</v>
      </c>
    </row>
    <row r="30" spans="1:105" ht="12" customHeight="1" x14ac:dyDescent="0.25">
      <c r="A30" s="132" t="s">
        <v>52</v>
      </c>
      <c r="B30" s="137">
        <f>IF(SER_hh_tes!B30=0,"",SER_hh_tes!B30/SER_hh_fec!B30)</f>
        <v>0.54771312102567393</v>
      </c>
      <c r="C30" s="137">
        <f>IF(SER_hh_tes!C30=0,"",SER_hh_tes!C30/SER_hh_fec!C30)</f>
        <v>0.54840480896194854</v>
      </c>
      <c r="D30" s="137">
        <f>IF(SER_hh_tes!D30=0,"",SER_hh_tes!D30/SER_hh_fec!D30)</f>
        <v>0.54995244407592581</v>
      </c>
      <c r="E30" s="137">
        <f>IF(SER_hh_tes!E30=0,"",SER_hh_tes!E30/SER_hh_fec!E30)</f>
        <v>0.55184102628449361</v>
      </c>
      <c r="F30" s="137">
        <f>IF(SER_hh_tes!F30=0,"",SER_hh_tes!F30/SER_hh_fec!F30)</f>
        <v>0.55357679247482028</v>
      </c>
      <c r="G30" s="137">
        <f>IF(SER_hh_tes!G30=0,"",SER_hh_tes!G30/SER_hh_fec!G30)</f>
        <v>0.55503375589382897</v>
      </c>
      <c r="H30" s="137">
        <f>IF(SER_hh_tes!H30=0,"",SER_hh_tes!H30/SER_hh_fec!H30)</f>
        <v>0.55608055675778922</v>
      </c>
      <c r="I30" s="137">
        <f>IF(SER_hh_tes!I30=0,"",SER_hh_tes!I30/SER_hh_fec!I30)</f>
        <v>0.55705134419063018</v>
      </c>
      <c r="J30" s="137">
        <f>IF(SER_hh_tes!J30=0,"",SER_hh_tes!J30/SER_hh_fec!J30)</f>
        <v>0.55821474081392908</v>
      </c>
      <c r="K30" s="137">
        <f>IF(SER_hh_tes!K30=0,"",SER_hh_tes!K30/SER_hh_fec!K30)</f>
        <v>0.55958425830176761</v>
      </c>
      <c r="L30" s="137">
        <f>IF(SER_hh_tes!L30=0,"",SER_hh_tes!L30/SER_hh_fec!L30)</f>
        <v>0.56085385084235195</v>
      </c>
      <c r="M30" s="137">
        <f>IF(SER_hh_tes!M30=0,"",SER_hh_tes!M30/SER_hh_fec!M30)</f>
        <v>0.56124733190919562</v>
      </c>
      <c r="N30" s="137">
        <f>IF(SER_hh_tes!N30=0,"",SER_hh_tes!N30/SER_hh_fec!N30)</f>
        <v>0.5615446960221625</v>
      </c>
      <c r="O30" s="137">
        <f>IF(SER_hh_tes!O30=0,"",SER_hh_tes!O30/SER_hh_fec!O30)</f>
        <v>0.56240847497316804</v>
      </c>
      <c r="P30" s="137">
        <f>IF(SER_hh_tes!P30=0,"",SER_hh_tes!P30/SER_hh_fec!P30)</f>
        <v>0.56359121141285462</v>
      </c>
      <c r="Q30" s="137">
        <f>IF(SER_hh_tes!Q30=0,"",SER_hh_tes!Q30/SER_hh_fec!Q30)</f>
        <v>0.56462677462371758</v>
      </c>
      <c r="R30" s="137">
        <f>IF(SER_hh_tes!R30=0,"",SER_hh_tes!R30/SER_hh_fec!R30)</f>
        <v>0.56604874902128122</v>
      </c>
      <c r="S30" s="137">
        <f>IF(SER_hh_tes!S30=0,"",SER_hh_tes!S30/SER_hh_fec!S30)</f>
        <v>0.56785589384338797</v>
      </c>
      <c r="T30" s="137">
        <f>IF(SER_hh_tes!T30=0,"",SER_hh_tes!T30/SER_hh_fec!T30)</f>
        <v>0.56944120925310049</v>
      </c>
      <c r="U30" s="137">
        <f>IF(SER_hh_tes!U30=0,"",SER_hh_tes!U30/SER_hh_fec!U30)</f>
        <v>0.57122840510760053</v>
      </c>
      <c r="V30" s="137">
        <f>IF(SER_hh_tes!V30=0,"",SER_hh_tes!V30/SER_hh_fec!V30)</f>
        <v>0.57325950652086166</v>
      </c>
      <c r="W30" s="137">
        <f>IF(SER_hh_tes!W30=0,"",SER_hh_tes!W30/SER_hh_fec!W30)</f>
        <v>0.576457202074103</v>
      </c>
      <c r="DA30" s="164" t="s">
        <v>352</v>
      </c>
    </row>
    <row r="31" spans="1:105" ht="12" customHeight="1" x14ac:dyDescent="0.25">
      <c r="A31" s="132" t="s">
        <v>153</v>
      </c>
      <c r="B31" s="137">
        <f>IF(SER_hh_tes!B31=0,"",SER_hh_tes!B31/SER_hh_fec!B31)</f>
        <v>0.55060183390150064</v>
      </c>
      <c r="C31" s="137">
        <f>IF(SER_hh_tes!C31=0,"",SER_hh_tes!C31/SER_hh_fec!C31)</f>
        <v>0.55134754352351356</v>
      </c>
      <c r="D31" s="137">
        <f>IF(SER_hh_tes!D31=0,"",SER_hh_tes!D31/SER_hh_fec!D31)</f>
        <v>0.55226518207902331</v>
      </c>
      <c r="E31" s="137">
        <f>IF(SER_hh_tes!E31=0,"",SER_hh_tes!E31/SER_hh_fec!E31)</f>
        <v>0.55335742018625922</v>
      </c>
      <c r="F31" s="137">
        <f>IF(SER_hh_tes!F31=0,"",SER_hh_tes!F31/SER_hh_fec!F31)</f>
        <v>0.55462098143960215</v>
      </c>
      <c r="G31" s="137">
        <f>IF(SER_hh_tes!G31=0,"",SER_hh_tes!G31/SER_hh_fec!G31)</f>
        <v>0.55611099622009152</v>
      </c>
      <c r="H31" s="137">
        <f>IF(SER_hh_tes!H31=0,"",SER_hh_tes!H31/SER_hh_fec!H31)</f>
        <v>0.55757339341930645</v>
      </c>
      <c r="I31" s="137">
        <f>IF(SER_hh_tes!I31=0,"",SER_hh_tes!I31/SER_hh_fec!I31)</f>
        <v>0.55910397368209719</v>
      </c>
      <c r="J31" s="137">
        <f>IF(SER_hh_tes!J31=0,"",SER_hh_tes!J31/SER_hh_fec!J31)</f>
        <v>0.560692203487547</v>
      </c>
      <c r="K31" s="137">
        <f>IF(SER_hh_tes!K31=0,"",SER_hh_tes!K31/SER_hh_fec!K31)</f>
        <v>0.56243174486246039</v>
      </c>
      <c r="L31" s="137">
        <f>IF(SER_hh_tes!L31=0,"",SER_hh_tes!L31/SER_hh_fec!L31)</f>
        <v>0.56370541019415632</v>
      </c>
      <c r="M31" s="137">
        <f>IF(SER_hh_tes!M31=0,"",SER_hh_tes!M31/SER_hh_fec!M31)</f>
        <v>0.56414652494543382</v>
      </c>
      <c r="N31" s="137">
        <f>IF(SER_hh_tes!N31=0,"",SER_hh_tes!N31/SER_hh_fec!N31)</f>
        <v>0.56473114817342518</v>
      </c>
      <c r="O31" s="137">
        <f>IF(SER_hh_tes!O31=0,"",SER_hh_tes!O31/SER_hh_fec!O31)</f>
        <v>0.56558840192168691</v>
      </c>
      <c r="P31" s="137">
        <f>IF(SER_hh_tes!P31=0,"",SER_hh_tes!P31/SER_hh_fec!P31)</f>
        <v>0.56640890072641481</v>
      </c>
      <c r="Q31" s="137">
        <f>IF(SER_hh_tes!Q31=0,"",SER_hh_tes!Q31/SER_hh_fec!Q31)</f>
        <v>0.56717454888425067</v>
      </c>
      <c r="R31" s="137">
        <f>IF(SER_hh_tes!R31=0,"",SER_hh_tes!R31/SER_hh_fec!R31)</f>
        <v>0.56821646852059982</v>
      </c>
      <c r="S31" s="137">
        <f>IF(SER_hh_tes!S31=0,"",SER_hh_tes!S31/SER_hh_fec!S31)</f>
        <v>0.5698944457680396</v>
      </c>
      <c r="T31" s="137">
        <f>IF(SER_hh_tes!T31=0,"",SER_hh_tes!T31/SER_hh_fec!T31)</f>
        <v>0.5721712971107451</v>
      </c>
      <c r="U31" s="137">
        <f>IF(SER_hh_tes!U31=0,"",SER_hh_tes!U31/SER_hh_fec!U31)</f>
        <v>0.57539485574937399</v>
      </c>
      <c r="V31" s="137">
        <f>IF(SER_hh_tes!V31=0,"",SER_hh_tes!V31/SER_hh_fec!V31)</f>
        <v>0.57845501953748035</v>
      </c>
      <c r="W31" s="137">
        <f>IF(SER_hh_tes!W31=0,"",SER_hh_tes!W31/SER_hh_fec!W31)</f>
        <v>0.58208535917052839</v>
      </c>
      <c r="DA31" s="164" t="s">
        <v>353</v>
      </c>
    </row>
    <row r="32" spans="1:105" ht="12" customHeight="1" x14ac:dyDescent="0.25">
      <c r="A32" s="132" t="s">
        <v>128</v>
      </c>
      <c r="B32" s="137" t="str">
        <f>IF(SER_hh_tes!B32=0,"",SER_hh_tes!B32/SER_hh_fec!B32)</f>
        <v/>
      </c>
      <c r="C32" s="137" t="str">
        <f>IF(SER_hh_tes!C32=0,"",SER_hh_tes!C32/SER_hh_fec!C32)</f>
        <v/>
      </c>
      <c r="D32" s="137" t="str">
        <f>IF(SER_hh_tes!D32=0,"",SER_hh_tes!D32/SER_hh_fec!D32)</f>
        <v/>
      </c>
      <c r="E32" s="137" t="str">
        <f>IF(SER_hh_tes!E32=0,"",SER_hh_tes!E32/SER_hh_fec!E32)</f>
        <v/>
      </c>
      <c r="F32" s="137" t="str">
        <f>IF(SER_hh_tes!F32=0,"",SER_hh_tes!F32/SER_hh_fec!F32)</f>
        <v/>
      </c>
      <c r="G32" s="137" t="str">
        <f>IF(SER_hh_tes!G32=0,"",SER_hh_tes!G32/SER_hh_fec!G32)</f>
        <v/>
      </c>
      <c r="H32" s="137" t="str">
        <f>IF(SER_hh_tes!H32=0,"",SER_hh_tes!H32/SER_hh_fec!H32)</f>
        <v/>
      </c>
      <c r="I32" s="137" t="str">
        <f>IF(SER_hh_tes!I32=0,"",SER_hh_tes!I32/SER_hh_fec!I32)</f>
        <v/>
      </c>
      <c r="J32" s="137" t="str">
        <f>IF(SER_hh_tes!J32=0,"",SER_hh_tes!J32/SER_hh_fec!J32)</f>
        <v/>
      </c>
      <c r="K32" s="137" t="str">
        <f>IF(SER_hh_tes!K32=0,"",SER_hh_tes!K32/SER_hh_fec!K32)</f>
        <v/>
      </c>
      <c r="L32" s="137" t="str">
        <f>IF(SER_hh_tes!L32=0,"",SER_hh_tes!L32/SER_hh_fec!L32)</f>
        <v/>
      </c>
      <c r="M32" s="137" t="str">
        <f>IF(SER_hh_tes!M32=0,"",SER_hh_tes!M32/SER_hh_fec!M32)</f>
        <v/>
      </c>
      <c r="N32" s="137" t="str">
        <f>IF(SER_hh_tes!N32=0,"",SER_hh_tes!N32/SER_hh_fec!N32)</f>
        <v/>
      </c>
      <c r="O32" s="137" t="str">
        <f>IF(SER_hh_tes!O32=0,"",SER_hh_tes!O32/SER_hh_fec!O32)</f>
        <v/>
      </c>
      <c r="P32" s="137" t="str">
        <f>IF(SER_hh_tes!P32=0,"",SER_hh_tes!P32/SER_hh_fec!P32)</f>
        <v/>
      </c>
      <c r="Q32" s="137" t="str">
        <f>IF(SER_hh_tes!Q32=0,"",SER_hh_tes!Q32/SER_hh_fec!Q32)</f>
        <v/>
      </c>
      <c r="R32" s="137" t="str">
        <f>IF(SER_hh_tes!R32=0,"",SER_hh_tes!R32/SER_hh_fec!R32)</f>
        <v/>
      </c>
      <c r="S32" s="137" t="str">
        <f>IF(SER_hh_tes!S32=0,"",SER_hh_tes!S32/SER_hh_fec!S32)</f>
        <v/>
      </c>
      <c r="T32" s="137" t="str">
        <f>IF(SER_hh_tes!T32=0,"",SER_hh_tes!T32/SER_hh_fec!T32)</f>
        <v/>
      </c>
      <c r="U32" s="137" t="str">
        <f>IF(SER_hh_tes!U32=0,"",SER_hh_tes!U32/SER_hh_fec!U32)</f>
        <v/>
      </c>
      <c r="V32" s="137" t="str">
        <f>IF(SER_hh_tes!V32=0,"",SER_hh_tes!V32/SER_hh_fec!V32)</f>
        <v/>
      </c>
      <c r="W32" s="137" t="str">
        <f>IF(SER_hh_tes!W32=0,"",SER_hh_tes!W32/SER_hh_fec!W32)</f>
        <v/>
      </c>
      <c r="DA32" s="164" t="s">
        <v>354</v>
      </c>
    </row>
    <row r="33" spans="1:105" ht="12" customHeight="1" x14ac:dyDescent="0.25">
      <c r="A33" s="62" t="s">
        <v>24</v>
      </c>
      <c r="B33" s="150">
        <f>IF(SER_hh_tes!B33=0,"",SER_hh_tes!B33/SER_hh_fec!B33)</f>
        <v>0.71834337778037416</v>
      </c>
      <c r="C33" s="150">
        <f>IF(SER_hh_tes!C33=0,"",SER_hh_tes!C33/SER_hh_fec!C33)</f>
        <v>0.72009891042026253</v>
      </c>
      <c r="D33" s="150">
        <f>IF(SER_hh_tes!D33=0,"",SER_hh_tes!D33/SER_hh_fec!D33)</f>
        <v>0.72196225975701478</v>
      </c>
      <c r="E33" s="150">
        <f>IF(SER_hh_tes!E33=0,"",SER_hh_tes!E33/SER_hh_fec!E33)</f>
        <v>0.72386014182182645</v>
      </c>
      <c r="F33" s="150">
        <f>IF(SER_hh_tes!F33=0,"",SER_hh_tes!F33/SER_hh_fec!F33)</f>
        <v>0.72583775549484175</v>
      </c>
      <c r="G33" s="150">
        <f>IF(SER_hh_tes!G33=0,"",SER_hh_tes!G33/SER_hh_fec!G33)</f>
        <v>0.72792648937831239</v>
      </c>
      <c r="H33" s="150">
        <f>IF(SER_hh_tes!H33=0,"",SER_hh_tes!H33/SER_hh_fec!H33)</f>
        <v>0.7302669420455058</v>
      </c>
      <c r="I33" s="150">
        <f>IF(SER_hh_tes!I33=0,"",SER_hh_tes!I33/SER_hh_fec!I33)</f>
        <v>0.73293080204689731</v>
      </c>
      <c r="J33" s="150">
        <f>IF(SER_hh_tes!J33=0,"",SER_hh_tes!J33/SER_hh_fec!J33)</f>
        <v>0.735624347158369</v>
      </c>
      <c r="K33" s="150">
        <f>IF(SER_hh_tes!K33=0,"",SER_hh_tes!K33/SER_hh_fec!K33)</f>
        <v>0.73869868718916354</v>
      </c>
      <c r="L33" s="150">
        <f>IF(SER_hh_tes!L33=0,"",SER_hh_tes!L33/SER_hh_fec!L33)</f>
        <v>0.74109314122409553</v>
      </c>
      <c r="M33" s="150">
        <f>IF(SER_hh_tes!M33=0,"",SER_hh_tes!M33/SER_hh_fec!M33)</f>
        <v>0.74218361413604939</v>
      </c>
      <c r="N33" s="150">
        <f>IF(SER_hh_tes!N33=0,"",SER_hh_tes!N33/SER_hh_fec!N33)</f>
        <v>0.74388738483399319</v>
      </c>
      <c r="O33" s="150">
        <f>IF(SER_hh_tes!O33=0,"",SER_hh_tes!O33/SER_hh_fec!O33)</f>
        <v>0.7465052029855469</v>
      </c>
      <c r="P33" s="150">
        <f>IF(SER_hh_tes!P33=0,"",SER_hh_tes!P33/SER_hh_fec!P33)</f>
        <v>0.7496056698550283</v>
      </c>
      <c r="Q33" s="150">
        <f>IF(SER_hh_tes!Q33=0,"",SER_hh_tes!Q33/SER_hh_fec!Q33)</f>
        <v>0.75328567393622681</v>
      </c>
      <c r="R33" s="150">
        <f>IF(SER_hh_tes!R33=0,"",SER_hh_tes!R33/SER_hh_fec!R33)</f>
        <v>0.75825887286974591</v>
      </c>
      <c r="S33" s="150">
        <f>IF(SER_hh_tes!S33=0,"",SER_hh_tes!S33/SER_hh_fec!S33)</f>
        <v>0.76478421788879891</v>
      </c>
      <c r="T33" s="150">
        <f>IF(SER_hh_tes!T33=0,"",SER_hh_tes!T33/SER_hh_fec!T33)</f>
        <v>0.77307823539394749</v>
      </c>
      <c r="U33" s="150">
        <f>IF(SER_hh_tes!U33=0,"",SER_hh_tes!U33/SER_hh_fec!U33)</f>
        <v>0.78268890870234975</v>
      </c>
      <c r="V33" s="150">
        <f>IF(SER_hh_tes!V33=0,"",SER_hh_tes!V33/SER_hh_fec!V33)</f>
        <v>0.79336055271605688</v>
      </c>
      <c r="W33" s="150">
        <f>IF(SER_hh_tes!W33=0,"",SER_hh_tes!W33/SER_hh_fec!W33)</f>
        <v>0.80421508446179435</v>
      </c>
      <c r="DA33" s="168" t="s">
        <v>355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>
        <f t="shared" ref="B3:Q3" si="0">SUM(B4,B16,B19,B29)</f>
        <v>877.91577276470878</v>
      </c>
      <c r="C3" s="126">
        <f t="shared" si="0"/>
        <v>843.23867390271369</v>
      </c>
      <c r="D3" s="126">
        <f t="shared" si="0"/>
        <v>855.289712270358</v>
      </c>
      <c r="E3" s="126">
        <f t="shared" si="0"/>
        <v>945.91863956605096</v>
      </c>
      <c r="F3" s="126">
        <f t="shared" si="0"/>
        <v>943.58361559224909</v>
      </c>
      <c r="G3" s="126">
        <f t="shared" si="0"/>
        <v>935.44305340753181</v>
      </c>
      <c r="H3" s="126">
        <f t="shared" si="0"/>
        <v>940.69255063481967</v>
      </c>
      <c r="I3" s="126">
        <f t="shared" si="0"/>
        <v>855.44592202317335</v>
      </c>
      <c r="J3" s="126">
        <f t="shared" si="0"/>
        <v>842.58409705174176</v>
      </c>
      <c r="K3" s="126">
        <f t="shared" si="0"/>
        <v>819.2460781724368</v>
      </c>
      <c r="L3" s="126">
        <f t="shared" si="0"/>
        <v>808.14124006684847</v>
      </c>
      <c r="M3" s="126">
        <f t="shared" si="0"/>
        <v>648.15660564573773</v>
      </c>
      <c r="N3" s="126">
        <f t="shared" si="0"/>
        <v>723.43560399621276</v>
      </c>
      <c r="O3" s="126">
        <f t="shared" si="0"/>
        <v>730.11161298425202</v>
      </c>
      <c r="P3" s="126">
        <f t="shared" si="0"/>
        <v>584.53187852623603</v>
      </c>
      <c r="Q3" s="126">
        <f t="shared" si="0"/>
        <v>705.78377428300462</v>
      </c>
      <c r="R3" s="126">
        <f t="shared" ref="R3:W3" si="1">SUM(R4,R16,R19,R29)</f>
        <v>722.4789166875903</v>
      </c>
      <c r="S3" s="126">
        <f t="shared" si="1"/>
        <v>756.09837532786139</v>
      </c>
      <c r="T3" s="126">
        <f t="shared" si="1"/>
        <v>673.74772959671486</v>
      </c>
      <c r="U3" s="126">
        <f t="shared" si="1"/>
        <v>620.0184341077337</v>
      </c>
      <c r="V3" s="126">
        <f t="shared" si="1"/>
        <v>618.65945339959433</v>
      </c>
      <c r="W3" s="126">
        <f t="shared" si="1"/>
        <v>854.01858614875107</v>
      </c>
      <c r="DA3" s="155" t="s">
        <v>232</v>
      </c>
    </row>
    <row r="4" spans="1:105" ht="12.95" customHeight="1" x14ac:dyDescent="0.25">
      <c r="A4" s="130" t="s">
        <v>32</v>
      </c>
      <c r="B4" s="131">
        <f t="shared" ref="B4:Q4" si="2">SUM(B5:B15)</f>
        <v>734.56632436940833</v>
      </c>
      <c r="C4" s="131">
        <f t="shared" si="2"/>
        <v>701.14752890291231</v>
      </c>
      <c r="D4" s="131">
        <f t="shared" si="2"/>
        <v>710.63205489565007</v>
      </c>
      <c r="E4" s="131">
        <f t="shared" si="2"/>
        <v>787.8478858911509</v>
      </c>
      <c r="F4" s="131">
        <f t="shared" si="2"/>
        <v>782.46702181544003</v>
      </c>
      <c r="G4" s="131">
        <f t="shared" si="2"/>
        <v>761.80689626738649</v>
      </c>
      <c r="H4" s="131">
        <f t="shared" si="2"/>
        <v>765.90248306808917</v>
      </c>
      <c r="I4" s="131">
        <f t="shared" si="2"/>
        <v>682.54780821371219</v>
      </c>
      <c r="J4" s="131">
        <f t="shared" si="2"/>
        <v>668.90021687876481</v>
      </c>
      <c r="K4" s="131">
        <f t="shared" si="2"/>
        <v>644.1389128536473</v>
      </c>
      <c r="L4" s="131">
        <f t="shared" si="2"/>
        <v>629.14379892509714</v>
      </c>
      <c r="M4" s="131">
        <f t="shared" si="2"/>
        <v>485.10204666330986</v>
      </c>
      <c r="N4" s="131">
        <f t="shared" si="2"/>
        <v>564.481898899881</v>
      </c>
      <c r="O4" s="131">
        <f t="shared" si="2"/>
        <v>571.14870323816376</v>
      </c>
      <c r="P4" s="131">
        <f t="shared" si="2"/>
        <v>439.6487389661479</v>
      </c>
      <c r="Q4" s="131">
        <f t="shared" si="2"/>
        <v>531.86198594562927</v>
      </c>
      <c r="R4" s="131">
        <f t="shared" ref="R4:W4" si="3">SUM(R5:R15)</f>
        <v>549.55336557226963</v>
      </c>
      <c r="S4" s="131">
        <f t="shared" si="3"/>
        <v>587.23913042790241</v>
      </c>
      <c r="T4" s="131">
        <f t="shared" si="3"/>
        <v>500.01086366972146</v>
      </c>
      <c r="U4" s="131">
        <f t="shared" si="3"/>
        <v>444.09497308545338</v>
      </c>
      <c r="V4" s="131">
        <f t="shared" si="3"/>
        <v>496.75963977962698</v>
      </c>
      <c r="W4" s="131">
        <f t="shared" si="3"/>
        <v>689.16495917716679</v>
      </c>
      <c r="DA4" s="156" t="s">
        <v>233</v>
      </c>
    </row>
    <row r="5" spans="1:105" ht="12" customHeight="1" x14ac:dyDescent="0.25">
      <c r="A5" s="132" t="s">
        <v>29</v>
      </c>
      <c r="B5" s="133">
        <v>0</v>
      </c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357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358</v>
      </c>
    </row>
    <row r="7" spans="1:105" ht="12" customHeight="1" x14ac:dyDescent="0.25">
      <c r="A7" s="132" t="s">
        <v>168</v>
      </c>
      <c r="B7" s="133">
        <v>366.22736714617099</v>
      </c>
      <c r="C7" s="133">
        <v>336.26829922774516</v>
      </c>
      <c r="D7" s="133">
        <v>311.52952155289336</v>
      </c>
      <c r="E7" s="133">
        <v>309.11901093171144</v>
      </c>
      <c r="F7" s="133">
        <v>319.22271012095501</v>
      </c>
      <c r="G7" s="133">
        <v>279.26905014086418</v>
      </c>
      <c r="H7" s="133">
        <v>230.71832567213124</v>
      </c>
      <c r="I7" s="133">
        <v>202.74995888843154</v>
      </c>
      <c r="J7" s="133">
        <v>205.97395725068199</v>
      </c>
      <c r="K7" s="133">
        <v>188.14929351523537</v>
      </c>
      <c r="L7" s="133">
        <v>180.51160866184966</v>
      </c>
      <c r="M7" s="133">
        <v>139.55454803171017</v>
      </c>
      <c r="N7" s="133">
        <v>171.26315331413687</v>
      </c>
      <c r="O7" s="133">
        <v>155.7923119986992</v>
      </c>
      <c r="P7" s="133">
        <v>140.44756442762971</v>
      </c>
      <c r="Q7" s="133">
        <v>144.58319651208916</v>
      </c>
      <c r="R7" s="133">
        <v>145.02996195834399</v>
      </c>
      <c r="S7" s="133">
        <v>131.42785848285376</v>
      </c>
      <c r="T7" s="133">
        <v>145.57864389453798</v>
      </c>
      <c r="U7" s="133">
        <v>70.204423298436765</v>
      </c>
      <c r="V7" s="133">
        <v>83.581911901689992</v>
      </c>
      <c r="W7" s="133">
        <v>63.116000666850617</v>
      </c>
      <c r="DA7" s="157" t="s">
        <v>359</v>
      </c>
    </row>
    <row r="8" spans="1:105" ht="12" customHeight="1" x14ac:dyDescent="0.25">
      <c r="A8" s="132" t="s">
        <v>73</v>
      </c>
      <c r="B8" s="133">
        <v>0.52228386028762375</v>
      </c>
      <c r="C8" s="133">
        <v>0.47389399373547109</v>
      </c>
      <c r="D8" s="133">
        <v>0.46911247830879649</v>
      </c>
      <c r="E8" s="133">
        <v>0.56006142618945975</v>
      </c>
      <c r="F8" s="133">
        <v>0.54921255110650458</v>
      </c>
      <c r="G8" s="133">
        <v>0.51343874152761171</v>
      </c>
      <c r="H8" s="133">
        <v>0.36862697143111478</v>
      </c>
      <c r="I8" s="133">
        <v>1.1195596818591269</v>
      </c>
      <c r="J8" s="133">
        <v>1.1066939850863997</v>
      </c>
      <c r="K8" s="133">
        <v>1.1939808786441584</v>
      </c>
      <c r="L8" s="133">
        <v>1.2205249178105002</v>
      </c>
      <c r="M8" s="133">
        <v>1.3016193907785221</v>
      </c>
      <c r="N8" s="133">
        <v>1.4279739068585222</v>
      </c>
      <c r="O8" s="133">
        <v>1.5331646777188572</v>
      </c>
      <c r="P8" s="133">
        <v>2.0606949218322401</v>
      </c>
      <c r="Q8" s="133">
        <v>2.5980911699526907</v>
      </c>
      <c r="R8" s="133">
        <v>2.8033315243180947</v>
      </c>
      <c r="S8" s="133">
        <v>2.9374573735446403</v>
      </c>
      <c r="T8" s="133">
        <v>3.3162507081453105</v>
      </c>
      <c r="U8" s="133">
        <v>3.6723695086235773</v>
      </c>
      <c r="V8" s="133">
        <v>4.603437389648267</v>
      </c>
      <c r="W8" s="133">
        <v>5.4980761497984227</v>
      </c>
      <c r="DA8" s="157" t="s">
        <v>360</v>
      </c>
    </row>
    <row r="9" spans="1:105" ht="12" customHeight="1" x14ac:dyDescent="0.25">
      <c r="A9" s="132" t="s">
        <v>78</v>
      </c>
      <c r="B9" s="133">
        <v>318.49168314892358</v>
      </c>
      <c r="C9" s="133">
        <v>323.69939104111842</v>
      </c>
      <c r="D9" s="133">
        <v>337.44748537741361</v>
      </c>
      <c r="E9" s="133">
        <v>416.11877252199827</v>
      </c>
      <c r="F9" s="133">
        <v>414.09002933680154</v>
      </c>
      <c r="G9" s="133">
        <v>433.28457959150495</v>
      </c>
      <c r="H9" s="133">
        <v>484.39330105851218</v>
      </c>
      <c r="I9" s="133">
        <v>444.59419442169803</v>
      </c>
      <c r="J9" s="133">
        <v>438.62833217133209</v>
      </c>
      <c r="K9" s="133">
        <v>441.13354201365058</v>
      </c>
      <c r="L9" s="133">
        <v>434.03494010415449</v>
      </c>
      <c r="M9" s="133">
        <v>324.25321967279694</v>
      </c>
      <c r="N9" s="133">
        <v>372.63379017365372</v>
      </c>
      <c r="O9" s="133">
        <v>394.49142440337363</v>
      </c>
      <c r="P9" s="133">
        <v>268.98087720295547</v>
      </c>
      <c r="Q9" s="133">
        <v>373.37053564726506</v>
      </c>
      <c r="R9" s="133">
        <v>384.11396123881133</v>
      </c>
      <c r="S9" s="133">
        <v>429.19467898652078</v>
      </c>
      <c r="T9" s="133">
        <v>323.79993602426413</v>
      </c>
      <c r="U9" s="133">
        <v>344.3859342163646</v>
      </c>
      <c r="V9" s="133">
        <v>388.05580039649084</v>
      </c>
      <c r="W9" s="133">
        <v>600.83332842141067</v>
      </c>
      <c r="DA9" s="157" t="s">
        <v>361</v>
      </c>
    </row>
    <row r="10" spans="1:105" ht="12" customHeight="1" x14ac:dyDescent="0.25">
      <c r="A10" s="132" t="s">
        <v>128</v>
      </c>
      <c r="B10" s="133">
        <v>49.324990214026158</v>
      </c>
      <c r="C10" s="133">
        <v>40.705944640313355</v>
      </c>
      <c r="D10" s="133">
        <v>61.185935487034371</v>
      </c>
      <c r="E10" s="133">
        <v>62.050041011251672</v>
      </c>
      <c r="F10" s="133">
        <v>48.605069806577028</v>
      </c>
      <c r="G10" s="133">
        <v>48.739827793489681</v>
      </c>
      <c r="H10" s="133">
        <v>50.422229366014591</v>
      </c>
      <c r="I10" s="133">
        <v>34.084095221723523</v>
      </c>
      <c r="J10" s="133">
        <v>23.191233471664326</v>
      </c>
      <c r="K10" s="133">
        <v>13.662096446117221</v>
      </c>
      <c r="L10" s="133">
        <v>13.376725241282418</v>
      </c>
      <c r="M10" s="133">
        <v>19.992659568024251</v>
      </c>
      <c r="N10" s="133">
        <v>19.156981505231876</v>
      </c>
      <c r="O10" s="133">
        <v>19.331802158372032</v>
      </c>
      <c r="P10" s="133">
        <v>28.159602413730468</v>
      </c>
      <c r="Q10" s="133">
        <v>11.310162616322419</v>
      </c>
      <c r="R10" s="133">
        <v>17.606110850796174</v>
      </c>
      <c r="S10" s="133">
        <v>23.679135584983243</v>
      </c>
      <c r="T10" s="133">
        <v>27.316033042774052</v>
      </c>
      <c r="U10" s="133">
        <v>25.83224606202845</v>
      </c>
      <c r="V10" s="133">
        <v>20.518490091797887</v>
      </c>
      <c r="W10" s="133">
        <v>19.717553939107162</v>
      </c>
      <c r="DA10" s="157" t="s">
        <v>362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363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364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365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366</v>
      </c>
    </row>
    <row r="15" spans="1:105" ht="12" customHeight="1" x14ac:dyDescent="0.25">
      <c r="A15" s="134" t="s">
        <v>80</v>
      </c>
      <c r="B15" s="135">
        <v>0</v>
      </c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367</v>
      </c>
    </row>
    <row r="16" spans="1:105" ht="12.95" customHeight="1" x14ac:dyDescent="0.25">
      <c r="A16" s="130" t="s">
        <v>74</v>
      </c>
      <c r="B16" s="131">
        <f t="shared" ref="B16:Q16" si="4">SUM(B17:B18)</f>
        <v>7.082608684562601E-2</v>
      </c>
      <c r="C16" s="131">
        <f t="shared" si="4"/>
        <v>7.420307096891969E-2</v>
      </c>
      <c r="D16" s="131">
        <f t="shared" si="4"/>
        <v>8.0913542140249428E-2</v>
      </c>
      <c r="E16" s="131">
        <f t="shared" si="4"/>
        <v>8.4619745467051102E-2</v>
      </c>
      <c r="F16" s="131">
        <f t="shared" si="4"/>
        <v>9.176735807653072E-2</v>
      </c>
      <c r="G16" s="131">
        <f t="shared" si="4"/>
        <v>0.10149721463937078</v>
      </c>
      <c r="H16" s="131">
        <f t="shared" si="4"/>
        <v>0.10836287584577557</v>
      </c>
      <c r="I16" s="131">
        <f t="shared" si="4"/>
        <v>0.11611412948540875</v>
      </c>
      <c r="J16" s="131">
        <f t="shared" si="4"/>
        <v>0.12231418245943418</v>
      </c>
      <c r="K16" s="131">
        <f t="shared" si="4"/>
        <v>0.12684181253230911</v>
      </c>
      <c r="L16" s="131">
        <f t="shared" si="4"/>
        <v>0.13609905278257423</v>
      </c>
      <c r="M16" s="131">
        <f t="shared" si="4"/>
        <v>0.14822863029609687</v>
      </c>
      <c r="N16" s="131">
        <f t="shared" si="4"/>
        <v>0.16949233814787307</v>
      </c>
      <c r="O16" s="131">
        <f t="shared" si="4"/>
        <v>0.20541183500198251</v>
      </c>
      <c r="P16" s="131">
        <f t="shared" si="4"/>
        <v>0.27403052575532194</v>
      </c>
      <c r="Q16" s="131">
        <f t="shared" si="4"/>
        <v>0.38293174759229093</v>
      </c>
      <c r="R16" s="131">
        <f t="shared" ref="R16:W16" si="5">SUM(R17:R18)</f>
        <v>0.47506641149877343</v>
      </c>
      <c r="S16" s="131">
        <f t="shared" si="5"/>
        <v>0.57623286326073098</v>
      </c>
      <c r="T16" s="131">
        <f t="shared" si="5"/>
        <v>0.65744053633334332</v>
      </c>
      <c r="U16" s="131">
        <f t="shared" si="5"/>
        <v>0.72644922169666448</v>
      </c>
      <c r="V16" s="131">
        <f t="shared" si="5"/>
        <v>0.71721482801868763</v>
      </c>
      <c r="W16" s="131">
        <f t="shared" si="5"/>
        <v>0.74367262862514538</v>
      </c>
      <c r="DA16" s="156" t="s">
        <v>234</v>
      </c>
    </row>
    <row r="17" spans="1:105" ht="12.95" customHeight="1" x14ac:dyDescent="0.25">
      <c r="A17" s="132" t="s">
        <v>73</v>
      </c>
      <c r="B17" s="133">
        <v>7.082608684562601E-2</v>
      </c>
      <c r="C17" s="133">
        <v>7.420307096891969E-2</v>
      </c>
      <c r="D17" s="133">
        <v>8.0913542140249428E-2</v>
      </c>
      <c r="E17" s="133">
        <v>8.4619745467051102E-2</v>
      </c>
      <c r="F17" s="133">
        <v>9.176735807653072E-2</v>
      </c>
      <c r="G17" s="133">
        <v>0.10149721463937078</v>
      </c>
      <c r="H17" s="133">
        <v>0.10836287584577557</v>
      </c>
      <c r="I17" s="133">
        <v>0.11611412948540875</v>
      </c>
      <c r="J17" s="133">
        <v>0.12231418245943418</v>
      </c>
      <c r="K17" s="133">
        <v>0.12684181253230911</v>
      </c>
      <c r="L17" s="133">
        <v>0.13609905278257423</v>
      </c>
      <c r="M17" s="133">
        <v>0.14822863029609687</v>
      </c>
      <c r="N17" s="133">
        <v>0.16949233814787307</v>
      </c>
      <c r="O17" s="133">
        <v>0.20541183500198251</v>
      </c>
      <c r="P17" s="133">
        <v>0.27403052575532194</v>
      </c>
      <c r="Q17" s="133">
        <v>0.38293174759229093</v>
      </c>
      <c r="R17" s="133">
        <v>0.47506641149877343</v>
      </c>
      <c r="S17" s="133">
        <v>0.57623286326073098</v>
      </c>
      <c r="T17" s="133">
        <v>0.65744053633334332</v>
      </c>
      <c r="U17" s="133">
        <v>0.72644922169666448</v>
      </c>
      <c r="V17" s="133">
        <v>0.71721482801868763</v>
      </c>
      <c r="W17" s="133">
        <v>0.74367262862514538</v>
      </c>
      <c r="DA17" s="157" t="s">
        <v>368</v>
      </c>
    </row>
    <row r="18" spans="1:105" ht="12" customHeight="1" x14ac:dyDescent="0.25">
      <c r="A18" s="132" t="s">
        <v>72</v>
      </c>
      <c r="B18" s="133">
        <v>0</v>
      </c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369</v>
      </c>
    </row>
    <row r="19" spans="1:105" ht="12.95" customHeight="1" x14ac:dyDescent="0.25">
      <c r="A19" s="130" t="s">
        <v>35</v>
      </c>
      <c r="B19" s="131">
        <f t="shared" ref="B19:Q19" si="6">SUM(B20:B27)</f>
        <v>77.802769314731961</v>
      </c>
      <c r="C19" s="131">
        <f t="shared" si="6"/>
        <v>76.364224583806148</v>
      </c>
      <c r="D19" s="131">
        <f t="shared" si="6"/>
        <v>78.121762473314035</v>
      </c>
      <c r="E19" s="131">
        <f t="shared" si="6"/>
        <v>85.481662743124176</v>
      </c>
      <c r="F19" s="131">
        <f t="shared" si="6"/>
        <v>85.217160259816623</v>
      </c>
      <c r="G19" s="131">
        <f t="shared" si="6"/>
        <v>88.765800122701762</v>
      </c>
      <c r="H19" s="131">
        <f t="shared" si="6"/>
        <v>87.996651563228156</v>
      </c>
      <c r="I19" s="131">
        <f t="shared" si="6"/>
        <v>84.372878983094211</v>
      </c>
      <c r="J19" s="131">
        <f t="shared" si="6"/>
        <v>84.314497346661753</v>
      </c>
      <c r="K19" s="131">
        <f t="shared" si="6"/>
        <v>83.535324730353864</v>
      </c>
      <c r="L19" s="131">
        <f t="shared" si="6"/>
        <v>81.752114504085753</v>
      </c>
      <c r="M19" s="131">
        <f t="shared" si="6"/>
        <v>70.113490273215675</v>
      </c>
      <c r="N19" s="131">
        <f t="shared" si="6"/>
        <v>69.743758422765922</v>
      </c>
      <c r="O19" s="131">
        <f t="shared" si="6"/>
        <v>68.503511570233684</v>
      </c>
      <c r="P19" s="131">
        <f t="shared" si="6"/>
        <v>64.629248929112435</v>
      </c>
      <c r="Q19" s="131">
        <f t="shared" si="6"/>
        <v>69.967062211673678</v>
      </c>
      <c r="R19" s="131">
        <f t="shared" ref="R19:W19" si="7">SUM(R20:R27)</f>
        <v>70.024693571677261</v>
      </c>
      <c r="S19" s="131">
        <f t="shared" si="7"/>
        <v>70.802465472753184</v>
      </c>
      <c r="T19" s="131">
        <f t="shared" si="7"/>
        <v>68.653391323621506</v>
      </c>
      <c r="U19" s="131">
        <f t="shared" si="7"/>
        <v>61.220355265683168</v>
      </c>
      <c r="V19" s="131">
        <f t="shared" si="7"/>
        <v>44.679180713433297</v>
      </c>
      <c r="W19" s="131">
        <f t="shared" si="7"/>
        <v>56.107779454991402</v>
      </c>
      <c r="DA19" s="156" t="s">
        <v>235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370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371</v>
      </c>
    </row>
    <row r="22" spans="1:105" ht="12" customHeight="1" x14ac:dyDescent="0.25">
      <c r="A22" s="132" t="s">
        <v>168</v>
      </c>
      <c r="B22" s="133">
        <v>41.741257293829165</v>
      </c>
      <c r="C22" s="133">
        <v>40.130750172254814</v>
      </c>
      <c r="D22" s="133">
        <v>39.432651807106545</v>
      </c>
      <c r="E22" s="133">
        <v>38.821324588288576</v>
      </c>
      <c r="F22" s="133">
        <v>38.191166159044926</v>
      </c>
      <c r="G22" s="133">
        <v>36.806531219135891</v>
      </c>
      <c r="H22" s="133">
        <v>31.738662007868687</v>
      </c>
      <c r="I22" s="133">
        <v>28.00021671156837</v>
      </c>
      <c r="J22" s="133">
        <v>27.850778549318107</v>
      </c>
      <c r="K22" s="133">
        <v>26.970176004764699</v>
      </c>
      <c r="L22" s="133">
        <v>25.115739778150203</v>
      </c>
      <c r="M22" s="133">
        <v>21.775968608289826</v>
      </c>
      <c r="N22" s="133">
        <v>21.596618725863117</v>
      </c>
      <c r="O22" s="133">
        <v>21.321264161300924</v>
      </c>
      <c r="P22" s="133">
        <v>20.771537252370308</v>
      </c>
      <c r="Q22" s="133">
        <v>19.817369167910851</v>
      </c>
      <c r="R22" s="133">
        <v>19.344912681656062</v>
      </c>
      <c r="S22" s="133">
        <v>16.678533357146236</v>
      </c>
      <c r="T22" s="133">
        <v>16.133800705461987</v>
      </c>
      <c r="U22" s="133">
        <v>7.3009407815633152</v>
      </c>
      <c r="V22" s="133">
        <v>8.313754138309962</v>
      </c>
      <c r="W22" s="133">
        <v>5.9749966531493275</v>
      </c>
      <c r="DA22" s="157" t="s">
        <v>372</v>
      </c>
    </row>
    <row r="23" spans="1:105" ht="12" customHeight="1" x14ac:dyDescent="0.25">
      <c r="A23" s="132" t="s">
        <v>153</v>
      </c>
      <c r="B23" s="133">
        <v>32.913108390220273</v>
      </c>
      <c r="C23" s="133">
        <v>32.826528629150886</v>
      </c>
      <c r="D23" s="133">
        <v>34.839606402883859</v>
      </c>
      <c r="E23" s="133">
        <v>42.841032440036379</v>
      </c>
      <c r="F23" s="133">
        <v>43.464748075099735</v>
      </c>
      <c r="G23" s="133">
        <v>48.538767209524025</v>
      </c>
      <c r="H23" s="133">
        <v>52.997734646554512</v>
      </c>
      <c r="I23" s="133">
        <v>53.663196790075837</v>
      </c>
      <c r="J23" s="133">
        <v>54.310225537266241</v>
      </c>
      <c r="K23" s="133">
        <v>54.966777319269887</v>
      </c>
      <c r="L23" s="133">
        <v>55.000640980369447</v>
      </c>
      <c r="M23" s="133">
        <v>46.089760067212289</v>
      </c>
      <c r="N23" s="133">
        <v>45.771759645921833</v>
      </c>
      <c r="O23" s="133">
        <v>44.938928863053306</v>
      </c>
      <c r="P23" s="133">
        <v>41.286197204236657</v>
      </c>
      <c r="Q23" s="133">
        <v>48.885253617080352</v>
      </c>
      <c r="R23" s="133">
        <v>48.869161533227221</v>
      </c>
      <c r="S23" s="133">
        <v>51.880654332728724</v>
      </c>
      <c r="T23" s="133">
        <v>49.995231544218605</v>
      </c>
      <c r="U23" s="133">
        <v>51.561374518414453</v>
      </c>
      <c r="V23" s="133">
        <v>34.523216987327132</v>
      </c>
      <c r="W23" s="133">
        <v>48.382227632198038</v>
      </c>
      <c r="DA23" s="157" t="s">
        <v>373</v>
      </c>
    </row>
    <row r="24" spans="1:105" ht="12" customHeight="1" x14ac:dyDescent="0.25">
      <c r="A24" s="132" t="s">
        <v>128</v>
      </c>
      <c r="B24" s="133">
        <v>3.148403630682524</v>
      </c>
      <c r="C24" s="133">
        <v>3.4069457824004568</v>
      </c>
      <c r="D24" s="133">
        <v>3.84950426332363</v>
      </c>
      <c r="E24" s="133">
        <v>3.8193057147992335</v>
      </c>
      <c r="F24" s="133">
        <v>3.5612460256719616</v>
      </c>
      <c r="G24" s="133">
        <v>3.4205016940418438</v>
      </c>
      <c r="H24" s="133">
        <v>3.2602549088049564</v>
      </c>
      <c r="I24" s="133">
        <v>2.7094654814499983</v>
      </c>
      <c r="J24" s="133">
        <v>2.1534932600774148</v>
      </c>
      <c r="K24" s="133">
        <v>1.5983714063192722</v>
      </c>
      <c r="L24" s="133">
        <v>1.6357337455660976</v>
      </c>
      <c r="M24" s="133">
        <v>2.2477615977135672</v>
      </c>
      <c r="N24" s="133">
        <v>2.3753800509809611</v>
      </c>
      <c r="O24" s="133">
        <v>2.2433185458794456</v>
      </c>
      <c r="P24" s="133">
        <v>2.5715144725054739</v>
      </c>
      <c r="Q24" s="133">
        <v>1.2644394266824688</v>
      </c>
      <c r="R24" s="133">
        <v>1.8106193567939801</v>
      </c>
      <c r="S24" s="133">
        <v>2.2432777828782249</v>
      </c>
      <c r="T24" s="133">
        <v>2.5243590739409152</v>
      </c>
      <c r="U24" s="133">
        <v>2.3580399657054043</v>
      </c>
      <c r="V24" s="133">
        <v>1.8422095877962055</v>
      </c>
      <c r="W24" s="133">
        <v>1.7505551696440367</v>
      </c>
      <c r="DA24" s="157" t="s">
        <v>374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375</v>
      </c>
    </row>
    <row r="26" spans="1:105" ht="12" customHeight="1" x14ac:dyDescent="0.25">
      <c r="A26" s="132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376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377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65.475852993722953</v>
      </c>
      <c r="C29" s="131">
        <f t="shared" si="8"/>
        <v>65.652717345026304</v>
      </c>
      <c r="D29" s="131">
        <f t="shared" si="8"/>
        <v>66.454981359253651</v>
      </c>
      <c r="E29" s="131">
        <f t="shared" si="8"/>
        <v>72.504471186308791</v>
      </c>
      <c r="F29" s="131">
        <f t="shared" si="8"/>
        <v>75.807666158915936</v>
      </c>
      <c r="G29" s="131">
        <f t="shared" si="8"/>
        <v>84.768859802804144</v>
      </c>
      <c r="H29" s="131">
        <f t="shared" si="8"/>
        <v>86.685053127656573</v>
      </c>
      <c r="I29" s="131">
        <f t="shared" si="8"/>
        <v>88.409120696881544</v>
      </c>
      <c r="J29" s="131">
        <f t="shared" si="8"/>
        <v>89.247068643855727</v>
      </c>
      <c r="K29" s="131">
        <f t="shared" si="8"/>
        <v>91.444998775903272</v>
      </c>
      <c r="L29" s="131">
        <f t="shared" si="8"/>
        <v>97.109227584883044</v>
      </c>
      <c r="M29" s="131">
        <f t="shared" si="8"/>
        <v>92.792840078916115</v>
      </c>
      <c r="N29" s="131">
        <f t="shared" si="8"/>
        <v>89.040454335417962</v>
      </c>
      <c r="O29" s="131">
        <f t="shared" si="8"/>
        <v>90.253986340852478</v>
      </c>
      <c r="P29" s="131">
        <f t="shared" si="8"/>
        <v>79.979860105220354</v>
      </c>
      <c r="Q29" s="131">
        <f t="shared" si="8"/>
        <v>103.57179437810943</v>
      </c>
      <c r="R29" s="131">
        <f t="shared" ref="R29:W29" si="9">SUM(R30:R33)</f>
        <v>102.42579113214452</v>
      </c>
      <c r="S29" s="131">
        <f t="shared" si="9"/>
        <v>97.480546563945012</v>
      </c>
      <c r="T29" s="131">
        <f t="shared" si="9"/>
        <v>104.42603406703864</v>
      </c>
      <c r="U29" s="131">
        <f t="shared" si="9"/>
        <v>113.97665653490048</v>
      </c>
      <c r="V29" s="131">
        <f t="shared" si="9"/>
        <v>76.503418078515367</v>
      </c>
      <c r="W29" s="131">
        <f t="shared" si="9"/>
        <v>108.00217488796773</v>
      </c>
      <c r="DA29" s="156" t="s">
        <v>236</v>
      </c>
    </row>
    <row r="30" spans="1:105" ht="12" customHeight="1" x14ac:dyDescent="0.25">
      <c r="A30" s="132" t="s">
        <v>52</v>
      </c>
      <c r="B30" s="133">
        <v>8.707724279999999</v>
      </c>
      <c r="C30" s="133">
        <v>8.707724279999999</v>
      </c>
      <c r="D30" s="133">
        <v>8.707724279999999</v>
      </c>
      <c r="E30" s="133">
        <v>11.610374759999999</v>
      </c>
      <c r="F30" s="133">
        <v>14.513025239999999</v>
      </c>
      <c r="G30" s="133">
        <v>17.415675720000003</v>
      </c>
      <c r="H30" s="133">
        <v>17.415675720000003</v>
      </c>
      <c r="I30" s="133">
        <v>17.415675719999999</v>
      </c>
      <c r="J30" s="133">
        <v>17.41567572000001</v>
      </c>
      <c r="K30" s="133">
        <v>17.415675719999999</v>
      </c>
      <c r="L30" s="133">
        <v>23.220749519999984</v>
      </c>
      <c r="M30" s="133">
        <v>20.318099040000007</v>
      </c>
      <c r="N30" s="133">
        <v>17.415675719999996</v>
      </c>
      <c r="O30" s="133">
        <v>20.318099040000007</v>
      </c>
      <c r="P30" s="133">
        <v>11.610374759999999</v>
      </c>
      <c r="Q30" s="133">
        <v>24.079868640000026</v>
      </c>
      <c r="R30" s="133">
        <v>25.438285439999994</v>
      </c>
      <c r="S30" s="133">
        <v>25.243836480000041</v>
      </c>
      <c r="T30" s="133">
        <v>25.902827640000002</v>
      </c>
      <c r="U30" s="133">
        <v>25.42670028000002</v>
      </c>
      <c r="V30" s="133">
        <v>21.48501996000002</v>
      </c>
      <c r="W30" s="133">
        <v>23.127841080000017</v>
      </c>
      <c r="DA30" s="157" t="s">
        <v>378</v>
      </c>
    </row>
    <row r="31" spans="1:105" ht="12" customHeight="1" x14ac:dyDescent="0.25">
      <c r="A31" s="132" t="s">
        <v>153</v>
      </c>
      <c r="B31" s="133">
        <v>56.768128713722959</v>
      </c>
      <c r="C31" s="133">
        <v>56.94499306502631</v>
      </c>
      <c r="D31" s="133">
        <v>57.747257079253657</v>
      </c>
      <c r="E31" s="133">
        <v>60.894096426308785</v>
      </c>
      <c r="F31" s="133">
        <v>61.294640918915931</v>
      </c>
      <c r="G31" s="133">
        <v>67.353184082804148</v>
      </c>
      <c r="H31" s="133">
        <v>69.269377407656563</v>
      </c>
      <c r="I31" s="133">
        <v>70.993444976881548</v>
      </c>
      <c r="J31" s="133">
        <v>71.831392923855717</v>
      </c>
      <c r="K31" s="133">
        <v>74.029323055903276</v>
      </c>
      <c r="L31" s="133">
        <v>73.88847806488306</v>
      </c>
      <c r="M31" s="133">
        <v>72.474741038916108</v>
      </c>
      <c r="N31" s="133">
        <v>71.624778615417966</v>
      </c>
      <c r="O31" s="133">
        <v>69.935887300852471</v>
      </c>
      <c r="P31" s="133">
        <v>68.369485345220355</v>
      </c>
      <c r="Q31" s="133">
        <v>79.491925738109401</v>
      </c>
      <c r="R31" s="133">
        <v>76.987505692144538</v>
      </c>
      <c r="S31" s="133">
        <v>72.236710083944971</v>
      </c>
      <c r="T31" s="133">
        <v>78.523206427038645</v>
      </c>
      <c r="U31" s="133">
        <v>88.549956254900465</v>
      </c>
      <c r="V31" s="133">
        <v>55.01839811851535</v>
      </c>
      <c r="W31" s="133">
        <v>84.874333807967702</v>
      </c>
      <c r="DA31" s="157" t="s">
        <v>379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380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381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>
        <f>IF(SER_hh_fec!B3=0,0,11630*1000*SER_hh_fec!B3/SER_hh_num!B3)</f>
        <v>137418.53833991551</v>
      </c>
      <c r="C3" s="126">
        <f>IF(SER_hh_fec!C3=0,0,11630*1000*SER_hh_fec!C3/SER_hh_num!C3)</f>
        <v>139051.2291966163</v>
      </c>
      <c r="D3" s="126">
        <f>IF(SER_hh_fec!D3=0,0,11630*1000*SER_hh_fec!D3/SER_hh_num!D3)</f>
        <v>136290.20806740096</v>
      </c>
      <c r="E3" s="126">
        <f>IF(SER_hh_fec!E3=0,0,11630*1000*SER_hh_fec!E3/SER_hh_num!E3)</f>
        <v>137188.04560578844</v>
      </c>
      <c r="F3" s="126">
        <f>IF(SER_hh_fec!F3=0,0,11630*1000*SER_hh_fec!F3/SER_hh_num!F3)</f>
        <v>134365.79921300252</v>
      </c>
      <c r="G3" s="126">
        <f>IF(SER_hh_fec!G3=0,0,11630*1000*SER_hh_fec!G3/SER_hh_num!G3)</f>
        <v>130508.16282258851</v>
      </c>
      <c r="H3" s="126">
        <f>IF(SER_hh_fec!H3=0,0,11630*1000*SER_hh_fec!H3/SER_hh_num!H3)</f>
        <v>129866.49381613955</v>
      </c>
      <c r="I3" s="126">
        <f>IF(SER_hh_fec!I3=0,0,11630*1000*SER_hh_fec!I3/SER_hh_num!I3)</f>
        <v>122628.82189911598</v>
      </c>
      <c r="J3" s="126">
        <f>IF(SER_hh_fec!J3=0,0,11630*1000*SER_hh_fec!J3/SER_hh_num!J3)</f>
        <v>120930.64555076534</v>
      </c>
      <c r="K3" s="126">
        <f>IF(SER_hh_fec!K3=0,0,11630*1000*SER_hh_fec!K3/SER_hh_num!K3)</f>
        <v>116098.91666530482</v>
      </c>
      <c r="L3" s="126">
        <f>IF(SER_hh_fec!L3=0,0,11630*1000*SER_hh_fec!L3/SER_hh_num!L3)</f>
        <v>123277.31989230899</v>
      </c>
      <c r="M3" s="126">
        <f>IF(SER_hh_fec!M3=0,0,11630*1000*SER_hh_fec!M3/SER_hh_num!M3)</f>
        <v>107831.69277802903</v>
      </c>
      <c r="N3" s="126">
        <f>IF(SER_hh_fec!N3=0,0,11630*1000*SER_hh_fec!N3/SER_hh_num!N3)</f>
        <v>109461.94952620458</v>
      </c>
      <c r="O3" s="126">
        <f>IF(SER_hh_fec!O3=0,0,11630*1000*SER_hh_fec!O3/SER_hh_num!O3)</f>
        <v>107093.22141546091</v>
      </c>
      <c r="P3" s="126">
        <f>IF(SER_hh_fec!P3=0,0,11630*1000*SER_hh_fec!P3/SER_hh_num!P3)</f>
        <v>96422.341492852502</v>
      </c>
      <c r="Q3" s="126">
        <f>IF(SER_hh_fec!Q3=0,0,11630*1000*SER_hh_fec!Q3/SER_hh_num!Q3)</f>
        <v>101063.19141498963</v>
      </c>
      <c r="R3" s="126">
        <f>IF(SER_hh_fec!R3=0,0,11630*1000*SER_hh_fec!R3/SER_hh_num!R3)</f>
        <v>103931.76567588175</v>
      </c>
      <c r="S3" s="126">
        <f>IF(SER_hh_fec!S3=0,0,11630*1000*SER_hh_fec!S3/SER_hh_num!S3)</f>
        <v>104932.51698863045</v>
      </c>
      <c r="T3" s="126">
        <f>IF(SER_hh_fec!T3=0,0,11630*1000*SER_hh_fec!T3/SER_hh_num!T3)</f>
        <v>99758.765266698159</v>
      </c>
      <c r="U3" s="126">
        <f>IF(SER_hh_fec!U3=0,0,11630*1000*SER_hh_fec!U3/SER_hh_num!U3)</f>
        <v>94746.285564893158</v>
      </c>
      <c r="V3" s="126">
        <f>IF(SER_hh_fec!V3=0,0,11630*1000*SER_hh_fec!V3/SER_hh_num!V3)</f>
        <v>89128.24875765761</v>
      </c>
      <c r="W3" s="126">
        <f>IF(SER_hh_fec!W3=0,0,11630*1000*SER_hh_fec!W3/SER_hh_num!W3)</f>
        <v>104161.6119081681</v>
      </c>
      <c r="DA3" s="155" t="s">
        <v>383</v>
      </c>
    </row>
    <row r="4" spans="1:105" ht="12.95" customHeight="1" x14ac:dyDescent="0.25">
      <c r="A4" s="130" t="s">
        <v>32</v>
      </c>
      <c r="B4" s="131">
        <f>IF(SER_hh_fec!B4=0,0,11630*1000*SER_hh_fec!B4/SER_hh_num!B4)</f>
        <v>109858.8293076838</v>
      </c>
      <c r="C4" s="131">
        <f>IF(SER_hh_fec!C4=0,0,11630*1000*SER_hh_fec!C4/SER_hh_num!C4)</f>
        <v>111770.45742656644</v>
      </c>
      <c r="D4" s="131">
        <f>IF(SER_hh_fec!D4=0,0,11630*1000*SER_hh_fec!D4/SER_hh_num!D4)</f>
        <v>109162.05520813947</v>
      </c>
      <c r="E4" s="131">
        <f>IF(SER_hh_fec!E4=0,0,11630*1000*SER_hh_fec!E4/SER_hh_num!E4)</f>
        <v>110004.48688160679</v>
      </c>
      <c r="F4" s="131">
        <f>IF(SER_hh_fec!F4=0,0,11630*1000*SER_hh_fec!F4/SER_hh_num!F4)</f>
        <v>107251.14212434356</v>
      </c>
      <c r="G4" s="131">
        <f>IF(SER_hh_fec!G4=0,0,11630*1000*SER_hh_fec!G4/SER_hh_num!G4)</f>
        <v>103512.37574448228</v>
      </c>
      <c r="H4" s="131">
        <f>IF(SER_hh_fec!H4=0,0,11630*1000*SER_hh_fec!H4/SER_hh_num!H4)</f>
        <v>102832.02024408543</v>
      </c>
      <c r="I4" s="131">
        <f>IF(SER_hh_fec!I4=0,0,11630*1000*SER_hh_fec!I4/SER_hh_num!I4)</f>
        <v>95985.857974800456</v>
      </c>
      <c r="J4" s="131">
        <f>IF(SER_hh_fec!J4=0,0,11630*1000*SER_hh_fec!J4/SER_hh_num!J4)</f>
        <v>94358.505334094894</v>
      </c>
      <c r="K4" s="131">
        <f>IF(SER_hh_fec!K4=0,0,11630*1000*SER_hh_fec!K4/SER_hh_num!K4)</f>
        <v>89711.623078020129</v>
      </c>
      <c r="L4" s="131">
        <f>IF(SER_hh_fec!L4=0,0,11630*1000*SER_hh_fec!L4/SER_hh_num!L4)</f>
        <v>97153.577679503782</v>
      </c>
      <c r="M4" s="131">
        <f>IF(SER_hh_fec!M4=0,0,11630*1000*SER_hh_fec!M4/SER_hh_num!M4)</f>
        <v>81623.199341113257</v>
      </c>
      <c r="N4" s="131">
        <f>IF(SER_hh_fec!N4=0,0,11630*1000*SER_hh_fec!N4/SER_hh_num!N4)</f>
        <v>82959.479453195308</v>
      </c>
      <c r="O4" s="131">
        <f>IF(SER_hh_fec!O4=0,0,11630*1000*SER_hh_fec!O4/SER_hh_num!O4)</f>
        <v>80579.873140568307</v>
      </c>
      <c r="P4" s="131">
        <f>IF(SER_hh_fec!P4=0,0,11630*1000*SER_hh_fec!P4/SER_hh_num!P4)</f>
        <v>69997.767027203619</v>
      </c>
      <c r="Q4" s="131">
        <f>IF(SER_hh_fec!Q4=0,0,11630*1000*SER_hh_fec!Q4/SER_hh_num!Q4)</f>
        <v>74428.940591695486</v>
      </c>
      <c r="R4" s="131">
        <f>IF(SER_hh_fec!R4=0,0,11630*1000*SER_hh_fec!R4/SER_hh_num!R4)</f>
        <v>77228.649206085523</v>
      </c>
      <c r="S4" s="131">
        <f>IF(SER_hh_fec!S4=0,0,11630*1000*SER_hh_fec!S4/SER_hh_num!S4)</f>
        <v>78432.98605943592</v>
      </c>
      <c r="T4" s="131">
        <f>IF(SER_hh_fec!T4=0,0,11630*1000*SER_hh_fec!T4/SER_hh_num!T4)</f>
        <v>73619.290762554563</v>
      </c>
      <c r="U4" s="131">
        <f>IF(SER_hh_fec!U4=0,0,11630*1000*SER_hh_fec!U4/SER_hh_num!U4)</f>
        <v>69055.889846619757</v>
      </c>
      <c r="V4" s="131">
        <f>IF(SER_hh_fec!V4=0,0,11630*1000*SER_hh_fec!V4/SER_hh_num!V4)</f>
        <v>66640.176709219057</v>
      </c>
      <c r="W4" s="131">
        <f>IF(SER_hh_fec!W4=0,0,11630*1000*SER_hh_fec!W4/SER_hh_num!W4)</f>
        <v>80096.521653415824</v>
      </c>
      <c r="DA4" s="156" t="s">
        <v>384</v>
      </c>
    </row>
    <row r="5" spans="1:105" ht="12" customHeight="1" x14ac:dyDescent="0.25">
      <c r="A5" s="132" t="s">
        <v>29</v>
      </c>
      <c r="B5" s="133">
        <f>IF(SER_hh_fec!B5=0,0,11630*1000*SER_hh_fec!B5/SER_hh_num!B5)</f>
        <v>0</v>
      </c>
      <c r="C5" s="133">
        <f>IF(SER_hh_fec!C5=0,0,11630*1000*SER_hh_fec!C5/SER_hh_num!C5)</f>
        <v>0</v>
      </c>
      <c r="D5" s="133">
        <f>IF(SER_hh_fec!D5=0,0,11630*1000*SER_hh_fec!D5/SER_hh_num!D5)</f>
        <v>0</v>
      </c>
      <c r="E5" s="133">
        <f>IF(SER_hh_fec!E5=0,0,11630*1000*SER_hh_fec!E5/SER_hh_num!E5)</f>
        <v>0</v>
      </c>
      <c r="F5" s="133">
        <f>IF(SER_hh_fec!F5=0,0,11630*1000*SER_hh_fec!F5/SER_hh_num!F5)</f>
        <v>0</v>
      </c>
      <c r="G5" s="133">
        <f>IF(SER_hh_fec!G5=0,0,11630*1000*SER_hh_fec!G5/SER_hh_num!G5)</f>
        <v>0</v>
      </c>
      <c r="H5" s="133">
        <f>IF(SER_hh_fec!H5=0,0,11630*1000*SER_hh_fec!H5/SER_hh_num!H5)</f>
        <v>0</v>
      </c>
      <c r="I5" s="133">
        <f>IF(SER_hh_fec!I5=0,0,11630*1000*SER_hh_fec!I5/SER_hh_num!I5)</f>
        <v>0</v>
      </c>
      <c r="J5" s="133">
        <f>IF(SER_hh_fec!J5=0,0,11630*1000*SER_hh_fec!J5/SER_hh_num!J5)</f>
        <v>0</v>
      </c>
      <c r="K5" s="133">
        <f>IF(SER_hh_fec!K5=0,0,11630*1000*SER_hh_fec!K5/SER_hh_num!K5)</f>
        <v>0</v>
      </c>
      <c r="L5" s="133">
        <f>IF(SER_hh_fec!L5=0,0,11630*1000*SER_hh_fec!L5/SER_hh_num!L5)</f>
        <v>0</v>
      </c>
      <c r="M5" s="133">
        <f>IF(SER_hh_fec!M5=0,0,11630*1000*SER_hh_fec!M5/SER_hh_num!M5)</f>
        <v>0</v>
      </c>
      <c r="N5" s="133">
        <f>IF(SER_hh_fec!N5=0,0,11630*1000*SER_hh_fec!N5/SER_hh_num!N5)</f>
        <v>0</v>
      </c>
      <c r="O5" s="133">
        <f>IF(SER_hh_fec!O5=0,0,11630*1000*SER_hh_fec!O5/SER_hh_num!O5)</f>
        <v>0</v>
      </c>
      <c r="P5" s="133">
        <f>IF(SER_hh_fec!P5=0,0,11630*1000*SER_hh_fec!P5/SER_hh_num!P5)</f>
        <v>0</v>
      </c>
      <c r="Q5" s="133">
        <f>IF(SER_hh_fec!Q5=0,0,11630*1000*SER_hh_fec!Q5/SER_hh_num!Q5)</f>
        <v>0</v>
      </c>
      <c r="R5" s="133">
        <f>IF(SER_hh_fec!R5=0,0,11630*1000*SER_hh_fec!R5/SER_hh_num!R5)</f>
        <v>0</v>
      </c>
      <c r="S5" s="133">
        <f>IF(SER_hh_fec!S5=0,0,11630*1000*SER_hh_fec!S5/SER_hh_num!S5)</f>
        <v>0</v>
      </c>
      <c r="T5" s="133">
        <f>IF(SER_hh_fec!T5=0,0,11630*1000*SER_hh_fec!T5/SER_hh_num!T5)</f>
        <v>0</v>
      </c>
      <c r="U5" s="133">
        <f>IF(SER_hh_fec!U5=0,0,11630*1000*SER_hh_fec!U5/SER_hh_num!U5)</f>
        <v>0</v>
      </c>
      <c r="V5" s="133">
        <f>IF(SER_hh_fec!V5=0,0,11630*1000*SER_hh_fec!V5/SER_hh_num!V5)</f>
        <v>0</v>
      </c>
      <c r="W5" s="133">
        <f>IF(SER_hh_fec!W5=0,0,11630*1000*SER_hh_fec!W5/SER_hh_num!W5)</f>
        <v>0</v>
      </c>
      <c r="DA5" s="157" t="s">
        <v>385</v>
      </c>
    </row>
    <row r="6" spans="1:105" ht="12" customHeight="1" x14ac:dyDescent="0.25">
      <c r="A6" s="132" t="s">
        <v>52</v>
      </c>
      <c r="B6" s="133">
        <f>IF(SER_hh_fec!B6=0,0,11630*1000*SER_hh_fec!B6/SER_hh_num!B6)</f>
        <v>0</v>
      </c>
      <c r="C6" s="133">
        <f>IF(SER_hh_fec!C6=0,0,11630*1000*SER_hh_fec!C6/SER_hh_num!C6)</f>
        <v>0</v>
      </c>
      <c r="D6" s="133">
        <f>IF(SER_hh_fec!D6=0,0,11630*1000*SER_hh_fec!D6/SER_hh_num!D6)</f>
        <v>0</v>
      </c>
      <c r="E6" s="133">
        <f>IF(SER_hh_fec!E6=0,0,11630*1000*SER_hh_fec!E6/SER_hh_num!E6)</f>
        <v>0</v>
      </c>
      <c r="F6" s="133">
        <f>IF(SER_hh_fec!F6=0,0,11630*1000*SER_hh_fec!F6/SER_hh_num!F6)</f>
        <v>0</v>
      </c>
      <c r="G6" s="133">
        <f>IF(SER_hh_fec!G6=0,0,11630*1000*SER_hh_fec!G6/SER_hh_num!G6)</f>
        <v>0</v>
      </c>
      <c r="H6" s="133">
        <f>IF(SER_hh_fec!H6=0,0,11630*1000*SER_hh_fec!H6/SER_hh_num!H6)</f>
        <v>0</v>
      </c>
      <c r="I6" s="133">
        <f>IF(SER_hh_fec!I6=0,0,11630*1000*SER_hh_fec!I6/SER_hh_num!I6)</f>
        <v>0</v>
      </c>
      <c r="J6" s="133">
        <f>IF(SER_hh_fec!J6=0,0,11630*1000*SER_hh_fec!J6/SER_hh_num!J6)</f>
        <v>0</v>
      </c>
      <c r="K6" s="133">
        <f>IF(SER_hh_fec!K6=0,0,11630*1000*SER_hh_fec!K6/SER_hh_num!K6)</f>
        <v>0</v>
      </c>
      <c r="L6" s="133">
        <f>IF(SER_hh_fec!L6=0,0,11630*1000*SER_hh_fec!L6/SER_hh_num!L6)</f>
        <v>0</v>
      </c>
      <c r="M6" s="133">
        <f>IF(SER_hh_fec!M6=0,0,11630*1000*SER_hh_fec!M6/SER_hh_num!M6)</f>
        <v>0</v>
      </c>
      <c r="N6" s="133">
        <f>IF(SER_hh_fec!N6=0,0,11630*1000*SER_hh_fec!N6/SER_hh_num!N6)</f>
        <v>0</v>
      </c>
      <c r="O6" s="133">
        <f>IF(SER_hh_fec!O6=0,0,11630*1000*SER_hh_fec!O6/SER_hh_num!O6)</f>
        <v>0</v>
      </c>
      <c r="P6" s="133">
        <f>IF(SER_hh_fec!P6=0,0,11630*1000*SER_hh_fec!P6/SER_hh_num!P6)</f>
        <v>0</v>
      </c>
      <c r="Q6" s="133">
        <f>IF(SER_hh_fec!Q6=0,0,11630*1000*SER_hh_fec!Q6/SER_hh_num!Q6)</f>
        <v>0</v>
      </c>
      <c r="R6" s="133">
        <f>IF(SER_hh_fec!R6=0,0,11630*1000*SER_hh_fec!R6/SER_hh_num!R6)</f>
        <v>0</v>
      </c>
      <c r="S6" s="133">
        <f>IF(SER_hh_fec!S6=0,0,11630*1000*SER_hh_fec!S6/SER_hh_num!S6)</f>
        <v>0</v>
      </c>
      <c r="T6" s="133">
        <f>IF(SER_hh_fec!T6=0,0,11630*1000*SER_hh_fec!T6/SER_hh_num!T6)</f>
        <v>0</v>
      </c>
      <c r="U6" s="133">
        <f>IF(SER_hh_fec!U6=0,0,11630*1000*SER_hh_fec!U6/SER_hh_num!U6)</f>
        <v>0</v>
      </c>
      <c r="V6" s="133">
        <f>IF(SER_hh_fec!V6=0,0,11630*1000*SER_hh_fec!V6/SER_hh_num!V6)</f>
        <v>0</v>
      </c>
      <c r="W6" s="133">
        <f>IF(SER_hh_fec!W6=0,0,11630*1000*SER_hh_fec!W6/SER_hh_num!W6)</f>
        <v>0</v>
      </c>
      <c r="DA6" s="157" t="s">
        <v>386</v>
      </c>
    </row>
    <row r="7" spans="1:105" ht="12" customHeight="1" x14ac:dyDescent="0.25">
      <c r="A7" s="132" t="s">
        <v>168</v>
      </c>
      <c r="B7" s="133">
        <f>IF(SER_hh_fec!B7=0,0,11630*1000*SER_hh_fec!B7/SER_hh_num!B7)</f>
        <v>166967.80389216839</v>
      </c>
      <c r="C7" s="133">
        <f>IF(SER_hh_fec!C7=0,0,11630*1000*SER_hh_fec!C7/SER_hh_num!C7)</f>
        <v>163126.90289203188</v>
      </c>
      <c r="D7" s="133">
        <f>IF(SER_hh_fec!D7=0,0,11630*1000*SER_hh_fec!D7/SER_hh_num!D7)</f>
        <v>156440.14012121095</v>
      </c>
      <c r="E7" s="133">
        <f>IF(SER_hh_fec!E7=0,0,11630*1000*SER_hh_fec!E7/SER_hh_num!E7)</f>
        <v>159394.38417184478</v>
      </c>
      <c r="F7" s="133">
        <f>IF(SER_hh_fec!F7=0,0,11630*1000*SER_hh_fec!F7/SER_hh_num!F7)</f>
        <v>167722.65585911335</v>
      </c>
      <c r="G7" s="133">
        <f>IF(SER_hh_fec!G7=0,0,11630*1000*SER_hh_fec!G7/SER_hh_num!G7)</f>
        <v>156699.74740391574</v>
      </c>
      <c r="H7" s="133">
        <f>IF(SER_hh_fec!H7=0,0,11630*1000*SER_hh_fec!H7/SER_hh_num!H7)</f>
        <v>143234.48017875306</v>
      </c>
      <c r="I7" s="133">
        <f>IF(SER_hh_fec!I7=0,0,11630*1000*SER_hh_fec!I7/SER_hh_num!I7)</f>
        <v>135257.660134159</v>
      </c>
      <c r="J7" s="133">
        <f>IF(SER_hh_fec!J7=0,0,11630*1000*SER_hh_fec!J7/SER_hh_num!J7)</f>
        <v>142125.25396570264</v>
      </c>
      <c r="K7" s="133">
        <f>IF(SER_hh_fec!K7=0,0,11630*1000*SER_hh_fec!K7/SER_hh_num!K7)</f>
        <v>135449.86400105199</v>
      </c>
      <c r="L7" s="133">
        <f>IF(SER_hh_fec!L7=0,0,11630*1000*SER_hh_fec!L7/SER_hh_num!L7)</f>
        <v>134151.27003339989</v>
      </c>
      <c r="M7" s="133">
        <f>IF(SER_hh_fec!M7=0,0,11630*1000*SER_hh_fec!M7/SER_hh_num!M7)</f>
        <v>104010.37249208198</v>
      </c>
      <c r="N7" s="133">
        <f>IF(SER_hh_fec!N7=0,0,11630*1000*SER_hh_fec!N7/SER_hh_num!N7)</f>
        <v>119090.40018280564</v>
      </c>
      <c r="O7" s="133">
        <f>IF(SER_hh_fec!O7=0,0,11630*1000*SER_hh_fec!O7/SER_hh_num!O7)</f>
        <v>105196.28673231296</v>
      </c>
      <c r="P7" s="133">
        <f>IF(SER_hh_fec!P7=0,0,11630*1000*SER_hh_fec!P7/SER_hh_num!P7)</f>
        <v>92710.552782548271</v>
      </c>
      <c r="Q7" s="133">
        <f>IF(SER_hh_fec!Q7=0,0,11630*1000*SER_hh_fec!Q7/SER_hh_num!Q7)</f>
        <v>98005.693056166303</v>
      </c>
      <c r="R7" s="133">
        <f>IF(SER_hh_fec!R7=0,0,11630*1000*SER_hh_fec!R7/SER_hh_num!R7)</f>
        <v>100260.66688315332</v>
      </c>
      <c r="S7" s="133">
        <f>IF(SER_hh_fec!S7=0,0,11630*1000*SER_hh_fec!S7/SER_hh_num!S7)</f>
        <v>97904.812101799529</v>
      </c>
      <c r="T7" s="133">
        <f>IF(SER_hh_fec!T7=0,0,11630*1000*SER_hh_fec!T7/SER_hh_num!T7)</f>
        <v>115131.80011494164</v>
      </c>
      <c r="U7" s="133">
        <f>IF(SER_hh_fec!U7=0,0,11630*1000*SER_hh_fec!U7/SER_hh_num!U7)</f>
        <v>70626.036818848952</v>
      </c>
      <c r="V7" s="133">
        <f>IF(SER_hh_fec!V7=0,0,11630*1000*SER_hh_fec!V7/SER_hh_num!V7)</f>
        <v>102334.6395298281</v>
      </c>
      <c r="W7" s="133">
        <f>IF(SER_hh_fec!W7=0,0,11630*1000*SER_hh_fec!W7/SER_hh_num!W7)</f>
        <v>88465.732454451907</v>
      </c>
      <c r="DA7" s="157" t="s">
        <v>387</v>
      </c>
    </row>
    <row r="8" spans="1:105" ht="12" customHeight="1" x14ac:dyDescent="0.25">
      <c r="A8" s="132" t="s">
        <v>73</v>
      </c>
      <c r="B8" s="133">
        <f>IF(SER_hh_fec!B8=0,0,11630*1000*SER_hh_fec!B8/SER_hh_num!B8)</f>
        <v>76864.746830610733</v>
      </c>
      <c r="C8" s="133">
        <f>IF(SER_hh_fec!C8=0,0,11630*1000*SER_hh_fec!C8/SER_hh_num!C8)</f>
        <v>72570.280629575296</v>
      </c>
      <c r="D8" s="133">
        <f>IF(SER_hh_fec!D8=0,0,11630*1000*SER_hh_fec!D8/SER_hh_num!D8)</f>
        <v>67272.496269063893</v>
      </c>
      <c r="E8" s="133">
        <f>IF(SER_hh_fec!E8=0,0,11630*1000*SER_hh_fec!E8/SER_hh_num!E8)</f>
        <v>72188.917460289245</v>
      </c>
      <c r="F8" s="133">
        <f>IF(SER_hh_fec!F8=0,0,11630*1000*SER_hh_fec!F8/SER_hh_num!F8)</f>
        <v>68804.790876626765</v>
      </c>
      <c r="G8" s="133">
        <f>IF(SER_hh_fec!G8=0,0,11630*1000*SER_hh_fec!G8/SER_hh_num!G8)</f>
        <v>53841.163396439872</v>
      </c>
      <c r="H8" s="133">
        <f>IF(SER_hh_fec!H8=0,0,11630*1000*SER_hh_fec!H8/SER_hh_num!H8)</f>
        <v>30194.03660942088</v>
      </c>
      <c r="I8" s="133">
        <f>IF(SER_hh_fec!I8=0,0,11630*1000*SER_hh_fec!I8/SER_hh_num!I8)</f>
        <v>58348.305406689549</v>
      </c>
      <c r="J8" s="133">
        <f>IF(SER_hh_fec!J8=0,0,11630*1000*SER_hh_fec!J8/SER_hh_num!J8)</f>
        <v>47412.837996838003</v>
      </c>
      <c r="K8" s="133">
        <f>IF(SER_hh_fec!K8=0,0,11630*1000*SER_hh_fec!K8/SER_hh_num!K8)</f>
        <v>43448.0700190711</v>
      </c>
      <c r="L8" s="133">
        <f>IF(SER_hh_fec!L8=0,0,11630*1000*SER_hh_fec!L8/SER_hh_num!L8)</f>
        <v>40879.684951727882</v>
      </c>
      <c r="M8" s="133">
        <f>IF(SER_hh_fec!M8=0,0,11630*1000*SER_hh_fec!M8/SER_hh_num!M8)</f>
        <v>37404.321150172873</v>
      </c>
      <c r="N8" s="133">
        <f>IF(SER_hh_fec!N8=0,0,11630*1000*SER_hh_fec!N8/SER_hh_num!N8)</f>
        <v>34010.761387069746</v>
      </c>
      <c r="O8" s="133">
        <f>IF(SER_hh_fec!O8=0,0,11630*1000*SER_hh_fec!O8/SER_hh_num!O8)</f>
        <v>29266.531677677936</v>
      </c>
      <c r="P8" s="133">
        <f>IF(SER_hh_fec!P8=0,0,11630*1000*SER_hh_fec!P8/SER_hh_num!P8)</f>
        <v>29806.21482226186</v>
      </c>
      <c r="Q8" s="133">
        <f>IF(SER_hh_fec!Q8=0,0,11630*1000*SER_hh_fec!Q8/SER_hh_num!Q8)</f>
        <v>30867.45038556994</v>
      </c>
      <c r="R8" s="133">
        <f>IF(SER_hh_fec!R8=0,0,11630*1000*SER_hh_fec!R8/SER_hh_num!R8)</f>
        <v>29950.814247848139</v>
      </c>
      <c r="S8" s="133">
        <f>IF(SER_hh_fec!S8=0,0,11630*1000*SER_hh_fec!S8/SER_hh_num!S8)</f>
        <v>27739.682205917979</v>
      </c>
      <c r="T8" s="133">
        <f>IF(SER_hh_fec!T8=0,0,11630*1000*SER_hh_fec!T8/SER_hh_num!T8)</f>
        <v>26638.453859008459</v>
      </c>
      <c r="U8" s="133">
        <f>IF(SER_hh_fec!U8=0,0,11630*1000*SER_hh_fec!U8/SER_hh_num!U8)</f>
        <v>24997.155796757455</v>
      </c>
      <c r="V8" s="133">
        <f>IF(SER_hh_fec!V8=0,0,11630*1000*SER_hh_fec!V8/SER_hh_num!V8)</f>
        <v>25821.17105713292</v>
      </c>
      <c r="W8" s="133">
        <f>IF(SER_hh_fec!W8=0,0,11630*1000*SER_hh_fec!W8/SER_hh_num!W8)</f>
        <v>29397.263866864687</v>
      </c>
      <c r="DA8" s="157" t="s">
        <v>388</v>
      </c>
    </row>
    <row r="9" spans="1:105" ht="12" customHeight="1" x14ac:dyDescent="0.25">
      <c r="A9" s="132" t="s">
        <v>78</v>
      </c>
      <c r="B9" s="133">
        <f>IF(SER_hh_fec!B9=0,0,11630*1000*SER_hh_fec!B9/SER_hh_num!B9)</f>
        <v>146173.69179668376</v>
      </c>
      <c r="C9" s="133">
        <f>IF(SER_hh_fec!C9=0,0,11630*1000*SER_hh_fec!C9/SER_hh_num!C9)</f>
        <v>145365.19096316022</v>
      </c>
      <c r="D9" s="133">
        <f>IF(SER_hh_fec!D9=0,0,11630*1000*SER_hh_fec!D9/SER_hh_num!D9)</f>
        <v>135548.91520634442</v>
      </c>
      <c r="E9" s="133">
        <f>IF(SER_hh_fec!E9=0,0,11630*1000*SER_hh_fec!E9/SER_hh_num!E9)</f>
        <v>145141.17468412078</v>
      </c>
      <c r="F9" s="133">
        <f>IF(SER_hh_fec!F9=0,0,11630*1000*SER_hh_fec!F9/SER_hh_num!F9)</f>
        <v>132056.11278927719</v>
      </c>
      <c r="G9" s="133">
        <f>IF(SER_hh_fec!G9=0,0,11630*1000*SER_hh_fec!G9/SER_hh_num!G9)</f>
        <v>126555.04731876007</v>
      </c>
      <c r="H9" s="133">
        <f>IF(SER_hh_fec!H9=0,0,11630*1000*SER_hh_fec!H9/SER_hh_num!H9)</f>
        <v>132301.20454845202</v>
      </c>
      <c r="I9" s="133">
        <f>IF(SER_hh_fec!I9=0,0,11630*1000*SER_hh_fec!I9/SER_hh_num!I9)</f>
        <v>116987.27962961607</v>
      </c>
      <c r="J9" s="133">
        <f>IF(SER_hh_fec!J9=0,0,11630*1000*SER_hh_fec!J9/SER_hh_num!J9)</f>
        <v>114477.36124249766</v>
      </c>
      <c r="K9" s="133">
        <f>IF(SER_hh_fec!K9=0,0,11630*1000*SER_hh_fec!K9/SER_hh_num!K9)</f>
        <v>115777.01387677656</v>
      </c>
      <c r="L9" s="133">
        <f>IF(SER_hh_fec!L9=0,0,11630*1000*SER_hh_fec!L9/SER_hh_num!L9)</f>
        <v>118664.87740957888</v>
      </c>
      <c r="M9" s="133">
        <f>IF(SER_hh_fec!M9=0,0,11630*1000*SER_hh_fec!M9/SER_hh_num!M9)</f>
        <v>90471.499790217757</v>
      </c>
      <c r="N9" s="133">
        <f>IF(SER_hh_fec!N9=0,0,11630*1000*SER_hh_fec!N9/SER_hh_num!N9)</f>
        <v>102065.22526091353</v>
      </c>
      <c r="O9" s="133">
        <f>IF(SER_hh_fec!O9=0,0,11630*1000*SER_hh_fec!O9/SER_hh_num!O9)</f>
        <v>105301.24259279073</v>
      </c>
      <c r="P9" s="133">
        <f>IF(SER_hh_fec!P9=0,0,11630*1000*SER_hh_fec!P9/SER_hh_num!P9)</f>
        <v>71503.358376799471</v>
      </c>
      <c r="Q9" s="133">
        <f>IF(SER_hh_fec!Q9=0,0,11630*1000*SER_hh_fec!Q9/SER_hh_num!Q9)</f>
        <v>90051.754289714881</v>
      </c>
      <c r="R9" s="133">
        <f>IF(SER_hh_fec!R9=0,0,11630*1000*SER_hh_fec!R9/SER_hh_num!R9)</f>
        <v>91474.509181704838</v>
      </c>
      <c r="S9" s="133">
        <f>IF(SER_hh_fec!S9=0,0,11630*1000*SER_hh_fec!S9/SER_hh_num!S9)</f>
        <v>96757.428552493671</v>
      </c>
      <c r="T9" s="133">
        <f>IF(SER_hh_fec!T9=0,0,11630*1000*SER_hh_fec!T9/SER_hh_num!T9)</f>
        <v>70666.385056707295</v>
      </c>
      <c r="U9" s="133">
        <f>IF(SER_hh_fec!U9=0,0,11630*1000*SER_hh_fec!U9/SER_hh_num!U9)</f>
        <v>66655.006174676673</v>
      </c>
      <c r="V9" s="133">
        <f>IF(SER_hh_fec!V9=0,0,11630*1000*SER_hh_fec!V9/SER_hh_num!V9)</f>
        <v>66150.469931867599</v>
      </c>
      <c r="W9" s="133">
        <f>IF(SER_hh_fec!W9=0,0,11630*1000*SER_hh_fec!W9/SER_hh_num!W9)</f>
        <v>101277.92259529661</v>
      </c>
      <c r="DA9" s="157" t="s">
        <v>389</v>
      </c>
    </row>
    <row r="10" spans="1:105" ht="12" customHeight="1" x14ac:dyDescent="0.25">
      <c r="A10" s="132" t="s">
        <v>128</v>
      </c>
      <c r="B10" s="133">
        <f>IF(SER_hh_fec!B10=0,0,11630*1000*SER_hh_fec!B10/SER_hh_num!B10)</f>
        <v>175539.30239762869</v>
      </c>
      <c r="C10" s="133">
        <f>IF(SER_hh_fec!C10=0,0,11630*1000*SER_hh_fec!C10/SER_hh_num!C10)</f>
        <v>144863.32610608058</v>
      </c>
      <c r="D10" s="133">
        <f>IF(SER_hh_fec!D10=0,0,11630*1000*SER_hh_fec!D10/SER_hh_num!D10)</f>
        <v>172458.29156977756</v>
      </c>
      <c r="E10" s="133">
        <f>IF(SER_hh_fec!E10=0,0,11630*1000*SER_hh_fec!E10/SER_hh_num!E10)</f>
        <v>169209.74402719055</v>
      </c>
      <c r="F10" s="133">
        <f>IF(SER_hh_fec!F10=0,0,11630*1000*SER_hh_fec!F10/SER_hh_num!F10)</f>
        <v>140593.5973588604</v>
      </c>
      <c r="G10" s="133">
        <f>IF(SER_hh_fec!G10=0,0,11630*1000*SER_hh_fec!G10/SER_hh_num!G10)</f>
        <v>146662.2728342574</v>
      </c>
      <c r="H10" s="133">
        <f>IF(SER_hh_fec!H10=0,0,11630*1000*SER_hh_fec!H10/SER_hh_num!H10)</f>
        <v>158561.02520934341</v>
      </c>
      <c r="I10" s="133">
        <f>IF(SER_hh_fec!I10=0,0,11630*1000*SER_hh_fec!I10/SER_hh_num!I10)</f>
        <v>139230.92353551803</v>
      </c>
      <c r="J10" s="133">
        <f>IF(SER_hh_fec!J10=0,0,11630*1000*SER_hh_fec!J10/SER_hh_num!J10)</f>
        <v>134524.46291509541</v>
      </c>
      <c r="K10" s="133">
        <f>IF(SER_hh_fec!K10=0,0,11630*1000*SER_hh_fec!K10/SER_hh_num!K10)</f>
        <v>120517.53907082607</v>
      </c>
      <c r="L10" s="133">
        <f>IF(SER_hh_fec!L10=0,0,11630*1000*SER_hh_fec!L10/SER_hh_num!L10)</f>
        <v>121809.57350630236</v>
      </c>
      <c r="M10" s="133">
        <f>IF(SER_hh_fec!M10=0,0,11630*1000*SER_hh_fec!M10/SER_hh_num!M10)</f>
        <v>126657.32429666295</v>
      </c>
      <c r="N10" s="133">
        <f>IF(SER_hh_fec!N10=0,0,11630*1000*SER_hh_fec!N10/SER_hh_num!N10)</f>
        <v>108801.16220506097</v>
      </c>
      <c r="O10" s="133">
        <f>IF(SER_hh_fec!O10=0,0,11630*1000*SER_hh_fec!O10/SER_hh_num!O10)</f>
        <v>104452.56660440263</v>
      </c>
      <c r="P10" s="133">
        <f>IF(SER_hh_fec!P10=0,0,11630*1000*SER_hh_fec!P10/SER_hh_num!P10)</f>
        <v>116530.50047140352</v>
      </c>
      <c r="Q10" s="133">
        <f>IF(SER_hh_fec!Q10=0,0,11630*1000*SER_hh_fec!Q10/SER_hh_num!Q10)</f>
        <v>94749.305948068082</v>
      </c>
      <c r="R10" s="133">
        <f>IF(SER_hh_fec!R10=0,0,11630*1000*SER_hh_fec!R10/SER_hh_num!R10)</f>
        <v>106248.17041010906</v>
      </c>
      <c r="S10" s="133">
        <f>IF(SER_hh_fec!S10=0,0,11630*1000*SER_hh_fec!S10/SER_hh_num!S10)</f>
        <v>111989.8610734338</v>
      </c>
      <c r="T10" s="133">
        <f>IF(SER_hh_fec!T10=0,0,11630*1000*SER_hh_fec!T10/SER_hh_num!T10)</f>
        <v>122476.10099934691</v>
      </c>
      <c r="U10" s="133">
        <f>IF(SER_hh_fec!U10=0,0,11630*1000*SER_hh_fec!U10/SER_hh_num!U10)</f>
        <v>109471.80851709035</v>
      </c>
      <c r="V10" s="133">
        <f>IF(SER_hh_fec!V10=0,0,11630*1000*SER_hh_fec!V10/SER_hh_num!V10)</f>
        <v>100851.47489241294</v>
      </c>
      <c r="W10" s="133">
        <f>IF(SER_hh_fec!W10=0,0,11630*1000*SER_hh_fec!W10/SER_hh_num!W10)</f>
        <v>115159.72765668135</v>
      </c>
      <c r="DA10" s="157" t="s">
        <v>390</v>
      </c>
    </row>
    <row r="11" spans="1:105" ht="12" customHeight="1" x14ac:dyDescent="0.25">
      <c r="A11" s="132" t="s">
        <v>25</v>
      </c>
      <c r="B11" s="133">
        <f>IF(SER_hh_fec!B11=0,0,11630*1000*SER_hh_fec!B11/SER_hh_num!B11)</f>
        <v>0</v>
      </c>
      <c r="C11" s="133">
        <f>IF(SER_hh_fec!C11=0,0,11630*1000*SER_hh_fec!C11/SER_hh_num!C11)</f>
        <v>0</v>
      </c>
      <c r="D11" s="133">
        <f>IF(SER_hh_fec!D11=0,0,11630*1000*SER_hh_fec!D11/SER_hh_num!D11)</f>
        <v>0</v>
      </c>
      <c r="E11" s="133">
        <f>IF(SER_hh_fec!E11=0,0,11630*1000*SER_hh_fec!E11/SER_hh_num!E11)</f>
        <v>0</v>
      </c>
      <c r="F11" s="133">
        <f>IF(SER_hh_fec!F11=0,0,11630*1000*SER_hh_fec!F11/SER_hh_num!F11)</f>
        <v>0</v>
      </c>
      <c r="G11" s="133">
        <f>IF(SER_hh_fec!G11=0,0,11630*1000*SER_hh_fec!G11/SER_hh_num!G11)</f>
        <v>0</v>
      </c>
      <c r="H11" s="133">
        <f>IF(SER_hh_fec!H11=0,0,11630*1000*SER_hh_fec!H11/SER_hh_num!H11)</f>
        <v>0</v>
      </c>
      <c r="I11" s="133">
        <f>IF(SER_hh_fec!I11=0,0,11630*1000*SER_hh_fec!I11/SER_hh_num!I11)</f>
        <v>0</v>
      </c>
      <c r="J11" s="133">
        <f>IF(SER_hh_fec!J11=0,0,11630*1000*SER_hh_fec!J11/SER_hh_num!J11)</f>
        <v>0</v>
      </c>
      <c r="K11" s="133">
        <f>IF(SER_hh_fec!K11=0,0,11630*1000*SER_hh_fec!K11/SER_hh_num!K11)</f>
        <v>0</v>
      </c>
      <c r="L11" s="133">
        <f>IF(SER_hh_fec!L11=0,0,11630*1000*SER_hh_fec!L11/SER_hh_num!L11)</f>
        <v>0</v>
      </c>
      <c r="M11" s="133">
        <f>IF(SER_hh_fec!M11=0,0,11630*1000*SER_hh_fec!M11/SER_hh_num!M11)</f>
        <v>0</v>
      </c>
      <c r="N11" s="133">
        <f>IF(SER_hh_fec!N11=0,0,11630*1000*SER_hh_fec!N11/SER_hh_num!N11)</f>
        <v>0</v>
      </c>
      <c r="O11" s="133">
        <f>IF(SER_hh_fec!O11=0,0,11630*1000*SER_hh_fec!O11/SER_hh_num!O11)</f>
        <v>0</v>
      </c>
      <c r="P11" s="133">
        <f>IF(SER_hh_fec!P11=0,0,11630*1000*SER_hh_fec!P11/SER_hh_num!P11)</f>
        <v>0</v>
      </c>
      <c r="Q11" s="133">
        <f>IF(SER_hh_fec!Q11=0,0,11630*1000*SER_hh_fec!Q11/SER_hh_num!Q11)</f>
        <v>0</v>
      </c>
      <c r="R11" s="133">
        <f>IF(SER_hh_fec!R11=0,0,11630*1000*SER_hh_fec!R11/SER_hh_num!R11)</f>
        <v>0</v>
      </c>
      <c r="S11" s="133">
        <f>IF(SER_hh_fec!S11=0,0,11630*1000*SER_hh_fec!S11/SER_hh_num!S11)</f>
        <v>0</v>
      </c>
      <c r="T11" s="133">
        <f>IF(SER_hh_fec!T11=0,0,11630*1000*SER_hh_fec!T11/SER_hh_num!T11)</f>
        <v>0</v>
      </c>
      <c r="U11" s="133">
        <f>IF(SER_hh_fec!U11=0,0,11630*1000*SER_hh_fec!U11/SER_hh_num!U11)</f>
        <v>0</v>
      </c>
      <c r="V11" s="133">
        <f>IF(SER_hh_fec!V11=0,0,11630*1000*SER_hh_fec!V11/SER_hh_num!V11)</f>
        <v>0</v>
      </c>
      <c r="W11" s="133">
        <f>IF(SER_hh_fec!W11=0,0,11630*1000*SER_hh_fec!W11/SER_hh_num!W11)</f>
        <v>0</v>
      </c>
      <c r="DA11" s="157" t="s">
        <v>391</v>
      </c>
    </row>
    <row r="12" spans="1:105" ht="12" customHeight="1" x14ac:dyDescent="0.25">
      <c r="A12" s="132" t="s">
        <v>169</v>
      </c>
      <c r="B12" s="133">
        <f>IF(SER_hh_fec!B12=0,0,11630*1000*SER_hh_fec!B12/SER_hh_num!B12)</f>
        <v>94806.728495206407</v>
      </c>
      <c r="C12" s="133">
        <f>IF(SER_hh_fec!C12=0,0,11630*1000*SER_hh_fec!C12/SER_hh_num!C12)</f>
        <v>99351.146471862157</v>
      </c>
      <c r="D12" s="133">
        <f>IF(SER_hh_fec!D12=0,0,11630*1000*SER_hh_fec!D12/SER_hh_num!D12)</f>
        <v>96237.562464206334</v>
      </c>
      <c r="E12" s="133">
        <f>IF(SER_hh_fec!E12=0,0,11630*1000*SER_hh_fec!E12/SER_hh_num!E12)</f>
        <v>97175.836636301872</v>
      </c>
      <c r="F12" s="133">
        <f>IF(SER_hh_fec!F12=0,0,11630*1000*SER_hh_fec!F12/SER_hh_num!F12)</f>
        <v>95172.067985037545</v>
      </c>
      <c r="G12" s="133">
        <f>IF(SER_hh_fec!G12=0,0,11630*1000*SER_hh_fec!G12/SER_hh_num!G12)</f>
        <v>92432.087008435105</v>
      </c>
      <c r="H12" s="133">
        <f>IF(SER_hh_fec!H12=0,0,11630*1000*SER_hh_fec!H12/SER_hh_num!H12)</f>
        <v>90951.486816649369</v>
      </c>
      <c r="I12" s="133">
        <f>IF(SER_hh_fec!I12=0,0,11630*1000*SER_hh_fec!I12/SER_hh_num!I12)</f>
        <v>85605.273936152167</v>
      </c>
      <c r="J12" s="133">
        <f>IF(SER_hh_fec!J12=0,0,11630*1000*SER_hh_fec!J12/SER_hh_num!J12)</f>
        <v>84940.618453029121</v>
      </c>
      <c r="K12" s="133">
        <f>IF(SER_hh_fec!K12=0,0,11630*1000*SER_hh_fec!K12/SER_hh_num!K12)</f>
        <v>82126.593072997784</v>
      </c>
      <c r="L12" s="133">
        <f>IF(SER_hh_fec!L12=0,0,11630*1000*SER_hh_fec!L12/SER_hh_num!L12)</f>
        <v>91423.066555881145</v>
      </c>
      <c r="M12" s="133">
        <f>IF(SER_hh_fec!M12=0,0,11630*1000*SER_hh_fec!M12/SER_hh_num!M12)</f>
        <v>77045.670772292127</v>
      </c>
      <c r="N12" s="133">
        <f>IF(SER_hh_fec!N12=0,0,11630*1000*SER_hh_fec!N12/SER_hh_num!N12)</f>
        <v>77734.357105990814</v>
      </c>
      <c r="O12" s="133">
        <f>IF(SER_hh_fec!O12=0,0,11630*1000*SER_hh_fec!O12/SER_hh_num!O12)</f>
        <v>76026.159203958348</v>
      </c>
      <c r="P12" s="133">
        <f>IF(SER_hh_fec!P12=0,0,11630*1000*SER_hh_fec!P12/SER_hh_num!P12)</f>
        <v>67250.562808737217</v>
      </c>
      <c r="Q12" s="133">
        <f>IF(SER_hh_fec!Q12=0,0,11630*1000*SER_hh_fec!Q12/SER_hh_num!Q12)</f>
        <v>71833.800323848423</v>
      </c>
      <c r="R12" s="133">
        <f>IF(SER_hh_fec!R12=0,0,11630*1000*SER_hh_fec!R12/SER_hh_num!R12)</f>
        <v>73602.232504066124</v>
      </c>
      <c r="S12" s="133">
        <f>IF(SER_hh_fec!S12=0,0,11630*1000*SER_hh_fec!S12/SER_hh_num!S12)</f>
        <v>73504.727962833218</v>
      </c>
      <c r="T12" s="133">
        <f>IF(SER_hh_fec!T12=0,0,11630*1000*SER_hh_fec!T12/SER_hh_num!T12)</f>
        <v>71962.986149503748</v>
      </c>
      <c r="U12" s="133">
        <f>IF(SER_hh_fec!U12=0,0,11630*1000*SER_hh_fec!U12/SER_hh_num!U12)</f>
        <v>70082.718747215651</v>
      </c>
      <c r="V12" s="133">
        <f>IF(SER_hh_fec!V12=0,0,11630*1000*SER_hh_fec!V12/SER_hh_num!V12)</f>
        <v>67936.970568121673</v>
      </c>
      <c r="W12" s="133">
        <f>IF(SER_hh_fec!W12=0,0,11630*1000*SER_hh_fec!W12/SER_hh_num!W12)</f>
        <v>75637.395469859184</v>
      </c>
      <c r="DA12" s="157" t="s">
        <v>392</v>
      </c>
    </row>
    <row r="13" spans="1:105" ht="12" customHeight="1" x14ac:dyDescent="0.25">
      <c r="A13" s="132" t="s">
        <v>77</v>
      </c>
      <c r="B13" s="133">
        <f>IF(SER_hh_fec!B13=0,0,11630*1000*SER_hh_fec!B13/SER_hh_num!B13)</f>
        <v>56045.94417419636</v>
      </c>
      <c r="C13" s="133">
        <f>IF(SER_hh_fec!C13=0,0,11630*1000*SER_hh_fec!C13/SER_hh_num!C13)</f>
        <v>55327.317446914589</v>
      </c>
      <c r="D13" s="133">
        <f>IF(SER_hh_fec!D13=0,0,11630*1000*SER_hh_fec!D13/SER_hh_num!D13)</f>
        <v>54485.276187059382</v>
      </c>
      <c r="E13" s="133">
        <f>IF(SER_hh_fec!E13=0,0,11630*1000*SER_hh_fec!E13/SER_hh_num!E13)</f>
        <v>53363.93708989249</v>
      </c>
      <c r="F13" s="133">
        <f>IF(SER_hh_fec!F13=0,0,11630*1000*SER_hh_fec!F13/SER_hh_num!F13)</f>
        <v>52796.048023543211</v>
      </c>
      <c r="G13" s="133">
        <f>IF(SER_hh_fec!G13=0,0,11630*1000*SER_hh_fec!G13/SER_hh_num!G13)</f>
        <v>36056.879244042721</v>
      </c>
      <c r="H13" s="133">
        <f>IF(SER_hh_fec!H13=0,0,11630*1000*SER_hh_fec!H13/SER_hh_num!H13)</f>
        <v>21425.343163554411</v>
      </c>
      <c r="I13" s="133">
        <f>IF(SER_hh_fec!I13=0,0,11630*1000*SER_hh_fec!I13/SER_hh_num!I13)</f>
        <v>44065.381972829498</v>
      </c>
      <c r="J13" s="133">
        <f>IF(SER_hh_fec!J13=0,0,11630*1000*SER_hh_fec!J13/SER_hh_num!J13)</f>
        <v>35514.074417743133</v>
      </c>
      <c r="K13" s="133">
        <f>IF(SER_hh_fec!K13=0,0,11630*1000*SER_hh_fec!K13/SER_hh_num!K13)</f>
        <v>31418.524483226647</v>
      </c>
      <c r="L13" s="133">
        <f>IF(SER_hh_fec!L13=0,0,11630*1000*SER_hh_fec!L13/SER_hh_num!L13)</f>
        <v>30692.663933248066</v>
      </c>
      <c r="M13" s="133">
        <f>IF(SER_hh_fec!M13=0,0,11630*1000*SER_hh_fec!M13/SER_hh_num!M13)</f>
        <v>28255.556505370405</v>
      </c>
      <c r="N13" s="133">
        <f>IF(SER_hh_fec!N13=0,0,11630*1000*SER_hh_fec!N13/SER_hh_num!N13)</f>
        <v>26503.263340067253</v>
      </c>
      <c r="O13" s="133">
        <f>IF(SER_hh_fec!O13=0,0,11630*1000*SER_hh_fec!O13/SER_hh_num!O13)</f>
        <v>24469.36426612514</v>
      </c>
      <c r="P13" s="133">
        <f>IF(SER_hh_fec!P13=0,0,11630*1000*SER_hh_fec!P13/SER_hh_num!P13)</f>
        <v>22324.705236272221</v>
      </c>
      <c r="Q13" s="133">
        <f>IF(SER_hh_fec!Q13=0,0,11630*1000*SER_hh_fec!Q13/SER_hh_num!Q13)</f>
        <v>22718.436834413449</v>
      </c>
      <c r="R13" s="133">
        <f>IF(SER_hh_fec!R13=0,0,11630*1000*SER_hh_fec!R13/SER_hh_num!R13)</f>
        <v>23183.55830360893</v>
      </c>
      <c r="S13" s="133">
        <f>IF(SER_hh_fec!S13=0,0,11630*1000*SER_hh_fec!S13/SER_hh_num!S13)</f>
        <v>21363.0539024342</v>
      </c>
      <c r="T13" s="133">
        <f>IF(SER_hh_fec!T13=0,0,11630*1000*SER_hh_fec!T13/SER_hh_num!T13)</f>
        <v>20512.342336536614</v>
      </c>
      <c r="U13" s="133">
        <f>IF(SER_hh_fec!U13=0,0,11630*1000*SER_hh_fec!U13/SER_hh_num!U13)</f>
        <v>19763.922595358847</v>
      </c>
      <c r="V13" s="133">
        <f>IF(SER_hh_fec!V13=0,0,11630*1000*SER_hh_fec!V13/SER_hh_num!V13)</f>
        <v>19236.373176183184</v>
      </c>
      <c r="W13" s="133">
        <f>IF(SER_hh_fec!W13=0,0,11630*1000*SER_hh_fec!W13/SER_hh_num!W13)</f>
        <v>19723.056365563833</v>
      </c>
      <c r="DA13" s="157" t="s">
        <v>393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108124.56697827642</v>
      </c>
      <c r="C14" s="65">
        <f>IF(SER_hh_fec!C14=0,0,11630*1000*SER_hh_fec!C14/SER_hh_num!C14)</f>
        <v>112051.15903156523</v>
      </c>
      <c r="D14" s="65">
        <f>IF(SER_hh_fec!D14=0,0,11630*1000*SER_hh_fec!D14/SER_hh_num!D14)</f>
        <v>110846.94849839639</v>
      </c>
      <c r="E14" s="65">
        <f>IF(SER_hh_fec!E14=0,0,11630*1000*SER_hh_fec!E14/SER_hh_num!E14)</f>
        <v>105066.0680064339</v>
      </c>
      <c r="F14" s="65">
        <f>IF(SER_hh_fec!F14=0,0,11630*1000*SER_hh_fec!F14/SER_hh_num!F14)</f>
        <v>106320.84940835695</v>
      </c>
      <c r="G14" s="65">
        <f>IF(SER_hh_fec!G14=0,0,11630*1000*SER_hh_fec!G14/SER_hh_num!G14)</f>
        <v>101989.29933466073</v>
      </c>
      <c r="H14" s="65">
        <f>IF(SER_hh_fec!H14=0,0,11630*1000*SER_hh_fec!H14/SER_hh_num!H14)</f>
        <v>102512.07534926866</v>
      </c>
      <c r="I14" s="65">
        <f>IF(SER_hh_fec!I14=0,0,11630*1000*SER_hh_fec!I14/SER_hh_num!I14)</f>
        <v>101909.23343549734</v>
      </c>
      <c r="J14" s="65">
        <f>IF(SER_hh_fec!J14=0,0,11630*1000*SER_hh_fec!J14/SER_hh_num!J14)</f>
        <v>100004.9399593789</v>
      </c>
      <c r="K14" s="65">
        <f>IF(SER_hh_fec!K14=0,0,11630*1000*SER_hh_fec!K14/SER_hh_num!K14)</f>
        <v>88877.232051846382</v>
      </c>
      <c r="L14" s="65">
        <f>IF(SER_hh_fec!L14=0,0,11630*1000*SER_hh_fec!L14/SER_hh_num!L14)</f>
        <v>99564.735944111468</v>
      </c>
      <c r="M14" s="65">
        <f>IF(SER_hh_fec!M14=0,0,11630*1000*SER_hh_fec!M14/SER_hh_num!M14)</f>
        <v>91409.717368650221</v>
      </c>
      <c r="N14" s="65">
        <f>IF(SER_hh_fec!N14=0,0,11630*1000*SER_hh_fec!N14/SER_hh_num!N14)</f>
        <v>86248.886393123175</v>
      </c>
      <c r="O14" s="65">
        <f>IF(SER_hh_fec!O14=0,0,11630*1000*SER_hh_fec!O14/SER_hh_num!O14)</f>
        <v>76505.684116688499</v>
      </c>
      <c r="P14" s="65">
        <f>IF(SER_hh_fec!P14=0,0,11630*1000*SER_hh_fec!P14/SER_hh_num!P14)</f>
        <v>79569.063165658299</v>
      </c>
      <c r="Q14" s="65">
        <f>IF(SER_hh_fec!Q14=0,0,11630*1000*SER_hh_fec!Q14/SER_hh_num!Q14)</f>
        <v>67741.313263283664</v>
      </c>
      <c r="R14" s="65">
        <f>IF(SER_hh_fec!R14=0,0,11630*1000*SER_hh_fec!R14/SER_hh_num!R14)</f>
        <v>82256.527268438746</v>
      </c>
      <c r="S14" s="65">
        <f>IF(SER_hh_fec!S14=0,0,11630*1000*SER_hh_fec!S14/SER_hh_num!S14)</f>
        <v>91904.514499387311</v>
      </c>
      <c r="T14" s="65">
        <f>IF(SER_hh_fec!T14=0,0,11630*1000*SER_hh_fec!T14/SER_hh_num!T14)</f>
        <v>84486.2268190943</v>
      </c>
      <c r="U14" s="65">
        <f>IF(SER_hh_fec!U14=0,0,11630*1000*SER_hh_fec!U14/SER_hh_num!U14)</f>
        <v>74166.299288565933</v>
      </c>
      <c r="V14" s="65">
        <f>IF(SER_hh_fec!V14=0,0,11630*1000*SER_hh_fec!V14/SER_hh_num!V14)</f>
        <v>38059.805157803996</v>
      </c>
      <c r="W14" s="65">
        <f>IF(SER_hh_fec!W14=0,0,11630*1000*SER_hh_fec!W14/SER_hh_num!W14)</f>
        <v>108638.79068022336</v>
      </c>
      <c r="DA14" s="109" t="s">
        <v>394</v>
      </c>
    </row>
    <row r="15" spans="1:105" ht="12" customHeight="1" x14ac:dyDescent="0.25">
      <c r="A15" s="134" t="s">
        <v>80</v>
      </c>
      <c r="B15" s="135">
        <f>IF(SER_hh_fec!B15=0,0,11630*1000*SER_hh_fec!B15/SER_hh_num!B15)</f>
        <v>625.58009176309542</v>
      </c>
      <c r="C15" s="135">
        <f>IF(SER_hh_fec!C15=0,0,11630*1000*SER_hh_fec!C15/SER_hh_num!C15)</f>
        <v>615.08858452692573</v>
      </c>
      <c r="D15" s="135">
        <f>IF(SER_hh_fec!D15=0,0,11630*1000*SER_hh_fec!D15/SER_hh_num!D15)</f>
        <v>594.58126147540418</v>
      </c>
      <c r="E15" s="135">
        <f>IF(SER_hh_fec!E15=0,0,11630*1000*SER_hh_fec!E15/SER_hh_num!E15)</f>
        <v>615.58069982208269</v>
      </c>
      <c r="F15" s="135">
        <f>IF(SER_hh_fec!F15=0,0,11630*1000*SER_hh_fec!F15/SER_hh_num!F15)</f>
        <v>591.41222476923372</v>
      </c>
      <c r="G15" s="135">
        <f>IF(SER_hh_fec!G15=0,0,11630*1000*SER_hh_fec!G15/SER_hh_num!G15)</f>
        <v>568.59928714408431</v>
      </c>
      <c r="H15" s="135">
        <f>IF(SER_hh_fec!H15=0,0,11630*1000*SER_hh_fec!H15/SER_hh_num!H15)</f>
        <v>571.90403408557722</v>
      </c>
      <c r="I15" s="135">
        <f>IF(SER_hh_fec!I15=0,0,11630*1000*SER_hh_fec!I15/SER_hh_num!I15)</f>
        <v>512.2829335511309</v>
      </c>
      <c r="J15" s="135">
        <f>IF(SER_hh_fec!J15=0,0,11630*1000*SER_hh_fec!J15/SER_hh_num!J15)</f>
        <v>501.52036206421468</v>
      </c>
      <c r="K15" s="135">
        <f>IF(SER_hh_fec!K15=0,0,11630*1000*SER_hh_fec!K15/SER_hh_num!K15)</f>
        <v>479.95533942631232</v>
      </c>
      <c r="L15" s="135">
        <f>IF(SER_hh_fec!L15=0,0,11630*1000*SER_hh_fec!L15/SER_hh_num!L15)</f>
        <v>495.31440704716152</v>
      </c>
      <c r="M15" s="135">
        <f>IF(SER_hh_fec!M15=0,0,11630*1000*SER_hh_fec!M15/SER_hh_num!M15)</f>
        <v>398.7738860976487</v>
      </c>
      <c r="N15" s="135">
        <f>IF(SER_hh_fec!N15=0,0,11630*1000*SER_hh_fec!N15/SER_hh_num!N15)</f>
        <v>427.34780746894324</v>
      </c>
      <c r="O15" s="135">
        <f>IF(SER_hh_fec!O15=0,0,11630*1000*SER_hh_fec!O15/SER_hh_num!O15)</f>
        <v>428.99451971205264</v>
      </c>
      <c r="P15" s="135">
        <f>IF(SER_hh_fec!P15=0,0,11630*1000*SER_hh_fec!P15/SER_hh_num!P15)</f>
        <v>346.80930789293205</v>
      </c>
      <c r="Q15" s="135">
        <f>IF(SER_hh_fec!Q15=0,0,11630*1000*SER_hh_fec!Q15/SER_hh_num!Q15)</f>
        <v>392.42223996898548</v>
      </c>
      <c r="R15" s="135">
        <f>IF(SER_hh_fec!R15=0,0,11630*1000*SER_hh_fec!R15/SER_hh_num!R15)</f>
        <v>404.21253318690907</v>
      </c>
      <c r="S15" s="135">
        <f>IF(SER_hh_fec!S15=0,0,11630*1000*SER_hh_fec!S15/SER_hh_num!S15)</f>
        <v>416.94442954371038</v>
      </c>
      <c r="T15" s="135">
        <f>IF(SER_hh_fec!T15=0,0,11630*1000*SER_hh_fec!T15/SER_hh_num!T15)</f>
        <v>374.16095462373158</v>
      </c>
      <c r="U15" s="135">
        <f>IF(SER_hh_fec!U15=0,0,11630*1000*SER_hh_fec!U15/SER_hh_num!U15)</f>
        <v>353.94792180709214</v>
      </c>
      <c r="V15" s="135">
        <f>IF(SER_hh_fec!V15=0,0,11630*1000*SER_hh_fec!V15/SER_hh_num!V15)</f>
        <v>358.59480308940493</v>
      </c>
      <c r="W15" s="135">
        <f>IF(SER_hh_fec!W15=0,0,11630*1000*SER_hh_fec!W15/SER_hh_num!W15)</f>
        <v>476.12473870926857</v>
      </c>
      <c r="DA15" s="158" t="s">
        <v>395</v>
      </c>
    </row>
    <row r="16" spans="1:105" ht="12.95" customHeight="1" x14ac:dyDescent="0.25">
      <c r="A16" s="130" t="s">
        <v>74</v>
      </c>
      <c r="B16" s="131">
        <f>IF(SER_hh_fec!B16=0,0,11630*1000*SER_hh_fec!B16/SER_hh_num!B16)</f>
        <v>11267.827140778747</v>
      </c>
      <c r="C16" s="131">
        <f>IF(SER_hh_fec!C16=0,0,11630*1000*SER_hh_fec!C16/SER_hh_num!C16)</f>
        <v>10797.499629094558</v>
      </c>
      <c r="D16" s="131">
        <f>IF(SER_hh_fec!D16=0,0,11630*1000*SER_hh_fec!D16/SER_hh_num!D16)</f>
        <v>10259.867771203762</v>
      </c>
      <c r="E16" s="131">
        <f>IF(SER_hh_fec!E16=0,0,11630*1000*SER_hh_fec!E16/SER_hh_num!E16)</f>
        <v>9779.9149335399816</v>
      </c>
      <c r="F16" s="131">
        <f>IF(SER_hh_fec!F16=0,0,11630*1000*SER_hh_fec!F16/SER_hh_num!F16)</f>
        <v>9267.5520906386082</v>
      </c>
      <c r="G16" s="131">
        <f>IF(SER_hh_fec!G16=0,0,11630*1000*SER_hh_fec!G16/SER_hh_num!G16)</f>
        <v>8739.0326528206624</v>
      </c>
      <c r="H16" s="131">
        <f>IF(SER_hh_fec!H16=0,0,11630*1000*SER_hh_fec!H16/SER_hh_num!H16)</f>
        <v>8196.4038175934475</v>
      </c>
      <c r="I16" s="131">
        <f>IF(SER_hh_fec!I16=0,0,11630*1000*SER_hh_fec!I16/SER_hh_num!I16)</f>
        <v>7638.5707482909174</v>
      </c>
      <c r="J16" s="131">
        <f>IF(SER_hh_fec!J16=0,0,11630*1000*SER_hh_fec!J16/SER_hh_num!J16)</f>
        <v>7107.3648748921942</v>
      </c>
      <c r="K16" s="131">
        <f>IF(SER_hh_fec!K16=0,0,11630*1000*SER_hh_fec!K16/SER_hh_num!K16)</f>
        <v>6996.5508615939216</v>
      </c>
      <c r="L16" s="131">
        <f>IF(SER_hh_fec!L16=0,0,11630*1000*SER_hh_fec!L16/SER_hh_num!L16)</f>
        <v>6867.9474027363394</v>
      </c>
      <c r="M16" s="131">
        <f>IF(SER_hh_fec!M16=0,0,11630*1000*SER_hh_fec!M16/SER_hh_num!M16)</f>
        <v>6627.7357370950331</v>
      </c>
      <c r="N16" s="131">
        <f>IF(SER_hh_fec!N16=0,0,11630*1000*SER_hh_fec!N16/SER_hh_num!N16)</f>
        <v>6418.6596383173128</v>
      </c>
      <c r="O16" s="131">
        <f>IF(SER_hh_fec!O16=0,0,11630*1000*SER_hh_fec!O16/SER_hh_num!O16)</f>
        <v>6198.2400818469887</v>
      </c>
      <c r="P16" s="131">
        <f>IF(SER_hh_fec!P16=0,0,11630*1000*SER_hh_fec!P16/SER_hh_num!P16)</f>
        <v>5995.04261947941</v>
      </c>
      <c r="Q16" s="131">
        <f>IF(SER_hh_fec!Q16=0,0,11630*1000*SER_hh_fec!Q16/SER_hh_num!Q16)</f>
        <v>5775.0918404024569</v>
      </c>
      <c r="R16" s="131">
        <f>IF(SER_hh_fec!R16=0,0,11630*1000*SER_hh_fec!R16/SER_hh_num!R16)</f>
        <v>5603.9166663068909</v>
      </c>
      <c r="S16" s="131">
        <f>IF(SER_hh_fec!S16=0,0,11630*1000*SER_hh_fec!S16/SER_hh_num!S16)</f>
        <v>5402.3494411288393</v>
      </c>
      <c r="T16" s="131">
        <f>IF(SER_hh_fec!T16=0,0,11630*1000*SER_hh_fec!T16/SER_hh_num!T16)</f>
        <v>5429.0626497645835</v>
      </c>
      <c r="U16" s="131">
        <f>IF(SER_hh_fec!U16=0,0,11630*1000*SER_hh_fec!U16/SER_hh_num!U16)</f>
        <v>5123.389953044395</v>
      </c>
      <c r="V16" s="131">
        <f>IF(SER_hh_fec!V16=0,0,11630*1000*SER_hh_fec!V16/SER_hh_num!V16)</f>
        <v>5003.0879871688512</v>
      </c>
      <c r="W16" s="131">
        <f>IF(SER_hh_fec!W16=0,0,11630*1000*SER_hh_fec!W16/SER_hh_num!W16)</f>
        <v>4881.2949206809008</v>
      </c>
      <c r="DA16" s="156" t="s">
        <v>396</v>
      </c>
    </row>
    <row r="17" spans="1:105" ht="12.95" customHeight="1" x14ac:dyDescent="0.25">
      <c r="A17" s="132" t="s">
        <v>73</v>
      </c>
      <c r="B17" s="133">
        <f>IF(SER_hh_fec!B17=0,0,11630*1000*SER_hh_fec!B17/SER_hh_num!B17)</f>
        <v>17519.951856967415</v>
      </c>
      <c r="C17" s="133">
        <f>IF(SER_hh_fec!C17=0,0,11630*1000*SER_hh_fec!C17/SER_hh_num!C17)</f>
        <v>17348.572518469588</v>
      </c>
      <c r="D17" s="133">
        <f>IF(SER_hh_fec!D17=0,0,11630*1000*SER_hh_fec!D17/SER_hh_num!D17)</f>
        <v>17158.81709041752</v>
      </c>
      <c r="E17" s="133">
        <f>IF(SER_hh_fec!E17=0,0,11630*1000*SER_hh_fec!E17/SER_hh_num!E17)</f>
        <v>17018.378234528685</v>
      </c>
      <c r="F17" s="133">
        <f>IF(SER_hh_fec!F17=0,0,11630*1000*SER_hh_fec!F17/SER_hh_num!F17)</f>
        <v>16845.792955969788</v>
      </c>
      <c r="G17" s="133">
        <f>IF(SER_hh_fec!G17=0,0,11630*1000*SER_hh_fec!G17/SER_hh_num!G17)</f>
        <v>16686.919907336152</v>
      </c>
      <c r="H17" s="133">
        <f>IF(SER_hh_fec!H17=0,0,11630*1000*SER_hh_fec!H17/SER_hh_num!H17)</f>
        <v>16561.763793194445</v>
      </c>
      <c r="I17" s="133">
        <f>IF(SER_hh_fec!I17=0,0,11630*1000*SER_hh_fec!I17/SER_hh_num!I17)</f>
        <v>16441.248562555091</v>
      </c>
      <c r="J17" s="133">
        <f>IF(SER_hh_fec!J17=0,0,11630*1000*SER_hh_fec!J17/SER_hh_num!J17)</f>
        <v>16323.756340486627</v>
      </c>
      <c r="K17" s="133">
        <f>IF(SER_hh_fec!K17=0,0,11630*1000*SER_hh_fec!K17/SER_hh_num!K17)</f>
        <v>16319.682340339197</v>
      </c>
      <c r="L17" s="133">
        <f>IF(SER_hh_fec!L17=0,0,11630*1000*SER_hh_fec!L17/SER_hh_num!L17)</f>
        <v>16359.359717168478</v>
      </c>
      <c r="M17" s="133">
        <f>IF(SER_hh_fec!M17=0,0,11630*1000*SER_hh_fec!M17/SER_hh_num!M17)</f>
        <v>16238.588766429866</v>
      </c>
      <c r="N17" s="133">
        <f>IF(SER_hh_fec!N17=0,0,11630*1000*SER_hh_fec!N17/SER_hh_num!N17)</f>
        <v>16163.706746606167</v>
      </c>
      <c r="O17" s="133">
        <f>IF(SER_hh_fec!O17=0,0,11630*1000*SER_hh_fec!O17/SER_hh_num!O17)</f>
        <v>16003.256678725867</v>
      </c>
      <c r="P17" s="133">
        <f>IF(SER_hh_fec!P17=0,0,11630*1000*SER_hh_fec!P17/SER_hh_num!P17)</f>
        <v>15822.797164497708</v>
      </c>
      <c r="Q17" s="133">
        <f>IF(SER_hh_fec!Q17=0,0,11630*1000*SER_hh_fec!Q17/SER_hh_num!Q17)</f>
        <v>15506.788426492858</v>
      </c>
      <c r="R17" s="133">
        <f>IF(SER_hh_fec!R17=0,0,11630*1000*SER_hh_fec!R17/SER_hh_num!R17)</f>
        <v>15375.137636130377</v>
      </c>
      <c r="S17" s="133">
        <f>IF(SER_hh_fec!S17=0,0,11630*1000*SER_hh_fec!S17/SER_hh_num!S17)</f>
        <v>15162.150110428105</v>
      </c>
      <c r="T17" s="133">
        <f>IF(SER_hh_fec!T17=0,0,11630*1000*SER_hh_fec!T17/SER_hh_num!T17)</f>
        <v>15558.92556923204</v>
      </c>
      <c r="U17" s="133">
        <f>IF(SER_hh_fec!U17=0,0,11630*1000*SER_hh_fec!U17/SER_hh_num!U17)</f>
        <v>14825.004972955341</v>
      </c>
      <c r="V17" s="133">
        <f>IF(SER_hh_fec!V17=0,0,11630*1000*SER_hh_fec!V17/SER_hh_num!V17)</f>
        <v>10257.187099804582</v>
      </c>
      <c r="W17" s="133">
        <f>IF(SER_hh_fec!W17=0,0,11630*1000*SER_hh_fec!W17/SER_hh_num!W17)</f>
        <v>10340.805342243359</v>
      </c>
      <c r="DA17" s="157" t="s">
        <v>397</v>
      </c>
    </row>
    <row r="18" spans="1:105" ht="12" customHeight="1" x14ac:dyDescent="0.25">
      <c r="A18" s="132" t="s">
        <v>72</v>
      </c>
      <c r="B18" s="133">
        <f>IF(SER_hh_fec!B18=0,0,11630*1000*SER_hh_fec!B18/SER_hh_num!B18)</f>
        <v>11262.256530975381</v>
      </c>
      <c r="C18" s="133">
        <f>IF(SER_hh_fec!C18=0,0,11630*1000*SER_hh_fec!C18/SER_hh_num!C18)</f>
        <v>10791.494325297235</v>
      </c>
      <c r="D18" s="133">
        <f>IF(SER_hh_fec!D18=0,0,11630*1000*SER_hh_fec!D18/SER_hh_num!D18)</f>
        <v>10253.235729041273</v>
      </c>
      <c r="E18" s="133">
        <f>IF(SER_hh_fec!E18=0,0,11630*1000*SER_hh_fec!E18/SER_hh_num!E18)</f>
        <v>9772.9268416739051</v>
      </c>
      <c r="F18" s="133">
        <f>IF(SER_hh_fec!F18=0,0,11630*1000*SER_hh_fec!F18/SER_hh_num!F18)</f>
        <v>9259.7812062359117</v>
      </c>
      <c r="G18" s="133">
        <f>IF(SER_hh_fec!G18=0,0,11630*1000*SER_hh_fec!G18/SER_hh_num!G18)</f>
        <v>8730.3611307175106</v>
      </c>
      <c r="H18" s="133">
        <f>IF(SER_hh_fec!H18=0,0,11630*1000*SER_hh_fec!H18/SER_hh_num!H18)</f>
        <v>8187.1333002886004</v>
      </c>
      <c r="I18" s="133">
        <f>IF(SER_hh_fec!I18=0,0,11630*1000*SER_hh_fec!I18/SER_hh_num!I18)</f>
        <v>7628.9256395299872</v>
      </c>
      <c r="J18" s="133">
        <f>IF(SER_hh_fec!J18=0,0,11630*1000*SER_hh_fec!J18/SER_hh_num!J18)</f>
        <v>7097.1492889493566</v>
      </c>
      <c r="K18" s="133">
        <f>IF(SER_hh_fec!K18=0,0,11630*1000*SER_hh_fec!K18/SER_hh_num!K18)</f>
        <v>6986.346313333861</v>
      </c>
      <c r="L18" s="133">
        <f>IF(SER_hh_fec!L18=0,0,11630*1000*SER_hh_fec!L18/SER_hh_num!L18)</f>
        <v>6857.2346745142531</v>
      </c>
      <c r="M18" s="133">
        <f>IF(SER_hh_fec!M18=0,0,11630*1000*SER_hh_fec!M18/SER_hh_num!M18)</f>
        <v>6616.1358789436017</v>
      </c>
      <c r="N18" s="133">
        <f>IF(SER_hh_fec!N18=0,0,11630*1000*SER_hh_fec!N18/SER_hh_num!N18)</f>
        <v>6405.4663892021454</v>
      </c>
      <c r="O18" s="133">
        <f>IF(SER_hh_fec!O18=0,0,11630*1000*SER_hh_fec!O18/SER_hh_num!O18)</f>
        <v>6182.3538659251944</v>
      </c>
      <c r="P18" s="133">
        <f>IF(SER_hh_fec!P18=0,0,11630*1000*SER_hh_fec!P18/SER_hh_num!P18)</f>
        <v>5974.6290839178773</v>
      </c>
      <c r="Q18" s="133">
        <f>IF(SER_hh_fec!Q18=0,0,11630*1000*SER_hh_fec!Q18/SER_hh_num!Q18)</f>
        <v>5747.4271330225338</v>
      </c>
      <c r="R18" s="133">
        <f>IF(SER_hh_fec!R18=0,0,11630*1000*SER_hh_fec!R18/SER_hh_num!R18)</f>
        <v>5569.1281011310384</v>
      </c>
      <c r="S18" s="133">
        <f>IF(SER_hh_fec!S18=0,0,11630*1000*SER_hh_fec!S18/SER_hh_num!S18)</f>
        <v>5361.4690024480869</v>
      </c>
      <c r="T18" s="133">
        <f>IF(SER_hh_fec!T18=0,0,11630*1000*SER_hh_fec!T18/SER_hh_num!T18)</f>
        <v>5383.3631444290504</v>
      </c>
      <c r="U18" s="133">
        <f>IF(SER_hh_fec!U18=0,0,11630*1000*SER_hh_fec!U18/SER_hh_num!U18)</f>
        <v>5074.2378600284601</v>
      </c>
      <c r="V18" s="133">
        <f>IF(SER_hh_fec!V18=0,0,11630*1000*SER_hh_fec!V18/SER_hh_num!V18)</f>
        <v>4964.41201215814</v>
      </c>
      <c r="W18" s="133">
        <f>IF(SER_hh_fec!W18=0,0,11630*1000*SER_hh_fec!W18/SER_hh_num!W18)</f>
        <v>4840.407236308597</v>
      </c>
      <c r="DA18" s="157" t="s">
        <v>398</v>
      </c>
    </row>
    <row r="19" spans="1:105" ht="12.95" customHeight="1" x14ac:dyDescent="0.25">
      <c r="A19" s="130" t="s">
        <v>35</v>
      </c>
      <c r="B19" s="131">
        <f>IF(SER_hh_fec!B19=0,0,11630*1000*SER_hh_fec!B19/SER_hh_num!B19)</f>
        <v>13659.710518057944</v>
      </c>
      <c r="C19" s="131">
        <f>IF(SER_hh_fec!C19=0,0,11630*1000*SER_hh_fec!C19/SER_hh_num!C19)</f>
        <v>13431.890133800258</v>
      </c>
      <c r="D19" s="131">
        <f>IF(SER_hh_fec!D19=0,0,11630*1000*SER_hh_fec!D19/SER_hh_num!D19)</f>
        <v>13287.805882003166</v>
      </c>
      <c r="E19" s="131">
        <f>IF(SER_hh_fec!E19=0,0,11630*1000*SER_hh_fec!E19/SER_hh_num!E19)</f>
        <v>13162.965694068813</v>
      </c>
      <c r="F19" s="131">
        <f>IF(SER_hh_fec!F19=0,0,11630*1000*SER_hh_fec!F19/SER_hh_num!F19)</f>
        <v>13026.817765592445</v>
      </c>
      <c r="G19" s="131">
        <f>IF(SER_hh_fec!G19=0,0,11630*1000*SER_hh_fec!G19/SER_hh_num!G19)</f>
        <v>12971.054594433923</v>
      </c>
      <c r="H19" s="131">
        <f>IF(SER_hh_fec!H19=0,0,11630*1000*SER_hh_fec!H19/SER_hh_num!H19)</f>
        <v>12926.187477442863</v>
      </c>
      <c r="I19" s="131">
        <f>IF(SER_hh_fec!I19=0,0,11630*1000*SER_hh_fec!I19/SER_hh_num!I19)</f>
        <v>12747.930970159723</v>
      </c>
      <c r="J19" s="131">
        <f>IF(SER_hh_fec!J19=0,0,11630*1000*SER_hh_fec!J19/SER_hh_num!J19)</f>
        <v>12687.896061774856</v>
      </c>
      <c r="K19" s="131">
        <f>IF(SER_hh_fec!K19=0,0,11630*1000*SER_hh_fec!K19/SER_hh_num!K19)</f>
        <v>12541.059010960755</v>
      </c>
      <c r="L19" s="131">
        <f>IF(SER_hh_fec!L19=0,0,11630*1000*SER_hh_fec!L19/SER_hh_num!L19)</f>
        <v>12289.975823999062</v>
      </c>
      <c r="M19" s="131">
        <f>IF(SER_hh_fec!M19=0,0,11630*1000*SER_hh_fec!M19/SER_hh_num!M19)</f>
        <v>12281.590176357846</v>
      </c>
      <c r="N19" s="131">
        <f>IF(SER_hh_fec!N19=0,0,11630*1000*SER_hh_fec!N19/SER_hh_num!N19)</f>
        <v>12403.801026202455</v>
      </c>
      <c r="O19" s="131">
        <f>IF(SER_hh_fec!O19=0,0,11630*1000*SER_hh_fec!O19/SER_hh_num!O19)</f>
        <v>12375.590354081694</v>
      </c>
      <c r="P19" s="131">
        <f>IF(SER_hh_fec!P19=0,0,11630*1000*SER_hh_fec!P19/SER_hh_num!P19)</f>
        <v>12455.166002965909</v>
      </c>
      <c r="Q19" s="131">
        <f>IF(SER_hh_fec!Q19=0,0,11630*1000*SER_hh_fec!Q19/SER_hh_num!Q19)</f>
        <v>12495.607970281178</v>
      </c>
      <c r="R19" s="131">
        <f>IF(SER_hh_fec!R19=0,0,11630*1000*SER_hh_fec!R19/SER_hh_num!R19)</f>
        <v>12447.409782925111</v>
      </c>
      <c r="S19" s="131">
        <f>IF(SER_hh_fec!S19=0,0,11630*1000*SER_hh_fec!S19/SER_hh_num!S19)</f>
        <v>12381.15176646277</v>
      </c>
      <c r="T19" s="131">
        <f>IF(SER_hh_fec!T19=0,0,11630*1000*SER_hh_fec!T19/SER_hh_num!T19)</f>
        <v>12108.734704147184</v>
      </c>
      <c r="U19" s="131">
        <f>IF(SER_hh_fec!U19=0,0,11630*1000*SER_hh_fec!U19/SER_hh_num!U19)</f>
        <v>11766.203838879799</v>
      </c>
      <c r="V19" s="131">
        <f>IF(SER_hh_fec!V19=0,0,11630*1000*SER_hh_fec!V19/SER_hh_num!V19)</f>
        <v>10177.261085423153</v>
      </c>
      <c r="W19" s="131">
        <f>IF(SER_hh_fec!W19=0,0,11630*1000*SER_hh_fec!W19/SER_hh_num!W19)</f>
        <v>11120.176332550722</v>
      </c>
      <c r="DA19" s="156" t="s">
        <v>399</v>
      </c>
    </row>
    <row r="20" spans="1:105" ht="12" customHeight="1" x14ac:dyDescent="0.25">
      <c r="A20" s="132" t="s">
        <v>29</v>
      </c>
      <c r="B20" s="133">
        <f>IF(SER_hh_fec!B20=0,0,11630*1000*SER_hh_fec!B20/SER_hh_num!B20)</f>
        <v>0</v>
      </c>
      <c r="C20" s="133">
        <f>IF(SER_hh_fec!C20=0,0,11630*1000*SER_hh_fec!C20/SER_hh_num!C20)</f>
        <v>0</v>
      </c>
      <c r="D20" s="133">
        <f>IF(SER_hh_fec!D20=0,0,11630*1000*SER_hh_fec!D20/SER_hh_num!D20)</f>
        <v>0</v>
      </c>
      <c r="E20" s="133">
        <f>IF(SER_hh_fec!E20=0,0,11630*1000*SER_hh_fec!E20/SER_hh_num!E20)</f>
        <v>0</v>
      </c>
      <c r="F20" s="133">
        <f>IF(SER_hh_fec!F20=0,0,11630*1000*SER_hh_fec!F20/SER_hh_num!F20)</f>
        <v>0</v>
      </c>
      <c r="G20" s="133">
        <f>IF(SER_hh_fec!G20=0,0,11630*1000*SER_hh_fec!G20/SER_hh_num!G20)</f>
        <v>0</v>
      </c>
      <c r="H20" s="133">
        <f>IF(SER_hh_fec!H20=0,0,11630*1000*SER_hh_fec!H20/SER_hh_num!H20)</f>
        <v>0</v>
      </c>
      <c r="I20" s="133">
        <f>IF(SER_hh_fec!I20=0,0,11630*1000*SER_hh_fec!I20/SER_hh_num!I20)</f>
        <v>0</v>
      </c>
      <c r="J20" s="133">
        <f>IF(SER_hh_fec!J20=0,0,11630*1000*SER_hh_fec!J20/SER_hh_num!J20)</f>
        <v>0</v>
      </c>
      <c r="K20" s="133">
        <f>IF(SER_hh_fec!K20=0,0,11630*1000*SER_hh_fec!K20/SER_hh_num!K20)</f>
        <v>0</v>
      </c>
      <c r="L20" s="133">
        <f>IF(SER_hh_fec!L20=0,0,11630*1000*SER_hh_fec!L20/SER_hh_num!L20)</f>
        <v>0</v>
      </c>
      <c r="M20" s="133">
        <f>IF(SER_hh_fec!M20=0,0,11630*1000*SER_hh_fec!M20/SER_hh_num!M20)</f>
        <v>0</v>
      </c>
      <c r="N20" s="133">
        <f>IF(SER_hh_fec!N20=0,0,11630*1000*SER_hh_fec!N20/SER_hh_num!N20)</f>
        <v>0</v>
      </c>
      <c r="O20" s="133">
        <f>IF(SER_hh_fec!O20=0,0,11630*1000*SER_hh_fec!O20/SER_hh_num!O20)</f>
        <v>0</v>
      </c>
      <c r="P20" s="133">
        <f>IF(SER_hh_fec!P20=0,0,11630*1000*SER_hh_fec!P20/SER_hh_num!P20)</f>
        <v>0</v>
      </c>
      <c r="Q20" s="133">
        <f>IF(SER_hh_fec!Q20=0,0,11630*1000*SER_hh_fec!Q20/SER_hh_num!Q20)</f>
        <v>0</v>
      </c>
      <c r="R20" s="133">
        <f>IF(SER_hh_fec!R20=0,0,11630*1000*SER_hh_fec!R20/SER_hh_num!R20)</f>
        <v>0</v>
      </c>
      <c r="S20" s="133">
        <f>IF(SER_hh_fec!S20=0,0,11630*1000*SER_hh_fec!S20/SER_hh_num!S20)</f>
        <v>0</v>
      </c>
      <c r="T20" s="133">
        <f>IF(SER_hh_fec!T20=0,0,11630*1000*SER_hh_fec!T20/SER_hh_num!T20)</f>
        <v>0</v>
      </c>
      <c r="U20" s="133">
        <f>IF(SER_hh_fec!U20=0,0,11630*1000*SER_hh_fec!U20/SER_hh_num!U20)</f>
        <v>0</v>
      </c>
      <c r="V20" s="133">
        <f>IF(SER_hh_fec!V20=0,0,11630*1000*SER_hh_fec!V20/SER_hh_num!V20)</f>
        <v>0</v>
      </c>
      <c r="W20" s="133">
        <f>IF(SER_hh_fec!W20=0,0,11630*1000*SER_hh_fec!W20/SER_hh_num!W20)</f>
        <v>0</v>
      </c>
      <c r="DA20" s="157" t="s">
        <v>400</v>
      </c>
    </row>
    <row r="21" spans="1:105" s="2" customFormat="1" ht="12" customHeight="1" x14ac:dyDescent="0.25">
      <c r="A21" s="132" t="s">
        <v>52</v>
      </c>
      <c r="B21" s="133">
        <f>IF(SER_hh_fec!B21=0,0,11630*1000*SER_hh_fec!B21/SER_hh_num!B21)</f>
        <v>0</v>
      </c>
      <c r="C21" s="133">
        <f>IF(SER_hh_fec!C21=0,0,11630*1000*SER_hh_fec!C21/SER_hh_num!C21)</f>
        <v>0</v>
      </c>
      <c r="D21" s="133">
        <f>IF(SER_hh_fec!D21=0,0,11630*1000*SER_hh_fec!D21/SER_hh_num!D21)</f>
        <v>0</v>
      </c>
      <c r="E21" s="133">
        <f>IF(SER_hh_fec!E21=0,0,11630*1000*SER_hh_fec!E21/SER_hh_num!E21)</f>
        <v>0</v>
      </c>
      <c r="F21" s="133">
        <f>IF(SER_hh_fec!F21=0,0,11630*1000*SER_hh_fec!F21/SER_hh_num!F21)</f>
        <v>0</v>
      </c>
      <c r="G21" s="133">
        <f>IF(SER_hh_fec!G21=0,0,11630*1000*SER_hh_fec!G21/SER_hh_num!G21)</f>
        <v>0</v>
      </c>
      <c r="H21" s="133">
        <f>IF(SER_hh_fec!H21=0,0,11630*1000*SER_hh_fec!H21/SER_hh_num!H21)</f>
        <v>0</v>
      </c>
      <c r="I21" s="133">
        <f>IF(SER_hh_fec!I21=0,0,11630*1000*SER_hh_fec!I21/SER_hh_num!I21)</f>
        <v>0</v>
      </c>
      <c r="J21" s="133">
        <f>IF(SER_hh_fec!J21=0,0,11630*1000*SER_hh_fec!J21/SER_hh_num!J21)</f>
        <v>0</v>
      </c>
      <c r="K21" s="133">
        <f>IF(SER_hh_fec!K21=0,0,11630*1000*SER_hh_fec!K21/SER_hh_num!K21)</f>
        <v>0</v>
      </c>
      <c r="L21" s="133">
        <f>IF(SER_hh_fec!L21=0,0,11630*1000*SER_hh_fec!L21/SER_hh_num!L21)</f>
        <v>0</v>
      </c>
      <c r="M21" s="133">
        <f>IF(SER_hh_fec!M21=0,0,11630*1000*SER_hh_fec!M21/SER_hh_num!M21)</f>
        <v>0</v>
      </c>
      <c r="N21" s="133">
        <f>IF(SER_hh_fec!N21=0,0,11630*1000*SER_hh_fec!N21/SER_hh_num!N21)</f>
        <v>0</v>
      </c>
      <c r="O21" s="133">
        <f>IF(SER_hh_fec!O21=0,0,11630*1000*SER_hh_fec!O21/SER_hh_num!O21)</f>
        <v>0</v>
      </c>
      <c r="P21" s="133">
        <f>IF(SER_hh_fec!P21=0,0,11630*1000*SER_hh_fec!P21/SER_hh_num!P21)</f>
        <v>0</v>
      </c>
      <c r="Q21" s="133">
        <f>IF(SER_hh_fec!Q21=0,0,11630*1000*SER_hh_fec!Q21/SER_hh_num!Q21)</f>
        <v>0</v>
      </c>
      <c r="R21" s="133">
        <f>IF(SER_hh_fec!R21=0,0,11630*1000*SER_hh_fec!R21/SER_hh_num!R21)</f>
        <v>0</v>
      </c>
      <c r="S21" s="133">
        <f>IF(SER_hh_fec!S21=0,0,11630*1000*SER_hh_fec!S21/SER_hh_num!S21)</f>
        <v>0</v>
      </c>
      <c r="T21" s="133">
        <f>IF(SER_hh_fec!T21=0,0,11630*1000*SER_hh_fec!T21/SER_hh_num!T21)</f>
        <v>0</v>
      </c>
      <c r="U21" s="133">
        <f>IF(SER_hh_fec!U21=0,0,11630*1000*SER_hh_fec!U21/SER_hh_num!U21)</f>
        <v>0</v>
      </c>
      <c r="V21" s="133">
        <f>IF(SER_hh_fec!V21=0,0,11630*1000*SER_hh_fec!V21/SER_hh_num!V21)</f>
        <v>0</v>
      </c>
      <c r="W21" s="133">
        <f>IF(SER_hh_fec!W21=0,0,11630*1000*SER_hh_fec!W21/SER_hh_num!W21)</f>
        <v>0</v>
      </c>
      <c r="DA21" s="157" t="s">
        <v>401</v>
      </c>
    </row>
    <row r="22" spans="1:105" ht="12" customHeight="1" x14ac:dyDescent="0.25">
      <c r="A22" s="132" t="s">
        <v>168</v>
      </c>
      <c r="B22" s="133">
        <f>IF(SER_hh_fec!B22=0,0,11630*1000*SER_hh_fec!B22/SER_hh_num!B22)</f>
        <v>18139.668439220943</v>
      </c>
      <c r="C22" s="133">
        <f>IF(SER_hh_fec!C22=0,0,11630*1000*SER_hh_fec!C22/SER_hh_num!C22)</f>
        <v>17716.103226055118</v>
      </c>
      <c r="D22" s="133">
        <f>IF(SER_hh_fec!D22=0,0,11630*1000*SER_hh_fec!D22/SER_hh_num!D22)</f>
        <v>17548.571915728324</v>
      </c>
      <c r="E22" s="133">
        <f>IF(SER_hh_fec!E22=0,0,11630*1000*SER_hh_fec!E22/SER_hh_num!E22)</f>
        <v>17530.714753934197</v>
      </c>
      <c r="F22" s="133">
        <f>IF(SER_hh_fec!F22=0,0,11630*1000*SER_hh_fec!F22/SER_hh_num!F22)</f>
        <v>17707.698992331752</v>
      </c>
      <c r="G22" s="133">
        <f>IF(SER_hh_fec!G22=0,0,11630*1000*SER_hh_fec!G22/SER_hh_num!G22)</f>
        <v>17957.021730625565</v>
      </c>
      <c r="H22" s="133">
        <f>IF(SER_hh_fec!H22=0,0,11630*1000*SER_hh_fec!H22/SER_hh_num!H22)</f>
        <v>16989.859443140544</v>
      </c>
      <c r="I22" s="133">
        <f>IF(SER_hh_fec!I22=0,0,11630*1000*SER_hh_fec!I22/SER_hh_num!I22)</f>
        <v>16279.064186674019</v>
      </c>
      <c r="J22" s="133">
        <f>IF(SER_hh_fec!J22=0,0,11630*1000*SER_hh_fec!J22/SER_hh_num!J22)</f>
        <v>17054.193544829701</v>
      </c>
      <c r="K22" s="133">
        <f>IF(SER_hh_fec!K22=0,0,11630*1000*SER_hh_fec!K22/SER_hh_num!K22)</f>
        <v>17394.052343059193</v>
      </c>
      <c r="L22" s="133">
        <f>IF(SER_hh_fec!L22=0,0,11630*1000*SER_hh_fec!L22/SER_hh_num!L22)</f>
        <v>17097.1437480645</v>
      </c>
      <c r="M22" s="133">
        <f>IF(SER_hh_fec!M22=0,0,11630*1000*SER_hh_fec!M22/SER_hh_num!M22)</f>
        <v>15920.25877594387</v>
      </c>
      <c r="N22" s="133">
        <f>IF(SER_hh_fec!N22=0,0,11630*1000*SER_hh_fec!N22/SER_hh_num!N22)</f>
        <v>16426.833899051318</v>
      </c>
      <c r="O22" s="133">
        <f>IF(SER_hh_fec!O22=0,0,11630*1000*SER_hh_fec!O22/SER_hh_num!O22)</f>
        <v>16661.858840151839</v>
      </c>
      <c r="P22" s="133">
        <f>IF(SER_hh_fec!P22=0,0,11630*1000*SER_hh_fec!P22/SER_hh_num!P22)</f>
        <v>16601.478292260748</v>
      </c>
      <c r="Q22" s="133">
        <f>IF(SER_hh_fec!Q22=0,0,11630*1000*SER_hh_fec!Q22/SER_hh_num!Q22)</f>
        <v>16553.49985100565</v>
      </c>
      <c r="R22" s="133">
        <f>IF(SER_hh_fec!R22=0,0,11630*1000*SER_hh_fec!R22/SER_hh_num!R22)</f>
        <v>16973.003416383977</v>
      </c>
      <c r="S22" s="133">
        <f>IF(SER_hh_fec!S22=0,0,11630*1000*SER_hh_fec!S22/SER_hh_num!S22)</f>
        <v>16535.541596537645</v>
      </c>
      <c r="T22" s="133">
        <f>IF(SER_hh_fec!T22=0,0,11630*1000*SER_hh_fec!T22/SER_hh_num!T22)</f>
        <v>18482.416798820319</v>
      </c>
      <c r="U22" s="133">
        <f>IF(SER_hh_fec!U22=0,0,11630*1000*SER_hh_fec!U22/SER_hh_num!U22)</f>
        <v>11318.588677916778</v>
      </c>
      <c r="V22" s="133">
        <f>IF(SER_hh_fec!V22=0,0,11630*1000*SER_hh_fec!V22/SER_hh_num!V22)</f>
        <v>16213.865842980105</v>
      </c>
      <c r="W22" s="133">
        <f>IF(SER_hh_fec!W22=0,0,11630*1000*SER_hh_fec!W22/SER_hh_num!W22)</f>
        <v>12973.169949092489</v>
      </c>
      <c r="DA22" s="157" t="s">
        <v>402</v>
      </c>
    </row>
    <row r="23" spans="1:105" ht="12" customHeight="1" x14ac:dyDescent="0.25">
      <c r="A23" s="132" t="s">
        <v>153</v>
      </c>
      <c r="B23" s="133">
        <f>IF(SER_hh_fec!B23=0,0,11630*1000*SER_hh_fec!B23/SER_hh_num!B23)</f>
        <v>17467.921774136874</v>
      </c>
      <c r="C23" s="133">
        <f>IF(SER_hh_fec!C23=0,0,11630*1000*SER_hh_fec!C23/SER_hh_num!C23)</f>
        <v>16954.950066812518</v>
      </c>
      <c r="D23" s="133">
        <f>IF(SER_hh_fec!D23=0,0,11630*1000*SER_hh_fec!D23/SER_hh_num!D23)</f>
        <v>16071.704159378258</v>
      </c>
      <c r="E23" s="133">
        <f>IF(SER_hh_fec!E23=0,0,11630*1000*SER_hh_fec!E23/SER_hh_num!E23)</f>
        <v>17060.153519155749</v>
      </c>
      <c r="F23" s="133">
        <f>IF(SER_hh_fec!F23=0,0,11630*1000*SER_hh_fec!F23/SER_hh_num!F23)</f>
        <v>15780.120844317877</v>
      </c>
      <c r="G23" s="133">
        <f>IF(SER_hh_fec!G23=0,0,11630*1000*SER_hh_fec!G23/SER_hh_num!G23)</f>
        <v>15958.434539143191</v>
      </c>
      <c r="H23" s="133">
        <f>IF(SER_hh_fec!H23=0,0,11630*1000*SER_hh_fec!H23/SER_hh_num!H23)</f>
        <v>16213.624538962837</v>
      </c>
      <c r="I23" s="133">
        <f>IF(SER_hh_fec!I23=0,0,11630*1000*SER_hh_fec!I23/SER_hh_num!I23)</f>
        <v>15554.882009764226</v>
      </c>
      <c r="J23" s="133">
        <f>IF(SER_hh_fec!J23=0,0,11630*1000*SER_hh_fec!J23/SER_hh_num!J23)</f>
        <v>15352.005511377729</v>
      </c>
      <c r="K23" s="133">
        <f>IF(SER_hh_fec!K23=0,0,11630*1000*SER_hh_fec!K23/SER_hh_num!K23)</f>
        <v>15467.10063882372</v>
      </c>
      <c r="L23" s="133">
        <f>IF(SER_hh_fec!L23=0,0,11630*1000*SER_hh_fec!L23/SER_hh_num!L23)</f>
        <v>15896.260097948694</v>
      </c>
      <c r="M23" s="133">
        <f>IF(SER_hh_fec!M23=0,0,11630*1000*SER_hh_fec!M23/SER_hh_num!M23)</f>
        <v>14285.360621870394</v>
      </c>
      <c r="N23" s="133">
        <f>IF(SER_hh_fec!N23=0,0,11630*1000*SER_hh_fec!N23/SER_hh_num!N23)</f>
        <v>14939.576124529653</v>
      </c>
      <c r="O23" s="133">
        <f>IF(SER_hh_fec!O23=0,0,11630*1000*SER_hh_fec!O23/SER_hh_num!O23)</f>
        <v>15217.969175783008</v>
      </c>
      <c r="P23" s="133">
        <f>IF(SER_hh_fec!P23=0,0,11630*1000*SER_hh_fec!P23/SER_hh_num!P23)</f>
        <v>13800.281086577595</v>
      </c>
      <c r="Q23" s="133">
        <f>IF(SER_hh_fec!Q23=0,0,11630*1000*SER_hh_fec!Q23/SER_hh_num!Q23)</f>
        <v>15027.57298512751</v>
      </c>
      <c r="R23" s="133">
        <f>IF(SER_hh_fec!R23=0,0,11630*1000*SER_hh_fec!R23/SER_hh_num!R23)</f>
        <v>14497.165123285375</v>
      </c>
      <c r="S23" s="133">
        <f>IF(SER_hh_fec!S23=0,0,11630*1000*SER_hh_fec!S23/SER_hh_num!S23)</f>
        <v>14247.8697783442</v>
      </c>
      <c r="T23" s="133">
        <f>IF(SER_hh_fec!T23=0,0,11630*1000*SER_hh_fec!T23/SER_hh_num!T23)</f>
        <v>13619.673910979976</v>
      </c>
      <c r="U23" s="133">
        <f>IF(SER_hh_fec!U23=0,0,11630*1000*SER_hh_fec!U23/SER_hh_num!U23)</f>
        <v>13843.018907605683</v>
      </c>
      <c r="V23" s="133">
        <f>IF(SER_hh_fec!V23=0,0,11630*1000*SER_hh_fec!V23/SER_hh_num!V23)</f>
        <v>9073.995014869879</v>
      </c>
      <c r="W23" s="133">
        <f>IF(SER_hh_fec!W23=0,0,11630*1000*SER_hh_fec!W23/SER_hh_num!W23)</f>
        <v>13031.023457921719</v>
      </c>
      <c r="DA23" s="157" t="s">
        <v>403</v>
      </c>
    </row>
    <row r="24" spans="1:105" ht="12" customHeight="1" x14ac:dyDescent="0.25">
      <c r="A24" s="132" t="s">
        <v>128</v>
      </c>
      <c r="B24" s="133">
        <f>IF(SER_hh_fec!B24=0,0,11630*1000*SER_hh_fec!B24/SER_hh_num!B24)</f>
        <v>19189.331101089247</v>
      </c>
      <c r="C24" s="133">
        <f>IF(SER_hh_fec!C24=0,0,11630*1000*SER_hh_fec!C24/SER_hh_num!C24)</f>
        <v>19686.478356567579</v>
      </c>
      <c r="D24" s="133">
        <f>IF(SER_hh_fec!D24=0,0,11630*1000*SER_hh_fec!D24/SER_hh_num!D24)</f>
        <v>18872.56862562742</v>
      </c>
      <c r="E24" s="133">
        <f>IF(SER_hh_fec!E24=0,0,11630*1000*SER_hh_fec!E24/SER_hh_num!E24)</f>
        <v>18053.17900539414</v>
      </c>
      <c r="F24" s="133">
        <f>IF(SER_hh_fec!F24=0,0,11630*1000*SER_hh_fec!F24/SER_hh_num!F24)</f>
        <v>17448.931455440037</v>
      </c>
      <c r="G24" s="133">
        <f>IF(SER_hh_fec!G24=0,0,11630*1000*SER_hh_fec!G24/SER_hh_num!G24)</f>
        <v>17168.051198974848</v>
      </c>
      <c r="H24" s="133">
        <f>IF(SER_hh_fec!H24=0,0,11630*1000*SER_hh_fec!H24/SER_hh_num!H24)</f>
        <v>16620.453912923695</v>
      </c>
      <c r="I24" s="133">
        <f>IF(SER_hh_fec!I24=0,0,11630*1000*SER_hh_fec!I24/SER_hh_num!I24)</f>
        <v>16161.680844076067</v>
      </c>
      <c r="J24" s="133">
        <f>IF(SER_hh_fec!J24=0,0,11630*1000*SER_hh_fec!J24/SER_hh_num!J24)</f>
        <v>15687.864534457223</v>
      </c>
      <c r="K24" s="133">
        <f>IF(SER_hh_fec!K24=0,0,11630*1000*SER_hh_fec!K24/SER_hh_num!K24)</f>
        <v>15249.846242013426</v>
      </c>
      <c r="L24" s="133">
        <f>IF(SER_hh_fec!L24=0,0,11630*1000*SER_hh_fec!L24/SER_hh_num!L24)</f>
        <v>14739.952768840723</v>
      </c>
      <c r="M24" s="133">
        <f>IF(SER_hh_fec!M24=0,0,11630*1000*SER_hh_fec!M24/SER_hh_num!M24)</f>
        <v>14500.750199373439</v>
      </c>
      <c r="N24" s="133">
        <f>IF(SER_hh_fec!N24=0,0,11630*1000*SER_hh_fec!N24/SER_hh_num!N24)</f>
        <v>14421.81622809912</v>
      </c>
      <c r="O24" s="133">
        <f>IF(SER_hh_fec!O24=0,0,11630*1000*SER_hh_fec!O24/SER_hh_num!O24)</f>
        <v>14085.667877763479</v>
      </c>
      <c r="P24" s="133">
        <f>IF(SER_hh_fec!P24=0,0,11630*1000*SER_hh_fec!P24/SER_hh_num!P24)</f>
        <v>13723.833877186607</v>
      </c>
      <c r="Q24" s="133">
        <f>IF(SER_hh_fec!Q24=0,0,11630*1000*SER_hh_fec!Q24/SER_hh_num!Q24)</f>
        <v>13356.335096164956</v>
      </c>
      <c r="R24" s="133">
        <f>IF(SER_hh_fec!R24=0,0,11630*1000*SER_hh_fec!R24/SER_hh_num!R24)</f>
        <v>13876.423487632333</v>
      </c>
      <c r="S24" s="133">
        <f>IF(SER_hh_fec!S24=0,0,11630*1000*SER_hh_fec!S24/SER_hh_num!S24)</f>
        <v>14030.828762102568</v>
      </c>
      <c r="T24" s="133">
        <f>IF(SER_hh_fec!T24=0,0,11630*1000*SER_hh_fec!T24/SER_hh_num!T24)</f>
        <v>15164.522848158684</v>
      </c>
      <c r="U24" s="133">
        <f>IF(SER_hh_fec!U24=0,0,11630*1000*SER_hh_fec!U24/SER_hh_num!U24)</f>
        <v>13090.433671933653</v>
      </c>
      <c r="V24" s="133">
        <f>IF(SER_hh_fec!V24=0,0,11630*1000*SER_hh_fec!V24/SER_hh_num!V24)</f>
        <v>11592.27031343731</v>
      </c>
      <c r="W24" s="133">
        <f>IF(SER_hh_fec!W24=0,0,11630*1000*SER_hh_fec!W24/SER_hh_num!W24)</f>
        <v>12131.521979819363</v>
      </c>
      <c r="DA24" s="157" t="s">
        <v>404</v>
      </c>
    </row>
    <row r="25" spans="1:105" ht="12" customHeight="1" x14ac:dyDescent="0.25">
      <c r="A25" s="132" t="s">
        <v>169</v>
      </c>
      <c r="B25" s="133">
        <f>IF(SER_hh_fec!B25=0,0,11630*1000*SER_hh_fec!B25/SER_hh_num!B25)</f>
        <v>11650.440079934928</v>
      </c>
      <c r="C25" s="133">
        <f>IF(SER_hh_fec!C25=0,0,11630*1000*SER_hh_fec!C25/SER_hh_num!C25)</f>
        <v>11774.474416093261</v>
      </c>
      <c r="D25" s="133">
        <f>IF(SER_hh_fec!D25=0,0,11630*1000*SER_hh_fec!D25/SER_hh_num!D25)</f>
        <v>11515.820044976103</v>
      </c>
      <c r="E25" s="133">
        <f>IF(SER_hh_fec!E25=0,0,11630*1000*SER_hh_fec!E25/SER_hh_num!E25)</f>
        <v>11404.15515395432</v>
      </c>
      <c r="F25" s="133">
        <f>IF(SER_hh_fec!F25=0,0,11630*1000*SER_hh_fec!F25/SER_hh_num!F25)</f>
        <v>11315.587766282946</v>
      </c>
      <c r="G25" s="133">
        <f>IF(SER_hh_fec!G25=0,0,11630*1000*SER_hh_fec!G25/SER_hh_num!G25)</f>
        <v>11313.877551773614</v>
      </c>
      <c r="H25" s="133">
        <f>IF(SER_hh_fec!H25=0,0,11630*1000*SER_hh_fec!H25/SER_hh_num!H25)</f>
        <v>11102.329824665201</v>
      </c>
      <c r="I25" s="133">
        <f>IF(SER_hh_fec!I25=0,0,11630*1000*SER_hh_fec!I25/SER_hh_num!I25)</f>
        <v>10951.799996135991</v>
      </c>
      <c r="J25" s="133">
        <f>IF(SER_hh_fec!J25=0,0,11630*1000*SER_hh_fec!J25/SER_hh_num!J25)</f>
        <v>10955.416300893945</v>
      </c>
      <c r="K25" s="133">
        <f>IF(SER_hh_fec!K25=0,0,11630*1000*SER_hh_fec!K25/SER_hh_num!K25)</f>
        <v>10984.263823655316</v>
      </c>
      <c r="L25" s="133">
        <f>IF(SER_hh_fec!L25=0,0,11630*1000*SER_hh_fec!L25/SER_hh_num!L25)</f>
        <v>11094.080321936342</v>
      </c>
      <c r="M25" s="133">
        <f>IF(SER_hh_fec!M25=0,0,11630*1000*SER_hh_fec!M25/SER_hh_num!M25)</f>
        <v>11125.286682285128</v>
      </c>
      <c r="N25" s="133">
        <f>IF(SER_hh_fec!N25=0,0,11630*1000*SER_hh_fec!N25/SER_hh_num!N25)</f>
        <v>11068.7115284829</v>
      </c>
      <c r="O25" s="133">
        <f>IF(SER_hh_fec!O25=0,0,11630*1000*SER_hh_fec!O25/SER_hh_num!O25)</f>
        <v>11107.333319284002</v>
      </c>
      <c r="P25" s="133">
        <f>IF(SER_hh_fec!P25=0,0,11630*1000*SER_hh_fec!P25/SER_hh_num!P25)</f>
        <v>11417.017751784433</v>
      </c>
      <c r="Q25" s="133">
        <f>IF(SER_hh_fec!Q25=0,0,11630*1000*SER_hh_fec!Q25/SER_hh_num!Q25)</f>
        <v>11475.242564256117</v>
      </c>
      <c r="R25" s="133">
        <f>IF(SER_hh_fec!R25=0,0,11630*1000*SER_hh_fec!R25/SER_hh_num!R25)</f>
        <v>11351.098365324764</v>
      </c>
      <c r="S25" s="133">
        <f>IF(SER_hh_fec!S25=0,0,11630*1000*SER_hh_fec!S25/SER_hh_num!S25)</f>
        <v>11199.489032811065</v>
      </c>
      <c r="T25" s="133">
        <f>IF(SER_hh_fec!T25=0,0,11630*1000*SER_hh_fec!T25/SER_hh_num!T25)</f>
        <v>11342.400811592326</v>
      </c>
      <c r="U25" s="133">
        <f>IF(SER_hh_fec!U25=0,0,11630*1000*SER_hh_fec!U25/SER_hh_num!U25)</f>
        <v>10875.541711996857</v>
      </c>
      <c r="V25" s="133">
        <f>IF(SER_hh_fec!V25=0,0,11630*1000*SER_hh_fec!V25/SER_hh_num!V25)</f>
        <v>9971.9556349471022</v>
      </c>
      <c r="W25" s="133">
        <f>IF(SER_hh_fec!W25=0,0,11630*1000*SER_hh_fec!W25/SER_hh_num!W25)</f>
        <v>10379.121203874933</v>
      </c>
      <c r="DA25" s="157" t="s">
        <v>405</v>
      </c>
    </row>
    <row r="26" spans="1:105" ht="12" customHeight="1" x14ac:dyDescent="0.25">
      <c r="A26" s="132" t="s">
        <v>24</v>
      </c>
      <c r="B26" s="65">
        <f>IF(SER_hh_fec!B26=0,0,11630*1000*SER_hh_fec!B26/SER_hh_num!B26)</f>
        <v>14103.605566948951</v>
      </c>
      <c r="C26" s="65">
        <f>IF(SER_hh_fec!C26=0,0,11630*1000*SER_hh_fec!C26/SER_hh_num!C26)</f>
        <v>13528.524226160471</v>
      </c>
      <c r="D26" s="65">
        <f>IF(SER_hh_fec!D26=0,0,11630*1000*SER_hh_fec!D26/SER_hh_num!D26)</f>
        <v>13773.631227917556</v>
      </c>
      <c r="E26" s="65">
        <f>IF(SER_hh_fec!E26=0,0,11630*1000*SER_hh_fec!E26/SER_hh_num!E26)</f>
        <v>13249.622888354121</v>
      </c>
      <c r="F26" s="65">
        <f>IF(SER_hh_fec!F26=0,0,11630*1000*SER_hh_fec!F26/SER_hh_num!F26)</f>
        <v>13314.609222523199</v>
      </c>
      <c r="G26" s="65">
        <f>IF(SER_hh_fec!G26=0,0,11630*1000*SER_hh_fec!G26/SER_hh_num!G26)</f>
        <v>12989.928153309764</v>
      </c>
      <c r="H26" s="65">
        <f>IF(SER_hh_fec!H26=0,0,11630*1000*SER_hh_fec!H26/SER_hh_num!H26)</f>
        <v>13273.954720838294</v>
      </c>
      <c r="I26" s="65">
        <f>IF(SER_hh_fec!I26=0,0,11630*1000*SER_hh_fec!I26/SER_hh_num!I26)</f>
        <v>13432.049033434203</v>
      </c>
      <c r="J26" s="65">
        <f>IF(SER_hh_fec!J26=0,0,11630*1000*SER_hh_fec!J26/SER_hh_num!J26)</f>
        <v>13306.495177499355</v>
      </c>
      <c r="K26" s="65">
        <f>IF(SER_hh_fec!K26=0,0,11630*1000*SER_hh_fec!K26/SER_hh_num!K26)</f>
        <v>12865.006819055139</v>
      </c>
      <c r="L26" s="65">
        <f>IF(SER_hh_fec!L26=0,0,11630*1000*SER_hh_fec!L26/SER_hh_num!L26)</f>
        <v>11817.28344345229</v>
      </c>
      <c r="M26" s="65">
        <f>IF(SER_hh_fec!M26=0,0,11630*1000*SER_hh_fec!M26/SER_hh_num!M26)</f>
        <v>12749.258395426201</v>
      </c>
      <c r="N26" s="65">
        <f>IF(SER_hh_fec!N26=0,0,11630*1000*SER_hh_fec!N26/SER_hh_num!N26)</f>
        <v>13060.239586151596</v>
      </c>
      <c r="O26" s="65">
        <f>IF(SER_hh_fec!O26=0,0,11630*1000*SER_hh_fec!O26/SER_hh_num!O26)</f>
        <v>12809.019151255165</v>
      </c>
      <c r="P26" s="65">
        <f>IF(SER_hh_fec!P26=0,0,11630*1000*SER_hh_fec!P26/SER_hh_num!P26)</f>
        <v>13057.494674543001</v>
      </c>
      <c r="Q26" s="65">
        <f>IF(SER_hh_fec!Q26=0,0,11630*1000*SER_hh_fec!Q26/SER_hh_num!Q26)</f>
        <v>12613.034574353032</v>
      </c>
      <c r="R26" s="65">
        <f>IF(SER_hh_fec!R26=0,0,11630*1000*SER_hh_fec!R26/SER_hh_num!R26)</f>
        <v>12839.632593138898</v>
      </c>
      <c r="S26" s="65">
        <f>IF(SER_hh_fec!S26=0,0,11630*1000*SER_hh_fec!S26/SER_hh_num!S26)</f>
        <v>13126.717908585484</v>
      </c>
      <c r="T26" s="65">
        <f>IF(SER_hh_fec!T26=0,0,11630*1000*SER_hh_fec!T26/SER_hh_num!T26)</f>
        <v>11756.835975097225</v>
      </c>
      <c r="U26" s="65">
        <f>IF(SER_hh_fec!U26=0,0,11630*1000*SER_hh_fec!U26/SER_hh_num!U26)</f>
        <v>12300.294499128222</v>
      </c>
      <c r="V26" s="65">
        <f>IF(SER_hh_fec!V26=0,0,11630*1000*SER_hh_fec!V26/SER_hh_num!V26)</f>
        <v>10161.240679460892</v>
      </c>
      <c r="W26" s="65">
        <f>IF(SER_hh_fec!W26=0,0,11630*1000*SER_hh_fec!W26/SER_hh_num!W26)</f>
        <v>11342.189136135206</v>
      </c>
      <c r="DA26" s="109" t="s">
        <v>406</v>
      </c>
    </row>
    <row r="27" spans="1:105" ht="12" customHeight="1" x14ac:dyDescent="0.25">
      <c r="A27" s="145" t="s">
        <v>86</v>
      </c>
      <c r="B27" s="146">
        <f>IF(SER_hh_fec!B27=0,0,11630*1000*SER_hh_fec!B27/SER_hh_num!B19)</f>
        <v>106.94882763483746</v>
      </c>
      <c r="C27" s="146">
        <f>IF(SER_hh_fec!C27=0,0,11630*1000*SER_hh_fec!C27/SER_hh_num!C19)</f>
        <v>106.87152193277034</v>
      </c>
      <c r="D27" s="146">
        <f>IF(SER_hh_fec!D27=0,0,11630*1000*SER_hh_fec!D27/SER_hh_num!D19)</f>
        <v>106.40271678913567</v>
      </c>
      <c r="E27" s="146">
        <f>IF(SER_hh_fec!E27=0,0,11630*1000*SER_hh_fec!E27/SER_hh_num!E19)</f>
        <v>106.18134585271326</v>
      </c>
      <c r="F27" s="146">
        <f>IF(SER_hh_fec!F27=0,0,11630*1000*SER_hh_fec!F27/SER_hh_num!F19)</f>
        <v>108.23171773695299</v>
      </c>
      <c r="G27" s="146">
        <f>IF(SER_hh_fec!G27=0,0,11630*1000*SER_hh_fec!G27/SER_hh_num!G19)</f>
        <v>112.26943997513382</v>
      </c>
      <c r="H27" s="146">
        <f>IF(SER_hh_fec!H27=0,0,11630*1000*SER_hh_fec!H27/SER_hh_num!H19)</f>
        <v>116.08721402778831</v>
      </c>
      <c r="I27" s="146">
        <f>IF(SER_hh_fec!I27=0,0,11630*1000*SER_hh_fec!I27/SER_hh_num!I19)</f>
        <v>122.58704643692641</v>
      </c>
      <c r="J27" s="146">
        <f>IF(SER_hh_fec!J27=0,0,11630*1000*SER_hh_fec!J27/SER_hh_num!J19)</f>
        <v>128.72806172910202</v>
      </c>
      <c r="K27" s="146">
        <f>IF(SER_hh_fec!K27=0,0,11630*1000*SER_hh_fec!K27/SER_hh_num!K19)</f>
        <v>135.642584199346</v>
      </c>
      <c r="L27" s="146">
        <f>IF(SER_hh_fec!L27=0,0,11630*1000*SER_hh_fec!L27/SER_hh_num!L19)</f>
        <v>138.14635488577312</v>
      </c>
      <c r="M27" s="146">
        <f>IF(SER_hh_fec!M27=0,0,11630*1000*SER_hh_fec!M27/SER_hh_num!M19)</f>
        <v>144.40978744745919</v>
      </c>
      <c r="N27" s="146">
        <f>IF(SER_hh_fec!N27=0,0,11630*1000*SER_hh_fec!N27/SER_hh_num!N19)</f>
        <v>148.35977389190629</v>
      </c>
      <c r="O27" s="146">
        <f>IF(SER_hh_fec!O27=0,0,11630*1000*SER_hh_fec!O27/SER_hh_num!O19)</f>
        <v>152.44374304878698</v>
      </c>
      <c r="P27" s="146">
        <f>IF(SER_hh_fec!P27=0,0,11630*1000*SER_hh_fec!P27/SER_hh_num!P19)</f>
        <v>154.95147223802309</v>
      </c>
      <c r="Q27" s="146">
        <f>IF(SER_hh_fec!Q27=0,0,11630*1000*SER_hh_fec!Q27/SER_hh_num!Q19)</f>
        <v>158.26379906390866</v>
      </c>
      <c r="R27" s="146">
        <f>IF(SER_hh_fec!R27=0,0,11630*1000*SER_hh_fec!R27/SER_hh_num!R19)</f>
        <v>159.0748893033844</v>
      </c>
      <c r="S27" s="146">
        <f>IF(SER_hh_fec!S27=0,0,11630*1000*SER_hh_fec!S27/SER_hh_num!S19)</f>
        <v>159.7313562385927</v>
      </c>
      <c r="T27" s="146">
        <f>IF(SER_hh_fec!T27=0,0,11630*1000*SER_hh_fec!T27/SER_hh_num!T19)</f>
        <v>160.10743132488813</v>
      </c>
      <c r="U27" s="146">
        <f>IF(SER_hh_fec!U27=0,0,11630*1000*SER_hh_fec!U27/SER_hh_num!U19)</f>
        <v>160.72678414254497</v>
      </c>
      <c r="V27" s="146">
        <f>IF(SER_hh_fec!V27=0,0,11630*1000*SER_hh_fec!V27/SER_hh_num!V19)</f>
        <v>159.39033284643375</v>
      </c>
      <c r="W27" s="146">
        <f>IF(SER_hh_fec!W27=0,0,11630*1000*SER_hh_fec!W27/SER_hh_num!W19)</f>
        <v>158.08443964180924</v>
      </c>
      <c r="DA27" s="159" t="s">
        <v>407</v>
      </c>
    </row>
    <row r="28" spans="1:105" ht="12" customHeight="1" x14ac:dyDescent="0.25">
      <c r="A28" s="78" t="s">
        <v>85</v>
      </c>
      <c r="B28" s="147">
        <f>IF(SER_hh_fec!B27=0,0,11630*1000*SER_hh_fec!B27/SER_hh_num!B27)</f>
        <v>4055.9535626703487</v>
      </c>
      <c r="C28" s="147">
        <f>IF(SER_hh_fec!C27=0,0,11630*1000*SER_hh_fec!C27/SER_hh_num!C27)</f>
        <v>4127.0606285714757</v>
      </c>
      <c r="D28" s="147">
        <f>IF(SER_hh_fec!D27=0,0,11630*1000*SER_hh_fec!D27/SER_hh_num!D27)</f>
        <v>4038.0868540924434</v>
      </c>
      <c r="E28" s="147">
        <f>IF(SER_hh_fec!E27=0,0,11630*1000*SER_hh_fec!E27/SER_hh_num!E27)</f>
        <v>4081.7134811928813</v>
      </c>
      <c r="F28" s="147">
        <f>IF(SER_hh_fec!F27=0,0,11630*1000*SER_hh_fec!F27/SER_hh_num!F27)</f>
        <v>4080.786363835613</v>
      </c>
      <c r="G28" s="147">
        <f>IF(SER_hh_fec!G27=0,0,11630*1000*SER_hh_fec!G27/SER_hh_num!G27)</f>
        <v>3996.8437025925587</v>
      </c>
      <c r="H28" s="147">
        <f>IF(SER_hh_fec!H27=0,0,11630*1000*SER_hh_fec!H27/SER_hh_num!H27)</f>
        <v>3990.7688190156696</v>
      </c>
      <c r="I28" s="147">
        <f>IF(SER_hh_fec!I27=0,0,11630*1000*SER_hh_fec!I27/SER_hh_num!I27)</f>
        <v>4053.4882712054987</v>
      </c>
      <c r="J28" s="147">
        <f>IF(SER_hh_fec!J27=0,0,11630*1000*SER_hh_fec!J27/SER_hh_num!J27)</f>
        <v>4226.0716964338626</v>
      </c>
      <c r="K28" s="147">
        <f>IF(SER_hh_fec!K27=0,0,11630*1000*SER_hh_fec!K27/SER_hh_num!K27)</f>
        <v>4667.5657434391678</v>
      </c>
      <c r="L28" s="147">
        <f>IF(SER_hh_fec!L27=0,0,11630*1000*SER_hh_fec!L27/SER_hh_num!L27)</f>
        <v>3960.3522982916511</v>
      </c>
      <c r="M28" s="147">
        <f>IF(SER_hh_fec!M27=0,0,11630*1000*SER_hh_fec!M27/SER_hh_num!M27)</f>
        <v>4054.1879602406584</v>
      </c>
      <c r="N28" s="147">
        <f>IF(SER_hh_fec!N27=0,0,11630*1000*SER_hh_fec!N27/SER_hh_num!N27)</f>
        <v>4239.1480362424463</v>
      </c>
      <c r="O28" s="147">
        <f>IF(SER_hh_fec!O27=0,0,11630*1000*SER_hh_fec!O27/SER_hh_num!O27)</f>
        <v>4000.6409191510802</v>
      </c>
      <c r="P28" s="147">
        <f>IF(SER_hh_fec!P27=0,0,11630*1000*SER_hh_fec!P27/SER_hh_num!P27)</f>
        <v>4283.9826304397948</v>
      </c>
      <c r="Q28" s="147">
        <f>IF(SER_hh_fec!Q27=0,0,11630*1000*SER_hh_fec!Q27/SER_hh_num!Q27)</f>
        <v>4196.9644107068079</v>
      </c>
      <c r="R28" s="147">
        <f>IF(SER_hh_fec!R27=0,0,11630*1000*SER_hh_fec!R27/SER_hh_num!R27)</f>
        <v>4208.9438270262099</v>
      </c>
      <c r="S28" s="147">
        <f>IF(SER_hh_fec!S27=0,0,11630*1000*SER_hh_fec!S27/SER_hh_num!S27)</f>
        <v>4481.8087943801738</v>
      </c>
      <c r="T28" s="147">
        <f>IF(SER_hh_fec!T27=0,0,11630*1000*SER_hh_fec!T27/SER_hh_num!T27)</f>
        <v>4417.1112870193601</v>
      </c>
      <c r="U28" s="147">
        <f>IF(SER_hh_fec!U27=0,0,11630*1000*SER_hh_fec!U27/SER_hh_num!U27)</f>
        <v>4275.9678316453501</v>
      </c>
      <c r="V28" s="147">
        <f>IF(SER_hh_fec!V27=0,0,11630*1000*SER_hh_fec!V27/SER_hh_num!V27)</f>
        <v>3742.9714277368448</v>
      </c>
      <c r="W28" s="147">
        <f>IF(SER_hh_fec!W27=0,0,11630*1000*SER_hh_fec!W27/SER_hh_num!W27)</f>
        <v>4091.4002338502974</v>
      </c>
      <c r="DA28" s="160"/>
    </row>
    <row r="29" spans="1:105" ht="12.95" customHeight="1" x14ac:dyDescent="0.25">
      <c r="A29" s="130" t="s">
        <v>34</v>
      </c>
      <c r="B29" s="131">
        <f>IF(SER_hh_fec!B29=0,0,11630*1000*SER_hh_fec!B29/SER_hh_num!B29)</f>
        <v>11687.133419103113</v>
      </c>
      <c r="C29" s="131">
        <f>IF(SER_hh_fec!C29=0,0,11630*1000*SER_hh_fec!C29/SER_hh_num!C29)</f>
        <v>11704.530103016263</v>
      </c>
      <c r="D29" s="131">
        <f>IF(SER_hh_fec!D29=0,0,11630*1000*SER_hh_fec!D29/SER_hh_num!D29)</f>
        <v>11736.131001885127</v>
      </c>
      <c r="E29" s="131">
        <f>IF(SER_hh_fec!E29=0,0,11630*1000*SER_hh_fec!E29/SER_hh_num!E29)</f>
        <v>12001.255518102131</v>
      </c>
      <c r="F29" s="131">
        <f>IF(SER_hh_fec!F29=0,0,11630*1000*SER_hh_fec!F29/SER_hh_num!F29)</f>
        <v>12134.148921436074</v>
      </c>
      <c r="G29" s="131">
        <f>IF(SER_hh_fec!G29=0,0,11630*1000*SER_hh_fec!G29/SER_hh_num!G29)</f>
        <v>12129.819382472391</v>
      </c>
      <c r="H29" s="131">
        <f>IF(SER_hh_fec!H29=0,0,11630*1000*SER_hh_fec!H29/SER_hh_num!H29)</f>
        <v>12261.572695157569</v>
      </c>
      <c r="I29" s="131">
        <f>IF(SER_hh_fec!I29=0,0,11630*1000*SER_hh_fec!I29/SER_hh_num!I29)</f>
        <v>12091.414757627374</v>
      </c>
      <c r="J29" s="131">
        <f>IF(SER_hh_fec!J29=0,0,11630*1000*SER_hh_fec!J29/SER_hh_num!J29)</f>
        <v>12146.455011606835</v>
      </c>
      <c r="K29" s="131">
        <f>IF(SER_hh_fec!K29=0,0,11630*1000*SER_hh_fec!K29/SER_hh_num!K29)</f>
        <v>12096.082915558431</v>
      </c>
      <c r="L29" s="131">
        <f>IF(SER_hh_fec!L29=0,0,11630*1000*SER_hh_fec!L29/SER_hh_num!L29)</f>
        <v>12079.898399970614</v>
      </c>
      <c r="M29" s="131">
        <f>IF(SER_hh_fec!M29=0,0,11630*1000*SER_hh_fec!M29/SER_hh_num!M29)</f>
        <v>12200.642099809502</v>
      </c>
      <c r="N29" s="131">
        <f>IF(SER_hh_fec!N29=0,0,11630*1000*SER_hh_fec!N29/SER_hh_num!N29)</f>
        <v>12389.474845186318</v>
      </c>
      <c r="O29" s="131">
        <f>IF(SER_hh_fec!O29=0,0,11630*1000*SER_hh_fec!O29/SER_hh_num!O29)</f>
        <v>12436.46252202018</v>
      </c>
      <c r="P29" s="131">
        <f>IF(SER_hh_fec!P29=0,0,11630*1000*SER_hh_fec!P29/SER_hh_num!P29)</f>
        <v>12273.150382283609</v>
      </c>
      <c r="Q29" s="131">
        <f>IF(SER_hh_fec!Q29=0,0,11630*1000*SER_hh_fec!Q29/SER_hh_num!Q29)</f>
        <v>12478.41154204299</v>
      </c>
      <c r="R29" s="131">
        <f>IF(SER_hh_fec!R29=0,0,11630*1000*SER_hh_fec!R29/SER_hh_num!R29)</f>
        <v>12624.639928078925</v>
      </c>
      <c r="S29" s="131">
        <f>IF(SER_hh_fec!S29=0,0,11630*1000*SER_hh_fec!S29/SER_hh_num!S29)</f>
        <v>12513.942763365803</v>
      </c>
      <c r="T29" s="131">
        <f>IF(SER_hh_fec!T29=0,0,11630*1000*SER_hh_fec!T29/SER_hh_num!T29)</f>
        <v>12377.400024998045</v>
      </c>
      <c r="U29" s="131">
        <f>IF(SER_hh_fec!U29=0,0,11630*1000*SER_hh_fec!U29/SER_hh_num!U29)</f>
        <v>12325.712342352497</v>
      </c>
      <c r="V29" s="131">
        <f>IF(SER_hh_fec!V29=0,0,11630*1000*SER_hh_fec!V29/SER_hh_num!V29)</f>
        <v>10813.637281520543</v>
      </c>
      <c r="W29" s="131">
        <f>IF(SER_hh_fec!W29=0,0,11630*1000*SER_hh_fec!W29/SER_hh_num!W29)</f>
        <v>11450.583212257747</v>
      </c>
      <c r="DA29" s="156" t="s">
        <v>408</v>
      </c>
    </row>
    <row r="30" spans="1:105" ht="12" customHeight="1" x14ac:dyDescent="0.25">
      <c r="A30" s="132" t="s">
        <v>52</v>
      </c>
      <c r="B30" s="133">
        <f>IF(SER_hh_fec!B30=0,0,11630*1000*SER_hh_fec!B30/SER_hh_num!B30)</f>
        <v>14492.656220164223</v>
      </c>
      <c r="C30" s="133">
        <f>IF(SER_hh_fec!C30=0,0,11630*1000*SER_hh_fec!C30/SER_hh_num!C30)</f>
        <v>14523.509460278738</v>
      </c>
      <c r="D30" s="133">
        <f>IF(SER_hh_fec!D30=0,0,11630*1000*SER_hh_fec!D30/SER_hh_num!D30)</f>
        <v>12956.294358181201</v>
      </c>
      <c r="E30" s="133">
        <f>IF(SER_hh_fec!E30=0,0,11630*1000*SER_hh_fec!E30/SER_hh_num!E30)</f>
        <v>14475.162118598313</v>
      </c>
      <c r="F30" s="133">
        <f>IF(SER_hh_fec!F30=0,0,11630*1000*SER_hh_fec!F30/SER_hh_num!F30)</f>
        <v>15251.364785337459</v>
      </c>
      <c r="G30" s="133">
        <f>IF(SER_hh_fec!G30=0,0,11630*1000*SER_hh_fec!G30/SER_hh_num!G30)</f>
        <v>16040.797959814965</v>
      </c>
      <c r="H30" s="133">
        <f>IF(SER_hh_fec!H30=0,0,11630*1000*SER_hh_fec!H30/SER_hh_num!H30)</f>
        <v>15268.666137967977</v>
      </c>
      <c r="I30" s="133">
        <f>IF(SER_hh_fec!I30=0,0,11630*1000*SER_hh_fec!I30/SER_hh_num!I30)</f>
        <v>14985.617219710306</v>
      </c>
      <c r="J30" s="133">
        <f>IF(SER_hh_fec!J30=0,0,11630*1000*SER_hh_fec!J30/SER_hh_num!J30)</f>
        <v>14507.920381956106</v>
      </c>
      <c r="K30" s="133">
        <f>IF(SER_hh_fec!K30=0,0,11630*1000*SER_hh_fec!K30/SER_hh_num!K30)</f>
        <v>13835.597053321337</v>
      </c>
      <c r="L30" s="133">
        <f>IF(SER_hh_fec!L30=0,0,11630*1000*SER_hh_fec!L30/SER_hh_num!L30)</f>
        <v>17183.105976650175</v>
      </c>
      <c r="M30" s="133">
        <f>IF(SER_hh_fec!M30=0,0,11630*1000*SER_hh_fec!M30/SER_hh_num!M30)</f>
        <v>15394.897946382171</v>
      </c>
      <c r="N30" s="133">
        <f>IF(SER_hh_fec!N30=0,0,11630*1000*SER_hh_fec!N30/SER_hh_num!N30)</f>
        <v>14381.818679872049</v>
      </c>
      <c r="O30" s="133">
        <f>IF(SER_hh_fec!O30=0,0,11630*1000*SER_hh_fec!O30/SER_hh_num!O30)</f>
        <v>17108.831372353132</v>
      </c>
      <c r="P30" s="133">
        <f>IF(SER_hh_fec!P30=0,0,11630*1000*SER_hh_fec!P30/SER_hh_num!P30)</f>
        <v>9222.9049253736848</v>
      </c>
      <c r="Q30" s="133">
        <f>IF(SER_hh_fec!Q30=0,0,11630*1000*SER_hh_fec!Q30/SER_hh_num!Q30)</f>
        <v>17422.356193157459</v>
      </c>
      <c r="R30" s="133">
        <f>IF(SER_hh_fec!R30=0,0,11630*1000*SER_hh_fec!R30/SER_hh_num!R30)</f>
        <v>16803.421025121585</v>
      </c>
      <c r="S30" s="133">
        <f>IF(SER_hh_fec!S30=0,0,11630*1000*SER_hh_fec!S30/SER_hh_num!S30)</f>
        <v>15678.152860167489</v>
      </c>
      <c r="T30" s="133">
        <f>IF(SER_hh_fec!T30=0,0,11630*1000*SER_hh_fec!T30/SER_hh_num!T30)</f>
        <v>15976.524473454856</v>
      </c>
      <c r="U30" s="133">
        <f>IF(SER_hh_fec!U30=0,0,11630*1000*SER_hh_fec!U30/SER_hh_num!U30)</f>
        <v>15838.245769667015</v>
      </c>
      <c r="V30" s="133">
        <f>IF(SER_hh_fec!V30=0,0,11630*1000*SER_hh_fec!V30/SER_hh_num!V30)</f>
        <v>13741.980885549303</v>
      </c>
      <c r="W30" s="133">
        <f>IF(SER_hh_fec!W30=0,0,11630*1000*SER_hh_fec!W30/SER_hh_num!W30)</f>
        <v>14847.428281126697</v>
      </c>
      <c r="DA30" s="157" t="s">
        <v>409</v>
      </c>
    </row>
    <row r="31" spans="1:105" ht="12" customHeight="1" x14ac:dyDescent="0.25">
      <c r="A31" s="132" t="s">
        <v>153</v>
      </c>
      <c r="B31" s="133">
        <f>IF(SER_hh_fec!B31=0,0,11630*1000*SER_hh_fec!B31/SER_hh_num!B31)</f>
        <v>14375.178099094424</v>
      </c>
      <c r="C31" s="133">
        <f>IF(SER_hh_fec!C31=0,0,11630*1000*SER_hh_fec!C31/SER_hh_num!C31)</f>
        <v>14403.352538542738</v>
      </c>
      <c r="D31" s="133">
        <f>IF(SER_hh_fec!D31=0,0,11630*1000*SER_hh_fec!D31/SER_hh_num!D31)</f>
        <v>14525.78677486101</v>
      </c>
      <c r="E31" s="133">
        <f>IF(SER_hh_fec!E31=0,0,11630*1000*SER_hh_fec!E31/SER_hh_num!E31)</f>
        <v>14715.054810632992</v>
      </c>
      <c r="F31" s="133">
        <f>IF(SER_hh_fec!F31=0,0,11630*1000*SER_hh_fec!F31/SER_hh_num!F31)</f>
        <v>14535.089306068276</v>
      </c>
      <c r="G31" s="133">
        <f>IF(SER_hh_fec!G31=0,0,11630*1000*SER_hh_fec!G31/SER_hh_num!G31)</f>
        <v>15212.641717745148</v>
      </c>
      <c r="H31" s="133">
        <f>IF(SER_hh_fec!H31=0,0,11630*1000*SER_hh_fec!H31/SER_hh_num!H31)</f>
        <v>15156.697628174505</v>
      </c>
      <c r="I31" s="133">
        <f>IF(SER_hh_fec!I31=0,0,11630*1000*SER_hh_fec!I31/SER_hh_num!I31)</f>
        <v>14939.702562279934</v>
      </c>
      <c r="J31" s="133">
        <f>IF(SER_hh_fec!J31=0,0,11630*1000*SER_hh_fec!J31/SER_hh_num!J31)</f>
        <v>14889.403283178364</v>
      </c>
      <c r="K31" s="133">
        <f>IF(SER_hh_fec!K31=0,0,11630*1000*SER_hh_fec!K31/SER_hh_num!K31)</f>
        <v>15060.774413761454</v>
      </c>
      <c r="L31" s="133">
        <f>IF(SER_hh_fec!L31=0,0,11630*1000*SER_hh_fec!L31/SER_hh_num!L31)</f>
        <v>15113.765401940365</v>
      </c>
      <c r="M31" s="133">
        <f>IF(SER_hh_fec!M31=0,0,11630*1000*SER_hh_fec!M31/SER_hh_num!M31)</f>
        <v>15088.106096387835</v>
      </c>
      <c r="N31" s="133">
        <f>IF(SER_hh_fec!N31=0,0,11630*1000*SER_hh_fec!N31/SER_hh_num!N31)</f>
        <v>15305.300049321708</v>
      </c>
      <c r="O31" s="133">
        <f>IF(SER_hh_fec!O31=0,0,11630*1000*SER_hh_fec!O31/SER_hh_num!O31)</f>
        <v>15274.135676026275</v>
      </c>
      <c r="P31" s="133">
        <f>IF(SER_hh_fec!P31=0,0,11630*1000*SER_hh_fec!P31/SER_hh_num!P31)</f>
        <v>14667.141363481882</v>
      </c>
      <c r="Q31" s="133">
        <f>IF(SER_hh_fec!Q31=0,0,11630*1000*SER_hh_fec!Q31/SER_hh_num!Q31)</f>
        <v>16261.379577932426</v>
      </c>
      <c r="R31" s="133">
        <f>IF(SER_hh_fec!R31=0,0,11630*1000*SER_hh_fec!R31/SER_hh_num!R31)</f>
        <v>16019.026414365015</v>
      </c>
      <c r="S31" s="133">
        <f>IF(SER_hh_fec!S31=0,0,11630*1000*SER_hh_fec!S31/SER_hh_num!S31)</f>
        <v>14675.928459348255</v>
      </c>
      <c r="T31" s="133">
        <f>IF(SER_hh_fec!T31=0,0,11630*1000*SER_hh_fec!T31/SER_hh_num!T31)</f>
        <v>15829.339338168011</v>
      </c>
      <c r="U31" s="133">
        <f>IF(SER_hh_fec!U31=0,0,11630*1000*SER_hh_fec!U31/SER_hh_num!U31)</f>
        <v>17317.940773877297</v>
      </c>
      <c r="V31" s="133">
        <f>IF(SER_hh_fec!V31=0,0,11630*1000*SER_hh_fec!V31/SER_hh_num!V31)</f>
        <v>10553.932051861786</v>
      </c>
      <c r="W31" s="133">
        <f>IF(SER_hh_fec!W31=0,0,11630*1000*SER_hh_fec!W31/SER_hh_num!W31)</f>
        <v>16397.158735583867</v>
      </c>
      <c r="DA31" s="157" t="s">
        <v>410</v>
      </c>
    </row>
    <row r="32" spans="1:105" ht="12" customHeight="1" x14ac:dyDescent="0.25">
      <c r="A32" s="132" t="s">
        <v>128</v>
      </c>
      <c r="B32" s="133">
        <f>IF(SER_hh_fec!B32=0,0,11630*1000*SER_hh_fec!B32/SER_hh_num!B32)</f>
        <v>0</v>
      </c>
      <c r="C32" s="133">
        <f>IF(SER_hh_fec!C32=0,0,11630*1000*SER_hh_fec!C32/SER_hh_num!C32)</f>
        <v>0</v>
      </c>
      <c r="D32" s="133">
        <f>IF(SER_hh_fec!D32=0,0,11630*1000*SER_hh_fec!D32/SER_hh_num!D32)</f>
        <v>0</v>
      </c>
      <c r="E32" s="133">
        <f>IF(SER_hh_fec!E32=0,0,11630*1000*SER_hh_fec!E32/SER_hh_num!E32)</f>
        <v>0</v>
      </c>
      <c r="F32" s="133">
        <f>IF(SER_hh_fec!F32=0,0,11630*1000*SER_hh_fec!F32/SER_hh_num!F32)</f>
        <v>0</v>
      </c>
      <c r="G32" s="133">
        <f>IF(SER_hh_fec!G32=0,0,11630*1000*SER_hh_fec!G32/SER_hh_num!G32)</f>
        <v>0</v>
      </c>
      <c r="H32" s="133">
        <f>IF(SER_hh_fec!H32=0,0,11630*1000*SER_hh_fec!H32/SER_hh_num!H32)</f>
        <v>0</v>
      </c>
      <c r="I32" s="133">
        <f>IF(SER_hh_fec!I32=0,0,11630*1000*SER_hh_fec!I32/SER_hh_num!I32)</f>
        <v>0</v>
      </c>
      <c r="J32" s="133">
        <f>IF(SER_hh_fec!J32=0,0,11630*1000*SER_hh_fec!J32/SER_hh_num!J32)</f>
        <v>0</v>
      </c>
      <c r="K32" s="133">
        <f>IF(SER_hh_fec!K32=0,0,11630*1000*SER_hh_fec!K32/SER_hh_num!K32)</f>
        <v>0</v>
      </c>
      <c r="L32" s="133">
        <f>IF(SER_hh_fec!L32=0,0,11630*1000*SER_hh_fec!L32/SER_hh_num!L32)</f>
        <v>0</v>
      </c>
      <c r="M32" s="133">
        <f>IF(SER_hh_fec!M32=0,0,11630*1000*SER_hh_fec!M32/SER_hh_num!M32)</f>
        <v>0</v>
      </c>
      <c r="N32" s="133">
        <f>IF(SER_hh_fec!N32=0,0,11630*1000*SER_hh_fec!N32/SER_hh_num!N32)</f>
        <v>0</v>
      </c>
      <c r="O32" s="133">
        <f>IF(SER_hh_fec!O32=0,0,11630*1000*SER_hh_fec!O32/SER_hh_num!O32)</f>
        <v>0</v>
      </c>
      <c r="P32" s="133">
        <f>IF(SER_hh_fec!P32=0,0,11630*1000*SER_hh_fec!P32/SER_hh_num!P32)</f>
        <v>0</v>
      </c>
      <c r="Q32" s="133">
        <f>IF(SER_hh_fec!Q32=0,0,11630*1000*SER_hh_fec!Q32/SER_hh_num!Q32)</f>
        <v>0</v>
      </c>
      <c r="R32" s="133">
        <f>IF(SER_hh_fec!R32=0,0,11630*1000*SER_hh_fec!R32/SER_hh_num!R32)</f>
        <v>0</v>
      </c>
      <c r="S32" s="133">
        <f>IF(SER_hh_fec!S32=0,0,11630*1000*SER_hh_fec!S32/SER_hh_num!S32)</f>
        <v>0</v>
      </c>
      <c r="T32" s="133">
        <f>IF(SER_hh_fec!T32=0,0,11630*1000*SER_hh_fec!T32/SER_hh_num!T32)</f>
        <v>0</v>
      </c>
      <c r="U32" s="133">
        <f>IF(SER_hh_fec!U32=0,0,11630*1000*SER_hh_fec!U32/SER_hh_num!U32)</f>
        <v>0</v>
      </c>
      <c r="V32" s="133">
        <f>IF(SER_hh_fec!V32=0,0,11630*1000*SER_hh_fec!V32/SER_hh_num!V32)</f>
        <v>0</v>
      </c>
      <c r="W32" s="133">
        <f>IF(SER_hh_fec!W32=0,0,11630*1000*SER_hh_fec!W32/SER_hh_num!W32)</f>
        <v>0</v>
      </c>
      <c r="DA32" s="157" t="s">
        <v>411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11041.388579406344</v>
      </c>
      <c r="C33" s="68">
        <f>IF(SER_hh_fec!C33=0,0,11630*1000*SER_hh_fec!C33/SER_hh_num!C33)</f>
        <v>11069.381345287224</v>
      </c>
      <c r="D33" s="68">
        <f>IF(SER_hh_fec!D33=0,0,11630*1000*SER_hh_fec!D33/SER_hh_num!D33)</f>
        <v>11128.915092854921</v>
      </c>
      <c r="E33" s="68">
        <f>IF(SER_hh_fec!E33=0,0,11630*1000*SER_hh_fec!E33/SER_hh_num!E33)</f>
        <v>11359.232784640342</v>
      </c>
      <c r="F33" s="68">
        <f>IF(SER_hh_fec!F33=0,0,11630*1000*SER_hh_fec!F33/SER_hh_num!F33)</f>
        <v>11508.391699011903</v>
      </c>
      <c r="G33" s="68">
        <f>IF(SER_hh_fec!G33=0,0,11630*1000*SER_hh_fec!G33/SER_hh_num!G33)</f>
        <v>11283.82582016034</v>
      </c>
      <c r="H33" s="68">
        <f>IF(SER_hh_fec!H33=0,0,11630*1000*SER_hh_fec!H33/SER_hh_num!H33)</f>
        <v>11481.987566123375</v>
      </c>
      <c r="I33" s="68">
        <f>IF(SER_hh_fec!I33=0,0,11630*1000*SER_hh_fec!I33/SER_hh_num!I33)</f>
        <v>11330.758389263092</v>
      </c>
      <c r="J33" s="68">
        <f>IF(SER_hh_fec!J33=0,0,11630*1000*SER_hh_fec!J33/SER_hh_num!J33)</f>
        <v>11429.089843192774</v>
      </c>
      <c r="K33" s="68">
        <f>IF(SER_hh_fec!K33=0,0,11630*1000*SER_hh_fec!K33/SER_hh_num!K33)</f>
        <v>11362.073222987148</v>
      </c>
      <c r="L33" s="68">
        <f>IF(SER_hh_fec!L33=0,0,11630*1000*SER_hh_fec!L33/SER_hh_num!L33)</f>
        <v>11172.270283401993</v>
      </c>
      <c r="M33" s="68">
        <f>IF(SER_hh_fec!M33=0,0,11630*1000*SER_hh_fec!M33/SER_hh_num!M33)</f>
        <v>11445.318127970782</v>
      </c>
      <c r="N33" s="68">
        <f>IF(SER_hh_fec!N33=0,0,11630*1000*SER_hh_fec!N33/SER_hh_num!N33)</f>
        <v>11718.580059969197</v>
      </c>
      <c r="O33" s="68">
        <f>IF(SER_hh_fec!O33=0,0,11630*1000*SER_hh_fec!O33/SER_hh_num!O33)</f>
        <v>11678.714540733879</v>
      </c>
      <c r="P33" s="68">
        <f>IF(SER_hh_fec!P33=0,0,11630*1000*SER_hh_fec!P33/SER_hh_num!P33)</f>
        <v>11942.282942565687</v>
      </c>
      <c r="Q33" s="68">
        <f>IF(SER_hh_fec!Q33=0,0,11630*1000*SER_hh_fec!Q33/SER_hh_num!Q33)</f>
        <v>11468.262464990687</v>
      </c>
      <c r="R33" s="68">
        <f>IF(SER_hh_fec!R33=0,0,11630*1000*SER_hh_fec!R33/SER_hh_num!R33)</f>
        <v>11713.121082828167</v>
      </c>
      <c r="S33" s="68">
        <f>IF(SER_hh_fec!S33=0,0,11630*1000*SER_hh_fec!S33/SER_hh_num!S33)</f>
        <v>11895.710849962383</v>
      </c>
      <c r="T33" s="68">
        <f>IF(SER_hh_fec!T33=0,0,11630*1000*SER_hh_fec!T33/SER_hh_num!T33)</f>
        <v>11473.309563556477</v>
      </c>
      <c r="U33" s="68">
        <f>IF(SER_hh_fec!U33=0,0,11630*1000*SER_hh_fec!U33/SER_hh_num!U33)</f>
        <v>11092.257660028148</v>
      </c>
      <c r="V33" s="68">
        <f>IF(SER_hh_fec!V33=0,0,11630*1000*SER_hh_fec!V33/SER_hh_num!V33)</f>
        <v>10708.019933585088</v>
      </c>
      <c r="W33" s="68">
        <f>IF(SER_hh_fec!W33=0,0,11630*1000*SER_hh_fec!W33/SER_hh_num!W33)</f>
        <v>10247.441535045256</v>
      </c>
      <c r="DA33" s="111" t="s">
        <v>412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>
        <f>IF(SER_hh_tes!B3=0,0,11630*1000*SER_hh_tes!B3/SER_hh_num!B3)</f>
        <v>97615.112007247866</v>
      </c>
      <c r="C3" s="126">
        <f>IF(SER_hh_tes!C3=0,0,11630*1000*SER_hh_tes!C3/SER_hh_num!C3)</f>
        <v>100197.34626268224</v>
      </c>
      <c r="D3" s="126">
        <f>IF(SER_hh_tes!D3=0,0,11630*1000*SER_hh_tes!D3/SER_hh_num!D3)</f>
        <v>98811.324445637569</v>
      </c>
      <c r="E3" s="126">
        <f>IF(SER_hh_tes!E3=0,0,11630*1000*SER_hh_tes!E3/SER_hh_num!E3)</f>
        <v>99812.334004982142</v>
      </c>
      <c r="F3" s="126">
        <f>IF(SER_hh_tes!F3=0,0,11630*1000*SER_hh_tes!F3/SER_hh_num!F3)</f>
        <v>98629.946385213116</v>
      </c>
      <c r="G3" s="126">
        <f>IF(SER_hh_tes!G3=0,0,11630*1000*SER_hh_tes!G3/SER_hh_num!G3)</f>
        <v>96614.768180309111</v>
      </c>
      <c r="H3" s="126">
        <f>IF(SER_hh_tes!H3=0,0,11630*1000*SER_hh_tes!H3/SER_hh_num!H3)</f>
        <v>96906.469049456646</v>
      </c>
      <c r="I3" s="126">
        <f>IF(SER_hh_tes!I3=0,0,11630*1000*SER_hh_tes!I3/SER_hh_num!I3)</f>
        <v>93698.53285414241</v>
      </c>
      <c r="J3" s="126">
        <f>IF(SER_hh_tes!J3=0,0,11630*1000*SER_hh_tes!J3/SER_hh_num!J3)</f>
        <v>93530.502605244823</v>
      </c>
      <c r="K3" s="126">
        <f>IF(SER_hh_tes!K3=0,0,11630*1000*SER_hh_tes!K3/SER_hh_num!K3)</f>
        <v>91079.723966492355</v>
      </c>
      <c r="L3" s="126">
        <f>IF(SER_hh_tes!L3=0,0,11630*1000*SER_hh_tes!L3/SER_hh_num!L3)</f>
        <v>98010.108529772435</v>
      </c>
      <c r="M3" s="126">
        <f>IF(SER_hh_tes!M3=0,0,11630*1000*SER_hh_tes!M3/SER_hh_num!M3)</f>
        <v>87388.056598369149</v>
      </c>
      <c r="N3" s="126">
        <f>IF(SER_hh_tes!N3=0,0,11630*1000*SER_hh_tes!N3/SER_hh_num!N3)</f>
        <v>89353.099352541918</v>
      </c>
      <c r="O3" s="126">
        <f>IF(SER_hh_tes!O3=0,0,11630*1000*SER_hh_tes!O3/SER_hh_num!O3)</f>
        <v>88491.367691628693</v>
      </c>
      <c r="P3" s="126">
        <f>IF(SER_hh_tes!P3=0,0,11630*1000*SER_hh_tes!P3/SER_hh_num!P3)</f>
        <v>81061.162246212552</v>
      </c>
      <c r="Q3" s="126">
        <f>IF(SER_hh_tes!Q3=0,0,11630*1000*SER_hh_tes!Q3/SER_hh_num!Q3)</f>
        <v>85200.613476363083</v>
      </c>
      <c r="R3" s="126">
        <f>IF(SER_hh_tes!R3=0,0,11630*1000*SER_hh_tes!R3/SER_hh_num!R3)</f>
        <v>88126.765028211856</v>
      </c>
      <c r="S3" s="126">
        <f>IF(SER_hh_tes!S3=0,0,11630*1000*SER_hh_tes!S3/SER_hh_num!S3)</f>
        <v>89661.658549121028</v>
      </c>
      <c r="T3" s="126">
        <f>IF(SER_hh_tes!T3=0,0,11630*1000*SER_hh_tes!T3/SER_hh_num!T3)</f>
        <v>86970.939430966828</v>
      </c>
      <c r="U3" s="126">
        <f>IF(SER_hh_tes!U3=0,0,11630*1000*SER_hh_tes!U3/SER_hh_num!U3)</f>
        <v>84146.554900805873</v>
      </c>
      <c r="V3" s="126">
        <f>IF(SER_hh_tes!V3=0,0,11630*1000*SER_hh_tes!V3/SER_hh_num!V3)</f>
        <v>80498.373797072141</v>
      </c>
      <c r="W3" s="126">
        <f>IF(SER_hh_tes!W3=0,0,11630*1000*SER_hh_tes!W3/SER_hh_num!W3)</f>
        <v>93517.487705546519</v>
      </c>
      <c r="DA3" s="155" t="s">
        <v>414</v>
      </c>
    </row>
    <row r="4" spans="1:105" ht="12.95" customHeight="1" x14ac:dyDescent="0.25">
      <c r="A4" s="130" t="s">
        <v>32</v>
      </c>
      <c r="B4" s="131">
        <f>IF(SER_hh_tes!B4=0,0,11630*1000*SER_hh_tes!B4/SER_hh_num!B4)</f>
        <v>75626.186277796834</v>
      </c>
      <c r="C4" s="131">
        <f>IF(SER_hh_tes!C4=0,0,11630*1000*SER_hh_tes!C4/SER_hh_num!C4)</f>
        <v>78186.363012455578</v>
      </c>
      <c r="D4" s="131">
        <f>IF(SER_hh_tes!D4=0,0,11630*1000*SER_hh_tes!D4/SER_hh_num!D4)</f>
        <v>76654.52984379539</v>
      </c>
      <c r="E4" s="131">
        <f>IF(SER_hh_tes!E4=0,0,11630*1000*SER_hh_tes!E4/SER_hh_num!E4)</f>
        <v>77488.544689533781</v>
      </c>
      <c r="F4" s="131">
        <f>IF(SER_hh_tes!F4=0,0,11630*1000*SER_hh_tes!F4/SER_hh_num!F4)</f>
        <v>76139.128305085629</v>
      </c>
      <c r="G4" s="131">
        <f>IF(SER_hh_tes!G4=0,0,11630*1000*SER_hh_tes!G4/SER_hh_num!G4)</f>
        <v>73998.627246675256</v>
      </c>
      <c r="H4" s="131">
        <f>IF(SER_hh_tes!H4=0,0,11630*1000*SER_hh_tes!H4/SER_hh_num!H4)</f>
        <v>73947.971711023987</v>
      </c>
      <c r="I4" s="131">
        <f>IF(SER_hh_tes!I4=0,0,11630*1000*SER_hh_tes!I4/SER_hh_num!I4)</f>
        <v>70598.802616317218</v>
      </c>
      <c r="J4" s="131">
        <f>IF(SER_hh_tes!J4=0,0,11630*1000*SER_hh_tes!J4/SER_hh_num!J4)</f>
        <v>70119.198716583691</v>
      </c>
      <c r="K4" s="131">
        <f>IF(SER_hh_tes!K4=0,0,11630*1000*SER_hh_tes!K4/SER_hh_num!K4)</f>
        <v>67527.361662963769</v>
      </c>
      <c r="L4" s="131">
        <f>IF(SER_hh_tes!L4=0,0,11630*1000*SER_hh_tes!L4/SER_hh_num!L4)</f>
        <v>74362.431713090322</v>
      </c>
      <c r="M4" s="131">
        <f>IF(SER_hh_tes!M4=0,0,11630*1000*SER_hh_tes!M4/SER_hh_num!M4)</f>
        <v>63389.27098556421</v>
      </c>
      <c r="N4" s="131">
        <f>IF(SER_hh_tes!N4=0,0,11630*1000*SER_hh_tes!N4/SER_hh_num!N4)</f>
        <v>64848.330712322706</v>
      </c>
      <c r="O4" s="131">
        <f>IF(SER_hh_tes!O4=0,0,11630*1000*SER_hh_tes!O4/SER_hh_num!O4)</f>
        <v>63640.928357828227</v>
      </c>
      <c r="P4" s="131">
        <f>IF(SER_hh_tes!P4=0,0,11630*1000*SER_hh_tes!P4/SER_hh_num!P4)</f>
        <v>55835.432013870937</v>
      </c>
      <c r="Q4" s="131">
        <f>IF(SER_hh_tes!Q4=0,0,11630*1000*SER_hh_tes!Q4/SER_hh_num!Q4)</f>
        <v>59691.196063860596</v>
      </c>
      <c r="R4" s="131">
        <f>IF(SER_hh_tes!R4=0,0,11630*1000*SER_hh_tes!R4/SER_hh_num!R4)</f>
        <v>62254.98045237903</v>
      </c>
      <c r="S4" s="131">
        <f>IF(SER_hh_tes!S4=0,0,11630*1000*SER_hh_tes!S4/SER_hh_num!S4)</f>
        <v>63537.108732142777</v>
      </c>
      <c r="T4" s="131">
        <f>IF(SER_hh_tes!T4=0,0,11630*1000*SER_hh_tes!T4/SER_hh_num!T4)</f>
        <v>60488.246158623333</v>
      </c>
      <c r="U4" s="131">
        <f>IF(SER_hh_tes!U4=0,0,11630*1000*SER_hh_tes!U4/SER_hh_num!U4)</f>
        <v>57847.118874412474</v>
      </c>
      <c r="V4" s="131">
        <f>IF(SER_hh_tes!V4=0,0,11630*1000*SER_hh_tes!V4/SER_hh_num!V4)</f>
        <v>56517.560858244869</v>
      </c>
      <c r="W4" s="131">
        <f>IF(SER_hh_tes!W4=0,0,11630*1000*SER_hh_tes!W4/SER_hh_num!W4)</f>
        <v>68074.905058835531</v>
      </c>
      <c r="DA4" s="156" t="s">
        <v>415</v>
      </c>
    </row>
    <row r="5" spans="1:105" ht="12" customHeight="1" x14ac:dyDescent="0.25">
      <c r="A5" s="132" t="s">
        <v>29</v>
      </c>
      <c r="B5" s="133">
        <f>IF(SER_hh_tes!B5=0,0,11630*1000*SER_hh_tes!B5/SER_hh_num!B5)</f>
        <v>0</v>
      </c>
      <c r="C5" s="133">
        <f>IF(SER_hh_tes!C5=0,0,11630*1000*SER_hh_tes!C5/SER_hh_num!C5)</f>
        <v>0</v>
      </c>
      <c r="D5" s="133">
        <f>IF(SER_hh_tes!D5=0,0,11630*1000*SER_hh_tes!D5/SER_hh_num!D5)</f>
        <v>0</v>
      </c>
      <c r="E5" s="133">
        <f>IF(SER_hh_tes!E5=0,0,11630*1000*SER_hh_tes!E5/SER_hh_num!E5)</f>
        <v>0</v>
      </c>
      <c r="F5" s="133">
        <f>IF(SER_hh_tes!F5=0,0,11630*1000*SER_hh_tes!F5/SER_hh_num!F5)</f>
        <v>0</v>
      </c>
      <c r="G5" s="133">
        <f>IF(SER_hh_tes!G5=0,0,11630*1000*SER_hh_tes!G5/SER_hh_num!G5)</f>
        <v>0</v>
      </c>
      <c r="H5" s="133">
        <f>IF(SER_hh_tes!H5=0,0,11630*1000*SER_hh_tes!H5/SER_hh_num!H5)</f>
        <v>0</v>
      </c>
      <c r="I5" s="133">
        <f>IF(SER_hh_tes!I5=0,0,11630*1000*SER_hh_tes!I5/SER_hh_num!I5)</f>
        <v>0</v>
      </c>
      <c r="J5" s="133">
        <f>IF(SER_hh_tes!J5=0,0,11630*1000*SER_hh_tes!J5/SER_hh_num!J5)</f>
        <v>0</v>
      </c>
      <c r="K5" s="133">
        <f>IF(SER_hh_tes!K5=0,0,11630*1000*SER_hh_tes!K5/SER_hh_num!K5)</f>
        <v>0</v>
      </c>
      <c r="L5" s="133">
        <f>IF(SER_hh_tes!L5=0,0,11630*1000*SER_hh_tes!L5/SER_hh_num!L5)</f>
        <v>0</v>
      </c>
      <c r="M5" s="133">
        <f>IF(SER_hh_tes!M5=0,0,11630*1000*SER_hh_tes!M5/SER_hh_num!M5)</f>
        <v>0</v>
      </c>
      <c r="N5" s="133">
        <f>IF(SER_hh_tes!N5=0,0,11630*1000*SER_hh_tes!N5/SER_hh_num!N5)</f>
        <v>0</v>
      </c>
      <c r="O5" s="133">
        <f>IF(SER_hh_tes!O5=0,0,11630*1000*SER_hh_tes!O5/SER_hh_num!O5)</f>
        <v>0</v>
      </c>
      <c r="P5" s="133">
        <f>IF(SER_hh_tes!P5=0,0,11630*1000*SER_hh_tes!P5/SER_hh_num!P5)</f>
        <v>0</v>
      </c>
      <c r="Q5" s="133">
        <f>IF(SER_hh_tes!Q5=0,0,11630*1000*SER_hh_tes!Q5/SER_hh_num!Q5)</f>
        <v>0</v>
      </c>
      <c r="R5" s="133">
        <f>IF(SER_hh_tes!R5=0,0,11630*1000*SER_hh_tes!R5/SER_hh_num!R5)</f>
        <v>0</v>
      </c>
      <c r="S5" s="133">
        <f>IF(SER_hh_tes!S5=0,0,11630*1000*SER_hh_tes!S5/SER_hh_num!S5)</f>
        <v>0</v>
      </c>
      <c r="T5" s="133">
        <f>IF(SER_hh_tes!T5=0,0,11630*1000*SER_hh_tes!T5/SER_hh_num!T5)</f>
        <v>0</v>
      </c>
      <c r="U5" s="133">
        <f>IF(SER_hh_tes!U5=0,0,11630*1000*SER_hh_tes!U5/SER_hh_num!U5)</f>
        <v>0</v>
      </c>
      <c r="V5" s="133">
        <f>IF(SER_hh_tes!V5=0,0,11630*1000*SER_hh_tes!V5/SER_hh_num!V5)</f>
        <v>0</v>
      </c>
      <c r="W5" s="133">
        <f>IF(SER_hh_tes!W5=0,0,11630*1000*SER_hh_tes!W5/SER_hh_num!W5)</f>
        <v>0</v>
      </c>
      <c r="DA5" s="157" t="s">
        <v>416</v>
      </c>
    </row>
    <row r="6" spans="1:105" ht="12" customHeight="1" x14ac:dyDescent="0.25">
      <c r="A6" s="132" t="s">
        <v>52</v>
      </c>
      <c r="B6" s="133">
        <f>IF(SER_hh_tes!B6=0,0,11630*1000*SER_hh_tes!B6/SER_hh_num!B6)</f>
        <v>0</v>
      </c>
      <c r="C6" s="133">
        <f>IF(SER_hh_tes!C6=0,0,11630*1000*SER_hh_tes!C6/SER_hh_num!C6)</f>
        <v>0</v>
      </c>
      <c r="D6" s="133">
        <f>IF(SER_hh_tes!D6=0,0,11630*1000*SER_hh_tes!D6/SER_hh_num!D6)</f>
        <v>0</v>
      </c>
      <c r="E6" s="133">
        <f>IF(SER_hh_tes!E6=0,0,11630*1000*SER_hh_tes!E6/SER_hh_num!E6)</f>
        <v>0</v>
      </c>
      <c r="F6" s="133">
        <f>IF(SER_hh_tes!F6=0,0,11630*1000*SER_hh_tes!F6/SER_hh_num!F6)</f>
        <v>0</v>
      </c>
      <c r="G6" s="133">
        <f>IF(SER_hh_tes!G6=0,0,11630*1000*SER_hh_tes!G6/SER_hh_num!G6)</f>
        <v>0</v>
      </c>
      <c r="H6" s="133">
        <f>IF(SER_hh_tes!H6=0,0,11630*1000*SER_hh_tes!H6/SER_hh_num!H6)</f>
        <v>0</v>
      </c>
      <c r="I6" s="133">
        <f>IF(SER_hh_tes!I6=0,0,11630*1000*SER_hh_tes!I6/SER_hh_num!I6)</f>
        <v>0</v>
      </c>
      <c r="J6" s="133">
        <f>IF(SER_hh_tes!J6=0,0,11630*1000*SER_hh_tes!J6/SER_hh_num!J6)</f>
        <v>0</v>
      </c>
      <c r="K6" s="133">
        <f>IF(SER_hh_tes!K6=0,0,11630*1000*SER_hh_tes!K6/SER_hh_num!K6)</f>
        <v>0</v>
      </c>
      <c r="L6" s="133">
        <f>IF(SER_hh_tes!L6=0,0,11630*1000*SER_hh_tes!L6/SER_hh_num!L6)</f>
        <v>0</v>
      </c>
      <c r="M6" s="133">
        <f>IF(SER_hh_tes!M6=0,0,11630*1000*SER_hh_tes!M6/SER_hh_num!M6)</f>
        <v>0</v>
      </c>
      <c r="N6" s="133">
        <f>IF(SER_hh_tes!N6=0,0,11630*1000*SER_hh_tes!N6/SER_hh_num!N6)</f>
        <v>0</v>
      </c>
      <c r="O6" s="133">
        <f>IF(SER_hh_tes!O6=0,0,11630*1000*SER_hh_tes!O6/SER_hh_num!O6)</f>
        <v>0</v>
      </c>
      <c r="P6" s="133">
        <f>IF(SER_hh_tes!P6=0,0,11630*1000*SER_hh_tes!P6/SER_hh_num!P6)</f>
        <v>0</v>
      </c>
      <c r="Q6" s="133">
        <f>IF(SER_hh_tes!Q6=0,0,11630*1000*SER_hh_tes!Q6/SER_hh_num!Q6)</f>
        <v>0</v>
      </c>
      <c r="R6" s="133">
        <f>IF(SER_hh_tes!R6=0,0,11630*1000*SER_hh_tes!R6/SER_hh_num!R6)</f>
        <v>0</v>
      </c>
      <c r="S6" s="133">
        <f>IF(SER_hh_tes!S6=0,0,11630*1000*SER_hh_tes!S6/SER_hh_num!S6)</f>
        <v>0</v>
      </c>
      <c r="T6" s="133">
        <f>IF(SER_hh_tes!T6=0,0,11630*1000*SER_hh_tes!T6/SER_hh_num!T6)</f>
        <v>0</v>
      </c>
      <c r="U6" s="133">
        <f>IF(SER_hh_tes!U6=0,0,11630*1000*SER_hh_tes!U6/SER_hh_num!U6)</f>
        <v>0</v>
      </c>
      <c r="V6" s="133">
        <f>IF(SER_hh_tes!V6=0,0,11630*1000*SER_hh_tes!V6/SER_hh_num!V6)</f>
        <v>0</v>
      </c>
      <c r="W6" s="133">
        <f>IF(SER_hh_tes!W6=0,0,11630*1000*SER_hh_tes!W6/SER_hh_num!W6)</f>
        <v>0</v>
      </c>
      <c r="DA6" s="157" t="s">
        <v>417</v>
      </c>
    </row>
    <row r="7" spans="1:105" ht="12" customHeight="1" x14ac:dyDescent="0.25">
      <c r="A7" s="132" t="s">
        <v>168</v>
      </c>
      <c r="B7" s="133">
        <f>IF(SER_hh_tes!B7=0,0,11630*1000*SER_hh_tes!B7/SER_hh_num!B7)</f>
        <v>76936.84381525249</v>
      </c>
      <c r="C7" s="133">
        <f>IF(SER_hh_tes!C7=0,0,11630*1000*SER_hh_tes!C7/SER_hh_num!C7)</f>
        <v>75357.58692243346</v>
      </c>
      <c r="D7" s="133">
        <f>IF(SER_hh_tes!D7=0,0,11630*1000*SER_hh_tes!D7/SER_hh_num!D7)</f>
        <v>72752.304192182099</v>
      </c>
      <c r="E7" s="133">
        <f>IF(SER_hh_tes!E7=0,0,11630*1000*SER_hh_tes!E7/SER_hh_num!E7)</f>
        <v>74859.279530096028</v>
      </c>
      <c r="F7" s="133">
        <f>IF(SER_hh_tes!F7=0,0,11630*1000*SER_hh_tes!F7/SER_hh_num!F7)</f>
        <v>79717.281282209908</v>
      </c>
      <c r="G7" s="133">
        <f>IF(SER_hh_tes!G7=0,0,11630*1000*SER_hh_tes!G7/SER_hh_num!G7)</f>
        <v>74957.359755893485</v>
      </c>
      <c r="H7" s="133">
        <f>IF(SER_hh_tes!H7=0,0,11630*1000*SER_hh_tes!H7/SER_hh_num!H7)</f>
        <v>68824.273777842085</v>
      </c>
      <c r="I7" s="133">
        <f>IF(SER_hh_tes!I7=0,0,11630*1000*SER_hh_tes!I7/SER_hh_num!I7)</f>
        <v>65688.039249664362</v>
      </c>
      <c r="J7" s="133">
        <f>IF(SER_hh_tes!J7=0,0,11630*1000*SER_hh_tes!J7/SER_hh_num!J7)</f>
        <v>70435.20732515867</v>
      </c>
      <c r="K7" s="133">
        <f>IF(SER_hh_tes!K7=0,0,11630*1000*SER_hh_tes!K7/SER_hh_num!K7)</f>
        <v>68731.123318136553</v>
      </c>
      <c r="L7" s="133">
        <f>IF(SER_hh_tes!L7=0,0,11630*1000*SER_hh_tes!L7/SER_hh_num!L7)</f>
        <v>70026.077028266183</v>
      </c>
      <c r="M7" s="133">
        <f>IF(SER_hh_tes!M7=0,0,11630*1000*SER_hh_tes!M7/SER_hh_num!M7)</f>
        <v>56391.484693454411</v>
      </c>
      <c r="N7" s="133">
        <f>IF(SER_hh_tes!N7=0,0,11630*1000*SER_hh_tes!N7/SER_hh_num!N7)</f>
        <v>68056.318242530615</v>
      </c>
      <c r="O7" s="133">
        <f>IF(SER_hh_tes!O7=0,0,11630*1000*SER_hh_tes!O7/SER_hh_num!O7)</f>
        <v>62920.62852690219</v>
      </c>
      <c r="P7" s="133">
        <f>IF(SER_hh_tes!P7=0,0,11630*1000*SER_hh_tes!P7/SER_hh_num!P7)</f>
        <v>56006.030219849206</v>
      </c>
      <c r="Q7" s="133">
        <f>IF(SER_hh_tes!Q7=0,0,11630*1000*SER_hh_tes!Q7/SER_hh_num!Q7)</f>
        <v>59576.438788649844</v>
      </c>
      <c r="R7" s="133">
        <f>IF(SER_hh_tes!R7=0,0,11630*1000*SER_hh_tes!R7/SER_hh_num!R7)</f>
        <v>61569.469976836786</v>
      </c>
      <c r="S7" s="133">
        <f>IF(SER_hh_tes!S7=0,0,11630*1000*SER_hh_tes!S7/SER_hh_num!S7)</f>
        <v>60521.135066103125</v>
      </c>
      <c r="T7" s="133">
        <f>IF(SER_hh_tes!T7=0,0,11630*1000*SER_hh_tes!T7/SER_hh_num!T7)</f>
        <v>71823.745727304195</v>
      </c>
      <c r="U7" s="133">
        <f>IF(SER_hh_tes!U7=0,0,11630*1000*SER_hh_tes!U7/SER_hh_num!U7)</f>
        <v>44399.702471844423</v>
      </c>
      <c r="V7" s="133">
        <f>IF(SER_hh_tes!V7=0,0,11630*1000*SER_hh_tes!V7/SER_hh_num!V7)</f>
        <v>64595.539691221893</v>
      </c>
      <c r="W7" s="133">
        <f>IF(SER_hh_tes!W7=0,0,11630*1000*SER_hh_tes!W7/SER_hh_num!W7)</f>
        <v>55953.396984469262</v>
      </c>
      <c r="DA7" s="157" t="s">
        <v>418</v>
      </c>
    </row>
    <row r="8" spans="1:105" ht="12" customHeight="1" x14ac:dyDescent="0.25">
      <c r="A8" s="132" t="s">
        <v>73</v>
      </c>
      <c r="B8" s="133">
        <f>IF(SER_hh_tes!B8=0,0,11630*1000*SER_hh_tes!B8/SER_hh_num!B8)</f>
        <v>78070.73265254288</v>
      </c>
      <c r="C8" s="133">
        <f>IF(SER_hh_tes!C8=0,0,11630*1000*SER_hh_tes!C8/SER_hh_num!C8)</f>
        <v>74483.87001284452</v>
      </c>
      <c r="D8" s="133">
        <f>IF(SER_hh_tes!D8=0,0,11630*1000*SER_hh_tes!D8/SER_hh_num!D8)</f>
        <v>71733.637901063514</v>
      </c>
      <c r="E8" s="133">
        <f>IF(SER_hh_tes!E8=0,0,11630*1000*SER_hh_tes!E8/SER_hh_num!E8)</f>
        <v>80385.086249147455</v>
      </c>
      <c r="F8" s="133">
        <f>IF(SER_hh_tes!F8=0,0,11630*1000*SER_hh_tes!F8/SER_hh_num!F8)</f>
        <v>79235.635118677499</v>
      </c>
      <c r="G8" s="133">
        <f>IF(SER_hh_tes!G8=0,0,11630*1000*SER_hh_tes!G8/SER_hh_num!G8)</f>
        <v>66281.136502136404</v>
      </c>
      <c r="H8" s="133">
        <f>IF(SER_hh_tes!H8=0,0,11630*1000*SER_hh_tes!H8/SER_hh_num!H8)</f>
        <v>40101.124540114048</v>
      </c>
      <c r="I8" s="133">
        <f>IF(SER_hh_tes!I8=0,0,11630*1000*SER_hh_tes!I8/SER_hh_num!I8)</f>
        <v>85278.670229061128</v>
      </c>
      <c r="J8" s="133">
        <f>IF(SER_hh_tes!J8=0,0,11630*1000*SER_hh_tes!J8/SER_hh_num!J8)</f>
        <v>72584.208293835021</v>
      </c>
      <c r="K8" s="133">
        <f>IF(SER_hh_tes!K8=0,0,11630*1000*SER_hh_tes!K8/SER_hh_num!K8)</f>
        <v>69154.465925484648</v>
      </c>
      <c r="L8" s="133">
        <f>IF(SER_hh_tes!L8=0,0,11630*1000*SER_hh_tes!L8/SER_hh_num!L8)</f>
        <v>66980.642086506312</v>
      </c>
      <c r="M8" s="133">
        <f>IF(SER_hh_tes!M8=0,0,11630*1000*SER_hh_tes!M8/SER_hh_num!M8)</f>
        <v>63829.199396460666</v>
      </c>
      <c r="N8" s="133">
        <f>IF(SER_hh_tes!N8=0,0,11630*1000*SER_hh_tes!N8/SER_hh_num!N8)</f>
        <v>60792.507313198832</v>
      </c>
      <c r="O8" s="133">
        <f>IF(SER_hh_tes!O8=0,0,11630*1000*SER_hh_tes!O8/SER_hh_num!O8)</f>
        <v>54997.95978194596</v>
      </c>
      <c r="P8" s="133">
        <f>IF(SER_hh_tes!P8=0,0,11630*1000*SER_hh_tes!P8/SER_hh_num!P8)</f>
        <v>58582.380943346267</v>
      </c>
      <c r="Q8" s="133">
        <f>IF(SER_hh_tes!Q8=0,0,11630*1000*SER_hh_tes!Q8/SER_hh_num!Q8)</f>
        <v>62696.938836883302</v>
      </c>
      <c r="R8" s="133">
        <f>IF(SER_hh_tes!R8=0,0,11630*1000*SER_hh_tes!R8/SER_hh_num!R8)</f>
        <v>62383.625496087036</v>
      </c>
      <c r="S8" s="133">
        <f>IF(SER_hh_tes!S8=0,0,11630*1000*SER_hh_tes!S8/SER_hh_num!S8)</f>
        <v>59102.933877849435</v>
      </c>
      <c r="T8" s="133">
        <f>IF(SER_hh_tes!T8=0,0,11630*1000*SER_hh_tes!T8/SER_hh_num!T8)</f>
        <v>58349.562864342326</v>
      </c>
      <c r="U8" s="133">
        <f>IF(SER_hh_tes!U8=0,0,11630*1000*SER_hh_tes!U8/SER_hh_num!U8)</f>
        <v>56113.26323606573</v>
      </c>
      <c r="V8" s="133">
        <f>IF(SER_hh_tes!V8=0,0,11630*1000*SER_hh_tes!V8/SER_hh_num!V8)</f>
        <v>59269.305548240554</v>
      </c>
      <c r="W8" s="133">
        <f>IF(SER_hh_tes!W8=0,0,11630*1000*SER_hh_tes!W8/SER_hh_num!W8)</f>
        <v>68405.966872765173</v>
      </c>
      <c r="DA8" s="157" t="s">
        <v>419</v>
      </c>
    </row>
    <row r="9" spans="1:105" ht="12" customHeight="1" x14ac:dyDescent="0.25">
      <c r="A9" s="132" t="s">
        <v>78</v>
      </c>
      <c r="B9" s="133">
        <f>IF(SER_hh_tes!B9=0,0,11630*1000*SER_hh_tes!B9/SER_hh_num!B9)</f>
        <v>74037.619157663808</v>
      </c>
      <c r="C9" s="133">
        <f>IF(SER_hh_tes!C9=0,0,11630*1000*SER_hh_tes!C9/SER_hh_num!C9)</f>
        <v>74841.214720122851</v>
      </c>
      <c r="D9" s="133">
        <f>IF(SER_hh_tes!D9=0,0,11630*1000*SER_hh_tes!D9/SER_hh_num!D9)</f>
        <v>71870.616626946663</v>
      </c>
      <c r="E9" s="133">
        <f>IF(SER_hh_tes!E9=0,0,11630*1000*SER_hh_tes!E9/SER_hh_num!E9)</f>
        <v>79133.80149234891</v>
      </c>
      <c r="F9" s="133">
        <f>IF(SER_hh_tes!F9=0,0,11630*1000*SER_hh_tes!F9/SER_hh_num!F9)</f>
        <v>73726.278334728922</v>
      </c>
      <c r="G9" s="133">
        <f>IF(SER_hh_tes!G9=0,0,11630*1000*SER_hh_tes!G9/SER_hh_num!G9)</f>
        <v>72181.633050960314</v>
      </c>
      <c r="H9" s="133">
        <f>IF(SER_hh_tes!H9=0,0,11630*1000*SER_hh_tes!H9/SER_hh_num!H9)</f>
        <v>76888.365414314423</v>
      </c>
      <c r="I9" s="133">
        <f>IF(SER_hh_tes!I9=0,0,11630*1000*SER_hh_tes!I9/SER_hh_num!I9)</f>
        <v>68985.647501287123</v>
      </c>
      <c r="J9" s="133">
        <f>IF(SER_hh_tes!J9=0,0,11630*1000*SER_hh_tes!J9/SER_hh_num!J9)</f>
        <v>68435.154321831375</v>
      </c>
      <c r="K9" s="133">
        <f>IF(SER_hh_tes!K9=0,0,11630*1000*SER_hh_tes!K9/SER_hh_num!K9)</f>
        <v>70100.475730456848</v>
      </c>
      <c r="L9" s="133">
        <f>IF(SER_hh_tes!L9=0,0,11630*1000*SER_hh_tes!L9/SER_hh_num!L9)</f>
        <v>72711.985696459102</v>
      </c>
      <c r="M9" s="133">
        <f>IF(SER_hh_tes!M9=0,0,11630*1000*SER_hh_tes!M9/SER_hh_num!M9)</f>
        <v>56329.486899970645</v>
      </c>
      <c r="N9" s="133">
        <f>IF(SER_hh_tes!N9=0,0,11630*1000*SER_hh_tes!N9/SER_hh_num!N9)</f>
        <v>65013.884343060898</v>
      </c>
      <c r="O9" s="133">
        <f>IF(SER_hh_tes!O9=0,0,11630*1000*SER_hh_tes!O9/SER_hh_num!O9)</f>
        <v>68718.661029286144</v>
      </c>
      <c r="P9" s="133">
        <f>IF(SER_hh_tes!P9=0,0,11630*1000*SER_hh_tes!P9/SER_hh_num!P9)</f>
        <v>47021.984314066598</v>
      </c>
      <c r="Q9" s="133">
        <f>IF(SER_hh_tes!Q9=0,0,11630*1000*SER_hh_tes!Q9/SER_hh_num!Q9)</f>
        <v>60488.731514583087</v>
      </c>
      <c r="R9" s="133">
        <f>IF(SER_hh_tes!R9=0,0,11630*1000*SER_hh_tes!R9/SER_hh_num!R9)</f>
        <v>62584.504568395227</v>
      </c>
      <c r="S9" s="133">
        <f>IF(SER_hh_tes!S9=0,0,11630*1000*SER_hh_tes!S9/SER_hh_num!S9)</f>
        <v>67672.082113783399</v>
      </c>
      <c r="T9" s="133">
        <f>IF(SER_hh_tes!T9=0,0,11630*1000*SER_hh_tes!T9/SER_hh_num!T9)</f>
        <v>50514.880049787251</v>
      </c>
      <c r="U9" s="133">
        <f>IF(SER_hh_tes!U9=0,0,11630*1000*SER_hh_tes!U9/SER_hh_num!U9)</f>
        <v>48877.97257708072</v>
      </c>
      <c r="V9" s="133">
        <f>IF(SER_hh_tes!V9=0,0,11630*1000*SER_hh_tes!V9/SER_hh_num!V9)</f>
        <v>49470.244339406549</v>
      </c>
      <c r="W9" s="133">
        <f>IF(SER_hh_tes!W9=0,0,11630*1000*SER_hh_tes!W9/SER_hh_num!W9)</f>
        <v>76648.651613837807</v>
      </c>
      <c r="DA9" s="157" t="s">
        <v>420</v>
      </c>
    </row>
    <row r="10" spans="1:105" ht="12" customHeight="1" x14ac:dyDescent="0.25">
      <c r="A10" s="132" t="s">
        <v>128</v>
      </c>
      <c r="B10" s="133">
        <f>IF(SER_hh_tes!B10=0,0,11630*1000*SER_hh_tes!B10/SER_hh_num!B10)</f>
        <v>79849.618770309797</v>
      </c>
      <c r="C10" s="133">
        <f>IF(SER_hh_tes!C10=0,0,11630*1000*SER_hh_tes!C10/SER_hh_num!C10)</f>
        <v>66893.40889429675</v>
      </c>
      <c r="D10" s="133">
        <f>IF(SER_hh_tes!D10=0,0,11630*1000*SER_hh_tes!D10/SER_hh_num!D10)</f>
        <v>82174.0127947359</v>
      </c>
      <c r="E10" s="133">
        <f>IF(SER_hh_tes!E10=0,0,11630*1000*SER_hh_tes!E10/SER_hh_num!E10)</f>
        <v>82093.918185572649</v>
      </c>
      <c r="F10" s="133">
        <f>IF(SER_hh_tes!F10=0,0,11630*1000*SER_hh_tes!F10/SER_hh_num!F10)</f>
        <v>69200.519694657196</v>
      </c>
      <c r="G10" s="133">
        <f>IF(SER_hh_tes!G10=0,0,11630*1000*SER_hh_tes!G10/SER_hh_num!G10)</f>
        <v>73332.744612073002</v>
      </c>
      <c r="H10" s="133">
        <f>IF(SER_hh_tes!H10=0,0,11630*1000*SER_hh_tes!H10/SER_hh_num!H10)</f>
        <v>80402.894391031121</v>
      </c>
      <c r="I10" s="133">
        <f>IF(SER_hh_tes!I10=0,0,11630*1000*SER_hh_tes!I10/SER_hh_num!I10)</f>
        <v>71175.69331299726</v>
      </c>
      <c r="J10" s="133">
        <f>IF(SER_hh_tes!J10=0,0,11630*1000*SER_hh_tes!J10/SER_hh_num!J10)</f>
        <v>69359.79617171768</v>
      </c>
      <c r="K10" s="133">
        <f>IF(SER_hh_tes!K10=0,0,11630*1000*SER_hh_tes!K10/SER_hh_num!K10)</f>
        <v>62722.717960809641</v>
      </c>
      <c r="L10" s="133">
        <f>IF(SER_hh_tes!L10=0,0,11630*1000*SER_hh_tes!L10/SER_hh_num!L10)</f>
        <v>64218.98729758244</v>
      </c>
      <c r="M10" s="133">
        <f>IF(SER_hh_tes!M10=0,0,11630*1000*SER_hh_tes!M10/SER_hh_num!M10)</f>
        <v>68284.255201975786</v>
      </c>
      <c r="N10" s="133">
        <f>IF(SER_hh_tes!N10=0,0,11630*1000*SER_hh_tes!N10/SER_hh_num!N10)</f>
        <v>59886.594625872211</v>
      </c>
      <c r="O10" s="133">
        <f>IF(SER_hh_tes!O10=0,0,11630*1000*SER_hh_tes!O10/SER_hh_num!O10)</f>
        <v>58372.84449422406</v>
      </c>
      <c r="P10" s="133">
        <f>IF(SER_hh_tes!P10=0,0,11630*1000*SER_hh_tes!P10/SER_hh_num!P10)</f>
        <v>65156.776654156776</v>
      </c>
      <c r="Q10" s="133">
        <f>IF(SER_hh_tes!Q10=0,0,11630*1000*SER_hh_tes!Q10/SER_hh_num!Q10)</f>
        <v>52995.875841514513</v>
      </c>
      <c r="R10" s="133">
        <f>IF(SER_hh_tes!R10=0,0,11630*1000*SER_hh_tes!R10/SER_hh_num!R10)</f>
        <v>59462.091344317596</v>
      </c>
      <c r="S10" s="133">
        <f>IF(SER_hh_tes!S10=0,0,11630*1000*SER_hh_tes!S10/SER_hh_num!S10)</f>
        <v>62714.87860032147</v>
      </c>
      <c r="T10" s="133">
        <f>IF(SER_hh_tes!T10=0,0,11630*1000*SER_hh_tes!T10/SER_hh_num!T10)</f>
        <v>68624.338705368762</v>
      </c>
      <c r="U10" s="133">
        <f>IF(SER_hh_tes!U10=0,0,11630*1000*SER_hh_tes!U10/SER_hh_num!U10)</f>
        <v>61355.463058617206</v>
      </c>
      <c r="V10" s="133">
        <f>IF(SER_hh_tes!V10=0,0,11630*1000*SER_hh_tes!V10/SER_hh_num!V10)</f>
        <v>56536.739631607117</v>
      </c>
      <c r="W10" s="133">
        <f>IF(SER_hh_tes!W10=0,0,11630*1000*SER_hh_tes!W10/SER_hh_num!W10)</f>
        <v>64566.195878255712</v>
      </c>
      <c r="DA10" s="157" t="s">
        <v>421</v>
      </c>
    </row>
    <row r="11" spans="1:105" ht="12" customHeight="1" x14ac:dyDescent="0.25">
      <c r="A11" s="132" t="s">
        <v>25</v>
      </c>
      <c r="B11" s="133">
        <f>IF(SER_hh_tes!B11=0,0,11630*1000*SER_hh_tes!B11/SER_hh_num!B11)</f>
        <v>0</v>
      </c>
      <c r="C11" s="133">
        <f>IF(SER_hh_tes!C11=0,0,11630*1000*SER_hh_tes!C11/SER_hh_num!C11)</f>
        <v>0</v>
      </c>
      <c r="D11" s="133">
        <f>IF(SER_hh_tes!D11=0,0,11630*1000*SER_hh_tes!D11/SER_hh_num!D11)</f>
        <v>0</v>
      </c>
      <c r="E11" s="133">
        <f>IF(SER_hh_tes!E11=0,0,11630*1000*SER_hh_tes!E11/SER_hh_num!E11)</f>
        <v>0</v>
      </c>
      <c r="F11" s="133">
        <f>IF(SER_hh_tes!F11=0,0,11630*1000*SER_hh_tes!F11/SER_hh_num!F11)</f>
        <v>0</v>
      </c>
      <c r="G11" s="133">
        <f>IF(SER_hh_tes!G11=0,0,11630*1000*SER_hh_tes!G11/SER_hh_num!G11)</f>
        <v>0</v>
      </c>
      <c r="H11" s="133">
        <f>IF(SER_hh_tes!H11=0,0,11630*1000*SER_hh_tes!H11/SER_hh_num!H11)</f>
        <v>0</v>
      </c>
      <c r="I11" s="133">
        <f>IF(SER_hh_tes!I11=0,0,11630*1000*SER_hh_tes!I11/SER_hh_num!I11)</f>
        <v>0</v>
      </c>
      <c r="J11" s="133">
        <f>IF(SER_hh_tes!J11=0,0,11630*1000*SER_hh_tes!J11/SER_hh_num!J11)</f>
        <v>0</v>
      </c>
      <c r="K11" s="133">
        <f>IF(SER_hh_tes!K11=0,0,11630*1000*SER_hh_tes!K11/SER_hh_num!K11)</f>
        <v>0</v>
      </c>
      <c r="L11" s="133">
        <f>IF(SER_hh_tes!L11=0,0,11630*1000*SER_hh_tes!L11/SER_hh_num!L11)</f>
        <v>0</v>
      </c>
      <c r="M11" s="133">
        <f>IF(SER_hh_tes!M11=0,0,11630*1000*SER_hh_tes!M11/SER_hh_num!M11)</f>
        <v>0</v>
      </c>
      <c r="N11" s="133">
        <f>IF(SER_hh_tes!N11=0,0,11630*1000*SER_hh_tes!N11/SER_hh_num!N11)</f>
        <v>0</v>
      </c>
      <c r="O11" s="133">
        <f>IF(SER_hh_tes!O11=0,0,11630*1000*SER_hh_tes!O11/SER_hh_num!O11)</f>
        <v>0</v>
      </c>
      <c r="P11" s="133">
        <f>IF(SER_hh_tes!P11=0,0,11630*1000*SER_hh_tes!P11/SER_hh_num!P11)</f>
        <v>0</v>
      </c>
      <c r="Q11" s="133">
        <f>IF(SER_hh_tes!Q11=0,0,11630*1000*SER_hh_tes!Q11/SER_hh_num!Q11)</f>
        <v>0</v>
      </c>
      <c r="R11" s="133">
        <f>IF(SER_hh_tes!R11=0,0,11630*1000*SER_hh_tes!R11/SER_hh_num!R11)</f>
        <v>0</v>
      </c>
      <c r="S11" s="133">
        <f>IF(SER_hh_tes!S11=0,0,11630*1000*SER_hh_tes!S11/SER_hh_num!S11)</f>
        <v>0</v>
      </c>
      <c r="T11" s="133">
        <f>IF(SER_hh_tes!T11=0,0,11630*1000*SER_hh_tes!T11/SER_hh_num!T11)</f>
        <v>0</v>
      </c>
      <c r="U11" s="133">
        <f>IF(SER_hh_tes!U11=0,0,11630*1000*SER_hh_tes!U11/SER_hh_num!U11)</f>
        <v>0</v>
      </c>
      <c r="V11" s="133">
        <f>IF(SER_hh_tes!V11=0,0,11630*1000*SER_hh_tes!V11/SER_hh_num!V11)</f>
        <v>0</v>
      </c>
      <c r="W11" s="133">
        <f>IF(SER_hh_tes!W11=0,0,11630*1000*SER_hh_tes!W11/SER_hh_num!W11)</f>
        <v>0</v>
      </c>
      <c r="DA11" s="157" t="s">
        <v>422</v>
      </c>
    </row>
    <row r="12" spans="1:105" ht="12" customHeight="1" x14ac:dyDescent="0.25">
      <c r="A12" s="132" t="s">
        <v>169</v>
      </c>
      <c r="B12" s="133">
        <f>IF(SER_hh_tes!B12=0,0,11630*1000*SER_hh_tes!B12/SER_hh_num!B12)</f>
        <v>74674.339339097729</v>
      </c>
      <c r="C12" s="133">
        <f>IF(SER_hh_tes!C12=0,0,11630*1000*SER_hh_tes!C12/SER_hh_num!C12)</f>
        <v>78549.498775434811</v>
      </c>
      <c r="D12" s="133">
        <f>IF(SER_hh_tes!D12=0,0,11630*1000*SER_hh_tes!D12/SER_hh_num!D12)</f>
        <v>76361.678113113623</v>
      </c>
      <c r="E12" s="133">
        <f>IF(SER_hh_tes!E12=0,0,11630*1000*SER_hh_tes!E12/SER_hh_num!E12)</f>
        <v>77377.977904421859</v>
      </c>
      <c r="F12" s="133">
        <f>IF(SER_hh_tes!F12=0,0,11630*1000*SER_hh_tes!F12/SER_hh_num!F12)</f>
        <v>76035.826984537067</v>
      </c>
      <c r="G12" s="133">
        <f>IF(SER_hh_tes!G12=0,0,11630*1000*SER_hh_tes!G12/SER_hh_num!G12)</f>
        <v>74096.321033636035</v>
      </c>
      <c r="H12" s="133">
        <f>IF(SER_hh_tes!H12=0,0,11630*1000*SER_hh_tes!H12/SER_hh_num!H12)</f>
        <v>73164.758652873134</v>
      </c>
      <c r="I12" s="133">
        <f>IF(SER_hh_tes!I12=0,0,11630*1000*SER_hh_tes!I12/SER_hh_num!I12)</f>
        <v>69159.135662595698</v>
      </c>
      <c r="J12" s="133">
        <f>IF(SER_hh_tes!J12=0,0,11630*1000*SER_hh_tes!J12/SER_hh_num!J12)</f>
        <v>68913.2840697793</v>
      </c>
      <c r="K12" s="133">
        <f>IF(SER_hh_tes!K12=0,0,11630*1000*SER_hh_tes!K12/SER_hh_num!K12)</f>
        <v>66958.352677664137</v>
      </c>
      <c r="L12" s="133">
        <f>IF(SER_hh_tes!L12=0,0,11630*1000*SER_hh_tes!L12/SER_hh_num!L12)</f>
        <v>74914.306183384615</v>
      </c>
      <c r="M12" s="133">
        <f>IF(SER_hh_tes!M12=0,0,11630*1000*SER_hh_tes!M12/SER_hh_num!M12)</f>
        <v>63431.091085905951</v>
      </c>
      <c r="N12" s="133">
        <f>IF(SER_hh_tes!N12=0,0,11630*1000*SER_hh_tes!N12/SER_hh_num!N12)</f>
        <v>64324.70187894538</v>
      </c>
      <c r="O12" s="133">
        <f>IF(SER_hh_tes!O12=0,0,11630*1000*SER_hh_tes!O12/SER_hh_num!O12)</f>
        <v>63235.836682886576</v>
      </c>
      <c r="P12" s="133">
        <f>IF(SER_hh_tes!P12=0,0,11630*1000*SER_hh_tes!P12/SER_hh_num!P12)</f>
        <v>56074.811057942054</v>
      </c>
      <c r="Q12" s="133">
        <f>IF(SER_hh_tes!Q12=0,0,11630*1000*SER_hh_tes!Q12/SER_hh_num!Q12)</f>
        <v>60082.982499586076</v>
      </c>
      <c r="R12" s="133">
        <f>IF(SER_hh_tes!R12=0,0,11630*1000*SER_hh_tes!R12/SER_hh_num!R12)</f>
        <v>61805.624976681262</v>
      </c>
      <c r="S12" s="133">
        <f>IF(SER_hh_tes!S12=0,0,11630*1000*SER_hh_tes!S12/SER_hh_num!S12)</f>
        <v>62054.874760678314</v>
      </c>
      <c r="T12" s="133">
        <f>IF(SER_hh_tes!T12=0,0,11630*1000*SER_hh_tes!T12/SER_hh_num!T12)</f>
        <v>61093.599240441719</v>
      </c>
      <c r="U12" s="133">
        <f>IF(SER_hh_tes!U12=0,0,11630*1000*SER_hh_tes!U12/SER_hh_num!U12)</f>
        <v>59818.119458736153</v>
      </c>
      <c r="V12" s="133">
        <f>IF(SER_hh_tes!V12=0,0,11630*1000*SER_hh_tes!V12/SER_hh_num!V12)</f>
        <v>58308.991239831055</v>
      </c>
      <c r="W12" s="133">
        <f>IF(SER_hh_tes!W12=0,0,11630*1000*SER_hh_tes!W12/SER_hh_num!W12)</f>
        <v>65295.966810300357</v>
      </c>
      <c r="DA12" s="157" t="s">
        <v>423</v>
      </c>
    </row>
    <row r="13" spans="1:105" ht="12" customHeight="1" x14ac:dyDescent="0.25">
      <c r="A13" s="132" t="s">
        <v>77</v>
      </c>
      <c r="B13" s="133">
        <f>IF(SER_hh_tes!B13=0,0,11630*1000*SER_hh_tes!B13/SER_hh_num!B13)</f>
        <v>76750.242763119939</v>
      </c>
      <c r="C13" s="133">
        <f>IF(SER_hh_tes!C13=0,0,11630*1000*SER_hh_tes!C13/SER_hh_num!C13)</f>
        <v>76792.504967411354</v>
      </c>
      <c r="D13" s="133">
        <f>IF(SER_hh_tes!D13=0,0,11630*1000*SER_hh_tes!D13/SER_hh_num!D13)</f>
        <v>76772.694403181304</v>
      </c>
      <c r="E13" s="133">
        <f>IF(SER_hh_tes!E13=0,0,11630*1000*SER_hh_tes!E13/SER_hh_num!E13)</f>
        <v>76338.228691181692</v>
      </c>
      <c r="F13" s="133">
        <f>IF(SER_hh_tes!F13=0,0,11630*1000*SER_hh_tes!F13/SER_hh_num!F13)</f>
        <v>76939.478037464418</v>
      </c>
      <c r="G13" s="133">
        <f>IF(SER_hh_tes!G13=0,0,11630*1000*SER_hh_tes!G13/SER_hh_num!G13)</f>
        <v>57329.466348664733</v>
      </c>
      <c r="H13" s="133">
        <f>IF(SER_hh_tes!H13=0,0,11630*1000*SER_hh_tes!H13/SER_hh_num!H13)</f>
        <v>38193.832402559223</v>
      </c>
      <c r="I13" s="133">
        <f>IF(SER_hh_tes!I13=0,0,11630*1000*SER_hh_tes!I13/SER_hh_num!I13)</f>
        <v>88189.743825310492</v>
      </c>
      <c r="J13" s="133">
        <f>IF(SER_hh_tes!J13=0,0,11630*1000*SER_hh_tes!J13/SER_hh_num!J13)</f>
        <v>74835.988814539218</v>
      </c>
      <c r="K13" s="133">
        <f>IF(SER_hh_tes!K13=0,0,11630*1000*SER_hh_tes!K13/SER_hh_num!K13)</f>
        <v>68802.882236160454</v>
      </c>
      <c r="L13" s="133">
        <f>IF(SER_hh_tes!L13=0,0,11630*1000*SER_hh_tes!L13/SER_hh_num!L13)</f>
        <v>69034.109493605953</v>
      </c>
      <c r="M13" s="133">
        <f>IF(SER_hh_tes!M13=0,0,11630*1000*SER_hh_tes!M13/SER_hh_num!M13)</f>
        <v>65884.504828703633</v>
      </c>
      <c r="N13" s="133">
        <f>IF(SER_hh_tes!N13=0,0,11630*1000*SER_hh_tes!N13/SER_hh_num!N13)</f>
        <v>63980.998007321701</v>
      </c>
      <c r="O13" s="133">
        <f>IF(SER_hh_tes!O13=0,0,11630*1000*SER_hh_tes!O13/SER_hh_num!O13)</f>
        <v>61187.436998266363</v>
      </c>
      <c r="P13" s="133">
        <f>IF(SER_hh_tes!P13=0,0,11630*1000*SER_hh_tes!P13/SER_hh_num!P13)</f>
        <v>57220.022040721269</v>
      </c>
      <c r="Q13" s="133">
        <f>IF(SER_hh_tes!Q13=0,0,11630*1000*SER_hh_tes!Q13/SER_hh_num!Q13)</f>
        <v>59520.170287550696</v>
      </c>
      <c r="R13" s="133">
        <f>IF(SER_hh_tes!R13=0,0,11630*1000*SER_hh_tes!R13/SER_hh_num!R13)</f>
        <v>62252.055844419025</v>
      </c>
      <c r="S13" s="133">
        <f>IF(SER_hh_tes!S13=0,0,11630*1000*SER_hh_tes!S13/SER_hh_num!S13)</f>
        <v>58975.825652649692</v>
      </c>
      <c r="T13" s="133">
        <f>IF(SER_hh_tes!T13=0,0,11630*1000*SER_hh_tes!T13/SER_hh_num!T13)</f>
        <v>58796.628702700429</v>
      </c>
      <c r="U13" s="133">
        <f>IF(SER_hh_tes!U13=0,0,11630*1000*SER_hh_tes!U13/SER_hh_num!U13)</f>
        <v>58724.169387722068</v>
      </c>
      <c r="V13" s="133">
        <f>IF(SER_hh_tes!V13=0,0,11630*1000*SER_hh_tes!V13/SER_hh_num!V13)</f>
        <v>59157.711256205061</v>
      </c>
      <c r="W13" s="133">
        <f>IF(SER_hh_tes!W13=0,0,11630*1000*SER_hh_tes!W13/SER_hh_num!W13)</f>
        <v>62596.941494448751</v>
      </c>
      <c r="DA13" s="157" t="s">
        <v>424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75667.44852060033</v>
      </c>
      <c r="C14" s="65">
        <f>IF(SER_hh_tes!C14=0,0,11630*1000*SER_hh_tes!C14/SER_hh_num!C14)</f>
        <v>78700.709013850617</v>
      </c>
      <c r="D14" s="65">
        <f>IF(SER_hh_tes!D14=0,0,11630*1000*SER_hh_tes!D14/SER_hh_num!D14)</f>
        <v>78047.389281598938</v>
      </c>
      <c r="E14" s="65">
        <f>IF(SER_hh_tes!E14=0,0,11630*1000*SER_hh_tes!E14/SER_hh_num!E14)</f>
        <v>74193.908298166265</v>
      </c>
      <c r="F14" s="65">
        <f>IF(SER_hh_tes!F14=0,0,11630*1000*SER_hh_tes!F14/SER_hh_num!F14)</f>
        <v>75475.022120779991</v>
      </c>
      <c r="G14" s="65">
        <f>IF(SER_hh_tes!G14=0,0,11630*1000*SER_hh_tes!G14/SER_hh_num!G14)</f>
        <v>72891.933807537382</v>
      </c>
      <c r="H14" s="65">
        <f>IF(SER_hh_tes!H14=0,0,11630*1000*SER_hh_tes!H14/SER_hh_num!H14)</f>
        <v>73851.349390939708</v>
      </c>
      <c r="I14" s="65">
        <f>IF(SER_hh_tes!I14=0,0,11630*1000*SER_hh_tes!I14/SER_hh_num!I14)</f>
        <v>73961.76185998664</v>
      </c>
      <c r="J14" s="65">
        <f>IF(SER_hh_tes!J14=0,0,11630*1000*SER_hh_tes!J14/SER_hh_num!J14)</f>
        <v>73015.093134894807</v>
      </c>
      <c r="K14" s="65">
        <f>IF(SER_hh_tes!K14=0,0,11630*1000*SER_hh_tes!K14/SER_hh_num!K14)</f>
        <v>65223.313016153494</v>
      </c>
      <c r="L14" s="65">
        <f>IF(SER_hh_tes!L14=0,0,11630*1000*SER_hh_tes!L14/SER_hh_num!L14)</f>
        <v>73525.528056881594</v>
      </c>
      <c r="M14" s="65">
        <f>IF(SER_hh_tes!M14=0,0,11630*1000*SER_hh_tes!M14/SER_hh_num!M14)</f>
        <v>68015.298065954019</v>
      </c>
      <c r="N14" s="65">
        <f>IF(SER_hh_tes!N14=0,0,11630*1000*SER_hh_tes!N14/SER_hh_num!N14)</f>
        <v>64702.197910487412</v>
      </c>
      <c r="O14" s="65">
        <f>IF(SER_hh_tes!O14=0,0,11630*1000*SER_hh_tes!O14/SER_hh_num!O14)</f>
        <v>57879.615492032048</v>
      </c>
      <c r="P14" s="65">
        <f>IF(SER_hh_tes!P14=0,0,11630*1000*SER_hh_tes!P14/SER_hh_num!P14)</f>
        <v>60235.387946055052</v>
      </c>
      <c r="Q14" s="65">
        <f>IF(SER_hh_tes!Q14=0,0,11630*1000*SER_hh_tes!Q14/SER_hh_num!Q14)</f>
        <v>51310.22893656839</v>
      </c>
      <c r="R14" s="65">
        <f>IF(SER_hh_tes!R14=0,0,11630*1000*SER_hh_tes!R14/SER_hh_num!R14)</f>
        <v>62354.112987777648</v>
      </c>
      <c r="S14" s="65">
        <f>IF(SER_hh_tes!S14=0,0,11630*1000*SER_hh_tes!S14/SER_hh_num!S14)</f>
        <v>69802.626006120408</v>
      </c>
      <c r="T14" s="65">
        <f>IF(SER_hh_tes!T14=0,0,11630*1000*SER_hh_tes!T14/SER_hh_num!T14)</f>
        <v>64286.299241960063</v>
      </c>
      <c r="U14" s="65">
        <f>IF(SER_hh_tes!U14=0,0,11630*1000*SER_hh_tes!U14/SER_hh_num!U14)</f>
        <v>56541.037976052554</v>
      </c>
      <c r="V14" s="65">
        <f>IF(SER_hh_tes!V14=0,0,11630*1000*SER_hh_tes!V14/SER_hh_num!V14)</f>
        <v>29083.628714774211</v>
      </c>
      <c r="W14" s="65">
        <f>IF(SER_hh_tes!W14=0,0,11630*1000*SER_hh_tes!W14/SER_hh_num!W14)</f>
        <v>86386.610204661294</v>
      </c>
      <c r="DA14" s="109" t="s">
        <v>425</v>
      </c>
    </row>
    <row r="15" spans="1:105" ht="12" customHeight="1" x14ac:dyDescent="0.25">
      <c r="A15" s="134" t="s">
        <v>80</v>
      </c>
      <c r="B15" s="135">
        <f>IF(SER_hh_tes!B15=0,0,11630*1000*SER_hh_tes!B15/SER_hh_num!B15)</f>
        <v>625.58009176309542</v>
      </c>
      <c r="C15" s="135">
        <f>IF(SER_hh_tes!C15=0,0,11630*1000*SER_hh_tes!C15/SER_hh_num!C15)</f>
        <v>615.08858452692573</v>
      </c>
      <c r="D15" s="135">
        <f>IF(SER_hh_tes!D15=0,0,11630*1000*SER_hh_tes!D15/SER_hh_num!D15)</f>
        <v>594.58126147540418</v>
      </c>
      <c r="E15" s="135">
        <f>IF(SER_hh_tes!E15=0,0,11630*1000*SER_hh_tes!E15/SER_hh_num!E15)</f>
        <v>615.58069982208269</v>
      </c>
      <c r="F15" s="135">
        <f>IF(SER_hh_tes!F15=0,0,11630*1000*SER_hh_tes!F15/SER_hh_num!F15)</f>
        <v>591.41222476923372</v>
      </c>
      <c r="G15" s="135">
        <f>IF(SER_hh_tes!G15=0,0,11630*1000*SER_hh_tes!G15/SER_hh_num!G15)</f>
        <v>568.59928714408431</v>
      </c>
      <c r="H15" s="135">
        <f>IF(SER_hh_tes!H15=0,0,11630*1000*SER_hh_tes!H15/SER_hh_num!H15)</f>
        <v>571.90403408557722</v>
      </c>
      <c r="I15" s="135">
        <f>IF(SER_hh_tes!I15=0,0,11630*1000*SER_hh_tes!I15/SER_hh_num!I15)</f>
        <v>512.2829335511309</v>
      </c>
      <c r="J15" s="135">
        <f>IF(SER_hh_tes!J15=0,0,11630*1000*SER_hh_tes!J15/SER_hh_num!J15)</f>
        <v>501.52036206421468</v>
      </c>
      <c r="K15" s="135">
        <f>IF(SER_hh_tes!K15=0,0,11630*1000*SER_hh_tes!K15/SER_hh_num!K15)</f>
        <v>479.95533942631232</v>
      </c>
      <c r="L15" s="135">
        <f>IF(SER_hh_tes!L15=0,0,11630*1000*SER_hh_tes!L15/SER_hh_num!L15)</f>
        <v>495.31440704716152</v>
      </c>
      <c r="M15" s="135">
        <f>IF(SER_hh_tes!M15=0,0,11630*1000*SER_hh_tes!M15/SER_hh_num!M15)</f>
        <v>398.7738860976487</v>
      </c>
      <c r="N15" s="135">
        <f>IF(SER_hh_tes!N15=0,0,11630*1000*SER_hh_tes!N15/SER_hh_num!N15)</f>
        <v>427.34780746894324</v>
      </c>
      <c r="O15" s="135">
        <f>IF(SER_hh_tes!O15=0,0,11630*1000*SER_hh_tes!O15/SER_hh_num!O15)</f>
        <v>428.99451971205264</v>
      </c>
      <c r="P15" s="135">
        <f>IF(SER_hh_tes!P15=0,0,11630*1000*SER_hh_tes!P15/SER_hh_num!P15)</f>
        <v>346.80930789293205</v>
      </c>
      <c r="Q15" s="135">
        <f>IF(SER_hh_tes!Q15=0,0,11630*1000*SER_hh_tes!Q15/SER_hh_num!Q15)</f>
        <v>392.42223996898548</v>
      </c>
      <c r="R15" s="135">
        <f>IF(SER_hh_tes!R15=0,0,11630*1000*SER_hh_tes!R15/SER_hh_num!R15)</f>
        <v>404.21253318690907</v>
      </c>
      <c r="S15" s="135">
        <f>IF(SER_hh_tes!S15=0,0,11630*1000*SER_hh_tes!S15/SER_hh_num!S15)</f>
        <v>416.94442954371038</v>
      </c>
      <c r="T15" s="135">
        <f>IF(SER_hh_tes!T15=0,0,11630*1000*SER_hh_tes!T15/SER_hh_num!T15)</f>
        <v>374.16095462373158</v>
      </c>
      <c r="U15" s="135">
        <f>IF(SER_hh_tes!U15=0,0,11630*1000*SER_hh_tes!U15/SER_hh_num!U15)</f>
        <v>353.94792180709214</v>
      </c>
      <c r="V15" s="135">
        <f>IF(SER_hh_tes!V15=0,0,11630*1000*SER_hh_tes!V15/SER_hh_num!V15)</f>
        <v>358.59480308940493</v>
      </c>
      <c r="W15" s="135">
        <f>IF(SER_hh_tes!W15=0,0,11630*1000*SER_hh_tes!W15/SER_hh_num!W15)</f>
        <v>476.12473870926857</v>
      </c>
      <c r="DA15" s="158" t="s">
        <v>426</v>
      </c>
    </row>
    <row r="16" spans="1:105" ht="12.95" customHeight="1" x14ac:dyDescent="0.25">
      <c r="A16" s="130" t="s">
        <v>74</v>
      </c>
      <c r="B16" s="131">
        <f>IF(SER_hh_tes!B16=0,0,11630*1000*SER_hh_tes!B16/SER_hh_num!B16)</f>
        <v>23539.965995888189</v>
      </c>
      <c r="C16" s="131">
        <f>IF(SER_hh_tes!C16=0,0,11630*1000*SER_hh_tes!C16/SER_hh_num!C16)</f>
        <v>23560.38721634126</v>
      </c>
      <c r="D16" s="131">
        <f>IF(SER_hh_tes!D16=0,0,11630*1000*SER_hh_tes!D16/SER_hh_num!D16)</f>
        <v>23597.983497792338</v>
      </c>
      <c r="E16" s="131">
        <f>IF(SER_hh_tes!E16=0,0,11630*1000*SER_hh_tes!E16/SER_hh_num!E16)</f>
        <v>23616.670420464045</v>
      </c>
      <c r="F16" s="131">
        <f>IF(SER_hh_tes!F16=0,0,11630*1000*SER_hh_tes!F16/SER_hh_num!F16)</f>
        <v>23648.848017300123</v>
      </c>
      <c r="G16" s="131">
        <f>IF(SER_hh_tes!G16=0,0,11630*1000*SER_hh_tes!G16/SER_hh_num!G16)</f>
        <v>23683.345105010889</v>
      </c>
      <c r="H16" s="131">
        <f>IF(SER_hh_tes!H16=0,0,11630*1000*SER_hh_tes!H16/SER_hh_num!H16)</f>
        <v>23724.194031476662</v>
      </c>
      <c r="I16" s="131">
        <f>IF(SER_hh_tes!I16=0,0,11630*1000*SER_hh_tes!I16/SER_hh_num!I16)</f>
        <v>23758.664729648237</v>
      </c>
      <c r="J16" s="131">
        <f>IF(SER_hh_tes!J16=0,0,11630*1000*SER_hh_tes!J16/SER_hh_num!J16)</f>
        <v>23794.824555219795</v>
      </c>
      <c r="K16" s="131">
        <f>IF(SER_hh_tes!K16=0,0,11630*1000*SER_hh_tes!K16/SER_hh_num!K16)</f>
        <v>23832.622111401448</v>
      </c>
      <c r="L16" s="131">
        <f>IF(SER_hh_tes!L16=0,0,11630*1000*SER_hh_tes!L16/SER_hh_num!L16)</f>
        <v>23967.239621654735</v>
      </c>
      <c r="M16" s="131">
        <f>IF(SER_hh_tes!M16=0,0,11630*1000*SER_hh_tes!M16/SER_hh_num!M16)</f>
        <v>23911.973697745128</v>
      </c>
      <c r="N16" s="131">
        <f>IF(SER_hh_tes!N16=0,0,11630*1000*SER_hh_tes!N16/SER_hh_num!N16)</f>
        <v>23981.25658842938</v>
      </c>
      <c r="O16" s="131">
        <f>IF(SER_hh_tes!O16=0,0,11630*1000*SER_hh_tes!O16/SER_hh_num!O16)</f>
        <v>24029.575905340404</v>
      </c>
      <c r="P16" s="131">
        <f>IF(SER_hh_tes!P16=0,0,11630*1000*SER_hh_tes!P16/SER_hh_num!P16)</f>
        <v>24197.921332137132</v>
      </c>
      <c r="Q16" s="131">
        <f>IF(SER_hh_tes!Q16=0,0,11630*1000*SER_hh_tes!Q16/SER_hh_num!Q16)</f>
        <v>24248.246671870133</v>
      </c>
      <c r="R16" s="131">
        <f>IF(SER_hh_tes!R16=0,0,11630*1000*SER_hh_tes!R16/SER_hh_num!R16)</f>
        <v>24464.26401653884</v>
      </c>
      <c r="S16" s="131">
        <f>IF(SER_hh_tes!S16=0,0,11630*1000*SER_hh_tes!S16/SER_hh_num!S16)</f>
        <v>24501.280872340627</v>
      </c>
      <c r="T16" s="131">
        <f>IF(SER_hh_tes!T16=0,0,11630*1000*SER_hh_tes!T16/SER_hh_num!T16)</f>
        <v>25458.907555156744</v>
      </c>
      <c r="U16" s="131">
        <f>IF(SER_hh_tes!U16=0,0,11630*1000*SER_hh_tes!U16/SER_hh_num!U16)</f>
        <v>24670.532577444599</v>
      </c>
      <c r="V16" s="131">
        <f>IF(SER_hh_tes!V16=0,0,11630*1000*SER_hh_tes!V16/SER_hh_num!V16)</f>
        <v>24613.730136914332</v>
      </c>
      <c r="W16" s="131">
        <f>IF(SER_hh_tes!W16=0,0,11630*1000*SER_hh_tes!W16/SER_hh_num!W16)</f>
        <v>24663.308712160215</v>
      </c>
      <c r="DA16" s="156" t="s">
        <v>427</v>
      </c>
    </row>
    <row r="17" spans="1:105" ht="12.95" customHeight="1" x14ac:dyDescent="0.25">
      <c r="A17" s="132" t="s">
        <v>73</v>
      </c>
      <c r="B17" s="133">
        <f>IF(SER_hh_tes!B17=0,0,11630*1000*SER_hh_tes!B17/SER_hh_num!B17)</f>
        <v>23539.965995888189</v>
      </c>
      <c r="C17" s="133">
        <f>IF(SER_hh_tes!C17=0,0,11630*1000*SER_hh_tes!C17/SER_hh_num!C17)</f>
        <v>23560.044174038598</v>
      </c>
      <c r="D17" s="133">
        <f>IF(SER_hh_tes!D17=0,0,11630*1000*SER_hh_tes!D17/SER_hh_num!D17)</f>
        <v>23597.912334209486</v>
      </c>
      <c r="E17" s="133">
        <f>IF(SER_hh_tes!E17=0,0,11630*1000*SER_hh_tes!E17/SER_hh_num!E17)</f>
        <v>23616.756446110405</v>
      </c>
      <c r="F17" s="133">
        <f>IF(SER_hh_tes!F17=0,0,11630*1000*SER_hh_tes!F17/SER_hh_num!F17)</f>
        <v>23649.01070538312</v>
      </c>
      <c r="G17" s="133">
        <f>IF(SER_hh_tes!G17=0,0,11630*1000*SER_hh_tes!G17/SER_hh_num!G17)</f>
        <v>23683.501285304996</v>
      </c>
      <c r="H17" s="133">
        <f>IF(SER_hh_tes!H17=0,0,11630*1000*SER_hh_tes!H17/SER_hh_num!H17)</f>
        <v>23724.284434458212</v>
      </c>
      <c r="I17" s="133">
        <f>IF(SER_hh_tes!I17=0,0,11630*1000*SER_hh_tes!I17/SER_hh_num!I17)</f>
        <v>23758.673504328395</v>
      </c>
      <c r="J17" s="133">
        <f>IF(SER_hh_tes!J17=0,0,11630*1000*SER_hh_tes!J17/SER_hh_num!J17)</f>
        <v>23794.776372520188</v>
      </c>
      <c r="K17" s="133">
        <f>IF(SER_hh_tes!K17=0,0,11630*1000*SER_hh_tes!K17/SER_hh_num!K17)</f>
        <v>23832.538717503561</v>
      </c>
      <c r="L17" s="133">
        <f>IF(SER_hh_tes!L17=0,0,11630*1000*SER_hh_tes!L17/SER_hh_num!L17)</f>
        <v>23967.112367828402</v>
      </c>
      <c r="M17" s="133">
        <f>IF(SER_hh_tes!M17=0,0,11630*1000*SER_hh_tes!M17/SER_hh_num!M17)</f>
        <v>23911.802309495655</v>
      </c>
      <c r="N17" s="133">
        <f>IF(SER_hh_tes!N17=0,0,11630*1000*SER_hh_tes!N17/SER_hh_num!N17)</f>
        <v>23981.309090448187</v>
      </c>
      <c r="O17" s="133">
        <f>IF(SER_hh_tes!O17=0,0,11630*1000*SER_hh_tes!O17/SER_hh_num!O17)</f>
        <v>24029.765334652806</v>
      </c>
      <c r="P17" s="133">
        <f>IF(SER_hh_tes!P17=0,0,11630*1000*SER_hh_tes!P17/SER_hh_num!P17)</f>
        <v>24198.153879098576</v>
      </c>
      <c r="Q17" s="133">
        <f>IF(SER_hh_tes!Q17=0,0,11630*1000*SER_hh_tes!Q17/SER_hh_num!Q17)</f>
        <v>24248.424186487369</v>
      </c>
      <c r="R17" s="133">
        <f>IF(SER_hh_tes!R17=0,0,11630*1000*SER_hh_tes!R17/SER_hh_num!R17)</f>
        <v>24464.318566302576</v>
      </c>
      <c r="S17" s="133">
        <f>IF(SER_hh_tes!S17=0,0,11630*1000*SER_hh_tes!S17/SER_hh_num!S17)</f>
        <v>24501.201071525811</v>
      </c>
      <c r="T17" s="133">
        <f>IF(SER_hh_tes!T17=0,0,11630*1000*SER_hh_tes!T17/SER_hh_num!T17)</f>
        <v>25458.733227856854</v>
      </c>
      <c r="U17" s="133">
        <f>IF(SER_hh_tes!U17=0,0,11630*1000*SER_hh_tes!U17/SER_hh_num!U17)</f>
        <v>24670.33617646763</v>
      </c>
      <c r="V17" s="133">
        <f>IF(SER_hh_tes!V17=0,0,11630*1000*SER_hh_tes!V17/SER_hh_num!V17)</f>
        <v>17566.279260578554</v>
      </c>
      <c r="W17" s="133">
        <f>IF(SER_hh_tes!W17=0,0,11630*1000*SER_hh_tes!W17/SER_hh_num!W17)</f>
        <v>17933.361325474139</v>
      </c>
      <c r="DA17" s="157" t="s">
        <v>428</v>
      </c>
    </row>
    <row r="18" spans="1:105" ht="12" customHeight="1" x14ac:dyDescent="0.25">
      <c r="A18" s="132" t="s">
        <v>72</v>
      </c>
      <c r="B18" s="133">
        <f>IF(SER_hh_tes!B18=0,0,11630*1000*SER_hh_tes!B18/SER_hh_num!B18)</f>
        <v>23539.965995888189</v>
      </c>
      <c r="C18" s="133">
        <f>IF(SER_hh_tes!C18=0,0,11630*1000*SER_hh_tes!C18/SER_hh_num!C18)</f>
        <v>23560.38753080475</v>
      </c>
      <c r="D18" s="133">
        <f>IF(SER_hh_tes!D18=0,0,11630*1000*SER_hh_tes!D18/SER_hh_num!D18)</f>
        <v>23597.983566202733</v>
      </c>
      <c r="E18" s="133">
        <f>IF(SER_hh_tes!E18=0,0,11630*1000*SER_hh_tes!E18/SER_hh_num!E18)</f>
        <v>23616.67033741394</v>
      </c>
      <c r="F18" s="133">
        <f>IF(SER_hh_tes!F18=0,0,11630*1000*SER_hh_tes!F18/SER_hh_num!F18)</f>
        <v>23648.84785047641</v>
      </c>
      <c r="G18" s="133">
        <f>IF(SER_hh_tes!G18=0,0,11630*1000*SER_hh_tes!G18/SER_hh_num!G18)</f>
        <v>23683.344934610781</v>
      </c>
      <c r="H18" s="133">
        <f>IF(SER_hh_tes!H18=0,0,11630*1000*SER_hh_tes!H18/SER_hh_num!H18)</f>
        <v>23724.1939312918</v>
      </c>
      <c r="I18" s="133">
        <f>IF(SER_hh_tes!I18=0,0,11630*1000*SER_hh_tes!I18/SER_hh_num!I18)</f>
        <v>23758.664720033801</v>
      </c>
      <c r="J18" s="133">
        <f>IF(SER_hh_tes!J18=0,0,11630*1000*SER_hh_tes!J18/SER_hh_num!J18)</f>
        <v>23794.824608626219</v>
      </c>
      <c r="K18" s="133">
        <f>IF(SER_hh_tes!K18=0,0,11630*1000*SER_hh_tes!K18/SER_hh_num!K18)</f>
        <v>23832.622202679475</v>
      </c>
      <c r="L18" s="133">
        <f>IF(SER_hh_tes!L18=0,0,11630*1000*SER_hh_tes!L18/SER_hh_num!L18)</f>
        <v>23967.239765283059</v>
      </c>
      <c r="M18" s="133">
        <f>IF(SER_hh_tes!M18=0,0,11630*1000*SER_hh_tes!M18/SER_hh_num!M18)</f>
        <v>23911.97390460287</v>
      </c>
      <c r="N18" s="133">
        <f>IF(SER_hh_tes!N18=0,0,11630*1000*SER_hh_tes!N18/SER_hh_num!N18)</f>
        <v>23981.256517349968</v>
      </c>
      <c r="O18" s="133">
        <f>IF(SER_hh_tes!O18=0,0,11630*1000*SER_hh_tes!O18/SER_hh_num!O18)</f>
        <v>24029.575598424559</v>
      </c>
      <c r="P18" s="133">
        <f>IF(SER_hh_tes!P18=0,0,11630*1000*SER_hh_tes!P18/SER_hh_num!P18)</f>
        <v>24197.920849106584</v>
      </c>
      <c r="Q18" s="133">
        <f>IF(SER_hh_tes!Q18=0,0,11630*1000*SER_hh_tes!Q18/SER_hh_num!Q18)</f>
        <v>24248.246167241788</v>
      </c>
      <c r="R18" s="133">
        <f>IF(SER_hh_tes!R18=0,0,11630*1000*SER_hh_tes!R18/SER_hh_num!R18)</f>
        <v>24464.263822324829</v>
      </c>
      <c r="S18" s="133">
        <f>IF(SER_hh_tes!S18=0,0,11630*1000*SER_hh_tes!S18/SER_hh_num!S18)</f>
        <v>24501.281206598709</v>
      </c>
      <c r="T18" s="133">
        <f>IF(SER_hh_tes!T18=0,0,11630*1000*SER_hh_tes!T18/SER_hh_num!T18)</f>
        <v>25458.908341610761</v>
      </c>
      <c r="U18" s="133">
        <f>IF(SER_hh_tes!U18=0,0,11630*1000*SER_hh_tes!U18/SER_hh_num!U18)</f>
        <v>24670.533572487082</v>
      </c>
      <c r="V18" s="133">
        <f>IF(SER_hh_tes!V18=0,0,11630*1000*SER_hh_tes!V18/SER_hh_num!V18)</f>
        <v>24665.607162478409</v>
      </c>
      <c r="W18" s="133">
        <f>IF(SER_hh_tes!W18=0,0,11630*1000*SER_hh_tes!W18/SER_hh_num!W18)</f>
        <v>24713.71102726565</v>
      </c>
      <c r="DA18" s="157" t="s">
        <v>429</v>
      </c>
    </row>
    <row r="19" spans="1:105" ht="12.95" customHeight="1" x14ac:dyDescent="0.25">
      <c r="A19" s="130" t="s">
        <v>35</v>
      </c>
      <c r="B19" s="131">
        <f>IF(SER_hh_tes!B19=0,0,11630*1000*SER_hh_tes!B19/SER_hh_num!B19)</f>
        <v>9437.1321833359507</v>
      </c>
      <c r="C19" s="131">
        <f>IF(SER_hh_tes!C19=0,0,11630*1000*SER_hh_tes!C19/SER_hh_num!C19)</f>
        <v>9366.0558335939113</v>
      </c>
      <c r="D19" s="131">
        <f>IF(SER_hh_tes!D19=0,0,11630*1000*SER_hh_tes!D19/SER_hh_num!D19)</f>
        <v>9305.9394288259264</v>
      </c>
      <c r="E19" s="131">
        <f>IF(SER_hh_tes!E19=0,0,11630*1000*SER_hh_tes!E19/SER_hh_num!E19)</f>
        <v>9244.6574916441914</v>
      </c>
      <c r="F19" s="131">
        <f>IF(SER_hh_tes!F19=0,0,11630*1000*SER_hh_tes!F19/SER_hh_num!F19)</f>
        <v>9198.0914172648518</v>
      </c>
      <c r="G19" s="131">
        <f>IF(SER_hh_tes!G19=0,0,11630*1000*SER_hh_tes!G19/SER_hh_num!G19)</f>
        <v>9200.0093776119284</v>
      </c>
      <c r="H19" s="131">
        <f>IF(SER_hh_tes!H19=0,0,11630*1000*SER_hh_tes!H19/SER_hh_num!H19)</f>
        <v>9212.9376129270913</v>
      </c>
      <c r="I19" s="131">
        <f>IF(SER_hh_tes!I19=0,0,11630*1000*SER_hh_tes!I19/SER_hh_num!I19)</f>
        <v>9175.2276480107739</v>
      </c>
      <c r="J19" s="131">
        <f>IF(SER_hh_tes!J19=0,0,11630*1000*SER_hh_tes!J19/SER_hh_num!J19)</f>
        <v>9207.5976088546795</v>
      </c>
      <c r="K19" s="131">
        <f>IF(SER_hh_tes!K19=0,0,11630*1000*SER_hh_tes!K19/SER_hh_num!K19)</f>
        <v>9209.0074065123154</v>
      </c>
      <c r="L19" s="131">
        <f>IF(SER_hh_tes!L19=0,0,11630*1000*SER_hh_tes!L19/SER_hh_num!L19)</f>
        <v>9152.4817851091138</v>
      </c>
      <c r="M19" s="131">
        <f>IF(SER_hh_tes!M19=0,0,11630*1000*SER_hh_tes!M19/SER_hh_num!M19)</f>
        <v>9267.6054572591147</v>
      </c>
      <c r="N19" s="131">
        <f>IF(SER_hh_tes!N19=0,0,11630*1000*SER_hh_tes!N19/SER_hh_num!N19)</f>
        <v>9436.2688326968801</v>
      </c>
      <c r="O19" s="131">
        <f>IF(SER_hh_tes!O19=0,0,11630*1000*SER_hh_tes!O19/SER_hh_num!O19)</f>
        <v>9517.7927799965528</v>
      </c>
      <c r="P19" s="131">
        <f>IF(SER_hh_tes!P19=0,0,11630*1000*SER_hh_tes!P19/SER_hh_num!P19)</f>
        <v>9665.8481998827083</v>
      </c>
      <c r="Q19" s="131">
        <f>IF(SER_hh_tes!Q19=0,0,11630*1000*SER_hh_tes!Q19/SER_hh_num!Q19)</f>
        <v>9757.7017745820667</v>
      </c>
      <c r="R19" s="131">
        <f>IF(SER_hh_tes!R19=0,0,11630*1000*SER_hh_tes!R19/SER_hh_num!R19)</f>
        <v>9807.011378954383</v>
      </c>
      <c r="S19" s="131">
        <f>IF(SER_hh_tes!S19=0,0,11630*1000*SER_hh_tes!S19/SER_hh_num!S19)</f>
        <v>9876.9101636135492</v>
      </c>
      <c r="T19" s="131">
        <f>IF(SER_hh_tes!T19=0,0,11630*1000*SER_hh_tes!T19/SER_hh_num!T19)</f>
        <v>9819.3609181295869</v>
      </c>
      <c r="U19" s="131">
        <f>IF(SER_hh_tes!U19=0,0,11630*1000*SER_hh_tes!U19/SER_hh_num!U19)</f>
        <v>9693.6923590777133</v>
      </c>
      <c r="V19" s="131">
        <f>IF(SER_hh_tes!V19=0,0,11630*1000*SER_hh_tes!V19/SER_hh_num!V19)</f>
        <v>8536.1442378926986</v>
      </c>
      <c r="W19" s="131">
        <f>IF(SER_hh_tes!W19=0,0,11630*1000*SER_hh_tes!W19/SER_hh_num!W19)</f>
        <v>9424.1405946142804</v>
      </c>
      <c r="DA19" s="156" t="s">
        <v>430</v>
      </c>
    </row>
    <row r="20" spans="1:105" ht="12" customHeight="1" x14ac:dyDescent="0.25">
      <c r="A20" s="132" t="s">
        <v>29</v>
      </c>
      <c r="B20" s="133">
        <f>IF(SER_hh_tes!B20=0,0,11630*1000*SER_hh_tes!B20/SER_hh_num!B20)</f>
        <v>0</v>
      </c>
      <c r="C20" s="133">
        <f>IF(SER_hh_tes!C20=0,0,11630*1000*SER_hh_tes!C20/SER_hh_num!C20)</f>
        <v>0</v>
      </c>
      <c r="D20" s="133">
        <f>IF(SER_hh_tes!D20=0,0,11630*1000*SER_hh_tes!D20/SER_hh_num!D20)</f>
        <v>0</v>
      </c>
      <c r="E20" s="133">
        <f>IF(SER_hh_tes!E20=0,0,11630*1000*SER_hh_tes!E20/SER_hh_num!E20)</f>
        <v>0</v>
      </c>
      <c r="F20" s="133">
        <f>IF(SER_hh_tes!F20=0,0,11630*1000*SER_hh_tes!F20/SER_hh_num!F20)</f>
        <v>0</v>
      </c>
      <c r="G20" s="133">
        <f>IF(SER_hh_tes!G20=0,0,11630*1000*SER_hh_tes!G20/SER_hh_num!G20)</f>
        <v>0</v>
      </c>
      <c r="H20" s="133">
        <f>IF(SER_hh_tes!H20=0,0,11630*1000*SER_hh_tes!H20/SER_hh_num!H20)</f>
        <v>0</v>
      </c>
      <c r="I20" s="133">
        <f>IF(SER_hh_tes!I20=0,0,11630*1000*SER_hh_tes!I20/SER_hh_num!I20)</f>
        <v>0</v>
      </c>
      <c r="J20" s="133">
        <f>IF(SER_hh_tes!J20=0,0,11630*1000*SER_hh_tes!J20/SER_hh_num!J20)</f>
        <v>0</v>
      </c>
      <c r="K20" s="133">
        <f>IF(SER_hh_tes!K20=0,0,11630*1000*SER_hh_tes!K20/SER_hh_num!K20)</f>
        <v>0</v>
      </c>
      <c r="L20" s="133">
        <f>IF(SER_hh_tes!L20=0,0,11630*1000*SER_hh_tes!L20/SER_hh_num!L20)</f>
        <v>0</v>
      </c>
      <c r="M20" s="133">
        <f>IF(SER_hh_tes!M20=0,0,11630*1000*SER_hh_tes!M20/SER_hh_num!M20)</f>
        <v>0</v>
      </c>
      <c r="N20" s="133">
        <f>IF(SER_hh_tes!N20=0,0,11630*1000*SER_hh_tes!N20/SER_hh_num!N20)</f>
        <v>0</v>
      </c>
      <c r="O20" s="133">
        <f>IF(SER_hh_tes!O20=0,0,11630*1000*SER_hh_tes!O20/SER_hh_num!O20)</f>
        <v>0</v>
      </c>
      <c r="P20" s="133">
        <f>IF(SER_hh_tes!P20=0,0,11630*1000*SER_hh_tes!P20/SER_hh_num!P20)</f>
        <v>0</v>
      </c>
      <c r="Q20" s="133">
        <f>IF(SER_hh_tes!Q20=0,0,11630*1000*SER_hh_tes!Q20/SER_hh_num!Q20)</f>
        <v>0</v>
      </c>
      <c r="R20" s="133">
        <f>IF(SER_hh_tes!R20=0,0,11630*1000*SER_hh_tes!R20/SER_hh_num!R20)</f>
        <v>0</v>
      </c>
      <c r="S20" s="133">
        <f>IF(SER_hh_tes!S20=0,0,11630*1000*SER_hh_tes!S20/SER_hh_num!S20)</f>
        <v>0</v>
      </c>
      <c r="T20" s="133">
        <f>IF(SER_hh_tes!T20=0,0,11630*1000*SER_hh_tes!T20/SER_hh_num!T20)</f>
        <v>0</v>
      </c>
      <c r="U20" s="133">
        <f>IF(SER_hh_tes!U20=0,0,11630*1000*SER_hh_tes!U20/SER_hh_num!U20)</f>
        <v>0</v>
      </c>
      <c r="V20" s="133">
        <f>IF(SER_hh_tes!V20=0,0,11630*1000*SER_hh_tes!V20/SER_hh_num!V20)</f>
        <v>0</v>
      </c>
      <c r="W20" s="133">
        <f>IF(SER_hh_tes!W20=0,0,11630*1000*SER_hh_tes!W20/SER_hh_num!W20)</f>
        <v>0</v>
      </c>
      <c r="DA20" s="157" t="s">
        <v>431</v>
      </c>
    </row>
    <row r="21" spans="1:105" s="2" customFormat="1" ht="12" customHeight="1" x14ac:dyDescent="0.25">
      <c r="A21" s="132" t="s">
        <v>52</v>
      </c>
      <c r="B21" s="133">
        <f>IF(SER_hh_tes!B21=0,0,11630*1000*SER_hh_tes!B21/SER_hh_num!B21)</f>
        <v>0</v>
      </c>
      <c r="C21" s="133">
        <f>IF(SER_hh_tes!C21=0,0,11630*1000*SER_hh_tes!C21/SER_hh_num!C21)</f>
        <v>0</v>
      </c>
      <c r="D21" s="133">
        <f>IF(SER_hh_tes!D21=0,0,11630*1000*SER_hh_tes!D21/SER_hh_num!D21)</f>
        <v>0</v>
      </c>
      <c r="E21" s="133">
        <f>IF(SER_hh_tes!E21=0,0,11630*1000*SER_hh_tes!E21/SER_hh_num!E21)</f>
        <v>0</v>
      </c>
      <c r="F21" s="133">
        <f>IF(SER_hh_tes!F21=0,0,11630*1000*SER_hh_tes!F21/SER_hh_num!F21)</f>
        <v>0</v>
      </c>
      <c r="G21" s="133">
        <f>IF(SER_hh_tes!G21=0,0,11630*1000*SER_hh_tes!G21/SER_hh_num!G21)</f>
        <v>0</v>
      </c>
      <c r="H21" s="133">
        <f>IF(SER_hh_tes!H21=0,0,11630*1000*SER_hh_tes!H21/SER_hh_num!H21)</f>
        <v>0</v>
      </c>
      <c r="I21" s="133">
        <f>IF(SER_hh_tes!I21=0,0,11630*1000*SER_hh_tes!I21/SER_hh_num!I21)</f>
        <v>0</v>
      </c>
      <c r="J21" s="133">
        <f>IF(SER_hh_tes!J21=0,0,11630*1000*SER_hh_tes!J21/SER_hh_num!J21)</f>
        <v>0</v>
      </c>
      <c r="K21" s="133">
        <f>IF(SER_hh_tes!K21=0,0,11630*1000*SER_hh_tes!K21/SER_hh_num!K21)</f>
        <v>0</v>
      </c>
      <c r="L21" s="133">
        <f>IF(SER_hh_tes!L21=0,0,11630*1000*SER_hh_tes!L21/SER_hh_num!L21)</f>
        <v>0</v>
      </c>
      <c r="M21" s="133">
        <f>IF(SER_hh_tes!M21=0,0,11630*1000*SER_hh_tes!M21/SER_hh_num!M21)</f>
        <v>0</v>
      </c>
      <c r="N21" s="133">
        <f>IF(SER_hh_tes!N21=0,0,11630*1000*SER_hh_tes!N21/SER_hh_num!N21)</f>
        <v>0</v>
      </c>
      <c r="O21" s="133">
        <f>IF(SER_hh_tes!O21=0,0,11630*1000*SER_hh_tes!O21/SER_hh_num!O21)</f>
        <v>0</v>
      </c>
      <c r="P21" s="133">
        <f>IF(SER_hh_tes!P21=0,0,11630*1000*SER_hh_tes!P21/SER_hh_num!P21)</f>
        <v>0</v>
      </c>
      <c r="Q21" s="133">
        <f>IF(SER_hh_tes!Q21=0,0,11630*1000*SER_hh_tes!Q21/SER_hh_num!Q21)</f>
        <v>0</v>
      </c>
      <c r="R21" s="133">
        <f>IF(SER_hh_tes!R21=0,0,11630*1000*SER_hh_tes!R21/SER_hh_num!R21)</f>
        <v>0</v>
      </c>
      <c r="S21" s="133">
        <f>IF(SER_hh_tes!S21=0,0,11630*1000*SER_hh_tes!S21/SER_hh_num!S21)</f>
        <v>0</v>
      </c>
      <c r="T21" s="133">
        <f>IF(SER_hh_tes!T21=0,0,11630*1000*SER_hh_tes!T21/SER_hh_num!T21)</f>
        <v>0</v>
      </c>
      <c r="U21" s="133">
        <f>IF(SER_hh_tes!U21=0,0,11630*1000*SER_hh_tes!U21/SER_hh_num!U21)</f>
        <v>0</v>
      </c>
      <c r="V21" s="133">
        <f>IF(SER_hh_tes!V21=0,0,11630*1000*SER_hh_tes!V21/SER_hh_num!V21)</f>
        <v>0</v>
      </c>
      <c r="W21" s="133">
        <f>IF(SER_hh_tes!W21=0,0,11630*1000*SER_hh_tes!W21/SER_hh_num!W21)</f>
        <v>0</v>
      </c>
      <c r="DA21" s="157" t="s">
        <v>432</v>
      </c>
    </row>
    <row r="22" spans="1:105" ht="12" customHeight="1" x14ac:dyDescent="0.25">
      <c r="A22" s="132" t="s">
        <v>168</v>
      </c>
      <c r="B22" s="133">
        <f>IF(SER_hh_tes!B22=0,0,11630*1000*SER_hh_tes!B22/SER_hh_num!B22)</f>
        <v>9498.6855577946208</v>
      </c>
      <c r="C22" s="133">
        <f>IF(SER_hh_tes!C22=0,0,11630*1000*SER_hh_tes!C22/SER_hh_num!C22)</f>
        <v>9297.6616956555936</v>
      </c>
      <c r="D22" s="133">
        <f>IF(SER_hh_tes!D22=0,0,11630*1000*SER_hh_tes!D22/SER_hh_num!D22)</f>
        <v>9234.8163147100986</v>
      </c>
      <c r="E22" s="133">
        <f>IF(SER_hh_tes!E22=0,0,11630*1000*SER_hh_tes!E22/SER_hh_num!E22)</f>
        <v>9254.1383040959317</v>
      </c>
      <c r="F22" s="133">
        <f>IF(SER_hh_tes!F22=0,0,11630*1000*SER_hh_tes!F22/SER_hh_num!F22)</f>
        <v>9375.805304392723</v>
      </c>
      <c r="G22" s="133">
        <f>IF(SER_hh_tes!G22=0,0,11630*1000*SER_hh_tes!G22/SER_hh_num!G22)</f>
        <v>9529.9843166101018</v>
      </c>
      <c r="H22" s="133">
        <f>IF(SER_hh_tes!H22=0,0,11630*1000*SER_hh_tes!H22/SER_hh_num!H22)</f>
        <v>9029.5412512161765</v>
      </c>
      <c r="I22" s="133">
        <f>IF(SER_hh_tes!I22=0,0,11630*1000*SER_hh_tes!I22/SER_hh_num!I22)</f>
        <v>8673.1269537542612</v>
      </c>
      <c r="J22" s="133">
        <f>IF(SER_hh_tes!J22=0,0,11630*1000*SER_hh_tes!J22/SER_hh_num!J22)</f>
        <v>9136.1896329579886</v>
      </c>
      <c r="K22" s="133">
        <f>IF(SER_hh_tes!K22=0,0,11630*1000*SER_hh_tes!K22/SER_hh_num!K22)</f>
        <v>9388.8141130986714</v>
      </c>
      <c r="L22" s="133">
        <f>IF(SER_hh_tes!L22=0,0,11630*1000*SER_hh_tes!L22/SER_hh_num!L22)</f>
        <v>9311.7911473172262</v>
      </c>
      <c r="M22" s="133">
        <f>IF(SER_hh_tes!M22=0,0,11630*1000*SER_hh_tes!M22/SER_hh_num!M22)</f>
        <v>8772.7735775898163</v>
      </c>
      <c r="N22" s="133">
        <f>IF(SER_hh_tes!N22=0,0,11630*1000*SER_hh_tes!N22/SER_hh_num!N22)</f>
        <v>9242.0023647485305</v>
      </c>
      <c r="O22" s="133">
        <f>IF(SER_hh_tes!O22=0,0,11630*1000*SER_hh_tes!O22/SER_hh_num!O22)</f>
        <v>9627.5867546943919</v>
      </c>
      <c r="P22" s="133">
        <f>IF(SER_hh_tes!P22=0,0,11630*1000*SER_hh_tes!P22/SER_hh_num!P22)</f>
        <v>9660.36576919867</v>
      </c>
      <c r="Q22" s="133">
        <f>IF(SER_hh_tes!Q22=0,0,11630*1000*SER_hh_tes!Q22/SER_hh_num!Q22)</f>
        <v>9714.0716797458444</v>
      </c>
      <c r="R22" s="133">
        <f>IF(SER_hh_tes!R22=0,0,11630*1000*SER_hh_tes!R22/SER_hh_num!R22)</f>
        <v>10088.63774881224</v>
      </c>
      <c r="S22" s="133">
        <f>IF(SER_hh_tes!S22=0,0,11630*1000*SER_hh_tes!S22/SER_hh_num!S22)</f>
        <v>9911.4307779140509</v>
      </c>
      <c r="T22" s="133">
        <f>IF(SER_hh_tes!T22=0,0,11630*1000*SER_hh_tes!T22/SER_hh_num!T22)</f>
        <v>11172.237084940967</v>
      </c>
      <c r="U22" s="133">
        <f>IF(SER_hh_tes!U22=0,0,11630*1000*SER_hh_tes!U22/SER_hh_num!U22)</f>
        <v>6891.2569902844007</v>
      </c>
      <c r="V22" s="133">
        <f>IF(SER_hh_tes!V22=0,0,11630*1000*SER_hh_tes!V22/SER_hh_num!V22)</f>
        <v>9910.7695118645643</v>
      </c>
      <c r="W22" s="133">
        <f>IF(SER_hh_tes!W22=0,0,11630*1000*SER_hh_tes!W22/SER_hh_num!W22)</f>
        <v>7948.9985871420904</v>
      </c>
      <c r="DA22" s="157" t="s">
        <v>433</v>
      </c>
    </row>
    <row r="23" spans="1:105" ht="12" customHeight="1" x14ac:dyDescent="0.25">
      <c r="A23" s="132" t="s">
        <v>153</v>
      </c>
      <c r="B23" s="133">
        <f>IF(SER_hh_tes!B23=0,0,11630*1000*SER_hh_tes!B23/SER_hh_num!B23)</f>
        <v>9344.7249775568289</v>
      </c>
      <c r="C23" s="133">
        <f>IF(SER_hh_tes!C23=0,0,11630*1000*SER_hh_tes!C23/SER_hh_num!C23)</f>
        <v>9165.4555264612554</v>
      </c>
      <c r="D23" s="133">
        <f>IF(SER_hh_tes!D23=0,0,11630*1000*SER_hh_tes!D23/SER_hh_num!D23)</f>
        <v>8849.0334692868928</v>
      </c>
      <c r="E23" s="133">
        <f>IF(SER_hh_tes!E23=0,0,11630*1000*SER_hh_tes!E23/SER_hh_num!E23)</f>
        <v>9564.3766969120861</v>
      </c>
      <c r="F23" s="133">
        <f>IF(SER_hh_tes!F23=0,0,11630*1000*SER_hh_tes!F23/SER_hh_num!F23)</f>
        <v>8984.4210518187956</v>
      </c>
      <c r="G23" s="133">
        <f>IF(SER_hh_tes!G23=0,0,11630*1000*SER_hh_tes!G23/SER_hh_num!G23)</f>
        <v>9221.1975548183218</v>
      </c>
      <c r="H23" s="133">
        <f>IF(SER_hh_tes!H23=0,0,11630*1000*SER_hh_tes!H23/SER_hh_num!H23)</f>
        <v>9489.4361974842013</v>
      </c>
      <c r="I23" s="133">
        <f>IF(SER_hh_tes!I23=0,0,11630*1000*SER_hh_tes!I23/SER_hh_num!I23)</f>
        <v>9203.6565601969105</v>
      </c>
      <c r="J23" s="133">
        <f>IF(SER_hh_tes!J23=0,0,11630*1000*SER_hh_tes!J23/SER_hh_num!J23)</f>
        <v>9177.7386700297266</v>
      </c>
      <c r="K23" s="133">
        <f>IF(SER_hh_tes!K23=0,0,11630*1000*SER_hh_tes!K23/SER_hh_num!K23)</f>
        <v>9331.7613832935458</v>
      </c>
      <c r="L23" s="133">
        <f>IF(SER_hh_tes!L23=0,0,11630*1000*SER_hh_tes!L23/SER_hh_num!L23)</f>
        <v>9674.1185083827277</v>
      </c>
      <c r="M23" s="133">
        <f>IF(SER_hh_tes!M23=0,0,11630*1000*SER_hh_tes!M23/SER_hh_num!M23)</f>
        <v>8750.9777572296261</v>
      </c>
      <c r="N23" s="133">
        <f>IF(SER_hh_tes!N23=0,0,11630*1000*SER_hh_tes!N23/SER_hh_num!N23)</f>
        <v>9257.2927698944513</v>
      </c>
      <c r="O23" s="133">
        <f>IF(SER_hh_tes!O23=0,0,11630*1000*SER_hh_tes!O23/SER_hh_num!O23)</f>
        <v>9585.4525427477201</v>
      </c>
      <c r="P23" s="133">
        <f>IF(SER_hh_tes!P23=0,0,11630*1000*SER_hh_tes!P23/SER_hh_num!P23)</f>
        <v>8798.7726863059033</v>
      </c>
      <c r="Q23" s="133">
        <f>IF(SER_hh_tes!Q23=0,0,11630*1000*SER_hh_tes!Q23/SER_hh_num!Q23)</f>
        <v>9855.8620422283311</v>
      </c>
      <c r="R23" s="133">
        <f>IF(SER_hh_tes!R23=0,0,11630*1000*SER_hh_tes!R23/SER_hh_num!R23)</f>
        <v>9811.0165553888382</v>
      </c>
      <c r="S23" s="133">
        <f>IF(SER_hh_tes!S23=0,0,11630*1000*SER_hh_tes!S23/SER_hh_num!S23)</f>
        <v>10002.933762335837</v>
      </c>
      <c r="T23" s="133">
        <f>IF(SER_hh_tes!T23=0,0,11630*1000*SER_hh_tes!T23/SER_hh_num!T23)</f>
        <v>9857.4910287904095</v>
      </c>
      <c r="U23" s="133">
        <f>IF(SER_hh_tes!U23=0,0,11630*1000*SER_hh_tes!U23/SER_hh_num!U23)</f>
        <v>10324.822066448036</v>
      </c>
      <c r="V23" s="133">
        <f>IF(SER_hh_tes!V23=0,0,11630*1000*SER_hh_tes!V23/SER_hh_num!V23)</f>
        <v>6945.4516210514703</v>
      </c>
      <c r="W23" s="133">
        <f>IF(SER_hh_tes!W23=0,0,11630*1000*SER_hh_tes!W23/SER_hh_num!W23)</f>
        <v>10198.92441904155</v>
      </c>
      <c r="DA23" s="157" t="s">
        <v>434</v>
      </c>
    </row>
    <row r="24" spans="1:105" ht="12" customHeight="1" x14ac:dyDescent="0.25">
      <c r="A24" s="132" t="s">
        <v>128</v>
      </c>
      <c r="B24" s="133">
        <f>IF(SER_hh_tes!B24=0,0,11630*1000*SER_hh_tes!B24/SER_hh_num!B24)</f>
        <v>9034.2726132996231</v>
      </c>
      <c r="C24" s="133">
        <f>IF(SER_hh_tes!C24=0,0,11630*1000*SER_hh_tes!C24/SER_hh_num!C24)</f>
        <v>9525.5929171954303</v>
      </c>
      <c r="D24" s="133">
        <f>IF(SER_hh_tes!D24=0,0,11630*1000*SER_hh_tes!D24/SER_hh_num!D24)</f>
        <v>9364.6743054366816</v>
      </c>
      <c r="E24" s="133">
        <f>IF(SER_hh_tes!E24=0,0,11630*1000*SER_hh_tes!E24/SER_hh_num!E24)</f>
        <v>9186.434971917879</v>
      </c>
      <c r="F24" s="133">
        <f>IF(SER_hh_tes!F24=0,0,11630*1000*SER_hh_tes!F24/SER_hh_num!F24)</f>
        <v>9103.0945756716319</v>
      </c>
      <c r="G24" s="133">
        <f>IF(SER_hh_tes!G24=0,0,11630*1000*SER_hh_tes!G24/SER_hh_num!G24)</f>
        <v>9198.7830231217558</v>
      </c>
      <c r="H24" s="133">
        <f>IF(SER_hh_tes!H24=0,0,11630*1000*SER_hh_tes!H24/SER_hh_num!H24)</f>
        <v>9150.5120354121318</v>
      </c>
      <c r="I24" s="133">
        <f>IF(SER_hh_tes!I24=0,0,11630*1000*SER_hh_tes!I24/SER_hh_num!I24)</f>
        <v>9152.8701892993413</v>
      </c>
      <c r="J24" s="133">
        <f>IF(SER_hh_tes!J24=0,0,11630*1000*SER_hh_tes!J24/SER_hh_num!J24)</f>
        <v>9144.1453964624634</v>
      </c>
      <c r="K24" s="133">
        <f>IF(SER_hh_tes!K24=0,0,11630*1000*SER_hh_tes!K24/SER_hh_num!K24)</f>
        <v>9158.8244140902534</v>
      </c>
      <c r="L24" s="133">
        <f>IF(SER_hh_tes!L24=0,0,11630*1000*SER_hh_tes!L24/SER_hh_num!L24)</f>
        <v>9126.8934987235461</v>
      </c>
      <c r="M24" s="133">
        <f>IF(SER_hh_tes!M24=0,0,11630*1000*SER_hh_tes!M24/SER_hh_num!M24)</f>
        <v>9264.5423509265202</v>
      </c>
      <c r="N24" s="133">
        <f>IF(SER_hh_tes!N24=0,0,11630*1000*SER_hh_tes!N24/SER_hh_num!N24)</f>
        <v>9509.743399998335</v>
      </c>
      <c r="O24" s="133">
        <f>IF(SER_hh_tes!O24=0,0,11630*1000*SER_hh_tes!O24/SER_hh_num!O24)</f>
        <v>9543.3036893718745</v>
      </c>
      <c r="P24" s="133">
        <f>IF(SER_hh_tes!P24=0,0,11630*1000*SER_hh_tes!P24/SER_hh_num!P24)</f>
        <v>9381.6237894647675</v>
      </c>
      <c r="Q24" s="133">
        <f>IF(SER_hh_tes!Q24=0,0,11630*1000*SER_hh_tes!Q24/SER_hh_num!Q24)</f>
        <v>9251.2115970833238</v>
      </c>
      <c r="R24" s="133">
        <f>IF(SER_hh_tes!R24=0,0,11630*1000*SER_hh_tes!R24/SER_hh_num!R24)</f>
        <v>9803.2491740509904</v>
      </c>
      <c r="S24" s="133">
        <f>IF(SER_hh_tes!S24=0,0,11630*1000*SER_hh_tes!S24/SER_hh_num!S24)</f>
        <v>10097.451348688055</v>
      </c>
      <c r="T24" s="133">
        <f>IF(SER_hh_tes!T24=0,0,11630*1000*SER_hh_tes!T24/SER_hh_num!T24)</f>
        <v>11096.328359980056</v>
      </c>
      <c r="U24" s="133">
        <f>IF(SER_hh_tes!U24=0,0,11630*1000*SER_hh_tes!U24/SER_hh_num!U24)</f>
        <v>9713.6013762701914</v>
      </c>
      <c r="V24" s="133">
        <f>IF(SER_hh_tes!V24=0,0,11630*1000*SER_hh_tes!V24/SER_hh_num!V24)</f>
        <v>8714.0029609170906</v>
      </c>
      <c r="W24" s="133">
        <f>IF(SER_hh_tes!W24=0,0,11630*1000*SER_hh_tes!W24/SER_hh_num!W24)</f>
        <v>9242.1724069917655</v>
      </c>
      <c r="DA24" s="157" t="s">
        <v>435</v>
      </c>
    </row>
    <row r="25" spans="1:105" ht="12" customHeight="1" x14ac:dyDescent="0.25">
      <c r="A25" s="132" t="s">
        <v>169</v>
      </c>
      <c r="B25" s="133">
        <f>IF(SER_hh_tes!B25=0,0,11630*1000*SER_hh_tes!B25/SER_hh_num!B25)</f>
        <v>9329.461536767074</v>
      </c>
      <c r="C25" s="133">
        <f>IF(SER_hh_tes!C25=0,0,11630*1000*SER_hh_tes!C25/SER_hh_num!C25)</f>
        <v>9466.0609675044634</v>
      </c>
      <c r="D25" s="133">
        <f>IF(SER_hh_tes!D25=0,0,11630*1000*SER_hh_tes!D25/SER_hh_num!D25)</f>
        <v>9291.3272375682755</v>
      </c>
      <c r="E25" s="133">
        <f>IF(SER_hh_tes!E25=0,0,11630*1000*SER_hh_tes!E25/SER_hh_num!E25)</f>
        <v>9233.7412572628455</v>
      </c>
      <c r="F25" s="133">
        <f>IF(SER_hh_tes!F25=0,0,11630*1000*SER_hh_tes!F25/SER_hh_num!F25)</f>
        <v>9192.7564675962858</v>
      </c>
      <c r="G25" s="133">
        <f>IF(SER_hh_tes!G25=0,0,11630*1000*SER_hh_tes!G25/SER_hh_num!G25)</f>
        <v>9223.1879185161397</v>
      </c>
      <c r="H25" s="133">
        <f>IF(SER_hh_tes!H25=0,0,11630*1000*SER_hh_tes!H25/SER_hh_num!H25)</f>
        <v>9083.7187959239836</v>
      </c>
      <c r="I25" s="133">
        <f>IF(SER_hh_tes!I25=0,0,11630*1000*SER_hh_tes!I25/SER_hh_num!I25)</f>
        <v>9002.1812713669024</v>
      </c>
      <c r="J25" s="133">
        <f>IF(SER_hh_tes!J25=0,0,11630*1000*SER_hh_tes!J25/SER_hh_num!J25)</f>
        <v>9045.077901772931</v>
      </c>
      <c r="K25" s="133">
        <f>IF(SER_hh_tes!K25=0,0,11630*1000*SER_hh_tes!K25/SER_hh_num!K25)</f>
        <v>9116.1595610202658</v>
      </c>
      <c r="L25" s="133">
        <f>IF(SER_hh_tes!L25=0,0,11630*1000*SER_hh_tes!L25/SER_hh_num!L25)</f>
        <v>9255.4777220559208</v>
      </c>
      <c r="M25" s="133">
        <f>IF(SER_hh_tes!M25=0,0,11630*1000*SER_hh_tes!M25/SER_hh_num!M25)</f>
        <v>9325.3091408924047</v>
      </c>
      <c r="N25" s="133">
        <f>IF(SER_hh_tes!N25=0,0,11630*1000*SER_hh_tes!N25/SER_hh_num!N25)</f>
        <v>9324.2855215611562</v>
      </c>
      <c r="O25" s="133">
        <f>IF(SER_hh_tes!O25=0,0,11630*1000*SER_hh_tes!O25/SER_hh_num!O25)</f>
        <v>9404.9774044454316</v>
      </c>
      <c r="P25" s="133">
        <f>IF(SER_hh_tes!P25=0,0,11630*1000*SER_hh_tes!P25/SER_hh_num!P25)</f>
        <v>9693.0096199072777</v>
      </c>
      <c r="Q25" s="133">
        <f>IF(SER_hh_tes!Q25=0,0,11630*1000*SER_hh_tes!Q25/SER_hh_num!Q25)</f>
        <v>9776.0696984882125</v>
      </c>
      <c r="R25" s="133">
        <f>IF(SER_hh_tes!R25=0,0,11630*1000*SER_hh_tes!R25/SER_hh_num!R25)</f>
        <v>9715.0188505736933</v>
      </c>
      <c r="S25" s="133">
        <f>IF(SER_hh_tes!S25=0,0,11630*1000*SER_hh_tes!S25/SER_hh_num!S25)</f>
        <v>9643.1842103570252</v>
      </c>
      <c r="T25" s="133">
        <f>IF(SER_hh_tes!T25=0,0,11630*1000*SER_hh_tes!T25/SER_hh_num!T25)</f>
        <v>9833.154905600295</v>
      </c>
      <c r="U25" s="133">
        <f>IF(SER_hh_tes!U25=0,0,11630*1000*SER_hh_tes!U25/SER_hh_num!U25)</f>
        <v>9490.741596358559</v>
      </c>
      <c r="V25" s="133">
        <f>IF(SER_hh_tes!V25=0,0,11630*1000*SER_hh_tes!V25/SER_hh_num!V25)</f>
        <v>8764.2787237723187</v>
      </c>
      <c r="W25" s="133">
        <f>IF(SER_hh_tes!W25=0,0,11630*1000*SER_hh_tes!W25/SER_hh_num!W25)</f>
        <v>9177.7130729649216</v>
      </c>
      <c r="DA25" s="157" t="s">
        <v>436</v>
      </c>
    </row>
    <row r="26" spans="1:105" ht="12" customHeight="1" x14ac:dyDescent="0.25">
      <c r="A26" s="132" t="s">
        <v>24</v>
      </c>
      <c r="B26" s="65">
        <f>IF(SER_hh_tes!B26=0,0,11630*1000*SER_hh_tes!B26/SER_hh_num!B26)</f>
        <v>9306.1066994042649</v>
      </c>
      <c r="C26" s="65">
        <f>IF(SER_hh_tes!C26=0,0,11630*1000*SER_hh_tes!C26/SER_hh_num!C26)</f>
        <v>8948.745070896015</v>
      </c>
      <c r="D26" s="65">
        <f>IF(SER_hh_tes!D26=0,0,11630*1000*SER_hh_tes!D26/SER_hh_num!D26)</f>
        <v>9138.329601520667</v>
      </c>
      <c r="E26" s="65">
        <f>IF(SER_hh_tes!E26=0,0,11630*1000*SER_hh_tes!E26/SER_hh_num!E26)</f>
        <v>8819.0615587301745</v>
      </c>
      <c r="F26" s="65">
        <f>IF(SER_hh_tes!F26=0,0,11630*1000*SER_hh_tes!F26/SER_hh_num!F26)</f>
        <v>8900.6127709909106</v>
      </c>
      <c r="G26" s="65">
        <f>IF(SER_hh_tes!G26=0,0,11630*1000*SER_hh_tes!G26/SER_hh_num!G26)</f>
        <v>8725.7264968369309</v>
      </c>
      <c r="H26" s="65">
        <f>IF(SER_hh_tes!H26=0,0,11630*1000*SER_hh_tes!H26/SER_hh_num!H26)</f>
        <v>8967.7440333042523</v>
      </c>
      <c r="I26" s="65">
        <f>IF(SER_hh_tes!I26=0,0,11630*1000*SER_hh_tes!I26/SER_hh_num!I26)</f>
        <v>9124.5859683615054</v>
      </c>
      <c r="J26" s="65">
        <f>IF(SER_hh_tes!J26=0,0,11630*1000*SER_hh_tes!J26/SER_hh_num!J26)</f>
        <v>9082.7356118798143</v>
      </c>
      <c r="K26" s="65">
        <f>IF(SER_hh_tes!K26=0,0,11630*1000*SER_hh_tes!K26/SER_hh_num!K26)</f>
        <v>8823.9677937590768</v>
      </c>
      <c r="L26" s="65">
        <f>IF(SER_hh_tes!L26=0,0,11630*1000*SER_hh_tes!L26/SER_hh_num!L26)</f>
        <v>8151.4582354599625</v>
      </c>
      <c r="M26" s="65">
        <f>IF(SER_hh_tes!M26=0,0,11630*1000*SER_hh_tes!M26/SER_hh_num!M26)</f>
        <v>8879.3912167887574</v>
      </c>
      <c r="N26" s="65">
        <f>IF(SER_hh_tes!N26=0,0,11630*1000*SER_hh_tes!N26/SER_hh_num!N26)</f>
        <v>9211.7333893712312</v>
      </c>
      <c r="O26" s="65">
        <f>IF(SER_hh_tes!O26=0,0,11630*1000*SER_hh_tes!O26/SER_hh_num!O26)</f>
        <v>9153.4440381139029</v>
      </c>
      <c r="P26" s="65">
        <f>IF(SER_hh_tes!P26=0,0,11630*1000*SER_hh_tes!P26/SER_hh_num!P26)</f>
        <v>9375.6914901244691</v>
      </c>
      <c r="Q26" s="65">
        <f>IF(SER_hh_tes!Q26=0,0,11630*1000*SER_hh_tes!Q26/SER_hh_num!Q26)</f>
        <v>9104.9351548738287</v>
      </c>
      <c r="R26" s="65">
        <f>IF(SER_hh_tes!R26=0,0,11630*1000*SER_hh_tes!R26/SER_hh_num!R26)</f>
        <v>9351.517945503294</v>
      </c>
      <c r="S26" s="65">
        <f>IF(SER_hh_tes!S26=0,0,11630*1000*SER_hh_tes!S26/SER_hh_num!S26)</f>
        <v>9701.6292498600669</v>
      </c>
      <c r="T26" s="65">
        <f>IF(SER_hh_tes!T26=0,0,11630*1000*SER_hh_tes!T26/SER_hh_num!T26)</f>
        <v>8798.7221926952607</v>
      </c>
      <c r="U26" s="65">
        <f>IF(SER_hh_tes!U26=0,0,11630*1000*SER_hh_tes!U26/SER_hh_num!U26)</f>
        <v>9385.7024335955393</v>
      </c>
      <c r="V26" s="65">
        <f>IF(SER_hh_tes!V26=0,0,11630*1000*SER_hh_tes!V26/SER_hh_num!V26)</f>
        <v>7869.3570198783755</v>
      </c>
      <c r="W26" s="65">
        <f>IF(SER_hh_tes!W26=0,0,11630*1000*SER_hh_tes!W26/SER_hh_num!W26)</f>
        <v>9082.2530237503106</v>
      </c>
      <c r="DA26" s="109" t="s">
        <v>437</v>
      </c>
    </row>
    <row r="27" spans="1:105" ht="12" customHeight="1" x14ac:dyDescent="0.25">
      <c r="A27" s="145" t="s">
        <v>86</v>
      </c>
      <c r="B27" s="146">
        <f>IF(SER_hh_tes!B27=0,0,11630*1000*SER_hh_tes!B27/SER_hh_num!B19)</f>
        <v>106.94882763483746</v>
      </c>
      <c r="C27" s="146">
        <f>IF(SER_hh_tes!C27=0,0,11630*1000*SER_hh_tes!C27/SER_hh_num!C19)</f>
        <v>106.87152193277034</v>
      </c>
      <c r="D27" s="146">
        <f>IF(SER_hh_tes!D27=0,0,11630*1000*SER_hh_tes!D27/SER_hh_num!D19)</f>
        <v>106.40271678913567</v>
      </c>
      <c r="E27" s="146">
        <f>IF(SER_hh_tes!E27=0,0,11630*1000*SER_hh_tes!E27/SER_hh_num!E19)</f>
        <v>106.18134585271326</v>
      </c>
      <c r="F27" s="146">
        <f>IF(SER_hh_tes!F27=0,0,11630*1000*SER_hh_tes!F27/SER_hh_num!F19)</f>
        <v>108.23171773695299</v>
      </c>
      <c r="G27" s="146">
        <f>IF(SER_hh_tes!G27=0,0,11630*1000*SER_hh_tes!G27/SER_hh_num!G19)</f>
        <v>112.26943997513382</v>
      </c>
      <c r="H27" s="146">
        <f>IF(SER_hh_tes!H27=0,0,11630*1000*SER_hh_tes!H27/SER_hh_num!H19)</f>
        <v>116.08721402778831</v>
      </c>
      <c r="I27" s="146">
        <f>IF(SER_hh_tes!I27=0,0,11630*1000*SER_hh_tes!I27/SER_hh_num!I19)</f>
        <v>122.58704643692641</v>
      </c>
      <c r="J27" s="146">
        <f>IF(SER_hh_tes!J27=0,0,11630*1000*SER_hh_tes!J27/SER_hh_num!J19)</f>
        <v>128.72806172910202</v>
      </c>
      <c r="K27" s="146">
        <f>IF(SER_hh_tes!K27=0,0,11630*1000*SER_hh_tes!K27/SER_hh_num!K19)</f>
        <v>135.642584199346</v>
      </c>
      <c r="L27" s="146">
        <f>IF(SER_hh_tes!L27=0,0,11630*1000*SER_hh_tes!L27/SER_hh_num!L19)</f>
        <v>138.14635488577312</v>
      </c>
      <c r="M27" s="146">
        <f>IF(SER_hh_tes!M27=0,0,11630*1000*SER_hh_tes!M27/SER_hh_num!M19)</f>
        <v>144.40978744745919</v>
      </c>
      <c r="N27" s="146">
        <f>IF(SER_hh_tes!N27=0,0,11630*1000*SER_hh_tes!N27/SER_hh_num!N19)</f>
        <v>148.35977389190629</v>
      </c>
      <c r="O27" s="146">
        <f>IF(SER_hh_tes!O27=0,0,11630*1000*SER_hh_tes!O27/SER_hh_num!O19)</f>
        <v>152.44374304878698</v>
      </c>
      <c r="P27" s="146">
        <f>IF(SER_hh_tes!P27=0,0,11630*1000*SER_hh_tes!P27/SER_hh_num!P19)</f>
        <v>154.95147223802309</v>
      </c>
      <c r="Q27" s="146">
        <f>IF(SER_hh_tes!Q27=0,0,11630*1000*SER_hh_tes!Q27/SER_hh_num!Q19)</f>
        <v>158.26379906390866</v>
      </c>
      <c r="R27" s="146">
        <f>IF(SER_hh_tes!R27=0,0,11630*1000*SER_hh_tes!R27/SER_hh_num!R19)</f>
        <v>159.0748893033844</v>
      </c>
      <c r="S27" s="146">
        <f>IF(SER_hh_tes!S27=0,0,11630*1000*SER_hh_tes!S27/SER_hh_num!S19)</f>
        <v>159.7313562385927</v>
      </c>
      <c r="T27" s="146">
        <f>IF(SER_hh_tes!T27=0,0,11630*1000*SER_hh_tes!T27/SER_hh_num!T19)</f>
        <v>160.10743132488813</v>
      </c>
      <c r="U27" s="146">
        <f>IF(SER_hh_tes!U27=0,0,11630*1000*SER_hh_tes!U27/SER_hh_num!U19)</f>
        <v>160.72678414254497</v>
      </c>
      <c r="V27" s="146">
        <f>IF(SER_hh_tes!V27=0,0,11630*1000*SER_hh_tes!V27/SER_hh_num!V19)</f>
        <v>159.39033284643375</v>
      </c>
      <c r="W27" s="146">
        <f>IF(SER_hh_tes!W27=0,0,11630*1000*SER_hh_tes!W27/SER_hh_num!W19)</f>
        <v>158.08443964180924</v>
      </c>
      <c r="DA27" s="159" t="s">
        <v>438</v>
      </c>
    </row>
    <row r="28" spans="1:105" ht="12" customHeight="1" x14ac:dyDescent="0.25">
      <c r="A28" s="78" t="s">
        <v>85</v>
      </c>
      <c r="B28" s="147">
        <f>IF(SER_hh_tes!B27=0,0,11630*1000*SER_hh_tes!B27/SER_hh_num!B27)</f>
        <v>4055.9535626703487</v>
      </c>
      <c r="C28" s="147">
        <f>IF(SER_hh_tes!C27=0,0,11630*1000*SER_hh_tes!C27/SER_hh_num!C27)</f>
        <v>4127.0606285714757</v>
      </c>
      <c r="D28" s="147">
        <f>IF(SER_hh_tes!D27=0,0,11630*1000*SER_hh_tes!D27/SER_hh_num!D27)</f>
        <v>4038.0868540924434</v>
      </c>
      <c r="E28" s="147">
        <f>IF(SER_hh_tes!E27=0,0,11630*1000*SER_hh_tes!E27/SER_hh_num!E27)</f>
        <v>4081.7134811928813</v>
      </c>
      <c r="F28" s="147">
        <f>IF(SER_hh_tes!F27=0,0,11630*1000*SER_hh_tes!F27/SER_hh_num!F27)</f>
        <v>4080.786363835613</v>
      </c>
      <c r="G28" s="147">
        <f>IF(SER_hh_tes!G27=0,0,11630*1000*SER_hh_tes!G27/SER_hh_num!G27)</f>
        <v>3996.8437025925587</v>
      </c>
      <c r="H28" s="147">
        <f>IF(SER_hh_tes!H27=0,0,11630*1000*SER_hh_tes!H27/SER_hh_num!H27)</f>
        <v>3990.7688190156696</v>
      </c>
      <c r="I28" s="147">
        <f>IF(SER_hh_tes!I27=0,0,11630*1000*SER_hh_tes!I27/SER_hh_num!I27)</f>
        <v>4053.4882712054987</v>
      </c>
      <c r="J28" s="147">
        <f>IF(SER_hh_tes!J27=0,0,11630*1000*SER_hh_tes!J27/SER_hh_num!J27)</f>
        <v>4226.0716964338626</v>
      </c>
      <c r="K28" s="147">
        <f>IF(SER_hh_tes!K27=0,0,11630*1000*SER_hh_tes!K27/SER_hh_num!K27)</f>
        <v>4667.5657434391678</v>
      </c>
      <c r="L28" s="147">
        <f>IF(SER_hh_tes!L27=0,0,11630*1000*SER_hh_tes!L27/SER_hh_num!L27)</f>
        <v>3960.3522982916511</v>
      </c>
      <c r="M28" s="147">
        <f>IF(SER_hh_tes!M27=0,0,11630*1000*SER_hh_tes!M27/SER_hh_num!M27)</f>
        <v>4054.1879602406584</v>
      </c>
      <c r="N28" s="147">
        <f>IF(SER_hh_tes!N27=0,0,11630*1000*SER_hh_tes!N27/SER_hh_num!N27)</f>
        <v>4239.1480362424463</v>
      </c>
      <c r="O28" s="147">
        <f>IF(SER_hh_tes!O27=0,0,11630*1000*SER_hh_tes!O27/SER_hh_num!O27)</f>
        <v>4000.6409191510802</v>
      </c>
      <c r="P28" s="147">
        <f>IF(SER_hh_tes!P27=0,0,11630*1000*SER_hh_tes!P27/SER_hh_num!P27)</f>
        <v>4283.9826304397948</v>
      </c>
      <c r="Q28" s="147">
        <f>IF(SER_hh_tes!Q27=0,0,11630*1000*SER_hh_tes!Q27/SER_hh_num!Q27)</f>
        <v>4196.9644107068079</v>
      </c>
      <c r="R28" s="147">
        <f>IF(SER_hh_tes!R27=0,0,11630*1000*SER_hh_tes!R27/SER_hh_num!R27)</f>
        <v>4208.9438270262099</v>
      </c>
      <c r="S28" s="147">
        <f>IF(SER_hh_tes!S27=0,0,11630*1000*SER_hh_tes!S27/SER_hh_num!S27)</f>
        <v>4481.8087943801738</v>
      </c>
      <c r="T28" s="147">
        <f>IF(SER_hh_tes!T27=0,0,11630*1000*SER_hh_tes!T27/SER_hh_num!T27)</f>
        <v>4417.1112870193601</v>
      </c>
      <c r="U28" s="147">
        <f>IF(SER_hh_tes!U27=0,0,11630*1000*SER_hh_tes!U27/SER_hh_num!U27)</f>
        <v>4275.9678316453501</v>
      </c>
      <c r="V28" s="147">
        <f>IF(SER_hh_tes!V27=0,0,11630*1000*SER_hh_tes!V27/SER_hh_num!V27)</f>
        <v>3742.9714277368448</v>
      </c>
      <c r="W28" s="147">
        <f>IF(SER_hh_tes!W27=0,0,11630*1000*SER_hh_tes!W27/SER_hh_num!W27)</f>
        <v>4091.4002338502974</v>
      </c>
      <c r="DA28" s="160"/>
    </row>
    <row r="29" spans="1:105" ht="12.95" customHeight="1" x14ac:dyDescent="0.25">
      <c r="A29" s="130" t="s">
        <v>34</v>
      </c>
      <c r="B29" s="131">
        <f>IF(SER_hh_tes!B29=0,0,11630*1000*SER_hh_tes!B29/SER_hh_num!B29)</f>
        <v>7928.8286709323447</v>
      </c>
      <c r="C29" s="131">
        <f>IF(SER_hh_tes!C29=0,0,11630*1000*SER_hh_tes!C29/SER_hh_num!C29)</f>
        <v>7965.9041069400364</v>
      </c>
      <c r="D29" s="131">
        <f>IF(SER_hh_tes!D29=0,0,11630*1000*SER_hh_tes!D29/SER_hh_num!D29)</f>
        <v>8011.0994402947781</v>
      </c>
      <c r="E29" s="131">
        <f>IF(SER_hh_tes!E29=0,0,11630*1000*SER_hh_tes!E29/SER_hh_num!E29)</f>
        <v>8202.8083779543613</v>
      </c>
      <c r="F29" s="131">
        <f>IF(SER_hh_tes!F29=0,0,11630*1000*SER_hh_tes!F29/SER_hh_num!F29)</f>
        <v>8307.318765594222</v>
      </c>
      <c r="G29" s="131">
        <f>IF(SER_hh_tes!G29=0,0,11630*1000*SER_hh_tes!G29/SER_hh_num!G29)</f>
        <v>8280.7941905941334</v>
      </c>
      <c r="H29" s="131">
        <f>IF(SER_hh_tes!H29=0,0,11630*1000*SER_hh_tes!H29/SER_hh_num!H29)</f>
        <v>8400.3146663093958</v>
      </c>
      <c r="I29" s="131">
        <f>IF(SER_hh_tes!I29=0,0,11630*1000*SER_hh_tes!I29/SER_hh_num!I29)</f>
        <v>8314.6101840656174</v>
      </c>
      <c r="J29" s="131">
        <f>IF(SER_hh_tes!J29=0,0,11630*1000*SER_hh_tes!J29/SER_hh_num!J29)</f>
        <v>8385.7430112261191</v>
      </c>
      <c r="K29" s="131">
        <f>IF(SER_hh_tes!K29=0,0,11630*1000*SER_hh_tes!K29/SER_hh_num!K29)</f>
        <v>8381.7455278015696</v>
      </c>
      <c r="L29" s="131">
        <f>IF(SER_hh_tes!L29=0,0,11630*1000*SER_hh_tes!L29/SER_hh_num!L29)</f>
        <v>8374.6801399734013</v>
      </c>
      <c r="M29" s="131">
        <f>IF(SER_hh_tes!M29=0,0,11630*1000*SER_hh_tes!M29/SER_hh_num!M29)</f>
        <v>8503.0634791033663</v>
      </c>
      <c r="N29" s="131">
        <f>IF(SER_hh_tes!N29=0,0,11630*1000*SER_hh_tes!N29/SER_hh_num!N29)</f>
        <v>8682.6455921300894</v>
      </c>
      <c r="O29" s="131">
        <f>IF(SER_hh_tes!O29=0,0,11630*1000*SER_hh_tes!O29/SER_hh_num!O29)</f>
        <v>8736.9990179204415</v>
      </c>
      <c r="P29" s="131">
        <f>IF(SER_hh_tes!P29=0,0,11630*1000*SER_hh_tes!P29/SER_hh_num!P29)</f>
        <v>8713.2385315207557</v>
      </c>
      <c r="Q29" s="131">
        <f>IF(SER_hh_tes!Q29=0,0,11630*1000*SER_hh_tes!Q29/SER_hh_num!Q29)</f>
        <v>8780.7964779651556</v>
      </c>
      <c r="R29" s="131">
        <f>IF(SER_hh_tes!R29=0,0,11630*1000*SER_hh_tes!R29/SER_hh_num!R29)</f>
        <v>8944.2447893799854</v>
      </c>
      <c r="S29" s="131">
        <f>IF(SER_hh_tes!S29=0,0,11630*1000*SER_hh_tes!S29/SER_hh_num!S29)</f>
        <v>8971.0376321414587</v>
      </c>
      <c r="T29" s="131">
        <f>IF(SER_hh_tes!T29=0,0,11630*1000*SER_hh_tes!T29/SER_hh_num!T29)</f>
        <v>8910.2030933511342</v>
      </c>
      <c r="U29" s="131">
        <f>IF(SER_hh_tes!U29=0,0,11630*1000*SER_hh_tes!U29/SER_hh_num!U29)</f>
        <v>8908.6247959485645</v>
      </c>
      <c r="V29" s="131">
        <f>IF(SER_hh_tes!V29=0,0,11630*1000*SER_hh_tes!V29/SER_hh_num!V29)</f>
        <v>8079.0119187802347</v>
      </c>
      <c r="W29" s="131">
        <f>IF(SER_hh_tes!W29=0,0,11630*1000*SER_hh_tes!W29/SER_hh_num!W29)</f>
        <v>8468.1628298233481</v>
      </c>
      <c r="DA29" s="156" t="s">
        <v>439</v>
      </c>
    </row>
    <row r="30" spans="1:105" ht="12" customHeight="1" x14ac:dyDescent="0.25">
      <c r="A30" s="132" t="s">
        <v>52</v>
      </c>
      <c r="B30" s="133">
        <f>IF(SER_hh_tes!B30=0,0,11630*1000*SER_hh_tes!B30/SER_hh_num!B30)</f>
        <v>7937.8179702982925</v>
      </c>
      <c r="C30" s="133">
        <f>IF(SER_hh_tes!C30=0,0,11630*1000*SER_hh_tes!C30/SER_hh_num!C30)</f>
        <v>7964.7624310212132</v>
      </c>
      <c r="D30" s="133">
        <f>IF(SER_hh_tes!D30=0,0,11630*1000*SER_hh_tes!D30/SER_hh_num!D30)</f>
        <v>7125.3457484488799</v>
      </c>
      <c r="E30" s="133">
        <f>IF(SER_hh_tes!E30=0,0,11630*1000*SER_hh_tes!E30/SER_hh_num!E30)</f>
        <v>7987.9883191617182</v>
      </c>
      <c r="F30" s="133">
        <f>IF(SER_hh_tes!F30=0,0,11630*1000*SER_hh_tes!F30/SER_hh_num!F30)</f>
        <v>8442.8015987305371</v>
      </c>
      <c r="G30" s="133">
        <f>IF(SER_hh_tes!G30=0,0,11630*1000*SER_hh_tes!G30/SER_hh_num!G30)</f>
        <v>8903.1843391701696</v>
      </c>
      <c r="H30" s="133">
        <f>IF(SER_hh_tes!H30=0,0,11630*1000*SER_hh_tes!H30/SER_hh_num!H30)</f>
        <v>8490.6083669500385</v>
      </c>
      <c r="I30" s="133">
        <f>IF(SER_hh_tes!I30=0,0,11630*1000*SER_hh_tes!I30/SER_hh_num!I30)</f>
        <v>8347.7582157658817</v>
      </c>
      <c r="J30" s="133">
        <f>IF(SER_hh_tes!J30=0,0,11630*1000*SER_hh_tes!J30/SER_hh_num!J30)</f>
        <v>8098.5350157627463</v>
      </c>
      <c r="K30" s="133">
        <f>IF(SER_hh_tes!K30=0,0,11630*1000*SER_hh_tes!K30/SER_hh_num!K30)</f>
        <v>7742.1823152449424</v>
      </c>
      <c r="L30" s="133">
        <f>IF(SER_hh_tes!L30=0,0,11630*1000*SER_hh_tes!L30/SER_hh_num!L30)</f>
        <v>9637.2111564364823</v>
      </c>
      <c r="M30" s="133">
        <f>IF(SER_hh_tes!M30=0,0,11630*1000*SER_hh_tes!M30/SER_hh_num!M30)</f>
        <v>8640.345397421348</v>
      </c>
      <c r="N30" s="133">
        <f>IF(SER_hh_tes!N30=0,0,11630*1000*SER_hh_tes!N30/SER_hh_num!N30)</f>
        <v>8076.0339988346086</v>
      </c>
      <c r="O30" s="133">
        <f>IF(SER_hh_tes!O30=0,0,11630*1000*SER_hh_tes!O30/SER_hh_num!O30)</f>
        <v>9622.1517606982216</v>
      </c>
      <c r="P30" s="133">
        <f>IF(SER_hh_tes!P30=0,0,11630*1000*SER_hh_tes!P30/SER_hh_num!P30)</f>
        <v>5197.9481596369387</v>
      </c>
      <c r="Q30" s="133">
        <f>IF(SER_hh_tes!Q30=0,0,11630*1000*SER_hh_tes!Q30/SER_hh_num!Q30)</f>
        <v>9837.1287836880474</v>
      </c>
      <c r="R30" s="133">
        <f>IF(SER_hh_tes!R30=0,0,11630*1000*SER_hh_tes!R30/SER_hh_num!R30)</f>
        <v>9511.5554505479668</v>
      </c>
      <c r="S30" s="133">
        <f>IF(SER_hh_tes!S30=0,0,11630*1000*SER_hh_tes!S30/SER_hh_num!S30)</f>
        <v>8902.9315062236783</v>
      </c>
      <c r="T30" s="133">
        <f>IF(SER_hh_tes!T30=0,0,11630*1000*SER_hh_tes!T30/SER_hh_num!T30)</f>
        <v>9097.6914158258878</v>
      </c>
      <c r="U30" s="133">
        <f>IF(SER_hh_tes!U30=0,0,11630*1000*SER_hh_tes!U30/SER_hh_num!U30)</f>
        <v>9047.2558707090902</v>
      </c>
      <c r="V30" s="133">
        <f>IF(SER_hh_tes!V30=0,0,11630*1000*SER_hh_tes!V30/SER_hh_num!V30)</f>
        <v>7877.7211810691078</v>
      </c>
      <c r="W30" s="133">
        <f>IF(SER_hh_tes!W30=0,0,11630*1000*SER_hh_tes!W30/SER_hh_num!W30)</f>
        <v>8558.9069649342036</v>
      </c>
      <c r="DA30" s="157" t="s">
        <v>440</v>
      </c>
    </row>
    <row r="31" spans="1:105" ht="12" customHeight="1" x14ac:dyDescent="0.25">
      <c r="A31" s="132" t="s">
        <v>153</v>
      </c>
      <c r="B31" s="133">
        <f>IF(SER_hh_tes!B31=0,0,11630*1000*SER_hh_tes!B31/SER_hh_num!B31)</f>
        <v>7914.9994240220785</v>
      </c>
      <c r="C31" s="133">
        <f>IF(SER_hh_tes!C31=0,0,11630*1000*SER_hh_tes!C31/SER_hh_num!C31)</f>
        <v>7941.2530406287024</v>
      </c>
      <c r="D31" s="133">
        <f>IF(SER_hh_tes!D31=0,0,11630*1000*SER_hh_tes!D31/SER_hh_num!D31)</f>
        <v>8022.0862780596844</v>
      </c>
      <c r="E31" s="133">
        <f>IF(SER_hh_tes!E31=0,0,11630*1000*SER_hh_tes!E31/SER_hh_num!E31)</f>
        <v>8142.6847679112743</v>
      </c>
      <c r="F31" s="133">
        <f>IF(SER_hh_tes!F31=0,0,11630*1000*SER_hh_tes!F31/SER_hh_num!F31)</f>
        <v>8061.4654962438544</v>
      </c>
      <c r="G31" s="133">
        <f>IF(SER_hh_tes!G31=0,0,11630*1000*SER_hh_tes!G31/SER_hh_num!G31)</f>
        <v>8459.9173407945782</v>
      </c>
      <c r="H31" s="133">
        <f>IF(SER_hh_tes!H31=0,0,11630*1000*SER_hh_tes!H31/SER_hh_num!H31)</f>
        <v>8450.9713295716138</v>
      </c>
      <c r="I31" s="133">
        <f>IF(SER_hh_tes!I31=0,0,11630*1000*SER_hh_tes!I31/SER_hh_num!I31)</f>
        <v>8352.8470681993203</v>
      </c>
      <c r="J31" s="133">
        <f>IF(SER_hh_tes!J31=0,0,11630*1000*SER_hh_tes!J31/SER_hh_num!J31)</f>
        <v>8348.3723354599933</v>
      </c>
      <c r="K31" s="133">
        <f>IF(SER_hh_tes!K31=0,0,11630*1000*SER_hh_tes!K31/SER_hh_num!K31)</f>
        <v>8470.657632511753</v>
      </c>
      <c r="L31" s="133">
        <f>IF(SER_hh_tes!L31=0,0,11630*1000*SER_hh_tes!L31/SER_hh_num!L31)</f>
        <v>8519.7113254790402</v>
      </c>
      <c r="M31" s="133">
        <f>IF(SER_hh_tes!M31=0,0,11630*1000*SER_hh_tes!M31/SER_hh_num!M31)</f>
        <v>8511.9026222852117</v>
      </c>
      <c r="N31" s="133">
        <f>IF(SER_hh_tes!N31=0,0,11630*1000*SER_hh_tes!N31/SER_hh_num!N31)</f>
        <v>8643.3796699922295</v>
      </c>
      <c r="O31" s="133">
        <f>IF(SER_hh_tes!O31=0,0,11630*1000*SER_hh_tes!O31/SER_hh_num!O31)</f>
        <v>8638.8739877387252</v>
      </c>
      <c r="P31" s="133">
        <f>IF(SER_hh_tes!P31=0,0,11630*1000*SER_hh_tes!P31/SER_hh_num!P31)</f>
        <v>8307.5994164887015</v>
      </c>
      <c r="Q31" s="133">
        <f>IF(SER_hh_tes!Q31=0,0,11630*1000*SER_hh_tes!Q31/SER_hh_num!Q31)</f>
        <v>9223.0406263493896</v>
      </c>
      <c r="R31" s="133">
        <f>IF(SER_hh_tes!R31=0,0,11630*1000*SER_hh_tes!R31/SER_hh_num!R31)</f>
        <v>9102.2746183086947</v>
      </c>
      <c r="S31" s="133">
        <f>IF(SER_hh_tes!S31=0,0,11630*1000*SER_hh_tes!S31/SER_hh_num!S31)</f>
        <v>8363.7301154716733</v>
      </c>
      <c r="T31" s="133">
        <f>IF(SER_hh_tes!T31=0,0,11630*1000*SER_hh_tes!T31/SER_hh_num!T31)</f>
        <v>9057.0936215257334</v>
      </c>
      <c r="U31" s="133">
        <f>IF(SER_hh_tes!U31=0,0,11630*1000*SER_hh_tes!U31/SER_hh_num!U31)</f>
        <v>9964.654033461331</v>
      </c>
      <c r="V31" s="133">
        <f>IF(SER_hh_tes!V31=0,0,11630*1000*SER_hh_tes!V31/SER_hh_num!V31)</f>
        <v>6104.9749712569492</v>
      </c>
      <c r="W31" s="133">
        <f>IF(SER_hh_tes!W31=0,0,11630*1000*SER_hh_tes!W31/SER_hh_num!W31)</f>
        <v>9544.5460319785034</v>
      </c>
      <c r="DA31" s="157" t="s">
        <v>441</v>
      </c>
    </row>
    <row r="32" spans="1:105" ht="12" customHeight="1" x14ac:dyDescent="0.25">
      <c r="A32" s="132" t="s">
        <v>128</v>
      </c>
      <c r="B32" s="133">
        <f>IF(SER_hh_tes!B32=0,0,11630*1000*SER_hh_tes!B32/SER_hh_num!B32)</f>
        <v>0</v>
      </c>
      <c r="C32" s="133">
        <f>IF(SER_hh_tes!C32=0,0,11630*1000*SER_hh_tes!C32/SER_hh_num!C32)</f>
        <v>0</v>
      </c>
      <c r="D32" s="133">
        <f>IF(SER_hh_tes!D32=0,0,11630*1000*SER_hh_tes!D32/SER_hh_num!D32)</f>
        <v>0</v>
      </c>
      <c r="E32" s="133">
        <f>IF(SER_hh_tes!E32=0,0,11630*1000*SER_hh_tes!E32/SER_hh_num!E32)</f>
        <v>0</v>
      </c>
      <c r="F32" s="133">
        <f>IF(SER_hh_tes!F32=0,0,11630*1000*SER_hh_tes!F32/SER_hh_num!F32)</f>
        <v>0</v>
      </c>
      <c r="G32" s="133">
        <f>IF(SER_hh_tes!G32=0,0,11630*1000*SER_hh_tes!G32/SER_hh_num!G32)</f>
        <v>0</v>
      </c>
      <c r="H32" s="133">
        <f>IF(SER_hh_tes!H32=0,0,11630*1000*SER_hh_tes!H32/SER_hh_num!H32)</f>
        <v>0</v>
      </c>
      <c r="I32" s="133">
        <f>IF(SER_hh_tes!I32=0,0,11630*1000*SER_hh_tes!I32/SER_hh_num!I32)</f>
        <v>0</v>
      </c>
      <c r="J32" s="133">
        <f>IF(SER_hh_tes!J32=0,0,11630*1000*SER_hh_tes!J32/SER_hh_num!J32)</f>
        <v>0</v>
      </c>
      <c r="K32" s="133">
        <f>IF(SER_hh_tes!K32=0,0,11630*1000*SER_hh_tes!K32/SER_hh_num!K32)</f>
        <v>0</v>
      </c>
      <c r="L32" s="133">
        <f>IF(SER_hh_tes!L32=0,0,11630*1000*SER_hh_tes!L32/SER_hh_num!L32)</f>
        <v>0</v>
      </c>
      <c r="M32" s="133">
        <f>IF(SER_hh_tes!M32=0,0,11630*1000*SER_hh_tes!M32/SER_hh_num!M32)</f>
        <v>0</v>
      </c>
      <c r="N32" s="133">
        <f>IF(SER_hh_tes!N32=0,0,11630*1000*SER_hh_tes!N32/SER_hh_num!N32)</f>
        <v>0</v>
      </c>
      <c r="O32" s="133">
        <f>IF(SER_hh_tes!O32=0,0,11630*1000*SER_hh_tes!O32/SER_hh_num!O32)</f>
        <v>0</v>
      </c>
      <c r="P32" s="133">
        <f>IF(SER_hh_tes!P32=0,0,11630*1000*SER_hh_tes!P32/SER_hh_num!P32)</f>
        <v>0</v>
      </c>
      <c r="Q32" s="133">
        <f>IF(SER_hh_tes!Q32=0,0,11630*1000*SER_hh_tes!Q32/SER_hh_num!Q32)</f>
        <v>0</v>
      </c>
      <c r="R32" s="133">
        <f>IF(SER_hh_tes!R32=0,0,11630*1000*SER_hh_tes!R32/SER_hh_num!R32)</f>
        <v>0</v>
      </c>
      <c r="S32" s="133">
        <f>IF(SER_hh_tes!S32=0,0,11630*1000*SER_hh_tes!S32/SER_hh_num!S32)</f>
        <v>0</v>
      </c>
      <c r="T32" s="133">
        <f>IF(SER_hh_tes!T32=0,0,11630*1000*SER_hh_tes!T32/SER_hh_num!T32)</f>
        <v>0</v>
      </c>
      <c r="U32" s="133">
        <f>IF(SER_hh_tes!U32=0,0,11630*1000*SER_hh_tes!U32/SER_hh_num!U32)</f>
        <v>0</v>
      </c>
      <c r="V32" s="133">
        <f>IF(SER_hh_tes!V32=0,0,11630*1000*SER_hh_tes!V32/SER_hh_num!V32)</f>
        <v>0</v>
      </c>
      <c r="W32" s="133">
        <f>IF(SER_hh_tes!W32=0,0,11630*1000*SER_hh_tes!W32/SER_hh_num!W32)</f>
        <v>0</v>
      </c>
      <c r="DA32" s="157" t="s">
        <v>442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7931.5083675164014</v>
      </c>
      <c r="C33" s="68">
        <f>IF(SER_hh_tes!C33=0,0,11630*1000*SER_hh_tes!C33/SER_hh_num!C33)</f>
        <v>7971.0494457677096</v>
      </c>
      <c r="D33" s="68">
        <f>IF(SER_hh_tes!D33=0,0,11630*1000*SER_hh_tes!D33/SER_hh_num!D33)</f>
        <v>8034.6566890814884</v>
      </c>
      <c r="E33" s="68">
        <f>IF(SER_hh_tes!E33=0,0,11630*1000*SER_hh_tes!E33/SER_hh_num!E33)</f>
        <v>8222.4958544768997</v>
      </c>
      <c r="F33" s="68">
        <f>IF(SER_hh_tes!F33=0,0,11630*1000*SER_hh_tes!F33/SER_hh_num!F33)</f>
        <v>8353.2252001662673</v>
      </c>
      <c r="G33" s="68">
        <f>IF(SER_hh_tes!G33=0,0,11630*1000*SER_hh_tes!G33/SER_hh_num!G33)</f>
        <v>8213.7957160256738</v>
      </c>
      <c r="H33" s="68">
        <f>IF(SER_hh_tes!H33=0,0,11630*1000*SER_hh_tes!H33/SER_hh_num!H33)</f>
        <v>8384.915948517435</v>
      </c>
      <c r="I33" s="68">
        <f>IF(SER_hh_tes!I33=0,0,11630*1000*SER_hh_tes!I33/SER_hh_num!I33)</f>
        <v>8304.6618340422083</v>
      </c>
      <c r="J33" s="68">
        <f>IF(SER_hh_tes!J33=0,0,11630*1000*SER_hh_tes!J33/SER_hh_num!J33)</f>
        <v>8407.5167545130298</v>
      </c>
      <c r="K33" s="68">
        <f>IF(SER_hh_tes!K33=0,0,11630*1000*SER_hh_tes!K33/SER_hh_num!K33)</f>
        <v>8393.1485735677543</v>
      </c>
      <c r="L33" s="68">
        <f>IF(SER_hh_tes!L33=0,0,11630*1000*SER_hh_tes!L33/SER_hh_num!L33)</f>
        <v>8279.6928789309986</v>
      </c>
      <c r="M33" s="68">
        <f>IF(SER_hh_tes!M33=0,0,11630*1000*SER_hh_tes!M33/SER_hh_num!M33)</f>
        <v>8494.5275731541988</v>
      </c>
      <c r="N33" s="68">
        <f>IF(SER_hh_tes!N33=0,0,11630*1000*SER_hh_tes!N33/SER_hh_num!N33)</f>
        <v>8717.3038747782648</v>
      </c>
      <c r="O33" s="68">
        <f>IF(SER_hh_tes!O33=0,0,11630*1000*SER_hh_tes!O33/SER_hh_num!O33)</f>
        <v>8718.2211688408006</v>
      </c>
      <c r="P33" s="68">
        <f>IF(SER_hh_tes!P33=0,0,11630*1000*SER_hh_tes!P33/SER_hh_num!P33)</f>
        <v>8952.0030047602304</v>
      </c>
      <c r="Q33" s="68">
        <f>IF(SER_hh_tes!Q33=0,0,11630*1000*SER_hh_tes!Q33/SER_hh_num!Q33)</f>
        <v>8638.8778198180426</v>
      </c>
      <c r="R33" s="68">
        <f>IF(SER_hh_tes!R33=0,0,11630*1000*SER_hh_tes!R33/SER_hh_num!R33)</f>
        <v>8881.5779900521447</v>
      </c>
      <c r="S33" s="68">
        <f>IF(SER_hh_tes!S33=0,0,11630*1000*SER_hh_tes!S33/SER_hh_num!S33)</f>
        <v>9097.6519186197802</v>
      </c>
      <c r="T33" s="68">
        <f>IF(SER_hh_tes!T33=0,0,11630*1000*SER_hh_tes!T33/SER_hh_num!T33)</f>
        <v>8869.7659115227434</v>
      </c>
      <c r="U33" s="68">
        <f>IF(SER_hh_tes!U33=0,0,11630*1000*SER_hh_tes!U33/SER_hh_num!U33)</f>
        <v>8681.78704297271</v>
      </c>
      <c r="V33" s="68">
        <f>IF(SER_hh_tes!V33=0,0,11630*1000*SER_hh_tes!V33/SER_hh_num!V33)</f>
        <v>8495.3206130036215</v>
      </c>
      <c r="W33" s="68">
        <f>IF(SER_hh_tes!W33=0,0,11630*1000*SER_hh_tes!W33/SER_hh_num!W33)</f>
        <v>8241.1470596237195</v>
      </c>
      <c r="DA33" s="111" t="s">
        <v>443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>
        <f>IF(SER_hh_emi!B3=0,0,1000000*SER_hh_emi!B3/SER_hh_num!B3)</f>
        <v>7347.9466786130852</v>
      </c>
      <c r="C3" s="126">
        <f>IF(SER_hh_emi!C3=0,0,1000000*SER_hh_emi!C3/SER_hh_num!C3)</f>
        <v>6902.4356948953809</v>
      </c>
      <c r="D3" s="126">
        <f>IF(SER_hh_emi!D3=0,0,1000000*SER_hh_emi!D3/SER_hh_num!D3)</f>
        <v>6825.5568159727191</v>
      </c>
      <c r="E3" s="126">
        <f>IF(SER_hh_emi!E3=0,0,1000000*SER_hh_emi!E3/SER_hh_num!E3)</f>
        <v>7379.2457729991083</v>
      </c>
      <c r="F3" s="126">
        <f>IF(SER_hh_emi!F3=0,0,1000000*SER_hh_emi!F3/SER_hh_num!F3)</f>
        <v>7208.7015983619549</v>
      </c>
      <c r="G3" s="126">
        <f>IF(SER_hh_emi!G3=0,0,1000000*SER_hh_emi!G3/SER_hh_num!G3)</f>
        <v>7001.4445156461888</v>
      </c>
      <c r="H3" s="126">
        <f>IF(SER_hh_emi!H3=0,0,1000000*SER_hh_emi!H3/SER_hh_num!H3)</f>
        <v>6897.1374635186276</v>
      </c>
      <c r="I3" s="126">
        <f>IF(SER_hh_emi!I3=0,0,1000000*SER_hh_emi!I3/SER_hh_num!I3)</f>
        <v>6089.1063156041082</v>
      </c>
      <c r="J3" s="126">
        <f>IF(SER_hh_emi!J3=0,0,1000000*SER_hh_emi!J3/SER_hh_num!J3)</f>
        <v>5916.3376238060482</v>
      </c>
      <c r="K3" s="126">
        <f>IF(SER_hh_emi!K3=0,0,1000000*SER_hh_emi!K3/SER_hh_num!K3)</f>
        <v>5634.5530442393674</v>
      </c>
      <c r="L3" s="126">
        <f>IF(SER_hh_emi!L3=0,0,1000000*SER_hh_emi!L3/SER_hh_num!L3)</f>
        <v>5441.6926568582421</v>
      </c>
      <c r="M3" s="126">
        <f>IF(SER_hh_emi!M3=0,0,1000000*SER_hh_emi!M3/SER_hh_num!M3)</f>
        <v>4334.1432512487381</v>
      </c>
      <c r="N3" s="126">
        <f>IF(SER_hh_emi!N3=0,0,1000000*SER_hh_emi!N3/SER_hh_num!N3)</f>
        <v>4820.9469808306503</v>
      </c>
      <c r="O3" s="126">
        <f>IF(SER_hh_emi!O3=0,0,1000000*SER_hh_emi!O3/SER_hh_num!O3)</f>
        <v>4842.7510388855526</v>
      </c>
      <c r="P3" s="126">
        <f>IF(SER_hh_emi!P3=0,0,1000000*SER_hh_emi!P3/SER_hh_num!P3)</f>
        <v>3850.4474407047396</v>
      </c>
      <c r="Q3" s="126">
        <f>IF(SER_hh_emi!Q3=0,0,1000000*SER_hh_emi!Q3/SER_hh_num!Q3)</f>
        <v>4616.0848597277682</v>
      </c>
      <c r="R3" s="126">
        <f>IF(SER_hh_emi!R3=0,0,1000000*SER_hh_emi!R3/SER_hh_num!R3)</f>
        <v>4684.2573342615633</v>
      </c>
      <c r="S3" s="126">
        <f>IF(SER_hh_emi!S3=0,0,1000000*SER_hh_emi!S3/SER_hh_num!S3)</f>
        <v>4855.5710586143905</v>
      </c>
      <c r="T3" s="126">
        <f>IF(SER_hh_emi!T3=0,0,1000000*SER_hh_emi!T3/SER_hh_num!T3)</f>
        <v>4290.3399891303861</v>
      </c>
      <c r="U3" s="126">
        <f>IF(SER_hh_emi!U3=0,0,1000000*SER_hh_emi!U3/SER_hh_num!U3)</f>
        <v>3914.4303960732391</v>
      </c>
      <c r="V3" s="126">
        <f>IF(SER_hh_emi!V3=0,0,1000000*SER_hh_emi!V3/SER_hh_num!V3)</f>
        <v>3873.3732498999934</v>
      </c>
      <c r="W3" s="126">
        <f>IF(SER_hh_emi!W3=0,0,1000000*SER_hh_emi!W3/SER_hh_num!W3)</f>
        <v>5303.1286681992115</v>
      </c>
      <c r="DA3" s="155" t="s">
        <v>445</v>
      </c>
    </row>
    <row r="4" spans="1:105" ht="12.95" customHeight="1" x14ac:dyDescent="0.25">
      <c r="A4" s="130" t="s">
        <v>32</v>
      </c>
      <c r="B4" s="131">
        <f>IF(SER_hh_emi!B4=0,0,1000000*SER_hh_emi!B4/SER_hh_num!B4)</f>
        <v>6148.1458140037557</v>
      </c>
      <c r="C4" s="131">
        <f>IF(SER_hh_emi!C4=0,0,1000000*SER_hh_emi!C4/SER_hh_num!C4)</f>
        <v>5739.3308450716422</v>
      </c>
      <c r="D4" s="131">
        <f>IF(SER_hh_emi!D4=0,0,1000000*SER_hh_emi!D4/SER_hh_num!D4)</f>
        <v>5671.1303741351076</v>
      </c>
      <c r="E4" s="131">
        <f>IF(SER_hh_emi!E4=0,0,1000000*SER_hh_emi!E4/SER_hh_num!E4)</f>
        <v>6146.1133532537842</v>
      </c>
      <c r="F4" s="131">
        <f>IF(SER_hh_emi!F4=0,0,1000000*SER_hh_emi!F4/SER_hh_num!F4)</f>
        <v>5977.8181579447246</v>
      </c>
      <c r="G4" s="131">
        <f>IF(SER_hh_emi!G4=0,0,1000000*SER_hh_emi!G4/SER_hh_num!G4)</f>
        <v>5701.8422408756242</v>
      </c>
      <c r="H4" s="131">
        <f>IF(SER_hh_emi!H4=0,0,1000000*SER_hh_emi!H4/SER_hh_num!H4)</f>
        <v>5615.5804633575317</v>
      </c>
      <c r="I4" s="131">
        <f>IF(SER_hh_emi!I4=0,0,1000000*SER_hh_emi!I4/SER_hh_num!I4)</f>
        <v>4858.409003653268</v>
      </c>
      <c r="J4" s="131">
        <f>IF(SER_hh_emi!J4=0,0,1000000*SER_hh_emi!J4/SER_hh_num!J4)</f>
        <v>4696.7887639218552</v>
      </c>
      <c r="K4" s="131">
        <f>IF(SER_hh_emi!K4=0,0,1000000*SER_hh_emi!K4/SER_hh_num!K4)</f>
        <v>4430.2133010255602</v>
      </c>
      <c r="L4" s="131">
        <f>IF(SER_hh_emi!L4=0,0,1000000*SER_hh_emi!L4/SER_hh_num!L4)</f>
        <v>4236.3970813262822</v>
      </c>
      <c r="M4" s="131">
        <f>IF(SER_hh_emi!M4=0,0,1000000*SER_hh_emi!M4/SER_hh_num!M4)</f>
        <v>3243.8175332920964</v>
      </c>
      <c r="N4" s="131">
        <f>IF(SER_hh_emi!N4=0,0,1000000*SER_hh_emi!N4/SER_hh_num!N4)</f>
        <v>3761.6856168018794</v>
      </c>
      <c r="O4" s="131">
        <f>IF(SER_hh_emi!O4=0,0,1000000*SER_hh_emi!O4/SER_hh_num!O4)</f>
        <v>3788.3673218938552</v>
      </c>
      <c r="P4" s="131">
        <f>IF(SER_hh_emi!P4=0,0,1000000*SER_hh_emi!P4/SER_hh_num!P4)</f>
        <v>2896.0685019085558</v>
      </c>
      <c r="Q4" s="131">
        <f>IF(SER_hh_emi!Q4=0,0,1000000*SER_hh_emi!Q4/SER_hh_num!Q4)</f>
        <v>3478.5725462199562</v>
      </c>
      <c r="R4" s="131">
        <f>IF(SER_hh_emi!R4=0,0,1000000*SER_hh_emi!R4/SER_hh_num!R4)</f>
        <v>3563.0788993157162</v>
      </c>
      <c r="S4" s="131">
        <f>IF(SER_hh_emi!S4=0,0,1000000*SER_hh_emi!S4/SER_hh_num!S4)</f>
        <v>3771.177692261514</v>
      </c>
      <c r="T4" s="131">
        <f>IF(SER_hh_emi!T4=0,0,1000000*SER_hh_emi!T4/SER_hh_num!T4)</f>
        <v>3184.0056881318028</v>
      </c>
      <c r="U4" s="131">
        <f>IF(SER_hh_emi!U4=0,0,1000000*SER_hh_emi!U4/SER_hh_num!U4)</f>
        <v>2803.753510797982</v>
      </c>
      <c r="V4" s="131">
        <f>IF(SER_hh_emi!V4=0,0,1000000*SER_hh_emi!V4/SER_hh_num!V4)</f>
        <v>3110.1690756991602</v>
      </c>
      <c r="W4" s="131">
        <f>IF(SER_hh_emi!W4=0,0,1000000*SER_hh_emi!W4/SER_hh_num!W4)</f>
        <v>4279.4507185282737</v>
      </c>
      <c r="DA4" s="156" t="s">
        <v>446</v>
      </c>
    </row>
    <row r="5" spans="1:105" ht="12" customHeight="1" x14ac:dyDescent="0.25">
      <c r="A5" s="132" t="s">
        <v>29</v>
      </c>
      <c r="B5" s="133">
        <f>IF(SER_hh_emi!B5=0,0,1000000*SER_hh_emi!B5/SER_hh_num!B5)</f>
        <v>0</v>
      </c>
      <c r="C5" s="133">
        <f>IF(SER_hh_emi!C5=0,0,1000000*SER_hh_emi!C5/SER_hh_num!C5)</f>
        <v>0</v>
      </c>
      <c r="D5" s="133">
        <f>IF(SER_hh_emi!D5=0,0,1000000*SER_hh_emi!D5/SER_hh_num!D5)</f>
        <v>0</v>
      </c>
      <c r="E5" s="133">
        <f>IF(SER_hh_emi!E5=0,0,1000000*SER_hh_emi!E5/SER_hh_num!E5)</f>
        <v>0</v>
      </c>
      <c r="F5" s="133">
        <f>IF(SER_hh_emi!F5=0,0,1000000*SER_hh_emi!F5/SER_hh_num!F5)</f>
        <v>0</v>
      </c>
      <c r="G5" s="133">
        <f>IF(SER_hh_emi!G5=0,0,1000000*SER_hh_emi!G5/SER_hh_num!G5)</f>
        <v>0</v>
      </c>
      <c r="H5" s="133">
        <f>IF(SER_hh_emi!H5=0,0,1000000*SER_hh_emi!H5/SER_hh_num!H5)</f>
        <v>0</v>
      </c>
      <c r="I5" s="133">
        <f>IF(SER_hh_emi!I5=0,0,1000000*SER_hh_emi!I5/SER_hh_num!I5)</f>
        <v>0</v>
      </c>
      <c r="J5" s="133">
        <f>IF(SER_hh_emi!J5=0,0,1000000*SER_hh_emi!J5/SER_hh_num!J5)</f>
        <v>0</v>
      </c>
      <c r="K5" s="133">
        <f>IF(SER_hh_emi!K5=0,0,1000000*SER_hh_emi!K5/SER_hh_num!K5)</f>
        <v>0</v>
      </c>
      <c r="L5" s="133">
        <f>IF(SER_hh_emi!L5=0,0,1000000*SER_hh_emi!L5/SER_hh_num!L5)</f>
        <v>0</v>
      </c>
      <c r="M5" s="133">
        <f>IF(SER_hh_emi!M5=0,0,1000000*SER_hh_emi!M5/SER_hh_num!M5)</f>
        <v>0</v>
      </c>
      <c r="N5" s="133">
        <f>IF(SER_hh_emi!N5=0,0,1000000*SER_hh_emi!N5/SER_hh_num!N5)</f>
        <v>0</v>
      </c>
      <c r="O5" s="133">
        <f>IF(SER_hh_emi!O5=0,0,1000000*SER_hh_emi!O5/SER_hh_num!O5)</f>
        <v>0</v>
      </c>
      <c r="P5" s="133">
        <f>IF(SER_hh_emi!P5=0,0,1000000*SER_hh_emi!P5/SER_hh_num!P5)</f>
        <v>0</v>
      </c>
      <c r="Q5" s="133">
        <f>IF(SER_hh_emi!Q5=0,0,1000000*SER_hh_emi!Q5/SER_hh_num!Q5)</f>
        <v>0</v>
      </c>
      <c r="R5" s="133">
        <f>IF(SER_hh_emi!R5=0,0,1000000*SER_hh_emi!R5/SER_hh_num!R5)</f>
        <v>0</v>
      </c>
      <c r="S5" s="133">
        <f>IF(SER_hh_emi!S5=0,0,1000000*SER_hh_emi!S5/SER_hh_num!S5)</f>
        <v>0</v>
      </c>
      <c r="T5" s="133">
        <f>IF(SER_hh_emi!T5=0,0,1000000*SER_hh_emi!T5/SER_hh_num!T5)</f>
        <v>0</v>
      </c>
      <c r="U5" s="133">
        <f>IF(SER_hh_emi!U5=0,0,1000000*SER_hh_emi!U5/SER_hh_num!U5)</f>
        <v>0</v>
      </c>
      <c r="V5" s="133">
        <f>IF(SER_hh_emi!V5=0,0,1000000*SER_hh_emi!V5/SER_hh_num!V5)</f>
        <v>0</v>
      </c>
      <c r="W5" s="133">
        <f>IF(SER_hh_emi!W5=0,0,1000000*SER_hh_emi!W5/SER_hh_num!W5)</f>
        <v>0</v>
      </c>
      <c r="DA5" s="157" t="s">
        <v>447</v>
      </c>
    </row>
    <row r="6" spans="1:105" ht="12" customHeight="1" x14ac:dyDescent="0.25">
      <c r="A6" s="132" t="s">
        <v>52</v>
      </c>
      <c r="B6" s="133">
        <f>IF(SER_hh_emi!B6=0,0,1000000*SER_hh_emi!B6/SER_hh_num!B6)</f>
        <v>0</v>
      </c>
      <c r="C6" s="133">
        <f>IF(SER_hh_emi!C6=0,0,1000000*SER_hh_emi!C6/SER_hh_num!C6)</f>
        <v>0</v>
      </c>
      <c r="D6" s="133">
        <f>IF(SER_hh_emi!D6=0,0,1000000*SER_hh_emi!D6/SER_hh_num!D6)</f>
        <v>0</v>
      </c>
      <c r="E6" s="133">
        <f>IF(SER_hh_emi!E6=0,0,1000000*SER_hh_emi!E6/SER_hh_num!E6)</f>
        <v>0</v>
      </c>
      <c r="F6" s="133">
        <f>IF(SER_hh_emi!F6=0,0,1000000*SER_hh_emi!F6/SER_hh_num!F6)</f>
        <v>0</v>
      </c>
      <c r="G6" s="133">
        <f>IF(SER_hh_emi!G6=0,0,1000000*SER_hh_emi!G6/SER_hh_num!G6)</f>
        <v>0</v>
      </c>
      <c r="H6" s="133">
        <f>IF(SER_hh_emi!H6=0,0,1000000*SER_hh_emi!H6/SER_hh_num!H6)</f>
        <v>0</v>
      </c>
      <c r="I6" s="133">
        <f>IF(SER_hh_emi!I6=0,0,1000000*SER_hh_emi!I6/SER_hh_num!I6)</f>
        <v>0</v>
      </c>
      <c r="J6" s="133">
        <f>IF(SER_hh_emi!J6=0,0,1000000*SER_hh_emi!J6/SER_hh_num!J6)</f>
        <v>0</v>
      </c>
      <c r="K6" s="133">
        <f>IF(SER_hh_emi!K6=0,0,1000000*SER_hh_emi!K6/SER_hh_num!K6)</f>
        <v>0</v>
      </c>
      <c r="L6" s="133">
        <f>IF(SER_hh_emi!L6=0,0,1000000*SER_hh_emi!L6/SER_hh_num!L6)</f>
        <v>0</v>
      </c>
      <c r="M6" s="133">
        <f>IF(SER_hh_emi!M6=0,0,1000000*SER_hh_emi!M6/SER_hh_num!M6)</f>
        <v>0</v>
      </c>
      <c r="N6" s="133">
        <f>IF(SER_hh_emi!N6=0,0,1000000*SER_hh_emi!N6/SER_hh_num!N6)</f>
        <v>0</v>
      </c>
      <c r="O6" s="133">
        <f>IF(SER_hh_emi!O6=0,0,1000000*SER_hh_emi!O6/SER_hh_num!O6)</f>
        <v>0</v>
      </c>
      <c r="P6" s="133">
        <f>IF(SER_hh_emi!P6=0,0,1000000*SER_hh_emi!P6/SER_hh_num!P6)</f>
        <v>0</v>
      </c>
      <c r="Q6" s="133">
        <f>IF(SER_hh_emi!Q6=0,0,1000000*SER_hh_emi!Q6/SER_hh_num!Q6)</f>
        <v>0</v>
      </c>
      <c r="R6" s="133">
        <f>IF(SER_hh_emi!R6=0,0,1000000*SER_hh_emi!R6/SER_hh_num!R6)</f>
        <v>0</v>
      </c>
      <c r="S6" s="133">
        <f>IF(SER_hh_emi!S6=0,0,1000000*SER_hh_emi!S6/SER_hh_num!S6)</f>
        <v>0</v>
      </c>
      <c r="T6" s="133">
        <f>IF(SER_hh_emi!T6=0,0,1000000*SER_hh_emi!T6/SER_hh_num!T6)</f>
        <v>0</v>
      </c>
      <c r="U6" s="133">
        <f>IF(SER_hh_emi!U6=0,0,1000000*SER_hh_emi!U6/SER_hh_num!U6)</f>
        <v>0</v>
      </c>
      <c r="V6" s="133">
        <f>IF(SER_hh_emi!V6=0,0,1000000*SER_hh_emi!V6/SER_hh_num!V6)</f>
        <v>0</v>
      </c>
      <c r="W6" s="133">
        <f>IF(SER_hh_emi!W6=0,0,1000000*SER_hh_emi!W6/SER_hh_num!W6)</f>
        <v>0</v>
      </c>
      <c r="DA6" s="157" t="s">
        <v>448</v>
      </c>
    </row>
    <row r="7" spans="1:105" ht="12" customHeight="1" x14ac:dyDescent="0.25">
      <c r="A7" s="132" t="s">
        <v>168</v>
      </c>
      <c r="B7" s="133">
        <f>IF(SER_hh_emi!B7=0,0,1000000*SER_hh_emi!B7/SER_hh_num!B7)</f>
        <v>44662.023682224804</v>
      </c>
      <c r="C7" s="133">
        <f>IF(SER_hh_emi!C7=0,0,1000000*SER_hh_emi!C7/SER_hh_num!C7)</f>
        <v>43582.313182429978</v>
      </c>
      <c r="D7" s="133">
        <f>IF(SER_hh_emi!D7=0,0,1000000*SER_hh_emi!D7/SER_hh_num!D7)</f>
        <v>41912.782546255279</v>
      </c>
      <c r="E7" s="133">
        <f>IF(SER_hh_emi!E7=0,0,1000000*SER_hh_emi!E7/SER_hh_num!E7)</f>
        <v>42573.99282299733</v>
      </c>
      <c r="F7" s="133">
        <f>IF(SER_hh_emi!F7=0,0,1000000*SER_hh_emi!F7/SER_hh_num!F7)</f>
        <v>44768.128684971918</v>
      </c>
      <c r="G7" s="133">
        <f>IF(SER_hh_emi!G7=0,0,1000000*SER_hh_emi!G7/SER_hh_num!G7)</f>
        <v>42024.661907497837</v>
      </c>
      <c r="H7" s="133">
        <f>IF(SER_hh_emi!H7=0,0,1000000*SER_hh_emi!H7/SER_hh_num!H7)</f>
        <v>38332.39883800906</v>
      </c>
      <c r="I7" s="133">
        <f>IF(SER_hh_emi!I7=0,0,1000000*SER_hh_emi!I7/SER_hh_num!I7)</f>
        <v>36344.963792367278</v>
      </c>
      <c r="J7" s="133">
        <f>IF(SER_hh_emi!J7=0,0,1000000*SER_hh_emi!J7/SER_hh_num!J7)</f>
        <v>38218.895721630957</v>
      </c>
      <c r="K7" s="133">
        <f>IF(SER_hh_emi!K7=0,0,1000000*SER_hh_emi!K7/SER_hh_num!K7)</f>
        <v>36155.012297140704</v>
      </c>
      <c r="L7" s="133">
        <f>IF(SER_hh_emi!L7=0,0,1000000*SER_hh_emi!L7/SER_hh_num!L7)</f>
        <v>35809.409627818684</v>
      </c>
      <c r="M7" s="133">
        <f>IF(SER_hh_emi!M7=0,0,1000000*SER_hh_emi!M7/SER_hh_num!M7)</f>
        <v>27768.754000752022</v>
      </c>
      <c r="N7" s="133">
        <f>IF(SER_hh_emi!N7=0,0,1000000*SER_hh_emi!N7/SER_hh_num!N7)</f>
        <v>31856.64274258677</v>
      </c>
      <c r="O7" s="133">
        <f>IF(SER_hh_emi!O7=0,0,1000000*SER_hh_emi!O7/SER_hh_num!O7)</f>
        <v>28104.471179937838</v>
      </c>
      <c r="P7" s="133">
        <f>IF(SER_hh_emi!P7=0,0,1000000*SER_hh_emi!P7/SER_hh_num!P7)</f>
        <v>24813.545425182994</v>
      </c>
      <c r="Q7" s="133">
        <f>IF(SER_hh_emi!Q7=0,0,1000000*SER_hh_emi!Q7/SER_hh_num!Q7)</f>
        <v>26153.777218782361</v>
      </c>
      <c r="R7" s="133">
        <f>IF(SER_hh_emi!R7=0,0,1000000*SER_hh_emi!R7/SER_hh_num!R7)</f>
        <v>26754.658512031434</v>
      </c>
      <c r="S7" s="133">
        <f>IF(SER_hh_emi!S7=0,0,1000000*SER_hh_emi!S7/SER_hh_num!S7)</f>
        <v>26130.625776775083</v>
      </c>
      <c r="T7" s="133">
        <f>IF(SER_hh_emi!T7=0,0,1000000*SER_hh_emi!T7/SER_hh_num!T7)</f>
        <v>30710.456308997058</v>
      </c>
      <c r="U7" s="133">
        <f>IF(SER_hh_emi!U7=0,0,1000000*SER_hh_emi!U7/SER_hh_num!U7)</f>
        <v>18847.42968120721</v>
      </c>
      <c r="V7" s="133">
        <f>IF(SER_hh_emi!V7=0,0,1000000*SER_hh_emi!V7/SER_hh_num!V7)</f>
        <v>27318.231187146477</v>
      </c>
      <c r="W7" s="133">
        <f>IF(SER_hh_emi!W7=0,0,1000000*SER_hh_emi!W7/SER_hh_num!W7)</f>
        <v>23634.121824637878</v>
      </c>
      <c r="DA7" s="157" t="s">
        <v>449</v>
      </c>
    </row>
    <row r="8" spans="1:105" ht="12" customHeight="1" x14ac:dyDescent="0.25">
      <c r="A8" s="132" t="s">
        <v>73</v>
      </c>
      <c r="B8" s="133">
        <f>IF(SER_hh_emi!B8=0,0,1000000*SER_hh_emi!B8/SER_hh_num!B8)</f>
        <v>14876.391443330103</v>
      </c>
      <c r="C8" s="133">
        <f>IF(SER_hh_emi!C8=0,0,1000000*SER_hh_emi!C8/SER_hh_num!C8)</f>
        <v>13969.195135647076</v>
      </c>
      <c r="D8" s="133">
        <f>IF(SER_hh_emi!D8=0,0,1000000*SER_hh_emi!D8/SER_hh_num!D8)</f>
        <v>12852.886372216297</v>
      </c>
      <c r="E8" s="133">
        <f>IF(SER_hh_emi!E8=0,0,1000000*SER_hh_emi!E8/SER_hh_num!E8)</f>
        <v>14060.969620430751</v>
      </c>
      <c r="F8" s="133">
        <f>IF(SER_hh_emi!F8=0,0,1000000*SER_hh_emi!F8/SER_hh_num!F8)</f>
        <v>13260.028637029756</v>
      </c>
      <c r="G8" s="133">
        <f>IF(SER_hh_emi!G8=0,0,1000000*SER_hh_emi!G8/SER_hh_num!G8)</f>
        <v>10372.099612291471</v>
      </c>
      <c r="H8" s="133">
        <f>IF(SER_hh_emi!H8=0,0,1000000*SER_hh_emi!H8/SER_hh_num!H8)</f>
        <v>5807.6685383332187</v>
      </c>
      <c r="I8" s="133">
        <f>IF(SER_hh_emi!I8=0,0,1000000*SER_hh_emi!I8/SER_hh_num!I8)</f>
        <v>11349.85441105769</v>
      </c>
      <c r="J8" s="133">
        <f>IF(SER_hh_emi!J8=0,0,1000000*SER_hh_emi!J8/SER_hh_num!J8)</f>
        <v>9214.7303667276683</v>
      </c>
      <c r="K8" s="133">
        <f>IF(SER_hh_emi!K8=0,0,1000000*SER_hh_emi!K8/SER_hh_num!K8)</f>
        <v>8492.1519789124668</v>
      </c>
      <c r="L8" s="133">
        <f>IF(SER_hh_emi!L8=0,0,1000000*SER_hh_emi!L8/SER_hh_num!L8)</f>
        <v>7954.1503094202772</v>
      </c>
      <c r="M8" s="133">
        <f>IF(SER_hh_emi!M8=0,0,1000000*SER_hh_emi!M8/SER_hh_num!M8)</f>
        <v>7271.4445767392581</v>
      </c>
      <c r="N8" s="133">
        <f>IF(SER_hh_emi!N8=0,0,1000000*SER_hh_emi!N8/SER_hh_num!N8)</f>
        <v>6601.3175350357133</v>
      </c>
      <c r="O8" s="133">
        <f>IF(SER_hh_emi!O8=0,0,1000000*SER_hh_emi!O8/SER_hh_num!O8)</f>
        <v>5611.9120342147271</v>
      </c>
      <c r="P8" s="133">
        <f>IF(SER_hh_emi!P8=0,0,1000000*SER_hh_emi!P8/SER_hh_num!P8)</f>
        <v>5797.7979530758348</v>
      </c>
      <c r="Q8" s="133">
        <f>IF(SER_hh_emi!Q8=0,0,1000000*SER_hh_emi!Q8/SER_hh_num!Q8)</f>
        <v>6117.6974521979319</v>
      </c>
      <c r="R8" s="133">
        <f>IF(SER_hh_emi!R8=0,0,1000000*SER_hh_emi!R8/SER_hh_num!R8)</f>
        <v>5810.7908004708852</v>
      </c>
      <c r="S8" s="133">
        <f>IF(SER_hh_emi!S8=0,0,1000000*SER_hh_emi!S8/SER_hh_num!S8)</f>
        <v>5465.1438645534963</v>
      </c>
      <c r="T8" s="133">
        <f>IF(SER_hh_emi!T8=0,0,1000000*SER_hh_emi!T8/SER_hh_num!T8)</f>
        <v>5240.7078114157339</v>
      </c>
      <c r="U8" s="133">
        <f>IF(SER_hh_emi!U8=0,0,1000000*SER_hh_emi!U8/SER_hh_num!U8)</f>
        <v>4917.1344625069023</v>
      </c>
      <c r="V8" s="133">
        <f>IF(SER_hh_emi!V8=0,0,1000000*SER_hh_emi!V8/SER_hh_num!V8)</f>
        <v>5169.430935296753</v>
      </c>
      <c r="W8" s="133">
        <f>IF(SER_hh_emi!W8=0,0,1000000*SER_hh_emi!W8/SER_hh_num!W8)</f>
        <v>5768.8483362897341</v>
      </c>
      <c r="DA8" s="157" t="s">
        <v>450</v>
      </c>
    </row>
    <row r="9" spans="1:105" ht="12" customHeight="1" x14ac:dyDescent="0.25">
      <c r="A9" s="132" t="s">
        <v>78</v>
      </c>
      <c r="B9" s="133">
        <f>IF(SER_hh_emi!B9=0,0,1000000*SER_hh_emi!B9/SER_hh_num!B9)</f>
        <v>28290.43413980474</v>
      </c>
      <c r="C9" s="133">
        <f>IF(SER_hh_emi!C9=0,0,1000000*SER_hh_emi!C9/SER_hh_num!C9)</f>
        <v>27981.629681991628</v>
      </c>
      <c r="D9" s="133">
        <f>IF(SER_hh_emi!D9=0,0,1000000*SER_hh_emi!D9/SER_hh_num!D9)</f>
        <v>25897.579273054231</v>
      </c>
      <c r="E9" s="133">
        <f>IF(SER_hh_emi!E9=0,0,1000000*SER_hh_emi!E9/SER_hh_num!E9)</f>
        <v>28270.622689829124</v>
      </c>
      <c r="F9" s="133">
        <f>IF(SER_hh_emi!F9=0,0,1000000*SER_hh_emi!F9/SER_hh_num!F9)</f>
        <v>25449.795210052602</v>
      </c>
      <c r="G9" s="133">
        <f>IF(SER_hh_emi!G9=0,0,1000000*SER_hh_emi!G9/SER_hh_num!G9)</f>
        <v>24379.888442663851</v>
      </c>
      <c r="H9" s="133">
        <f>IF(SER_hh_emi!H9=0,0,1000000*SER_hh_emi!H9/SER_hh_num!H9)</f>
        <v>25447.460145156441</v>
      </c>
      <c r="I9" s="133">
        <f>IF(SER_hh_emi!I9=0,0,1000000*SER_hh_emi!I9/SER_hh_num!I9)</f>
        <v>22756.249431532044</v>
      </c>
      <c r="J9" s="133">
        <f>IF(SER_hh_emi!J9=0,0,1000000*SER_hh_emi!J9/SER_hh_num!J9)</f>
        <v>22248.78453836589</v>
      </c>
      <c r="K9" s="133">
        <f>IF(SER_hh_emi!K9=0,0,1000000*SER_hh_emi!K9/SER_hh_num!K9)</f>
        <v>22629.221437791832</v>
      </c>
      <c r="L9" s="133">
        <f>IF(SER_hh_emi!L9=0,0,1000000*SER_hh_emi!L9/SER_hh_num!L9)</f>
        <v>23089.176750732906</v>
      </c>
      <c r="M9" s="133">
        <f>IF(SER_hh_emi!M9=0,0,1000000*SER_hh_emi!M9/SER_hh_num!M9)</f>
        <v>17587.767302548826</v>
      </c>
      <c r="N9" s="133">
        <f>IF(SER_hh_emi!N9=0,0,1000000*SER_hh_emi!N9/SER_hh_num!N9)</f>
        <v>19810.346306695483</v>
      </c>
      <c r="O9" s="133">
        <f>IF(SER_hh_emi!O9=0,0,1000000*SER_hh_emi!O9/SER_hh_num!O9)</f>
        <v>20191.70966455746</v>
      </c>
      <c r="P9" s="133">
        <f>IF(SER_hh_emi!P9=0,0,1000000*SER_hh_emi!P9/SER_hh_num!P9)</f>
        <v>13908.576694730958</v>
      </c>
      <c r="Q9" s="133">
        <f>IF(SER_hh_emi!Q9=0,0,1000000*SER_hh_emi!Q9/SER_hh_num!Q9)</f>
        <v>17847.583162932198</v>
      </c>
      <c r="R9" s="133">
        <f>IF(SER_hh_emi!R9=0,0,1000000*SER_hh_emi!R9/SER_hh_num!R9)</f>
        <v>17747.071316060435</v>
      </c>
      <c r="S9" s="133">
        <f>IF(SER_hh_emi!S9=0,0,1000000*SER_hh_emi!S9/SER_hh_num!S9)</f>
        <v>19062.700973943436</v>
      </c>
      <c r="T9" s="133">
        <f>IF(SER_hh_emi!T9=0,0,1000000*SER_hh_emi!T9/SER_hh_num!T9)</f>
        <v>13902.528957999479</v>
      </c>
      <c r="U9" s="133">
        <f>IF(SER_hh_emi!U9=0,0,1000000*SER_hh_emi!U9/SER_hh_num!U9)</f>
        <v>13111.556795698649</v>
      </c>
      <c r="V9" s="133">
        <f>IF(SER_hh_emi!V9=0,0,1000000*SER_hh_emi!V9/SER_hh_num!V9)</f>
        <v>13243.40731462487</v>
      </c>
      <c r="W9" s="133">
        <f>IF(SER_hh_emi!W9=0,0,1000000*SER_hh_emi!W9/SER_hh_num!W9)</f>
        <v>19874.535872207693</v>
      </c>
      <c r="DA9" s="157" t="s">
        <v>451</v>
      </c>
    </row>
    <row r="10" spans="1:105" ht="12" customHeight="1" x14ac:dyDescent="0.25">
      <c r="A10" s="132" t="s">
        <v>128</v>
      </c>
      <c r="B10" s="133">
        <f>IF(SER_hh_emi!B10=0,0,1000000*SER_hh_emi!B10/SER_hh_num!B10)</f>
        <v>15141.588255688792</v>
      </c>
      <c r="C10" s="133">
        <f>IF(SER_hh_emi!C10=0,0,1000000*SER_hh_emi!C10/SER_hh_num!C10)</f>
        <v>12448.722429275713</v>
      </c>
      <c r="D10" s="133">
        <f>IF(SER_hh_emi!D10=0,0,1000000*SER_hh_emi!D10/SER_hh_num!D10)</f>
        <v>16740.15049378499</v>
      </c>
      <c r="E10" s="133">
        <f>IF(SER_hh_emi!E10=0,0,1000000*SER_hh_emi!E10/SER_hh_num!E10)</f>
        <v>16390.787204049026</v>
      </c>
      <c r="F10" s="133">
        <f>IF(SER_hh_emi!F10=0,0,1000000*SER_hh_emi!F10/SER_hh_num!F10)</f>
        <v>12712.23897607803</v>
      </c>
      <c r="G10" s="133">
        <f>IF(SER_hh_emi!G10=0,0,1000000*SER_hh_emi!G10/SER_hh_num!G10)</f>
        <v>12455.818164155859</v>
      </c>
      <c r="H10" s="133">
        <f>IF(SER_hh_emi!H10=0,0,1000000*SER_hh_emi!H10/SER_hh_num!H10)</f>
        <v>12778.594740207836</v>
      </c>
      <c r="I10" s="133">
        <f>IF(SER_hh_emi!I10=0,0,1000000*SER_hh_emi!I10/SER_hh_num!I10)</f>
        <v>9221.035209525231</v>
      </c>
      <c r="J10" s="133">
        <f>IF(SER_hh_emi!J10=0,0,1000000*SER_hh_emi!J10/SER_hh_num!J10)</f>
        <v>7025.8403457758595</v>
      </c>
      <c r="K10" s="133">
        <f>IF(SER_hh_emi!K10=0,0,1000000*SER_hh_emi!K10/SER_hh_num!K10)</f>
        <v>4620.3399286660679</v>
      </c>
      <c r="L10" s="133">
        <f>IF(SER_hh_emi!L10=0,0,1000000*SER_hh_emi!L10/SER_hh_num!L10)</f>
        <v>4758.8297367946634</v>
      </c>
      <c r="M10" s="133">
        <f>IF(SER_hh_emi!M10=0,0,1000000*SER_hh_emi!M10/SER_hh_num!M10)</f>
        <v>6687.6670451395303</v>
      </c>
      <c r="N10" s="133">
        <f>IF(SER_hh_emi!N10=0,0,1000000*SER_hh_emi!N10/SER_hh_num!N10)</f>
        <v>5967.0160215975211</v>
      </c>
      <c r="O10" s="133">
        <f>IF(SER_hh_emi!O10=0,0,1000000*SER_hh_emi!O10/SER_hh_num!O10)</f>
        <v>5481.3012931365174</v>
      </c>
      <c r="P10" s="133">
        <f>IF(SER_hh_emi!P10=0,0,1000000*SER_hh_emi!P10/SER_hh_num!P10)</f>
        <v>7074.3892447339367</v>
      </c>
      <c r="Q10" s="133">
        <f>IF(SER_hh_emi!Q10=0,0,1000000*SER_hh_emi!Q10/SER_hh_num!Q10)</f>
        <v>2786.5583388440868</v>
      </c>
      <c r="R10" s="133">
        <f>IF(SER_hh_emi!R10=0,0,1000000*SER_hh_emi!R10/SER_hh_num!R10)</f>
        <v>3943.962368571968</v>
      </c>
      <c r="S10" s="133">
        <f>IF(SER_hh_emi!S10=0,0,1000000*SER_hh_emi!S10/SER_hh_num!S10)</f>
        <v>4872.3810696152186</v>
      </c>
      <c r="T10" s="133">
        <f>IF(SER_hh_emi!T10=0,0,1000000*SER_hh_emi!T10/SER_hh_num!T10)</f>
        <v>5359.4381768477442</v>
      </c>
      <c r="U10" s="133">
        <f>IF(SER_hh_emi!U10=0,0,1000000*SER_hh_emi!U10/SER_hh_num!U10)</f>
        <v>5145.3149988580499</v>
      </c>
      <c r="V10" s="133">
        <f>IF(SER_hh_emi!V10=0,0,1000000*SER_hh_emi!V10/SER_hh_num!V10)</f>
        <v>4186.3232544313796</v>
      </c>
      <c r="W10" s="133">
        <f>IF(SER_hh_emi!W10=0,0,1000000*SER_hh_emi!W10/SER_hh_num!W10)</f>
        <v>4336.4870072946096</v>
      </c>
      <c r="DA10" s="157" t="s">
        <v>452</v>
      </c>
    </row>
    <row r="11" spans="1:105" ht="12" customHeight="1" x14ac:dyDescent="0.25">
      <c r="A11" s="132" t="s">
        <v>25</v>
      </c>
      <c r="B11" s="133">
        <f>IF(SER_hh_emi!B11=0,0,1000000*SER_hh_emi!B11/SER_hh_num!B11)</f>
        <v>0</v>
      </c>
      <c r="C11" s="133">
        <f>IF(SER_hh_emi!C11=0,0,1000000*SER_hh_emi!C11/SER_hh_num!C11)</f>
        <v>0</v>
      </c>
      <c r="D11" s="133">
        <f>IF(SER_hh_emi!D11=0,0,1000000*SER_hh_emi!D11/SER_hh_num!D11)</f>
        <v>0</v>
      </c>
      <c r="E11" s="133">
        <f>IF(SER_hh_emi!E11=0,0,1000000*SER_hh_emi!E11/SER_hh_num!E11)</f>
        <v>0</v>
      </c>
      <c r="F11" s="133">
        <f>IF(SER_hh_emi!F11=0,0,1000000*SER_hh_emi!F11/SER_hh_num!F11)</f>
        <v>0</v>
      </c>
      <c r="G11" s="133">
        <f>IF(SER_hh_emi!G11=0,0,1000000*SER_hh_emi!G11/SER_hh_num!G11)</f>
        <v>0</v>
      </c>
      <c r="H11" s="133">
        <f>IF(SER_hh_emi!H11=0,0,1000000*SER_hh_emi!H11/SER_hh_num!H11)</f>
        <v>0</v>
      </c>
      <c r="I11" s="133">
        <f>IF(SER_hh_emi!I11=0,0,1000000*SER_hh_emi!I11/SER_hh_num!I11)</f>
        <v>0</v>
      </c>
      <c r="J11" s="133">
        <f>IF(SER_hh_emi!J11=0,0,1000000*SER_hh_emi!J11/SER_hh_num!J11)</f>
        <v>0</v>
      </c>
      <c r="K11" s="133">
        <f>IF(SER_hh_emi!K11=0,0,1000000*SER_hh_emi!K11/SER_hh_num!K11)</f>
        <v>0</v>
      </c>
      <c r="L11" s="133">
        <f>IF(SER_hh_emi!L11=0,0,1000000*SER_hh_emi!L11/SER_hh_num!L11)</f>
        <v>0</v>
      </c>
      <c r="M11" s="133">
        <f>IF(SER_hh_emi!M11=0,0,1000000*SER_hh_emi!M11/SER_hh_num!M11)</f>
        <v>0</v>
      </c>
      <c r="N11" s="133">
        <f>IF(SER_hh_emi!N11=0,0,1000000*SER_hh_emi!N11/SER_hh_num!N11)</f>
        <v>0</v>
      </c>
      <c r="O11" s="133">
        <f>IF(SER_hh_emi!O11=0,0,1000000*SER_hh_emi!O11/SER_hh_num!O11)</f>
        <v>0</v>
      </c>
      <c r="P11" s="133">
        <f>IF(SER_hh_emi!P11=0,0,1000000*SER_hh_emi!P11/SER_hh_num!P11)</f>
        <v>0</v>
      </c>
      <c r="Q11" s="133">
        <f>IF(SER_hh_emi!Q11=0,0,1000000*SER_hh_emi!Q11/SER_hh_num!Q11)</f>
        <v>0</v>
      </c>
      <c r="R11" s="133">
        <f>IF(SER_hh_emi!R11=0,0,1000000*SER_hh_emi!R11/SER_hh_num!R11)</f>
        <v>0</v>
      </c>
      <c r="S11" s="133">
        <f>IF(SER_hh_emi!S11=0,0,1000000*SER_hh_emi!S11/SER_hh_num!S11)</f>
        <v>0</v>
      </c>
      <c r="T11" s="133">
        <f>IF(SER_hh_emi!T11=0,0,1000000*SER_hh_emi!T11/SER_hh_num!T11)</f>
        <v>0</v>
      </c>
      <c r="U11" s="133">
        <f>IF(SER_hh_emi!U11=0,0,1000000*SER_hh_emi!U11/SER_hh_num!U11)</f>
        <v>0</v>
      </c>
      <c r="V11" s="133">
        <f>IF(SER_hh_emi!V11=0,0,1000000*SER_hh_emi!V11/SER_hh_num!V11)</f>
        <v>0</v>
      </c>
      <c r="W11" s="133">
        <f>IF(SER_hh_emi!W11=0,0,1000000*SER_hh_emi!W11/SER_hh_num!W11)</f>
        <v>0</v>
      </c>
      <c r="DA11" s="157" t="s">
        <v>453</v>
      </c>
    </row>
    <row r="12" spans="1:105" ht="12" customHeight="1" x14ac:dyDescent="0.25">
      <c r="A12" s="132" t="s">
        <v>169</v>
      </c>
      <c r="B12" s="133">
        <f>IF(SER_hh_emi!B12=0,0,1000000*SER_hh_emi!B12/SER_hh_num!B12)</f>
        <v>0</v>
      </c>
      <c r="C12" s="133">
        <f>IF(SER_hh_emi!C12=0,0,1000000*SER_hh_emi!C12/SER_hh_num!C12)</f>
        <v>0</v>
      </c>
      <c r="D12" s="133">
        <f>IF(SER_hh_emi!D12=0,0,1000000*SER_hh_emi!D12/SER_hh_num!D12)</f>
        <v>0</v>
      </c>
      <c r="E12" s="133">
        <f>IF(SER_hh_emi!E12=0,0,1000000*SER_hh_emi!E12/SER_hh_num!E12)</f>
        <v>0</v>
      </c>
      <c r="F12" s="133">
        <f>IF(SER_hh_emi!F12=0,0,1000000*SER_hh_emi!F12/SER_hh_num!F12)</f>
        <v>0</v>
      </c>
      <c r="G12" s="133">
        <f>IF(SER_hh_emi!G12=0,0,1000000*SER_hh_emi!G12/SER_hh_num!G12)</f>
        <v>0</v>
      </c>
      <c r="H12" s="133">
        <f>IF(SER_hh_emi!H12=0,0,1000000*SER_hh_emi!H12/SER_hh_num!H12)</f>
        <v>0</v>
      </c>
      <c r="I12" s="133">
        <f>IF(SER_hh_emi!I12=0,0,1000000*SER_hh_emi!I12/SER_hh_num!I12)</f>
        <v>0</v>
      </c>
      <c r="J12" s="133">
        <f>IF(SER_hh_emi!J12=0,0,1000000*SER_hh_emi!J12/SER_hh_num!J12)</f>
        <v>0</v>
      </c>
      <c r="K12" s="133">
        <f>IF(SER_hh_emi!K12=0,0,1000000*SER_hh_emi!K12/SER_hh_num!K12)</f>
        <v>0</v>
      </c>
      <c r="L12" s="133">
        <f>IF(SER_hh_emi!L12=0,0,1000000*SER_hh_emi!L12/SER_hh_num!L12)</f>
        <v>0</v>
      </c>
      <c r="M12" s="133">
        <f>IF(SER_hh_emi!M12=0,0,1000000*SER_hh_emi!M12/SER_hh_num!M12)</f>
        <v>0</v>
      </c>
      <c r="N12" s="133">
        <f>IF(SER_hh_emi!N12=0,0,1000000*SER_hh_emi!N12/SER_hh_num!N12)</f>
        <v>0</v>
      </c>
      <c r="O12" s="133">
        <f>IF(SER_hh_emi!O12=0,0,1000000*SER_hh_emi!O12/SER_hh_num!O12)</f>
        <v>0</v>
      </c>
      <c r="P12" s="133">
        <f>IF(SER_hh_emi!P12=0,0,1000000*SER_hh_emi!P12/SER_hh_num!P12)</f>
        <v>0</v>
      </c>
      <c r="Q12" s="133">
        <f>IF(SER_hh_emi!Q12=0,0,1000000*SER_hh_emi!Q12/SER_hh_num!Q12)</f>
        <v>0</v>
      </c>
      <c r="R12" s="133">
        <f>IF(SER_hh_emi!R12=0,0,1000000*SER_hh_emi!R12/SER_hh_num!R12)</f>
        <v>0</v>
      </c>
      <c r="S12" s="133">
        <f>IF(SER_hh_emi!S12=0,0,1000000*SER_hh_emi!S12/SER_hh_num!S12)</f>
        <v>0</v>
      </c>
      <c r="T12" s="133">
        <f>IF(SER_hh_emi!T12=0,0,1000000*SER_hh_emi!T12/SER_hh_num!T12)</f>
        <v>0</v>
      </c>
      <c r="U12" s="133">
        <f>IF(SER_hh_emi!U12=0,0,1000000*SER_hh_emi!U12/SER_hh_num!U12)</f>
        <v>0</v>
      </c>
      <c r="V12" s="133">
        <f>IF(SER_hh_emi!V12=0,0,1000000*SER_hh_emi!V12/SER_hh_num!V12)</f>
        <v>0</v>
      </c>
      <c r="W12" s="133">
        <f>IF(SER_hh_emi!W12=0,0,1000000*SER_hh_emi!W12/SER_hh_num!W12)</f>
        <v>0</v>
      </c>
      <c r="DA12" s="157" t="s">
        <v>454</v>
      </c>
    </row>
    <row r="13" spans="1:105" ht="12" customHeight="1" x14ac:dyDescent="0.25">
      <c r="A13" s="132" t="s">
        <v>77</v>
      </c>
      <c r="B13" s="133">
        <f>IF(SER_hh_emi!B13=0,0,1000000*SER_hh_emi!B13/SER_hh_num!B13)</f>
        <v>0</v>
      </c>
      <c r="C13" s="133">
        <f>IF(SER_hh_emi!C13=0,0,1000000*SER_hh_emi!C13/SER_hh_num!C13)</f>
        <v>0</v>
      </c>
      <c r="D13" s="133">
        <f>IF(SER_hh_emi!D13=0,0,1000000*SER_hh_emi!D13/SER_hh_num!D13)</f>
        <v>0</v>
      </c>
      <c r="E13" s="133">
        <f>IF(SER_hh_emi!E13=0,0,1000000*SER_hh_emi!E13/SER_hh_num!E13)</f>
        <v>0</v>
      </c>
      <c r="F13" s="133">
        <f>IF(SER_hh_emi!F13=0,0,1000000*SER_hh_emi!F13/SER_hh_num!F13)</f>
        <v>0</v>
      </c>
      <c r="G13" s="133">
        <f>IF(SER_hh_emi!G13=0,0,1000000*SER_hh_emi!G13/SER_hh_num!G13)</f>
        <v>0</v>
      </c>
      <c r="H13" s="133">
        <f>IF(SER_hh_emi!H13=0,0,1000000*SER_hh_emi!H13/SER_hh_num!H13)</f>
        <v>0</v>
      </c>
      <c r="I13" s="133">
        <f>IF(SER_hh_emi!I13=0,0,1000000*SER_hh_emi!I13/SER_hh_num!I13)</f>
        <v>0</v>
      </c>
      <c r="J13" s="133">
        <f>IF(SER_hh_emi!J13=0,0,1000000*SER_hh_emi!J13/SER_hh_num!J13)</f>
        <v>0</v>
      </c>
      <c r="K13" s="133">
        <f>IF(SER_hh_emi!K13=0,0,1000000*SER_hh_emi!K13/SER_hh_num!K13)</f>
        <v>0</v>
      </c>
      <c r="L13" s="133">
        <f>IF(SER_hh_emi!L13=0,0,1000000*SER_hh_emi!L13/SER_hh_num!L13)</f>
        <v>0</v>
      </c>
      <c r="M13" s="133">
        <f>IF(SER_hh_emi!M13=0,0,1000000*SER_hh_emi!M13/SER_hh_num!M13)</f>
        <v>0</v>
      </c>
      <c r="N13" s="133">
        <f>IF(SER_hh_emi!N13=0,0,1000000*SER_hh_emi!N13/SER_hh_num!N13)</f>
        <v>0</v>
      </c>
      <c r="O13" s="133">
        <f>IF(SER_hh_emi!O13=0,0,1000000*SER_hh_emi!O13/SER_hh_num!O13)</f>
        <v>0</v>
      </c>
      <c r="P13" s="133">
        <f>IF(SER_hh_emi!P13=0,0,1000000*SER_hh_emi!P13/SER_hh_num!P13)</f>
        <v>0</v>
      </c>
      <c r="Q13" s="133">
        <f>IF(SER_hh_emi!Q13=0,0,1000000*SER_hh_emi!Q13/SER_hh_num!Q13)</f>
        <v>0</v>
      </c>
      <c r="R13" s="133">
        <f>IF(SER_hh_emi!R13=0,0,1000000*SER_hh_emi!R13/SER_hh_num!R13)</f>
        <v>0</v>
      </c>
      <c r="S13" s="133">
        <f>IF(SER_hh_emi!S13=0,0,1000000*SER_hh_emi!S13/SER_hh_num!S13)</f>
        <v>0</v>
      </c>
      <c r="T13" s="133">
        <f>IF(SER_hh_emi!T13=0,0,1000000*SER_hh_emi!T13/SER_hh_num!T13)</f>
        <v>0</v>
      </c>
      <c r="U13" s="133">
        <f>IF(SER_hh_emi!U13=0,0,1000000*SER_hh_emi!U13/SER_hh_num!U13)</f>
        <v>0</v>
      </c>
      <c r="V13" s="133">
        <f>IF(SER_hh_emi!V13=0,0,1000000*SER_hh_emi!V13/SER_hh_num!V13)</f>
        <v>0</v>
      </c>
      <c r="W13" s="133">
        <f>IF(SER_hh_emi!W13=0,0,1000000*SER_hh_emi!W13/SER_hh_num!W13)</f>
        <v>0</v>
      </c>
      <c r="DA13" s="157" t="s">
        <v>455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DA14" s="109" t="s">
        <v>456</v>
      </c>
    </row>
    <row r="15" spans="1:105" ht="12" customHeight="1" x14ac:dyDescent="0.25">
      <c r="A15" s="134" t="s">
        <v>80</v>
      </c>
      <c r="B15" s="135">
        <f>IF(SER_hh_emi!B15=0,0,1000000*SER_hh_emi!B15/SER_hh_num!B15)</f>
        <v>0</v>
      </c>
      <c r="C15" s="135">
        <f>IF(SER_hh_emi!C15=0,0,1000000*SER_hh_emi!C15/SER_hh_num!C15)</f>
        <v>0</v>
      </c>
      <c r="D15" s="135">
        <f>IF(SER_hh_emi!D15=0,0,1000000*SER_hh_emi!D15/SER_hh_num!D15)</f>
        <v>0</v>
      </c>
      <c r="E15" s="135">
        <f>IF(SER_hh_emi!E15=0,0,1000000*SER_hh_emi!E15/SER_hh_num!E15)</f>
        <v>0</v>
      </c>
      <c r="F15" s="135">
        <f>IF(SER_hh_emi!F15=0,0,1000000*SER_hh_emi!F15/SER_hh_num!F15)</f>
        <v>0</v>
      </c>
      <c r="G15" s="135">
        <f>IF(SER_hh_emi!G15=0,0,1000000*SER_hh_emi!G15/SER_hh_num!G15)</f>
        <v>0</v>
      </c>
      <c r="H15" s="135">
        <f>IF(SER_hh_emi!H15=0,0,1000000*SER_hh_emi!H15/SER_hh_num!H15)</f>
        <v>0</v>
      </c>
      <c r="I15" s="135">
        <f>IF(SER_hh_emi!I15=0,0,1000000*SER_hh_emi!I15/SER_hh_num!I15)</f>
        <v>0</v>
      </c>
      <c r="J15" s="135">
        <f>IF(SER_hh_emi!J15=0,0,1000000*SER_hh_emi!J15/SER_hh_num!J15)</f>
        <v>0</v>
      </c>
      <c r="K15" s="135">
        <f>IF(SER_hh_emi!K15=0,0,1000000*SER_hh_emi!K15/SER_hh_num!K15)</f>
        <v>0</v>
      </c>
      <c r="L15" s="135">
        <f>IF(SER_hh_emi!L15=0,0,1000000*SER_hh_emi!L15/SER_hh_num!L15)</f>
        <v>0</v>
      </c>
      <c r="M15" s="135">
        <f>IF(SER_hh_emi!M15=0,0,1000000*SER_hh_emi!M15/SER_hh_num!M15)</f>
        <v>0</v>
      </c>
      <c r="N15" s="135">
        <f>IF(SER_hh_emi!N15=0,0,1000000*SER_hh_emi!N15/SER_hh_num!N15)</f>
        <v>0</v>
      </c>
      <c r="O15" s="135">
        <f>IF(SER_hh_emi!O15=0,0,1000000*SER_hh_emi!O15/SER_hh_num!O15)</f>
        <v>0</v>
      </c>
      <c r="P15" s="135">
        <f>IF(SER_hh_emi!P15=0,0,1000000*SER_hh_emi!P15/SER_hh_num!P15)</f>
        <v>0</v>
      </c>
      <c r="Q15" s="135">
        <f>IF(SER_hh_emi!Q15=0,0,1000000*SER_hh_emi!Q15/SER_hh_num!Q15)</f>
        <v>0</v>
      </c>
      <c r="R15" s="135">
        <f>IF(SER_hh_emi!R15=0,0,1000000*SER_hh_emi!R15/SER_hh_num!R15)</f>
        <v>0</v>
      </c>
      <c r="S15" s="135">
        <f>IF(SER_hh_emi!S15=0,0,1000000*SER_hh_emi!S15/SER_hh_num!S15)</f>
        <v>0</v>
      </c>
      <c r="T15" s="135">
        <f>IF(SER_hh_emi!T15=0,0,1000000*SER_hh_emi!T15/SER_hh_num!T15)</f>
        <v>0</v>
      </c>
      <c r="U15" s="135">
        <f>IF(SER_hh_emi!U15=0,0,1000000*SER_hh_emi!U15/SER_hh_num!U15)</f>
        <v>0</v>
      </c>
      <c r="V15" s="135">
        <f>IF(SER_hh_emi!V15=0,0,1000000*SER_hh_emi!V15/SER_hh_num!V15)</f>
        <v>0</v>
      </c>
      <c r="W15" s="135">
        <f>IF(SER_hh_emi!W15=0,0,1000000*SER_hh_emi!W15/SER_hh_num!W15)</f>
        <v>0</v>
      </c>
      <c r="DA15" s="158" t="s">
        <v>457</v>
      </c>
    </row>
    <row r="16" spans="1:105" ht="12.95" customHeight="1" x14ac:dyDescent="0.25">
      <c r="A16" s="130" t="s">
        <v>74</v>
      </c>
      <c r="B16" s="131">
        <f>IF(SER_hh_emi!B16=0,0,1000000*SER_hh_emi!B16/SER_hh_num!B16)</f>
        <v>3.0185031227078807</v>
      </c>
      <c r="C16" s="131">
        <f>IF(SER_hh_emi!C16=0,0,1000000*SER_hh_emi!C16/SER_hh_num!C16)</f>
        <v>3.0584469167653623</v>
      </c>
      <c r="D16" s="131">
        <f>IF(SER_hh_emi!D16=0,0,1000000*SER_hh_emi!D16/SER_hh_num!D16)</f>
        <v>3.1484550814459578</v>
      </c>
      <c r="E16" s="131">
        <f>IF(SER_hh_emi!E16=0,0,1000000*SER_hh_emi!E16/SER_hh_num!E16)</f>
        <v>3.1970988973259913</v>
      </c>
      <c r="F16" s="131">
        <f>IF(SER_hh_emi!F16=0,0,1000000*SER_hh_emi!F16/SER_hh_num!F16)</f>
        <v>3.3256319127177267</v>
      </c>
      <c r="G16" s="131">
        <f>IF(SER_hh_emi!G16=0,0,1000000*SER_hh_emi!G16/SER_hh_num!G16)</f>
        <v>3.5034706616999323</v>
      </c>
      <c r="H16" s="131">
        <f>IF(SER_hh_emi!H16=0,0,1000000*SER_hh_emi!H16/SER_hh_num!H16)</f>
        <v>3.5263510615004159</v>
      </c>
      <c r="I16" s="131">
        <f>IF(SER_hh_emi!I16=0,0,1000000*SER_hh_emi!I16/SER_hh_num!I16)</f>
        <v>3.5003668670657269</v>
      </c>
      <c r="J16" s="131">
        <f>IF(SER_hh_emi!J16=0,0,1000000*SER_hh_emi!J16/SER_hh_num!J16)</f>
        <v>3.5125946900858591</v>
      </c>
      <c r="K16" s="131">
        <f>IF(SER_hh_emi!K16=0,0,1000000*SER_hh_emi!K16/SER_hh_num!K16)</f>
        <v>3.4875131287238381</v>
      </c>
      <c r="L16" s="131">
        <f>IF(SER_hh_emi!L16=0,0,1000000*SER_hh_emi!L16/SER_hh_num!L16)</f>
        <v>3.5886565906657335</v>
      </c>
      <c r="M16" s="131">
        <f>IF(SER_hh_emi!M16=0,0,1000000*SER_hh_emi!M16/SER_hh_num!M16)</f>
        <v>3.8055207108872362</v>
      </c>
      <c r="N16" s="131">
        <f>IF(SER_hh_emi!N16=0,0,1000000*SER_hh_emi!N16/SER_hh_num!N16)</f>
        <v>4.2416563839935311</v>
      </c>
      <c r="O16" s="131">
        <f>IF(SER_hh_emi!O16=0,0,1000000*SER_hh_emi!O16/SER_hh_num!O16)</f>
        <v>4.9638313279122181</v>
      </c>
      <c r="P16" s="131">
        <f>IF(SER_hh_emi!P16=0,0,1000000*SER_hh_emi!P16/SER_hh_num!P16)</f>
        <v>6.3797298327647844</v>
      </c>
      <c r="Q16" s="131">
        <f>IF(SER_hh_emi!Q16=0,0,1000000*SER_hh_emi!Q16/SER_hh_num!Q16)</f>
        <v>8.7119180789218351</v>
      </c>
      <c r="R16" s="131">
        <f>IF(SER_hh_emi!R16=0,0,1000000*SER_hh_emi!R16/SER_hh_num!R16)</f>
        <v>10.582537707769127</v>
      </c>
      <c r="S16" s="131">
        <f>IF(SER_hh_emi!S16=0,0,1000000*SER_hh_emi!S16/SER_hh_num!S16)</f>
        <v>12.460061860365384</v>
      </c>
      <c r="T16" s="131">
        <f>IF(SER_hh_emi!T16=0,0,1000000*SER_hh_emi!T16/SER_hh_num!T16)</f>
        <v>13.747179782061091</v>
      </c>
      <c r="U16" s="131">
        <f>IF(SER_hh_emi!U16=0,0,1000000*SER_hh_emi!U16/SER_hh_num!U16)</f>
        <v>14.700075566406227</v>
      </c>
      <c r="V16" s="131">
        <f>IF(SER_hh_emi!V16=0,0,1000000*SER_hh_emi!V16/SER_hh_num!V16)</f>
        <v>15.005584325138949</v>
      </c>
      <c r="W16" s="131">
        <f>IF(SER_hh_emi!W16=0,0,1000000*SER_hh_emi!W16/SER_hh_num!W16)</f>
        <v>15.084640534318259</v>
      </c>
      <c r="DA16" s="156" t="s">
        <v>458</v>
      </c>
    </row>
    <row r="17" spans="1:105" ht="12.95" customHeight="1" x14ac:dyDescent="0.25">
      <c r="A17" s="132" t="s">
        <v>73</v>
      </c>
      <c r="B17" s="133">
        <f>IF(SER_hh_emi!B17=0,0,1000000*SER_hh_emi!B17/SER_hh_num!B17)</f>
        <v>3390.8088251030345</v>
      </c>
      <c r="C17" s="133">
        <f>IF(SER_hh_emi!C17=0,0,1000000*SER_hh_emi!C17/SER_hh_num!C17)</f>
        <v>3339.4606267604868</v>
      </c>
      <c r="D17" s="133">
        <f>IF(SER_hh_emi!D17=0,0,1000000*SER_hh_emi!D17/SER_hh_num!D17)</f>
        <v>3278.3134055662758</v>
      </c>
      <c r="E17" s="133">
        <f>IF(SER_hh_emi!E17=0,0,1000000*SER_hh_emi!E17/SER_hh_num!E17)</f>
        <v>3314.8426069187517</v>
      </c>
      <c r="F17" s="133">
        <f>IF(SER_hh_emi!F17=0,0,1000000*SER_hh_emi!F17/SER_hh_num!F17)</f>
        <v>3246.5137116711312</v>
      </c>
      <c r="G17" s="133">
        <f>IF(SER_hh_emi!G17=0,0,1000000*SER_hh_emi!G17/SER_hh_num!G17)</f>
        <v>3214.6109887488906</v>
      </c>
      <c r="H17" s="133">
        <f>IF(SER_hh_emi!H17=0,0,1000000*SER_hh_emi!H17/SER_hh_num!H17)</f>
        <v>3185.5705735956722</v>
      </c>
      <c r="I17" s="133">
        <f>IF(SER_hh_emi!I17=0,0,1000000*SER_hh_emi!I17/SER_hh_num!I17)</f>
        <v>3198.1353394989542</v>
      </c>
      <c r="J17" s="133">
        <f>IF(SER_hh_emi!J17=0,0,1000000*SER_hh_emi!J17/SER_hh_num!J17)</f>
        <v>3172.5376418044625</v>
      </c>
      <c r="K17" s="133">
        <f>IF(SER_hh_emi!K17=0,0,1000000*SER_hh_emi!K17/SER_hh_num!K17)</f>
        <v>3189.7670626313661</v>
      </c>
      <c r="L17" s="133">
        <f>IF(SER_hh_emi!L17=0,0,1000000*SER_hh_emi!L17/SER_hh_num!L17)</f>
        <v>3183.1166583081322</v>
      </c>
      <c r="M17" s="133">
        <f>IF(SER_hh_emi!M17=0,0,1000000*SER_hh_emi!M17/SER_hh_num!M17)</f>
        <v>3156.8009948767581</v>
      </c>
      <c r="N17" s="133">
        <f>IF(SER_hh_emi!N17=0,0,1000000*SER_hh_emi!N17/SER_hh_num!N17)</f>
        <v>3137.2940923960714</v>
      </c>
      <c r="O17" s="133">
        <f>IF(SER_hh_emi!O17=0,0,1000000*SER_hh_emi!O17/SER_hh_num!O17)</f>
        <v>3068.6543158261416</v>
      </c>
      <c r="P17" s="133">
        <f>IF(SER_hh_emi!P17=0,0,1000000*SER_hh_emi!P17/SER_hh_num!P17)</f>
        <v>3077.7937272243471</v>
      </c>
      <c r="Q17" s="133">
        <f>IF(SER_hh_emi!Q17=0,0,1000000*SER_hh_emi!Q17/SER_hh_num!Q17)</f>
        <v>3073.3293117359663</v>
      </c>
      <c r="R17" s="133">
        <f>IF(SER_hh_emi!R17=0,0,1000000*SER_hh_emi!R17/SER_hh_num!R17)</f>
        <v>2982.9475617150861</v>
      </c>
      <c r="S17" s="133">
        <f>IF(SER_hh_emi!S17=0,0,1000000*SER_hh_emi!S17/SER_hh_num!S17)</f>
        <v>2987.1766747121287</v>
      </c>
      <c r="T17" s="133">
        <f>IF(SER_hh_emi!T17=0,0,1000000*SER_hh_emi!T17/SER_hh_num!T17)</f>
        <v>3060.9803106247332</v>
      </c>
      <c r="U17" s="133">
        <f>IF(SER_hh_emi!U17=0,0,1000000*SER_hh_emi!U17/SER_hh_num!U17)</f>
        <v>2916.1934842527489</v>
      </c>
      <c r="V17" s="133">
        <f>IF(SER_hh_emi!V17=0,0,1000000*SER_hh_emi!V17/SER_hh_num!V17)</f>
        <v>2053.5017635541794</v>
      </c>
      <c r="W17" s="133">
        <f>IF(SER_hh_emi!W17=0,0,1000000*SER_hh_emi!W17/SER_hh_num!W17)</f>
        <v>2029.2547620983387</v>
      </c>
      <c r="DA17" s="157" t="s">
        <v>459</v>
      </c>
    </row>
    <row r="18" spans="1:105" ht="12" customHeight="1" x14ac:dyDescent="0.25">
      <c r="A18" s="132" t="s">
        <v>72</v>
      </c>
      <c r="B18" s="133">
        <f>IF(SER_hh_emi!B18=0,0,1000000*SER_hh_emi!B18/SER_hh_num!B18)</f>
        <v>0</v>
      </c>
      <c r="C18" s="133">
        <f>IF(SER_hh_emi!C18=0,0,1000000*SER_hh_emi!C18/SER_hh_num!C18)</f>
        <v>0</v>
      </c>
      <c r="D18" s="133">
        <f>IF(SER_hh_emi!D18=0,0,1000000*SER_hh_emi!D18/SER_hh_num!D18)</f>
        <v>0</v>
      </c>
      <c r="E18" s="133">
        <f>IF(SER_hh_emi!E18=0,0,1000000*SER_hh_emi!E18/SER_hh_num!E18)</f>
        <v>0</v>
      </c>
      <c r="F18" s="133">
        <f>IF(SER_hh_emi!F18=0,0,1000000*SER_hh_emi!F18/SER_hh_num!F18)</f>
        <v>0</v>
      </c>
      <c r="G18" s="133">
        <f>IF(SER_hh_emi!G18=0,0,1000000*SER_hh_emi!G18/SER_hh_num!G18)</f>
        <v>0</v>
      </c>
      <c r="H18" s="133">
        <f>IF(SER_hh_emi!H18=0,0,1000000*SER_hh_emi!H18/SER_hh_num!H18)</f>
        <v>0</v>
      </c>
      <c r="I18" s="133">
        <f>IF(SER_hh_emi!I18=0,0,1000000*SER_hh_emi!I18/SER_hh_num!I18)</f>
        <v>0</v>
      </c>
      <c r="J18" s="133">
        <f>IF(SER_hh_emi!J18=0,0,1000000*SER_hh_emi!J18/SER_hh_num!J18)</f>
        <v>0</v>
      </c>
      <c r="K18" s="133">
        <f>IF(SER_hh_emi!K18=0,0,1000000*SER_hh_emi!K18/SER_hh_num!K18)</f>
        <v>0</v>
      </c>
      <c r="L18" s="133">
        <f>IF(SER_hh_emi!L18=0,0,1000000*SER_hh_emi!L18/SER_hh_num!L18)</f>
        <v>0</v>
      </c>
      <c r="M18" s="133">
        <f>IF(SER_hh_emi!M18=0,0,1000000*SER_hh_emi!M18/SER_hh_num!M18)</f>
        <v>0</v>
      </c>
      <c r="N18" s="133">
        <f>IF(SER_hh_emi!N18=0,0,1000000*SER_hh_emi!N18/SER_hh_num!N18)</f>
        <v>0</v>
      </c>
      <c r="O18" s="133">
        <f>IF(SER_hh_emi!O18=0,0,1000000*SER_hh_emi!O18/SER_hh_num!O18)</f>
        <v>0</v>
      </c>
      <c r="P18" s="133">
        <f>IF(SER_hh_emi!P18=0,0,1000000*SER_hh_emi!P18/SER_hh_num!P18)</f>
        <v>0</v>
      </c>
      <c r="Q18" s="133">
        <f>IF(SER_hh_emi!Q18=0,0,1000000*SER_hh_emi!Q18/SER_hh_num!Q18)</f>
        <v>0</v>
      </c>
      <c r="R18" s="133">
        <f>IF(SER_hh_emi!R18=0,0,1000000*SER_hh_emi!R18/SER_hh_num!R18)</f>
        <v>0</v>
      </c>
      <c r="S18" s="133">
        <f>IF(SER_hh_emi!S18=0,0,1000000*SER_hh_emi!S18/SER_hh_num!S18)</f>
        <v>0</v>
      </c>
      <c r="T18" s="133">
        <f>IF(SER_hh_emi!T18=0,0,1000000*SER_hh_emi!T18/SER_hh_num!T18)</f>
        <v>0</v>
      </c>
      <c r="U18" s="133">
        <f>IF(SER_hh_emi!U18=0,0,1000000*SER_hh_emi!U18/SER_hh_num!U18)</f>
        <v>0</v>
      </c>
      <c r="V18" s="133">
        <f>IF(SER_hh_emi!V18=0,0,1000000*SER_hh_emi!V18/SER_hh_num!V18)</f>
        <v>0</v>
      </c>
      <c r="W18" s="133">
        <f>IF(SER_hh_emi!W18=0,0,1000000*SER_hh_emi!W18/SER_hh_num!W18)</f>
        <v>0</v>
      </c>
      <c r="DA18" s="157" t="s">
        <v>460</v>
      </c>
    </row>
    <row r="19" spans="1:105" ht="12.95" customHeight="1" x14ac:dyDescent="0.25">
      <c r="A19" s="130" t="s">
        <v>35</v>
      </c>
      <c r="B19" s="131">
        <f>IF(SER_hh_emi!B19=0,0,1000000*SER_hh_emi!B19/SER_hh_num!B19)</f>
        <v>651.19071567962851</v>
      </c>
      <c r="C19" s="131">
        <f>IF(SER_hh_emi!C19=0,0,1000000*SER_hh_emi!C19/SER_hh_num!C19)</f>
        <v>625.08891716354492</v>
      </c>
      <c r="D19" s="131">
        <f>IF(SER_hh_emi!D19=0,0,1000000*SER_hh_emi!D19/SER_hh_num!D19)</f>
        <v>623.44316864292841</v>
      </c>
      <c r="E19" s="131">
        <f>IF(SER_hh_emi!E19=0,0,1000000*SER_hh_emi!E19/SER_hh_num!E19)</f>
        <v>666.85460258560454</v>
      </c>
      <c r="F19" s="131">
        <f>IF(SER_hh_emi!F19=0,0,1000000*SER_hh_emi!F19/SER_hh_num!F19)</f>
        <v>651.03406759265579</v>
      </c>
      <c r="G19" s="131">
        <f>IF(SER_hh_emi!G19=0,0,1000000*SER_hh_emi!G19/SER_hh_num!G19)</f>
        <v>664.37911124802622</v>
      </c>
      <c r="H19" s="131">
        <f>IF(SER_hh_emi!H19=0,0,1000000*SER_hh_emi!H19/SER_hh_num!H19)</f>
        <v>645.18954864834097</v>
      </c>
      <c r="I19" s="131">
        <f>IF(SER_hh_emi!I19=0,0,1000000*SER_hh_emi!I19/SER_hh_num!I19)</f>
        <v>600.57031900579113</v>
      </c>
      <c r="J19" s="131">
        <f>IF(SER_hh_emi!J19=0,0,1000000*SER_hh_emi!J19/SER_hh_num!J19)</f>
        <v>592.02759063433609</v>
      </c>
      <c r="K19" s="131">
        <f>IF(SER_hh_emi!K19=0,0,1000000*SER_hh_emi!K19/SER_hh_num!K19)</f>
        <v>574.5333798984251</v>
      </c>
      <c r="L19" s="131">
        <f>IF(SER_hh_emi!L19=0,0,1000000*SER_hh_emi!L19/SER_hh_num!L19)</f>
        <v>550.48531014543744</v>
      </c>
      <c r="M19" s="131">
        <f>IF(SER_hh_emi!M19=0,0,1000000*SER_hh_emi!M19/SER_hh_num!M19)</f>
        <v>468.84025873099557</v>
      </c>
      <c r="N19" s="131">
        <f>IF(SER_hh_emi!N19=0,0,1000000*SER_hh_emi!N19/SER_hh_num!N19)</f>
        <v>464.76971791642126</v>
      </c>
      <c r="O19" s="131">
        <f>IF(SER_hh_emi!O19=0,0,1000000*SER_hh_emi!O19/SER_hh_num!O19)</f>
        <v>454.3763527717141</v>
      </c>
      <c r="P19" s="131">
        <f>IF(SER_hh_emi!P19=0,0,1000000*SER_hh_emi!P19/SER_hh_num!P19)</f>
        <v>425.7278948775093</v>
      </c>
      <c r="Q19" s="131">
        <f>IF(SER_hh_emi!Q19=0,0,1000000*SER_hh_emi!Q19/SER_hh_num!Q19)</f>
        <v>457.61026014382702</v>
      </c>
      <c r="R19" s="131">
        <f>IF(SER_hh_emi!R19=0,0,1000000*SER_hh_emi!R19/SER_hh_num!R19)</f>
        <v>454.01142769178585</v>
      </c>
      <c r="S19" s="131">
        <f>IF(SER_hh_emi!S19=0,0,1000000*SER_hh_emi!S19/SER_hh_num!S19)</f>
        <v>454.68475193981385</v>
      </c>
      <c r="T19" s="131">
        <f>IF(SER_hh_emi!T19=0,0,1000000*SER_hh_emi!T19/SER_hh_num!T19)</f>
        <v>437.1760782948495</v>
      </c>
      <c r="U19" s="131">
        <f>IF(SER_hh_emi!U19=0,0,1000000*SER_hh_emi!U19/SER_hh_num!U19)</f>
        <v>386.50918477167806</v>
      </c>
      <c r="V19" s="131">
        <f>IF(SER_hh_emi!V19=0,0,1000000*SER_hh_emi!V19/SER_hh_num!V19)</f>
        <v>279.73248036845365</v>
      </c>
      <c r="W19" s="131">
        <f>IF(SER_hh_emi!W19=0,0,1000000*SER_hh_emi!W19/SER_hh_num!W19)</f>
        <v>348.40784329831615</v>
      </c>
      <c r="DA19" s="156" t="s">
        <v>461</v>
      </c>
    </row>
    <row r="20" spans="1:105" ht="12" customHeight="1" x14ac:dyDescent="0.25">
      <c r="A20" s="132" t="s">
        <v>29</v>
      </c>
      <c r="B20" s="133">
        <f>IF(SER_hh_emi!B20=0,0,1000000*SER_hh_emi!B20/SER_hh_num!B20)</f>
        <v>0</v>
      </c>
      <c r="C20" s="133">
        <f>IF(SER_hh_emi!C20=0,0,1000000*SER_hh_emi!C20/SER_hh_num!C20)</f>
        <v>0</v>
      </c>
      <c r="D20" s="133">
        <f>IF(SER_hh_emi!D20=0,0,1000000*SER_hh_emi!D20/SER_hh_num!D20)</f>
        <v>0</v>
      </c>
      <c r="E20" s="133">
        <f>IF(SER_hh_emi!E20=0,0,1000000*SER_hh_emi!E20/SER_hh_num!E20)</f>
        <v>0</v>
      </c>
      <c r="F20" s="133">
        <f>IF(SER_hh_emi!F20=0,0,1000000*SER_hh_emi!F20/SER_hh_num!F20)</f>
        <v>0</v>
      </c>
      <c r="G20" s="133">
        <f>IF(SER_hh_emi!G20=0,0,1000000*SER_hh_emi!G20/SER_hh_num!G20)</f>
        <v>0</v>
      </c>
      <c r="H20" s="133">
        <f>IF(SER_hh_emi!H20=0,0,1000000*SER_hh_emi!H20/SER_hh_num!H20)</f>
        <v>0</v>
      </c>
      <c r="I20" s="133">
        <f>IF(SER_hh_emi!I20=0,0,1000000*SER_hh_emi!I20/SER_hh_num!I20)</f>
        <v>0</v>
      </c>
      <c r="J20" s="133">
        <f>IF(SER_hh_emi!J20=0,0,1000000*SER_hh_emi!J20/SER_hh_num!J20)</f>
        <v>0</v>
      </c>
      <c r="K20" s="133">
        <f>IF(SER_hh_emi!K20=0,0,1000000*SER_hh_emi!K20/SER_hh_num!K20)</f>
        <v>0</v>
      </c>
      <c r="L20" s="133">
        <f>IF(SER_hh_emi!L20=0,0,1000000*SER_hh_emi!L20/SER_hh_num!L20)</f>
        <v>0</v>
      </c>
      <c r="M20" s="133">
        <f>IF(SER_hh_emi!M20=0,0,1000000*SER_hh_emi!M20/SER_hh_num!M20)</f>
        <v>0</v>
      </c>
      <c r="N20" s="133">
        <f>IF(SER_hh_emi!N20=0,0,1000000*SER_hh_emi!N20/SER_hh_num!N20)</f>
        <v>0</v>
      </c>
      <c r="O20" s="133">
        <f>IF(SER_hh_emi!O20=0,0,1000000*SER_hh_emi!O20/SER_hh_num!O20)</f>
        <v>0</v>
      </c>
      <c r="P20" s="133">
        <f>IF(SER_hh_emi!P20=0,0,1000000*SER_hh_emi!P20/SER_hh_num!P20)</f>
        <v>0</v>
      </c>
      <c r="Q20" s="133">
        <f>IF(SER_hh_emi!Q20=0,0,1000000*SER_hh_emi!Q20/SER_hh_num!Q20)</f>
        <v>0</v>
      </c>
      <c r="R20" s="133">
        <f>IF(SER_hh_emi!R20=0,0,1000000*SER_hh_emi!R20/SER_hh_num!R20)</f>
        <v>0</v>
      </c>
      <c r="S20" s="133">
        <f>IF(SER_hh_emi!S20=0,0,1000000*SER_hh_emi!S20/SER_hh_num!S20)</f>
        <v>0</v>
      </c>
      <c r="T20" s="133">
        <f>IF(SER_hh_emi!T20=0,0,1000000*SER_hh_emi!T20/SER_hh_num!T20)</f>
        <v>0</v>
      </c>
      <c r="U20" s="133">
        <f>IF(SER_hh_emi!U20=0,0,1000000*SER_hh_emi!U20/SER_hh_num!U20)</f>
        <v>0</v>
      </c>
      <c r="V20" s="133">
        <f>IF(SER_hh_emi!V20=0,0,1000000*SER_hh_emi!V20/SER_hh_num!V20)</f>
        <v>0</v>
      </c>
      <c r="W20" s="133">
        <f>IF(SER_hh_emi!W20=0,0,1000000*SER_hh_emi!W20/SER_hh_num!W20)</f>
        <v>0</v>
      </c>
      <c r="DA20" s="157" t="s">
        <v>462</v>
      </c>
    </row>
    <row r="21" spans="1:105" s="2" customFormat="1" ht="12" customHeight="1" x14ac:dyDescent="0.25">
      <c r="A21" s="132" t="s">
        <v>52</v>
      </c>
      <c r="B21" s="133">
        <f>IF(SER_hh_emi!B21=0,0,1000000*SER_hh_emi!B21/SER_hh_num!B21)</f>
        <v>0</v>
      </c>
      <c r="C21" s="133">
        <f>IF(SER_hh_emi!C21=0,0,1000000*SER_hh_emi!C21/SER_hh_num!C21)</f>
        <v>0</v>
      </c>
      <c r="D21" s="133">
        <f>IF(SER_hh_emi!D21=0,0,1000000*SER_hh_emi!D21/SER_hh_num!D21)</f>
        <v>0</v>
      </c>
      <c r="E21" s="133">
        <f>IF(SER_hh_emi!E21=0,0,1000000*SER_hh_emi!E21/SER_hh_num!E21)</f>
        <v>0</v>
      </c>
      <c r="F21" s="133">
        <f>IF(SER_hh_emi!F21=0,0,1000000*SER_hh_emi!F21/SER_hh_num!F21)</f>
        <v>0</v>
      </c>
      <c r="G21" s="133">
        <f>IF(SER_hh_emi!G21=0,0,1000000*SER_hh_emi!G21/SER_hh_num!G21)</f>
        <v>0</v>
      </c>
      <c r="H21" s="133">
        <f>IF(SER_hh_emi!H21=0,0,1000000*SER_hh_emi!H21/SER_hh_num!H21)</f>
        <v>0</v>
      </c>
      <c r="I21" s="133">
        <f>IF(SER_hh_emi!I21=0,0,1000000*SER_hh_emi!I21/SER_hh_num!I21)</f>
        <v>0</v>
      </c>
      <c r="J21" s="133">
        <f>IF(SER_hh_emi!J21=0,0,1000000*SER_hh_emi!J21/SER_hh_num!J21)</f>
        <v>0</v>
      </c>
      <c r="K21" s="133">
        <f>IF(SER_hh_emi!K21=0,0,1000000*SER_hh_emi!K21/SER_hh_num!K21)</f>
        <v>0</v>
      </c>
      <c r="L21" s="133">
        <f>IF(SER_hh_emi!L21=0,0,1000000*SER_hh_emi!L21/SER_hh_num!L21)</f>
        <v>0</v>
      </c>
      <c r="M21" s="133">
        <f>IF(SER_hh_emi!M21=0,0,1000000*SER_hh_emi!M21/SER_hh_num!M21)</f>
        <v>0</v>
      </c>
      <c r="N21" s="133">
        <f>IF(SER_hh_emi!N21=0,0,1000000*SER_hh_emi!N21/SER_hh_num!N21)</f>
        <v>0</v>
      </c>
      <c r="O21" s="133">
        <f>IF(SER_hh_emi!O21=0,0,1000000*SER_hh_emi!O21/SER_hh_num!O21)</f>
        <v>0</v>
      </c>
      <c r="P21" s="133">
        <f>IF(SER_hh_emi!P21=0,0,1000000*SER_hh_emi!P21/SER_hh_num!P21)</f>
        <v>0</v>
      </c>
      <c r="Q21" s="133">
        <f>IF(SER_hh_emi!Q21=0,0,1000000*SER_hh_emi!Q21/SER_hh_num!Q21)</f>
        <v>0</v>
      </c>
      <c r="R21" s="133">
        <f>IF(SER_hh_emi!R21=0,0,1000000*SER_hh_emi!R21/SER_hh_num!R21)</f>
        <v>0</v>
      </c>
      <c r="S21" s="133">
        <f>IF(SER_hh_emi!S21=0,0,1000000*SER_hh_emi!S21/SER_hh_num!S21)</f>
        <v>0</v>
      </c>
      <c r="T21" s="133">
        <f>IF(SER_hh_emi!T21=0,0,1000000*SER_hh_emi!T21/SER_hh_num!T21)</f>
        <v>0</v>
      </c>
      <c r="U21" s="133">
        <f>IF(SER_hh_emi!U21=0,0,1000000*SER_hh_emi!U21/SER_hh_num!U21)</f>
        <v>0</v>
      </c>
      <c r="V21" s="133">
        <f>IF(SER_hh_emi!V21=0,0,1000000*SER_hh_emi!V21/SER_hh_num!V21)</f>
        <v>0</v>
      </c>
      <c r="W21" s="133">
        <f>IF(SER_hh_emi!W21=0,0,1000000*SER_hh_emi!W21/SER_hh_num!W21)</f>
        <v>0</v>
      </c>
      <c r="DA21" s="157" t="s">
        <v>463</v>
      </c>
    </row>
    <row r="22" spans="1:105" ht="12" customHeight="1" x14ac:dyDescent="0.25">
      <c r="A22" s="132" t="s">
        <v>168</v>
      </c>
      <c r="B22" s="133">
        <f>IF(SER_hh_emi!B22=0,0,1000000*SER_hh_emi!B22/SER_hh_num!B22)</f>
        <v>4852.1588146623035</v>
      </c>
      <c r="C22" s="133">
        <f>IF(SER_hh_emi!C22=0,0,1000000*SER_hh_emi!C22/SER_hh_num!C22)</f>
        <v>4733.1785590340332</v>
      </c>
      <c r="D22" s="133">
        <f>IF(SER_hh_emi!D22=0,0,1000000*SER_hh_emi!D22/SER_hh_num!D22)</f>
        <v>4701.5393755807545</v>
      </c>
      <c r="E22" s="133">
        <f>IF(SER_hh_emi!E22=0,0,1000000*SER_hh_emi!E22/SER_hh_num!E22)</f>
        <v>4682.4267240893332</v>
      </c>
      <c r="F22" s="133">
        <f>IF(SER_hh_emi!F22=0,0,1000000*SER_hh_emi!F22/SER_hh_num!F22)</f>
        <v>4726.4965078382484</v>
      </c>
      <c r="G22" s="133">
        <f>IF(SER_hh_emi!G22=0,0,1000000*SER_hh_emi!G22/SER_hh_num!G22)</f>
        <v>4815.8199333273033</v>
      </c>
      <c r="H22" s="133">
        <f>IF(SER_hh_emi!H22=0,0,1000000*SER_hh_emi!H22/SER_hh_num!H22)</f>
        <v>4546.8246721279611</v>
      </c>
      <c r="I22" s="133">
        <f>IF(SER_hh_emi!I22=0,0,1000000*SER_hh_emi!I22/SER_hh_num!I22)</f>
        <v>4374.3326466791896</v>
      </c>
      <c r="J22" s="133">
        <f>IF(SER_hh_emi!J22=0,0,1000000*SER_hh_emi!J22/SER_hh_num!J22)</f>
        <v>4586.0424275030482</v>
      </c>
      <c r="K22" s="133">
        <f>IF(SER_hh_emi!K22=0,0,1000000*SER_hh_emi!K22/SER_hh_num!K22)</f>
        <v>4642.9147862084956</v>
      </c>
      <c r="L22" s="133">
        <f>IF(SER_hh_emi!L22=0,0,1000000*SER_hh_emi!L22/SER_hh_num!L22)</f>
        <v>4563.7929762998938</v>
      </c>
      <c r="M22" s="133">
        <f>IF(SER_hh_emi!M22=0,0,1000000*SER_hh_emi!M22/SER_hh_num!M22)</f>
        <v>4250.4005993359315</v>
      </c>
      <c r="N22" s="133">
        <f>IF(SER_hh_emi!N22=0,0,1000000*SER_hh_emi!N22/SER_hh_num!N22)</f>
        <v>4394.1726462469869</v>
      </c>
      <c r="O22" s="133">
        <f>IF(SER_hh_emi!O22=0,0,1000000*SER_hh_emi!O22/SER_hh_num!O22)</f>
        <v>4451.4188297237815</v>
      </c>
      <c r="P22" s="133">
        <f>IF(SER_hh_emi!P22=0,0,1000000*SER_hh_emi!P22/SER_hh_num!P22)</f>
        <v>4443.3079446350239</v>
      </c>
      <c r="Q22" s="133">
        <f>IF(SER_hh_emi!Q22=0,0,1000000*SER_hh_emi!Q22/SER_hh_num!Q22)</f>
        <v>4417.4632492648798</v>
      </c>
      <c r="R22" s="133">
        <f>IF(SER_hh_emi!R22=0,0,1000000*SER_hh_emi!R22/SER_hh_num!R22)</f>
        <v>4529.2628150790733</v>
      </c>
      <c r="S22" s="133">
        <f>IF(SER_hh_emi!S22=0,0,1000000*SER_hh_emi!S22/SER_hh_num!S22)</f>
        <v>4413.3075811038843</v>
      </c>
      <c r="T22" s="133">
        <f>IF(SER_hh_emi!T22=0,0,1000000*SER_hh_emi!T22/SER_hh_num!T22)</f>
        <v>4930.0319548393991</v>
      </c>
      <c r="U22" s="133">
        <f>IF(SER_hh_emi!U22=0,0,1000000*SER_hh_emi!U22/SER_hh_num!U22)</f>
        <v>3020.5050970750663</v>
      </c>
      <c r="V22" s="133">
        <f>IF(SER_hh_emi!V22=0,0,1000000*SER_hh_emi!V22/SER_hh_num!V22)</f>
        <v>4328.291354432371</v>
      </c>
      <c r="W22" s="133">
        <f>IF(SER_hh_emi!W22=0,0,1000000*SER_hh_emi!W22/SER_hh_num!W22)</f>
        <v>3465.8558802578864</v>
      </c>
      <c r="DA22" s="157" t="s">
        <v>464</v>
      </c>
    </row>
    <row r="23" spans="1:105" ht="12" customHeight="1" x14ac:dyDescent="0.25">
      <c r="A23" s="132" t="s">
        <v>153</v>
      </c>
      <c r="B23" s="133">
        <f>IF(SER_hh_emi!B23=0,0,1000000*SER_hh_emi!B23/SER_hh_num!B23)</f>
        <v>3380.7389307635431</v>
      </c>
      <c r="C23" s="133">
        <f>IF(SER_hh_emi!C23=0,0,1000000*SER_hh_emi!C23/SER_hh_num!C23)</f>
        <v>3263.6914718217563</v>
      </c>
      <c r="D23" s="133">
        <f>IF(SER_hh_emi!D23=0,0,1000000*SER_hh_emi!D23/SER_hh_num!D23)</f>
        <v>3070.6127886524946</v>
      </c>
      <c r="E23" s="133">
        <f>IF(SER_hh_emi!E23=0,0,1000000*SER_hh_emi!E23/SER_hh_num!E23)</f>
        <v>3322.9796039633334</v>
      </c>
      <c r="F23" s="133">
        <f>IF(SER_hh_emi!F23=0,0,1000000*SER_hh_emi!F23/SER_hh_num!F23)</f>
        <v>3041.1378571971863</v>
      </c>
      <c r="G23" s="133">
        <f>IF(SER_hh_emi!G23=0,0,1000000*SER_hh_emi!G23/SER_hh_num!G23)</f>
        <v>3074.2737016557626</v>
      </c>
      <c r="H23" s="133">
        <f>IF(SER_hh_emi!H23=0,0,1000000*SER_hh_emi!H23/SER_hh_num!H23)</f>
        <v>3118.6077683267386</v>
      </c>
      <c r="I23" s="133">
        <f>IF(SER_hh_emi!I23=0,0,1000000*SER_hh_emi!I23/SER_hh_num!I23)</f>
        <v>3025.720198067032</v>
      </c>
      <c r="J23" s="133">
        <f>IF(SER_hh_emi!J23=0,0,1000000*SER_hh_emi!J23/SER_hh_num!J23)</f>
        <v>2983.6769396781792</v>
      </c>
      <c r="K23" s="133">
        <f>IF(SER_hh_emi!K23=0,0,1000000*SER_hh_emi!K23/SER_hh_num!K23)</f>
        <v>3023.1255206588189</v>
      </c>
      <c r="L23" s="133">
        <f>IF(SER_hh_emi!L23=0,0,1000000*SER_hh_emi!L23/SER_hh_num!L23)</f>
        <v>3093.0092129141876</v>
      </c>
      <c r="M23" s="133">
        <f>IF(SER_hh_emi!M23=0,0,1000000*SER_hh_emi!M23/SER_hh_num!M23)</f>
        <v>2777.0911174572661</v>
      </c>
      <c r="N23" s="133">
        <f>IF(SER_hh_emi!N23=0,0,1000000*SER_hh_emi!N23/SER_hh_num!N23)</f>
        <v>2899.6965023650514</v>
      </c>
      <c r="O23" s="133">
        <f>IF(SER_hh_emi!O23=0,0,1000000*SER_hh_emi!O23/SER_hh_num!O23)</f>
        <v>2918.0739724968116</v>
      </c>
      <c r="P23" s="133">
        <f>IF(SER_hh_emi!P23=0,0,1000000*SER_hh_emi!P23/SER_hh_num!P23)</f>
        <v>2684.3811571763681</v>
      </c>
      <c r="Q23" s="133">
        <f>IF(SER_hh_emi!Q23=0,0,1000000*SER_hh_emi!Q23/SER_hh_num!Q23)</f>
        <v>2978.3524008452241</v>
      </c>
      <c r="R23" s="133">
        <f>IF(SER_hh_emi!R23=0,0,1000000*SER_hh_emi!R23/SER_hh_num!R23)</f>
        <v>2812.6111375201222</v>
      </c>
      <c r="S23" s="133">
        <f>IF(SER_hh_emi!S23=0,0,1000000*SER_hh_emi!S23/SER_hh_num!S23)</f>
        <v>2807.049393142036</v>
      </c>
      <c r="T23" s="133">
        <f>IF(SER_hh_emi!T23=0,0,1000000*SER_hh_emi!T23/SER_hh_num!T23)</f>
        <v>2679.4622477711864</v>
      </c>
      <c r="U23" s="133">
        <f>IF(SER_hh_emi!U23=0,0,1000000*SER_hh_emi!U23/SER_hh_num!U23)</f>
        <v>2723.0292073689484</v>
      </c>
      <c r="V23" s="133">
        <f>IF(SER_hh_emi!V23=0,0,1000000*SER_hh_emi!V23/SER_hh_num!V23)</f>
        <v>1816.6252193910091</v>
      </c>
      <c r="W23" s="133">
        <f>IF(SER_hh_emi!W23=0,0,1000000*SER_hh_emi!W23/SER_hh_num!W23)</f>
        <v>2557.1766929002206</v>
      </c>
      <c r="DA23" s="157" t="s">
        <v>465</v>
      </c>
    </row>
    <row r="24" spans="1:105" ht="12" customHeight="1" x14ac:dyDescent="0.25">
      <c r="A24" s="132" t="s">
        <v>128</v>
      </c>
      <c r="B24" s="133">
        <f>IF(SER_hh_emi!B24=0,0,1000000*SER_hh_emi!B24/SER_hh_num!B24)</f>
        <v>1655.2244794536773</v>
      </c>
      <c r="C24" s="133">
        <f>IF(SER_hh_emi!C24=0,0,1000000*SER_hh_emi!C24/SER_hh_num!C24)</f>
        <v>1691.7429087013552</v>
      </c>
      <c r="D24" s="133">
        <f>IF(SER_hh_emi!D24=0,0,1000000*SER_hh_emi!D24/SER_hh_num!D24)</f>
        <v>1831.9191041589386</v>
      </c>
      <c r="E24" s="133">
        <f>IF(SER_hh_emi!E24=0,0,1000000*SER_hh_emi!E24/SER_hh_num!E24)</f>
        <v>1748.7516285496613</v>
      </c>
      <c r="F24" s="133">
        <f>IF(SER_hh_emi!F24=0,0,1000000*SER_hh_emi!F24/SER_hh_num!F24)</f>
        <v>1577.7033286415135</v>
      </c>
      <c r="G24" s="133">
        <f>IF(SER_hh_emi!G24=0,0,1000000*SER_hh_emi!G24/SER_hh_num!G24)</f>
        <v>1458.0581620265154</v>
      </c>
      <c r="H24" s="133">
        <f>IF(SER_hh_emi!H24=0,0,1000000*SER_hh_emi!H24/SER_hh_num!H24)</f>
        <v>1339.4593322737821</v>
      </c>
      <c r="I24" s="133">
        <f>IF(SER_hh_emi!I24=0,0,1000000*SER_hh_emi!I24/SER_hh_num!I24)</f>
        <v>1070.3615570740487</v>
      </c>
      <c r="J24" s="133">
        <f>IF(SER_hh_emi!J24=0,0,1000000*SER_hh_emi!J24/SER_hh_num!J24)</f>
        <v>819.33374195904457</v>
      </c>
      <c r="K24" s="133">
        <f>IF(SER_hh_emi!K24=0,0,1000000*SER_hh_emi!K24/SER_hh_num!K24)</f>
        <v>584.64082523776892</v>
      </c>
      <c r="L24" s="133">
        <f>IF(SER_hh_emi!L24=0,0,1000000*SER_hh_emi!L24/SER_hh_num!L24)</f>
        <v>575.85724616036691</v>
      </c>
      <c r="M24" s="133">
        <f>IF(SER_hh_emi!M24=0,0,1000000*SER_hh_emi!M24/SER_hh_num!M24)</f>
        <v>765.65796551179187</v>
      </c>
      <c r="N24" s="133">
        <f>IF(SER_hh_emi!N24=0,0,1000000*SER_hh_emi!N24/SER_hh_num!N24)</f>
        <v>790.94015863003017</v>
      </c>
      <c r="O24" s="133">
        <f>IF(SER_hh_emi!O24=0,0,1000000*SER_hh_emi!O24/SER_hh_num!O24)</f>
        <v>739.16603548372905</v>
      </c>
      <c r="P24" s="133">
        <f>IF(SER_hh_emi!P24=0,0,1000000*SER_hh_emi!P24/SER_hh_num!P24)</f>
        <v>833.15305765042524</v>
      </c>
      <c r="Q24" s="133">
        <f>IF(SER_hh_emi!Q24=0,0,1000000*SER_hh_emi!Q24/SER_hh_num!Q24)</f>
        <v>392.80717221309919</v>
      </c>
      <c r="R24" s="133">
        <f>IF(SER_hh_emi!R24=0,0,1000000*SER_hh_emi!R24/SER_hh_num!R24)</f>
        <v>515.09679493156682</v>
      </c>
      <c r="S24" s="133">
        <f>IF(SER_hh_emi!S24=0,0,1000000*SER_hh_emi!S24/SER_hh_num!S24)</f>
        <v>610.44405088291023</v>
      </c>
      <c r="T24" s="133">
        <f>IF(SER_hh_emi!T24=0,0,1000000*SER_hh_emi!T24/SER_hh_num!T24)</f>
        <v>663.58515680161076</v>
      </c>
      <c r="U24" s="133">
        <f>IF(SER_hh_emi!U24=0,0,1000000*SER_hh_emi!U24/SER_hh_num!U24)</f>
        <v>615.26712334565627</v>
      </c>
      <c r="V24" s="133">
        <f>IF(SER_hh_emi!V24=0,0,1000000*SER_hh_emi!V24/SER_hh_num!V24)</f>
        <v>481.19267305279624</v>
      </c>
      <c r="W24" s="133">
        <f>IF(SER_hh_emi!W24=0,0,1000000*SER_hh_emi!W24/SER_hh_num!W24)</f>
        <v>456.82799460097027</v>
      </c>
      <c r="DA24" s="157" t="s">
        <v>466</v>
      </c>
    </row>
    <row r="25" spans="1:105" ht="12" customHeight="1" x14ac:dyDescent="0.25">
      <c r="A25" s="132" t="s">
        <v>169</v>
      </c>
      <c r="B25" s="133">
        <f>IF(SER_hh_emi!B25=0,0,1000000*SER_hh_emi!B25/SER_hh_num!B25)</f>
        <v>0</v>
      </c>
      <c r="C25" s="133">
        <f>IF(SER_hh_emi!C25=0,0,1000000*SER_hh_emi!C25/SER_hh_num!C25)</f>
        <v>0</v>
      </c>
      <c r="D25" s="133">
        <f>IF(SER_hh_emi!D25=0,0,1000000*SER_hh_emi!D25/SER_hh_num!D25)</f>
        <v>0</v>
      </c>
      <c r="E25" s="133">
        <f>IF(SER_hh_emi!E25=0,0,1000000*SER_hh_emi!E25/SER_hh_num!E25)</f>
        <v>0</v>
      </c>
      <c r="F25" s="133">
        <f>IF(SER_hh_emi!F25=0,0,1000000*SER_hh_emi!F25/SER_hh_num!F25)</f>
        <v>0</v>
      </c>
      <c r="G25" s="133">
        <f>IF(SER_hh_emi!G25=0,0,1000000*SER_hh_emi!G25/SER_hh_num!G25)</f>
        <v>0</v>
      </c>
      <c r="H25" s="133">
        <f>IF(SER_hh_emi!H25=0,0,1000000*SER_hh_emi!H25/SER_hh_num!H25)</f>
        <v>0</v>
      </c>
      <c r="I25" s="133">
        <f>IF(SER_hh_emi!I25=0,0,1000000*SER_hh_emi!I25/SER_hh_num!I25)</f>
        <v>0</v>
      </c>
      <c r="J25" s="133">
        <f>IF(SER_hh_emi!J25=0,0,1000000*SER_hh_emi!J25/SER_hh_num!J25)</f>
        <v>0</v>
      </c>
      <c r="K25" s="133">
        <f>IF(SER_hh_emi!K25=0,0,1000000*SER_hh_emi!K25/SER_hh_num!K25)</f>
        <v>0</v>
      </c>
      <c r="L25" s="133">
        <f>IF(SER_hh_emi!L25=0,0,1000000*SER_hh_emi!L25/SER_hh_num!L25)</f>
        <v>0</v>
      </c>
      <c r="M25" s="133">
        <f>IF(SER_hh_emi!M25=0,0,1000000*SER_hh_emi!M25/SER_hh_num!M25)</f>
        <v>0</v>
      </c>
      <c r="N25" s="133">
        <f>IF(SER_hh_emi!N25=0,0,1000000*SER_hh_emi!N25/SER_hh_num!N25)</f>
        <v>0</v>
      </c>
      <c r="O25" s="133">
        <f>IF(SER_hh_emi!O25=0,0,1000000*SER_hh_emi!O25/SER_hh_num!O25)</f>
        <v>0</v>
      </c>
      <c r="P25" s="133">
        <f>IF(SER_hh_emi!P25=0,0,1000000*SER_hh_emi!P25/SER_hh_num!P25)</f>
        <v>0</v>
      </c>
      <c r="Q25" s="133">
        <f>IF(SER_hh_emi!Q25=0,0,1000000*SER_hh_emi!Q25/SER_hh_num!Q25)</f>
        <v>0</v>
      </c>
      <c r="R25" s="133">
        <f>IF(SER_hh_emi!R25=0,0,1000000*SER_hh_emi!R25/SER_hh_num!R25)</f>
        <v>0</v>
      </c>
      <c r="S25" s="133">
        <f>IF(SER_hh_emi!S25=0,0,1000000*SER_hh_emi!S25/SER_hh_num!S25)</f>
        <v>0</v>
      </c>
      <c r="T25" s="133">
        <f>IF(SER_hh_emi!T25=0,0,1000000*SER_hh_emi!T25/SER_hh_num!T25)</f>
        <v>0</v>
      </c>
      <c r="U25" s="133">
        <f>IF(SER_hh_emi!U25=0,0,1000000*SER_hh_emi!U25/SER_hh_num!U25)</f>
        <v>0</v>
      </c>
      <c r="V25" s="133">
        <f>IF(SER_hh_emi!V25=0,0,1000000*SER_hh_emi!V25/SER_hh_num!V25)</f>
        <v>0</v>
      </c>
      <c r="W25" s="133">
        <f>IF(SER_hh_emi!W25=0,0,1000000*SER_hh_emi!W25/SER_hh_num!W25)</f>
        <v>0</v>
      </c>
      <c r="DA25" s="157" t="s">
        <v>467</v>
      </c>
    </row>
    <row r="26" spans="1:105" ht="12" customHeight="1" x14ac:dyDescent="0.25">
      <c r="A26" s="132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DA26" s="109" t="s">
        <v>468</v>
      </c>
    </row>
    <row r="27" spans="1:105" ht="12" customHeight="1" x14ac:dyDescent="0.25">
      <c r="A27" s="145" t="s">
        <v>86</v>
      </c>
      <c r="B27" s="146">
        <f>IF(SER_hh_emi!B27=0,0,1000000*SER_hh_emi!B27/SER_hh_num!B19)</f>
        <v>0</v>
      </c>
      <c r="C27" s="146">
        <f>IF(SER_hh_emi!C27=0,0,1000000*SER_hh_emi!C27/SER_hh_num!C19)</f>
        <v>0</v>
      </c>
      <c r="D27" s="146">
        <f>IF(SER_hh_emi!D27=0,0,1000000*SER_hh_emi!D27/SER_hh_num!D19)</f>
        <v>0</v>
      </c>
      <c r="E27" s="146">
        <f>IF(SER_hh_emi!E27=0,0,1000000*SER_hh_emi!E27/SER_hh_num!E19)</f>
        <v>0</v>
      </c>
      <c r="F27" s="146">
        <f>IF(SER_hh_emi!F27=0,0,1000000*SER_hh_emi!F27/SER_hh_num!F19)</f>
        <v>0</v>
      </c>
      <c r="G27" s="146">
        <f>IF(SER_hh_emi!G27=0,0,1000000*SER_hh_emi!G27/SER_hh_num!G19)</f>
        <v>0</v>
      </c>
      <c r="H27" s="146">
        <f>IF(SER_hh_emi!H27=0,0,1000000*SER_hh_emi!H27/SER_hh_num!H19)</f>
        <v>0</v>
      </c>
      <c r="I27" s="146">
        <f>IF(SER_hh_emi!I27=0,0,1000000*SER_hh_emi!I27/SER_hh_num!I19)</f>
        <v>0</v>
      </c>
      <c r="J27" s="146">
        <f>IF(SER_hh_emi!J27=0,0,1000000*SER_hh_emi!J27/SER_hh_num!J19)</f>
        <v>0</v>
      </c>
      <c r="K27" s="146">
        <f>IF(SER_hh_emi!K27=0,0,1000000*SER_hh_emi!K27/SER_hh_num!K19)</f>
        <v>0</v>
      </c>
      <c r="L27" s="146">
        <f>IF(SER_hh_emi!L27=0,0,1000000*SER_hh_emi!L27/SER_hh_num!L19)</f>
        <v>0</v>
      </c>
      <c r="M27" s="146">
        <f>IF(SER_hh_emi!M27=0,0,1000000*SER_hh_emi!M27/SER_hh_num!M19)</f>
        <v>0</v>
      </c>
      <c r="N27" s="146">
        <f>IF(SER_hh_emi!N27=0,0,1000000*SER_hh_emi!N27/SER_hh_num!N19)</f>
        <v>0</v>
      </c>
      <c r="O27" s="146">
        <f>IF(SER_hh_emi!O27=0,0,1000000*SER_hh_emi!O27/SER_hh_num!O19)</f>
        <v>0</v>
      </c>
      <c r="P27" s="146">
        <f>IF(SER_hh_emi!P27=0,0,1000000*SER_hh_emi!P27/SER_hh_num!P19)</f>
        <v>0</v>
      </c>
      <c r="Q27" s="146">
        <f>IF(SER_hh_emi!Q27=0,0,1000000*SER_hh_emi!Q27/SER_hh_num!Q19)</f>
        <v>0</v>
      </c>
      <c r="R27" s="146">
        <f>IF(SER_hh_emi!R27=0,0,1000000*SER_hh_emi!R27/SER_hh_num!R19)</f>
        <v>0</v>
      </c>
      <c r="S27" s="146">
        <f>IF(SER_hh_emi!S27=0,0,1000000*SER_hh_emi!S27/SER_hh_num!S19)</f>
        <v>0</v>
      </c>
      <c r="T27" s="146">
        <f>IF(SER_hh_emi!T27=0,0,1000000*SER_hh_emi!T27/SER_hh_num!T19)</f>
        <v>0</v>
      </c>
      <c r="U27" s="146">
        <f>IF(SER_hh_emi!U27=0,0,1000000*SER_hh_emi!U27/SER_hh_num!U19)</f>
        <v>0</v>
      </c>
      <c r="V27" s="146">
        <f>IF(SER_hh_emi!V27=0,0,1000000*SER_hh_emi!V27/SER_hh_num!V19)</f>
        <v>0</v>
      </c>
      <c r="W27" s="146">
        <f>IF(SER_hh_emi!W27=0,0,1000000*SER_hh_emi!W27/SER_hh_num!W19)</f>
        <v>0</v>
      </c>
      <c r="DA27" s="159" t="s">
        <v>469</v>
      </c>
    </row>
    <row r="28" spans="1:105" ht="12" customHeight="1" x14ac:dyDescent="0.25">
      <c r="A28" s="78" t="s">
        <v>85</v>
      </c>
      <c r="B28" s="147">
        <f>IF(SER_hh_emi!B27=0,0,1000000*SER_hh_emi!B27/SER_hh_num!B27)</f>
        <v>0</v>
      </c>
      <c r="C28" s="147">
        <f>IF(SER_hh_emi!C27=0,0,1000000*SER_hh_emi!C27/SER_hh_num!C27)</f>
        <v>0</v>
      </c>
      <c r="D28" s="147">
        <f>IF(SER_hh_emi!D27=0,0,1000000*SER_hh_emi!D27/SER_hh_num!D27)</f>
        <v>0</v>
      </c>
      <c r="E28" s="147">
        <f>IF(SER_hh_emi!E27=0,0,1000000*SER_hh_emi!E27/SER_hh_num!E27)</f>
        <v>0</v>
      </c>
      <c r="F28" s="147">
        <f>IF(SER_hh_emi!F27=0,0,1000000*SER_hh_emi!F27/SER_hh_num!F27)</f>
        <v>0</v>
      </c>
      <c r="G28" s="147">
        <f>IF(SER_hh_emi!G27=0,0,1000000*SER_hh_emi!G27/SER_hh_num!G27)</f>
        <v>0</v>
      </c>
      <c r="H28" s="147">
        <f>IF(SER_hh_emi!H27=0,0,1000000*SER_hh_emi!H27/SER_hh_num!H27)</f>
        <v>0</v>
      </c>
      <c r="I28" s="147">
        <f>IF(SER_hh_emi!I27=0,0,1000000*SER_hh_emi!I27/SER_hh_num!I27)</f>
        <v>0</v>
      </c>
      <c r="J28" s="147">
        <f>IF(SER_hh_emi!J27=0,0,1000000*SER_hh_emi!J27/SER_hh_num!J27)</f>
        <v>0</v>
      </c>
      <c r="K28" s="147">
        <f>IF(SER_hh_emi!K27=0,0,1000000*SER_hh_emi!K27/SER_hh_num!K27)</f>
        <v>0</v>
      </c>
      <c r="L28" s="147">
        <f>IF(SER_hh_emi!L27=0,0,1000000*SER_hh_emi!L27/SER_hh_num!L27)</f>
        <v>0</v>
      </c>
      <c r="M28" s="147">
        <f>IF(SER_hh_emi!M27=0,0,1000000*SER_hh_emi!M27/SER_hh_num!M27)</f>
        <v>0</v>
      </c>
      <c r="N28" s="147">
        <f>IF(SER_hh_emi!N27=0,0,1000000*SER_hh_emi!N27/SER_hh_num!N27)</f>
        <v>0</v>
      </c>
      <c r="O28" s="147">
        <f>IF(SER_hh_emi!O27=0,0,1000000*SER_hh_emi!O27/SER_hh_num!O27)</f>
        <v>0</v>
      </c>
      <c r="P28" s="147">
        <f>IF(SER_hh_emi!P27=0,0,1000000*SER_hh_emi!P27/SER_hh_num!P27)</f>
        <v>0</v>
      </c>
      <c r="Q28" s="147">
        <f>IF(SER_hh_emi!Q27=0,0,1000000*SER_hh_emi!Q27/SER_hh_num!Q27)</f>
        <v>0</v>
      </c>
      <c r="R28" s="147">
        <f>IF(SER_hh_emi!R27=0,0,1000000*SER_hh_emi!R27/SER_hh_num!R27)</f>
        <v>0</v>
      </c>
      <c r="S28" s="147">
        <f>IF(SER_hh_emi!S27=0,0,1000000*SER_hh_emi!S27/SER_hh_num!S27)</f>
        <v>0</v>
      </c>
      <c r="T28" s="147">
        <f>IF(SER_hh_emi!T27=0,0,1000000*SER_hh_emi!T27/SER_hh_num!T27)</f>
        <v>0</v>
      </c>
      <c r="U28" s="147">
        <f>IF(SER_hh_emi!U27=0,0,1000000*SER_hh_emi!U27/SER_hh_num!U27)</f>
        <v>0</v>
      </c>
      <c r="V28" s="147">
        <f>IF(SER_hh_emi!V27=0,0,1000000*SER_hh_emi!V27/SER_hh_num!V27)</f>
        <v>0</v>
      </c>
      <c r="W28" s="147">
        <f>IF(SER_hh_emi!W27=0,0,1000000*SER_hh_emi!W27/SER_hh_num!W27)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IF(SER_hh_emi!B29=0,0,1000000*SER_hh_emi!B29/SER_hh_num!B29)</f>
        <v>548.01735139064294</v>
      </c>
      <c r="C29" s="131">
        <f>IF(SER_hh_emi!C29=0,0,1000000*SER_hh_emi!C29/SER_hh_num!C29)</f>
        <v>537.40853413640889</v>
      </c>
      <c r="D29" s="131">
        <f>IF(SER_hh_emi!D29=0,0,1000000*SER_hh_emi!D29/SER_hh_num!D29)</f>
        <v>530.33755049845945</v>
      </c>
      <c r="E29" s="131">
        <f>IF(SER_hh_emi!E29=0,0,1000000*SER_hh_emi!E29/SER_hh_num!E29)</f>
        <v>565.61768649632904</v>
      </c>
      <c r="F29" s="131">
        <f>IF(SER_hh_emi!F29=0,0,1000000*SER_hh_emi!F29/SER_hh_num!F29)</f>
        <v>579.14829717011014</v>
      </c>
      <c r="G29" s="131">
        <f>IF(SER_hh_emi!G29=0,0,1000000*SER_hh_emi!G29/SER_hh_num!G29)</f>
        <v>634.46349449276363</v>
      </c>
      <c r="H29" s="131">
        <f>IF(SER_hh_emi!H29=0,0,1000000*SER_hh_emi!H29/SER_hh_num!H29)</f>
        <v>635.57293724755095</v>
      </c>
      <c r="I29" s="131">
        <f>IF(SER_hh_emi!I29=0,0,1000000*SER_hh_emi!I29/SER_hh_num!I29)</f>
        <v>629.30048683755888</v>
      </c>
      <c r="J29" s="131">
        <f>IF(SER_hh_emi!J29=0,0,1000000*SER_hh_emi!J29/SER_hh_num!J29)</f>
        <v>626.66242085461499</v>
      </c>
      <c r="K29" s="131">
        <f>IF(SER_hh_emi!K29=0,0,1000000*SER_hh_emi!K29/SER_hh_num!K29)</f>
        <v>628.93397962019844</v>
      </c>
      <c r="L29" s="131">
        <f>IF(SER_hh_emi!L29=0,0,1000000*SER_hh_emi!L29/SER_hh_num!L29)</f>
        <v>653.89383001679516</v>
      </c>
      <c r="M29" s="131">
        <f>IF(SER_hh_emi!M29=0,0,1000000*SER_hh_emi!M29/SER_hh_num!M29)</f>
        <v>620.49427266356565</v>
      </c>
      <c r="N29" s="131">
        <f>IF(SER_hh_emi!N29=0,0,1000000*SER_hh_emi!N29/SER_hh_num!N29)</f>
        <v>593.36215570386776</v>
      </c>
      <c r="O29" s="131">
        <f>IF(SER_hh_emi!O29=0,0,1000000*SER_hh_emi!O29/SER_hh_num!O29)</f>
        <v>598.64488982611681</v>
      </c>
      <c r="P29" s="131">
        <f>IF(SER_hh_emi!P29=0,0,1000000*SER_hh_emi!P29/SER_hh_num!P29)</f>
        <v>526.84594110849048</v>
      </c>
      <c r="Q29" s="131">
        <f>IF(SER_hh_emi!Q29=0,0,1000000*SER_hh_emi!Q29/SER_hh_num!Q29)</f>
        <v>677.39753922413342</v>
      </c>
      <c r="R29" s="131">
        <f>IF(SER_hh_emi!R29=0,0,1000000*SER_hh_emi!R29/SER_hh_num!R29)</f>
        <v>664.08687125157792</v>
      </c>
      <c r="S29" s="131">
        <f>IF(SER_hh_emi!S29=0,0,1000000*SER_hh_emi!S29/SER_hh_num!S29)</f>
        <v>626.0081176190331</v>
      </c>
      <c r="T29" s="131">
        <f>IF(SER_hh_emi!T29=0,0,1000000*SER_hh_emi!T29/SER_hh_num!T29)</f>
        <v>664.97172485060719</v>
      </c>
      <c r="U29" s="131">
        <f>IF(SER_hh_emi!U29=0,0,1000000*SER_hh_emi!U29/SER_hh_num!U29)</f>
        <v>719.58132894076289</v>
      </c>
      <c r="V29" s="131">
        <f>IF(SER_hh_emi!V29=0,0,1000000*SER_hh_emi!V29/SER_hh_num!V29)</f>
        <v>478.98127391878523</v>
      </c>
      <c r="W29" s="131">
        <f>IF(SER_hh_emi!W29=0,0,1000000*SER_hh_emi!W29/SER_hh_num!W29)</f>
        <v>670.65218388172877</v>
      </c>
      <c r="DA29" s="156" t="s">
        <v>470</v>
      </c>
    </row>
    <row r="30" spans="1:105" ht="12" customHeight="1" x14ac:dyDescent="0.25">
      <c r="A30" s="132" t="s">
        <v>52</v>
      </c>
      <c r="B30" s="133">
        <f>IF(SER_hh_emi!B30=0,0,1000000*SER_hh_emi!B30/SER_hh_num!B30)</f>
        <v>3292.1517869725053</v>
      </c>
      <c r="C30" s="133">
        <f>IF(SER_hh_emi!C30=0,0,1000000*SER_hh_emi!C30/SER_hh_num!C30)</f>
        <v>3299.1604089969187</v>
      </c>
      <c r="D30" s="133">
        <f>IF(SER_hh_emi!D30=0,0,1000000*SER_hh_emi!D30/SER_hh_num!D30)</f>
        <v>2943.1518264044425</v>
      </c>
      <c r="E30" s="133">
        <f>IF(SER_hh_emi!E30=0,0,1000000*SER_hh_emi!E30/SER_hh_num!E30)</f>
        <v>3288.1778268607932</v>
      </c>
      <c r="F30" s="133">
        <f>IF(SER_hh_emi!F30=0,0,1000000*SER_hh_emi!F30/SER_hh_num!F30)</f>
        <v>3464.5000246372574</v>
      </c>
      <c r="G30" s="133">
        <f>IF(SER_hh_emi!G30=0,0,1000000*SER_hh_emi!G30/SER_hh_num!G30)</f>
        <v>3643.827664551568</v>
      </c>
      <c r="H30" s="133">
        <f>IF(SER_hh_emi!H30=0,0,1000000*SER_hh_emi!H30/SER_hh_num!H30)</f>
        <v>3468.4301999008062</v>
      </c>
      <c r="I30" s="133">
        <f>IF(SER_hh_emi!I30=0,0,1000000*SER_hh_emi!I30/SER_hh_num!I30)</f>
        <v>3404.1328076293935</v>
      </c>
      <c r="J30" s="133">
        <f>IF(SER_hh_emi!J30=0,0,1000000*SER_hh_emi!J30/SER_hh_num!J30)</f>
        <v>3295.6191939651499</v>
      </c>
      <c r="K30" s="133">
        <f>IF(SER_hh_emi!K30=0,0,1000000*SER_hh_emi!K30/SER_hh_num!K30)</f>
        <v>3142.8942266324752</v>
      </c>
      <c r="L30" s="133">
        <f>IF(SER_hh_emi!L30=0,0,1000000*SER_hh_emi!L30/SER_hh_num!L30)</f>
        <v>3903.3143536558546</v>
      </c>
      <c r="M30" s="133">
        <f>IF(SER_hh_emi!M30=0,0,1000000*SER_hh_emi!M30/SER_hh_num!M30)</f>
        <v>3497.1050175001747</v>
      </c>
      <c r="N30" s="133">
        <f>IF(SER_hh_emi!N30=0,0,1000000*SER_hh_emi!N30/SER_hh_num!N30)</f>
        <v>3266.9739313197351</v>
      </c>
      <c r="O30" s="133">
        <f>IF(SER_hh_emi!O30=0,0,1000000*SER_hh_emi!O30/SER_hh_num!O30)</f>
        <v>3886.4421345437381</v>
      </c>
      <c r="P30" s="133">
        <f>IF(SER_hh_emi!P30=0,0,1000000*SER_hh_emi!P30/SER_hh_num!P30)</f>
        <v>2095.0750828478867</v>
      </c>
      <c r="Q30" s="133">
        <f>IF(SER_hh_emi!Q30=0,0,1000000*SER_hh_emi!Q30/SER_hh_num!Q30)</f>
        <v>3957.6624328376488</v>
      </c>
      <c r="R30" s="133">
        <f>IF(SER_hh_emi!R30=0,0,1000000*SER_hh_emi!R30/SER_hh_num!R30)</f>
        <v>3817.0651200666189</v>
      </c>
      <c r="S30" s="133">
        <f>IF(SER_hh_emi!S30=0,0,1000000*SER_hh_emi!S30/SER_hh_num!S30)</f>
        <v>3561.4492037156474</v>
      </c>
      <c r="T30" s="133">
        <f>IF(SER_hh_emi!T30=0,0,1000000*SER_hh_emi!T30/SER_hh_num!T30)</f>
        <v>3629.2272993900056</v>
      </c>
      <c r="U30" s="133">
        <f>IF(SER_hh_emi!U30=0,0,1000000*SER_hh_emi!U30/SER_hh_num!U30)</f>
        <v>3597.8159090375598</v>
      </c>
      <c r="V30" s="133">
        <f>IF(SER_hh_emi!V30=0,0,1000000*SER_hh_emi!V30/SER_hh_num!V30)</f>
        <v>3121.62837796138</v>
      </c>
      <c r="W30" s="133">
        <f>IF(SER_hh_emi!W30=0,0,1000000*SER_hh_emi!W30/SER_hh_num!W30)</f>
        <v>3372.741808340741</v>
      </c>
      <c r="DA30" s="157" t="s">
        <v>471</v>
      </c>
    </row>
    <row r="31" spans="1:105" ht="12" customHeight="1" x14ac:dyDescent="0.25">
      <c r="A31" s="132" t="s">
        <v>153</v>
      </c>
      <c r="B31" s="133">
        <f>IF(SER_hh_emi!B31=0,0,1000000*SER_hh_emi!B31/SER_hh_num!B31)</f>
        <v>2782.1697889799116</v>
      </c>
      <c r="C31" s="133">
        <f>IF(SER_hh_emi!C31=0,0,1000000*SER_hh_emi!C31/SER_hh_num!C31)</f>
        <v>2772.5294772585298</v>
      </c>
      <c r="D31" s="133">
        <f>IF(SER_hh_emi!D31=0,0,1000000*SER_hh_emi!D31/SER_hh_num!D31)</f>
        <v>2775.2543348118093</v>
      </c>
      <c r="E31" s="133">
        <f>IF(SER_hh_emi!E31=0,0,1000000*SER_hh_emi!E31/SER_hh_num!E31)</f>
        <v>2866.2008786750803</v>
      </c>
      <c r="F31" s="133">
        <f>IF(SER_hh_emi!F31=0,0,1000000*SER_hh_emi!F31/SER_hh_num!F31)</f>
        <v>2801.1959339552814</v>
      </c>
      <c r="G31" s="133">
        <f>IF(SER_hh_emi!G31=0,0,1000000*SER_hh_emi!G31/SER_hh_num!G31)</f>
        <v>2930.6022624501247</v>
      </c>
      <c r="H31" s="133">
        <f>IF(SER_hh_emi!H31=0,0,1000000*SER_hh_emi!H31/SER_hh_num!H31)</f>
        <v>2915.3132818522836</v>
      </c>
      <c r="I31" s="133">
        <f>IF(SER_hh_emi!I31=0,0,1000000*SER_hh_emi!I31/SER_hh_num!I31)</f>
        <v>2906.0561029925398</v>
      </c>
      <c r="J31" s="133">
        <f>IF(SER_hh_emi!J31=0,0,1000000*SER_hh_emi!J31/SER_hh_num!J31)</f>
        <v>2893.7697546202244</v>
      </c>
      <c r="K31" s="133">
        <f>IF(SER_hh_emi!K31=0,0,1000000*SER_hh_emi!K31/SER_hh_num!K31)</f>
        <v>2943.7069399317124</v>
      </c>
      <c r="L31" s="133">
        <f>IF(SER_hh_emi!L31=0,0,1000000*SER_hh_emi!L31/SER_hh_num!L31)</f>
        <v>2940.755582884407</v>
      </c>
      <c r="M31" s="133">
        <f>IF(SER_hh_emi!M31=0,0,1000000*SER_hh_emi!M31/SER_hh_num!M31)</f>
        <v>2933.1457937003306</v>
      </c>
      <c r="N31" s="133">
        <f>IF(SER_hh_emi!N31=0,0,1000000*SER_hh_emi!N31/SER_hh_num!N31)</f>
        <v>2970.6816746825912</v>
      </c>
      <c r="O31" s="133">
        <f>IF(SER_hh_emi!O31=0,0,1000000*SER_hh_emi!O31/SER_hh_num!O31)</f>
        <v>2928.8440036746201</v>
      </c>
      <c r="P31" s="133">
        <f>IF(SER_hh_emi!P31=0,0,1000000*SER_hh_emi!P31/SER_hh_num!P31)</f>
        <v>2852.9997076702293</v>
      </c>
      <c r="Q31" s="133">
        <f>IF(SER_hh_emi!Q31=0,0,1000000*SER_hh_emi!Q31/SER_hh_num!Q31)</f>
        <v>3222.8836256475238</v>
      </c>
      <c r="R31" s="133">
        <f>IF(SER_hh_emi!R31=0,0,1000000*SER_hh_emi!R31/SER_hh_num!R31)</f>
        <v>3107.8691400778871</v>
      </c>
      <c r="S31" s="133">
        <f>IF(SER_hh_emi!S31=0,0,1000000*SER_hh_emi!S31/SER_hh_num!S31)</f>
        <v>2891.383534275747</v>
      </c>
      <c r="T31" s="133">
        <f>IF(SER_hh_emi!T31=0,0,1000000*SER_hh_emi!T31/SER_hh_num!T31)</f>
        <v>3114.1800780991452</v>
      </c>
      <c r="U31" s="133">
        <f>IF(SER_hh_emi!U31=0,0,1000000*SER_hh_emi!U31/SER_hh_num!U31)</f>
        <v>3406.5732954279338</v>
      </c>
      <c r="V31" s="133">
        <f>IF(SER_hh_emi!V31=0,0,1000000*SER_hh_emi!V31/SER_hh_num!V31)</f>
        <v>2112.9104763373243</v>
      </c>
      <c r="W31" s="133">
        <f>IF(SER_hh_emi!W31=0,0,1000000*SER_hh_emi!W31/SER_hh_num!W31)</f>
        <v>3217.7389814251546</v>
      </c>
      <c r="DA31" s="157" t="s">
        <v>472</v>
      </c>
    </row>
    <row r="32" spans="1:105" ht="12" customHeight="1" x14ac:dyDescent="0.25">
      <c r="A32" s="132" t="s">
        <v>128</v>
      </c>
      <c r="B32" s="133">
        <f>IF(SER_hh_emi!B32=0,0,1000000*SER_hh_emi!B32/SER_hh_num!B32)</f>
        <v>0</v>
      </c>
      <c r="C32" s="133">
        <f>IF(SER_hh_emi!C32=0,0,1000000*SER_hh_emi!C32/SER_hh_num!C32)</f>
        <v>0</v>
      </c>
      <c r="D32" s="133">
        <f>IF(SER_hh_emi!D32=0,0,1000000*SER_hh_emi!D32/SER_hh_num!D32)</f>
        <v>0</v>
      </c>
      <c r="E32" s="133">
        <f>IF(SER_hh_emi!E32=0,0,1000000*SER_hh_emi!E32/SER_hh_num!E32)</f>
        <v>0</v>
      </c>
      <c r="F32" s="133">
        <f>IF(SER_hh_emi!F32=0,0,1000000*SER_hh_emi!F32/SER_hh_num!F32)</f>
        <v>0</v>
      </c>
      <c r="G32" s="133">
        <f>IF(SER_hh_emi!G32=0,0,1000000*SER_hh_emi!G32/SER_hh_num!G32)</f>
        <v>0</v>
      </c>
      <c r="H32" s="133">
        <f>IF(SER_hh_emi!H32=0,0,1000000*SER_hh_emi!H32/SER_hh_num!H32)</f>
        <v>0</v>
      </c>
      <c r="I32" s="133">
        <f>IF(SER_hh_emi!I32=0,0,1000000*SER_hh_emi!I32/SER_hh_num!I32)</f>
        <v>0</v>
      </c>
      <c r="J32" s="133">
        <f>IF(SER_hh_emi!J32=0,0,1000000*SER_hh_emi!J32/SER_hh_num!J32)</f>
        <v>0</v>
      </c>
      <c r="K32" s="133">
        <f>IF(SER_hh_emi!K32=0,0,1000000*SER_hh_emi!K32/SER_hh_num!K32)</f>
        <v>0</v>
      </c>
      <c r="L32" s="133">
        <f>IF(SER_hh_emi!L32=0,0,1000000*SER_hh_emi!L32/SER_hh_num!L32)</f>
        <v>0</v>
      </c>
      <c r="M32" s="133">
        <f>IF(SER_hh_emi!M32=0,0,1000000*SER_hh_emi!M32/SER_hh_num!M32)</f>
        <v>0</v>
      </c>
      <c r="N32" s="133">
        <f>IF(SER_hh_emi!N32=0,0,1000000*SER_hh_emi!N32/SER_hh_num!N32)</f>
        <v>0</v>
      </c>
      <c r="O32" s="133">
        <f>IF(SER_hh_emi!O32=0,0,1000000*SER_hh_emi!O32/SER_hh_num!O32)</f>
        <v>0</v>
      </c>
      <c r="P32" s="133">
        <f>IF(SER_hh_emi!P32=0,0,1000000*SER_hh_emi!P32/SER_hh_num!P32)</f>
        <v>0</v>
      </c>
      <c r="Q32" s="133">
        <f>IF(SER_hh_emi!Q32=0,0,1000000*SER_hh_emi!Q32/SER_hh_num!Q32)</f>
        <v>0</v>
      </c>
      <c r="R32" s="133">
        <f>IF(SER_hh_emi!R32=0,0,1000000*SER_hh_emi!R32/SER_hh_num!R32)</f>
        <v>0</v>
      </c>
      <c r="S32" s="133">
        <f>IF(SER_hh_emi!S32=0,0,1000000*SER_hh_emi!S32/SER_hh_num!S32)</f>
        <v>0</v>
      </c>
      <c r="T32" s="133">
        <f>IF(SER_hh_emi!T32=0,0,1000000*SER_hh_emi!T32/SER_hh_num!T32)</f>
        <v>0</v>
      </c>
      <c r="U32" s="133">
        <f>IF(SER_hh_emi!U32=0,0,1000000*SER_hh_emi!U32/SER_hh_num!U32)</f>
        <v>0</v>
      </c>
      <c r="V32" s="133">
        <f>IF(SER_hh_emi!V32=0,0,1000000*SER_hh_emi!V32/SER_hh_num!V32)</f>
        <v>0</v>
      </c>
      <c r="W32" s="133">
        <f>IF(SER_hh_emi!W32=0,0,1000000*SER_hh_emi!W32/SER_hh_num!W32)</f>
        <v>0</v>
      </c>
      <c r="DA32" s="157" t="s">
        <v>473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DA33" s="111" t="s">
        <v>474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>
        <f>IF(SER_hh_fech!B3=0,0,SER_hh_fech!B3/SER_summary!B$26)</f>
        <v>152.68726482212836</v>
      </c>
      <c r="C3" s="126">
        <f>IF(SER_hh_fech!C3=0,0,SER_hh_fech!C3/SER_summary!C$26)</f>
        <v>154.50136577401813</v>
      </c>
      <c r="D3" s="126">
        <f>IF(SER_hh_fech!D3=0,0,SER_hh_fech!D3/SER_summary!D$26)</f>
        <v>151.4335645193344</v>
      </c>
      <c r="E3" s="126">
        <f>IF(SER_hh_fech!E3=0,0,SER_hh_fech!E3/SER_summary!E$26)</f>
        <v>152.43116178420939</v>
      </c>
      <c r="F3" s="126">
        <f>IF(SER_hh_fech!F3=0,0,SER_hh_fech!F3/SER_summary!F$26)</f>
        <v>149.29533245889169</v>
      </c>
      <c r="G3" s="126">
        <f>IF(SER_hh_fech!G3=0,0,SER_hh_fech!G3/SER_summary!G$26)</f>
        <v>145.00906980287613</v>
      </c>
      <c r="H3" s="126">
        <f>IF(SER_hh_fech!H3=0,0,SER_hh_fech!H3/SER_summary!H$26)</f>
        <v>144.29610424015507</v>
      </c>
      <c r="I3" s="126">
        <f>IF(SER_hh_fech!I3=0,0,SER_hh_fech!I3/SER_summary!I$26)</f>
        <v>136.25424655457331</v>
      </c>
      <c r="J3" s="126">
        <f>IF(SER_hh_fech!J3=0,0,SER_hh_fech!J3/SER_summary!J$26)</f>
        <v>134.36738394529482</v>
      </c>
      <c r="K3" s="126">
        <f>IF(SER_hh_fech!K3=0,0,SER_hh_fech!K3/SER_summary!K$26)</f>
        <v>128.99879629478312</v>
      </c>
      <c r="L3" s="126">
        <f>IF(SER_hh_fech!L3=0,0,SER_hh_fech!L3/SER_summary!L$26)</f>
        <v>136.97479988034334</v>
      </c>
      <c r="M3" s="126">
        <f>IF(SER_hh_fech!M3=0,0,SER_hh_fech!M3/SER_summary!M$26)</f>
        <v>119.81299197558781</v>
      </c>
      <c r="N3" s="126">
        <f>IF(SER_hh_fech!N3=0,0,SER_hh_fech!N3/SER_summary!N$26)</f>
        <v>121.62438836244954</v>
      </c>
      <c r="O3" s="126">
        <f>IF(SER_hh_fech!O3=0,0,SER_hh_fech!O3/SER_summary!O$26)</f>
        <v>118.99246823940101</v>
      </c>
      <c r="P3" s="126">
        <f>IF(SER_hh_fech!P3=0,0,SER_hh_fech!P3/SER_summary!P$26)</f>
        <v>107.13593499205834</v>
      </c>
      <c r="Q3" s="126">
        <f>IF(SER_hh_fech!Q3=0,0,SER_hh_fech!Q3/SER_summary!Q$26)</f>
        <v>112.29243490554404</v>
      </c>
      <c r="R3" s="126">
        <f>IF(SER_hh_fech!R3=0,0,SER_hh_fech!R3/SER_summary!R$26)</f>
        <v>115.47973963986861</v>
      </c>
      <c r="S3" s="126">
        <f>IF(SER_hh_fech!S3=0,0,SER_hh_fech!S3/SER_summary!S$26)</f>
        <v>116.59168554292272</v>
      </c>
      <c r="T3" s="126">
        <f>IF(SER_hh_fech!T3=0,0,SER_hh_fech!T3/SER_summary!T$26)</f>
        <v>110.8430725185535</v>
      </c>
      <c r="U3" s="126">
        <f>IF(SER_hh_fech!U3=0,0,SER_hh_fech!U3/SER_summary!U$26)</f>
        <v>105.27365062765908</v>
      </c>
      <c r="V3" s="126">
        <f>IF(SER_hh_fech!V3=0,0,SER_hh_fech!V3/SER_summary!V$26)</f>
        <v>99.031387508508459</v>
      </c>
      <c r="W3" s="126">
        <f>IF(SER_hh_fech!W3=0,0,SER_hh_fech!W3/SER_summary!W$26)</f>
        <v>115.73512434240898</v>
      </c>
      <c r="DA3" s="155" t="s">
        <v>476</v>
      </c>
    </row>
    <row r="4" spans="1:105" ht="12.95" customHeight="1" x14ac:dyDescent="0.25">
      <c r="A4" s="130" t="s">
        <v>32</v>
      </c>
      <c r="B4" s="131">
        <f>IF(SER_hh_fech!B4=0,0,SER_hh_fech!B4/SER_summary!B$26)</f>
        <v>122.06536589742646</v>
      </c>
      <c r="C4" s="131">
        <f>IF(SER_hh_fech!C4=0,0,SER_hh_fech!C4/SER_summary!C$26)</f>
        <v>124.18939714062938</v>
      </c>
      <c r="D4" s="131">
        <f>IF(SER_hh_fech!D4=0,0,SER_hh_fech!D4/SER_summary!D$26)</f>
        <v>121.2911724534883</v>
      </c>
      <c r="E4" s="131">
        <f>IF(SER_hh_fech!E4=0,0,SER_hh_fech!E4/SER_summary!E$26)</f>
        <v>122.22720764622979</v>
      </c>
      <c r="F4" s="131">
        <f>IF(SER_hh_fech!F4=0,0,SER_hh_fech!F4/SER_summary!F$26)</f>
        <v>119.16793569371507</v>
      </c>
      <c r="G4" s="131">
        <f>IF(SER_hh_fech!G4=0,0,SER_hh_fech!G4/SER_summary!G$26)</f>
        <v>115.01375082720254</v>
      </c>
      <c r="H4" s="131">
        <f>IF(SER_hh_fech!H4=0,0,SER_hh_fech!H4/SER_summary!H$26)</f>
        <v>114.25780027120605</v>
      </c>
      <c r="I4" s="131">
        <f>IF(SER_hh_fech!I4=0,0,SER_hh_fech!I4/SER_summary!I$26)</f>
        <v>106.65095330533384</v>
      </c>
      <c r="J4" s="131">
        <f>IF(SER_hh_fech!J4=0,0,SER_hh_fech!J4/SER_summary!J$26)</f>
        <v>104.84278370454989</v>
      </c>
      <c r="K4" s="131">
        <f>IF(SER_hh_fech!K4=0,0,SER_hh_fech!K4/SER_summary!K$26)</f>
        <v>99.679581197800132</v>
      </c>
      <c r="L4" s="131">
        <f>IF(SER_hh_fech!L4=0,0,SER_hh_fech!L4/SER_summary!L$26)</f>
        <v>107.94841964389309</v>
      </c>
      <c r="M4" s="131">
        <f>IF(SER_hh_fech!M4=0,0,SER_hh_fech!M4/SER_summary!M$26)</f>
        <v>90.692443712348066</v>
      </c>
      <c r="N4" s="131">
        <f>IF(SER_hh_fech!N4=0,0,SER_hh_fech!N4/SER_summary!N$26)</f>
        <v>92.177199392439235</v>
      </c>
      <c r="O4" s="131">
        <f>IF(SER_hh_fech!O4=0,0,SER_hh_fech!O4/SER_summary!O$26)</f>
        <v>89.533192378409225</v>
      </c>
      <c r="P4" s="131">
        <f>IF(SER_hh_fech!P4=0,0,SER_hh_fech!P4/SER_summary!P$26)</f>
        <v>77.775296696892909</v>
      </c>
      <c r="Q4" s="131">
        <f>IF(SER_hh_fech!Q4=0,0,SER_hh_fech!Q4/SER_summary!Q$26)</f>
        <v>82.698822879661648</v>
      </c>
      <c r="R4" s="131">
        <f>IF(SER_hh_fech!R4=0,0,SER_hh_fech!R4/SER_summary!R$26)</f>
        <v>85.809610228983914</v>
      </c>
      <c r="S4" s="131">
        <f>IF(SER_hh_fech!S4=0,0,SER_hh_fech!S4/SER_summary!S$26)</f>
        <v>87.147762288262129</v>
      </c>
      <c r="T4" s="131">
        <f>IF(SER_hh_fech!T4=0,0,SER_hh_fech!T4/SER_summary!T$26)</f>
        <v>81.799211958393954</v>
      </c>
      <c r="U4" s="131">
        <f>IF(SER_hh_fech!U4=0,0,SER_hh_fech!U4/SER_summary!U$26)</f>
        <v>76.728766496244191</v>
      </c>
      <c r="V4" s="131">
        <f>IF(SER_hh_fech!V4=0,0,SER_hh_fech!V4/SER_summary!V$26)</f>
        <v>74.044640788021169</v>
      </c>
      <c r="W4" s="131">
        <f>IF(SER_hh_fech!W4=0,0,SER_hh_fech!W4/SER_summary!W$26)</f>
        <v>88.996135170462011</v>
      </c>
      <c r="DA4" s="156" t="s">
        <v>477</v>
      </c>
    </row>
    <row r="5" spans="1:105" ht="12" customHeight="1" x14ac:dyDescent="0.25">
      <c r="A5" s="132" t="s">
        <v>29</v>
      </c>
      <c r="B5" s="133">
        <f>IF(SER_hh_fech!B5=0,0,SER_hh_fech!B5/SER_summary!B$26)</f>
        <v>0</v>
      </c>
      <c r="C5" s="133">
        <f>IF(SER_hh_fech!C5=0,0,SER_hh_fech!C5/SER_summary!C$26)</f>
        <v>0</v>
      </c>
      <c r="D5" s="133">
        <f>IF(SER_hh_fech!D5=0,0,SER_hh_fech!D5/SER_summary!D$26)</f>
        <v>0</v>
      </c>
      <c r="E5" s="133">
        <f>IF(SER_hh_fech!E5=0,0,SER_hh_fech!E5/SER_summary!E$26)</f>
        <v>0</v>
      </c>
      <c r="F5" s="133">
        <f>IF(SER_hh_fech!F5=0,0,SER_hh_fech!F5/SER_summary!F$26)</f>
        <v>0</v>
      </c>
      <c r="G5" s="133">
        <f>IF(SER_hh_fech!G5=0,0,SER_hh_fech!G5/SER_summary!G$26)</f>
        <v>0</v>
      </c>
      <c r="H5" s="133">
        <f>IF(SER_hh_fech!H5=0,0,SER_hh_fech!H5/SER_summary!H$26)</f>
        <v>0</v>
      </c>
      <c r="I5" s="133">
        <f>IF(SER_hh_fech!I5=0,0,SER_hh_fech!I5/SER_summary!I$26)</f>
        <v>0</v>
      </c>
      <c r="J5" s="133">
        <f>IF(SER_hh_fech!J5=0,0,SER_hh_fech!J5/SER_summary!J$26)</f>
        <v>0</v>
      </c>
      <c r="K5" s="133">
        <f>IF(SER_hh_fech!K5=0,0,SER_hh_fech!K5/SER_summary!K$26)</f>
        <v>0</v>
      </c>
      <c r="L5" s="133">
        <f>IF(SER_hh_fech!L5=0,0,SER_hh_fech!L5/SER_summary!L$26)</f>
        <v>0</v>
      </c>
      <c r="M5" s="133">
        <f>IF(SER_hh_fech!M5=0,0,SER_hh_fech!M5/SER_summary!M$26)</f>
        <v>0</v>
      </c>
      <c r="N5" s="133">
        <f>IF(SER_hh_fech!N5=0,0,SER_hh_fech!N5/SER_summary!N$26)</f>
        <v>0</v>
      </c>
      <c r="O5" s="133">
        <f>IF(SER_hh_fech!O5=0,0,SER_hh_fech!O5/SER_summary!O$26)</f>
        <v>0</v>
      </c>
      <c r="P5" s="133">
        <f>IF(SER_hh_fech!P5=0,0,SER_hh_fech!P5/SER_summary!P$26)</f>
        <v>0</v>
      </c>
      <c r="Q5" s="133">
        <f>IF(SER_hh_fech!Q5=0,0,SER_hh_fech!Q5/SER_summary!Q$26)</f>
        <v>0</v>
      </c>
      <c r="R5" s="133">
        <f>IF(SER_hh_fech!R5=0,0,SER_hh_fech!R5/SER_summary!R$26)</f>
        <v>0</v>
      </c>
      <c r="S5" s="133">
        <f>IF(SER_hh_fech!S5=0,0,SER_hh_fech!S5/SER_summary!S$26)</f>
        <v>0</v>
      </c>
      <c r="T5" s="133">
        <f>IF(SER_hh_fech!T5=0,0,SER_hh_fech!T5/SER_summary!T$26)</f>
        <v>0</v>
      </c>
      <c r="U5" s="133">
        <f>IF(SER_hh_fech!U5=0,0,SER_hh_fech!U5/SER_summary!U$26)</f>
        <v>0</v>
      </c>
      <c r="V5" s="133">
        <f>IF(SER_hh_fech!V5=0,0,SER_hh_fech!V5/SER_summary!V$26)</f>
        <v>0</v>
      </c>
      <c r="W5" s="133">
        <f>IF(SER_hh_fech!W5=0,0,SER_hh_fech!W5/SER_summary!W$26)</f>
        <v>0</v>
      </c>
      <c r="DA5" s="157" t="s">
        <v>478</v>
      </c>
    </row>
    <row r="6" spans="1:105" ht="12" customHeight="1" x14ac:dyDescent="0.25">
      <c r="A6" s="132" t="s">
        <v>52</v>
      </c>
      <c r="B6" s="133">
        <f>IF(SER_hh_fech!B6=0,0,SER_hh_fech!B6/SER_summary!B$26)</f>
        <v>0</v>
      </c>
      <c r="C6" s="133">
        <f>IF(SER_hh_fech!C6=0,0,SER_hh_fech!C6/SER_summary!C$26)</f>
        <v>0</v>
      </c>
      <c r="D6" s="133">
        <f>IF(SER_hh_fech!D6=0,0,SER_hh_fech!D6/SER_summary!D$26)</f>
        <v>0</v>
      </c>
      <c r="E6" s="133">
        <f>IF(SER_hh_fech!E6=0,0,SER_hh_fech!E6/SER_summary!E$26)</f>
        <v>0</v>
      </c>
      <c r="F6" s="133">
        <f>IF(SER_hh_fech!F6=0,0,SER_hh_fech!F6/SER_summary!F$26)</f>
        <v>0</v>
      </c>
      <c r="G6" s="133">
        <f>IF(SER_hh_fech!G6=0,0,SER_hh_fech!G6/SER_summary!G$26)</f>
        <v>0</v>
      </c>
      <c r="H6" s="133">
        <f>IF(SER_hh_fech!H6=0,0,SER_hh_fech!H6/SER_summary!H$26)</f>
        <v>0</v>
      </c>
      <c r="I6" s="133">
        <f>IF(SER_hh_fech!I6=0,0,SER_hh_fech!I6/SER_summary!I$26)</f>
        <v>0</v>
      </c>
      <c r="J6" s="133">
        <f>IF(SER_hh_fech!J6=0,0,SER_hh_fech!J6/SER_summary!J$26)</f>
        <v>0</v>
      </c>
      <c r="K6" s="133">
        <f>IF(SER_hh_fech!K6=0,0,SER_hh_fech!K6/SER_summary!K$26)</f>
        <v>0</v>
      </c>
      <c r="L6" s="133">
        <f>IF(SER_hh_fech!L6=0,0,SER_hh_fech!L6/SER_summary!L$26)</f>
        <v>0</v>
      </c>
      <c r="M6" s="133">
        <f>IF(SER_hh_fech!M6=0,0,SER_hh_fech!M6/SER_summary!M$26)</f>
        <v>0</v>
      </c>
      <c r="N6" s="133">
        <f>IF(SER_hh_fech!N6=0,0,SER_hh_fech!N6/SER_summary!N$26)</f>
        <v>0</v>
      </c>
      <c r="O6" s="133">
        <f>IF(SER_hh_fech!O6=0,0,SER_hh_fech!O6/SER_summary!O$26)</f>
        <v>0</v>
      </c>
      <c r="P6" s="133">
        <f>IF(SER_hh_fech!P6=0,0,SER_hh_fech!P6/SER_summary!P$26)</f>
        <v>0</v>
      </c>
      <c r="Q6" s="133">
        <f>IF(SER_hh_fech!Q6=0,0,SER_hh_fech!Q6/SER_summary!Q$26)</f>
        <v>0</v>
      </c>
      <c r="R6" s="133">
        <f>IF(SER_hh_fech!R6=0,0,SER_hh_fech!R6/SER_summary!R$26)</f>
        <v>0</v>
      </c>
      <c r="S6" s="133">
        <f>IF(SER_hh_fech!S6=0,0,SER_hh_fech!S6/SER_summary!S$26)</f>
        <v>0</v>
      </c>
      <c r="T6" s="133">
        <f>IF(SER_hh_fech!T6=0,0,SER_hh_fech!T6/SER_summary!T$26)</f>
        <v>0</v>
      </c>
      <c r="U6" s="133">
        <f>IF(SER_hh_fech!U6=0,0,SER_hh_fech!U6/SER_summary!U$26)</f>
        <v>0</v>
      </c>
      <c r="V6" s="133">
        <f>IF(SER_hh_fech!V6=0,0,SER_hh_fech!V6/SER_summary!V$26)</f>
        <v>0</v>
      </c>
      <c r="W6" s="133">
        <f>IF(SER_hh_fech!W6=0,0,SER_hh_fech!W6/SER_summary!W$26)</f>
        <v>0</v>
      </c>
      <c r="DA6" s="157" t="s">
        <v>479</v>
      </c>
    </row>
    <row r="7" spans="1:105" ht="12" customHeight="1" x14ac:dyDescent="0.25">
      <c r="A7" s="132" t="s">
        <v>168</v>
      </c>
      <c r="B7" s="133">
        <f>IF(SER_hh_fech!B7=0,0,SER_hh_fech!B7/SER_summary!B$26)</f>
        <v>185.51978210240935</v>
      </c>
      <c r="C7" s="133">
        <f>IF(SER_hh_fech!C7=0,0,SER_hh_fech!C7/SER_summary!C$26)</f>
        <v>181.25211432447986</v>
      </c>
      <c r="D7" s="133">
        <f>IF(SER_hh_fech!D7=0,0,SER_hh_fech!D7/SER_summary!D$26)</f>
        <v>173.8223779124566</v>
      </c>
      <c r="E7" s="133">
        <f>IF(SER_hh_fech!E7=0,0,SER_hh_fech!E7/SER_summary!E$26)</f>
        <v>177.10487130204979</v>
      </c>
      <c r="F7" s="133">
        <f>IF(SER_hh_fech!F7=0,0,SER_hh_fech!F7/SER_summary!F$26)</f>
        <v>186.35850651012595</v>
      </c>
      <c r="G7" s="133">
        <f>IF(SER_hh_fech!G7=0,0,SER_hh_fech!G7/SER_summary!G$26)</f>
        <v>174.11083044879527</v>
      </c>
      <c r="H7" s="133">
        <f>IF(SER_hh_fech!H7=0,0,SER_hh_fech!H7/SER_summary!H$26)</f>
        <v>159.14942242083674</v>
      </c>
      <c r="I7" s="133">
        <f>IF(SER_hh_fech!I7=0,0,SER_hh_fech!I7/SER_summary!I$26)</f>
        <v>150.28628903795445</v>
      </c>
      <c r="J7" s="133">
        <f>IF(SER_hh_fech!J7=0,0,SER_hh_fech!J7/SER_summary!J$26)</f>
        <v>157.9169488507807</v>
      </c>
      <c r="K7" s="133">
        <f>IF(SER_hh_fech!K7=0,0,SER_hh_fech!K7/SER_summary!K$26)</f>
        <v>150.49984889005773</v>
      </c>
      <c r="L7" s="133">
        <f>IF(SER_hh_fech!L7=0,0,SER_hh_fech!L7/SER_summary!L$26)</f>
        <v>149.05696670377765</v>
      </c>
      <c r="M7" s="133">
        <f>IF(SER_hh_fech!M7=0,0,SER_hh_fech!M7/SER_summary!M$26)</f>
        <v>115.56708054675775</v>
      </c>
      <c r="N7" s="133">
        <f>IF(SER_hh_fech!N7=0,0,SER_hh_fech!N7/SER_summary!N$26)</f>
        <v>132.32266686978403</v>
      </c>
      <c r="O7" s="133">
        <f>IF(SER_hh_fech!O7=0,0,SER_hh_fech!O7/SER_summary!O$26)</f>
        <v>116.88476303590329</v>
      </c>
      <c r="P7" s="133">
        <f>IF(SER_hh_fech!P7=0,0,SER_hh_fech!P7/SER_summary!P$26)</f>
        <v>103.01172531394252</v>
      </c>
      <c r="Q7" s="133">
        <f>IF(SER_hh_fech!Q7=0,0,SER_hh_fech!Q7/SER_summary!Q$26)</f>
        <v>108.89521450685145</v>
      </c>
      <c r="R7" s="133">
        <f>IF(SER_hh_fech!R7=0,0,SER_hh_fech!R7/SER_summary!R$26)</f>
        <v>111.40074098128146</v>
      </c>
      <c r="S7" s="133">
        <f>IF(SER_hh_fech!S7=0,0,SER_hh_fech!S7/SER_summary!S$26)</f>
        <v>108.78312455755503</v>
      </c>
      <c r="T7" s="133">
        <f>IF(SER_hh_fech!T7=0,0,SER_hh_fech!T7/SER_summary!T$26)</f>
        <v>127.92422234993514</v>
      </c>
      <c r="U7" s="133">
        <f>IF(SER_hh_fech!U7=0,0,SER_hh_fech!U7/SER_summary!U$26)</f>
        <v>78.473374243165509</v>
      </c>
      <c r="V7" s="133">
        <f>IF(SER_hh_fech!V7=0,0,SER_hh_fech!V7/SER_summary!V$26)</f>
        <v>113.70515503314233</v>
      </c>
      <c r="W7" s="133">
        <f>IF(SER_hh_fech!W7=0,0,SER_hh_fech!W7/SER_summary!W$26)</f>
        <v>98.295258282724333</v>
      </c>
      <c r="DA7" s="157" t="s">
        <v>480</v>
      </c>
    </row>
    <row r="8" spans="1:105" ht="12" customHeight="1" x14ac:dyDescent="0.25">
      <c r="A8" s="132" t="s">
        <v>73</v>
      </c>
      <c r="B8" s="133">
        <f>IF(SER_hh_fech!B8=0,0,SER_hh_fech!B8/SER_summary!B$26)</f>
        <v>85.405274256234165</v>
      </c>
      <c r="C8" s="133">
        <f>IF(SER_hh_fech!C8=0,0,SER_hh_fech!C8/SER_summary!C$26)</f>
        <v>80.633645143972558</v>
      </c>
      <c r="D8" s="133">
        <f>IF(SER_hh_fech!D8=0,0,SER_hh_fech!D8/SER_summary!D$26)</f>
        <v>74.747218076737653</v>
      </c>
      <c r="E8" s="133">
        <f>IF(SER_hh_fech!E8=0,0,SER_hh_fech!E8/SER_summary!E$26)</f>
        <v>80.209908289210276</v>
      </c>
      <c r="F8" s="133">
        <f>IF(SER_hh_fech!F8=0,0,SER_hh_fech!F8/SER_summary!F$26)</f>
        <v>76.449767640696408</v>
      </c>
      <c r="G8" s="133">
        <f>IF(SER_hh_fech!G8=0,0,SER_hh_fech!G8/SER_summary!G$26)</f>
        <v>59.823514884933189</v>
      </c>
      <c r="H8" s="133">
        <f>IF(SER_hh_fech!H8=0,0,SER_hh_fech!H8/SER_summary!H$26)</f>
        <v>33.548929566023205</v>
      </c>
      <c r="I8" s="133">
        <f>IF(SER_hh_fech!I8=0,0,SER_hh_fech!I8/SER_summary!I$26)</f>
        <v>64.831450451877274</v>
      </c>
      <c r="J8" s="133">
        <f>IF(SER_hh_fech!J8=0,0,SER_hh_fech!J8/SER_summary!J$26)</f>
        <v>52.680931107597779</v>
      </c>
      <c r="K8" s="133">
        <f>IF(SER_hh_fech!K8=0,0,SER_hh_fech!K8/SER_summary!K$26)</f>
        <v>48.275633354523436</v>
      </c>
      <c r="L8" s="133">
        <f>IF(SER_hh_fech!L8=0,0,SER_hh_fech!L8/SER_summary!L$26)</f>
        <v>45.421872168586539</v>
      </c>
      <c r="M8" s="133">
        <f>IF(SER_hh_fech!M8=0,0,SER_hh_fech!M8/SER_summary!M$26)</f>
        <v>41.560356833525411</v>
      </c>
      <c r="N8" s="133">
        <f>IF(SER_hh_fech!N8=0,0,SER_hh_fech!N8/SER_summary!N$26)</f>
        <v>37.78973487452194</v>
      </c>
      <c r="O8" s="133">
        <f>IF(SER_hh_fech!O8=0,0,SER_hh_fech!O8/SER_summary!O$26)</f>
        <v>32.518368530753264</v>
      </c>
      <c r="P8" s="133">
        <f>IF(SER_hh_fech!P8=0,0,SER_hh_fech!P8/SER_summary!P$26)</f>
        <v>33.118016469179842</v>
      </c>
      <c r="Q8" s="133">
        <f>IF(SER_hh_fech!Q8=0,0,SER_hh_fech!Q8/SER_summary!Q$26)</f>
        <v>34.297167095077711</v>
      </c>
      <c r="R8" s="133">
        <f>IF(SER_hh_fech!R8=0,0,SER_hh_fech!R8/SER_summary!R$26)</f>
        <v>33.27868249760904</v>
      </c>
      <c r="S8" s="133">
        <f>IF(SER_hh_fech!S8=0,0,SER_hh_fech!S8/SER_summary!S$26)</f>
        <v>30.821869117686642</v>
      </c>
      <c r="T8" s="133">
        <f>IF(SER_hh_fech!T8=0,0,SER_hh_fech!T8/SER_summary!T$26)</f>
        <v>29.598282065564952</v>
      </c>
      <c r="U8" s="133">
        <f>IF(SER_hh_fech!U8=0,0,SER_hh_fech!U8/SER_summary!U$26)</f>
        <v>27.774617551952733</v>
      </c>
      <c r="V8" s="133">
        <f>IF(SER_hh_fech!V8=0,0,SER_hh_fech!V8/SER_summary!V$26)</f>
        <v>28.690190063481023</v>
      </c>
      <c r="W8" s="133">
        <f>IF(SER_hh_fech!W8=0,0,SER_hh_fech!W8/SER_summary!W$26)</f>
        <v>32.663626518738539</v>
      </c>
      <c r="DA8" s="157" t="s">
        <v>481</v>
      </c>
    </row>
    <row r="9" spans="1:105" ht="12" customHeight="1" x14ac:dyDescent="0.25">
      <c r="A9" s="132" t="s">
        <v>78</v>
      </c>
      <c r="B9" s="133">
        <f>IF(SER_hh_fech!B9=0,0,SER_hh_fech!B9/SER_summary!B$26)</f>
        <v>162.41521310742644</v>
      </c>
      <c r="C9" s="133">
        <f>IF(SER_hh_fech!C9=0,0,SER_hh_fech!C9/SER_summary!C$26)</f>
        <v>161.51687884795581</v>
      </c>
      <c r="D9" s="133">
        <f>IF(SER_hh_fech!D9=0,0,SER_hh_fech!D9/SER_summary!D$26)</f>
        <v>150.60990578482713</v>
      </c>
      <c r="E9" s="133">
        <f>IF(SER_hh_fech!E9=0,0,SER_hh_fech!E9/SER_summary!E$26)</f>
        <v>161.26797187124532</v>
      </c>
      <c r="F9" s="133">
        <f>IF(SER_hh_fech!F9=0,0,SER_hh_fech!F9/SER_summary!F$26)</f>
        <v>146.72901421030798</v>
      </c>
      <c r="G9" s="133">
        <f>IF(SER_hh_fech!G9=0,0,SER_hh_fech!G9/SER_summary!G$26)</f>
        <v>140.61671924306674</v>
      </c>
      <c r="H9" s="133">
        <f>IF(SER_hh_fech!H9=0,0,SER_hh_fech!H9/SER_summary!H$26)</f>
        <v>147.00133838716894</v>
      </c>
      <c r="I9" s="133">
        <f>IF(SER_hh_fech!I9=0,0,SER_hh_fech!I9/SER_summary!I$26)</f>
        <v>129.98586625512897</v>
      </c>
      <c r="J9" s="133">
        <f>IF(SER_hh_fech!J9=0,0,SER_hh_fech!J9/SER_summary!J$26)</f>
        <v>127.19706804721962</v>
      </c>
      <c r="K9" s="133">
        <f>IF(SER_hh_fech!K9=0,0,SER_hh_fech!K9/SER_summary!K$26)</f>
        <v>128.64112652975172</v>
      </c>
      <c r="L9" s="133">
        <f>IF(SER_hh_fech!L9=0,0,SER_hh_fech!L9/SER_summary!L$26)</f>
        <v>131.84986378842098</v>
      </c>
      <c r="M9" s="133">
        <f>IF(SER_hh_fech!M9=0,0,SER_hh_fech!M9/SER_summary!M$26)</f>
        <v>100.52388865579751</v>
      </c>
      <c r="N9" s="133">
        <f>IF(SER_hh_fech!N9=0,0,SER_hh_fech!N9/SER_summary!N$26)</f>
        <v>113.40580584545948</v>
      </c>
      <c r="O9" s="133">
        <f>IF(SER_hh_fech!O9=0,0,SER_hh_fech!O9/SER_summary!O$26)</f>
        <v>117.00138065865637</v>
      </c>
      <c r="P9" s="133">
        <f>IF(SER_hh_fech!P9=0,0,SER_hh_fech!P9/SER_summary!P$26)</f>
        <v>79.448175974221641</v>
      </c>
      <c r="Q9" s="133">
        <f>IF(SER_hh_fech!Q9=0,0,SER_hh_fech!Q9/SER_summary!Q$26)</f>
        <v>100.05750476634987</v>
      </c>
      <c r="R9" s="133">
        <f>IF(SER_hh_fech!R9=0,0,SER_hh_fech!R9/SER_summary!R$26)</f>
        <v>101.63834353522759</v>
      </c>
      <c r="S9" s="133">
        <f>IF(SER_hh_fech!S9=0,0,SER_hh_fech!S9/SER_summary!S$26)</f>
        <v>107.5082539472152</v>
      </c>
      <c r="T9" s="133">
        <f>IF(SER_hh_fech!T9=0,0,SER_hh_fech!T9/SER_summary!T$26)</f>
        <v>78.518205618563655</v>
      </c>
      <c r="U9" s="133">
        <f>IF(SER_hh_fech!U9=0,0,SER_hh_fech!U9/SER_summary!U$26)</f>
        <v>74.061117971862984</v>
      </c>
      <c r="V9" s="133">
        <f>IF(SER_hh_fech!V9=0,0,SER_hh_fech!V9/SER_summary!V$26)</f>
        <v>73.500522146519558</v>
      </c>
      <c r="W9" s="133">
        <f>IF(SER_hh_fech!W9=0,0,SER_hh_fech!W9/SER_summary!W$26)</f>
        <v>112.53102510588511</v>
      </c>
      <c r="DA9" s="157" t="s">
        <v>482</v>
      </c>
    </row>
    <row r="10" spans="1:105" ht="12" customHeight="1" x14ac:dyDescent="0.25">
      <c r="A10" s="132" t="s">
        <v>128</v>
      </c>
      <c r="B10" s="133">
        <f>IF(SER_hh_fech!B10=0,0,SER_hh_fech!B10/SER_summary!B$26)</f>
        <v>195.04366933069858</v>
      </c>
      <c r="C10" s="133">
        <f>IF(SER_hh_fech!C10=0,0,SER_hh_fech!C10/SER_summary!C$26)</f>
        <v>160.95925122897842</v>
      </c>
      <c r="D10" s="133">
        <f>IF(SER_hh_fech!D10=0,0,SER_hh_fech!D10/SER_summary!D$26)</f>
        <v>191.62032396641951</v>
      </c>
      <c r="E10" s="133">
        <f>IF(SER_hh_fech!E10=0,0,SER_hh_fech!E10/SER_summary!E$26)</f>
        <v>188.01082669687841</v>
      </c>
      <c r="F10" s="133">
        <f>IF(SER_hh_fech!F10=0,0,SER_hh_fech!F10/SER_summary!F$26)</f>
        <v>156.21510817651156</v>
      </c>
      <c r="G10" s="133">
        <f>IF(SER_hh_fech!G10=0,0,SER_hh_fech!G10/SER_summary!G$26)</f>
        <v>162.95808092695268</v>
      </c>
      <c r="H10" s="133">
        <f>IF(SER_hh_fech!H10=0,0,SER_hh_fech!H10/SER_summary!H$26)</f>
        <v>176.17891689927049</v>
      </c>
      <c r="I10" s="133">
        <f>IF(SER_hh_fech!I10=0,0,SER_hh_fech!I10/SER_summary!I$26)</f>
        <v>154.70102615057559</v>
      </c>
      <c r="J10" s="133">
        <f>IF(SER_hh_fech!J10=0,0,SER_hh_fech!J10/SER_summary!J$26)</f>
        <v>149.47162546121712</v>
      </c>
      <c r="K10" s="133">
        <f>IF(SER_hh_fech!K10=0,0,SER_hh_fech!K10/SER_summary!K$26)</f>
        <v>133.90837674536229</v>
      </c>
      <c r="L10" s="133">
        <f>IF(SER_hh_fech!L10=0,0,SER_hh_fech!L10/SER_summary!L$26)</f>
        <v>135.34397056255818</v>
      </c>
      <c r="M10" s="133">
        <f>IF(SER_hh_fech!M10=0,0,SER_hh_fech!M10/SER_summary!M$26)</f>
        <v>140.73036032962548</v>
      </c>
      <c r="N10" s="133">
        <f>IF(SER_hh_fech!N10=0,0,SER_hh_fech!N10/SER_summary!N$26)</f>
        <v>120.89018022784552</v>
      </c>
      <c r="O10" s="133">
        <f>IF(SER_hh_fech!O10=0,0,SER_hh_fech!O10/SER_summary!O$26)</f>
        <v>116.05840733822514</v>
      </c>
      <c r="P10" s="133">
        <f>IF(SER_hh_fech!P10=0,0,SER_hh_fech!P10/SER_summary!P$26)</f>
        <v>129.47833385711502</v>
      </c>
      <c r="Q10" s="133">
        <f>IF(SER_hh_fech!Q10=0,0,SER_hh_fech!Q10/SER_summary!Q$26)</f>
        <v>105.27700660896454</v>
      </c>
      <c r="R10" s="133">
        <f>IF(SER_hh_fech!R10=0,0,SER_hh_fech!R10/SER_summary!R$26)</f>
        <v>118.05352267789895</v>
      </c>
      <c r="S10" s="133">
        <f>IF(SER_hh_fech!S10=0,0,SER_hh_fech!S10/SER_summary!S$26)</f>
        <v>124.433178970482</v>
      </c>
      <c r="T10" s="133">
        <f>IF(SER_hh_fech!T10=0,0,SER_hh_fech!T10/SER_summary!T$26)</f>
        <v>136.08455666594099</v>
      </c>
      <c r="U10" s="133">
        <f>IF(SER_hh_fech!U10=0,0,SER_hh_fech!U10/SER_summary!U$26)</f>
        <v>121.63534279676708</v>
      </c>
      <c r="V10" s="133">
        <f>IF(SER_hh_fech!V10=0,0,SER_hh_fech!V10/SER_summary!V$26)</f>
        <v>112.05719432490326</v>
      </c>
      <c r="W10" s="133">
        <f>IF(SER_hh_fech!W10=0,0,SER_hh_fech!W10/SER_summary!W$26)</f>
        <v>127.95525295186815</v>
      </c>
      <c r="DA10" s="157" t="s">
        <v>483</v>
      </c>
    </row>
    <row r="11" spans="1:105" ht="12" customHeight="1" x14ac:dyDescent="0.25">
      <c r="A11" s="132" t="s">
        <v>25</v>
      </c>
      <c r="B11" s="133">
        <f>IF(SER_hh_fech!B11=0,0,SER_hh_fech!B11/SER_summary!B$26)</f>
        <v>0</v>
      </c>
      <c r="C11" s="133">
        <f>IF(SER_hh_fech!C11=0,0,SER_hh_fech!C11/SER_summary!C$26)</f>
        <v>0</v>
      </c>
      <c r="D11" s="133">
        <f>IF(SER_hh_fech!D11=0,0,SER_hh_fech!D11/SER_summary!D$26)</f>
        <v>0</v>
      </c>
      <c r="E11" s="133">
        <f>IF(SER_hh_fech!E11=0,0,SER_hh_fech!E11/SER_summary!E$26)</f>
        <v>0</v>
      </c>
      <c r="F11" s="133">
        <f>IF(SER_hh_fech!F11=0,0,SER_hh_fech!F11/SER_summary!F$26)</f>
        <v>0</v>
      </c>
      <c r="G11" s="133">
        <f>IF(SER_hh_fech!G11=0,0,SER_hh_fech!G11/SER_summary!G$26)</f>
        <v>0</v>
      </c>
      <c r="H11" s="133">
        <f>IF(SER_hh_fech!H11=0,0,SER_hh_fech!H11/SER_summary!H$26)</f>
        <v>0</v>
      </c>
      <c r="I11" s="133">
        <f>IF(SER_hh_fech!I11=0,0,SER_hh_fech!I11/SER_summary!I$26)</f>
        <v>0</v>
      </c>
      <c r="J11" s="133">
        <f>IF(SER_hh_fech!J11=0,0,SER_hh_fech!J11/SER_summary!J$26)</f>
        <v>0</v>
      </c>
      <c r="K11" s="133">
        <f>IF(SER_hh_fech!K11=0,0,SER_hh_fech!K11/SER_summary!K$26)</f>
        <v>0</v>
      </c>
      <c r="L11" s="133">
        <f>IF(SER_hh_fech!L11=0,0,SER_hh_fech!L11/SER_summary!L$26)</f>
        <v>0</v>
      </c>
      <c r="M11" s="133">
        <f>IF(SER_hh_fech!M11=0,0,SER_hh_fech!M11/SER_summary!M$26)</f>
        <v>0</v>
      </c>
      <c r="N11" s="133">
        <f>IF(SER_hh_fech!N11=0,0,SER_hh_fech!N11/SER_summary!N$26)</f>
        <v>0</v>
      </c>
      <c r="O11" s="133">
        <f>IF(SER_hh_fech!O11=0,0,SER_hh_fech!O11/SER_summary!O$26)</f>
        <v>0</v>
      </c>
      <c r="P11" s="133">
        <f>IF(SER_hh_fech!P11=0,0,SER_hh_fech!P11/SER_summary!P$26)</f>
        <v>0</v>
      </c>
      <c r="Q11" s="133">
        <f>IF(SER_hh_fech!Q11=0,0,SER_hh_fech!Q11/SER_summary!Q$26)</f>
        <v>0</v>
      </c>
      <c r="R11" s="133">
        <f>IF(SER_hh_fech!R11=0,0,SER_hh_fech!R11/SER_summary!R$26)</f>
        <v>0</v>
      </c>
      <c r="S11" s="133">
        <f>IF(SER_hh_fech!S11=0,0,SER_hh_fech!S11/SER_summary!S$26)</f>
        <v>0</v>
      </c>
      <c r="T11" s="133">
        <f>IF(SER_hh_fech!T11=0,0,SER_hh_fech!T11/SER_summary!T$26)</f>
        <v>0</v>
      </c>
      <c r="U11" s="133">
        <f>IF(SER_hh_fech!U11=0,0,SER_hh_fech!U11/SER_summary!U$26)</f>
        <v>0</v>
      </c>
      <c r="V11" s="133">
        <f>IF(SER_hh_fech!V11=0,0,SER_hh_fech!V11/SER_summary!V$26)</f>
        <v>0</v>
      </c>
      <c r="W11" s="133">
        <f>IF(SER_hh_fech!W11=0,0,SER_hh_fech!W11/SER_summary!W$26)</f>
        <v>0</v>
      </c>
      <c r="DA11" s="157" t="s">
        <v>484</v>
      </c>
    </row>
    <row r="12" spans="1:105" ht="12" customHeight="1" x14ac:dyDescent="0.25">
      <c r="A12" s="132" t="s">
        <v>169</v>
      </c>
      <c r="B12" s="133">
        <f>IF(SER_hh_fech!B12=0,0,SER_hh_fech!B12/SER_summary!B$26)</f>
        <v>105.34080943911825</v>
      </c>
      <c r="C12" s="133">
        <f>IF(SER_hh_fech!C12=0,0,SER_hh_fech!C12/SER_summary!C$26)</f>
        <v>110.39016274651351</v>
      </c>
      <c r="D12" s="133">
        <f>IF(SER_hh_fech!D12=0,0,SER_hh_fech!D12/SER_summary!D$26)</f>
        <v>106.93062496022927</v>
      </c>
      <c r="E12" s="133">
        <f>IF(SER_hh_fech!E12=0,0,SER_hh_fech!E12/SER_summary!E$26)</f>
        <v>107.97315181811321</v>
      </c>
      <c r="F12" s="133">
        <f>IF(SER_hh_fech!F12=0,0,SER_hh_fech!F12/SER_summary!F$26)</f>
        <v>105.74674220559727</v>
      </c>
      <c r="G12" s="133">
        <f>IF(SER_hh_fech!G12=0,0,SER_hh_fech!G12/SER_summary!G$26)</f>
        <v>102.70231889826123</v>
      </c>
      <c r="H12" s="133">
        <f>IF(SER_hh_fech!H12=0,0,SER_hh_fech!H12/SER_summary!H$26)</f>
        <v>101.05720757405487</v>
      </c>
      <c r="I12" s="133">
        <f>IF(SER_hh_fech!I12=0,0,SER_hh_fech!I12/SER_summary!I$26)</f>
        <v>95.116971040169076</v>
      </c>
      <c r="J12" s="133">
        <f>IF(SER_hh_fech!J12=0,0,SER_hh_fech!J12/SER_summary!J$26)</f>
        <v>94.37846494781013</v>
      </c>
      <c r="K12" s="133">
        <f>IF(SER_hh_fech!K12=0,0,SER_hh_fech!K12/SER_summary!K$26)</f>
        <v>91.251770081108631</v>
      </c>
      <c r="L12" s="133">
        <f>IF(SER_hh_fech!L12=0,0,SER_hh_fech!L12/SER_summary!L$26)</f>
        <v>101.58118506209016</v>
      </c>
      <c r="M12" s="133">
        <f>IF(SER_hh_fech!M12=0,0,SER_hh_fech!M12/SER_summary!M$26)</f>
        <v>85.606300858102358</v>
      </c>
      <c r="N12" s="133">
        <f>IF(SER_hh_fech!N12=0,0,SER_hh_fech!N12/SER_summary!N$26)</f>
        <v>86.371507895545349</v>
      </c>
      <c r="O12" s="133">
        <f>IF(SER_hh_fech!O12=0,0,SER_hh_fech!O12/SER_summary!O$26)</f>
        <v>84.473510226620391</v>
      </c>
      <c r="P12" s="133">
        <f>IF(SER_hh_fech!P12=0,0,SER_hh_fech!P12/SER_summary!P$26)</f>
        <v>74.722847565263578</v>
      </c>
      <c r="Q12" s="133">
        <f>IF(SER_hh_fech!Q12=0,0,SER_hh_fech!Q12/SER_summary!Q$26)</f>
        <v>79.815333693164916</v>
      </c>
      <c r="R12" s="133">
        <f>IF(SER_hh_fech!R12=0,0,SER_hh_fech!R12/SER_summary!R$26)</f>
        <v>81.780258337851251</v>
      </c>
      <c r="S12" s="133">
        <f>IF(SER_hh_fech!S12=0,0,SER_hh_fech!S12/SER_summary!S$26)</f>
        <v>81.671919958703569</v>
      </c>
      <c r="T12" s="133">
        <f>IF(SER_hh_fech!T12=0,0,SER_hh_fech!T12/SER_summary!T$26)</f>
        <v>79.9588734994486</v>
      </c>
      <c r="U12" s="133">
        <f>IF(SER_hh_fech!U12=0,0,SER_hh_fech!U12/SER_summary!U$26)</f>
        <v>77.869687496906295</v>
      </c>
      <c r="V12" s="133">
        <f>IF(SER_hh_fech!V12=0,0,SER_hh_fech!V12/SER_summary!V$26)</f>
        <v>75.485522853468524</v>
      </c>
      <c r="W12" s="133">
        <f>IF(SER_hh_fech!W12=0,0,SER_hh_fech!W12/SER_summary!W$26)</f>
        <v>84.041550522065748</v>
      </c>
      <c r="DA12" s="157" t="s">
        <v>485</v>
      </c>
    </row>
    <row r="13" spans="1:105" ht="12" customHeight="1" x14ac:dyDescent="0.25">
      <c r="A13" s="132" t="s">
        <v>77</v>
      </c>
      <c r="B13" s="133">
        <f>IF(SER_hh_fech!B13=0,0,SER_hh_fech!B13/SER_summary!B$26)</f>
        <v>62.273271304662629</v>
      </c>
      <c r="C13" s="133">
        <f>IF(SER_hh_fech!C13=0,0,SER_hh_fech!C13/SER_summary!C$26)</f>
        <v>61.474797163238435</v>
      </c>
      <c r="D13" s="133">
        <f>IF(SER_hh_fech!D13=0,0,SER_hh_fech!D13/SER_summary!D$26)</f>
        <v>60.539195763399313</v>
      </c>
      <c r="E13" s="133">
        <f>IF(SER_hh_fech!E13=0,0,SER_hh_fech!E13/SER_summary!E$26)</f>
        <v>59.293263433213887</v>
      </c>
      <c r="F13" s="133">
        <f>IF(SER_hh_fech!F13=0,0,SER_hh_fech!F13/SER_summary!F$26)</f>
        <v>58.662275581714681</v>
      </c>
      <c r="G13" s="133">
        <f>IF(SER_hh_fech!G13=0,0,SER_hh_fech!G13/SER_summary!G$26)</f>
        <v>40.063199160047468</v>
      </c>
      <c r="H13" s="133">
        <f>IF(SER_hh_fech!H13=0,0,SER_hh_fech!H13/SER_summary!H$26)</f>
        <v>23.805936848393792</v>
      </c>
      <c r="I13" s="133">
        <f>IF(SER_hh_fech!I13=0,0,SER_hh_fech!I13/SER_summary!I$26)</f>
        <v>48.961535525366109</v>
      </c>
      <c r="J13" s="133">
        <f>IF(SER_hh_fech!J13=0,0,SER_hh_fech!J13/SER_summary!J$26)</f>
        <v>39.460082686381263</v>
      </c>
      <c r="K13" s="133">
        <f>IF(SER_hh_fech!K13=0,0,SER_hh_fech!K13/SER_summary!K$26)</f>
        <v>34.909471648029601</v>
      </c>
      <c r="L13" s="133">
        <f>IF(SER_hh_fech!L13=0,0,SER_hh_fech!L13/SER_summary!L$26)</f>
        <v>34.102959925831186</v>
      </c>
      <c r="M13" s="133">
        <f>IF(SER_hh_fech!M13=0,0,SER_hh_fech!M13/SER_summary!M$26)</f>
        <v>31.395062783744894</v>
      </c>
      <c r="N13" s="133">
        <f>IF(SER_hh_fech!N13=0,0,SER_hh_fech!N13/SER_summary!N$26)</f>
        <v>29.448070377852503</v>
      </c>
      <c r="O13" s="133">
        <f>IF(SER_hh_fech!O13=0,0,SER_hh_fech!O13/SER_summary!O$26)</f>
        <v>27.188182517916822</v>
      </c>
      <c r="P13" s="133">
        <f>IF(SER_hh_fech!P13=0,0,SER_hh_fech!P13/SER_summary!P$26)</f>
        <v>24.805228040302467</v>
      </c>
      <c r="Q13" s="133">
        <f>IF(SER_hh_fech!Q13=0,0,SER_hh_fech!Q13/SER_summary!Q$26)</f>
        <v>25.242707593792723</v>
      </c>
      <c r="R13" s="133">
        <f>IF(SER_hh_fech!R13=0,0,SER_hh_fech!R13/SER_summary!R$26)</f>
        <v>25.759509226232144</v>
      </c>
      <c r="S13" s="133">
        <f>IF(SER_hh_fech!S13=0,0,SER_hh_fech!S13/SER_summary!S$26)</f>
        <v>23.736726558260223</v>
      </c>
      <c r="T13" s="133">
        <f>IF(SER_hh_fech!T13=0,0,SER_hh_fech!T13/SER_summary!T$26)</f>
        <v>22.79149148504068</v>
      </c>
      <c r="U13" s="133">
        <f>IF(SER_hh_fech!U13=0,0,SER_hh_fech!U13/SER_summary!U$26)</f>
        <v>21.959913994843166</v>
      </c>
      <c r="V13" s="133">
        <f>IF(SER_hh_fech!V13=0,0,SER_hh_fech!V13/SER_summary!V$26)</f>
        <v>21.373747973536872</v>
      </c>
      <c r="W13" s="133">
        <f>IF(SER_hh_fech!W13=0,0,SER_hh_fech!W13/SER_summary!W$26)</f>
        <v>21.9145070728487</v>
      </c>
      <c r="DA13" s="157" t="s">
        <v>486</v>
      </c>
    </row>
    <row r="14" spans="1:105" ht="12" customHeight="1" x14ac:dyDescent="0.25">
      <c r="A14" s="60" t="s">
        <v>76</v>
      </c>
      <c r="B14" s="65">
        <f>IF(SER_hh_fech!B14=0,0,SER_hh_fech!B14/SER_summary!B$26)</f>
        <v>120.13840775364048</v>
      </c>
      <c r="C14" s="65">
        <f>IF(SER_hh_fech!C14=0,0,SER_hh_fech!C14/SER_summary!C$26)</f>
        <v>124.50128781285025</v>
      </c>
      <c r="D14" s="65">
        <f>IF(SER_hh_fech!D14=0,0,SER_hh_fech!D14/SER_summary!D$26)</f>
        <v>123.16327610932933</v>
      </c>
      <c r="E14" s="65">
        <f>IF(SER_hh_fech!E14=0,0,SER_hh_fech!E14/SER_summary!E$26)</f>
        <v>116.74007556270435</v>
      </c>
      <c r="F14" s="65">
        <f>IF(SER_hh_fech!F14=0,0,SER_hh_fech!F14/SER_summary!F$26)</f>
        <v>118.13427712039662</v>
      </c>
      <c r="G14" s="65">
        <f>IF(SER_hh_fech!G14=0,0,SER_hh_fech!G14/SER_summary!G$26)</f>
        <v>113.32144370517858</v>
      </c>
      <c r="H14" s="65">
        <f>IF(SER_hh_fech!H14=0,0,SER_hh_fech!H14/SER_summary!H$26)</f>
        <v>113.90230594363186</v>
      </c>
      <c r="I14" s="65">
        <f>IF(SER_hh_fech!I14=0,0,SER_hh_fech!I14/SER_summary!I$26)</f>
        <v>113.23248159499705</v>
      </c>
      <c r="J14" s="65">
        <f>IF(SER_hh_fech!J14=0,0,SER_hh_fech!J14/SER_summary!J$26)</f>
        <v>111.11659995486545</v>
      </c>
      <c r="K14" s="65">
        <f>IF(SER_hh_fech!K14=0,0,SER_hh_fech!K14/SER_summary!K$26)</f>
        <v>98.752480057607073</v>
      </c>
      <c r="L14" s="65">
        <f>IF(SER_hh_fech!L14=0,0,SER_hh_fech!L14/SER_summary!L$26)</f>
        <v>110.62748438234607</v>
      </c>
      <c r="M14" s="65">
        <f>IF(SER_hh_fech!M14=0,0,SER_hh_fech!M14/SER_summary!M$26)</f>
        <v>101.56635263183358</v>
      </c>
      <c r="N14" s="65">
        <f>IF(SER_hh_fech!N14=0,0,SER_hh_fech!N14/SER_summary!N$26)</f>
        <v>95.832095992359086</v>
      </c>
      <c r="O14" s="65">
        <f>IF(SER_hh_fech!O14=0,0,SER_hh_fech!O14/SER_summary!O$26)</f>
        <v>85.006315685209444</v>
      </c>
      <c r="P14" s="65">
        <f>IF(SER_hh_fech!P14=0,0,SER_hh_fech!P14/SER_summary!P$26)</f>
        <v>88.410070184064779</v>
      </c>
      <c r="Q14" s="65">
        <f>IF(SER_hh_fech!Q14=0,0,SER_hh_fech!Q14/SER_summary!Q$26)</f>
        <v>75.268125848092964</v>
      </c>
      <c r="R14" s="65">
        <f>IF(SER_hh_fech!R14=0,0,SER_hh_fech!R14/SER_summary!R$26)</f>
        <v>91.396141409376384</v>
      </c>
      <c r="S14" s="65">
        <f>IF(SER_hh_fech!S14=0,0,SER_hh_fech!S14/SER_summary!S$26)</f>
        <v>102.11612722154146</v>
      </c>
      <c r="T14" s="65">
        <f>IF(SER_hh_fech!T14=0,0,SER_hh_fech!T14/SER_summary!T$26)</f>
        <v>93.873585354549206</v>
      </c>
      <c r="U14" s="65">
        <f>IF(SER_hh_fech!U14=0,0,SER_hh_fech!U14/SER_summary!U$26)</f>
        <v>82.406999209517707</v>
      </c>
      <c r="V14" s="65">
        <f>IF(SER_hh_fech!V14=0,0,SER_hh_fech!V14/SER_summary!V$26)</f>
        <v>42.288672397559992</v>
      </c>
      <c r="W14" s="65">
        <f>IF(SER_hh_fech!W14=0,0,SER_hh_fech!W14/SER_summary!W$26)</f>
        <v>120.70976742247039</v>
      </c>
      <c r="DA14" s="109" t="s">
        <v>487</v>
      </c>
    </row>
    <row r="15" spans="1:105" ht="12" customHeight="1" x14ac:dyDescent="0.25">
      <c r="A15" s="134" t="s">
        <v>80</v>
      </c>
      <c r="B15" s="135">
        <f>IF(SER_hh_fech!B15=0,0,SER_hh_fech!B15/SER_summary!B$26)</f>
        <v>0.69508899084788389</v>
      </c>
      <c r="C15" s="135">
        <f>IF(SER_hh_fech!C15=0,0,SER_hh_fech!C15/SER_summary!C$26)</f>
        <v>0.68343176058547306</v>
      </c>
      <c r="D15" s="135">
        <f>IF(SER_hh_fech!D15=0,0,SER_hh_fech!D15/SER_summary!D$26)</f>
        <v>0.66064584608378241</v>
      </c>
      <c r="E15" s="135">
        <f>IF(SER_hh_fech!E15=0,0,SER_hh_fech!E15/SER_summary!E$26)</f>
        <v>0.68397855535786978</v>
      </c>
      <c r="F15" s="135">
        <f>IF(SER_hh_fech!F15=0,0,SER_hh_fech!F15/SER_summary!F$26)</f>
        <v>0.65712469418803743</v>
      </c>
      <c r="G15" s="135">
        <f>IF(SER_hh_fech!G15=0,0,SER_hh_fech!G15/SER_summary!G$26)</f>
        <v>0.63177698571564922</v>
      </c>
      <c r="H15" s="135">
        <f>IF(SER_hh_fech!H15=0,0,SER_hh_fech!H15/SER_summary!H$26)</f>
        <v>0.63544892676175257</v>
      </c>
      <c r="I15" s="135">
        <f>IF(SER_hh_fech!I15=0,0,SER_hh_fech!I15/SER_summary!I$26)</f>
        <v>0.5692032595012565</v>
      </c>
      <c r="J15" s="135">
        <f>IF(SER_hh_fech!J15=0,0,SER_hh_fech!J15/SER_summary!J$26)</f>
        <v>0.55724484673801633</v>
      </c>
      <c r="K15" s="135">
        <f>IF(SER_hh_fech!K15=0,0,SER_hh_fech!K15/SER_summary!K$26)</f>
        <v>0.53328371047368028</v>
      </c>
      <c r="L15" s="135">
        <f>IF(SER_hh_fech!L15=0,0,SER_hh_fech!L15/SER_summary!L$26)</f>
        <v>0.55034934116351275</v>
      </c>
      <c r="M15" s="135">
        <f>IF(SER_hh_fech!M15=0,0,SER_hh_fech!M15/SER_summary!M$26)</f>
        <v>0.4430820956640541</v>
      </c>
      <c r="N15" s="135">
        <f>IF(SER_hh_fech!N15=0,0,SER_hh_fech!N15/SER_summary!N$26)</f>
        <v>0.47483089718771471</v>
      </c>
      <c r="O15" s="135">
        <f>IF(SER_hh_fech!O15=0,0,SER_hh_fech!O15/SER_summary!O$26)</f>
        <v>0.47666057745783624</v>
      </c>
      <c r="P15" s="135">
        <f>IF(SER_hh_fech!P15=0,0,SER_hh_fech!P15/SER_summary!P$26)</f>
        <v>0.38534367543659115</v>
      </c>
      <c r="Q15" s="135">
        <f>IF(SER_hh_fech!Q15=0,0,SER_hh_fech!Q15/SER_summary!Q$26)</f>
        <v>0.43602471107665053</v>
      </c>
      <c r="R15" s="135">
        <f>IF(SER_hh_fech!R15=0,0,SER_hh_fech!R15/SER_summary!R$26)</f>
        <v>0.44912503687434341</v>
      </c>
      <c r="S15" s="135">
        <f>IF(SER_hh_fech!S15=0,0,SER_hh_fech!S15/SER_summary!S$26)</f>
        <v>0.46327158838190041</v>
      </c>
      <c r="T15" s="135">
        <f>IF(SER_hh_fech!T15=0,0,SER_hh_fech!T15/SER_summary!T$26)</f>
        <v>0.41573439402636836</v>
      </c>
      <c r="U15" s="135">
        <f>IF(SER_hh_fech!U15=0,0,SER_hh_fech!U15/SER_summary!U$26)</f>
        <v>0.39327546867454688</v>
      </c>
      <c r="V15" s="135">
        <f>IF(SER_hh_fech!V15=0,0,SER_hh_fech!V15/SER_summary!V$26)</f>
        <v>0.39843867009933881</v>
      </c>
      <c r="W15" s="135">
        <f>IF(SER_hh_fech!W15=0,0,SER_hh_fech!W15/SER_summary!W$26)</f>
        <v>0.52902748745474282</v>
      </c>
      <c r="DA15" s="158" t="s">
        <v>488</v>
      </c>
    </row>
    <row r="16" spans="1:105" ht="12.95" customHeight="1" x14ac:dyDescent="0.25">
      <c r="A16" s="130" t="s">
        <v>74</v>
      </c>
      <c r="B16" s="131">
        <f>IF(SER_hh_fech!B16=0,0,SER_hh_fech!B16/SER_summary!B$26)</f>
        <v>12.51980793419861</v>
      </c>
      <c r="C16" s="131">
        <f>IF(SER_hh_fech!C16=0,0,SER_hh_fech!C16/SER_summary!C$26)</f>
        <v>11.997221810105065</v>
      </c>
      <c r="D16" s="131">
        <f>IF(SER_hh_fech!D16=0,0,SER_hh_fech!D16/SER_summary!D$26)</f>
        <v>11.399853079115292</v>
      </c>
      <c r="E16" s="131">
        <f>IF(SER_hh_fech!E16=0,0,SER_hh_fech!E16/SER_summary!E$26)</f>
        <v>10.86657214837776</v>
      </c>
      <c r="F16" s="131">
        <f>IF(SER_hh_fech!F16=0,0,SER_hh_fech!F16/SER_summary!F$26)</f>
        <v>10.297280100709564</v>
      </c>
      <c r="G16" s="131">
        <f>IF(SER_hh_fech!G16=0,0,SER_hh_fech!G16/SER_summary!G$26)</f>
        <v>9.7100362809118472</v>
      </c>
      <c r="H16" s="131">
        <f>IF(SER_hh_fech!H16=0,0,SER_hh_fech!H16/SER_summary!H$26)</f>
        <v>9.1071153528816087</v>
      </c>
      <c r="I16" s="131">
        <f>IF(SER_hh_fech!I16=0,0,SER_hh_fech!I16/SER_summary!I$26)</f>
        <v>8.4873008314343519</v>
      </c>
      <c r="J16" s="131">
        <f>IF(SER_hh_fech!J16=0,0,SER_hh_fech!J16/SER_summary!J$26)</f>
        <v>7.8970720832135495</v>
      </c>
      <c r="K16" s="131">
        <f>IF(SER_hh_fech!K16=0,0,SER_hh_fech!K16/SER_summary!K$26)</f>
        <v>7.773945401771023</v>
      </c>
      <c r="L16" s="131">
        <f>IF(SER_hh_fech!L16=0,0,SER_hh_fech!L16/SER_summary!L$26)</f>
        <v>7.631052669707044</v>
      </c>
      <c r="M16" s="131">
        <f>IF(SER_hh_fech!M16=0,0,SER_hh_fech!M16/SER_summary!M$26)</f>
        <v>7.3641508189944815</v>
      </c>
      <c r="N16" s="131">
        <f>IF(SER_hh_fech!N16=0,0,SER_hh_fech!N16/SER_summary!N$26)</f>
        <v>7.1318440425747918</v>
      </c>
      <c r="O16" s="131">
        <f>IF(SER_hh_fech!O16=0,0,SER_hh_fech!O16/SER_summary!O$26)</f>
        <v>6.8869334242744316</v>
      </c>
      <c r="P16" s="131">
        <f>IF(SER_hh_fech!P16=0,0,SER_hh_fech!P16/SER_summary!P$26)</f>
        <v>6.6611584660882333</v>
      </c>
      <c r="Q16" s="131">
        <f>IF(SER_hh_fech!Q16=0,0,SER_hh_fech!Q16/SER_summary!Q$26)</f>
        <v>6.4167687115582854</v>
      </c>
      <c r="R16" s="131">
        <f>IF(SER_hh_fech!R16=0,0,SER_hh_fech!R16/SER_summary!R$26)</f>
        <v>6.2265740736743229</v>
      </c>
      <c r="S16" s="131">
        <f>IF(SER_hh_fech!S16=0,0,SER_hh_fech!S16/SER_summary!S$26)</f>
        <v>6.0026104901431552</v>
      </c>
      <c r="T16" s="131">
        <f>IF(SER_hh_fech!T16=0,0,SER_hh_fech!T16/SER_summary!T$26)</f>
        <v>6.032291833071759</v>
      </c>
      <c r="U16" s="131">
        <f>IF(SER_hh_fech!U16=0,0,SER_hh_fech!U16/SER_summary!U$26)</f>
        <v>5.692655503382662</v>
      </c>
      <c r="V16" s="131">
        <f>IF(SER_hh_fech!V16=0,0,SER_hh_fech!V16/SER_summary!V$26)</f>
        <v>5.5589866524098346</v>
      </c>
      <c r="W16" s="131">
        <f>IF(SER_hh_fech!W16=0,0,SER_hh_fech!W16/SER_summary!W$26)</f>
        <v>5.4236610229787781</v>
      </c>
      <c r="DA16" s="156" t="s">
        <v>489</v>
      </c>
    </row>
    <row r="17" spans="1:105" ht="12.95" customHeight="1" x14ac:dyDescent="0.25">
      <c r="A17" s="132" t="s">
        <v>73</v>
      </c>
      <c r="B17" s="133">
        <f>IF(SER_hh_fech!B17=0,0,SER_hh_fech!B17/SER_summary!B$26)</f>
        <v>19.466613174408241</v>
      </c>
      <c r="C17" s="133">
        <f>IF(SER_hh_fech!C17=0,0,SER_hh_fech!C17/SER_summary!C$26)</f>
        <v>19.27619168718843</v>
      </c>
      <c r="D17" s="133">
        <f>IF(SER_hh_fech!D17=0,0,SER_hh_fech!D17/SER_summary!D$26)</f>
        <v>19.065352322686135</v>
      </c>
      <c r="E17" s="133">
        <f>IF(SER_hh_fech!E17=0,0,SER_hh_fech!E17/SER_summary!E$26)</f>
        <v>18.909309149476318</v>
      </c>
      <c r="F17" s="133">
        <f>IF(SER_hh_fech!F17=0,0,SER_hh_fech!F17/SER_summary!F$26)</f>
        <v>18.717547728855319</v>
      </c>
      <c r="G17" s="133">
        <f>IF(SER_hh_fech!G17=0,0,SER_hh_fech!G17/SER_summary!G$26)</f>
        <v>18.54102211926239</v>
      </c>
      <c r="H17" s="133">
        <f>IF(SER_hh_fech!H17=0,0,SER_hh_fech!H17/SER_summary!H$26)</f>
        <v>18.401959770216052</v>
      </c>
      <c r="I17" s="133">
        <f>IF(SER_hh_fech!I17=0,0,SER_hh_fech!I17/SER_summary!I$26)</f>
        <v>18.268053958394546</v>
      </c>
      <c r="J17" s="133">
        <f>IF(SER_hh_fech!J17=0,0,SER_hh_fech!J17/SER_summary!J$26)</f>
        <v>18.137507044985142</v>
      </c>
      <c r="K17" s="133">
        <f>IF(SER_hh_fech!K17=0,0,SER_hh_fech!K17/SER_summary!K$26)</f>
        <v>18.132980378154663</v>
      </c>
      <c r="L17" s="133">
        <f>IF(SER_hh_fech!L17=0,0,SER_hh_fech!L17/SER_summary!L$26)</f>
        <v>18.177066352409419</v>
      </c>
      <c r="M17" s="133">
        <f>IF(SER_hh_fech!M17=0,0,SER_hh_fech!M17/SER_summary!M$26)</f>
        <v>18.042876407144295</v>
      </c>
      <c r="N17" s="133">
        <f>IF(SER_hh_fech!N17=0,0,SER_hh_fech!N17/SER_summary!N$26)</f>
        <v>17.959674162895741</v>
      </c>
      <c r="O17" s="133">
        <f>IF(SER_hh_fech!O17=0,0,SER_hh_fech!O17/SER_summary!O$26)</f>
        <v>17.78139630969541</v>
      </c>
      <c r="P17" s="133">
        <f>IF(SER_hh_fech!P17=0,0,SER_hh_fech!P17/SER_summary!P$26)</f>
        <v>17.580885738330785</v>
      </c>
      <c r="Q17" s="133">
        <f>IF(SER_hh_fech!Q17=0,0,SER_hh_fech!Q17/SER_summary!Q$26)</f>
        <v>17.229764918325397</v>
      </c>
      <c r="R17" s="133">
        <f>IF(SER_hh_fech!R17=0,0,SER_hh_fech!R17/SER_summary!R$26)</f>
        <v>17.083486262367085</v>
      </c>
      <c r="S17" s="133">
        <f>IF(SER_hh_fech!S17=0,0,SER_hh_fech!S17/SER_summary!S$26)</f>
        <v>16.846833456031227</v>
      </c>
      <c r="T17" s="133">
        <f>IF(SER_hh_fech!T17=0,0,SER_hh_fech!T17/SER_summary!T$26)</f>
        <v>17.287695076924486</v>
      </c>
      <c r="U17" s="133">
        <f>IF(SER_hh_fech!U17=0,0,SER_hh_fech!U17/SER_summary!U$26)</f>
        <v>16.472227747728159</v>
      </c>
      <c r="V17" s="133">
        <f>IF(SER_hh_fech!V17=0,0,SER_hh_fech!V17/SER_summary!V$26)</f>
        <v>11.396874555338425</v>
      </c>
      <c r="W17" s="133">
        <f>IF(SER_hh_fech!W17=0,0,SER_hh_fech!W17/SER_summary!W$26)</f>
        <v>11.48978371360373</v>
      </c>
      <c r="DA17" s="157" t="s">
        <v>490</v>
      </c>
    </row>
    <row r="18" spans="1:105" ht="12" customHeight="1" x14ac:dyDescent="0.25">
      <c r="A18" s="132" t="s">
        <v>72</v>
      </c>
      <c r="B18" s="133">
        <f>IF(SER_hh_fech!B18=0,0,SER_hh_fech!B18/SER_summary!B$26)</f>
        <v>12.513618367750425</v>
      </c>
      <c r="C18" s="133">
        <f>IF(SER_hh_fech!C18=0,0,SER_hh_fech!C18/SER_summary!C$26)</f>
        <v>11.990549250330261</v>
      </c>
      <c r="D18" s="133">
        <f>IF(SER_hh_fech!D18=0,0,SER_hh_fech!D18/SER_summary!D$26)</f>
        <v>11.392484143379193</v>
      </c>
      <c r="E18" s="133">
        <f>IF(SER_hh_fech!E18=0,0,SER_hh_fech!E18/SER_summary!E$26)</f>
        <v>10.858807601859896</v>
      </c>
      <c r="F18" s="133">
        <f>IF(SER_hh_fech!F18=0,0,SER_hh_fech!F18/SER_summary!F$26)</f>
        <v>10.288645784706569</v>
      </c>
      <c r="G18" s="133">
        <f>IF(SER_hh_fech!G18=0,0,SER_hh_fech!G18/SER_summary!G$26)</f>
        <v>9.700401256352789</v>
      </c>
      <c r="H18" s="133">
        <f>IF(SER_hh_fech!H18=0,0,SER_hh_fech!H18/SER_summary!H$26)</f>
        <v>9.0968147780984463</v>
      </c>
      <c r="I18" s="133">
        <f>IF(SER_hh_fech!I18=0,0,SER_hh_fech!I18/SER_summary!I$26)</f>
        <v>8.4765840439222071</v>
      </c>
      <c r="J18" s="133">
        <f>IF(SER_hh_fech!J18=0,0,SER_hh_fech!J18/SER_summary!J$26)</f>
        <v>7.8857214321659521</v>
      </c>
      <c r="K18" s="133">
        <f>IF(SER_hh_fech!K18=0,0,SER_hh_fech!K18/SER_summary!K$26)</f>
        <v>7.7626070148154005</v>
      </c>
      <c r="L18" s="133">
        <f>IF(SER_hh_fech!L18=0,0,SER_hh_fech!L18/SER_summary!L$26)</f>
        <v>7.6191496383491701</v>
      </c>
      <c r="M18" s="133">
        <f>IF(SER_hh_fech!M18=0,0,SER_hh_fech!M18/SER_summary!M$26)</f>
        <v>7.3512620877151127</v>
      </c>
      <c r="N18" s="133">
        <f>IF(SER_hh_fech!N18=0,0,SER_hh_fech!N18/SER_summary!N$26)</f>
        <v>7.1171848768912724</v>
      </c>
      <c r="O18" s="133">
        <f>IF(SER_hh_fech!O18=0,0,SER_hh_fech!O18/SER_summary!O$26)</f>
        <v>6.8692820732502158</v>
      </c>
      <c r="P18" s="133">
        <f>IF(SER_hh_fech!P18=0,0,SER_hh_fech!P18/SER_summary!P$26)</f>
        <v>6.6384767599087526</v>
      </c>
      <c r="Q18" s="133">
        <f>IF(SER_hh_fech!Q18=0,0,SER_hh_fech!Q18/SER_summary!Q$26)</f>
        <v>6.3860301478028152</v>
      </c>
      <c r="R18" s="133">
        <f>IF(SER_hh_fech!R18=0,0,SER_hh_fech!R18/SER_summary!R$26)</f>
        <v>6.18792011236782</v>
      </c>
      <c r="S18" s="133">
        <f>IF(SER_hh_fech!S18=0,0,SER_hh_fech!S18/SER_summary!S$26)</f>
        <v>5.9571877804978746</v>
      </c>
      <c r="T18" s="133">
        <f>IF(SER_hh_fech!T18=0,0,SER_hh_fech!T18/SER_summary!T$26)</f>
        <v>5.9815146049211663</v>
      </c>
      <c r="U18" s="133">
        <f>IF(SER_hh_fech!U18=0,0,SER_hh_fech!U18/SER_summary!U$26)</f>
        <v>5.63804206669829</v>
      </c>
      <c r="V18" s="133">
        <f>IF(SER_hh_fech!V18=0,0,SER_hh_fech!V18/SER_summary!V$26)</f>
        <v>5.516013346842378</v>
      </c>
      <c r="W18" s="133">
        <f>IF(SER_hh_fech!W18=0,0,SER_hh_fech!W18/SER_summary!W$26)</f>
        <v>5.3782302625651068</v>
      </c>
      <c r="DA18" s="157" t="s">
        <v>491</v>
      </c>
    </row>
    <row r="19" spans="1:105" ht="12.95" customHeight="1" x14ac:dyDescent="0.25">
      <c r="A19" s="130" t="s">
        <v>35</v>
      </c>
      <c r="B19" s="131">
        <f>IF(SER_hh_fech!B19=0,0,SER_hh_fech!B19/SER_summary!B$26)</f>
        <v>15.177456131175495</v>
      </c>
      <c r="C19" s="131">
        <f>IF(SER_hh_fech!C19=0,0,SER_hh_fech!C19/SER_summary!C$26)</f>
        <v>14.924322370889175</v>
      </c>
      <c r="D19" s="131">
        <f>IF(SER_hh_fech!D19=0,0,SER_hh_fech!D19/SER_summary!D$26)</f>
        <v>14.764228757781295</v>
      </c>
      <c r="E19" s="131">
        <f>IF(SER_hh_fech!E19=0,0,SER_hh_fech!E19/SER_summary!E$26)</f>
        <v>14.625517437854239</v>
      </c>
      <c r="F19" s="131">
        <f>IF(SER_hh_fech!F19=0,0,SER_hh_fech!F19/SER_summary!F$26)</f>
        <v>14.474241961769383</v>
      </c>
      <c r="G19" s="131">
        <f>IF(SER_hh_fech!G19=0,0,SER_hh_fech!G19/SER_summary!G$26)</f>
        <v>14.412282882704359</v>
      </c>
      <c r="H19" s="131">
        <f>IF(SER_hh_fech!H19=0,0,SER_hh_fech!H19/SER_summary!H$26)</f>
        <v>14.362430530492071</v>
      </c>
      <c r="I19" s="131">
        <f>IF(SER_hh_fech!I19=0,0,SER_hh_fech!I19/SER_summary!I$26)</f>
        <v>14.164367744621915</v>
      </c>
      <c r="J19" s="131">
        <f>IF(SER_hh_fech!J19=0,0,SER_hh_fech!J19/SER_summary!J$26)</f>
        <v>14.097662290860951</v>
      </c>
      <c r="K19" s="131">
        <f>IF(SER_hh_fech!K19=0,0,SER_hh_fech!K19/SER_summary!K$26)</f>
        <v>13.934510012178615</v>
      </c>
      <c r="L19" s="131">
        <f>IF(SER_hh_fech!L19=0,0,SER_hh_fech!L19/SER_summary!L$26)</f>
        <v>13.655528693332291</v>
      </c>
      <c r="M19" s="131">
        <f>IF(SER_hh_fech!M19=0,0,SER_hh_fech!M19/SER_summary!M$26)</f>
        <v>13.646211307064274</v>
      </c>
      <c r="N19" s="131">
        <f>IF(SER_hh_fech!N19=0,0,SER_hh_fech!N19/SER_summary!N$26)</f>
        <v>13.782001140224949</v>
      </c>
      <c r="O19" s="131">
        <f>IF(SER_hh_fech!O19=0,0,SER_hh_fech!O19/SER_summary!O$26)</f>
        <v>13.750655948979661</v>
      </c>
      <c r="P19" s="131">
        <f>IF(SER_hh_fech!P19=0,0,SER_hh_fech!P19/SER_summary!P$26)</f>
        <v>13.839073336628788</v>
      </c>
      <c r="Q19" s="131">
        <f>IF(SER_hh_fech!Q19=0,0,SER_hh_fech!Q19/SER_summary!Q$26)</f>
        <v>13.884008855867975</v>
      </c>
      <c r="R19" s="131">
        <f>IF(SER_hh_fech!R19=0,0,SER_hh_fech!R19/SER_summary!R$26)</f>
        <v>13.830455314361235</v>
      </c>
      <c r="S19" s="131">
        <f>IF(SER_hh_fech!S19=0,0,SER_hh_fech!S19/SER_summary!S$26)</f>
        <v>13.756835296069744</v>
      </c>
      <c r="T19" s="131">
        <f>IF(SER_hh_fech!T19=0,0,SER_hh_fech!T19/SER_summary!T$26)</f>
        <v>13.454149671274648</v>
      </c>
      <c r="U19" s="131">
        <f>IF(SER_hh_fech!U19=0,0,SER_hh_fech!U19/SER_summary!U$26)</f>
        <v>13.073559820977556</v>
      </c>
      <c r="V19" s="131">
        <f>IF(SER_hh_fech!V19=0,0,SER_hh_fech!V19/SER_summary!V$26)</f>
        <v>11.308067872692392</v>
      </c>
      <c r="W19" s="131">
        <f>IF(SER_hh_fech!W19=0,0,SER_hh_fech!W19/SER_summary!W$26)</f>
        <v>12.355751480611911</v>
      </c>
      <c r="DA19" s="156" t="s">
        <v>492</v>
      </c>
    </row>
    <row r="20" spans="1:105" ht="12" customHeight="1" x14ac:dyDescent="0.25">
      <c r="A20" s="132" t="s">
        <v>29</v>
      </c>
      <c r="B20" s="133">
        <f>IF(SER_hh_fech!B20=0,0,SER_hh_fech!B20/SER_summary!B$26)</f>
        <v>0</v>
      </c>
      <c r="C20" s="133">
        <f>IF(SER_hh_fech!C20=0,0,SER_hh_fech!C20/SER_summary!C$26)</f>
        <v>0</v>
      </c>
      <c r="D20" s="133">
        <f>IF(SER_hh_fech!D20=0,0,SER_hh_fech!D20/SER_summary!D$26)</f>
        <v>0</v>
      </c>
      <c r="E20" s="133">
        <f>IF(SER_hh_fech!E20=0,0,SER_hh_fech!E20/SER_summary!E$26)</f>
        <v>0</v>
      </c>
      <c r="F20" s="133">
        <f>IF(SER_hh_fech!F20=0,0,SER_hh_fech!F20/SER_summary!F$26)</f>
        <v>0</v>
      </c>
      <c r="G20" s="133">
        <f>IF(SER_hh_fech!G20=0,0,SER_hh_fech!G20/SER_summary!G$26)</f>
        <v>0</v>
      </c>
      <c r="H20" s="133">
        <f>IF(SER_hh_fech!H20=0,0,SER_hh_fech!H20/SER_summary!H$26)</f>
        <v>0</v>
      </c>
      <c r="I20" s="133">
        <f>IF(SER_hh_fech!I20=0,0,SER_hh_fech!I20/SER_summary!I$26)</f>
        <v>0</v>
      </c>
      <c r="J20" s="133">
        <f>IF(SER_hh_fech!J20=0,0,SER_hh_fech!J20/SER_summary!J$26)</f>
        <v>0</v>
      </c>
      <c r="K20" s="133">
        <f>IF(SER_hh_fech!K20=0,0,SER_hh_fech!K20/SER_summary!K$26)</f>
        <v>0</v>
      </c>
      <c r="L20" s="133">
        <f>IF(SER_hh_fech!L20=0,0,SER_hh_fech!L20/SER_summary!L$26)</f>
        <v>0</v>
      </c>
      <c r="M20" s="133">
        <f>IF(SER_hh_fech!M20=0,0,SER_hh_fech!M20/SER_summary!M$26)</f>
        <v>0</v>
      </c>
      <c r="N20" s="133">
        <f>IF(SER_hh_fech!N20=0,0,SER_hh_fech!N20/SER_summary!N$26)</f>
        <v>0</v>
      </c>
      <c r="O20" s="133">
        <f>IF(SER_hh_fech!O20=0,0,SER_hh_fech!O20/SER_summary!O$26)</f>
        <v>0</v>
      </c>
      <c r="P20" s="133">
        <f>IF(SER_hh_fech!P20=0,0,SER_hh_fech!P20/SER_summary!P$26)</f>
        <v>0</v>
      </c>
      <c r="Q20" s="133">
        <f>IF(SER_hh_fech!Q20=0,0,SER_hh_fech!Q20/SER_summary!Q$26)</f>
        <v>0</v>
      </c>
      <c r="R20" s="133">
        <f>IF(SER_hh_fech!R20=0,0,SER_hh_fech!R20/SER_summary!R$26)</f>
        <v>0</v>
      </c>
      <c r="S20" s="133">
        <f>IF(SER_hh_fech!S20=0,0,SER_hh_fech!S20/SER_summary!S$26)</f>
        <v>0</v>
      </c>
      <c r="T20" s="133">
        <f>IF(SER_hh_fech!T20=0,0,SER_hh_fech!T20/SER_summary!T$26)</f>
        <v>0</v>
      </c>
      <c r="U20" s="133">
        <f>IF(SER_hh_fech!U20=0,0,SER_hh_fech!U20/SER_summary!U$26)</f>
        <v>0</v>
      </c>
      <c r="V20" s="133">
        <f>IF(SER_hh_fech!V20=0,0,SER_hh_fech!V20/SER_summary!V$26)</f>
        <v>0</v>
      </c>
      <c r="W20" s="133">
        <f>IF(SER_hh_fech!W20=0,0,SER_hh_fech!W20/SER_summary!W$26)</f>
        <v>0</v>
      </c>
      <c r="DA20" s="157" t="s">
        <v>493</v>
      </c>
    </row>
    <row r="21" spans="1:105" s="2" customFormat="1" ht="12" customHeight="1" x14ac:dyDescent="0.25">
      <c r="A21" s="132" t="s">
        <v>52</v>
      </c>
      <c r="B21" s="133">
        <f>IF(SER_hh_fech!B21=0,0,SER_hh_fech!B21/SER_summary!B$26)</f>
        <v>0</v>
      </c>
      <c r="C21" s="133">
        <f>IF(SER_hh_fech!C21=0,0,SER_hh_fech!C21/SER_summary!C$26)</f>
        <v>0</v>
      </c>
      <c r="D21" s="133">
        <f>IF(SER_hh_fech!D21=0,0,SER_hh_fech!D21/SER_summary!D$26)</f>
        <v>0</v>
      </c>
      <c r="E21" s="133">
        <f>IF(SER_hh_fech!E21=0,0,SER_hh_fech!E21/SER_summary!E$26)</f>
        <v>0</v>
      </c>
      <c r="F21" s="133">
        <f>IF(SER_hh_fech!F21=0,0,SER_hh_fech!F21/SER_summary!F$26)</f>
        <v>0</v>
      </c>
      <c r="G21" s="133">
        <f>IF(SER_hh_fech!G21=0,0,SER_hh_fech!G21/SER_summary!G$26)</f>
        <v>0</v>
      </c>
      <c r="H21" s="133">
        <f>IF(SER_hh_fech!H21=0,0,SER_hh_fech!H21/SER_summary!H$26)</f>
        <v>0</v>
      </c>
      <c r="I21" s="133">
        <f>IF(SER_hh_fech!I21=0,0,SER_hh_fech!I21/SER_summary!I$26)</f>
        <v>0</v>
      </c>
      <c r="J21" s="133">
        <f>IF(SER_hh_fech!J21=0,0,SER_hh_fech!J21/SER_summary!J$26)</f>
        <v>0</v>
      </c>
      <c r="K21" s="133">
        <f>IF(SER_hh_fech!K21=0,0,SER_hh_fech!K21/SER_summary!K$26)</f>
        <v>0</v>
      </c>
      <c r="L21" s="133">
        <f>IF(SER_hh_fech!L21=0,0,SER_hh_fech!L21/SER_summary!L$26)</f>
        <v>0</v>
      </c>
      <c r="M21" s="133">
        <f>IF(SER_hh_fech!M21=0,0,SER_hh_fech!M21/SER_summary!M$26)</f>
        <v>0</v>
      </c>
      <c r="N21" s="133">
        <f>IF(SER_hh_fech!N21=0,0,SER_hh_fech!N21/SER_summary!N$26)</f>
        <v>0</v>
      </c>
      <c r="O21" s="133">
        <f>IF(SER_hh_fech!O21=0,0,SER_hh_fech!O21/SER_summary!O$26)</f>
        <v>0</v>
      </c>
      <c r="P21" s="133">
        <f>IF(SER_hh_fech!P21=0,0,SER_hh_fech!P21/SER_summary!P$26)</f>
        <v>0</v>
      </c>
      <c r="Q21" s="133">
        <f>IF(SER_hh_fech!Q21=0,0,SER_hh_fech!Q21/SER_summary!Q$26)</f>
        <v>0</v>
      </c>
      <c r="R21" s="133">
        <f>IF(SER_hh_fech!R21=0,0,SER_hh_fech!R21/SER_summary!R$26)</f>
        <v>0</v>
      </c>
      <c r="S21" s="133">
        <f>IF(SER_hh_fech!S21=0,0,SER_hh_fech!S21/SER_summary!S$26)</f>
        <v>0</v>
      </c>
      <c r="T21" s="133">
        <f>IF(SER_hh_fech!T21=0,0,SER_hh_fech!T21/SER_summary!T$26)</f>
        <v>0</v>
      </c>
      <c r="U21" s="133">
        <f>IF(SER_hh_fech!U21=0,0,SER_hh_fech!U21/SER_summary!U$26)</f>
        <v>0</v>
      </c>
      <c r="V21" s="133">
        <f>IF(SER_hh_fech!V21=0,0,SER_hh_fech!V21/SER_summary!V$26)</f>
        <v>0</v>
      </c>
      <c r="W21" s="133">
        <f>IF(SER_hh_fech!W21=0,0,SER_hh_fech!W21/SER_summary!W$26)</f>
        <v>0</v>
      </c>
      <c r="DA21" s="157" t="s">
        <v>494</v>
      </c>
    </row>
    <row r="22" spans="1:105" ht="12" customHeight="1" x14ac:dyDescent="0.25">
      <c r="A22" s="132" t="s">
        <v>168</v>
      </c>
      <c r="B22" s="133">
        <f>IF(SER_hh_fech!B22=0,0,SER_hh_fech!B22/SER_summary!B$26)</f>
        <v>20.155187154689941</v>
      </c>
      <c r="C22" s="133">
        <f>IF(SER_hh_fech!C22=0,0,SER_hh_fech!C22/SER_summary!C$26)</f>
        <v>19.684559140061243</v>
      </c>
      <c r="D22" s="133">
        <f>IF(SER_hh_fech!D22=0,0,SER_hh_fech!D22/SER_summary!D$26)</f>
        <v>19.498413239698138</v>
      </c>
      <c r="E22" s="133">
        <f>IF(SER_hh_fech!E22=0,0,SER_hh_fech!E22/SER_summary!E$26)</f>
        <v>19.478571948815777</v>
      </c>
      <c r="F22" s="133">
        <f>IF(SER_hh_fech!F22=0,0,SER_hh_fech!F22/SER_summary!F$26)</f>
        <v>19.675221102590836</v>
      </c>
      <c r="G22" s="133">
        <f>IF(SER_hh_fech!G22=0,0,SER_hh_fech!G22/SER_summary!G$26)</f>
        <v>19.952246367361738</v>
      </c>
      <c r="H22" s="133">
        <f>IF(SER_hh_fech!H22=0,0,SER_hh_fech!H22/SER_summary!H$26)</f>
        <v>18.877621603489494</v>
      </c>
      <c r="I22" s="133">
        <f>IF(SER_hh_fech!I22=0,0,SER_hh_fech!I22/SER_summary!I$26)</f>
        <v>18.087849096304467</v>
      </c>
      <c r="J22" s="133">
        <f>IF(SER_hh_fech!J22=0,0,SER_hh_fech!J22/SER_summary!J$26)</f>
        <v>18.949103938699668</v>
      </c>
      <c r="K22" s="133">
        <f>IF(SER_hh_fech!K22=0,0,SER_hh_fech!K22/SER_summary!K$26)</f>
        <v>19.326724825621323</v>
      </c>
      <c r="L22" s="133">
        <f>IF(SER_hh_fech!L22=0,0,SER_hh_fech!L22/SER_summary!L$26)</f>
        <v>18.996826386738334</v>
      </c>
      <c r="M22" s="133">
        <f>IF(SER_hh_fech!M22=0,0,SER_hh_fech!M22/SER_summary!M$26)</f>
        <v>17.689176417715412</v>
      </c>
      <c r="N22" s="133">
        <f>IF(SER_hh_fech!N22=0,0,SER_hh_fech!N22/SER_summary!N$26)</f>
        <v>18.252037665612576</v>
      </c>
      <c r="O22" s="133">
        <f>IF(SER_hh_fech!O22=0,0,SER_hh_fech!O22/SER_summary!O$26)</f>
        <v>18.513176489057599</v>
      </c>
      <c r="P22" s="133">
        <f>IF(SER_hh_fech!P22=0,0,SER_hh_fech!P22/SER_summary!P$26)</f>
        <v>18.446086991400833</v>
      </c>
      <c r="Q22" s="133">
        <f>IF(SER_hh_fech!Q22=0,0,SER_hh_fech!Q22/SER_summary!Q$26)</f>
        <v>18.3927776122285</v>
      </c>
      <c r="R22" s="133">
        <f>IF(SER_hh_fech!R22=0,0,SER_hh_fech!R22/SER_summary!R$26)</f>
        <v>18.858892684871087</v>
      </c>
      <c r="S22" s="133">
        <f>IF(SER_hh_fech!S22=0,0,SER_hh_fech!S22/SER_summary!S$26)</f>
        <v>18.372823996152938</v>
      </c>
      <c r="T22" s="133">
        <f>IF(SER_hh_fech!T22=0,0,SER_hh_fech!T22/SER_summary!T$26)</f>
        <v>20.536018665355908</v>
      </c>
      <c r="U22" s="133">
        <f>IF(SER_hh_fech!U22=0,0,SER_hh_fech!U22/SER_summary!U$26)</f>
        <v>12.576209642129754</v>
      </c>
      <c r="V22" s="133">
        <f>IF(SER_hh_fech!V22=0,0,SER_hh_fech!V22/SER_summary!V$26)</f>
        <v>18.015406492200118</v>
      </c>
      <c r="W22" s="133">
        <f>IF(SER_hh_fech!W22=0,0,SER_hh_fech!W22/SER_summary!W$26)</f>
        <v>14.414633276769431</v>
      </c>
      <c r="DA22" s="157" t="s">
        <v>495</v>
      </c>
    </row>
    <row r="23" spans="1:105" ht="12" customHeight="1" x14ac:dyDescent="0.25">
      <c r="A23" s="132" t="s">
        <v>153</v>
      </c>
      <c r="B23" s="133">
        <f>IF(SER_hh_fech!B23=0,0,SER_hh_fech!B23/SER_summary!B$26)</f>
        <v>19.408801971263195</v>
      </c>
      <c r="C23" s="133">
        <f>IF(SER_hh_fech!C23=0,0,SER_hh_fech!C23/SER_summary!C$26)</f>
        <v>18.838833407569464</v>
      </c>
      <c r="D23" s="133">
        <f>IF(SER_hh_fech!D23=0,0,SER_hh_fech!D23/SER_summary!D$26)</f>
        <v>17.857449065975842</v>
      </c>
      <c r="E23" s="133">
        <f>IF(SER_hh_fech!E23=0,0,SER_hh_fech!E23/SER_summary!E$26)</f>
        <v>18.955726132395277</v>
      </c>
      <c r="F23" s="133">
        <f>IF(SER_hh_fech!F23=0,0,SER_hh_fech!F23/SER_summary!F$26)</f>
        <v>17.533467604797639</v>
      </c>
      <c r="G23" s="133">
        <f>IF(SER_hh_fech!G23=0,0,SER_hh_fech!G23/SER_summary!G$26)</f>
        <v>17.731593932381323</v>
      </c>
      <c r="H23" s="133">
        <f>IF(SER_hh_fech!H23=0,0,SER_hh_fech!H23/SER_summary!H$26)</f>
        <v>18.015138376625377</v>
      </c>
      <c r="I23" s="133">
        <f>IF(SER_hh_fech!I23=0,0,SER_hh_fech!I23/SER_summary!I$26)</f>
        <v>17.283202233071361</v>
      </c>
      <c r="J23" s="133">
        <f>IF(SER_hh_fech!J23=0,0,SER_hh_fech!J23/SER_summary!J$26)</f>
        <v>17.057783901530811</v>
      </c>
      <c r="K23" s="133">
        <f>IF(SER_hh_fech!K23=0,0,SER_hh_fech!K23/SER_summary!K$26)</f>
        <v>17.185667376470796</v>
      </c>
      <c r="L23" s="133">
        <f>IF(SER_hh_fech!L23=0,0,SER_hh_fech!L23/SER_summary!L$26)</f>
        <v>17.662511219942992</v>
      </c>
      <c r="M23" s="133">
        <f>IF(SER_hh_fech!M23=0,0,SER_hh_fech!M23/SER_summary!M$26)</f>
        <v>15.872622913189327</v>
      </c>
      <c r="N23" s="133">
        <f>IF(SER_hh_fech!N23=0,0,SER_hh_fech!N23/SER_summary!N$26)</f>
        <v>16.599529027255169</v>
      </c>
      <c r="O23" s="133">
        <f>IF(SER_hh_fech!O23=0,0,SER_hh_fech!O23/SER_summary!O$26)</f>
        <v>16.908854639758896</v>
      </c>
      <c r="P23" s="133">
        <f>IF(SER_hh_fech!P23=0,0,SER_hh_fech!P23/SER_summary!P$26)</f>
        <v>15.333645651752883</v>
      </c>
      <c r="Q23" s="133">
        <f>IF(SER_hh_fech!Q23=0,0,SER_hh_fech!Q23/SER_summary!Q$26)</f>
        <v>16.697303316808345</v>
      </c>
      <c r="R23" s="133">
        <f>IF(SER_hh_fech!R23=0,0,SER_hh_fech!R23/SER_summary!R$26)</f>
        <v>16.10796124809486</v>
      </c>
      <c r="S23" s="133">
        <f>IF(SER_hh_fech!S23=0,0,SER_hh_fech!S23/SER_summary!S$26)</f>
        <v>15.830966420382445</v>
      </c>
      <c r="T23" s="133">
        <f>IF(SER_hh_fech!T23=0,0,SER_hh_fech!T23/SER_summary!T$26)</f>
        <v>15.132971012199972</v>
      </c>
      <c r="U23" s="133">
        <f>IF(SER_hh_fech!U23=0,0,SER_hh_fech!U23/SER_summary!U$26)</f>
        <v>15.381132119561872</v>
      </c>
      <c r="V23" s="133">
        <f>IF(SER_hh_fech!V23=0,0,SER_hh_fech!V23/SER_summary!V$26)</f>
        <v>10.082216683188754</v>
      </c>
      <c r="W23" s="133">
        <f>IF(SER_hh_fech!W23=0,0,SER_hh_fech!W23/SER_summary!W$26)</f>
        <v>14.478914953246353</v>
      </c>
      <c r="DA23" s="157" t="s">
        <v>496</v>
      </c>
    </row>
    <row r="24" spans="1:105" ht="12" customHeight="1" x14ac:dyDescent="0.25">
      <c r="A24" s="132" t="s">
        <v>128</v>
      </c>
      <c r="B24" s="133">
        <f>IF(SER_hh_fech!B24=0,0,SER_hh_fech!B24/SER_summary!B$26)</f>
        <v>21.321479001210278</v>
      </c>
      <c r="C24" s="133">
        <f>IF(SER_hh_fech!C24=0,0,SER_hh_fech!C24/SER_summary!C$26)</f>
        <v>21.873864840630642</v>
      </c>
      <c r="D24" s="133">
        <f>IF(SER_hh_fech!D24=0,0,SER_hh_fech!D24/SER_summary!D$26)</f>
        <v>20.969520695141579</v>
      </c>
      <c r="E24" s="133">
        <f>IF(SER_hh_fech!E24=0,0,SER_hh_fech!E24/SER_summary!E$26)</f>
        <v>20.059087783771268</v>
      </c>
      <c r="F24" s="133">
        <f>IF(SER_hh_fech!F24=0,0,SER_hh_fech!F24/SER_summary!F$26)</f>
        <v>19.387701617155596</v>
      </c>
      <c r="G24" s="133">
        <f>IF(SER_hh_fech!G24=0,0,SER_hh_fech!G24/SER_summary!G$26)</f>
        <v>19.075612443305388</v>
      </c>
      <c r="H24" s="133">
        <f>IF(SER_hh_fech!H24=0,0,SER_hh_fech!H24/SER_summary!H$26)</f>
        <v>18.467171014359664</v>
      </c>
      <c r="I24" s="133">
        <f>IF(SER_hh_fech!I24=0,0,SER_hh_fech!I24/SER_summary!I$26)</f>
        <v>17.95742316008452</v>
      </c>
      <c r="J24" s="133">
        <f>IF(SER_hh_fech!J24=0,0,SER_hh_fech!J24/SER_summary!J$26)</f>
        <v>17.430960593841359</v>
      </c>
      <c r="K24" s="133">
        <f>IF(SER_hh_fech!K24=0,0,SER_hh_fech!K24/SER_summary!K$26)</f>
        <v>16.944273602237136</v>
      </c>
      <c r="L24" s="133">
        <f>IF(SER_hh_fech!L24=0,0,SER_hh_fech!L24/SER_summary!L$26)</f>
        <v>16.377725298711916</v>
      </c>
      <c r="M24" s="133">
        <f>IF(SER_hh_fech!M24=0,0,SER_hh_fech!M24/SER_summary!M$26)</f>
        <v>16.111944665970487</v>
      </c>
      <c r="N24" s="133">
        <f>IF(SER_hh_fech!N24=0,0,SER_hh_fech!N24/SER_summary!N$26)</f>
        <v>16.024240253443466</v>
      </c>
      <c r="O24" s="133">
        <f>IF(SER_hh_fech!O24=0,0,SER_hh_fech!O24/SER_summary!O$26)</f>
        <v>15.650742086403865</v>
      </c>
      <c r="P24" s="133">
        <f>IF(SER_hh_fech!P24=0,0,SER_hh_fech!P24/SER_summary!P$26)</f>
        <v>15.24870430798512</v>
      </c>
      <c r="Q24" s="133">
        <f>IF(SER_hh_fech!Q24=0,0,SER_hh_fech!Q24/SER_summary!Q$26)</f>
        <v>14.840372329072173</v>
      </c>
      <c r="R24" s="133">
        <f>IF(SER_hh_fech!R24=0,0,SER_hh_fech!R24/SER_summary!R$26)</f>
        <v>15.418248319591482</v>
      </c>
      <c r="S24" s="133">
        <f>IF(SER_hh_fech!S24=0,0,SER_hh_fech!S24/SER_summary!S$26)</f>
        <v>15.589809735669521</v>
      </c>
      <c r="T24" s="133">
        <f>IF(SER_hh_fech!T24=0,0,SER_hh_fech!T24/SER_summary!T$26)</f>
        <v>16.849469831287426</v>
      </c>
      <c r="U24" s="133">
        <f>IF(SER_hh_fech!U24=0,0,SER_hh_fech!U24/SER_summary!U$26)</f>
        <v>14.544926302148506</v>
      </c>
      <c r="V24" s="133">
        <f>IF(SER_hh_fech!V24=0,0,SER_hh_fech!V24/SER_summary!V$26)</f>
        <v>12.880300348263678</v>
      </c>
      <c r="W24" s="133">
        <f>IF(SER_hh_fech!W24=0,0,SER_hh_fech!W24/SER_summary!W$26)</f>
        <v>13.479468866465957</v>
      </c>
      <c r="DA24" s="157" t="s">
        <v>497</v>
      </c>
    </row>
    <row r="25" spans="1:105" ht="12" customHeight="1" x14ac:dyDescent="0.25">
      <c r="A25" s="132" t="s">
        <v>169</v>
      </c>
      <c r="B25" s="133">
        <f>IF(SER_hh_fech!B25=0,0,SER_hh_fech!B25/SER_summary!B$26)</f>
        <v>12.944933422149921</v>
      </c>
      <c r="C25" s="133">
        <f>IF(SER_hh_fech!C25=0,0,SER_hh_fech!C25/SER_summary!C$26)</f>
        <v>13.082749351214733</v>
      </c>
      <c r="D25" s="133">
        <f>IF(SER_hh_fech!D25=0,0,SER_hh_fech!D25/SER_summary!D$26)</f>
        <v>12.795355605529004</v>
      </c>
      <c r="E25" s="133">
        <f>IF(SER_hh_fech!E25=0,0,SER_hh_fech!E25/SER_summary!E$26)</f>
        <v>12.67128350439369</v>
      </c>
      <c r="F25" s="133">
        <f>IF(SER_hh_fech!F25=0,0,SER_hh_fech!F25/SER_summary!F$26)</f>
        <v>12.57287529586994</v>
      </c>
      <c r="G25" s="133">
        <f>IF(SER_hh_fech!G25=0,0,SER_hh_fech!G25/SER_summary!G$26)</f>
        <v>12.570975057526237</v>
      </c>
      <c r="H25" s="133">
        <f>IF(SER_hh_fech!H25=0,0,SER_hh_fech!H25/SER_summary!H$26)</f>
        <v>12.335922027405781</v>
      </c>
      <c r="I25" s="133">
        <f>IF(SER_hh_fech!I25=0,0,SER_hh_fech!I25/SER_summary!I$26)</f>
        <v>12.168666662373324</v>
      </c>
      <c r="J25" s="133">
        <f>IF(SER_hh_fech!J25=0,0,SER_hh_fech!J25/SER_summary!J$26)</f>
        <v>12.17268477877105</v>
      </c>
      <c r="K25" s="133">
        <f>IF(SER_hh_fech!K25=0,0,SER_hh_fech!K25/SER_summary!K$26)</f>
        <v>12.204737581839238</v>
      </c>
      <c r="L25" s="133">
        <f>IF(SER_hh_fech!L25=0,0,SER_hh_fech!L25/SER_summary!L$26)</f>
        <v>12.326755913262602</v>
      </c>
      <c r="M25" s="133">
        <f>IF(SER_hh_fech!M25=0,0,SER_hh_fech!M25/SER_summary!M$26)</f>
        <v>12.361429646983476</v>
      </c>
      <c r="N25" s="133">
        <f>IF(SER_hh_fech!N25=0,0,SER_hh_fech!N25/SER_summary!N$26)</f>
        <v>12.298568364981</v>
      </c>
      <c r="O25" s="133">
        <f>IF(SER_hh_fech!O25=0,0,SER_hh_fech!O25/SER_summary!O$26)</f>
        <v>12.341481465871112</v>
      </c>
      <c r="P25" s="133">
        <f>IF(SER_hh_fech!P25=0,0,SER_hh_fech!P25/SER_summary!P$26)</f>
        <v>12.685575279760481</v>
      </c>
      <c r="Q25" s="133">
        <f>IF(SER_hh_fech!Q25=0,0,SER_hh_fech!Q25/SER_summary!Q$26)</f>
        <v>12.750269515840131</v>
      </c>
      <c r="R25" s="133">
        <f>IF(SER_hh_fech!R25=0,0,SER_hh_fech!R25/SER_summary!R$26)</f>
        <v>12.612331517027515</v>
      </c>
      <c r="S25" s="133">
        <f>IF(SER_hh_fech!S25=0,0,SER_hh_fech!S25/SER_summary!S$26)</f>
        <v>12.443876703123406</v>
      </c>
      <c r="T25" s="133">
        <f>IF(SER_hh_fech!T25=0,0,SER_hh_fech!T25/SER_summary!T$26)</f>
        <v>12.602667568435916</v>
      </c>
      <c r="U25" s="133">
        <f>IF(SER_hh_fech!U25=0,0,SER_hh_fech!U25/SER_summary!U$26)</f>
        <v>12.083935235552065</v>
      </c>
      <c r="V25" s="133">
        <f>IF(SER_hh_fech!V25=0,0,SER_hh_fech!V25/SER_summary!V$26)</f>
        <v>11.079950705496779</v>
      </c>
      <c r="W25" s="133">
        <f>IF(SER_hh_fech!W25=0,0,SER_hh_fech!W25/SER_summary!W$26)</f>
        <v>11.532356893194368</v>
      </c>
      <c r="DA25" s="157" t="s">
        <v>498</v>
      </c>
    </row>
    <row r="26" spans="1:105" ht="12" customHeight="1" x14ac:dyDescent="0.25">
      <c r="A26" s="132" t="s">
        <v>24</v>
      </c>
      <c r="B26" s="65">
        <f>IF(SER_hh_fech!B26=0,0,SER_hh_fech!B26/SER_summary!B$26)</f>
        <v>15.670672852165502</v>
      </c>
      <c r="C26" s="65">
        <f>IF(SER_hh_fech!C26=0,0,SER_hh_fech!C26/SER_summary!C$26)</f>
        <v>15.031693584622746</v>
      </c>
      <c r="D26" s="65">
        <f>IF(SER_hh_fech!D26=0,0,SER_hh_fech!D26/SER_summary!D$26)</f>
        <v>15.304034697686173</v>
      </c>
      <c r="E26" s="65">
        <f>IF(SER_hh_fech!E26=0,0,SER_hh_fech!E26/SER_summary!E$26)</f>
        <v>14.721803209282358</v>
      </c>
      <c r="F26" s="65">
        <f>IF(SER_hh_fech!F26=0,0,SER_hh_fech!F26/SER_summary!F$26)</f>
        <v>14.794010247247998</v>
      </c>
      <c r="G26" s="65">
        <f>IF(SER_hh_fech!G26=0,0,SER_hh_fech!G26/SER_summary!G$26)</f>
        <v>14.433253503677514</v>
      </c>
      <c r="H26" s="65">
        <f>IF(SER_hh_fech!H26=0,0,SER_hh_fech!H26/SER_summary!H$26)</f>
        <v>14.748838578709217</v>
      </c>
      <c r="I26" s="65">
        <f>IF(SER_hh_fech!I26=0,0,SER_hh_fech!I26/SER_summary!I$26)</f>
        <v>14.924498926038003</v>
      </c>
      <c r="J26" s="65">
        <f>IF(SER_hh_fech!J26=0,0,SER_hh_fech!J26/SER_summary!J$26)</f>
        <v>14.78499464166595</v>
      </c>
      <c r="K26" s="65">
        <f>IF(SER_hh_fech!K26=0,0,SER_hh_fech!K26/SER_summary!K$26)</f>
        <v>14.294452021172376</v>
      </c>
      <c r="L26" s="65">
        <f>IF(SER_hh_fech!L26=0,0,SER_hh_fech!L26/SER_summary!L$26)</f>
        <v>13.130314937169212</v>
      </c>
      <c r="M26" s="65">
        <f>IF(SER_hh_fech!M26=0,0,SER_hh_fech!M26/SER_summary!M$26)</f>
        <v>14.165842661584668</v>
      </c>
      <c r="N26" s="65">
        <f>IF(SER_hh_fech!N26=0,0,SER_hh_fech!N26/SER_summary!N$26)</f>
        <v>14.511377317946218</v>
      </c>
      <c r="O26" s="65">
        <f>IF(SER_hh_fech!O26=0,0,SER_hh_fech!O26/SER_summary!O$26)</f>
        <v>14.232243501394628</v>
      </c>
      <c r="P26" s="65">
        <f>IF(SER_hh_fech!P26=0,0,SER_hh_fech!P26/SER_summary!P$26)</f>
        <v>14.50832741615889</v>
      </c>
      <c r="Q26" s="65">
        <f>IF(SER_hh_fech!Q26=0,0,SER_hh_fech!Q26/SER_summary!Q$26)</f>
        <v>14.014482860392258</v>
      </c>
      <c r="R26" s="65">
        <f>IF(SER_hh_fech!R26=0,0,SER_hh_fech!R26/SER_summary!R$26)</f>
        <v>14.266258436820998</v>
      </c>
      <c r="S26" s="65">
        <f>IF(SER_hh_fech!S26=0,0,SER_hh_fech!S26/SER_summary!S$26)</f>
        <v>14.585242120650538</v>
      </c>
      <c r="T26" s="65">
        <f>IF(SER_hh_fech!T26=0,0,SER_hh_fech!T26/SER_summary!T$26)</f>
        <v>13.06315108344136</v>
      </c>
      <c r="U26" s="65">
        <f>IF(SER_hh_fech!U26=0,0,SER_hh_fech!U26/SER_summary!U$26)</f>
        <v>13.666993887920249</v>
      </c>
      <c r="V26" s="65">
        <f>IF(SER_hh_fech!V26=0,0,SER_hh_fech!V26/SER_summary!V$26)</f>
        <v>11.290267421623213</v>
      </c>
      <c r="W26" s="65">
        <f>IF(SER_hh_fech!W26=0,0,SER_hh_fech!W26/SER_summary!W$26)</f>
        <v>12.602432373483561</v>
      </c>
      <c r="DA26" s="109" t="s">
        <v>499</v>
      </c>
    </row>
    <row r="27" spans="1:105" ht="12" customHeight="1" x14ac:dyDescent="0.25">
      <c r="A27" s="145" t="s">
        <v>86</v>
      </c>
      <c r="B27" s="146">
        <f>IF(SER_hh_fech!B27=0,0,SER_hh_fech!B27/SER_summary!B$26)</f>
        <v>0.11883203070537497</v>
      </c>
      <c r="C27" s="146">
        <f>IF(SER_hh_fech!C27=0,0,SER_hh_fech!C27/SER_summary!C$26)</f>
        <v>0.11874613548085593</v>
      </c>
      <c r="D27" s="146">
        <f>IF(SER_hh_fech!D27=0,0,SER_hh_fech!D27/SER_summary!D$26)</f>
        <v>0.11822524087681741</v>
      </c>
      <c r="E27" s="146">
        <f>IF(SER_hh_fech!E27=0,0,SER_hh_fech!E27/SER_summary!E$26)</f>
        <v>0.11797927316968142</v>
      </c>
      <c r="F27" s="146">
        <f>IF(SER_hh_fech!F27=0,0,SER_hh_fech!F27/SER_summary!F$26)</f>
        <v>0.12025746415216998</v>
      </c>
      <c r="G27" s="146">
        <f>IF(SER_hh_fech!G27=0,0,SER_hh_fech!G27/SER_summary!G$26)</f>
        <v>0.12474382219459314</v>
      </c>
      <c r="H27" s="146">
        <f>IF(SER_hh_fech!H27=0,0,SER_hh_fech!H27/SER_summary!H$26)</f>
        <v>0.12898579336420923</v>
      </c>
      <c r="I27" s="146">
        <f>IF(SER_hh_fech!I27=0,0,SER_hh_fech!I27/SER_summary!I$26)</f>
        <v>0.13620782937436268</v>
      </c>
      <c r="J27" s="146">
        <f>IF(SER_hh_fech!J27=0,0,SER_hh_fech!J27/SER_summary!J$26)</f>
        <v>0.14303117969900225</v>
      </c>
      <c r="K27" s="146">
        <f>IF(SER_hh_fech!K27=0,0,SER_hh_fech!K27/SER_summary!K$26)</f>
        <v>0.15071398244371775</v>
      </c>
      <c r="L27" s="146">
        <f>IF(SER_hh_fech!L27=0,0,SER_hh_fech!L27/SER_summary!L$26)</f>
        <v>0.15349594987308124</v>
      </c>
      <c r="M27" s="146">
        <f>IF(SER_hh_fech!M27=0,0,SER_hh_fech!M27/SER_summary!M$26)</f>
        <v>0.16045531938606578</v>
      </c>
      <c r="N27" s="146">
        <f>IF(SER_hh_fech!N27=0,0,SER_hh_fech!N27/SER_summary!N$26)</f>
        <v>0.16484419321322921</v>
      </c>
      <c r="O27" s="146">
        <f>IF(SER_hh_fech!O27=0,0,SER_hh_fech!O27/SER_summary!O$26)</f>
        <v>0.16938193672087443</v>
      </c>
      <c r="P27" s="146">
        <f>IF(SER_hh_fech!P27=0,0,SER_hh_fech!P27/SER_summary!P$26)</f>
        <v>0.17216830248669232</v>
      </c>
      <c r="Q27" s="146">
        <f>IF(SER_hh_fech!Q27=0,0,SER_hh_fech!Q27/SER_summary!Q$26)</f>
        <v>0.17584866562656518</v>
      </c>
      <c r="R27" s="146">
        <f>IF(SER_hh_fech!R27=0,0,SER_hh_fech!R27/SER_summary!R$26)</f>
        <v>0.17674987700376044</v>
      </c>
      <c r="S27" s="146">
        <f>IF(SER_hh_fech!S27=0,0,SER_hh_fech!S27/SER_summary!S$26)</f>
        <v>0.17747928470954744</v>
      </c>
      <c r="T27" s="146">
        <f>IF(SER_hh_fech!T27=0,0,SER_hh_fech!T27/SER_summary!T$26)</f>
        <v>0.17789714591654235</v>
      </c>
      <c r="U27" s="146">
        <f>IF(SER_hh_fech!U27=0,0,SER_hh_fech!U27/SER_summary!U$26)</f>
        <v>0.17858531571393887</v>
      </c>
      <c r="V27" s="146">
        <f>IF(SER_hh_fech!V27=0,0,SER_hh_fech!V27/SER_summary!V$26)</f>
        <v>0.17710036982937083</v>
      </c>
      <c r="W27" s="146">
        <f>IF(SER_hh_fech!W27=0,0,SER_hh_fech!W27/SER_summary!W$26)</f>
        <v>0.17564937737978803</v>
      </c>
      <c r="DA27" s="159" t="s">
        <v>500</v>
      </c>
    </row>
    <row r="28" spans="1:105" ht="12" customHeight="1" x14ac:dyDescent="0.25">
      <c r="A28" s="78" t="s">
        <v>85</v>
      </c>
      <c r="B28" s="147">
        <f>IF(SER_hh_fech!B28=0,0,SER_hh_fech!B28/SER_summary!B$26)</f>
        <v>4.506615069633721</v>
      </c>
      <c r="C28" s="147">
        <f>IF(SER_hh_fech!C28=0,0,SER_hh_fech!C28/SER_summary!C$26)</f>
        <v>4.5856229206349735</v>
      </c>
      <c r="D28" s="147">
        <f>IF(SER_hh_fech!D28=0,0,SER_hh_fech!D28/SER_summary!D$26)</f>
        <v>4.4867631712138261</v>
      </c>
      <c r="E28" s="147">
        <f>IF(SER_hh_fech!E28=0,0,SER_hh_fech!E28/SER_summary!E$26)</f>
        <v>4.5352372013254243</v>
      </c>
      <c r="F28" s="147">
        <f>IF(SER_hh_fech!F28=0,0,SER_hh_fech!F28/SER_summary!F$26)</f>
        <v>4.534207070928459</v>
      </c>
      <c r="G28" s="147">
        <f>IF(SER_hh_fech!G28=0,0,SER_hh_fech!G28/SER_summary!G$26)</f>
        <v>4.4409374473250649</v>
      </c>
      <c r="H28" s="147">
        <f>IF(SER_hh_fech!H28=0,0,SER_hh_fech!H28/SER_summary!H$26)</f>
        <v>4.4341875766840779</v>
      </c>
      <c r="I28" s="147">
        <f>IF(SER_hh_fech!I28=0,0,SER_hh_fech!I28/SER_summary!I$26)</f>
        <v>4.5038758568949984</v>
      </c>
      <c r="J28" s="147">
        <f>IF(SER_hh_fech!J28=0,0,SER_hh_fech!J28/SER_summary!J$26)</f>
        <v>4.6956352182598478</v>
      </c>
      <c r="K28" s="147">
        <f>IF(SER_hh_fech!K28=0,0,SER_hh_fech!K28/SER_summary!K$26)</f>
        <v>5.1861841593768521</v>
      </c>
      <c r="L28" s="147">
        <f>IF(SER_hh_fech!L28=0,0,SER_hh_fech!L28/SER_summary!L$26)</f>
        <v>4.4003914425462787</v>
      </c>
      <c r="M28" s="147">
        <f>IF(SER_hh_fech!M28=0,0,SER_hh_fech!M28/SER_summary!M$26)</f>
        <v>4.5046532891562867</v>
      </c>
      <c r="N28" s="147">
        <f>IF(SER_hh_fech!N28=0,0,SER_hh_fech!N28/SER_summary!N$26)</f>
        <v>4.7101644847138289</v>
      </c>
      <c r="O28" s="147">
        <f>IF(SER_hh_fech!O28=0,0,SER_hh_fech!O28/SER_summary!O$26)</f>
        <v>4.4451565768345338</v>
      </c>
      <c r="P28" s="147">
        <f>IF(SER_hh_fech!P28=0,0,SER_hh_fech!P28/SER_summary!P$26)</f>
        <v>4.7599807004886605</v>
      </c>
      <c r="Q28" s="147">
        <f>IF(SER_hh_fech!Q28=0,0,SER_hh_fech!Q28/SER_summary!Q$26)</f>
        <v>4.6632937896742312</v>
      </c>
      <c r="R28" s="147">
        <f>IF(SER_hh_fech!R28=0,0,SER_hh_fech!R28/SER_summary!R$26)</f>
        <v>4.6766042522513445</v>
      </c>
      <c r="S28" s="147">
        <f>IF(SER_hh_fech!S28=0,0,SER_hh_fech!S28/SER_summary!S$26)</f>
        <v>4.979787549311304</v>
      </c>
      <c r="T28" s="147">
        <f>IF(SER_hh_fech!T28=0,0,SER_hh_fech!T28/SER_summary!T$26)</f>
        <v>4.9079014300215107</v>
      </c>
      <c r="U28" s="147">
        <f>IF(SER_hh_fech!U28=0,0,SER_hh_fech!U28/SER_summary!U$26)</f>
        <v>4.7510753684948339</v>
      </c>
      <c r="V28" s="147">
        <f>IF(SER_hh_fech!V28=0,0,SER_hh_fech!V28/SER_summary!V$26)</f>
        <v>4.1588571419298273</v>
      </c>
      <c r="W28" s="147">
        <f>IF(SER_hh_fech!W28=0,0,SER_hh_fech!W28/SER_summary!W$26)</f>
        <v>4.5460002598336633</v>
      </c>
      <c r="DA28" s="160"/>
    </row>
    <row r="29" spans="1:105" ht="12.95" customHeight="1" x14ac:dyDescent="0.25">
      <c r="A29" s="130" t="s">
        <v>34</v>
      </c>
      <c r="B29" s="131">
        <f>IF(SER_hh_fech!B29=0,0,SER_hh_fech!B29/SER_summary!B$26)</f>
        <v>12.98570379900346</v>
      </c>
      <c r="C29" s="131">
        <f>IF(SER_hh_fech!C29=0,0,SER_hh_fech!C29/SER_summary!C$26)</f>
        <v>13.005033447795848</v>
      </c>
      <c r="D29" s="131">
        <f>IF(SER_hh_fech!D29=0,0,SER_hh_fech!D29/SER_summary!D$26)</f>
        <v>13.040145557650142</v>
      </c>
      <c r="E29" s="131">
        <f>IF(SER_hh_fech!E29=0,0,SER_hh_fech!E29/SER_summary!E$26)</f>
        <v>13.334728353446813</v>
      </c>
      <c r="F29" s="131">
        <f>IF(SER_hh_fech!F29=0,0,SER_hh_fech!F29/SER_summary!F$26)</f>
        <v>13.482387690484526</v>
      </c>
      <c r="G29" s="131">
        <f>IF(SER_hh_fech!G29=0,0,SER_hh_fech!G29/SER_summary!G$26)</f>
        <v>13.47757709163599</v>
      </c>
      <c r="H29" s="131">
        <f>IF(SER_hh_fech!H29=0,0,SER_hh_fech!H29/SER_summary!H$26)</f>
        <v>13.623969661286189</v>
      </c>
      <c r="I29" s="131">
        <f>IF(SER_hh_fech!I29=0,0,SER_hh_fech!I29/SER_summary!I$26)</f>
        <v>13.434905286252638</v>
      </c>
      <c r="J29" s="131">
        <f>IF(SER_hh_fech!J29=0,0,SER_hh_fech!J29/SER_summary!J$26)</f>
        <v>13.496061124007595</v>
      </c>
      <c r="K29" s="131">
        <f>IF(SER_hh_fech!K29=0,0,SER_hh_fech!K29/SER_summary!K$26)</f>
        <v>13.440092128398254</v>
      </c>
      <c r="L29" s="131">
        <f>IF(SER_hh_fech!L29=0,0,SER_hh_fech!L29/SER_summary!L$26)</f>
        <v>13.422109333300682</v>
      </c>
      <c r="M29" s="131">
        <f>IF(SER_hh_fech!M29=0,0,SER_hh_fech!M29/SER_summary!M$26)</f>
        <v>13.556268999788335</v>
      </c>
      <c r="N29" s="131">
        <f>IF(SER_hh_fech!N29=0,0,SER_hh_fech!N29/SER_summary!N$26)</f>
        <v>13.76608316131813</v>
      </c>
      <c r="O29" s="131">
        <f>IF(SER_hh_fech!O29=0,0,SER_hh_fech!O29/SER_summary!O$26)</f>
        <v>13.818291691133533</v>
      </c>
      <c r="P29" s="131">
        <f>IF(SER_hh_fech!P29=0,0,SER_hh_fech!P29/SER_summary!P$26)</f>
        <v>13.6368337580929</v>
      </c>
      <c r="Q29" s="131">
        <f>IF(SER_hh_fech!Q29=0,0,SER_hh_fech!Q29/SER_summary!Q$26)</f>
        <v>13.8649017133811</v>
      </c>
      <c r="R29" s="131">
        <f>IF(SER_hh_fech!R29=0,0,SER_hh_fech!R29/SER_summary!R$26)</f>
        <v>14.027377697865472</v>
      </c>
      <c r="S29" s="131">
        <f>IF(SER_hh_fech!S29=0,0,SER_hh_fech!S29/SER_summary!S$26)</f>
        <v>13.904380848184227</v>
      </c>
      <c r="T29" s="131">
        <f>IF(SER_hh_fech!T29=0,0,SER_hh_fech!T29/SER_summary!T$26)</f>
        <v>13.75266669444227</v>
      </c>
      <c r="U29" s="131">
        <f>IF(SER_hh_fech!U29=0,0,SER_hh_fech!U29/SER_summary!U$26)</f>
        <v>13.69523593594722</v>
      </c>
      <c r="V29" s="131">
        <f>IF(SER_hh_fech!V29=0,0,SER_hh_fech!V29/SER_summary!V$26)</f>
        <v>12.015152535022827</v>
      </c>
      <c r="W29" s="131">
        <f>IF(SER_hh_fech!W29=0,0,SER_hh_fech!W29/SER_summary!W$26)</f>
        <v>12.722870235841938</v>
      </c>
      <c r="DA29" s="156" t="s">
        <v>501</v>
      </c>
    </row>
    <row r="30" spans="1:105" ht="12" customHeight="1" x14ac:dyDescent="0.25">
      <c r="A30" s="132" t="s">
        <v>52</v>
      </c>
      <c r="B30" s="133">
        <f>IF(SER_hh_fech!B30=0,0,SER_hh_fech!B30/SER_summary!B$26)</f>
        <v>16.102951355738028</v>
      </c>
      <c r="C30" s="133">
        <f>IF(SER_hh_fech!C30=0,0,SER_hh_fech!C30/SER_summary!C$26)</f>
        <v>16.137232733643042</v>
      </c>
      <c r="D30" s="133">
        <f>IF(SER_hh_fech!D30=0,0,SER_hh_fech!D30/SER_summary!D$26)</f>
        <v>14.395882620201334</v>
      </c>
      <c r="E30" s="133">
        <f>IF(SER_hh_fech!E30=0,0,SER_hh_fech!E30/SER_summary!E$26)</f>
        <v>16.083513465109238</v>
      </c>
      <c r="F30" s="133">
        <f>IF(SER_hh_fech!F30=0,0,SER_hh_fech!F30/SER_summary!F$26)</f>
        <v>16.945960872597176</v>
      </c>
      <c r="G30" s="133">
        <f>IF(SER_hh_fech!G30=0,0,SER_hh_fech!G30/SER_summary!G$26)</f>
        <v>17.823108844238849</v>
      </c>
      <c r="H30" s="133">
        <f>IF(SER_hh_fech!H30=0,0,SER_hh_fech!H30/SER_summary!H$26)</f>
        <v>16.965184597742198</v>
      </c>
      <c r="I30" s="133">
        <f>IF(SER_hh_fech!I30=0,0,SER_hh_fech!I30/SER_summary!I$26)</f>
        <v>16.650685799678119</v>
      </c>
      <c r="J30" s="133">
        <f>IF(SER_hh_fech!J30=0,0,SER_hh_fech!J30/SER_summary!J$26)</f>
        <v>16.119911535506784</v>
      </c>
      <c r="K30" s="133">
        <f>IF(SER_hh_fech!K30=0,0,SER_hh_fech!K30/SER_summary!K$26)</f>
        <v>15.372885614801483</v>
      </c>
      <c r="L30" s="133">
        <f>IF(SER_hh_fech!L30=0,0,SER_hh_fech!L30/SER_summary!L$26)</f>
        <v>19.092339974055751</v>
      </c>
      <c r="M30" s="133">
        <f>IF(SER_hh_fech!M30=0,0,SER_hh_fech!M30/SER_summary!M$26)</f>
        <v>17.105442162646856</v>
      </c>
      <c r="N30" s="133">
        <f>IF(SER_hh_fech!N30=0,0,SER_hh_fech!N30/SER_summary!N$26)</f>
        <v>15.979798533191165</v>
      </c>
      <c r="O30" s="133">
        <f>IF(SER_hh_fech!O30=0,0,SER_hh_fech!O30/SER_summary!O$26)</f>
        <v>19.009812635947924</v>
      </c>
      <c r="P30" s="133">
        <f>IF(SER_hh_fech!P30=0,0,SER_hh_fech!P30/SER_summary!P$26)</f>
        <v>10.247672139304095</v>
      </c>
      <c r="Q30" s="133">
        <f>IF(SER_hh_fech!Q30=0,0,SER_hh_fech!Q30/SER_summary!Q$26)</f>
        <v>19.358173547952731</v>
      </c>
      <c r="R30" s="133">
        <f>IF(SER_hh_fech!R30=0,0,SER_hh_fech!R30/SER_summary!R$26)</f>
        <v>18.670467805690649</v>
      </c>
      <c r="S30" s="133">
        <f>IF(SER_hh_fech!S30=0,0,SER_hh_fech!S30/SER_summary!S$26)</f>
        <v>17.420169844630543</v>
      </c>
      <c r="T30" s="133">
        <f>IF(SER_hh_fech!T30=0,0,SER_hh_fech!T30/SER_summary!T$26)</f>
        <v>17.751693859394283</v>
      </c>
      <c r="U30" s="133">
        <f>IF(SER_hh_fech!U30=0,0,SER_hh_fech!U30/SER_summary!U$26)</f>
        <v>17.598050855185576</v>
      </c>
      <c r="V30" s="133">
        <f>IF(SER_hh_fech!V30=0,0,SER_hh_fech!V30/SER_summary!V$26)</f>
        <v>15.268867650610337</v>
      </c>
      <c r="W30" s="133">
        <f>IF(SER_hh_fech!W30=0,0,SER_hh_fech!W30/SER_summary!W$26)</f>
        <v>16.497142534585215</v>
      </c>
      <c r="DA30" s="157" t="s">
        <v>502</v>
      </c>
    </row>
    <row r="31" spans="1:105" ht="12" customHeight="1" x14ac:dyDescent="0.25">
      <c r="A31" s="132" t="s">
        <v>153</v>
      </c>
      <c r="B31" s="133">
        <f>IF(SER_hh_fech!B31=0,0,SER_hh_fech!B31/SER_summary!B$26)</f>
        <v>15.972420110104919</v>
      </c>
      <c r="C31" s="133">
        <f>IF(SER_hh_fech!C31=0,0,SER_hh_fech!C31/SER_summary!C$26)</f>
        <v>16.003725042825266</v>
      </c>
      <c r="D31" s="133">
        <f>IF(SER_hh_fech!D31=0,0,SER_hh_fech!D31/SER_summary!D$26)</f>
        <v>16.139763083178899</v>
      </c>
      <c r="E31" s="133">
        <f>IF(SER_hh_fech!E31=0,0,SER_hh_fech!E31/SER_summary!E$26)</f>
        <v>16.350060900703326</v>
      </c>
      <c r="F31" s="133">
        <f>IF(SER_hh_fech!F31=0,0,SER_hh_fech!F31/SER_summary!F$26)</f>
        <v>16.150099228964752</v>
      </c>
      <c r="G31" s="133">
        <f>IF(SER_hh_fech!G31=0,0,SER_hh_fech!G31/SER_summary!G$26)</f>
        <v>16.902935241939051</v>
      </c>
      <c r="H31" s="133">
        <f>IF(SER_hh_fech!H31=0,0,SER_hh_fech!H31/SER_summary!H$26)</f>
        <v>16.840775142416117</v>
      </c>
      <c r="I31" s="133">
        <f>IF(SER_hh_fech!I31=0,0,SER_hh_fech!I31/SER_summary!I$26)</f>
        <v>16.599669513644372</v>
      </c>
      <c r="J31" s="133">
        <f>IF(SER_hh_fech!J31=0,0,SER_hh_fech!J31/SER_summary!J$26)</f>
        <v>16.543781425753739</v>
      </c>
      <c r="K31" s="133">
        <f>IF(SER_hh_fech!K31=0,0,SER_hh_fech!K31/SER_summary!K$26)</f>
        <v>16.734193793068279</v>
      </c>
      <c r="L31" s="133">
        <f>IF(SER_hh_fech!L31=0,0,SER_hh_fech!L31/SER_summary!L$26)</f>
        <v>16.793072668822628</v>
      </c>
      <c r="M31" s="133">
        <f>IF(SER_hh_fech!M31=0,0,SER_hh_fech!M31/SER_summary!M$26)</f>
        <v>16.764562329319816</v>
      </c>
      <c r="N31" s="133">
        <f>IF(SER_hh_fech!N31=0,0,SER_hh_fech!N31/SER_summary!N$26)</f>
        <v>17.005888943690785</v>
      </c>
      <c r="O31" s="133">
        <f>IF(SER_hh_fech!O31=0,0,SER_hh_fech!O31/SER_summary!O$26)</f>
        <v>16.971261862251417</v>
      </c>
      <c r="P31" s="133">
        <f>IF(SER_hh_fech!P31=0,0,SER_hh_fech!P31/SER_summary!P$26)</f>
        <v>16.296823737202089</v>
      </c>
      <c r="Q31" s="133">
        <f>IF(SER_hh_fech!Q31=0,0,SER_hh_fech!Q31/SER_summary!Q$26)</f>
        <v>18.068199531036029</v>
      </c>
      <c r="R31" s="133">
        <f>IF(SER_hh_fech!R31=0,0,SER_hh_fech!R31/SER_summary!R$26)</f>
        <v>17.798918238183351</v>
      </c>
      <c r="S31" s="133">
        <f>IF(SER_hh_fech!S31=0,0,SER_hh_fech!S31/SER_summary!S$26)</f>
        <v>16.306587177053618</v>
      </c>
      <c r="T31" s="133">
        <f>IF(SER_hh_fech!T31=0,0,SER_hh_fech!T31/SER_summary!T$26)</f>
        <v>17.588154820186677</v>
      </c>
      <c r="U31" s="133">
        <f>IF(SER_hh_fech!U31=0,0,SER_hh_fech!U31/SER_summary!U$26)</f>
        <v>19.24215641541922</v>
      </c>
      <c r="V31" s="133">
        <f>IF(SER_hh_fech!V31=0,0,SER_hh_fech!V31/SER_summary!V$26)</f>
        <v>11.726591168735318</v>
      </c>
      <c r="W31" s="133">
        <f>IF(SER_hh_fech!W31=0,0,SER_hh_fech!W31/SER_summary!W$26)</f>
        <v>18.219065261759852</v>
      </c>
      <c r="DA31" s="157" t="s">
        <v>503</v>
      </c>
    </row>
    <row r="32" spans="1:105" ht="12" customHeight="1" x14ac:dyDescent="0.25">
      <c r="A32" s="132" t="s">
        <v>128</v>
      </c>
      <c r="B32" s="133">
        <f>IF(SER_hh_fech!B32=0,0,SER_hh_fech!B32/SER_summary!B$26)</f>
        <v>0</v>
      </c>
      <c r="C32" s="133">
        <f>IF(SER_hh_fech!C32=0,0,SER_hh_fech!C32/SER_summary!C$26)</f>
        <v>0</v>
      </c>
      <c r="D32" s="133">
        <f>IF(SER_hh_fech!D32=0,0,SER_hh_fech!D32/SER_summary!D$26)</f>
        <v>0</v>
      </c>
      <c r="E32" s="133">
        <f>IF(SER_hh_fech!E32=0,0,SER_hh_fech!E32/SER_summary!E$26)</f>
        <v>0</v>
      </c>
      <c r="F32" s="133">
        <f>IF(SER_hh_fech!F32=0,0,SER_hh_fech!F32/SER_summary!F$26)</f>
        <v>0</v>
      </c>
      <c r="G32" s="133">
        <f>IF(SER_hh_fech!G32=0,0,SER_hh_fech!G32/SER_summary!G$26)</f>
        <v>0</v>
      </c>
      <c r="H32" s="133">
        <f>IF(SER_hh_fech!H32=0,0,SER_hh_fech!H32/SER_summary!H$26)</f>
        <v>0</v>
      </c>
      <c r="I32" s="133">
        <f>IF(SER_hh_fech!I32=0,0,SER_hh_fech!I32/SER_summary!I$26)</f>
        <v>0</v>
      </c>
      <c r="J32" s="133">
        <f>IF(SER_hh_fech!J32=0,0,SER_hh_fech!J32/SER_summary!J$26)</f>
        <v>0</v>
      </c>
      <c r="K32" s="133">
        <f>IF(SER_hh_fech!K32=0,0,SER_hh_fech!K32/SER_summary!K$26)</f>
        <v>0</v>
      </c>
      <c r="L32" s="133">
        <f>IF(SER_hh_fech!L32=0,0,SER_hh_fech!L32/SER_summary!L$26)</f>
        <v>0</v>
      </c>
      <c r="M32" s="133">
        <f>IF(SER_hh_fech!M32=0,0,SER_hh_fech!M32/SER_summary!M$26)</f>
        <v>0</v>
      </c>
      <c r="N32" s="133">
        <f>IF(SER_hh_fech!N32=0,0,SER_hh_fech!N32/SER_summary!N$26)</f>
        <v>0</v>
      </c>
      <c r="O32" s="133">
        <f>IF(SER_hh_fech!O32=0,0,SER_hh_fech!O32/SER_summary!O$26)</f>
        <v>0</v>
      </c>
      <c r="P32" s="133">
        <f>IF(SER_hh_fech!P32=0,0,SER_hh_fech!P32/SER_summary!P$26)</f>
        <v>0</v>
      </c>
      <c r="Q32" s="133">
        <f>IF(SER_hh_fech!Q32=0,0,SER_hh_fech!Q32/SER_summary!Q$26)</f>
        <v>0</v>
      </c>
      <c r="R32" s="133">
        <f>IF(SER_hh_fech!R32=0,0,SER_hh_fech!R32/SER_summary!R$26)</f>
        <v>0</v>
      </c>
      <c r="S32" s="133">
        <f>IF(SER_hh_fech!S32=0,0,SER_hh_fech!S32/SER_summary!S$26)</f>
        <v>0</v>
      </c>
      <c r="T32" s="133">
        <f>IF(SER_hh_fech!T32=0,0,SER_hh_fech!T32/SER_summary!T$26)</f>
        <v>0</v>
      </c>
      <c r="U32" s="133">
        <f>IF(SER_hh_fech!U32=0,0,SER_hh_fech!U32/SER_summary!U$26)</f>
        <v>0</v>
      </c>
      <c r="V32" s="133">
        <f>IF(SER_hh_fech!V32=0,0,SER_hh_fech!V32/SER_summary!V$26)</f>
        <v>0</v>
      </c>
      <c r="W32" s="133">
        <f>IF(SER_hh_fech!W32=0,0,SER_hh_fech!W32/SER_summary!W$26)</f>
        <v>0</v>
      </c>
      <c r="DA32" s="157" t="s">
        <v>504</v>
      </c>
    </row>
    <row r="33" spans="1:105" ht="12" customHeight="1" x14ac:dyDescent="0.25">
      <c r="A33" s="62" t="s">
        <v>24</v>
      </c>
      <c r="B33" s="68">
        <f>IF(SER_hh_fech!B33=0,0,SER_hh_fech!B33/SER_summary!B$26)</f>
        <v>12.268209532673717</v>
      </c>
      <c r="C33" s="68">
        <f>IF(SER_hh_fech!C33=0,0,SER_hh_fech!C33/SER_summary!C$26)</f>
        <v>12.299312605874693</v>
      </c>
      <c r="D33" s="68">
        <f>IF(SER_hh_fech!D33=0,0,SER_hh_fech!D33/SER_summary!D$26)</f>
        <v>12.365461214283245</v>
      </c>
      <c r="E33" s="68">
        <f>IF(SER_hh_fech!E33=0,0,SER_hh_fech!E33/SER_summary!E$26)</f>
        <v>12.621369760711493</v>
      </c>
      <c r="F33" s="68">
        <f>IF(SER_hh_fech!F33=0,0,SER_hh_fech!F33/SER_summary!F$26)</f>
        <v>12.787101887791003</v>
      </c>
      <c r="G33" s="68">
        <f>IF(SER_hh_fech!G33=0,0,SER_hh_fech!G33/SER_summary!G$26)</f>
        <v>12.5375842446226</v>
      </c>
      <c r="H33" s="68">
        <f>IF(SER_hh_fech!H33=0,0,SER_hh_fech!H33/SER_summary!H$26)</f>
        <v>12.757763962359308</v>
      </c>
      <c r="I33" s="68">
        <f>IF(SER_hh_fech!I33=0,0,SER_hh_fech!I33/SER_summary!I$26)</f>
        <v>12.589731543625657</v>
      </c>
      <c r="J33" s="68">
        <f>IF(SER_hh_fech!J33=0,0,SER_hh_fech!J33/SER_summary!J$26)</f>
        <v>12.698988714658638</v>
      </c>
      <c r="K33" s="68">
        <f>IF(SER_hh_fech!K33=0,0,SER_hh_fech!K33/SER_summary!K$26)</f>
        <v>12.624525803319052</v>
      </c>
      <c r="L33" s="68">
        <f>IF(SER_hh_fech!L33=0,0,SER_hh_fech!L33/SER_summary!L$26)</f>
        <v>12.413633648224437</v>
      </c>
      <c r="M33" s="68">
        <f>IF(SER_hh_fech!M33=0,0,SER_hh_fech!M33/SER_summary!M$26)</f>
        <v>12.717020142189758</v>
      </c>
      <c r="N33" s="68">
        <f>IF(SER_hh_fech!N33=0,0,SER_hh_fech!N33/SER_summary!N$26)</f>
        <v>13.020644511076886</v>
      </c>
      <c r="O33" s="68">
        <f>IF(SER_hh_fech!O33=0,0,SER_hh_fech!O33/SER_summary!O$26)</f>
        <v>12.97634948970431</v>
      </c>
      <c r="P33" s="68">
        <f>IF(SER_hh_fech!P33=0,0,SER_hh_fech!P33/SER_summary!P$26)</f>
        <v>13.26920326951743</v>
      </c>
      <c r="Q33" s="68">
        <f>IF(SER_hh_fech!Q33=0,0,SER_hh_fech!Q33/SER_summary!Q$26)</f>
        <v>12.742513849989651</v>
      </c>
      <c r="R33" s="68">
        <f>IF(SER_hh_fech!R33=0,0,SER_hh_fech!R33/SER_summary!R$26)</f>
        <v>13.014578980920186</v>
      </c>
      <c r="S33" s="68">
        <f>IF(SER_hh_fech!S33=0,0,SER_hh_fech!S33/SER_summary!S$26)</f>
        <v>13.217456499958203</v>
      </c>
      <c r="T33" s="68">
        <f>IF(SER_hh_fech!T33=0,0,SER_hh_fech!T33/SER_summary!T$26)</f>
        <v>12.748121737284972</v>
      </c>
      <c r="U33" s="68">
        <f>IF(SER_hh_fech!U33=0,0,SER_hh_fech!U33/SER_summary!U$26)</f>
        <v>12.324730733364611</v>
      </c>
      <c r="V33" s="68">
        <f>IF(SER_hh_fech!V33=0,0,SER_hh_fech!V33/SER_summary!V$26)</f>
        <v>11.897799926205654</v>
      </c>
      <c r="W33" s="68">
        <f>IF(SER_hh_fech!W33=0,0,SER_hh_fech!W33/SER_summary!W$26)</f>
        <v>11.386046150050284</v>
      </c>
      <c r="DA33" s="111" t="s">
        <v>505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>
        <f>IF(SER_hh_tesh!B3=0,0,SER_hh_tesh!B3/SER_summary!B$26)</f>
        <v>108.46123556360875</v>
      </c>
      <c r="C3" s="126">
        <f>IF(SER_hh_tesh!C3=0,0,SER_hh_tesh!C3/SER_summary!C$26)</f>
        <v>111.3303847363136</v>
      </c>
      <c r="D3" s="126">
        <f>IF(SER_hh_tesh!D3=0,0,SER_hh_tesh!D3/SER_summary!D$26)</f>
        <v>109.79036049515285</v>
      </c>
      <c r="E3" s="126">
        <f>IF(SER_hh_tesh!E3=0,0,SER_hh_tesh!E3/SER_summary!E$26)</f>
        <v>110.90259333886907</v>
      </c>
      <c r="F3" s="126">
        <f>IF(SER_hh_tesh!F3=0,0,SER_hh_tesh!F3/SER_summary!F$26)</f>
        <v>109.58882931690346</v>
      </c>
      <c r="G3" s="126">
        <f>IF(SER_hh_tesh!G3=0,0,SER_hh_tesh!G3/SER_summary!G$26)</f>
        <v>107.34974242256568</v>
      </c>
      <c r="H3" s="126">
        <f>IF(SER_hh_tesh!H3=0,0,SER_hh_tesh!H3/SER_summary!H$26)</f>
        <v>107.67385449939628</v>
      </c>
      <c r="I3" s="126">
        <f>IF(SER_hh_tesh!I3=0,0,SER_hh_tesh!I3/SER_summary!I$26)</f>
        <v>104.10948094904712</v>
      </c>
      <c r="J3" s="126">
        <f>IF(SER_hh_tesh!J3=0,0,SER_hh_tesh!J3/SER_summary!J$26)</f>
        <v>103.92278067249424</v>
      </c>
      <c r="K3" s="126">
        <f>IF(SER_hh_tesh!K3=0,0,SER_hh_tesh!K3/SER_summary!K$26)</f>
        <v>101.19969329610261</v>
      </c>
      <c r="L3" s="126">
        <f>IF(SER_hh_tesh!L3=0,0,SER_hh_tesh!L3/SER_summary!L$26)</f>
        <v>108.90012058863604</v>
      </c>
      <c r="M3" s="126">
        <f>IF(SER_hh_tesh!M3=0,0,SER_hh_tesh!M3/SER_summary!M$26)</f>
        <v>97.097840664854616</v>
      </c>
      <c r="N3" s="126">
        <f>IF(SER_hh_tesh!N3=0,0,SER_hh_tesh!N3/SER_summary!N$26)</f>
        <v>99.281221502824351</v>
      </c>
      <c r="O3" s="126">
        <f>IF(SER_hh_tesh!O3=0,0,SER_hh_tesh!O3/SER_summary!O$26)</f>
        <v>98.323741879587431</v>
      </c>
      <c r="P3" s="126">
        <f>IF(SER_hh_tesh!P3=0,0,SER_hh_tesh!P3/SER_summary!P$26)</f>
        <v>90.067958051347276</v>
      </c>
      <c r="Q3" s="126">
        <f>IF(SER_hh_tesh!Q3=0,0,SER_hh_tesh!Q3/SER_summary!Q$26)</f>
        <v>94.6673483070701</v>
      </c>
      <c r="R3" s="126">
        <f>IF(SER_hh_tesh!R3=0,0,SER_hh_tesh!R3/SER_summary!R$26)</f>
        <v>97.918627809124288</v>
      </c>
      <c r="S3" s="126">
        <f>IF(SER_hh_tesh!S3=0,0,SER_hh_tesh!S3/SER_summary!S$26)</f>
        <v>99.624065054578921</v>
      </c>
      <c r="T3" s="126">
        <f>IF(SER_hh_tesh!T3=0,0,SER_hh_tesh!T3/SER_summary!T$26)</f>
        <v>96.634377145518684</v>
      </c>
      <c r="U3" s="126">
        <f>IF(SER_hh_tesh!U3=0,0,SER_hh_tesh!U3/SER_summary!U$26)</f>
        <v>93.496172112006533</v>
      </c>
      <c r="V3" s="126">
        <f>IF(SER_hh_tesh!V3=0,0,SER_hh_tesh!V3/SER_summary!V$26)</f>
        <v>89.442637552302372</v>
      </c>
      <c r="W3" s="126">
        <f>IF(SER_hh_tesh!W3=0,0,SER_hh_tesh!W3/SER_summary!W$26)</f>
        <v>103.90831967282945</v>
      </c>
      <c r="DA3" s="155" t="s">
        <v>507</v>
      </c>
    </row>
    <row r="4" spans="1:105" ht="12.95" customHeight="1" x14ac:dyDescent="0.25">
      <c r="A4" s="130" t="s">
        <v>32</v>
      </c>
      <c r="B4" s="131">
        <f>IF(SER_hh_tesh!B4=0,0,SER_hh_tesh!B4/SER_summary!B$26)</f>
        <v>84.029095864218718</v>
      </c>
      <c r="C4" s="131">
        <f>IF(SER_hh_tesh!C4=0,0,SER_hh_tesh!C4/SER_summary!C$26)</f>
        <v>86.873736680506198</v>
      </c>
      <c r="D4" s="131">
        <f>IF(SER_hh_tesh!D4=0,0,SER_hh_tesh!D4/SER_summary!D$26)</f>
        <v>85.171699826439323</v>
      </c>
      <c r="E4" s="131">
        <f>IF(SER_hh_tesh!E4=0,0,SER_hh_tesh!E4/SER_summary!E$26)</f>
        <v>86.098382988370872</v>
      </c>
      <c r="F4" s="131">
        <f>IF(SER_hh_tesh!F4=0,0,SER_hh_tesh!F4/SER_summary!F$26)</f>
        <v>84.59903145009514</v>
      </c>
      <c r="G4" s="131">
        <f>IF(SER_hh_tesh!G4=0,0,SER_hh_tesh!G4/SER_summary!G$26)</f>
        <v>82.220696940750287</v>
      </c>
      <c r="H4" s="131">
        <f>IF(SER_hh_tesh!H4=0,0,SER_hh_tesh!H4/SER_summary!H$26)</f>
        <v>82.164413012248886</v>
      </c>
      <c r="I4" s="131">
        <f>IF(SER_hh_tesh!I4=0,0,SER_hh_tesh!I4/SER_summary!I$26)</f>
        <v>78.443114018130245</v>
      </c>
      <c r="J4" s="131">
        <f>IF(SER_hh_tesh!J4=0,0,SER_hh_tesh!J4/SER_summary!J$26)</f>
        <v>77.910220796204101</v>
      </c>
      <c r="K4" s="131">
        <f>IF(SER_hh_tesh!K4=0,0,SER_hh_tesh!K4/SER_summary!K$26)</f>
        <v>75.030401847737508</v>
      </c>
      <c r="L4" s="131">
        <f>IF(SER_hh_tesh!L4=0,0,SER_hh_tesh!L4/SER_summary!L$26)</f>
        <v>82.624924125655909</v>
      </c>
      <c r="M4" s="131">
        <f>IF(SER_hh_tesh!M4=0,0,SER_hh_tesh!M4/SER_summary!M$26)</f>
        <v>70.432523317293573</v>
      </c>
      <c r="N4" s="131">
        <f>IF(SER_hh_tesh!N4=0,0,SER_hh_tesh!N4/SER_summary!N$26)</f>
        <v>72.05370079146968</v>
      </c>
      <c r="O4" s="131">
        <f>IF(SER_hh_tesh!O4=0,0,SER_hh_tesh!O4/SER_summary!O$26)</f>
        <v>70.712142619809143</v>
      </c>
      <c r="P4" s="131">
        <f>IF(SER_hh_tesh!P4=0,0,SER_hh_tesh!P4/SER_summary!P$26)</f>
        <v>62.039368904301043</v>
      </c>
      <c r="Q4" s="131">
        <f>IF(SER_hh_tesh!Q4=0,0,SER_hh_tesh!Q4/SER_summary!Q$26)</f>
        <v>66.323551182067334</v>
      </c>
      <c r="R4" s="131">
        <f>IF(SER_hh_tesh!R4=0,0,SER_hh_tesh!R4/SER_summary!R$26)</f>
        <v>69.172200502643364</v>
      </c>
      <c r="S4" s="131">
        <f>IF(SER_hh_tesh!S4=0,0,SER_hh_tesh!S4/SER_summary!S$26)</f>
        <v>70.596787480158639</v>
      </c>
      <c r="T4" s="131">
        <f>IF(SER_hh_tesh!T4=0,0,SER_hh_tesh!T4/SER_summary!T$26)</f>
        <v>67.209162398470355</v>
      </c>
      <c r="U4" s="131">
        <f>IF(SER_hh_tesh!U4=0,0,SER_hh_tesh!U4/SER_summary!U$26)</f>
        <v>64.274576527124978</v>
      </c>
      <c r="V4" s="131">
        <f>IF(SER_hh_tesh!V4=0,0,SER_hh_tesh!V4/SER_summary!V$26)</f>
        <v>62.797289842494301</v>
      </c>
      <c r="W4" s="131">
        <f>IF(SER_hh_tesh!W4=0,0,SER_hh_tesh!W4/SER_summary!W$26)</f>
        <v>75.638783398706138</v>
      </c>
      <c r="DA4" s="156" t="s">
        <v>508</v>
      </c>
    </row>
    <row r="5" spans="1:105" ht="12" customHeight="1" x14ac:dyDescent="0.25">
      <c r="A5" s="132" t="s">
        <v>29</v>
      </c>
      <c r="B5" s="133">
        <f>IF(SER_hh_tesh!B5=0,0,SER_hh_tesh!B5/SER_summary!B$26)</f>
        <v>0</v>
      </c>
      <c r="C5" s="133">
        <f>IF(SER_hh_tesh!C5=0,0,SER_hh_tesh!C5/SER_summary!C$26)</f>
        <v>0</v>
      </c>
      <c r="D5" s="133">
        <f>IF(SER_hh_tesh!D5=0,0,SER_hh_tesh!D5/SER_summary!D$26)</f>
        <v>0</v>
      </c>
      <c r="E5" s="133">
        <f>IF(SER_hh_tesh!E5=0,0,SER_hh_tesh!E5/SER_summary!E$26)</f>
        <v>0</v>
      </c>
      <c r="F5" s="133">
        <f>IF(SER_hh_tesh!F5=0,0,SER_hh_tesh!F5/SER_summary!F$26)</f>
        <v>0</v>
      </c>
      <c r="G5" s="133">
        <f>IF(SER_hh_tesh!G5=0,0,SER_hh_tesh!G5/SER_summary!G$26)</f>
        <v>0</v>
      </c>
      <c r="H5" s="133">
        <f>IF(SER_hh_tesh!H5=0,0,SER_hh_tesh!H5/SER_summary!H$26)</f>
        <v>0</v>
      </c>
      <c r="I5" s="133">
        <f>IF(SER_hh_tesh!I5=0,0,SER_hh_tesh!I5/SER_summary!I$26)</f>
        <v>0</v>
      </c>
      <c r="J5" s="133">
        <f>IF(SER_hh_tesh!J5=0,0,SER_hh_tesh!J5/SER_summary!J$26)</f>
        <v>0</v>
      </c>
      <c r="K5" s="133">
        <f>IF(SER_hh_tesh!K5=0,0,SER_hh_tesh!K5/SER_summary!K$26)</f>
        <v>0</v>
      </c>
      <c r="L5" s="133">
        <f>IF(SER_hh_tesh!L5=0,0,SER_hh_tesh!L5/SER_summary!L$26)</f>
        <v>0</v>
      </c>
      <c r="M5" s="133">
        <f>IF(SER_hh_tesh!M5=0,0,SER_hh_tesh!M5/SER_summary!M$26)</f>
        <v>0</v>
      </c>
      <c r="N5" s="133">
        <f>IF(SER_hh_tesh!N5=0,0,SER_hh_tesh!N5/SER_summary!N$26)</f>
        <v>0</v>
      </c>
      <c r="O5" s="133">
        <f>IF(SER_hh_tesh!O5=0,0,SER_hh_tesh!O5/SER_summary!O$26)</f>
        <v>0</v>
      </c>
      <c r="P5" s="133">
        <f>IF(SER_hh_tesh!P5=0,0,SER_hh_tesh!P5/SER_summary!P$26)</f>
        <v>0</v>
      </c>
      <c r="Q5" s="133">
        <f>IF(SER_hh_tesh!Q5=0,0,SER_hh_tesh!Q5/SER_summary!Q$26)</f>
        <v>0</v>
      </c>
      <c r="R5" s="133">
        <f>IF(SER_hh_tesh!R5=0,0,SER_hh_tesh!R5/SER_summary!R$26)</f>
        <v>0</v>
      </c>
      <c r="S5" s="133">
        <f>IF(SER_hh_tesh!S5=0,0,SER_hh_tesh!S5/SER_summary!S$26)</f>
        <v>0</v>
      </c>
      <c r="T5" s="133">
        <f>IF(SER_hh_tesh!T5=0,0,SER_hh_tesh!T5/SER_summary!T$26)</f>
        <v>0</v>
      </c>
      <c r="U5" s="133">
        <f>IF(SER_hh_tesh!U5=0,0,SER_hh_tesh!U5/SER_summary!U$26)</f>
        <v>0</v>
      </c>
      <c r="V5" s="133">
        <f>IF(SER_hh_tesh!V5=0,0,SER_hh_tesh!V5/SER_summary!V$26)</f>
        <v>0</v>
      </c>
      <c r="W5" s="133">
        <f>IF(SER_hh_tesh!W5=0,0,SER_hh_tesh!W5/SER_summary!W$26)</f>
        <v>0</v>
      </c>
      <c r="DA5" s="157" t="s">
        <v>509</v>
      </c>
    </row>
    <row r="6" spans="1:105" ht="12" customHeight="1" x14ac:dyDescent="0.25">
      <c r="A6" s="132" t="s">
        <v>52</v>
      </c>
      <c r="B6" s="133">
        <f>IF(SER_hh_tesh!B6=0,0,SER_hh_tesh!B6/SER_summary!B$26)</f>
        <v>0</v>
      </c>
      <c r="C6" s="133">
        <f>IF(SER_hh_tesh!C6=0,0,SER_hh_tesh!C6/SER_summary!C$26)</f>
        <v>0</v>
      </c>
      <c r="D6" s="133">
        <f>IF(SER_hh_tesh!D6=0,0,SER_hh_tesh!D6/SER_summary!D$26)</f>
        <v>0</v>
      </c>
      <c r="E6" s="133">
        <f>IF(SER_hh_tesh!E6=0,0,SER_hh_tesh!E6/SER_summary!E$26)</f>
        <v>0</v>
      </c>
      <c r="F6" s="133">
        <f>IF(SER_hh_tesh!F6=0,0,SER_hh_tesh!F6/SER_summary!F$26)</f>
        <v>0</v>
      </c>
      <c r="G6" s="133">
        <f>IF(SER_hh_tesh!G6=0,0,SER_hh_tesh!G6/SER_summary!G$26)</f>
        <v>0</v>
      </c>
      <c r="H6" s="133">
        <f>IF(SER_hh_tesh!H6=0,0,SER_hh_tesh!H6/SER_summary!H$26)</f>
        <v>0</v>
      </c>
      <c r="I6" s="133">
        <f>IF(SER_hh_tesh!I6=0,0,SER_hh_tesh!I6/SER_summary!I$26)</f>
        <v>0</v>
      </c>
      <c r="J6" s="133">
        <f>IF(SER_hh_tesh!J6=0,0,SER_hh_tesh!J6/SER_summary!J$26)</f>
        <v>0</v>
      </c>
      <c r="K6" s="133">
        <f>IF(SER_hh_tesh!K6=0,0,SER_hh_tesh!K6/SER_summary!K$26)</f>
        <v>0</v>
      </c>
      <c r="L6" s="133">
        <f>IF(SER_hh_tesh!L6=0,0,SER_hh_tesh!L6/SER_summary!L$26)</f>
        <v>0</v>
      </c>
      <c r="M6" s="133">
        <f>IF(SER_hh_tesh!M6=0,0,SER_hh_tesh!M6/SER_summary!M$26)</f>
        <v>0</v>
      </c>
      <c r="N6" s="133">
        <f>IF(SER_hh_tesh!N6=0,0,SER_hh_tesh!N6/SER_summary!N$26)</f>
        <v>0</v>
      </c>
      <c r="O6" s="133">
        <f>IF(SER_hh_tesh!O6=0,0,SER_hh_tesh!O6/SER_summary!O$26)</f>
        <v>0</v>
      </c>
      <c r="P6" s="133">
        <f>IF(SER_hh_tesh!P6=0,0,SER_hh_tesh!P6/SER_summary!P$26)</f>
        <v>0</v>
      </c>
      <c r="Q6" s="133">
        <f>IF(SER_hh_tesh!Q6=0,0,SER_hh_tesh!Q6/SER_summary!Q$26)</f>
        <v>0</v>
      </c>
      <c r="R6" s="133">
        <f>IF(SER_hh_tesh!R6=0,0,SER_hh_tesh!R6/SER_summary!R$26)</f>
        <v>0</v>
      </c>
      <c r="S6" s="133">
        <f>IF(SER_hh_tesh!S6=0,0,SER_hh_tesh!S6/SER_summary!S$26)</f>
        <v>0</v>
      </c>
      <c r="T6" s="133">
        <f>IF(SER_hh_tesh!T6=0,0,SER_hh_tesh!T6/SER_summary!T$26)</f>
        <v>0</v>
      </c>
      <c r="U6" s="133">
        <f>IF(SER_hh_tesh!U6=0,0,SER_hh_tesh!U6/SER_summary!U$26)</f>
        <v>0</v>
      </c>
      <c r="V6" s="133">
        <f>IF(SER_hh_tesh!V6=0,0,SER_hh_tesh!V6/SER_summary!V$26)</f>
        <v>0</v>
      </c>
      <c r="W6" s="133">
        <f>IF(SER_hh_tesh!W6=0,0,SER_hh_tesh!W6/SER_summary!W$26)</f>
        <v>0</v>
      </c>
      <c r="DA6" s="157" t="s">
        <v>510</v>
      </c>
    </row>
    <row r="7" spans="1:105" ht="12" customHeight="1" x14ac:dyDescent="0.25">
      <c r="A7" s="132" t="s">
        <v>168</v>
      </c>
      <c r="B7" s="133">
        <f>IF(SER_hh_tesh!B7=0,0,SER_hh_tesh!B7/SER_summary!B$26)</f>
        <v>85.485382016947227</v>
      </c>
      <c r="C7" s="133">
        <f>IF(SER_hh_tesh!C7=0,0,SER_hh_tesh!C7/SER_summary!C$26)</f>
        <v>83.730652136037179</v>
      </c>
      <c r="D7" s="133">
        <f>IF(SER_hh_tesh!D7=0,0,SER_hh_tesh!D7/SER_summary!D$26)</f>
        <v>80.835893546869002</v>
      </c>
      <c r="E7" s="133">
        <f>IF(SER_hh_tesh!E7=0,0,SER_hh_tesh!E7/SER_summary!E$26)</f>
        <v>83.176977255662266</v>
      </c>
      <c r="F7" s="133">
        <f>IF(SER_hh_tesh!F7=0,0,SER_hh_tesh!F7/SER_summary!F$26)</f>
        <v>88.574756980233232</v>
      </c>
      <c r="G7" s="133">
        <f>IF(SER_hh_tesh!G7=0,0,SER_hh_tesh!G7/SER_summary!G$26)</f>
        <v>83.285955284326093</v>
      </c>
      <c r="H7" s="133">
        <f>IF(SER_hh_tesh!H7=0,0,SER_hh_tesh!H7/SER_summary!H$26)</f>
        <v>76.471415308713432</v>
      </c>
      <c r="I7" s="133">
        <f>IF(SER_hh_tesh!I7=0,0,SER_hh_tesh!I7/SER_summary!I$26)</f>
        <v>72.986710277404853</v>
      </c>
      <c r="J7" s="133">
        <f>IF(SER_hh_tesh!J7=0,0,SER_hh_tesh!J7/SER_summary!J$26)</f>
        <v>78.261341472398527</v>
      </c>
      <c r="K7" s="133">
        <f>IF(SER_hh_tesh!K7=0,0,SER_hh_tesh!K7/SER_summary!K$26)</f>
        <v>76.367914797929501</v>
      </c>
      <c r="L7" s="133">
        <f>IF(SER_hh_tesh!L7=0,0,SER_hh_tesh!L7/SER_summary!L$26)</f>
        <v>77.806752253629099</v>
      </c>
      <c r="M7" s="133">
        <f>IF(SER_hh_tesh!M7=0,0,SER_hh_tesh!M7/SER_summary!M$26)</f>
        <v>62.657205214949343</v>
      </c>
      <c r="N7" s="133">
        <f>IF(SER_hh_tesh!N7=0,0,SER_hh_tesh!N7/SER_summary!N$26)</f>
        <v>75.618131380589574</v>
      </c>
      <c r="O7" s="133">
        <f>IF(SER_hh_tesh!O7=0,0,SER_hh_tesh!O7/SER_summary!O$26)</f>
        <v>69.911809474335769</v>
      </c>
      <c r="P7" s="133">
        <f>IF(SER_hh_tesh!P7=0,0,SER_hh_tesh!P7/SER_summary!P$26)</f>
        <v>62.228922466499121</v>
      </c>
      <c r="Q7" s="133">
        <f>IF(SER_hh_tesh!Q7=0,0,SER_hh_tesh!Q7/SER_summary!Q$26)</f>
        <v>66.196043098499828</v>
      </c>
      <c r="R7" s="133">
        <f>IF(SER_hh_tesh!R7=0,0,SER_hh_tesh!R7/SER_summary!R$26)</f>
        <v>68.410522196485317</v>
      </c>
      <c r="S7" s="133">
        <f>IF(SER_hh_tesh!S7=0,0,SER_hh_tesh!S7/SER_summary!S$26)</f>
        <v>67.245705629003467</v>
      </c>
      <c r="T7" s="133">
        <f>IF(SER_hh_tesh!T7=0,0,SER_hh_tesh!T7/SER_summary!T$26)</f>
        <v>79.804161919226871</v>
      </c>
      <c r="U7" s="133">
        <f>IF(SER_hh_tesh!U7=0,0,SER_hh_tesh!U7/SER_summary!U$26)</f>
        <v>49.333002746493811</v>
      </c>
      <c r="V7" s="133">
        <f>IF(SER_hh_tesh!V7=0,0,SER_hh_tesh!V7/SER_summary!V$26)</f>
        <v>71.772821879135435</v>
      </c>
      <c r="W7" s="133">
        <f>IF(SER_hh_tesh!W7=0,0,SER_hh_tesh!W7/SER_summary!W$26)</f>
        <v>62.170441093854727</v>
      </c>
      <c r="DA7" s="157" t="s">
        <v>511</v>
      </c>
    </row>
    <row r="8" spans="1:105" ht="12" customHeight="1" x14ac:dyDescent="0.25">
      <c r="A8" s="132" t="s">
        <v>73</v>
      </c>
      <c r="B8" s="133">
        <f>IF(SER_hh_tesh!B8=0,0,SER_hh_tesh!B8/SER_summary!B$26)</f>
        <v>86.745258502825436</v>
      </c>
      <c r="C8" s="133">
        <f>IF(SER_hh_tesh!C8=0,0,SER_hh_tesh!C8/SER_summary!C$26)</f>
        <v>82.759855569827238</v>
      </c>
      <c r="D8" s="133">
        <f>IF(SER_hh_tesh!D8=0,0,SER_hh_tesh!D8/SER_summary!D$26)</f>
        <v>79.704042112292797</v>
      </c>
      <c r="E8" s="133">
        <f>IF(SER_hh_tesh!E8=0,0,SER_hh_tesh!E8/SER_summary!E$26)</f>
        <v>89.316762499052743</v>
      </c>
      <c r="F8" s="133">
        <f>IF(SER_hh_tesh!F8=0,0,SER_hh_tesh!F8/SER_summary!F$26)</f>
        <v>88.039594576308332</v>
      </c>
      <c r="G8" s="133">
        <f>IF(SER_hh_tesh!G8=0,0,SER_hh_tesh!G8/SER_summary!G$26)</f>
        <v>73.645707224596009</v>
      </c>
      <c r="H8" s="133">
        <f>IF(SER_hh_tesh!H8=0,0,SER_hh_tesh!H8/SER_summary!H$26)</f>
        <v>44.556805044571171</v>
      </c>
      <c r="I8" s="133">
        <f>IF(SER_hh_tesh!I8=0,0,SER_hh_tesh!I8/SER_summary!I$26)</f>
        <v>94.754078032290138</v>
      </c>
      <c r="J8" s="133">
        <f>IF(SER_hh_tesh!J8=0,0,SER_hh_tesh!J8/SER_summary!J$26)</f>
        <v>80.649120326483356</v>
      </c>
      <c r="K8" s="133">
        <f>IF(SER_hh_tesh!K8=0,0,SER_hh_tesh!K8/SER_summary!K$26)</f>
        <v>76.838295472760706</v>
      </c>
      <c r="L8" s="133">
        <f>IF(SER_hh_tesh!L8=0,0,SER_hh_tesh!L8/SER_summary!L$26)</f>
        <v>74.422935651673683</v>
      </c>
      <c r="M8" s="133">
        <f>IF(SER_hh_tesh!M8=0,0,SER_hh_tesh!M8/SER_summary!M$26)</f>
        <v>70.921332662734073</v>
      </c>
      <c r="N8" s="133">
        <f>IF(SER_hh_tesh!N8=0,0,SER_hh_tesh!N8/SER_summary!N$26)</f>
        <v>67.547230347998706</v>
      </c>
      <c r="O8" s="133">
        <f>IF(SER_hh_tesh!O8=0,0,SER_hh_tesh!O8/SER_summary!O$26)</f>
        <v>61.108844202162174</v>
      </c>
      <c r="P8" s="133">
        <f>IF(SER_hh_tesh!P8=0,0,SER_hh_tesh!P8/SER_summary!P$26)</f>
        <v>65.091534381495848</v>
      </c>
      <c r="Q8" s="133">
        <f>IF(SER_hh_tesh!Q8=0,0,SER_hh_tesh!Q8/SER_summary!Q$26)</f>
        <v>69.663265374314776</v>
      </c>
      <c r="R8" s="133">
        <f>IF(SER_hh_tesh!R8=0,0,SER_hh_tesh!R8/SER_summary!R$26)</f>
        <v>69.315139440096701</v>
      </c>
      <c r="S8" s="133">
        <f>IF(SER_hh_tesh!S8=0,0,SER_hh_tesh!S8/SER_summary!S$26)</f>
        <v>65.669926530943812</v>
      </c>
      <c r="T8" s="133">
        <f>IF(SER_hh_tesh!T8=0,0,SER_hh_tesh!T8/SER_summary!T$26)</f>
        <v>64.832847627047016</v>
      </c>
      <c r="U8" s="133">
        <f>IF(SER_hh_tesh!U8=0,0,SER_hh_tesh!U8/SER_summary!U$26)</f>
        <v>62.348070262295266</v>
      </c>
      <c r="V8" s="133">
        <f>IF(SER_hh_tesh!V8=0,0,SER_hh_tesh!V8/SER_summary!V$26)</f>
        <v>65.854783942489505</v>
      </c>
      <c r="W8" s="133">
        <f>IF(SER_hh_tesh!W8=0,0,SER_hh_tesh!W8/SER_summary!W$26)</f>
        <v>76.00662985862796</v>
      </c>
      <c r="DA8" s="157" t="s">
        <v>512</v>
      </c>
    </row>
    <row r="9" spans="1:105" ht="12" customHeight="1" x14ac:dyDescent="0.25">
      <c r="A9" s="132" t="s">
        <v>78</v>
      </c>
      <c r="B9" s="133">
        <f>IF(SER_hh_tesh!B9=0,0,SER_hh_tesh!B9/SER_summary!B$26)</f>
        <v>82.264021286293129</v>
      </c>
      <c r="C9" s="133">
        <f>IF(SER_hh_tesh!C9=0,0,SER_hh_tesh!C9/SER_summary!C$26)</f>
        <v>83.15690524458094</v>
      </c>
      <c r="D9" s="133">
        <f>IF(SER_hh_tesh!D9=0,0,SER_hh_tesh!D9/SER_summary!D$26)</f>
        <v>79.856240696607401</v>
      </c>
      <c r="E9" s="133">
        <f>IF(SER_hh_tesh!E9=0,0,SER_hh_tesh!E9/SER_summary!E$26)</f>
        <v>87.926446102609916</v>
      </c>
      <c r="F9" s="133">
        <f>IF(SER_hh_tesh!F9=0,0,SER_hh_tesh!F9/SER_summary!F$26)</f>
        <v>81.918087038587686</v>
      </c>
      <c r="G9" s="133">
        <f>IF(SER_hh_tesh!G9=0,0,SER_hh_tesh!G9/SER_summary!G$26)</f>
        <v>80.20181450106702</v>
      </c>
      <c r="H9" s="133">
        <f>IF(SER_hh_tesh!H9=0,0,SER_hh_tesh!H9/SER_summary!H$26)</f>
        <v>85.431517127016036</v>
      </c>
      <c r="I9" s="133">
        <f>IF(SER_hh_tesh!I9=0,0,SER_hh_tesh!I9/SER_summary!I$26)</f>
        <v>76.650719445874586</v>
      </c>
      <c r="J9" s="133">
        <f>IF(SER_hh_tesh!J9=0,0,SER_hh_tesh!J9/SER_summary!J$26)</f>
        <v>76.039060357590415</v>
      </c>
      <c r="K9" s="133">
        <f>IF(SER_hh_tesh!K9=0,0,SER_hh_tesh!K9/SER_summary!K$26)</f>
        <v>77.889417478285381</v>
      </c>
      <c r="L9" s="133">
        <f>IF(SER_hh_tesh!L9=0,0,SER_hh_tesh!L9/SER_summary!L$26)</f>
        <v>80.791095218287893</v>
      </c>
      <c r="M9" s="133">
        <f>IF(SER_hh_tesh!M9=0,0,SER_hh_tesh!M9/SER_summary!M$26)</f>
        <v>62.588318777745158</v>
      </c>
      <c r="N9" s="133">
        <f>IF(SER_hh_tesh!N9=0,0,SER_hh_tesh!N9/SER_summary!N$26)</f>
        <v>72.237649270067664</v>
      </c>
      <c r="O9" s="133">
        <f>IF(SER_hh_tesh!O9=0,0,SER_hh_tesh!O9/SER_summary!O$26)</f>
        <v>76.354067810317943</v>
      </c>
      <c r="P9" s="133">
        <f>IF(SER_hh_tesh!P9=0,0,SER_hh_tesh!P9/SER_summary!P$26)</f>
        <v>52.246649237851777</v>
      </c>
      <c r="Q9" s="133">
        <f>IF(SER_hh_tesh!Q9=0,0,SER_hh_tesh!Q9/SER_summary!Q$26)</f>
        <v>67.20970168287009</v>
      </c>
      <c r="R9" s="133">
        <f>IF(SER_hh_tesh!R9=0,0,SER_hh_tesh!R9/SER_summary!R$26)</f>
        <v>69.538338409328034</v>
      </c>
      <c r="S9" s="133">
        <f>IF(SER_hh_tesh!S9=0,0,SER_hh_tesh!S9/SER_summary!S$26)</f>
        <v>75.191202348648218</v>
      </c>
      <c r="T9" s="133">
        <f>IF(SER_hh_tesh!T9=0,0,SER_hh_tesh!T9/SER_summary!T$26)</f>
        <v>56.127644499763605</v>
      </c>
      <c r="U9" s="133">
        <f>IF(SER_hh_tesh!U9=0,0,SER_hh_tesh!U9/SER_summary!U$26)</f>
        <v>54.308858418978588</v>
      </c>
      <c r="V9" s="133">
        <f>IF(SER_hh_tesh!V9=0,0,SER_hh_tesh!V9/SER_summary!V$26)</f>
        <v>54.966938154896162</v>
      </c>
      <c r="W9" s="133">
        <f>IF(SER_hh_tesh!W9=0,0,SER_hh_tesh!W9/SER_summary!W$26)</f>
        <v>85.165168459819768</v>
      </c>
      <c r="DA9" s="157" t="s">
        <v>513</v>
      </c>
    </row>
    <row r="10" spans="1:105" ht="12" customHeight="1" x14ac:dyDescent="0.25">
      <c r="A10" s="132" t="s">
        <v>128</v>
      </c>
      <c r="B10" s="133">
        <f>IF(SER_hh_tesh!B10=0,0,SER_hh_tesh!B10/SER_summary!B$26)</f>
        <v>88.721798633677565</v>
      </c>
      <c r="C10" s="133">
        <f>IF(SER_hh_tesh!C10=0,0,SER_hh_tesh!C10/SER_summary!C$26)</f>
        <v>74.326009882551944</v>
      </c>
      <c r="D10" s="133">
        <f>IF(SER_hh_tesh!D10=0,0,SER_hh_tesh!D10/SER_summary!D$26)</f>
        <v>91.304458660817673</v>
      </c>
      <c r="E10" s="133">
        <f>IF(SER_hh_tesh!E10=0,0,SER_hh_tesh!E10/SER_summary!E$26)</f>
        <v>91.215464650636292</v>
      </c>
      <c r="F10" s="133">
        <f>IF(SER_hh_tesh!F10=0,0,SER_hh_tesh!F10/SER_summary!F$26)</f>
        <v>76.889466327396889</v>
      </c>
      <c r="G10" s="133">
        <f>IF(SER_hh_tesh!G10=0,0,SER_hh_tesh!G10/SER_summary!G$26)</f>
        <v>81.480827346747773</v>
      </c>
      <c r="H10" s="133">
        <f>IF(SER_hh_tesh!H10=0,0,SER_hh_tesh!H10/SER_summary!H$26)</f>
        <v>89.336549323367919</v>
      </c>
      <c r="I10" s="133">
        <f>IF(SER_hh_tesh!I10=0,0,SER_hh_tesh!I10/SER_summary!I$26)</f>
        <v>79.084103681108061</v>
      </c>
      <c r="J10" s="133">
        <f>IF(SER_hh_tesh!J10=0,0,SER_hh_tesh!J10/SER_summary!J$26)</f>
        <v>77.066440190797422</v>
      </c>
      <c r="K10" s="133">
        <f>IF(SER_hh_tesh!K10=0,0,SER_hh_tesh!K10/SER_summary!K$26)</f>
        <v>69.691908845344031</v>
      </c>
      <c r="L10" s="133">
        <f>IF(SER_hh_tesh!L10=0,0,SER_hh_tesh!L10/SER_summary!L$26)</f>
        <v>71.354430330647162</v>
      </c>
      <c r="M10" s="133">
        <f>IF(SER_hh_tesh!M10=0,0,SER_hh_tesh!M10/SER_summary!M$26)</f>
        <v>75.871394668861981</v>
      </c>
      <c r="N10" s="133">
        <f>IF(SER_hh_tesh!N10=0,0,SER_hh_tesh!N10/SER_summary!N$26)</f>
        <v>66.540660695413564</v>
      </c>
      <c r="O10" s="133">
        <f>IF(SER_hh_tesh!O10=0,0,SER_hh_tesh!O10/SER_summary!O$26)</f>
        <v>64.8587161046934</v>
      </c>
      <c r="P10" s="133">
        <f>IF(SER_hh_tesh!P10=0,0,SER_hh_tesh!P10/SER_summary!P$26)</f>
        <v>72.396418504618637</v>
      </c>
      <c r="Q10" s="133">
        <f>IF(SER_hh_tesh!Q10=0,0,SER_hh_tesh!Q10/SER_summary!Q$26)</f>
        <v>58.884306490571682</v>
      </c>
      <c r="R10" s="133">
        <f>IF(SER_hh_tesh!R10=0,0,SER_hh_tesh!R10/SER_summary!R$26)</f>
        <v>66.068990382575109</v>
      </c>
      <c r="S10" s="133">
        <f>IF(SER_hh_tesh!S10=0,0,SER_hh_tesh!S10/SER_summary!S$26)</f>
        <v>69.683198444801633</v>
      </c>
      <c r="T10" s="133">
        <f>IF(SER_hh_tesh!T10=0,0,SER_hh_tesh!T10/SER_summary!T$26)</f>
        <v>76.249265228187497</v>
      </c>
      <c r="U10" s="133">
        <f>IF(SER_hh_tesh!U10=0,0,SER_hh_tesh!U10/SER_summary!U$26)</f>
        <v>68.172736731796903</v>
      </c>
      <c r="V10" s="133">
        <f>IF(SER_hh_tesh!V10=0,0,SER_hh_tesh!V10/SER_summary!V$26)</f>
        <v>62.818599590674573</v>
      </c>
      <c r="W10" s="133">
        <f>IF(SER_hh_tesh!W10=0,0,SER_hh_tesh!W10/SER_summary!W$26)</f>
        <v>71.740217642506337</v>
      </c>
      <c r="DA10" s="157" t="s">
        <v>514</v>
      </c>
    </row>
    <row r="11" spans="1:105" ht="12" customHeight="1" x14ac:dyDescent="0.25">
      <c r="A11" s="132" t="s">
        <v>25</v>
      </c>
      <c r="B11" s="133">
        <f>IF(SER_hh_tesh!B11=0,0,SER_hh_tesh!B11/SER_summary!B$26)</f>
        <v>0</v>
      </c>
      <c r="C11" s="133">
        <f>IF(SER_hh_tesh!C11=0,0,SER_hh_tesh!C11/SER_summary!C$26)</f>
        <v>0</v>
      </c>
      <c r="D11" s="133">
        <f>IF(SER_hh_tesh!D11=0,0,SER_hh_tesh!D11/SER_summary!D$26)</f>
        <v>0</v>
      </c>
      <c r="E11" s="133">
        <f>IF(SER_hh_tesh!E11=0,0,SER_hh_tesh!E11/SER_summary!E$26)</f>
        <v>0</v>
      </c>
      <c r="F11" s="133">
        <f>IF(SER_hh_tesh!F11=0,0,SER_hh_tesh!F11/SER_summary!F$26)</f>
        <v>0</v>
      </c>
      <c r="G11" s="133">
        <f>IF(SER_hh_tesh!G11=0,0,SER_hh_tesh!G11/SER_summary!G$26)</f>
        <v>0</v>
      </c>
      <c r="H11" s="133">
        <f>IF(SER_hh_tesh!H11=0,0,SER_hh_tesh!H11/SER_summary!H$26)</f>
        <v>0</v>
      </c>
      <c r="I11" s="133">
        <f>IF(SER_hh_tesh!I11=0,0,SER_hh_tesh!I11/SER_summary!I$26)</f>
        <v>0</v>
      </c>
      <c r="J11" s="133">
        <f>IF(SER_hh_tesh!J11=0,0,SER_hh_tesh!J11/SER_summary!J$26)</f>
        <v>0</v>
      </c>
      <c r="K11" s="133">
        <f>IF(SER_hh_tesh!K11=0,0,SER_hh_tesh!K11/SER_summary!K$26)</f>
        <v>0</v>
      </c>
      <c r="L11" s="133">
        <f>IF(SER_hh_tesh!L11=0,0,SER_hh_tesh!L11/SER_summary!L$26)</f>
        <v>0</v>
      </c>
      <c r="M11" s="133">
        <f>IF(SER_hh_tesh!M11=0,0,SER_hh_tesh!M11/SER_summary!M$26)</f>
        <v>0</v>
      </c>
      <c r="N11" s="133">
        <f>IF(SER_hh_tesh!N11=0,0,SER_hh_tesh!N11/SER_summary!N$26)</f>
        <v>0</v>
      </c>
      <c r="O11" s="133">
        <f>IF(SER_hh_tesh!O11=0,0,SER_hh_tesh!O11/SER_summary!O$26)</f>
        <v>0</v>
      </c>
      <c r="P11" s="133">
        <f>IF(SER_hh_tesh!P11=0,0,SER_hh_tesh!P11/SER_summary!P$26)</f>
        <v>0</v>
      </c>
      <c r="Q11" s="133">
        <f>IF(SER_hh_tesh!Q11=0,0,SER_hh_tesh!Q11/SER_summary!Q$26)</f>
        <v>0</v>
      </c>
      <c r="R11" s="133">
        <f>IF(SER_hh_tesh!R11=0,0,SER_hh_tesh!R11/SER_summary!R$26)</f>
        <v>0</v>
      </c>
      <c r="S11" s="133">
        <f>IF(SER_hh_tesh!S11=0,0,SER_hh_tesh!S11/SER_summary!S$26)</f>
        <v>0</v>
      </c>
      <c r="T11" s="133">
        <f>IF(SER_hh_tesh!T11=0,0,SER_hh_tesh!T11/SER_summary!T$26)</f>
        <v>0</v>
      </c>
      <c r="U11" s="133">
        <f>IF(SER_hh_tesh!U11=0,0,SER_hh_tesh!U11/SER_summary!U$26)</f>
        <v>0</v>
      </c>
      <c r="V11" s="133">
        <f>IF(SER_hh_tesh!V11=0,0,SER_hh_tesh!V11/SER_summary!V$26)</f>
        <v>0</v>
      </c>
      <c r="W11" s="133">
        <f>IF(SER_hh_tesh!W11=0,0,SER_hh_tesh!W11/SER_summary!W$26)</f>
        <v>0</v>
      </c>
      <c r="DA11" s="157" t="s">
        <v>515</v>
      </c>
    </row>
    <row r="12" spans="1:105" ht="12" customHeight="1" x14ac:dyDescent="0.25">
      <c r="A12" s="132" t="s">
        <v>169</v>
      </c>
      <c r="B12" s="133">
        <f>IF(SER_hh_tesh!B12=0,0,SER_hh_tesh!B12/SER_summary!B$26)</f>
        <v>82.971488154553043</v>
      </c>
      <c r="C12" s="133">
        <f>IF(SER_hh_tesh!C12=0,0,SER_hh_tesh!C12/SER_summary!C$26)</f>
        <v>87.27722086159423</v>
      </c>
      <c r="D12" s="133">
        <f>IF(SER_hh_tesh!D12=0,0,SER_hh_tesh!D12/SER_summary!D$26)</f>
        <v>84.846309014570693</v>
      </c>
      <c r="E12" s="133">
        <f>IF(SER_hh_tesh!E12=0,0,SER_hh_tesh!E12/SER_summary!E$26)</f>
        <v>85.975531004913194</v>
      </c>
      <c r="F12" s="133">
        <f>IF(SER_hh_tesh!F12=0,0,SER_hh_tesh!F12/SER_summary!F$26)</f>
        <v>84.484252205041187</v>
      </c>
      <c r="G12" s="133">
        <f>IF(SER_hh_tesh!G12=0,0,SER_hh_tesh!G12/SER_summary!G$26)</f>
        <v>82.329245592928928</v>
      </c>
      <c r="H12" s="133">
        <f>IF(SER_hh_tesh!H12=0,0,SER_hh_tesh!H12/SER_summary!H$26)</f>
        <v>81.294176280970163</v>
      </c>
      <c r="I12" s="133">
        <f>IF(SER_hh_tesh!I12=0,0,SER_hh_tesh!I12/SER_summary!I$26)</f>
        <v>76.843484069550769</v>
      </c>
      <c r="J12" s="133">
        <f>IF(SER_hh_tesh!J12=0,0,SER_hh_tesh!J12/SER_summary!J$26)</f>
        <v>76.570315633088114</v>
      </c>
      <c r="K12" s="133">
        <f>IF(SER_hh_tesh!K12=0,0,SER_hh_tesh!K12/SER_summary!K$26)</f>
        <v>74.398169641849037</v>
      </c>
      <c r="L12" s="133">
        <f>IF(SER_hh_tesh!L12=0,0,SER_hh_tesh!L12/SER_summary!L$26)</f>
        <v>83.238117981538466</v>
      </c>
      <c r="M12" s="133">
        <f>IF(SER_hh_tesh!M12=0,0,SER_hh_tesh!M12/SER_summary!M$26)</f>
        <v>70.478990095451053</v>
      </c>
      <c r="N12" s="133">
        <f>IF(SER_hh_tesh!N12=0,0,SER_hh_tesh!N12/SER_summary!N$26)</f>
        <v>71.471890976605977</v>
      </c>
      <c r="O12" s="133">
        <f>IF(SER_hh_tesh!O12=0,0,SER_hh_tesh!O12/SER_summary!O$26)</f>
        <v>70.262040758762865</v>
      </c>
      <c r="P12" s="133">
        <f>IF(SER_hh_tesh!P12=0,0,SER_hh_tesh!P12/SER_summary!P$26)</f>
        <v>62.305345619935615</v>
      </c>
      <c r="Q12" s="133">
        <f>IF(SER_hh_tesh!Q12=0,0,SER_hh_tesh!Q12/SER_summary!Q$26)</f>
        <v>66.758869443984523</v>
      </c>
      <c r="R12" s="133">
        <f>IF(SER_hh_tesh!R12=0,0,SER_hh_tesh!R12/SER_summary!R$26)</f>
        <v>68.672916640756952</v>
      </c>
      <c r="S12" s="133">
        <f>IF(SER_hh_tesh!S12=0,0,SER_hh_tesh!S12/SER_summary!S$26)</f>
        <v>68.949860845198131</v>
      </c>
      <c r="T12" s="133">
        <f>IF(SER_hh_tesh!T12=0,0,SER_hh_tesh!T12/SER_summary!T$26)</f>
        <v>67.881776933824128</v>
      </c>
      <c r="U12" s="133">
        <f>IF(SER_hh_tesh!U12=0,0,SER_hh_tesh!U12/SER_summary!U$26)</f>
        <v>66.46457717637351</v>
      </c>
      <c r="V12" s="133">
        <f>IF(SER_hh_tesh!V12=0,0,SER_hh_tesh!V12/SER_summary!V$26)</f>
        <v>64.787768044256723</v>
      </c>
      <c r="W12" s="133">
        <f>IF(SER_hh_tesh!W12=0,0,SER_hh_tesh!W12/SER_summary!W$26)</f>
        <v>72.551074233667052</v>
      </c>
      <c r="DA12" s="157" t="s">
        <v>516</v>
      </c>
    </row>
    <row r="13" spans="1:105" ht="12" customHeight="1" x14ac:dyDescent="0.25">
      <c r="A13" s="132" t="s">
        <v>77</v>
      </c>
      <c r="B13" s="133">
        <f>IF(SER_hh_tesh!B13=0,0,SER_hh_tesh!B13/SER_summary!B$26)</f>
        <v>85.278047514577722</v>
      </c>
      <c r="C13" s="133">
        <f>IF(SER_hh_tesh!C13=0,0,SER_hh_tesh!C13/SER_summary!C$26)</f>
        <v>85.32500551934595</v>
      </c>
      <c r="D13" s="133">
        <f>IF(SER_hh_tesh!D13=0,0,SER_hh_tesh!D13/SER_summary!D$26)</f>
        <v>85.302993781312566</v>
      </c>
      <c r="E13" s="133">
        <f>IF(SER_hh_tesh!E13=0,0,SER_hh_tesh!E13/SER_summary!E$26)</f>
        <v>84.820254101312997</v>
      </c>
      <c r="F13" s="133">
        <f>IF(SER_hh_tesh!F13=0,0,SER_hh_tesh!F13/SER_summary!F$26)</f>
        <v>85.488308930516027</v>
      </c>
      <c r="G13" s="133">
        <f>IF(SER_hh_tesh!G13=0,0,SER_hh_tesh!G13/SER_summary!G$26)</f>
        <v>63.699407054071926</v>
      </c>
      <c r="H13" s="133">
        <f>IF(SER_hh_tesh!H13=0,0,SER_hh_tesh!H13/SER_summary!H$26)</f>
        <v>42.437591558399141</v>
      </c>
      <c r="I13" s="133">
        <f>IF(SER_hh_tesh!I13=0,0,SER_hh_tesh!I13/SER_summary!I$26)</f>
        <v>97.988604250344991</v>
      </c>
      <c r="J13" s="133">
        <f>IF(SER_hh_tesh!J13=0,0,SER_hh_tesh!J13/SER_summary!J$26)</f>
        <v>83.151098682821356</v>
      </c>
      <c r="K13" s="133">
        <f>IF(SER_hh_tesh!K13=0,0,SER_hh_tesh!K13/SER_summary!K$26)</f>
        <v>76.447646929067162</v>
      </c>
      <c r="L13" s="133">
        <f>IF(SER_hh_tesh!L13=0,0,SER_hh_tesh!L13/SER_summary!L$26)</f>
        <v>76.704566104006616</v>
      </c>
      <c r="M13" s="133">
        <f>IF(SER_hh_tesh!M13=0,0,SER_hh_tesh!M13/SER_summary!M$26)</f>
        <v>73.205005365226256</v>
      </c>
      <c r="N13" s="133">
        <f>IF(SER_hh_tesh!N13=0,0,SER_hh_tesh!N13/SER_summary!N$26)</f>
        <v>71.089997785912999</v>
      </c>
      <c r="O13" s="133">
        <f>IF(SER_hh_tesh!O13=0,0,SER_hh_tesh!O13/SER_summary!O$26)</f>
        <v>67.986041109184853</v>
      </c>
      <c r="P13" s="133">
        <f>IF(SER_hh_tesh!P13=0,0,SER_hh_tesh!P13/SER_summary!P$26)</f>
        <v>63.57780226746808</v>
      </c>
      <c r="Q13" s="133">
        <f>IF(SER_hh_tesh!Q13=0,0,SER_hh_tesh!Q13/SER_summary!Q$26)</f>
        <v>66.133522541722996</v>
      </c>
      <c r="R13" s="133">
        <f>IF(SER_hh_tesh!R13=0,0,SER_hh_tesh!R13/SER_summary!R$26)</f>
        <v>69.168950938243356</v>
      </c>
      <c r="S13" s="133">
        <f>IF(SER_hh_tesh!S13=0,0,SER_hh_tesh!S13/SER_summary!S$26)</f>
        <v>65.528695169610771</v>
      </c>
      <c r="T13" s="133">
        <f>IF(SER_hh_tesh!T13=0,0,SER_hh_tesh!T13/SER_summary!T$26)</f>
        <v>65.329587447444908</v>
      </c>
      <c r="U13" s="133">
        <f>IF(SER_hh_tesh!U13=0,0,SER_hh_tesh!U13/SER_summary!U$26)</f>
        <v>65.24907709746897</v>
      </c>
      <c r="V13" s="133">
        <f>IF(SER_hh_tesh!V13=0,0,SER_hh_tesh!V13/SER_summary!V$26)</f>
        <v>65.730790284672295</v>
      </c>
      <c r="W13" s="133">
        <f>IF(SER_hh_tesh!W13=0,0,SER_hh_tesh!W13/SER_summary!W$26)</f>
        <v>69.552157216054155</v>
      </c>
      <c r="DA13" s="157" t="s">
        <v>517</v>
      </c>
    </row>
    <row r="14" spans="1:105" ht="12" customHeight="1" x14ac:dyDescent="0.25">
      <c r="A14" s="60" t="s">
        <v>76</v>
      </c>
      <c r="B14" s="65">
        <f>IF(SER_hh_tesh!B14=0,0,SER_hh_tesh!B14/SER_summary!B$26)</f>
        <v>84.074942800667046</v>
      </c>
      <c r="C14" s="65">
        <f>IF(SER_hh_tesh!C14=0,0,SER_hh_tesh!C14/SER_summary!C$26)</f>
        <v>87.445232237611791</v>
      </c>
      <c r="D14" s="65">
        <f>IF(SER_hh_tesh!D14=0,0,SER_hh_tesh!D14/SER_summary!D$26)</f>
        <v>86.719321423998821</v>
      </c>
      <c r="E14" s="65">
        <f>IF(SER_hh_tesh!E14=0,0,SER_hh_tesh!E14/SER_summary!E$26)</f>
        <v>82.437675886851423</v>
      </c>
      <c r="F14" s="65">
        <f>IF(SER_hh_tesh!F14=0,0,SER_hh_tesh!F14/SER_summary!F$26)</f>
        <v>83.861135689755542</v>
      </c>
      <c r="G14" s="65">
        <f>IF(SER_hh_tesh!G14=0,0,SER_hh_tesh!G14/SER_summary!G$26)</f>
        <v>80.991037563930419</v>
      </c>
      <c r="H14" s="65">
        <f>IF(SER_hh_tesh!H14=0,0,SER_hh_tesh!H14/SER_summary!H$26)</f>
        <v>82.057054878821901</v>
      </c>
      <c r="I14" s="65">
        <f>IF(SER_hh_tesh!I14=0,0,SER_hh_tesh!I14/SER_summary!I$26)</f>
        <v>82.179735399985162</v>
      </c>
      <c r="J14" s="65">
        <f>IF(SER_hh_tesh!J14=0,0,SER_hh_tesh!J14/SER_summary!J$26)</f>
        <v>81.127881260994229</v>
      </c>
      <c r="K14" s="65">
        <f>IF(SER_hh_tesh!K14=0,0,SER_hh_tesh!K14/SER_summary!K$26)</f>
        <v>72.470347795726099</v>
      </c>
      <c r="L14" s="65">
        <f>IF(SER_hh_tesh!L14=0,0,SER_hh_tesh!L14/SER_summary!L$26)</f>
        <v>81.695031174312888</v>
      </c>
      <c r="M14" s="65">
        <f>IF(SER_hh_tesh!M14=0,0,SER_hh_tesh!M14/SER_summary!M$26)</f>
        <v>75.572553406615583</v>
      </c>
      <c r="N14" s="65">
        <f>IF(SER_hh_tesh!N14=0,0,SER_hh_tesh!N14/SER_summary!N$26)</f>
        <v>71.891331011652682</v>
      </c>
      <c r="O14" s="65">
        <f>IF(SER_hh_tesh!O14=0,0,SER_hh_tesh!O14/SER_summary!O$26)</f>
        <v>64.310683880035612</v>
      </c>
      <c r="P14" s="65">
        <f>IF(SER_hh_tesh!P14=0,0,SER_hh_tesh!P14/SER_summary!P$26)</f>
        <v>66.928208828950062</v>
      </c>
      <c r="Q14" s="65">
        <f>IF(SER_hh_tesh!Q14=0,0,SER_hh_tesh!Q14/SER_summary!Q$26)</f>
        <v>57.011365485075991</v>
      </c>
      <c r="R14" s="65">
        <f>IF(SER_hh_tesh!R14=0,0,SER_hh_tesh!R14/SER_summary!R$26)</f>
        <v>69.282347764197382</v>
      </c>
      <c r="S14" s="65">
        <f>IF(SER_hh_tesh!S14=0,0,SER_hh_tesh!S14/SER_summary!S$26)</f>
        <v>77.558473340133787</v>
      </c>
      <c r="T14" s="65">
        <f>IF(SER_hh_tesh!T14=0,0,SER_hh_tesh!T14/SER_summary!T$26)</f>
        <v>71.429221379955621</v>
      </c>
      <c r="U14" s="65">
        <f>IF(SER_hh_tesh!U14=0,0,SER_hh_tesh!U14/SER_summary!U$26)</f>
        <v>62.823375528947288</v>
      </c>
      <c r="V14" s="65">
        <f>IF(SER_hh_tesh!V14=0,0,SER_hh_tesh!V14/SER_summary!V$26)</f>
        <v>32.315143016415789</v>
      </c>
      <c r="W14" s="65">
        <f>IF(SER_hh_tesh!W14=0,0,SER_hh_tesh!W14/SER_summary!W$26)</f>
        <v>95.985122449623645</v>
      </c>
      <c r="DA14" s="109" t="s">
        <v>518</v>
      </c>
    </row>
    <row r="15" spans="1:105" ht="12" customHeight="1" x14ac:dyDescent="0.25">
      <c r="A15" s="134" t="s">
        <v>80</v>
      </c>
      <c r="B15" s="135">
        <f>IF(SER_hh_tesh!B15=0,0,SER_hh_tesh!B15/SER_summary!B$26)</f>
        <v>0.69508899084788389</v>
      </c>
      <c r="C15" s="135">
        <f>IF(SER_hh_tesh!C15=0,0,SER_hh_tesh!C15/SER_summary!C$26)</f>
        <v>0.68343176058547306</v>
      </c>
      <c r="D15" s="135">
        <f>IF(SER_hh_tesh!D15=0,0,SER_hh_tesh!D15/SER_summary!D$26)</f>
        <v>0.66064584608378241</v>
      </c>
      <c r="E15" s="135">
        <f>IF(SER_hh_tesh!E15=0,0,SER_hh_tesh!E15/SER_summary!E$26)</f>
        <v>0.68397855535786978</v>
      </c>
      <c r="F15" s="135">
        <f>IF(SER_hh_tesh!F15=0,0,SER_hh_tesh!F15/SER_summary!F$26)</f>
        <v>0.65712469418803743</v>
      </c>
      <c r="G15" s="135">
        <f>IF(SER_hh_tesh!G15=0,0,SER_hh_tesh!G15/SER_summary!G$26)</f>
        <v>0.63177698571564922</v>
      </c>
      <c r="H15" s="135">
        <f>IF(SER_hh_tesh!H15=0,0,SER_hh_tesh!H15/SER_summary!H$26)</f>
        <v>0.63544892676175257</v>
      </c>
      <c r="I15" s="135">
        <f>IF(SER_hh_tesh!I15=0,0,SER_hh_tesh!I15/SER_summary!I$26)</f>
        <v>0.5692032595012565</v>
      </c>
      <c r="J15" s="135">
        <f>IF(SER_hh_tesh!J15=0,0,SER_hh_tesh!J15/SER_summary!J$26)</f>
        <v>0.55724484673801633</v>
      </c>
      <c r="K15" s="135">
        <f>IF(SER_hh_tesh!K15=0,0,SER_hh_tesh!K15/SER_summary!K$26)</f>
        <v>0.53328371047368028</v>
      </c>
      <c r="L15" s="135">
        <f>IF(SER_hh_tesh!L15=0,0,SER_hh_tesh!L15/SER_summary!L$26)</f>
        <v>0.55034934116351275</v>
      </c>
      <c r="M15" s="135">
        <f>IF(SER_hh_tesh!M15=0,0,SER_hh_tesh!M15/SER_summary!M$26)</f>
        <v>0.4430820956640541</v>
      </c>
      <c r="N15" s="135">
        <f>IF(SER_hh_tesh!N15=0,0,SER_hh_tesh!N15/SER_summary!N$26)</f>
        <v>0.47483089718771471</v>
      </c>
      <c r="O15" s="135">
        <f>IF(SER_hh_tesh!O15=0,0,SER_hh_tesh!O15/SER_summary!O$26)</f>
        <v>0.47666057745783624</v>
      </c>
      <c r="P15" s="135">
        <f>IF(SER_hh_tesh!P15=0,0,SER_hh_tesh!P15/SER_summary!P$26)</f>
        <v>0.38534367543659115</v>
      </c>
      <c r="Q15" s="135">
        <f>IF(SER_hh_tesh!Q15=0,0,SER_hh_tesh!Q15/SER_summary!Q$26)</f>
        <v>0.43602471107665053</v>
      </c>
      <c r="R15" s="135">
        <f>IF(SER_hh_tesh!R15=0,0,SER_hh_tesh!R15/SER_summary!R$26)</f>
        <v>0.44912503687434341</v>
      </c>
      <c r="S15" s="135">
        <f>IF(SER_hh_tesh!S15=0,0,SER_hh_tesh!S15/SER_summary!S$26)</f>
        <v>0.46327158838190041</v>
      </c>
      <c r="T15" s="135">
        <f>IF(SER_hh_tesh!T15=0,0,SER_hh_tesh!T15/SER_summary!T$26)</f>
        <v>0.41573439402636836</v>
      </c>
      <c r="U15" s="135">
        <f>IF(SER_hh_tesh!U15=0,0,SER_hh_tesh!U15/SER_summary!U$26)</f>
        <v>0.39327546867454688</v>
      </c>
      <c r="V15" s="135">
        <f>IF(SER_hh_tesh!V15=0,0,SER_hh_tesh!V15/SER_summary!V$26)</f>
        <v>0.39843867009933881</v>
      </c>
      <c r="W15" s="135">
        <f>IF(SER_hh_tesh!W15=0,0,SER_hh_tesh!W15/SER_summary!W$26)</f>
        <v>0.52902748745474282</v>
      </c>
      <c r="DA15" s="158" t="s">
        <v>519</v>
      </c>
    </row>
    <row r="16" spans="1:105" ht="12.95" customHeight="1" x14ac:dyDescent="0.25">
      <c r="A16" s="130" t="s">
        <v>74</v>
      </c>
      <c r="B16" s="131">
        <f>IF(SER_hh_tesh!B16=0,0,SER_hh_tesh!B16/SER_summary!B$26)</f>
        <v>26.155517773209102</v>
      </c>
      <c r="C16" s="131">
        <f>IF(SER_hh_tesh!C16=0,0,SER_hh_tesh!C16/SER_summary!C$26)</f>
        <v>26.178208018156955</v>
      </c>
      <c r="D16" s="131">
        <f>IF(SER_hh_tesh!D16=0,0,SER_hh_tesh!D16/SER_summary!D$26)</f>
        <v>26.219981664213709</v>
      </c>
      <c r="E16" s="131">
        <f>IF(SER_hh_tesh!E16=0,0,SER_hh_tesh!E16/SER_summary!E$26)</f>
        <v>26.24074491162672</v>
      </c>
      <c r="F16" s="131">
        <f>IF(SER_hh_tesh!F16=0,0,SER_hh_tesh!F16/SER_summary!F$26)</f>
        <v>26.276497797000136</v>
      </c>
      <c r="G16" s="131">
        <f>IF(SER_hh_tesh!G16=0,0,SER_hh_tesh!G16/SER_summary!G$26)</f>
        <v>26.314827894456542</v>
      </c>
      <c r="H16" s="131">
        <f>IF(SER_hh_tesh!H16=0,0,SER_hh_tesh!H16/SER_summary!H$26)</f>
        <v>26.360215590529627</v>
      </c>
      <c r="I16" s="131">
        <f>IF(SER_hh_tesh!I16=0,0,SER_hh_tesh!I16/SER_summary!I$26)</f>
        <v>26.398516366275818</v>
      </c>
      <c r="J16" s="131">
        <f>IF(SER_hh_tesh!J16=0,0,SER_hh_tesh!J16/SER_summary!J$26)</f>
        <v>26.438693950244218</v>
      </c>
      <c r="K16" s="131">
        <f>IF(SER_hh_tesh!K16=0,0,SER_hh_tesh!K16/SER_summary!K$26)</f>
        <v>26.480691234890493</v>
      </c>
      <c r="L16" s="131">
        <f>IF(SER_hh_tesh!L16=0,0,SER_hh_tesh!L16/SER_summary!L$26)</f>
        <v>26.630266246283039</v>
      </c>
      <c r="M16" s="131">
        <f>IF(SER_hh_tesh!M16=0,0,SER_hh_tesh!M16/SER_summary!M$26)</f>
        <v>26.568859664161256</v>
      </c>
      <c r="N16" s="131">
        <f>IF(SER_hh_tesh!N16=0,0,SER_hh_tesh!N16/SER_summary!N$26)</f>
        <v>26.645840653810421</v>
      </c>
      <c r="O16" s="131">
        <f>IF(SER_hh_tesh!O16=0,0,SER_hh_tesh!O16/SER_summary!O$26)</f>
        <v>26.69952878371156</v>
      </c>
      <c r="P16" s="131">
        <f>IF(SER_hh_tesh!P16=0,0,SER_hh_tesh!P16/SER_summary!P$26)</f>
        <v>26.886579257930148</v>
      </c>
      <c r="Q16" s="131">
        <f>IF(SER_hh_tesh!Q16=0,0,SER_hh_tesh!Q16/SER_summary!Q$26)</f>
        <v>26.942496302077924</v>
      </c>
      <c r="R16" s="131">
        <f>IF(SER_hh_tesh!R16=0,0,SER_hh_tesh!R16/SER_summary!R$26)</f>
        <v>27.182515573932044</v>
      </c>
      <c r="S16" s="131">
        <f>IF(SER_hh_tesh!S16=0,0,SER_hh_tesh!S16/SER_summary!S$26)</f>
        <v>27.223645413711807</v>
      </c>
      <c r="T16" s="131">
        <f>IF(SER_hh_tesh!T16=0,0,SER_hh_tesh!T16/SER_summary!T$26)</f>
        <v>28.287675061285267</v>
      </c>
      <c r="U16" s="131">
        <f>IF(SER_hh_tesh!U16=0,0,SER_hh_tesh!U16/SER_summary!U$26)</f>
        <v>27.411702863827337</v>
      </c>
      <c r="V16" s="131">
        <f>IF(SER_hh_tesh!V16=0,0,SER_hh_tesh!V16/SER_summary!V$26)</f>
        <v>27.348589041015924</v>
      </c>
      <c r="W16" s="131">
        <f>IF(SER_hh_tesh!W16=0,0,SER_hh_tesh!W16/SER_summary!W$26)</f>
        <v>27.40367634684468</v>
      </c>
      <c r="DA16" s="156" t="s">
        <v>520</v>
      </c>
    </row>
    <row r="17" spans="1:105" ht="12.95" customHeight="1" x14ac:dyDescent="0.25">
      <c r="A17" s="132" t="s">
        <v>73</v>
      </c>
      <c r="B17" s="133">
        <f>IF(SER_hh_tesh!B17=0,0,SER_hh_tesh!B17/SER_summary!B$26)</f>
        <v>26.155517773209102</v>
      </c>
      <c r="C17" s="133">
        <f>IF(SER_hh_tesh!C17=0,0,SER_hh_tesh!C17/SER_summary!C$26)</f>
        <v>26.177826860042888</v>
      </c>
      <c r="D17" s="133">
        <f>IF(SER_hh_tesh!D17=0,0,SER_hh_tesh!D17/SER_summary!D$26)</f>
        <v>26.219902593566097</v>
      </c>
      <c r="E17" s="133">
        <f>IF(SER_hh_tesh!E17=0,0,SER_hh_tesh!E17/SER_summary!E$26)</f>
        <v>26.240840495678231</v>
      </c>
      <c r="F17" s="133">
        <f>IF(SER_hh_tesh!F17=0,0,SER_hh_tesh!F17/SER_summary!F$26)</f>
        <v>26.276678561536801</v>
      </c>
      <c r="G17" s="133">
        <f>IF(SER_hh_tesh!G17=0,0,SER_hh_tesh!G17/SER_summary!G$26)</f>
        <v>26.315001428116663</v>
      </c>
      <c r="H17" s="133">
        <f>IF(SER_hh_tesh!H17=0,0,SER_hh_tesh!H17/SER_summary!H$26)</f>
        <v>26.360316038286907</v>
      </c>
      <c r="I17" s="133">
        <f>IF(SER_hh_tesh!I17=0,0,SER_hh_tesh!I17/SER_summary!I$26)</f>
        <v>26.39852611592044</v>
      </c>
      <c r="J17" s="133">
        <f>IF(SER_hh_tesh!J17=0,0,SER_hh_tesh!J17/SER_summary!J$26)</f>
        <v>26.438640413911319</v>
      </c>
      <c r="K17" s="133">
        <f>IF(SER_hh_tesh!K17=0,0,SER_hh_tesh!K17/SER_summary!K$26)</f>
        <v>26.480598575003953</v>
      </c>
      <c r="L17" s="133">
        <f>IF(SER_hh_tesh!L17=0,0,SER_hh_tesh!L17/SER_summary!L$26)</f>
        <v>26.630124853142668</v>
      </c>
      <c r="M17" s="133">
        <f>IF(SER_hh_tesh!M17=0,0,SER_hh_tesh!M17/SER_summary!M$26)</f>
        <v>26.568669232772951</v>
      </c>
      <c r="N17" s="133">
        <f>IF(SER_hh_tesh!N17=0,0,SER_hh_tesh!N17/SER_summary!N$26)</f>
        <v>26.645898989386875</v>
      </c>
      <c r="O17" s="133">
        <f>IF(SER_hh_tesh!O17=0,0,SER_hh_tesh!O17/SER_summary!O$26)</f>
        <v>26.699739260725341</v>
      </c>
      <c r="P17" s="133">
        <f>IF(SER_hh_tesh!P17=0,0,SER_hh_tesh!P17/SER_summary!P$26)</f>
        <v>26.886837643442863</v>
      </c>
      <c r="Q17" s="133">
        <f>IF(SER_hh_tesh!Q17=0,0,SER_hh_tesh!Q17/SER_summary!Q$26)</f>
        <v>26.942693540541523</v>
      </c>
      <c r="R17" s="133">
        <f>IF(SER_hh_tesh!R17=0,0,SER_hh_tesh!R17/SER_summary!R$26)</f>
        <v>27.18257618478064</v>
      </c>
      <c r="S17" s="133">
        <f>IF(SER_hh_tesh!S17=0,0,SER_hh_tesh!S17/SER_summary!S$26)</f>
        <v>27.223556746139788</v>
      </c>
      <c r="T17" s="133">
        <f>IF(SER_hh_tesh!T17=0,0,SER_hh_tesh!T17/SER_summary!T$26)</f>
        <v>28.287481364285391</v>
      </c>
      <c r="U17" s="133">
        <f>IF(SER_hh_tesh!U17=0,0,SER_hh_tesh!U17/SER_summary!U$26)</f>
        <v>27.411484640519593</v>
      </c>
      <c r="V17" s="133">
        <f>IF(SER_hh_tesh!V17=0,0,SER_hh_tesh!V17/SER_summary!V$26)</f>
        <v>19.518088067309506</v>
      </c>
      <c r="W17" s="133">
        <f>IF(SER_hh_tesh!W17=0,0,SER_hh_tesh!W17/SER_summary!W$26)</f>
        <v>19.925957028304598</v>
      </c>
      <c r="DA17" s="157" t="s">
        <v>521</v>
      </c>
    </row>
    <row r="18" spans="1:105" ht="12" customHeight="1" x14ac:dyDescent="0.25">
      <c r="A18" s="132" t="s">
        <v>72</v>
      </c>
      <c r="B18" s="133">
        <f>IF(SER_hh_tesh!B18=0,0,SER_hh_tesh!B18/SER_summary!B$26)</f>
        <v>26.155517773209102</v>
      </c>
      <c r="C18" s="133">
        <f>IF(SER_hh_tesh!C18=0,0,SER_hh_tesh!C18/SER_summary!C$26)</f>
        <v>26.178208367560835</v>
      </c>
      <c r="D18" s="133">
        <f>IF(SER_hh_tesh!D18=0,0,SER_hh_tesh!D18/SER_summary!D$26)</f>
        <v>26.219981740225258</v>
      </c>
      <c r="E18" s="133">
        <f>IF(SER_hh_tesh!E18=0,0,SER_hh_tesh!E18/SER_summary!E$26)</f>
        <v>26.240744819348826</v>
      </c>
      <c r="F18" s="133">
        <f>IF(SER_hh_tesh!F18=0,0,SER_hh_tesh!F18/SER_summary!F$26)</f>
        <v>26.276497611640455</v>
      </c>
      <c r="G18" s="133">
        <f>IF(SER_hh_tesh!G18=0,0,SER_hh_tesh!G18/SER_summary!G$26)</f>
        <v>26.31482770512309</v>
      </c>
      <c r="H18" s="133">
        <f>IF(SER_hh_tesh!H18=0,0,SER_hh_tesh!H18/SER_summary!H$26)</f>
        <v>26.360215479213114</v>
      </c>
      <c r="I18" s="133">
        <f>IF(SER_hh_tesh!I18=0,0,SER_hh_tesh!I18/SER_summary!I$26)</f>
        <v>26.398516355593113</v>
      </c>
      <c r="J18" s="133">
        <f>IF(SER_hh_tesh!J18=0,0,SER_hh_tesh!J18/SER_summary!J$26)</f>
        <v>26.438694009584687</v>
      </c>
      <c r="K18" s="133">
        <f>IF(SER_hh_tesh!K18=0,0,SER_hh_tesh!K18/SER_summary!K$26)</f>
        <v>26.480691336310525</v>
      </c>
      <c r="L18" s="133">
        <f>IF(SER_hh_tesh!L18=0,0,SER_hh_tesh!L18/SER_summary!L$26)</f>
        <v>26.630266405870064</v>
      </c>
      <c r="M18" s="133">
        <f>IF(SER_hh_tesh!M18=0,0,SER_hh_tesh!M18/SER_summary!M$26)</f>
        <v>26.568859894003189</v>
      </c>
      <c r="N18" s="133">
        <f>IF(SER_hh_tesh!N18=0,0,SER_hh_tesh!N18/SER_summary!N$26)</f>
        <v>26.645840574833297</v>
      </c>
      <c r="O18" s="133">
        <f>IF(SER_hh_tesh!O18=0,0,SER_hh_tesh!O18/SER_summary!O$26)</f>
        <v>26.699528442693953</v>
      </c>
      <c r="P18" s="133">
        <f>IF(SER_hh_tesh!P18=0,0,SER_hh_tesh!P18/SER_summary!P$26)</f>
        <v>26.886578721229537</v>
      </c>
      <c r="Q18" s="133">
        <f>IF(SER_hh_tesh!Q18=0,0,SER_hh_tesh!Q18/SER_summary!Q$26)</f>
        <v>26.942495741379766</v>
      </c>
      <c r="R18" s="133">
        <f>IF(SER_hh_tesh!R18=0,0,SER_hh_tesh!R18/SER_summary!R$26)</f>
        <v>27.182515358138698</v>
      </c>
      <c r="S18" s="133">
        <f>IF(SER_hh_tesh!S18=0,0,SER_hh_tesh!S18/SER_summary!S$26)</f>
        <v>27.223645785109678</v>
      </c>
      <c r="T18" s="133">
        <f>IF(SER_hh_tesh!T18=0,0,SER_hh_tesh!T18/SER_summary!T$26)</f>
        <v>28.287675935123065</v>
      </c>
      <c r="U18" s="133">
        <f>IF(SER_hh_tesh!U18=0,0,SER_hh_tesh!U18/SER_summary!U$26)</f>
        <v>27.411703969430093</v>
      </c>
      <c r="V18" s="133">
        <f>IF(SER_hh_tesh!V18=0,0,SER_hh_tesh!V18/SER_summary!V$26)</f>
        <v>27.406230180531566</v>
      </c>
      <c r="W18" s="133">
        <f>IF(SER_hh_tesh!W18=0,0,SER_hh_tesh!W18/SER_summary!W$26)</f>
        <v>27.459678919184054</v>
      </c>
      <c r="DA18" s="157" t="s">
        <v>522</v>
      </c>
    </row>
    <row r="19" spans="1:105" ht="12.95" customHeight="1" x14ac:dyDescent="0.25">
      <c r="A19" s="130" t="s">
        <v>35</v>
      </c>
      <c r="B19" s="131">
        <f>IF(SER_hh_tesh!B19=0,0,SER_hh_tesh!B19/SER_summary!B$26)</f>
        <v>10.485702425928835</v>
      </c>
      <c r="C19" s="131">
        <f>IF(SER_hh_tesh!C19=0,0,SER_hh_tesh!C19/SER_summary!C$26)</f>
        <v>10.406728703993235</v>
      </c>
      <c r="D19" s="131">
        <f>IF(SER_hh_tesh!D19=0,0,SER_hh_tesh!D19/SER_summary!D$26)</f>
        <v>10.339932698695474</v>
      </c>
      <c r="E19" s="131">
        <f>IF(SER_hh_tesh!E19=0,0,SER_hh_tesh!E19/SER_summary!E$26)</f>
        <v>10.271841657382437</v>
      </c>
      <c r="F19" s="131">
        <f>IF(SER_hh_tesh!F19=0,0,SER_hh_tesh!F19/SER_summary!F$26)</f>
        <v>10.220101574738724</v>
      </c>
      <c r="G19" s="131">
        <f>IF(SER_hh_tesh!G19=0,0,SER_hh_tesh!G19/SER_summary!G$26)</f>
        <v>10.222232641791031</v>
      </c>
      <c r="H19" s="131">
        <f>IF(SER_hh_tesh!H19=0,0,SER_hh_tesh!H19/SER_summary!H$26)</f>
        <v>10.236597347696769</v>
      </c>
      <c r="I19" s="131">
        <f>IF(SER_hh_tesh!I19=0,0,SER_hh_tesh!I19/SER_summary!I$26)</f>
        <v>10.194697386678637</v>
      </c>
      <c r="J19" s="131">
        <f>IF(SER_hh_tesh!J19=0,0,SER_hh_tesh!J19/SER_summary!J$26)</f>
        <v>10.230664009838533</v>
      </c>
      <c r="K19" s="131">
        <f>IF(SER_hh_tesh!K19=0,0,SER_hh_tesh!K19/SER_summary!K$26)</f>
        <v>10.23223045168035</v>
      </c>
      <c r="L19" s="131">
        <f>IF(SER_hh_tesh!L19=0,0,SER_hh_tesh!L19/SER_summary!L$26)</f>
        <v>10.169424205676792</v>
      </c>
      <c r="M19" s="131">
        <f>IF(SER_hh_tesh!M19=0,0,SER_hh_tesh!M19/SER_summary!M$26)</f>
        <v>10.297339396954571</v>
      </c>
      <c r="N19" s="131">
        <f>IF(SER_hh_tesh!N19=0,0,SER_hh_tesh!N19/SER_summary!N$26)</f>
        <v>10.484743147440978</v>
      </c>
      <c r="O19" s="131">
        <f>IF(SER_hh_tesh!O19=0,0,SER_hh_tesh!O19/SER_summary!O$26)</f>
        <v>10.575325311107282</v>
      </c>
      <c r="P19" s="131">
        <f>IF(SER_hh_tesh!P19=0,0,SER_hh_tesh!P19/SER_summary!P$26)</f>
        <v>10.739831333203009</v>
      </c>
      <c r="Q19" s="131">
        <f>IF(SER_hh_tesh!Q19=0,0,SER_hh_tesh!Q19/SER_summary!Q$26)</f>
        <v>10.841890860646741</v>
      </c>
      <c r="R19" s="131">
        <f>IF(SER_hh_tesh!R19=0,0,SER_hh_tesh!R19/SER_summary!R$26)</f>
        <v>10.896679309949315</v>
      </c>
      <c r="S19" s="131">
        <f>IF(SER_hh_tesh!S19=0,0,SER_hh_tesh!S19/SER_summary!S$26)</f>
        <v>10.974344626237277</v>
      </c>
      <c r="T19" s="131">
        <f>IF(SER_hh_tesh!T19=0,0,SER_hh_tesh!T19/SER_summary!T$26)</f>
        <v>10.910401020143984</v>
      </c>
      <c r="U19" s="131">
        <f>IF(SER_hh_tesh!U19=0,0,SER_hh_tesh!U19/SER_summary!U$26)</f>
        <v>10.770769287864127</v>
      </c>
      <c r="V19" s="131">
        <f>IF(SER_hh_tesh!V19=0,0,SER_hh_tesh!V19/SER_summary!V$26)</f>
        <v>9.4846047087696643</v>
      </c>
      <c r="W19" s="131">
        <f>IF(SER_hh_tesh!W19=0,0,SER_hh_tesh!W19/SER_summary!W$26)</f>
        <v>10.471267327349199</v>
      </c>
      <c r="DA19" s="156" t="s">
        <v>523</v>
      </c>
    </row>
    <row r="20" spans="1:105" ht="12" customHeight="1" x14ac:dyDescent="0.25">
      <c r="A20" s="132" t="s">
        <v>29</v>
      </c>
      <c r="B20" s="133">
        <f>IF(SER_hh_tesh!B20=0,0,SER_hh_tesh!B20/SER_summary!B$26)</f>
        <v>0</v>
      </c>
      <c r="C20" s="133">
        <f>IF(SER_hh_tesh!C20=0,0,SER_hh_tesh!C20/SER_summary!C$26)</f>
        <v>0</v>
      </c>
      <c r="D20" s="133">
        <f>IF(SER_hh_tesh!D20=0,0,SER_hh_tesh!D20/SER_summary!D$26)</f>
        <v>0</v>
      </c>
      <c r="E20" s="133">
        <f>IF(SER_hh_tesh!E20=0,0,SER_hh_tesh!E20/SER_summary!E$26)</f>
        <v>0</v>
      </c>
      <c r="F20" s="133">
        <f>IF(SER_hh_tesh!F20=0,0,SER_hh_tesh!F20/SER_summary!F$26)</f>
        <v>0</v>
      </c>
      <c r="G20" s="133">
        <f>IF(SER_hh_tesh!G20=0,0,SER_hh_tesh!G20/SER_summary!G$26)</f>
        <v>0</v>
      </c>
      <c r="H20" s="133">
        <f>IF(SER_hh_tesh!H20=0,0,SER_hh_tesh!H20/SER_summary!H$26)</f>
        <v>0</v>
      </c>
      <c r="I20" s="133">
        <f>IF(SER_hh_tesh!I20=0,0,SER_hh_tesh!I20/SER_summary!I$26)</f>
        <v>0</v>
      </c>
      <c r="J20" s="133">
        <f>IF(SER_hh_tesh!J20=0,0,SER_hh_tesh!J20/SER_summary!J$26)</f>
        <v>0</v>
      </c>
      <c r="K20" s="133">
        <f>IF(SER_hh_tesh!K20=0,0,SER_hh_tesh!K20/SER_summary!K$26)</f>
        <v>0</v>
      </c>
      <c r="L20" s="133">
        <f>IF(SER_hh_tesh!L20=0,0,SER_hh_tesh!L20/SER_summary!L$26)</f>
        <v>0</v>
      </c>
      <c r="M20" s="133">
        <f>IF(SER_hh_tesh!M20=0,0,SER_hh_tesh!M20/SER_summary!M$26)</f>
        <v>0</v>
      </c>
      <c r="N20" s="133">
        <f>IF(SER_hh_tesh!N20=0,0,SER_hh_tesh!N20/SER_summary!N$26)</f>
        <v>0</v>
      </c>
      <c r="O20" s="133">
        <f>IF(SER_hh_tesh!O20=0,0,SER_hh_tesh!O20/SER_summary!O$26)</f>
        <v>0</v>
      </c>
      <c r="P20" s="133">
        <f>IF(SER_hh_tesh!P20=0,0,SER_hh_tesh!P20/SER_summary!P$26)</f>
        <v>0</v>
      </c>
      <c r="Q20" s="133">
        <f>IF(SER_hh_tesh!Q20=0,0,SER_hh_tesh!Q20/SER_summary!Q$26)</f>
        <v>0</v>
      </c>
      <c r="R20" s="133">
        <f>IF(SER_hh_tesh!R20=0,0,SER_hh_tesh!R20/SER_summary!R$26)</f>
        <v>0</v>
      </c>
      <c r="S20" s="133">
        <f>IF(SER_hh_tesh!S20=0,0,SER_hh_tesh!S20/SER_summary!S$26)</f>
        <v>0</v>
      </c>
      <c r="T20" s="133">
        <f>IF(SER_hh_tesh!T20=0,0,SER_hh_tesh!T20/SER_summary!T$26)</f>
        <v>0</v>
      </c>
      <c r="U20" s="133">
        <f>IF(SER_hh_tesh!U20=0,0,SER_hh_tesh!U20/SER_summary!U$26)</f>
        <v>0</v>
      </c>
      <c r="V20" s="133">
        <f>IF(SER_hh_tesh!V20=0,0,SER_hh_tesh!V20/SER_summary!V$26)</f>
        <v>0</v>
      </c>
      <c r="W20" s="133">
        <f>IF(SER_hh_tesh!W20=0,0,SER_hh_tesh!W20/SER_summary!W$26)</f>
        <v>0</v>
      </c>
      <c r="DA20" s="157" t="s">
        <v>524</v>
      </c>
    </row>
    <row r="21" spans="1:105" s="2" customFormat="1" ht="12" customHeight="1" x14ac:dyDescent="0.25">
      <c r="A21" s="132" t="s">
        <v>52</v>
      </c>
      <c r="B21" s="133">
        <f>IF(SER_hh_tesh!B21=0,0,SER_hh_tesh!B21/SER_summary!B$26)</f>
        <v>0</v>
      </c>
      <c r="C21" s="133">
        <f>IF(SER_hh_tesh!C21=0,0,SER_hh_tesh!C21/SER_summary!C$26)</f>
        <v>0</v>
      </c>
      <c r="D21" s="133">
        <f>IF(SER_hh_tesh!D21=0,0,SER_hh_tesh!D21/SER_summary!D$26)</f>
        <v>0</v>
      </c>
      <c r="E21" s="133">
        <f>IF(SER_hh_tesh!E21=0,0,SER_hh_tesh!E21/SER_summary!E$26)</f>
        <v>0</v>
      </c>
      <c r="F21" s="133">
        <f>IF(SER_hh_tesh!F21=0,0,SER_hh_tesh!F21/SER_summary!F$26)</f>
        <v>0</v>
      </c>
      <c r="G21" s="133">
        <f>IF(SER_hh_tesh!G21=0,0,SER_hh_tesh!G21/SER_summary!G$26)</f>
        <v>0</v>
      </c>
      <c r="H21" s="133">
        <f>IF(SER_hh_tesh!H21=0,0,SER_hh_tesh!H21/SER_summary!H$26)</f>
        <v>0</v>
      </c>
      <c r="I21" s="133">
        <f>IF(SER_hh_tesh!I21=0,0,SER_hh_tesh!I21/SER_summary!I$26)</f>
        <v>0</v>
      </c>
      <c r="J21" s="133">
        <f>IF(SER_hh_tesh!J21=0,0,SER_hh_tesh!J21/SER_summary!J$26)</f>
        <v>0</v>
      </c>
      <c r="K21" s="133">
        <f>IF(SER_hh_tesh!K21=0,0,SER_hh_tesh!K21/SER_summary!K$26)</f>
        <v>0</v>
      </c>
      <c r="L21" s="133">
        <f>IF(SER_hh_tesh!L21=0,0,SER_hh_tesh!L21/SER_summary!L$26)</f>
        <v>0</v>
      </c>
      <c r="M21" s="133">
        <f>IF(SER_hh_tesh!M21=0,0,SER_hh_tesh!M21/SER_summary!M$26)</f>
        <v>0</v>
      </c>
      <c r="N21" s="133">
        <f>IF(SER_hh_tesh!N21=0,0,SER_hh_tesh!N21/SER_summary!N$26)</f>
        <v>0</v>
      </c>
      <c r="O21" s="133">
        <f>IF(SER_hh_tesh!O21=0,0,SER_hh_tesh!O21/SER_summary!O$26)</f>
        <v>0</v>
      </c>
      <c r="P21" s="133">
        <f>IF(SER_hh_tesh!P21=0,0,SER_hh_tesh!P21/SER_summary!P$26)</f>
        <v>0</v>
      </c>
      <c r="Q21" s="133">
        <f>IF(SER_hh_tesh!Q21=0,0,SER_hh_tesh!Q21/SER_summary!Q$26)</f>
        <v>0</v>
      </c>
      <c r="R21" s="133">
        <f>IF(SER_hh_tesh!R21=0,0,SER_hh_tesh!R21/SER_summary!R$26)</f>
        <v>0</v>
      </c>
      <c r="S21" s="133">
        <f>IF(SER_hh_tesh!S21=0,0,SER_hh_tesh!S21/SER_summary!S$26)</f>
        <v>0</v>
      </c>
      <c r="T21" s="133">
        <f>IF(SER_hh_tesh!T21=0,0,SER_hh_tesh!T21/SER_summary!T$26)</f>
        <v>0</v>
      </c>
      <c r="U21" s="133">
        <f>IF(SER_hh_tesh!U21=0,0,SER_hh_tesh!U21/SER_summary!U$26)</f>
        <v>0</v>
      </c>
      <c r="V21" s="133">
        <f>IF(SER_hh_tesh!V21=0,0,SER_hh_tesh!V21/SER_summary!V$26)</f>
        <v>0</v>
      </c>
      <c r="W21" s="133">
        <f>IF(SER_hh_tesh!W21=0,0,SER_hh_tesh!W21/SER_summary!W$26)</f>
        <v>0</v>
      </c>
      <c r="DA21" s="157" t="s">
        <v>525</v>
      </c>
    </row>
    <row r="22" spans="1:105" ht="12" customHeight="1" x14ac:dyDescent="0.25">
      <c r="A22" s="132" t="s">
        <v>168</v>
      </c>
      <c r="B22" s="133">
        <f>IF(SER_hh_tesh!B22=0,0,SER_hh_tesh!B22/SER_summary!B$26)</f>
        <v>10.554095064216247</v>
      </c>
      <c r="C22" s="133">
        <f>IF(SER_hh_tesh!C22=0,0,SER_hh_tesh!C22/SER_summary!C$26)</f>
        <v>10.330735217395103</v>
      </c>
      <c r="D22" s="133">
        <f>IF(SER_hh_tesh!D22=0,0,SER_hh_tesh!D22/SER_summary!D$26)</f>
        <v>10.260907016344554</v>
      </c>
      <c r="E22" s="133">
        <f>IF(SER_hh_tesh!E22=0,0,SER_hh_tesh!E22/SER_summary!E$26)</f>
        <v>10.282375893439925</v>
      </c>
      <c r="F22" s="133">
        <f>IF(SER_hh_tesh!F22=0,0,SER_hh_tesh!F22/SER_summary!F$26)</f>
        <v>10.417561449325248</v>
      </c>
      <c r="G22" s="133">
        <f>IF(SER_hh_tesh!G22=0,0,SER_hh_tesh!G22/SER_summary!G$26)</f>
        <v>10.588871462900114</v>
      </c>
      <c r="H22" s="133">
        <f>IF(SER_hh_tesh!H22=0,0,SER_hh_tesh!H22/SER_summary!H$26)</f>
        <v>10.032823612462419</v>
      </c>
      <c r="I22" s="133">
        <f>IF(SER_hh_tesh!I22=0,0,SER_hh_tesh!I22/SER_summary!I$26)</f>
        <v>9.6368077263936236</v>
      </c>
      <c r="J22" s="133">
        <f>IF(SER_hh_tesh!J22=0,0,SER_hh_tesh!J22/SER_summary!J$26)</f>
        <v>10.151321814397765</v>
      </c>
      <c r="K22" s="133">
        <f>IF(SER_hh_tesh!K22=0,0,SER_hh_tesh!K22/SER_summary!K$26)</f>
        <v>10.432015681220745</v>
      </c>
      <c r="L22" s="133">
        <f>IF(SER_hh_tesh!L22=0,0,SER_hh_tesh!L22/SER_summary!L$26)</f>
        <v>10.346434608130251</v>
      </c>
      <c r="M22" s="133">
        <f>IF(SER_hh_tesh!M22=0,0,SER_hh_tesh!M22/SER_summary!M$26)</f>
        <v>9.7475261973220189</v>
      </c>
      <c r="N22" s="133">
        <f>IF(SER_hh_tesh!N22=0,0,SER_hh_tesh!N22/SER_summary!N$26)</f>
        <v>10.268891516387257</v>
      </c>
      <c r="O22" s="133">
        <f>IF(SER_hh_tesh!O22=0,0,SER_hh_tesh!O22/SER_summary!O$26)</f>
        <v>10.697318616327102</v>
      </c>
      <c r="P22" s="133">
        <f>IF(SER_hh_tesh!P22=0,0,SER_hh_tesh!P22/SER_summary!P$26)</f>
        <v>10.733739743554079</v>
      </c>
      <c r="Q22" s="133">
        <f>IF(SER_hh_tesh!Q22=0,0,SER_hh_tesh!Q22/SER_summary!Q$26)</f>
        <v>10.793412977495382</v>
      </c>
      <c r="R22" s="133">
        <f>IF(SER_hh_tesh!R22=0,0,SER_hh_tesh!R22/SER_summary!R$26)</f>
        <v>11.209597498680267</v>
      </c>
      <c r="S22" s="133">
        <f>IF(SER_hh_tesh!S22=0,0,SER_hh_tesh!S22/SER_summary!S$26)</f>
        <v>11.012700864348945</v>
      </c>
      <c r="T22" s="133">
        <f>IF(SER_hh_tesh!T22=0,0,SER_hh_tesh!T22/SER_summary!T$26)</f>
        <v>12.413596761045518</v>
      </c>
      <c r="U22" s="133">
        <f>IF(SER_hh_tesh!U22=0,0,SER_hh_tesh!U22/SER_summary!U$26)</f>
        <v>7.6569522114271127</v>
      </c>
      <c r="V22" s="133">
        <f>IF(SER_hh_tesh!V22=0,0,SER_hh_tesh!V22/SER_summary!V$26)</f>
        <v>11.011966124293961</v>
      </c>
      <c r="W22" s="133">
        <f>IF(SER_hh_tesh!W22=0,0,SER_hh_tesh!W22/SER_summary!W$26)</f>
        <v>8.8322206523800997</v>
      </c>
      <c r="DA22" s="157" t="s">
        <v>526</v>
      </c>
    </row>
    <row r="23" spans="1:105" ht="12" customHeight="1" x14ac:dyDescent="0.25">
      <c r="A23" s="132" t="s">
        <v>153</v>
      </c>
      <c r="B23" s="133">
        <f>IF(SER_hh_tesh!B23=0,0,SER_hh_tesh!B23/SER_summary!B$26)</f>
        <v>10.383027752840922</v>
      </c>
      <c r="C23" s="133">
        <f>IF(SER_hh_tesh!C23=0,0,SER_hh_tesh!C23/SER_summary!C$26)</f>
        <v>10.18383947384584</v>
      </c>
      <c r="D23" s="133">
        <f>IF(SER_hh_tesh!D23=0,0,SER_hh_tesh!D23/SER_summary!D$26)</f>
        <v>9.8322594103187697</v>
      </c>
      <c r="E23" s="133">
        <f>IF(SER_hh_tesh!E23=0,0,SER_hh_tesh!E23/SER_summary!E$26)</f>
        <v>10.627085218791208</v>
      </c>
      <c r="F23" s="133">
        <f>IF(SER_hh_tesh!F23=0,0,SER_hh_tesh!F23/SER_summary!F$26)</f>
        <v>9.9826900575764395</v>
      </c>
      <c r="G23" s="133">
        <f>IF(SER_hh_tesh!G23=0,0,SER_hh_tesh!G23/SER_summary!G$26)</f>
        <v>10.245775060909246</v>
      </c>
      <c r="H23" s="133">
        <f>IF(SER_hh_tesh!H23=0,0,SER_hh_tesh!H23/SER_summary!H$26)</f>
        <v>10.54381799720467</v>
      </c>
      <c r="I23" s="133">
        <f>IF(SER_hh_tesh!I23=0,0,SER_hh_tesh!I23/SER_summary!I$26)</f>
        <v>10.226285066885456</v>
      </c>
      <c r="J23" s="133">
        <f>IF(SER_hh_tesh!J23=0,0,SER_hh_tesh!J23/SER_summary!J$26)</f>
        <v>10.19748741114414</v>
      </c>
      <c r="K23" s="133">
        <f>IF(SER_hh_tesh!K23=0,0,SER_hh_tesh!K23/SER_summary!K$26)</f>
        <v>10.368623759215049</v>
      </c>
      <c r="L23" s="133">
        <f>IF(SER_hh_tesh!L23=0,0,SER_hh_tesh!L23/SER_summary!L$26)</f>
        <v>10.749020564869697</v>
      </c>
      <c r="M23" s="133">
        <f>IF(SER_hh_tesh!M23=0,0,SER_hh_tesh!M23/SER_summary!M$26)</f>
        <v>9.7233086191440297</v>
      </c>
      <c r="N23" s="133">
        <f>IF(SER_hh_tesh!N23=0,0,SER_hh_tesh!N23/SER_summary!N$26)</f>
        <v>10.285880855438279</v>
      </c>
      <c r="O23" s="133">
        <f>IF(SER_hh_tesh!O23=0,0,SER_hh_tesh!O23/SER_summary!O$26)</f>
        <v>10.650502825275245</v>
      </c>
      <c r="P23" s="133">
        <f>IF(SER_hh_tesh!P23=0,0,SER_hh_tesh!P23/SER_summary!P$26)</f>
        <v>9.7764140958954489</v>
      </c>
      <c r="Q23" s="133">
        <f>IF(SER_hh_tesh!Q23=0,0,SER_hh_tesh!Q23/SER_summary!Q$26)</f>
        <v>10.950957824698145</v>
      </c>
      <c r="R23" s="133">
        <f>IF(SER_hh_tesh!R23=0,0,SER_hh_tesh!R23/SER_summary!R$26)</f>
        <v>10.901129505987598</v>
      </c>
      <c r="S23" s="133">
        <f>IF(SER_hh_tesh!S23=0,0,SER_hh_tesh!S23/SER_summary!S$26)</f>
        <v>11.114370847039819</v>
      </c>
      <c r="T23" s="133">
        <f>IF(SER_hh_tesh!T23=0,0,SER_hh_tesh!T23/SER_summary!T$26)</f>
        <v>10.952767809767121</v>
      </c>
      <c r="U23" s="133">
        <f>IF(SER_hh_tesh!U23=0,0,SER_hh_tesh!U23/SER_summary!U$26)</f>
        <v>11.472024518275598</v>
      </c>
      <c r="V23" s="133">
        <f>IF(SER_hh_tesh!V23=0,0,SER_hh_tesh!V23/SER_summary!V$26)</f>
        <v>7.7171684678349672</v>
      </c>
      <c r="W23" s="133">
        <f>IF(SER_hh_tesh!W23=0,0,SER_hh_tesh!W23/SER_summary!W$26)</f>
        <v>11.332138243379498</v>
      </c>
      <c r="DA23" s="157" t="s">
        <v>527</v>
      </c>
    </row>
    <row r="24" spans="1:105" ht="12" customHeight="1" x14ac:dyDescent="0.25">
      <c r="A24" s="132" t="s">
        <v>128</v>
      </c>
      <c r="B24" s="133">
        <f>IF(SER_hh_tesh!B24=0,0,SER_hh_tesh!B24/SER_summary!B$26)</f>
        <v>10.038080681444027</v>
      </c>
      <c r="C24" s="133">
        <f>IF(SER_hh_tesh!C24=0,0,SER_hh_tesh!C24/SER_summary!C$26)</f>
        <v>10.583992130217144</v>
      </c>
      <c r="D24" s="133">
        <f>IF(SER_hh_tesh!D24=0,0,SER_hh_tesh!D24/SER_summary!D$26)</f>
        <v>10.405193672707425</v>
      </c>
      <c r="E24" s="133">
        <f>IF(SER_hh_tesh!E24=0,0,SER_hh_tesh!E24/SER_summary!E$26)</f>
        <v>10.207149968797644</v>
      </c>
      <c r="F24" s="133">
        <f>IF(SER_hh_tesh!F24=0,0,SER_hh_tesh!F24/SER_summary!F$26)</f>
        <v>10.114549528524035</v>
      </c>
      <c r="G24" s="133">
        <f>IF(SER_hh_tesh!G24=0,0,SER_hh_tesh!G24/SER_summary!G$26)</f>
        <v>10.220870025690839</v>
      </c>
      <c r="H24" s="133">
        <f>IF(SER_hh_tesh!H24=0,0,SER_hh_tesh!H24/SER_summary!H$26)</f>
        <v>10.167235594902371</v>
      </c>
      <c r="I24" s="133">
        <f>IF(SER_hh_tesh!I24=0,0,SER_hh_tesh!I24/SER_summary!I$26)</f>
        <v>10.169855765888157</v>
      </c>
      <c r="J24" s="133">
        <f>IF(SER_hh_tesh!J24=0,0,SER_hh_tesh!J24/SER_summary!J$26)</f>
        <v>10.160161551624959</v>
      </c>
      <c r="K24" s="133">
        <f>IF(SER_hh_tesh!K24=0,0,SER_hh_tesh!K24/SER_summary!K$26)</f>
        <v>10.176471571211392</v>
      </c>
      <c r="L24" s="133">
        <f>IF(SER_hh_tesh!L24=0,0,SER_hh_tesh!L24/SER_summary!L$26)</f>
        <v>10.140992776359496</v>
      </c>
      <c r="M24" s="133">
        <f>IF(SER_hh_tesh!M24=0,0,SER_hh_tesh!M24/SER_summary!M$26)</f>
        <v>10.293935945473912</v>
      </c>
      <c r="N24" s="133">
        <f>IF(SER_hh_tesh!N24=0,0,SER_hh_tesh!N24/SER_summary!N$26)</f>
        <v>10.566381555553706</v>
      </c>
      <c r="O24" s="133">
        <f>IF(SER_hh_tesh!O24=0,0,SER_hh_tesh!O24/SER_summary!O$26)</f>
        <v>10.603670765968749</v>
      </c>
      <c r="P24" s="133">
        <f>IF(SER_hh_tesh!P24=0,0,SER_hh_tesh!P24/SER_summary!P$26)</f>
        <v>10.42402643273863</v>
      </c>
      <c r="Q24" s="133">
        <f>IF(SER_hh_tesh!Q24=0,0,SER_hh_tesh!Q24/SER_summary!Q$26)</f>
        <v>10.279123996759248</v>
      </c>
      <c r="R24" s="133">
        <f>IF(SER_hh_tesh!R24=0,0,SER_hh_tesh!R24/SER_summary!R$26)</f>
        <v>10.892499082278878</v>
      </c>
      <c r="S24" s="133">
        <f>IF(SER_hh_tesh!S24=0,0,SER_hh_tesh!S24/SER_summary!S$26)</f>
        <v>11.219390387431172</v>
      </c>
      <c r="T24" s="133">
        <f>IF(SER_hh_tesh!T24=0,0,SER_hh_tesh!T24/SER_summary!T$26)</f>
        <v>12.329253733311171</v>
      </c>
      <c r="U24" s="133">
        <f>IF(SER_hh_tesh!U24=0,0,SER_hh_tesh!U24/SER_summary!U$26)</f>
        <v>10.792890418077992</v>
      </c>
      <c r="V24" s="133">
        <f>IF(SER_hh_tesh!V24=0,0,SER_hh_tesh!V24/SER_summary!V$26)</f>
        <v>9.6822255121301009</v>
      </c>
      <c r="W24" s="133">
        <f>IF(SER_hh_tesh!W24=0,0,SER_hh_tesh!W24/SER_summary!W$26)</f>
        <v>10.269080452213071</v>
      </c>
      <c r="DA24" s="157" t="s">
        <v>528</v>
      </c>
    </row>
    <row r="25" spans="1:105" ht="12" customHeight="1" x14ac:dyDescent="0.25">
      <c r="A25" s="132" t="s">
        <v>169</v>
      </c>
      <c r="B25" s="133">
        <f>IF(SER_hh_tesh!B25=0,0,SER_hh_tesh!B25/SER_summary!B$26)</f>
        <v>10.366068374185639</v>
      </c>
      <c r="C25" s="133">
        <f>IF(SER_hh_tesh!C25=0,0,SER_hh_tesh!C25/SER_summary!C$26)</f>
        <v>10.517845519449404</v>
      </c>
      <c r="D25" s="133">
        <f>IF(SER_hh_tesh!D25=0,0,SER_hh_tesh!D25/SER_summary!D$26)</f>
        <v>10.323696930631417</v>
      </c>
      <c r="E25" s="133">
        <f>IF(SER_hh_tesh!E25=0,0,SER_hh_tesh!E25/SER_summary!E$26)</f>
        <v>10.25971250806983</v>
      </c>
      <c r="F25" s="133">
        <f>IF(SER_hh_tesh!F25=0,0,SER_hh_tesh!F25/SER_summary!F$26)</f>
        <v>10.214173852884763</v>
      </c>
      <c r="G25" s="133">
        <f>IF(SER_hh_tesh!G25=0,0,SER_hh_tesh!G25/SER_summary!G$26)</f>
        <v>10.247986576129044</v>
      </c>
      <c r="H25" s="133">
        <f>IF(SER_hh_tesh!H25=0,0,SER_hh_tesh!H25/SER_summary!H$26)</f>
        <v>10.093020884359984</v>
      </c>
      <c r="I25" s="133">
        <f>IF(SER_hh_tesh!I25=0,0,SER_hh_tesh!I25/SER_summary!I$26)</f>
        <v>10.002423634852114</v>
      </c>
      <c r="J25" s="133">
        <f>IF(SER_hh_tesh!J25=0,0,SER_hh_tesh!J25/SER_summary!J$26)</f>
        <v>10.050086557525479</v>
      </c>
      <c r="K25" s="133">
        <f>IF(SER_hh_tesh!K25=0,0,SER_hh_tesh!K25/SER_summary!K$26)</f>
        <v>10.129066178911405</v>
      </c>
      <c r="L25" s="133">
        <f>IF(SER_hh_tesh!L25=0,0,SER_hh_tesh!L25/SER_summary!L$26)</f>
        <v>10.283864135617689</v>
      </c>
      <c r="M25" s="133">
        <f>IF(SER_hh_tesh!M25=0,0,SER_hh_tesh!M25/SER_summary!M$26)</f>
        <v>10.361454600991561</v>
      </c>
      <c r="N25" s="133">
        <f>IF(SER_hh_tesh!N25=0,0,SER_hh_tesh!N25/SER_summary!N$26)</f>
        <v>10.360317246179063</v>
      </c>
      <c r="O25" s="133">
        <f>IF(SER_hh_tesh!O25=0,0,SER_hh_tesh!O25/SER_summary!O$26)</f>
        <v>10.449974893828257</v>
      </c>
      <c r="P25" s="133">
        <f>IF(SER_hh_tesh!P25=0,0,SER_hh_tesh!P25/SER_summary!P$26)</f>
        <v>10.770010688785865</v>
      </c>
      <c r="Q25" s="133">
        <f>IF(SER_hh_tesh!Q25=0,0,SER_hh_tesh!Q25/SER_summary!Q$26)</f>
        <v>10.862299664986903</v>
      </c>
      <c r="R25" s="133">
        <f>IF(SER_hh_tesh!R25=0,0,SER_hh_tesh!R25/SER_summary!R$26)</f>
        <v>10.794465389526327</v>
      </c>
      <c r="S25" s="133">
        <f>IF(SER_hh_tesh!S25=0,0,SER_hh_tesh!S25/SER_summary!S$26)</f>
        <v>10.714649122618917</v>
      </c>
      <c r="T25" s="133">
        <f>IF(SER_hh_tesh!T25=0,0,SER_hh_tesh!T25/SER_summary!T$26)</f>
        <v>10.925727672889215</v>
      </c>
      <c r="U25" s="133">
        <f>IF(SER_hh_tesh!U25=0,0,SER_hh_tesh!U25/SER_summary!U$26)</f>
        <v>10.545268440398401</v>
      </c>
      <c r="V25" s="133">
        <f>IF(SER_hh_tesh!V25=0,0,SER_hh_tesh!V25/SER_summary!V$26)</f>
        <v>9.7380874708581313</v>
      </c>
      <c r="W25" s="133">
        <f>IF(SER_hh_tesh!W25=0,0,SER_hh_tesh!W25/SER_summary!W$26)</f>
        <v>10.197458969961023</v>
      </c>
      <c r="DA25" s="157" t="s">
        <v>529</v>
      </c>
    </row>
    <row r="26" spans="1:105" ht="12" customHeight="1" x14ac:dyDescent="0.25">
      <c r="A26" s="132" t="s">
        <v>24</v>
      </c>
      <c r="B26" s="65">
        <f>IF(SER_hh_tesh!B26=0,0,SER_hh_tesh!B26/SER_summary!B$26)</f>
        <v>10.340118554893628</v>
      </c>
      <c r="C26" s="65">
        <f>IF(SER_hh_tesh!C26=0,0,SER_hh_tesh!C26/SER_summary!C$26)</f>
        <v>9.94305007877335</v>
      </c>
      <c r="D26" s="65">
        <f>IF(SER_hh_tesh!D26=0,0,SER_hh_tesh!D26/SER_summary!D$26)</f>
        <v>10.153699557245185</v>
      </c>
      <c r="E26" s="65">
        <f>IF(SER_hh_tesh!E26=0,0,SER_hh_tesh!E26/SER_summary!E$26)</f>
        <v>9.7989572874779736</v>
      </c>
      <c r="F26" s="65">
        <f>IF(SER_hh_tesh!F26=0,0,SER_hh_tesh!F26/SER_summary!F$26)</f>
        <v>9.8895697455454563</v>
      </c>
      <c r="G26" s="65">
        <f>IF(SER_hh_tesh!G26=0,0,SER_hh_tesh!G26/SER_summary!G$26)</f>
        <v>9.6952516631521455</v>
      </c>
      <c r="H26" s="65">
        <f>IF(SER_hh_tesh!H26=0,0,SER_hh_tesh!H26/SER_summary!H$26)</f>
        <v>9.9641600370047261</v>
      </c>
      <c r="I26" s="65">
        <f>IF(SER_hh_tesh!I26=0,0,SER_hh_tesh!I26/SER_summary!I$26)</f>
        <v>10.138428853735006</v>
      </c>
      <c r="J26" s="65">
        <f>IF(SER_hh_tesh!J26=0,0,SER_hh_tesh!J26/SER_summary!J$26)</f>
        <v>10.091928457644238</v>
      </c>
      <c r="K26" s="65">
        <f>IF(SER_hh_tesh!K26=0,0,SER_hh_tesh!K26/SER_summary!K$26)</f>
        <v>9.8044086597323066</v>
      </c>
      <c r="L26" s="65">
        <f>IF(SER_hh_tesh!L26=0,0,SER_hh_tesh!L26/SER_summary!L$26)</f>
        <v>9.0571758171777361</v>
      </c>
      <c r="M26" s="65">
        <f>IF(SER_hh_tesh!M26=0,0,SER_hh_tesh!M26/SER_summary!M$26)</f>
        <v>9.865990240876398</v>
      </c>
      <c r="N26" s="65">
        <f>IF(SER_hh_tesh!N26=0,0,SER_hh_tesh!N26/SER_summary!N$26)</f>
        <v>10.235259321523591</v>
      </c>
      <c r="O26" s="65">
        <f>IF(SER_hh_tesh!O26=0,0,SER_hh_tesh!O26/SER_summary!O$26)</f>
        <v>10.170493375682115</v>
      </c>
      <c r="P26" s="65">
        <f>IF(SER_hh_tesh!P26=0,0,SER_hh_tesh!P26/SER_summary!P$26)</f>
        <v>10.417434989027187</v>
      </c>
      <c r="Q26" s="65">
        <f>IF(SER_hh_tesh!Q26=0,0,SER_hh_tesh!Q26/SER_summary!Q$26)</f>
        <v>10.116594616526477</v>
      </c>
      <c r="R26" s="65">
        <f>IF(SER_hh_tesh!R26=0,0,SER_hh_tesh!R26/SER_summary!R$26)</f>
        <v>10.39057549500366</v>
      </c>
      <c r="S26" s="65">
        <f>IF(SER_hh_tesh!S26=0,0,SER_hh_tesh!S26/SER_summary!S$26)</f>
        <v>10.779588055400074</v>
      </c>
      <c r="T26" s="65">
        <f>IF(SER_hh_tesh!T26=0,0,SER_hh_tesh!T26/SER_summary!T$26)</f>
        <v>9.7763579918836214</v>
      </c>
      <c r="U26" s="65">
        <f>IF(SER_hh_tesh!U26=0,0,SER_hh_tesh!U26/SER_summary!U$26)</f>
        <v>10.4285582595506</v>
      </c>
      <c r="V26" s="65">
        <f>IF(SER_hh_tesh!V26=0,0,SER_hh_tesh!V26/SER_summary!V$26)</f>
        <v>8.7437300220870835</v>
      </c>
      <c r="W26" s="65">
        <f>IF(SER_hh_tesh!W26=0,0,SER_hh_tesh!W26/SER_summary!W$26)</f>
        <v>10.091392248611456</v>
      </c>
      <c r="DA26" s="109" t="s">
        <v>530</v>
      </c>
    </row>
    <row r="27" spans="1:105" ht="12" customHeight="1" x14ac:dyDescent="0.25">
      <c r="A27" s="145" t="s">
        <v>86</v>
      </c>
      <c r="B27" s="146">
        <f>IF(SER_hh_tesh!B27=0,0,SER_hh_tesh!B27/SER_summary!B$26)</f>
        <v>0.11883203070537497</v>
      </c>
      <c r="C27" s="146">
        <f>IF(SER_hh_tesh!C27=0,0,SER_hh_tesh!C27/SER_summary!C$26)</f>
        <v>0.11874613548085593</v>
      </c>
      <c r="D27" s="146">
        <f>IF(SER_hh_tesh!D27=0,0,SER_hh_tesh!D27/SER_summary!D$26)</f>
        <v>0.11822524087681741</v>
      </c>
      <c r="E27" s="146">
        <f>IF(SER_hh_tesh!E27=0,0,SER_hh_tesh!E27/SER_summary!E$26)</f>
        <v>0.11797927316968142</v>
      </c>
      <c r="F27" s="146">
        <f>IF(SER_hh_tesh!F27=0,0,SER_hh_tesh!F27/SER_summary!F$26)</f>
        <v>0.12025746415216998</v>
      </c>
      <c r="G27" s="146">
        <f>IF(SER_hh_tesh!G27=0,0,SER_hh_tesh!G27/SER_summary!G$26)</f>
        <v>0.12474382219459314</v>
      </c>
      <c r="H27" s="146">
        <f>IF(SER_hh_tesh!H27=0,0,SER_hh_tesh!H27/SER_summary!H$26)</f>
        <v>0.12898579336420923</v>
      </c>
      <c r="I27" s="146">
        <f>IF(SER_hh_tesh!I27=0,0,SER_hh_tesh!I27/SER_summary!I$26)</f>
        <v>0.13620782937436268</v>
      </c>
      <c r="J27" s="146">
        <f>IF(SER_hh_tesh!J27=0,0,SER_hh_tesh!J27/SER_summary!J$26)</f>
        <v>0.14303117969900225</v>
      </c>
      <c r="K27" s="146">
        <f>IF(SER_hh_tesh!K27=0,0,SER_hh_tesh!K27/SER_summary!K$26)</f>
        <v>0.15071398244371775</v>
      </c>
      <c r="L27" s="146">
        <f>IF(SER_hh_tesh!L27=0,0,SER_hh_tesh!L27/SER_summary!L$26)</f>
        <v>0.15349594987308124</v>
      </c>
      <c r="M27" s="146">
        <f>IF(SER_hh_tesh!M27=0,0,SER_hh_tesh!M27/SER_summary!M$26)</f>
        <v>0.16045531938606578</v>
      </c>
      <c r="N27" s="146">
        <f>IF(SER_hh_tesh!N27=0,0,SER_hh_tesh!N27/SER_summary!N$26)</f>
        <v>0.16484419321322921</v>
      </c>
      <c r="O27" s="146">
        <f>IF(SER_hh_tesh!O27=0,0,SER_hh_tesh!O27/SER_summary!O$26)</f>
        <v>0.16938193672087443</v>
      </c>
      <c r="P27" s="146">
        <f>IF(SER_hh_tesh!P27=0,0,SER_hh_tesh!P27/SER_summary!P$26)</f>
        <v>0.17216830248669232</v>
      </c>
      <c r="Q27" s="146">
        <f>IF(SER_hh_tesh!Q27=0,0,SER_hh_tesh!Q27/SER_summary!Q$26)</f>
        <v>0.17584866562656518</v>
      </c>
      <c r="R27" s="146">
        <f>IF(SER_hh_tesh!R27=0,0,SER_hh_tesh!R27/SER_summary!R$26)</f>
        <v>0.17674987700376044</v>
      </c>
      <c r="S27" s="146">
        <f>IF(SER_hh_tesh!S27=0,0,SER_hh_tesh!S27/SER_summary!S$26)</f>
        <v>0.17747928470954744</v>
      </c>
      <c r="T27" s="146">
        <f>IF(SER_hh_tesh!T27=0,0,SER_hh_tesh!T27/SER_summary!T$26)</f>
        <v>0.17789714591654235</v>
      </c>
      <c r="U27" s="146">
        <f>IF(SER_hh_tesh!U27=0,0,SER_hh_tesh!U27/SER_summary!U$26)</f>
        <v>0.17858531571393887</v>
      </c>
      <c r="V27" s="146">
        <f>IF(SER_hh_tesh!V27=0,0,SER_hh_tesh!V27/SER_summary!V$26)</f>
        <v>0.17710036982937083</v>
      </c>
      <c r="W27" s="146">
        <f>IF(SER_hh_tesh!W27=0,0,SER_hh_tesh!W27/SER_summary!W$26)</f>
        <v>0.17564937737978803</v>
      </c>
      <c r="DA27" s="159" t="s">
        <v>531</v>
      </c>
    </row>
    <row r="28" spans="1:105" ht="12" customHeight="1" x14ac:dyDescent="0.25">
      <c r="A28" s="78" t="s">
        <v>85</v>
      </c>
      <c r="B28" s="147">
        <f>IF(SER_hh_tesh!B28=0,0,SER_hh_tesh!B28/SER_summary!B$26)</f>
        <v>4.506615069633721</v>
      </c>
      <c r="C28" s="147">
        <f>IF(SER_hh_tesh!C28=0,0,SER_hh_tesh!C28/SER_summary!C$26)</f>
        <v>4.5856229206349735</v>
      </c>
      <c r="D28" s="147">
        <f>IF(SER_hh_tesh!D28=0,0,SER_hh_tesh!D28/SER_summary!D$26)</f>
        <v>4.4867631712138261</v>
      </c>
      <c r="E28" s="147">
        <f>IF(SER_hh_tesh!E28=0,0,SER_hh_tesh!E28/SER_summary!E$26)</f>
        <v>4.5352372013254243</v>
      </c>
      <c r="F28" s="147">
        <f>IF(SER_hh_tesh!F28=0,0,SER_hh_tesh!F28/SER_summary!F$26)</f>
        <v>4.534207070928459</v>
      </c>
      <c r="G28" s="147">
        <f>IF(SER_hh_tesh!G28=0,0,SER_hh_tesh!G28/SER_summary!G$26)</f>
        <v>4.4409374473250649</v>
      </c>
      <c r="H28" s="147">
        <f>IF(SER_hh_tesh!H28=0,0,SER_hh_tesh!H28/SER_summary!H$26)</f>
        <v>4.4341875766840779</v>
      </c>
      <c r="I28" s="147">
        <f>IF(SER_hh_tesh!I28=0,0,SER_hh_tesh!I28/SER_summary!I$26)</f>
        <v>4.5038758568949984</v>
      </c>
      <c r="J28" s="147">
        <f>IF(SER_hh_tesh!J28=0,0,SER_hh_tesh!J28/SER_summary!J$26)</f>
        <v>4.6956352182598478</v>
      </c>
      <c r="K28" s="147">
        <f>IF(SER_hh_tesh!K28=0,0,SER_hh_tesh!K28/SER_summary!K$26)</f>
        <v>5.1861841593768521</v>
      </c>
      <c r="L28" s="147">
        <f>IF(SER_hh_tesh!L28=0,0,SER_hh_tesh!L28/SER_summary!L$26)</f>
        <v>4.4003914425462787</v>
      </c>
      <c r="M28" s="147">
        <f>IF(SER_hh_tesh!M28=0,0,SER_hh_tesh!M28/SER_summary!M$26)</f>
        <v>4.5046532891562867</v>
      </c>
      <c r="N28" s="147">
        <f>IF(SER_hh_tesh!N28=0,0,SER_hh_tesh!N28/SER_summary!N$26)</f>
        <v>4.7101644847138289</v>
      </c>
      <c r="O28" s="147">
        <f>IF(SER_hh_tesh!O28=0,0,SER_hh_tesh!O28/SER_summary!O$26)</f>
        <v>4.4451565768345338</v>
      </c>
      <c r="P28" s="147">
        <f>IF(SER_hh_tesh!P28=0,0,SER_hh_tesh!P28/SER_summary!P$26)</f>
        <v>4.7599807004886605</v>
      </c>
      <c r="Q28" s="147">
        <f>IF(SER_hh_tesh!Q28=0,0,SER_hh_tesh!Q28/SER_summary!Q$26)</f>
        <v>4.6632937896742312</v>
      </c>
      <c r="R28" s="147">
        <f>IF(SER_hh_tesh!R28=0,0,SER_hh_tesh!R28/SER_summary!R$26)</f>
        <v>4.6766042522513445</v>
      </c>
      <c r="S28" s="147">
        <f>IF(SER_hh_tesh!S28=0,0,SER_hh_tesh!S28/SER_summary!S$26)</f>
        <v>4.979787549311304</v>
      </c>
      <c r="T28" s="147">
        <f>IF(SER_hh_tesh!T28=0,0,SER_hh_tesh!T28/SER_summary!T$26)</f>
        <v>4.9079014300215107</v>
      </c>
      <c r="U28" s="147">
        <f>IF(SER_hh_tesh!U28=0,0,SER_hh_tesh!U28/SER_summary!U$26)</f>
        <v>4.7510753684948339</v>
      </c>
      <c r="V28" s="147">
        <f>IF(SER_hh_tesh!V28=0,0,SER_hh_tesh!V28/SER_summary!V$26)</f>
        <v>4.1588571419298273</v>
      </c>
      <c r="W28" s="147">
        <f>IF(SER_hh_tesh!W28=0,0,SER_hh_tesh!W28/SER_summary!W$26)</f>
        <v>4.5460002598336633</v>
      </c>
      <c r="DA28" s="160"/>
    </row>
    <row r="29" spans="1:105" ht="12.95" customHeight="1" x14ac:dyDescent="0.25">
      <c r="A29" s="130" t="s">
        <v>34</v>
      </c>
      <c r="B29" s="131">
        <f>IF(SER_hh_tesh!B29=0,0,SER_hh_tesh!B29/SER_summary!B$26)</f>
        <v>8.8098096343692731</v>
      </c>
      <c r="C29" s="131">
        <f>IF(SER_hh_tesh!C29=0,0,SER_hh_tesh!C29/SER_summary!C$26)</f>
        <v>8.8510045632667076</v>
      </c>
      <c r="D29" s="131">
        <f>IF(SER_hh_tesh!D29=0,0,SER_hh_tesh!D29/SER_summary!D$26)</f>
        <v>8.9012216003275313</v>
      </c>
      <c r="E29" s="131">
        <f>IF(SER_hh_tesh!E29=0,0,SER_hh_tesh!E29/SER_summary!E$26)</f>
        <v>9.114231531060403</v>
      </c>
      <c r="F29" s="131">
        <f>IF(SER_hh_tesh!F29=0,0,SER_hh_tesh!F29/SER_summary!F$26)</f>
        <v>9.2303541839935797</v>
      </c>
      <c r="G29" s="131">
        <f>IF(SER_hh_tesh!G29=0,0,SER_hh_tesh!G29/SER_summary!G$26)</f>
        <v>9.2008824339934812</v>
      </c>
      <c r="H29" s="131">
        <f>IF(SER_hh_tesh!H29=0,0,SER_hh_tesh!H29/SER_summary!H$26)</f>
        <v>9.3336829625659963</v>
      </c>
      <c r="I29" s="131">
        <f>IF(SER_hh_tesh!I29=0,0,SER_hh_tesh!I29/SER_summary!I$26)</f>
        <v>9.2384557600729078</v>
      </c>
      <c r="J29" s="131">
        <f>IF(SER_hh_tesh!J29=0,0,SER_hh_tesh!J29/SER_summary!J$26)</f>
        <v>9.3174922346956883</v>
      </c>
      <c r="K29" s="131">
        <f>IF(SER_hh_tesh!K29=0,0,SER_hh_tesh!K29/SER_summary!K$26)</f>
        <v>9.3130505864461863</v>
      </c>
      <c r="L29" s="131">
        <f>IF(SER_hh_tesh!L29=0,0,SER_hh_tesh!L29/SER_summary!L$26)</f>
        <v>9.305200155526002</v>
      </c>
      <c r="M29" s="131">
        <f>IF(SER_hh_tesh!M29=0,0,SER_hh_tesh!M29/SER_summary!M$26)</f>
        <v>9.4478483101148516</v>
      </c>
      <c r="N29" s="131">
        <f>IF(SER_hh_tesh!N29=0,0,SER_hh_tesh!N29/SER_summary!N$26)</f>
        <v>9.6473839912556549</v>
      </c>
      <c r="O29" s="131">
        <f>IF(SER_hh_tesh!O29=0,0,SER_hh_tesh!O29/SER_summary!O$26)</f>
        <v>9.7077766865782689</v>
      </c>
      <c r="P29" s="131">
        <f>IF(SER_hh_tesh!P29=0,0,SER_hh_tesh!P29/SER_summary!P$26)</f>
        <v>9.6813761461341734</v>
      </c>
      <c r="Q29" s="131">
        <f>IF(SER_hh_tesh!Q29=0,0,SER_hh_tesh!Q29/SER_summary!Q$26)</f>
        <v>9.7564405310723945</v>
      </c>
      <c r="R29" s="131">
        <f>IF(SER_hh_tesh!R29=0,0,SER_hh_tesh!R29/SER_summary!R$26)</f>
        <v>9.9380497659777607</v>
      </c>
      <c r="S29" s="131">
        <f>IF(SER_hh_tesh!S29=0,0,SER_hh_tesh!S29/SER_summary!S$26)</f>
        <v>9.9678195912682881</v>
      </c>
      <c r="T29" s="131">
        <f>IF(SER_hh_tesh!T29=0,0,SER_hh_tesh!T29/SER_summary!T$26)</f>
        <v>9.9002256592790374</v>
      </c>
      <c r="U29" s="131">
        <f>IF(SER_hh_tesh!U29=0,0,SER_hh_tesh!U29/SER_summary!U$26)</f>
        <v>9.8984719954984062</v>
      </c>
      <c r="V29" s="131">
        <f>IF(SER_hh_tesh!V29=0,0,SER_hh_tesh!V29/SER_summary!V$26)</f>
        <v>8.9766799097558163</v>
      </c>
      <c r="W29" s="131">
        <f>IF(SER_hh_tesh!W29=0,0,SER_hh_tesh!W29/SER_summary!W$26)</f>
        <v>9.409069810914831</v>
      </c>
      <c r="DA29" s="156" t="s">
        <v>532</v>
      </c>
    </row>
    <row r="30" spans="1:105" ht="12" customHeight="1" x14ac:dyDescent="0.25">
      <c r="A30" s="132" t="s">
        <v>52</v>
      </c>
      <c r="B30" s="133">
        <f>IF(SER_hh_tesh!B30=0,0,SER_hh_tesh!B30/SER_summary!B$26)</f>
        <v>8.8197977447758813</v>
      </c>
      <c r="C30" s="133">
        <f>IF(SER_hh_tesh!C30=0,0,SER_hh_tesh!C30/SER_summary!C$26)</f>
        <v>8.8497360344680143</v>
      </c>
      <c r="D30" s="133">
        <f>IF(SER_hh_tesh!D30=0,0,SER_hh_tesh!D30/SER_summary!D$26)</f>
        <v>7.9170508316098669</v>
      </c>
      <c r="E30" s="133">
        <f>IF(SER_hh_tesh!E30=0,0,SER_hh_tesh!E30/SER_summary!E$26)</f>
        <v>8.8755425768463549</v>
      </c>
      <c r="F30" s="133">
        <f>IF(SER_hh_tesh!F30=0,0,SER_hh_tesh!F30/SER_summary!F$26)</f>
        <v>9.3808906652561515</v>
      </c>
      <c r="G30" s="133">
        <f>IF(SER_hh_tesh!G30=0,0,SER_hh_tesh!G30/SER_summary!G$26)</f>
        <v>9.8924270435224102</v>
      </c>
      <c r="H30" s="133">
        <f>IF(SER_hh_tesh!H30=0,0,SER_hh_tesh!H30/SER_summary!H$26)</f>
        <v>9.4340092966111548</v>
      </c>
      <c r="I30" s="133">
        <f>IF(SER_hh_tesh!I30=0,0,SER_hh_tesh!I30/SER_summary!I$26)</f>
        <v>9.2752869064065351</v>
      </c>
      <c r="J30" s="133">
        <f>IF(SER_hh_tesh!J30=0,0,SER_hh_tesh!J30/SER_summary!J$26)</f>
        <v>8.9983722397363852</v>
      </c>
      <c r="K30" s="133">
        <f>IF(SER_hh_tesh!K30=0,0,SER_hh_tesh!K30/SER_summary!K$26)</f>
        <v>8.602424794716601</v>
      </c>
      <c r="L30" s="133">
        <f>IF(SER_hh_tesh!L30=0,0,SER_hh_tesh!L30/SER_summary!L$26)</f>
        <v>10.708012396040536</v>
      </c>
      <c r="M30" s="133">
        <f>IF(SER_hh_tesh!M30=0,0,SER_hh_tesh!M30/SER_summary!M$26)</f>
        <v>9.6003837749126095</v>
      </c>
      <c r="N30" s="133">
        <f>IF(SER_hh_tesh!N30=0,0,SER_hh_tesh!N30/SER_summary!N$26)</f>
        <v>8.973371109816231</v>
      </c>
      <c r="O30" s="133">
        <f>IF(SER_hh_tesh!O30=0,0,SER_hh_tesh!O30/SER_summary!O$26)</f>
        <v>10.691279734109136</v>
      </c>
      <c r="P30" s="133">
        <f>IF(SER_hh_tesh!P30=0,0,SER_hh_tesh!P30/SER_summary!P$26)</f>
        <v>5.7754979551521544</v>
      </c>
      <c r="Q30" s="133">
        <f>IF(SER_hh_tesh!Q30=0,0,SER_hh_tesh!Q30/SER_summary!Q$26)</f>
        <v>10.93014309298672</v>
      </c>
      <c r="R30" s="133">
        <f>IF(SER_hh_tesh!R30=0,0,SER_hh_tesh!R30/SER_summary!R$26)</f>
        <v>10.568394945053296</v>
      </c>
      <c r="S30" s="133">
        <f>IF(SER_hh_tesh!S30=0,0,SER_hh_tesh!S30/SER_summary!S$26)</f>
        <v>9.8921461180263091</v>
      </c>
      <c r="T30" s="133">
        <f>IF(SER_hh_tesh!T30=0,0,SER_hh_tesh!T30/SER_summary!T$26)</f>
        <v>10.108546017584318</v>
      </c>
      <c r="U30" s="133">
        <f>IF(SER_hh_tesh!U30=0,0,SER_hh_tesh!U30/SER_summary!U$26)</f>
        <v>10.052506523010102</v>
      </c>
      <c r="V30" s="133">
        <f>IF(SER_hh_tesh!V30=0,0,SER_hh_tesh!V30/SER_summary!V$26)</f>
        <v>8.7530235345212315</v>
      </c>
      <c r="W30" s="133">
        <f>IF(SER_hh_tesh!W30=0,0,SER_hh_tesh!W30/SER_summary!W$26)</f>
        <v>9.5098966277046699</v>
      </c>
      <c r="DA30" s="157" t="s">
        <v>533</v>
      </c>
    </row>
    <row r="31" spans="1:105" ht="12" customHeight="1" x14ac:dyDescent="0.25">
      <c r="A31" s="132" t="s">
        <v>153</v>
      </c>
      <c r="B31" s="133">
        <f>IF(SER_hh_tesh!B31=0,0,SER_hh_tesh!B31/SER_summary!B$26)</f>
        <v>8.7944438044689779</v>
      </c>
      <c r="C31" s="133">
        <f>IF(SER_hh_tesh!C31=0,0,SER_hh_tesh!C31/SER_summary!C$26)</f>
        <v>8.8236144895874471</v>
      </c>
      <c r="D31" s="133">
        <f>IF(SER_hh_tesh!D31=0,0,SER_hh_tesh!D31/SER_summary!D$26)</f>
        <v>8.9134291978440938</v>
      </c>
      <c r="E31" s="133">
        <f>IF(SER_hh_tesh!E31=0,0,SER_hh_tesh!E31/SER_summary!E$26)</f>
        <v>9.0474275199014169</v>
      </c>
      <c r="F31" s="133">
        <f>IF(SER_hh_tesh!F31=0,0,SER_hh_tesh!F31/SER_summary!F$26)</f>
        <v>8.9571838847153931</v>
      </c>
      <c r="G31" s="133">
        <f>IF(SER_hh_tesh!G31=0,0,SER_hh_tesh!G31/SER_summary!G$26)</f>
        <v>9.3999081564384195</v>
      </c>
      <c r="H31" s="133">
        <f>IF(SER_hh_tesh!H31=0,0,SER_hh_tesh!H31/SER_summary!H$26)</f>
        <v>9.3899681439684617</v>
      </c>
      <c r="I31" s="133">
        <f>IF(SER_hh_tesh!I31=0,0,SER_hh_tesh!I31/SER_summary!I$26)</f>
        <v>9.2809411868881337</v>
      </c>
      <c r="J31" s="133">
        <f>IF(SER_hh_tesh!J31=0,0,SER_hh_tesh!J31/SER_summary!J$26)</f>
        <v>9.2759692616222154</v>
      </c>
      <c r="K31" s="133">
        <f>IF(SER_hh_tesh!K31=0,0,SER_hh_tesh!K31/SER_summary!K$26)</f>
        <v>9.4118418139019457</v>
      </c>
      <c r="L31" s="133">
        <f>IF(SER_hh_tesh!L31=0,0,SER_hh_tesh!L31/SER_summary!L$26)</f>
        <v>9.4663459171989341</v>
      </c>
      <c r="M31" s="133">
        <f>IF(SER_hh_tesh!M31=0,0,SER_hh_tesh!M31/SER_summary!M$26)</f>
        <v>9.4576695803169013</v>
      </c>
      <c r="N31" s="133">
        <f>IF(SER_hh_tesh!N31=0,0,SER_hh_tesh!N31/SER_summary!N$26)</f>
        <v>9.603755188880255</v>
      </c>
      <c r="O31" s="133">
        <f>IF(SER_hh_tesh!O31=0,0,SER_hh_tesh!O31/SER_summary!O$26)</f>
        <v>9.598748875265251</v>
      </c>
      <c r="P31" s="133">
        <f>IF(SER_hh_tesh!P31=0,0,SER_hh_tesh!P31/SER_summary!P$26)</f>
        <v>9.2306660183207789</v>
      </c>
      <c r="Q31" s="133">
        <f>IF(SER_hh_tesh!Q31=0,0,SER_hh_tesh!Q31/SER_summary!Q$26)</f>
        <v>10.247822918165989</v>
      </c>
      <c r="R31" s="133">
        <f>IF(SER_hh_tesh!R31=0,0,SER_hh_tesh!R31/SER_summary!R$26)</f>
        <v>10.113638464787439</v>
      </c>
      <c r="S31" s="133">
        <f>IF(SER_hh_tesh!S31=0,0,SER_hh_tesh!S31/SER_summary!S$26)</f>
        <v>9.2930334616351917</v>
      </c>
      <c r="T31" s="133">
        <f>IF(SER_hh_tesh!T31=0,0,SER_hh_tesh!T31/SER_summary!T$26)</f>
        <v>10.063437357250814</v>
      </c>
      <c r="U31" s="133">
        <f>IF(SER_hh_tesh!U31=0,0,SER_hh_tesh!U31/SER_summary!U$26)</f>
        <v>11.071837814957036</v>
      </c>
      <c r="V31" s="133">
        <f>IF(SER_hh_tesh!V31=0,0,SER_hh_tesh!V31/SER_summary!V$26)</f>
        <v>6.7833055236188322</v>
      </c>
      <c r="W31" s="133">
        <f>IF(SER_hh_tesh!W31=0,0,SER_hh_tesh!W31/SER_summary!W$26)</f>
        <v>10.605051146642781</v>
      </c>
      <c r="DA31" s="157" t="s">
        <v>534</v>
      </c>
    </row>
    <row r="32" spans="1:105" ht="12" customHeight="1" x14ac:dyDescent="0.25">
      <c r="A32" s="132" t="s">
        <v>128</v>
      </c>
      <c r="B32" s="133">
        <f>IF(SER_hh_tesh!B32=0,0,SER_hh_tesh!B32/SER_summary!B$26)</f>
        <v>0</v>
      </c>
      <c r="C32" s="133">
        <f>IF(SER_hh_tesh!C32=0,0,SER_hh_tesh!C32/SER_summary!C$26)</f>
        <v>0</v>
      </c>
      <c r="D32" s="133">
        <f>IF(SER_hh_tesh!D32=0,0,SER_hh_tesh!D32/SER_summary!D$26)</f>
        <v>0</v>
      </c>
      <c r="E32" s="133">
        <f>IF(SER_hh_tesh!E32=0,0,SER_hh_tesh!E32/SER_summary!E$26)</f>
        <v>0</v>
      </c>
      <c r="F32" s="133">
        <f>IF(SER_hh_tesh!F32=0,0,SER_hh_tesh!F32/SER_summary!F$26)</f>
        <v>0</v>
      </c>
      <c r="G32" s="133">
        <f>IF(SER_hh_tesh!G32=0,0,SER_hh_tesh!G32/SER_summary!G$26)</f>
        <v>0</v>
      </c>
      <c r="H32" s="133">
        <f>IF(SER_hh_tesh!H32=0,0,SER_hh_tesh!H32/SER_summary!H$26)</f>
        <v>0</v>
      </c>
      <c r="I32" s="133">
        <f>IF(SER_hh_tesh!I32=0,0,SER_hh_tesh!I32/SER_summary!I$26)</f>
        <v>0</v>
      </c>
      <c r="J32" s="133">
        <f>IF(SER_hh_tesh!J32=0,0,SER_hh_tesh!J32/SER_summary!J$26)</f>
        <v>0</v>
      </c>
      <c r="K32" s="133">
        <f>IF(SER_hh_tesh!K32=0,0,SER_hh_tesh!K32/SER_summary!K$26)</f>
        <v>0</v>
      </c>
      <c r="L32" s="133">
        <f>IF(SER_hh_tesh!L32=0,0,SER_hh_tesh!L32/SER_summary!L$26)</f>
        <v>0</v>
      </c>
      <c r="M32" s="133">
        <f>IF(SER_hh_tesh!M32=0,0,SER_hh_tesh!M32/SER_summary!M$26)</f>
        <v>0</v>
      </c>
      <c r="N32" s="133">
        <f>IF(SER_hh_tesh!N32=0,0,SER_hh_tesh!N32/SER_summary!N$26)</f>
        <v>0</v>
      </c>
      <c r="O32" s="133">
        <f>IF(SER_hh_tesh!O32=0,0,SER_hh_tesh!O32/SER_summary!O$26)</f>
        <v>0</v>
      </c>
      <c r="P32" s="133">
        <f>IF(SER_hh_tesh!P32=0,0,SER_hh_tesh!P32/SER_summary!P$26)</f>
        <v>0</v>
      </c>
      <c r="Q32" s="133">
        <f>IF(SER_hh_tesh!Q32=0,0,SER_hh_tesh!Q32/SER_summary!Q$26)</f>
        <v>0</v>
      </c>
      <c r="R32" s="133">
        <f>IF(SER_hh_tesh!R32=0,0,SER_hh_tesh!R32/SER_summary!R$26)</f>
        <v>0</v>
      </c>
      <c r="S32" s="133">
        <f>IF(SER_hh_tesh!S32=0,0,SER_hh_tesh!S32/SER_summary!S$26)</f>
        <v>0</v>
      </c>
      <c r="T32" s="133">
        <f>IF(SER_hh_tesh!T32=0,0,SER_hh_tesh!T32/SER_summary!T$26)</f>
        <v>0</v>
      </c>
      <c r="U32" s="133">
        <f>IF(SER_hh_tesh!U32=0,0,SER_hh_tesh!U32/SER_summary!U$26)</f>
        <v>0</v>
      </c>
      <c r="V32" s="133">
        <f>IF(SER_hh_tesh!V32=0,0,SER_hh_tesh!V32/SER_summary!V$26)</f>
        <v>0</v>
      </c>
      <c r="W32" s="133">
        <f>IF(SER_hh_tesh!W32=0,0,SER_hh_tesh!W32/SER_summary!W$26)</f>
        <v>0</v>
      </c>
      <c r="DA32" s="157" t="s">
        <v>535</v>
      </c>
    </row>
    <row r="33" spans="1:105" ht="12" customHeight="1" x14ac:dyDescent="0.25">
      <c r="A33" s="62" t="s">
        <v>24</v>
      </c>
      <c r="B33" s="68">
        <f>IF(SER_hh_tesh!B33=0,0,SER_hh_tesh!B33/SER_summary!B$26)</f>
        <v>8.8127870750182247</v>
      </c>
      <c r="C33" s="68">
        <f>IF(SER_hh_tesh!C33=0,0,SER_hh_tesh!C33/SER_summary!C$26)</f>
        <v>8.8567216064085663</v>
      </c>
      <c r="D33" s="68">
        <f>IF(SER_hh_tesh!D33=0,0,SER_hh_tesh!D33/SER_summary!D$26)</f>
        <v>8.9273963212016536</v>
      </c>
      <c r="E33" s="68">
        <f>IF(SER_hh_tesh!E33=0,0,SER_hh_tesh!E33/SER_summary!E$26)</f>
        <v>9.1361065049743342</v>
      </c>
      <c r="F33" s="68">
        <f>IF(SER_hh_tesh!F33=0,0,SER_hh_tesh!F33/SER_summary!F$26)</f>
        <v>9.281361333518074</v>
      </c>
      <c r="G33" s="68">
        <f>IF(SER_hh_tesh!G33=0,0,SER_hh_tesh!G33/SER_summary!G$26)</f>
        <v>9.1264396844729703</v>
      </c>
      <c r="H33" s="68">
        <f>IF(SER_hh_tesh!H33=0,0,SER_hh_tesh!H33/SER_summary!H$26)</f>
        <v>9.3165732761304838</v>
      </c>
      <c r="I33" s="68">
        <f>IF(SER_hh_tesh!I33=0,0,SER_hh_tesh!I33/SER_summary!I$26)</f>
        <v>9.2274020378246764</v>
      </c>
      <c r="J33" s="68">
        <f>IF(SER_hh_tesh!J33=0,0,SER_hh_tesh!J33/SER_summary!J$26)</f>
        <v>9.3416852827922554</v>
      </c>
      <c r="K33" s="68">
        <f>IF(SER_hh_tesh!K33=0,0,SER_hh_tesh!K33/SER_summary!K$26)</f>
        <v>9.3257206372975041</v>
      </c>
      <c r="L33" s="68">
        <f>IF(SER_hh_tesh!L33=0,0,SER_hh_tesh!L33/SER_summary!L$26)</f>
        <v>9.1996587543677766</v>
      </c>
      <c r="M33" s="68">
        <f>IF(SER_hh_tesh!M33=0,0,SER_hh_tesh!M33/SER_summary!M$26)</f>
        <v>9.4383639701713324</v>
      </c>
      <c r="N33" s="68">
        <f>IF(SER_hh_tesh!N33=0,0,SER_hh_tesh!N33/SER_summary!N$26)</f>
        <v>9.6858931941980728</v>
      </c>
      <c r="O33" s="68">
        <f>IF(SER_hh_tesh!O33=0,0,SER_hh_tesh!O33/SER_summary!O$26)</f>
        <v>9.6869124098231119</v>
      </c>
      <c r="P33" s="68">
        <f>IF(SER_hh_tesh!P33=0,0,SER_hh_tesh!P33/SER_summary!P$26)</f>
        <v>9.9466700052891444</v>
      </c>
      <c r="Q33" s="68">
        <f>IF(SER_hh_tesh!Q33=0,0,SER_hh_tesh!Q33/SER_summary!Q$26)</f>
        <v>9.598753133131158</v>
      </c>
      <c r="R33" s="68">
        <f>IF(SER_hh_tesh!R33=0,0,SER_hh_tesh!R33/SER_summary!R$26)</f>
        <v>9.8684199889468278</v>
      </c>
      <c r="S33" s="68">
        <f>IF(SER_hh_tesh!S33=0,0,SER_hh_tesh!S33/SER_summary!S$26)</f>
        <v>10.108502131799757</v>
      </c>
      <c r="T33" s="68">
        <f>IF(SER_hh_tesh!T33=0,0,SER_hh_tesh!T33/SER_summary!T$26)</f>
        <v>9.8552954572474913</v>
      </c>
      <c r="U33" s="68">
        <f>IF(SER_hh_tesh!U33=0,0,SER_hh_tesh!U33/SER_summary!U$26)</f>
        <v>9.6464300477474563</v>
      </c>
      <c r="V33" s="68">
        <f>IF(SER_hh_tesh!V33=0,0,SER_hh_tesh!V33/SER_summary!V$26)</f>
        <v>9.4392451255595802</v>
      </c>
      <c r="W33" s="68">
        <f>IF(SER_hh_tesh!W33=0,0,SER_hh_tesh!W33/SER_summary!W$26)</f>
        <v>9.1568300662485758</v>
      </c>
      <c r="DA33" s="111" t="s">
        <v>536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>
        <f>IF(SER_hh_emih!B3=0,0,SER_hh_emih!B3/SER_summary!B$26)</f>
        <v>8.1643851984589837</v>
      </c>
      <c r="C3" s="126">
        <f>IF(SER_hh_emih!C3=0,0,SER_hh_emih!C3/SER_summary!C$26)</f>
        <v>7.6693729943282012</v>
      </c>
      <c r="D3" s="126">
        <f>IF(SER_hh_emih!D3=0,0,SER_hh_emih!D3/SER_summary!D$26)</f>
        <v>7.5839520177474657</v>
      </c>
      <c r="E3" s="126">
        <f>IF(SER_hh_emih!E3=0,0,SER_hh_emih!E3/SER_summary!E$26)</f>
        <v>8.199161969999011</v>
      </c>
      <c r="F3" s="126">
        <f>IF(SER_hh_emih!F3=0,0,SER_hh_emih!F3/SER_summary!F$26)</f>
        <v>8.0096684426243936</v>
      </c>
      <c r="G3" s="126">
        <f>IF(SER_hh_emih!G3=0,0,SER_hh_emih!G3/SER_summary!G$26)</f>
        <v>7.7793827951624319</v>
      </c>
      <c r="H3" s="126">
        <f>IF(SER_hh_emih!H3=0,0,SER_hh_emih!H3/SER_summary!H$26)</f>
        <v>7.663486070576254</v>
      </c>
      <c r="I3" s="126">
        <f>IF(SER_hh_emih!I3=0,0,SER_hh_emih!I3/SER_summary!I$26)</f>
        <v>6.7656736840045646</v>
      </c>
      <c r="J3" s="126">
        <f>IF(SER_hh_emih!J3=0,0,SER_hh_emih!J3/SER_summary!J$26)</f>
        <v>6.5737084708956095</v>
      </c>
      <c r="K3" s="126">
        <f>IF(SER_hh_emih!K3=0,0,SER_hh_emih!K3/SER_summary!K$26)</f>
        <v>6.260614493599296</v>
      </c>
      <c r="L3" s="126">
        <f>IF(SER_hh_emih!L3=0,0,SER_hh_emih!L3/SER_summary!L$26)</f>
        <v>6.0463251742869355</v>
      </c>
      <c r="M3" s="126">
        <f>IF(SER_hh_emih!M3=0,0,SER_hh_emih!M3/SER_summary!M$26)</f>
        <v>4.8157147236097089</v>
      </c>
      <c r="N3" s="126">
        <f>IF(SER_hh_emih!N3=0,0,SER_hh_emih!N3/SER_summary!N$26)</f>
        <v>5.3566077564785006</v>
      </c>
      <c r="O3" s="126">
        <f>IF(SER_hh_emih!O3=0,0,SER_hh_emih!O3/SER_summary!O$26)</f>
        <v>5.3808344876506142</v>
      </c>
      <c r="P3" s="126">
        <f>IF(SER_hh_emih!P3=0,0,SER_hh_emih!P3/SER_summary!P$26)</f>
        <v>4.2782749341163777</v>
      </c>
      <c r="Q3" s="126">
        <f>IF(SER_hh_emih!Q3=0,0,SER_hh_emih!Q3/SER_summary!Q$26)</f>
        <v>5.1289831774752983</v>
      </c>
      <c r="R3" s="126">
        <f>IF(SER_hh_emih!R3=0,0,SER_hh_emih!R3/SER_summary!R$26)</f>
        <v>5.2047303714017374</v>
      </c>
      <c r="S3" s="126">
        <f>IF(SER_hh_emih!S3=0,0,SER_hh_emih!S3/SER_summary!S$26)</f>
        <v>5.3950789540159896</v>
      </c>
      <c r="T3" s="126">
        <f>IF(SER_hh_emih!T3=0,0,SER_hh_emih!T3/SER_summary!T$26)</f>
        <v>4.7670444323670953</v>
      </c>
      <c r="U3" s="126">
        <f>IF(SER_hh_emih!U3=0,0,SER_hh_emih!U3/SER_summary!U$26)</f>
        <v>4.3493671067480442</v>
      </c>
      <c r="V3" s="126">
        <f>IF(SER_hh_emih!V3=0,0,SER_hh_emih!V3/SER_summary!V$26)</f>
        <v>4.3037480554444372</v>
      </c>
      <c r="W3" s="126">
        <f>IF(SER_hh_emih!W3=0,0,SER_hh_emih!W3/SER_summary!W$26)</f>
        <v>5.8923651868880116</v>
      </c>
      <c r="DA3" s="155" t="s">
        <v>538</v>
      </c>
    </row>
    <row r="4" spans="1:105" ht="12.95" customHeight="1" x14ac:dyDescent="0.25">
      <c r="A4" s="130" t="s">
        <v>32</v>
      </c>
      <c r="B4" s="131">
        <f>IF(SER_hh_emih!B4=0,0,SER_hh_emih!B4/SER_summary!B$26)</f>
        <v>6.8312731266708404</v>
      </c>
      <c r="C4" s="131">
        <f>IF(SER_hh_emih!C4=0,0,SER_hh_emih!C4/SER_summary!C$26)</f>
        <v>6.3770342723018247</v>
      </c>
      <c r="D4" s="131">
        <f>IF(SER_hh_emih!D4=0,0,SER_hh_emih!D4/SER_summary!D$26)</f>
        <v>6.3012559712612308</v>
      </c>
      <c r="E4" s="131">
        <f>IF(SER_hh_emih!E4=0,0,SER_hh_emih!E4/SER_summary!E$26)</f>
        <v>6.8290148369486499</v>
      </c>
      <c r="F4" s="131">
        <f>IF(SER_hh_emih!F4=0,0,SER_hh_emih!F4/SER_summary!F$26)</f>
        <v>6.6420201754941388</v>
      </c>
      <c r="G4" s="131">
        <f>IF(SER_hh_emih!G4=0,0,SER_hh_emih!G4/SER_summary!G$26)</f>
        <v>6.3353802676395823</v>
      </c>
      <c r="H4" s="131">
        <f>IF(SER_hh_emih!H4=0,0,SER_hh_emih!H4/SER_summary!H$26)</f>
        <v>6.2395338481750358</v>
      </c>
      <c r="I4" s="131">
        <f>IF(SER_hh_emih!I4=0,0,SER_hh_emih!I4/SER_summary!I$26)</f>
        <v>5.3982322262814089</v>
      </c>
      <c r="J4" s="131">
        <f>IF(SER_hh_emih!J4=0,0,SER_hh_emih!J4/SER_summary!J$26)</f>
        <v>5.2186541821353947</v>
      </c>
      <c r="K4" s="131">
        <f>IF(SER_hh_emih!K4=0,0,SER_hh_emih!K4/SER_summary!K$26)</f>
        <v>4.9224592233617326</v>
      </c>
      <c r="L4" s="131">
        <f>IF(SER_hh_emih!L4=0,0,SER_hh_emih!L4/SER_summary!L$26)</f>
        <v>4.7071078681403131</v>
      </c>
      <c r="M4" s="131">
        <f>IF(SER_hh_emih!M4=0,0,SER_hh_emih!M4/SER_summary!M$26)</f>
        <v>3.6042417036578849</v>
      </c>
      <c r="N4" s="131">
        <f>IF(SER_hh_emih!N4=0,0,SER_hh_emih!N4/SER_summary!N$26)</f>
        <v>4.1796506853354218</v>
      </c>
      <c r="O4" s="131">
        <f>IF(SER_hh_emih!O4=0,0,SER_hh_emih!O4/SER_summary!O$26)</f>
        <v>4.2092970243265055</v>
      </c>
      <c r="P4" s="131">
        <f>IF(SER_hh_emih!P4=0,0,SER_hh_emih!P4/SER_summary!P$26)</f>
        <v>3.2178538910095065</v>
      </c>
      <c r="Q4" s="131">
        <f>IF(SER_hh_emih!Q4=0,0,SER_hh_emih!Q4/SER_summary!Q$26)</f>
        <v>3.8650806069110626</v>
      </c>
      <c r="R4" s="131">
        <f>IF(SER_hh_emih!R4=0,0,SER_hh_emih!R4/SER_summary!R$26)</f>
        <v>3.9589765547952402</v>
      </c>
      <c r="S4" s="131">
        <f>IF(SER_hh_emih!S4=0,0,SER_hh_emih!S4/SER_summary!S$26)</f>
        <v>4.1901974358461267</v>
      </c>
      <c r="T4" s="131">
        <f>IF(SER_hh_emih!T4=0,0,SER_hh_emih!T4/SER_summary!T$26)</f>
        <v>3.537784097924225</v>
      </c>
      <c r="U4" s="131">
        <f>IF(SER_hh_emih!U4=0,0,SER_hh_emih!U4/SER_summary!U$26)</f>
        <v>3.1152816786644251</v>
      </c>
      <c r="V4" s="131">
        <f>IF(SER_hh_emih!V4=0,0,SER_hh_emih!V4/SER_summary!V$26)</f>
        <v>3.4557434174435113</v>
      </c>
      <c r="W4" s="131">
        <f>IF(SER_hh_emih!W4=0,0,SER_hh_emih!W4/SER_summary!W$26)</f>
        <v>4.7549452428091925</v>
      </c>
      <c r="DA4" s="156" t="s">
        <v>539</v>
      </c>
    </row>
    <row r="5" spans="1:105" ht="12" customHeight="1" x14ac:dyDescent="0.25">
      <c r="A5" s="132" t="s">
        <v>29</v>
      </c>
      <c r="B5" s="133">
        <f>IF(SER_hh_emih!B5=0,0,SER_hh_emih!B5/SER_summary!B$26)</f>
        <v>0</v>
      </c>
      <c r="C5" s="133">
        <f>IF(SER_hh_emih!C5=0,0,SER_hh_emih!C5/SER_summary!C$26)</f>
        <v>0</v>
      </c>
      <c r="D5" s="133">
        <f>IF(SER_hh_emih!D5=0,0,SER_hh_emih!D5/SER_summary!D$26)</f>
        <v>0</v>
      </c>
      <c r="E5" s="133">
        <f>IF(SER_hh_emih!E5=0,0,SER_hh_emih!E5/SER_summary!E$26)</f>
        <v>0</v>
      </c>
      <c r="F5" s="133">
        <f>IF(SER_hh_emih!F5=0,0,SER_hh_emih!F5/SER_summary!F$26)</f>
        <v>0</v>
      </c>
      <c r="G5" s="133">
        <f>IF(SER_hh_emih!G5=0,0,SER_hh_emih!G5/SER_summary!G$26)</f>
        <v>0</v>
      </c>
      <c r="H5" s="133">
        <f>IF(SER_hh_emih!H5=0,0,SER_hh_emih!H5/SER_summary!H$26)</f>
        <v>0</v>
      </c>
      <c r="I5" s="133">
        <f>IF(SER_hh_emih!I5=0,0,SER_hh_emih!I5/SER_summary!I$26)</f>
        <v>0</v>
      </c>
      <c r="J5" s="133">
        <f>IF(SER_hh_emih!J5=0,0,SER_hh_emih!J5/SER_summary!J$26)</f>
        <v>0</v>
      </c>
      <c r="K5" s="133">
        <f>IF(SER_hh_emih!K5=0,0,SER_hh_emih!K5/SER_summary!K$26)</f>
        <v>0</v>
      </c>
      <c r="L5" s="133">
        <f>IF(SER_hh_emih!L5=0,0,SER_hh_emih!L5/SER_summary!L$26)</f>
        <v>0</v>
      </c>
      <c r="M5" s="133">
        <f>IF(SER_hh_emih!M5=0,0,SER_hh_emih!M5/SER_summary!M$26)</f>
        <v>0</v>
      </c>
      <c r="N5" s="133">
        <f>IF(SER_hh_emih!N5=0,0,SER_hh_emih!N5/SER_summary!N$26)</f>
        <v>0</v>
      </c>
      <c r="O5" s="133">
        <f>IF(SER_hh_emih!O5=0,0,SER_hh_emih!O5/SER_summary!O$26)</f>
        <v>0</v>
      </c>
      <c r="P5" s="133">
        <f>IF(SER_hh_emih!P5=0,0,SER_hh_emih!P5/SER_summary!P$26)</f>
        <v>0</v>
      </c>
      <c r="Q5" s="133">
        <f>IF(SER_hh_emih!Q5=0,0,SER_hh_emih!Q5/SER_summary!Q$26)</f>
        <v>0</v>
      </c>
      <c r="R5" s="133">
        <f>IF(SER_hh_emih!R5=0,0,SER_hh_emih!R5/SER_summary!R$26)</f>
        <v>0</v>
      </c>
      <c r="S5" s="133">
        <f>IF(SER_hh_emih!S5=0,0,SER_hh_emih!S5/SER_summary!S$26)</f>
        <v>0</v>
      </c>
      <c r="T5" s="133">
        <f>IF(SER_hh_emih!T5=0,0,SER_hh_emih!T5/SER_summary!T$26)</f>
        <v>0</v>
      </c>
      <c r="U5" s="133">
        <f>IF(SER_hh_emih!U5=0,0,SER_hh_emih!U5/SER_summary!U$26)</f>
        <v>0</v>
      </c>
      <c r="V5" s="133">
        <f>IF(SER_hh_emih!V5=0,0,SER_hh_emih!V5/SER_summary!V$26)</f>
        <v>0</v>
      </c>
      <c r="W5" s="133">
        <f>IF(SER_hh_emih!W5=0,0,SER_hh_emih!W5/SER_summary!W$26)</f>
        <v>0</v>
      </c>
      <c r="DA5" s="157" t="s">
        <v>540</v>
      </c>
    </row>
    <row r="6" spans="1:105" ht="12" customHeight="1" x14ac:dyDescent="0.25">
      <c r="A6" s="132" t="s">
        <v>52</v>
      </c>
      <c r="B6" s="133">
        <f>IF(SER_hh_emih!B6=0,0,SER_hh_emih!B6/SER_summary!B$26)</f>
        <v>0</v>
      </c>
      <c r="C6" s="133">
        <f>IF(SER_hh_emih!C6=0,0,SER_hh_emih!C6/SER_summary!C$26)</f>
        <v>0</v>
      </c>
      <c r="D6" s="133">
        <f>IF(SER_hh_emih!D6=0,0,SER_hh_emih!D6/SER_summary!D$26)</f>
        <v>0</v>
      </c>
      <c r="E6" s="133">
        <f>IF(SER_hh_emih!E6=0,0,SER_hh_emih!E6/SER_summary!E$26)</f>
        <v>0</v>
      </c>
      <c r="F6" s="133">
        <f>IF(SER_hh_emih!F6=0,0,SER_hh_emih!F6/SER_summary!F$26)</f>
        <v>0</v>
      </c>
      <c r="G6" s="133">
        <f>IF(SER_hh_emih!G6=0,0,SER_hh_emih!G6/SER_summary!G$26)</f>
        <v>0</v>
      </c>
      <c r="H6" s="133">
        <f>IF(SER_hh_emih!H6=0,0,SER_hh_emih!H6/SER_summary!H$26)</f>
        <v>0</v>
      </c>
      <c r="I6" s="133">
        <f>IF(SER_hh_emih!I6=0,0,SER_hh_emih!I6/SER_summary!I$26)</f>
        <v>0</v>
      </c>
      <c r="J6" s="133">
        <f>IF(SER_hh_emih!J6=0,0,SER_hh_emih!J6/SER_summary!J$26)</f>
        <v>0</v>
      </c>
      <c r="K6" s="133">
        <f>IF(SER_hh_emih!K6=0,0,SER_hh_emih!K6/SER_summary!K$26)</f>
        <v>0</v>
      </c>
      <c r="L6" s="133">
        <f>IF(SER_hh_emih!L6=0,0,SER_hh_emih!L6/SER_summary!L$26)</f>
        <v>0</v>
      </c>
      <c r="M6" s="133">
        <f>IF(SER_hh_emih!M6=0,0,SER_hh_emih!M6/SER_summary!M$26)</f>
        <v>0</v>
      </c>
      <c r="N6" s="133">
        <f>IF(SER_hh_emih!N6=0,0,SER_hh_emih!N6/SER_summary!N$26)</f>
        <v>0</v>
      </c>
      <c r="O6" s="133">
        <f>IF(SER_hh_emih!O6=0,0,SER_hh_emih!O6/SER_summary!O$26)</f>
        <v>0</v>
      </c>
      <c r="P6" s="133">
        <f>IF(SER_hh_emih!P6=0,0,SER_hh_emih!P6/SER_summary!P$26)</f>
        <v>0</v>
      </c>
      <c r="Q6" s="133">
        <f>IF(SER_hh_emih!Q6=0,0,SER_hh_emih!Q6/SER_summary!Q$26)</f>
        <v>0</v>
      </c>
      <c r="R6" s="133">
        <f>IF(SER_hh_emih!R6=0,0,SER_hh_emih!R6/SER_summary!R$26)</f>
        <v>0</v>
      </c>
      <c r="S6" s="133">
        <f>IF(SER_hh_emih!S6=0,0,SER_hh_emih!S6/SER_summary!S$26)</f>
        <v>0</v>
      </c>
      <c r="T6" s="133">
        <f>IF(SER_hh_emih!T6=0,0,SER_hh_emih!T6/SER_summary!T$26)</f>
        <v>0</v>
      </c>
      <c r="U6" s="133">
        <f>IF(SER_hh_emih!U6=0,0,SER_hh_emih!U6/SER_summary!U$26)</f>
        <v>0</v>
      </c>
      <c r="V6" s="133">
        <f>IF(SER_hh_emih!V6=0,0,SER_hh_emih!V6/SER_summary!V$26)</f>
        <v>0</v>
      </c>
      <c r="W6" s="133">
        <f>IF(SER_hh_emih!W6=0,0,SER_hh_emih!W6/SER_summary!W$26)</f>
        <v>0</v>
      </c>
      <c r="DA6" s="157" t="s">
        <v>541</v>
      </c>
    </row>
    <row r="7" spans="1:105" ht="12" customHeight="1" x14ac:dyDescent="0.25">
      <c r="A7" s="132" t="s">
        <v>168</v>
      </c>
      <c r="B7" s="133">
        <f>IF(SER_hh_emih!B7=0,0,SER_hh_emih!B7/SER_summary!B$26)</f>
        <v>49.62447075802757</v>
      </c>
      <c r="C7" s="133">
        <f>IF(SER_hh_emih!C7=0,0,SER_hh_emih!C7/SER_summary!C$26)</f>
        <v>48.424792424922195</v>
      </c>
      <c r="D7" s="133">
        <f>IF(SER_hh_emih!D7=0,0,SER_hh_emih!D7/SER_summary!D$26)</f>
        <v>46.56975838472809</v>
      </c>
      <c r="E7" s="133">
        <f>IF(SER_hh_emih!E7=0,0,SER_hh_emih!E7/SER_summary!E$26)</f>
        <v>47.304436469997043</v>
      </c>
      <c r="F7" s="133">
        <f>IF(SER_hh_emih!F7=0,0,SER_hh_emih!F7/SER_summary!F$26)</f>
        <v>49.742365205524351</v>
      </c>
      <c r="G7" s="133">
        <f>IF(SER_hh_emih!G7=0,0,SER_hh_emih!G7/SER_summary!G$26)</f>
        <v>46.694068786108708</v>
      </c>
      <c r="H7" s="133">
        <f>IF(SER_hh_emih!H7=0,0,SER_hh_emih!H7/SER_summary!H$26)</f>
        <v>42.591554264454516</v>
      </c>
      <c r="I7" s="133">
        <f>IF(SER_hh_emih!I7=0,0,SER_hh_emih!I7/SER_summary!I$26)</f>
        <v>40.383293102630311</v>
      </c>
      <c r="J7" s="133">
        <f>IF(SER_hh_emih!J7=0,0,SER_hh_emih!J7/SER_summary!J$26)</f>
        <v>42.465439690701061</v>
      </c>
      <c r="K7" s="133">
        <f>IF(SER_hh_emih!K7=0,0,SER_hh_emih!K7/SER_summary!K$26)</f>
        <v>40.172235885711885</v>
      </c>
      <c r="L7" s="133">
        <f>IF(SER_hh_emih!L7=0,0,SER_hh_emih!L7/SER_summary!L$26)</f>
        <v>39.788232919798538</v>
      </c>
      <c r="M7" s="133">
        <f>IF(SER_hh_emih!M7=0,0,SER_hh_emih!M7/SER_summary!M$26)</f>
        <v>30.854171111946691</v>
      </c>
      <c r="N7" s="133">
        <f>IF(SER_hh_emih!N7=0,0,SER_hh_emih!N7/SER_summary!N$26)</f>
        <v>35.396269713985298</v>
      </c>
      <c r="O7" s="133">
        <f>IF(SER_hh_emih!O7=0,0,SER_hh_emih!O7/SER_summary!O$26)</f>
        <v>31.227190199930931</v>
      </c>
      <c r="P7" s="133">
        <f>IF(SER_hh_emih!P7=0,0,SER_hh_emih!P7/SER_summary!P$26)</f>
        <v>27.570606027981103</v>
      </c>
      <c r="Q7" s="133">
        <f>IF(SER_hh_emih!Q7=0,0,SER_hh_emih!Q7/SER_summary!Q$26)</f>
        <v>29.059752465313736</v>
      </c>
      <c r="R7" s="133">
        <f>IF(SER_hh_emih!R7=0,0,SER_hh_emih!R7/SER_summary!R$26)</f>
        <v>29.727398346701595</v>
      </c>
      <c r="S7" s="133">
        <f>IF(SER_hh_emih!S7=0,0,SER_hh_emih!S7/SER_summary!S$26)</f>
        <v>29.034028640861205</v>
      </c>
      <c r="T7" s="133">
        <f>IF(SER_hh_emih!T7=0,0,SER_hh_emih!T7/SER_summary!T$26)</f>
        <v>34.122729232218951</v>
      </c>
      <c r="U7" s="133">
        <f>IF(SER_hh_emih!U7=0,0,SER_hh_emih!U7/SER_summary!U$26)</f>
        <v>20.941588534674679</v>
      </c>
      <c r="V7" s="133">
        <f>IF(SER_hh_emih!V7=0,0,SER_hh_emih!V7/SER_summary!V$26)</f>
        <v>30.353590207940531</v>
      </c>
      <c r="W7" s="133">
        <f>IF(SER_hh_emih!W7=0,0,SER_hh_emih!W7/SER_summary!W$26)</f>
        <v>26.260135360708748</v>
      </c>
      <c r="DA7" s="157" t="s">
        <v>542</v>
      </c>
    </row>
    <row r="8" spans="1:105" ht="12" customHeight="1" x14ac:dyDescent="0.25">
      <c r="A8" s="132" t="s">
        <v>73</v>
      </c>
      <c r="B8" s="133">
        <f>IF(SER_hh_emih!B8=0,0,SER_hh_emih!B8/SER_summary!B$26)</f>
        <v>16.52932382592234</v>
      </c>
      <c r="C8" s="133">
        <f>IF(SER_hh_emih!C8=0,0,SER_hh_emih!C8/SER_summary!C$26)</f>
        <v>15.521327928496751</v>
      </c>
      <c r="D8" s="133">
        <f>IF(SER_hh_emih!D8=0,0,SER_hh_emih!D8/SER_summary!D$26)</f>
        <v>14.280984858018108</v>
      </c>
      <c r="E8" s="133">
        <f>IF(SER_hh_emih!E8=0,0,SER_hh_emih!E8/SER_summary!E$26)</f>
        <v>15.623299578256391</v>
      </c>
      <c r="F8" s="133">
        <f>IF(SER_hh_emih!F8=0,0,SER_hh_emih!F8/SER_summary!F$26)</f>
        <v>14.733365152255285</v>
      </c>
      <c r="G8" s="133">
        <f>IF(SER_hh_emih!G8=0,0,SER_hh_emih!G8/SER_summary!G$26)</f>
        <v>11.524555124768302</v>
      </c>
      <c r="H8" s="133">
        <f>IF(SER_hh_emih!H8=0,0,SER_hh_emih!H8/SER_summary!H$26)</f>
        <v>6.4529650425924663</v>
      </c>
      <c r="I8" s="133">
        <f>IF(SER_hh_emih!I8=0,0,SER_hh_emih!I8/SER_summary!I$26)</f>
        <v>12.610949345619655</v>
      </c>
      <c r="J8" s="133">
        <f>IF(SER_hh_emih!J8=0,0,SER_hh_emih!J8/SER_summary!J$26)</f>
        <v>10.238589296364076</v>
      </c>
      <c r="K8" s="133">
        <f>IF(SER_hh_emih!K8=0,0,SER_hh_emih!K8/SER_summary!K$26)</f>
        <v>9.43572442101385</v>
      </c>
      <c r="L8" s="133">
        <f>IF(SER_hh_emih!L8=0,0,SER_hh_emih!L8/SER_summary!L$26)</f>
        <v>8.8379447882447533</v>
      </c>
      <c r="M8" s="133">
        <f>IF(SER_hh_emih!M8=0,0,SER_hh_emih!M8/SER_summary!M$26)</f>
        <v>8.0793828630436195</v>
      </c>
      <c r="N8" s="133">
        <f>IF(SER_hh_emih!N8=0,0,SER_hh_emih!N8/SER_summary!N$26)</f>
        <v>7.3347972611507926</v>
      </c>
      <c r="O8" s="133">
        <f>IF(SER_hh_emih!O8=0,0,SER_hh_emih!O8/SER_summary!O$26)</f>
        <v>6.2354578157941409</v>
      </c>
      <c r="P8" s="133">
        <f>IF(SER_hh_emih!P8=0,0,SER_hh_emih!P8/SER_summary!P$26)</f>
        <v>6.4419977256398164</v>
      </c>
      <c r="Q8" s="133">
        <f>IF(SER_hh_emih!Q8=0,0,SER_hh_emih!Q8/SER_summary!Q$26)</f>
        <v>6.797441613553258</v>
      </c>
      <c r="R8" s="133">
        <f>IF(SER_hh_emih!R8=0,0,SER_hh_emih!R8/SER_summary!R$26)</f>
        <v>6.4564342227454281</v>
      </c>
      <c r="S8" s="133">
        <f>IF(SER_hh_emih!S8=0,0,SER_hh_emih!S8/SER_summary!S$26)</f>
        <v>6.072382071726107</v>
      </c>
      <c r="T8" s="133">
        <f>IF(SER_hh_emih!T8=0,0,SER_hh_emih!T8/SER_summary!T$26)</f>
        <v>5.8230086793508145</v>
      </c>
      <c r="U8" s="133">
        <f>IF(SER_hh_emih!U8=0,0,SER_hh_emih!U8/SER_summary!U$26)</f>
        <v>5.463482736118781</v>
      </c>
      <c r="V8" s="133">
        <f>IF(SER_hh_emih!V8=0,0,SER_hh_emih!V8/SER_summary!V$26)</f>
        <v>5.7438121503297257</v>
      </c>
      <c r="W8" s="133">
        <f>IF(SER_hh_emih!W8=0,0,SER_hh_emih!W8/SER_summary!W$26)</f>
        <v>6.4098314847663707</v>
      </c>
      <c r="DA8" s="157" t="s">
        <v>543</v>
      </c>
    </row>
    <row r="9" spans="1:105" ht="12" customHeight="1" x14ac:dyDescent="0.25">
      <c r="A9" s="132" t="s">
        <v>78</v>
      </c>
      <c r="B9" s="133">
        <f>IF(SER_hh_emih!B9=0,0,SER_hh_emih!B9/SER_summary!B$26)</f>
        <v>31.433815710894159</v>
      </c>
      <c r="C9" s="133">
        <f>IF(SER_hh_emih!C9=0,0,SER_hh_emih!C9/SER_summary!C$26)</f>
        <v>31.090699646657363</v>
      </c>
      <c r="D9" s="133">
        <f>IF(SER_hh_emih!D9=0,0,SER_hh_emih!D9/SER_summary!D$26)</f>
        <v>28.775088081171369</v>
      </c>
      <c r="E9" s="133">
        <f>IF(SER_hh_emih!E9=0,0,SER_hh_emih!E9/SER_summary!E$26)</f>
        <v>31.41180298869903</v>
      </c>
      <c r="F9" s="133">
        <f>IF(SER_hh_emih!F9=0,0,SER_hh_emih!F9/SER_summary!F$26)</f>
        <v>28.277550233391779</v>
      </c>
      <c r="G9" s="133">
        <f>IF(SER_hh_emih!G9=0,0,SER_hh_emih!G9/SER_summary!G$26)</f>
        <v>27.088764936293167</v>
      </c>
      <c r="H9" s="133">
        <f>IF(SER_hh_emih!H9=0,0,SER_hh_emih!H9/SER_summary!H$26)</f>
        <v>28.274955716840495</v>
      </c>
      <c r="I9" s="133">
        <f>IF(SER_hh_emih!I9=0,0,SER_hh_emih!I9/SER_summary!I$26)</f>
        <v>25.284721590591161</v>
      </c>
      <c r="J9" s="133">
        <f>IF(SER_hh_emih!J9=0,0,SER_hh_emih!J9/SER_summary!J$26)</f>
        <v>24.720871709295434</v>
      </c>
      <c r="K9" s="133">
        <f>IF(SER_hh_emih!K9=0,0,SER_hh_emih!K9/SER_summary!K$26)</f>
        <v>25.143579375324254</v>
      </c>
      <c r="L9" s="133">
        <f>IF(SER_hh_emih!L9=0,0,SER_hh_emih!L9/SER_summary!L$26)</f>
        <v>25.654640834147674</v>
      </c>
      <c r="M9" s="133">
        <f>IF(SER_hh_emih!M9=0,0,SER_hh_emih!M9/SER_summary!M$26)</f>
        <v>19.541963669498696</v>
      </c>
      <c r="N9" s="133">
        <f>IF(SER_hh_emih!N9=0,0,SER_hh_emih!N9/SER_summary!N$26)</f>
        <v>22.011495896328313</v>
      </c>
      <c r="O9" s="133">
        <f>IF(SER_hh_emih!O9=0,0,SER_hh_emih!O9/SER_summary!O$26)</f>
        <v>22.435232960619402</v>
      </c>
      <c r="P9" s="133">
        <f>IF(SER_hh_emih!P9=0,0,SER_hh_emih!P9/SER_summary!P$26)</f>
        <v>15.45397410525662</v>
      </c>
      <c r="Q9" s="133">
        <f>IF(SER_hh_emih!Q9=0,0,SER_hh_emih!Q9/SER_summary!Q$26)</f>
        <v>19.830647958813554</v>
      </c>
      <c r="R9" s="133">
        <f>IF(SER_hh_emih!R9=0,0,SER_hh_emih!R9/SER_summary!R$26)</f>
        <v>19.718968128956039</v>
      </c>
      <c r="S9" s="133">
        <f>IF(SER_hh_emih!S9=0,0,SER_hh_emih!S9/SER_summary!S$26)</f>
        <v>21.180778859937153</v>
      </c>
      <c r="T9" s="133">
        <f>IF(SER_hh_emih!T9=0,0,SER_hh_emih!T9/SER_summary!T$26)</f>
        <v>15.447254397777197</v>
      </c>
      <c r="U9" s="133">
        <f>IF(SER_hh_emih!U9=0,0,SER_hh_emih!U9/SER_summary!U$26)</f>
        <v>14.568396439665166</v>
      </c>
      <c r="V9" s="133">
        <f>IF(SER_hh_emih!V9=0,0,SER_hh_emih!V9/SER_summary!V$26)</f>
        <v>14.714897016249855</v>
      </c>
      <c r="W9" s="133">
        <f>IF(SER_hh_emih!W9=0,0,SER_hh_emih!W9/SER_summary!W$26)</f>
        <v>22.082817635786324</v>
      </c>
      <c r="DA9" s="157" t="s">
        <v>544</v>
      </c>
    </row>
    <row r="10" spans="1:105" ht="12" customHeight="1" x14ac:dyDescent="0.25">
      <c r="A10" s="132" t="s">
        <v>128</v>
      </c>
      <c r="B10" s="133">
        <f>IF(SER_hh_emih!B10=0,0,SER_hh_emih!B10/SER_summary!B$26)</f>
        <v>16.823986950765327</v>
      </c>
      <c r="C10" s="133">
        <f>IF(SER_hh_emih!C10=0,0,SER_hh_emih!C10/SER_summary!C$26)</f>
        <v>13.831913810306348</v>
      </c>
      <c r="D10" s="133">
        <f>IF(SER_hh_emih!D10=0,0,SER_hh_emih!D10/SER_summary!D$26)</f>
        <v>18.600167215316656</v>
      </c>
      <c r="E10" s="133">
        <f>IF(SER_hh_emih!E10=0,0,SER_hh_emih!E10/SER_summary!E$26)</f>
        <v>18.211985782276699</v>
      </c>
      <c r="F10" s="133">
        <f>IF(SER_hh_emih!F10=0,0,SER_hh_emih!F10/SER_summary!F$26)</f>
        <v>14.124709973420034</v>
      </c>
      <c r="G10" s="133">
        <f>IF(SER_hh_emih!G10=0,0,SER_hh_emih!G10/SER_summary!G$26)</f>
        <v>13.839797960173176</v>
      </c>
      <c r="H10" s="133">
        <f>IF(SER_hh_emih!H10=0,0,SER_hh_emih!H10/SER_summary!H$26)</f>
        <v>14.198438600230931</v>
      </c>
      <c r="I10" s="133">
        <f>IF(SER_hh_emih!I10=0,0,SER_hh_emih!I10/SER_summary!I$26)</f>
        <v>10.245594677250256</v>
      </c>
      <c r="J10" s="133">
        <f>IF(SER_hh_emih!J10=0,0,SER_hh_emih!J10/SER_summary!J$26)</f>
        <v>7.8064892730842885</v>
      </c>
      <c r="K10" s="133">
        <f>IF(SER_hh_emih!K10=0,0,SER_hh_emih!K10/SER_summary!K$26)</f>
        <v>5.1337110318511856</v>
      </c>
      <c r="L10" s="133">
        <f>IF(SER_hh_emih!L10=0,0,SER_hh_emih!L10/SER_summary!L$26)</f>
        <v>5.287588596438515</v>
      </c>
      <c r="M10" s="133">
        <f>IF(SER_hh_emih!M10=0,0,SER_hh_emih!M10/SER_summary!M$26)</f>
        <v>7.4307411612661447</v>
      </c>
      <c r="N10" s="133">
        <f>IF(SER_hh_emih!N10=0,0,SER_hh_emih!N10/SER_summary!N$26)</f>
        <v>6.6300178017750238</v>
      </c>
      <c r="O10" s="133">
        <f>IF(SER_hh_emih!O10=0,0,SER_hh_emih!O10/SER_summary!O$26)</f>
        <v>6.0903347701516859</v>
      </c>
      <c r="P10" s="133">
        <f>IF(SER_hh_emih!P10=0,0,SER_hh_emih!P10/SER_summary!P$26)</f>
        <v>7.8604324941488182</v>
      </c>
      <c r="Q10" s="133">
        <f>IF(SER_hh_emih!Q10=0,0,SER_hh_emih!Q10/SER_summary!Q$26)</f>
        <v>3.0961759320489852</v>
      </c>
      <c r="R10" s="133">
        <f>IF(SER_hh_emih!R10=0,0,SER_hh_emih!R10/SER_summary!R$26)</f>
        <v>4.382180409524409</v>
      </c>
      <c r="S10" s="133">
        <f>IF(SER_hh_emih!S10=0,0,SER_hh_emih!S10/SER_summary!S$26)</f>
        <v>5.4137567440169096</v>
      </c>
      <c r="T10" s="133">
        <f>IF(SER_hh_emih!T10=0,0,SER_hh_emih!T10/SER_summary!T$26)</f>
        <v>5.9549313076086037</v>
      </c>
      <c r="U10" s="133">
        <f>IF(SER_hh_emih!U10=0,0,SER_hh_emih!U10/SER_summary!U$26)</f>
        <v>5.7170166653978338</v>
      </c>
      <c r="V10" s="133">
        <f>IF(SER_hh_emih!V10=0,0,SER_hh_emih!V10/SER_summary!V$26)</f>
        <v>4.6514702827015331</v>
      </c>
      <c r="W10" s="133">
        <f>IF(SER_hh_emih!W10=0,0,SER_hh_emih!W10/SER_summary!W$26)</f>
        <v>4.8183188969940103</v>
      </c>
      <c r="DA10" s="157" t="s">
        <v>545</v>
      </c>
    </row>
    <row r="11" spans="1:105" ht="12" customHeight="1" x14ac:dyDescent="0.25">
      <c r="A11" s="132" t="s">
        <v>25</v>
      </c>
      <c r="B11" s="133">
        <f>IF(SER_hh_emih!B11=0,0,SER_hh_emih!B11/SER_summary!B$26)</f>
        <v>0</v>
      </c>
      <c r="C11" s="133">
        <f>IF(SER_hh_emih!C11=0,0,SER_hh_emih!C11/SER_summary!C$26)</f>
        <v>0</v>
      </c>
      <c r="D11" s="133">
        <f>IF(SER_hh_emih!D11=0,0,SER_hh_emih!D11/SER_summary!D$26)</f>
        <v>0</v>
      </c>
      <c r="E11" s="133">
        <f>IF(SER_hh_emih!E11=0,0,SER_hh_emih!E11/SER_summary!E$26)</f>
        <v>0</v>
      </c>
      <c r="F11" s="133">
        <f>IF(SER_hh_emih!F11=0,0,SER_hh_emih!F11/SER_summary!F$26)</f>
        <v>0</v>
      </c>
      <c r="G11" s="133">
        <f>IF(SER_hh_emih!G11=0,0,SER_hh_emih!G11/SER_summary!G$26)</f>
        <v>0</v>
      </c>
      <c r="H11" s="133">
        <f>IF(SER_hh_emih!H11=0,0,SER_hh_emih!H11/SER_summary!H$26)</f>
        <v>0</v>
      </c>
      <c r="I11" s="133">
        <f>IF(SER_hh_emih!I11=0,0,SER_hh_emih!I11/SER_summary!I$26)</f>
        <v>0</v>
      </c>
      <c r="J11" s="133">
        <f>IF(SER_hh_emih!J11=0,0,SER_hh_emih!J11/SER_summary!J$26)</f>
        <v>0</v>
      </c>
      <c r="K11" s="133">
        <f>IF(SER_hh_emih!K11=0,0,SER_hh_emih!K11/SER_summary!K$26)</f>
        <v>0</v>
      </c>
      <c r="L11" s="133">
        <f>IF(SER_hh_emih!L11=0,0,SER_hh_emih!L11/SER_summary!L$26)</f>
        <v>0</v>
      </c>
      <c r="M11" s="133">
        <f>IF(SER_hh_emih!M11=0,0,SER_hh_emih!M11/SER_summary!M$26)</f>
        <v>0</v>
      </c>
      <c r="N11" s="133">
        <f>IF(SER_hh_emih!N11=0,0,SER_hh_emih!N11/SER_summary!N$26)</f>
        <v>0</v>
      </c>
      <c r="O11" s="133">
        <f>IF(SER_hh_emih!O11=0,0,SER_hh_emih!O11/SER_summary!O$26)</f>
        <v>0</v>
      </c>
      <c r="P11" s="133">
        <f>IF(SER_hh_emih!P11=0,0,SER_hh_emih!P11/SER_summary!P$26)</f>
        <v>0</v>
      </c>
      <c r="Q11" s="133">
        <f>IF(SER_hh_emih!Q11=0,0,SER_hh_emih!Q11/SER_summary!Q$26)</f>
        <v>0</v>
      </c>
      <c r="R11" s="133">
        <f>IF(SER_hh_emih!R11=0,0,SER_hh_emih!R11/SER_summary!R$26)</f>
        <v>0</v>
      </c>
      <c r="S11" s="133">
        <f>IF(SER_hh_emih!S11=0,0,SER_hh_emih!S11/SER_summary!S$26)</f>
        <v>0</v>
      </c>
      <c r="T11" s="133">
        <f>IF(SER_hh_emih!T11=0,0,SER_hh_emih!T11/SER_summary!T$26)</f>
        <v>0</v>
      </c>
      <c r="U11" s="133">
        <f>IF(SER_hh_emih!U11=0,0,SER_hh_emih!U11/SER_summary!U$26)</f>
        <v>0</v>
      </c>
      <c r="V11" s="133">
        <f>IF(SER_hh_emih!V11=0,0,SER_hh_emih!V11/SER_summary!V$26)</f>
        <v>0</v>
      </c>
      <c r="W11" s="133">
        <f>IF(SER_hh_emih!W11=0,0,SER_hh_emih!W11/SER_summary!W$26)</f>
        <v>0</v>
      </c>
      <c r="DA11" s="157" t="s">
        <v>546</v>
      </c>
    </row>
    <row r="12" spans="1:105" ht="12" customHeight="1" x14ac:dyDescent="0.25">
      <c r="A12" s="132" t="s">
        <v>169</v>
      </c>
      <c r="B12" s="133">
        <f>IF(SER_hh_emih!B12=0,0,SER_hh_emih!B12/SER_summary!B$26)</f>
        <v>0</v>
      </c>
      <c r="C12" s="133">
        <f>IF(SER_hh_emih!C12=0,0,SER_hh_emih!C12/SER_summary!C$26)</f>
        <v>0</v>
      </c>
      <c r="D12" s="133">
        <f>IF(SER_hh_emih!D12=0,0,SER_hh_emih!D12/SER_summary!D$26)</f>
        <v>0</v>
      </c>
      <c r="E12" s="133">
        <f>IF(SER_hh_emih!E12=0,0,SER_hh_emih!E12/SER_summary!E$26)</f>
        <v>0</v>
      </c>
      <c r="F12" s="133">
        <f>IF(SER_hh_emih!F12=0,0,SER_hh_emih!F12/SER_summary!F$26)</f>
        <v>0</v>
      </c>
      <c r="G12" s="133">
        <f>IF(SER_hh_emih!G12=0,0,SER_hh_emih!G12/SER_summary!G$26)</f>
        <v>0</v>
      </c>
      <c r="H12" s="133">
        <f>IF(SER_hh_emih!H12=0,0,SER_hh_emih!H12/SER_summary!H$26)</f>
        <v>0</v>
      </c>
      <c r="I12" s="133">
        <f>IF(SER_hh_emih!I12=0,0,SER_hh_emih!I12/SER_summary!I$26)</f>
        <v>0</v>
      </c>
      <c r="J12" s="133">
        <f>IF(SER_hh_emih!J12=0,0,SER_hh_emih!J12/SER_summary!J$26)</f>
        <v>0</v>
      </c>
      <c r="K12" s="133">
        <f>IF(SER_hh_emih!K12=0,0,SER_hh_emih!K12/SER_summary!K$26)</f>
        <v>0</v>
      </c>
      <c r="L12" s="133">
        <f>IF(SER_hh_emih!L12=0,0,SER_hh_emih!L12/SER_summary!L$26)</f>
        <v>0</v>
      </c>
      <c r="M12" s="133">
        <f>IF(SER_hh_emih!M12=0,0,SER_hh_emih!M12/SER_summary!M$26)</f>
        <v>0</v>
      </c>
      <c r="N12" s="133">
        <f>IF(SER_hh_emih!N12=0,0,SER_hh_emih!N12/SER_summary!N$26)</f>
        <v>0</v>
      </c>
      <c r="O12" s="133">
        <f>IF(SER_hh_emih!O12=0,0,SER_hh_emih!O12/SER_summary!O$26)</f>
        <v>0</v>
      </c>
      <c r="P12" s="133">
        <f>IF(SER_hh_emih!P12=0,0,SER_hh_emih!P12/SER_summary!P$26)</f>
        <v>0</v>
      </c>
      <c r="Q12" s="133">
        <f>IF(SER_hh_emih!Q12=0,0,SER_hh_emih!Q12/SER_summary!Q$26)</f>
        <v>0</v>
      </c>
      <c r="R12" s="133">
        <f>IF(SER_hh_emih!R12=0,0,SER_hh_emih!R12/SER_summary!R$26)</f>
        <v>0</v>
      </c>
      <c r="S12" s="133">
        <f>IF(SER_hh_emih!S12=0,0,SER_hh_emih!S12/SER_summary!S$26)</f>
        <v>0</v>
      </c>
      <c r="T12" s="133">
        <f>IF(SER_hh_emih!T12=0,0,SER_hh_emih!T12/SER_summary!T$26)</f>
        <v>0</v>
      </c>
      <c r="U12" s="133">
        <f>IF(SER_hh_emih!U12=0,0,SER_hh_emih!U12/SER_summary!U$26)</f>
        <v>0</v>
      </c>
      <c r="V12" s="133">
        <f>IF(SER_hh_emih!V12=0,0,SER_hh_emih!V12/SER_summary!V$26)</f>
        <v>0</v>
      </c>
      <c r="W12" s="133">
        <f>IF(SER_hh_emih!W12=0,0,SER_hh_emih!W12/SER_summary!W$26)</f>
        <v>0</v>
      </c>
      <c r="DA12" s="157" t="s">
        <v>547</v>
      </c>
    </row>
    <row r="13" spans="1:105" ht="12" customHeight="1" x14ac:dyDescent="0.25">
      <c r="A13" s="132" t="s">
        <v>77</v>
      </c>
      <c r="B13" s="133">
        <f>IF(SER_hh_emih!B13=0,0,SER_hh_emih!B13/SER_summary!B$26)</f>
        <v>0</v>
      </c>
      <c r="C13" s="133">
        <f>IF(SER_hh_emih!C13=0,0,SER_hh_emih!C13/SER_summary!C$26)</f>
        <v>0</v>
      </c>
      <c r="D13" s="133">
        <f>IF(SER_hh_emih!D13=0,0,SER_hh_emih!D13/SER_summary!D$26)</f>
        <v>0</v>
      </c>
      <c r="E13" s="133">
        <f>IF(SER_hh_emih!E13=0,0,SER_hh_emih!E13/SER_summary!E$26)</f>
        <v>0</v>
      </c>
      <c r="F13" s="133">
        <f>IF(SER_hh_emih!F13=0,0,SER_hh_emih!F13/SER_summary!F$26)</f>
        <v>0</v>
      </c>
      <c r="G13" s="133">
        <f>IF(SER_hh_emih!G13=0,0,SER_hh_emih!G13/SER_summary!G$26)</f>
        <v>0</v>
      </c>
      <c r="H13" s="133">
        <f>IF(SER_hh_emih!H13=0,0,SER_hh_emih!H13/SER_summary!H$26)</f>
        <v>0</v>
      </c>
      <c r="I13" s="133">
        <f>IF(SER_hh_emih!I13=0,0,SER_hh_emih!I13/SER_summary!I$26)</f>
        <v>0</v>
      </c>
      <c r="J13" s="133">
        <f>IF(SER_hh_emih!J13=0,0,SER_hh_emih!J13/SER_summary!J$26)</f>
        <v>0</v>
      </c>
      <c r="K13" s="133">
        <f>IF(SER_hh_emih!K13=0,0,SER_hh_emih!K13/SER_summary!K$26)</f>
        <v>0</v>
      </c>
      <c r="L13" s="133">
        <f>IF(SER_hh_emih!L13=0,0,SER_hh_emih!L13/SER_summary!L$26)</f>
        <v>0</v>
      </c>
      <c r="M13" s="133">
        <f>IF(SER_hh_emih!M13=0,0,SER_hh_emih!M13/SER_summary!M$26)</f>
        <v>0</v>
      </c>
      <c r="N13" s="133">
        <f>IF(SER_hh_emih!N13=0,0,SER_hh_emih!N13/SER_summary!N$26)</f>
        <v>0</v>
      </c>
      <c r="O13" s="133">
        <f>IF(SER_hh_emih!O13=0,0,SER_hh_emih!O13/SER_summary!O$26)</f>
        <v>0</v>
      </c>
      <c r="P13" s="133">
        <f>IF(SER_hh_emih!P13=0,0,SER_hh_emih!P13/SER_summary!P$26)</f>
        <v>0</v>
      </c>
      <c r="Q13" s="133">
        <f>IF(SER_hh_emih!Q13=0,0,SER_hh_emih!Q13/SER_summary!Q$26)</f>
        <v>0</v>
      </c>
      <c r="R13" s="133">
        <f>IF(SER_hh_emih!R13=0,0,SER_hh_emih!R13/SER_summary!R$26)</f>
        <v>0</v>
      </c>
      <c r="S13" s="133">
        <f>IF(SER_hh_emih!S13=0,0,SER_hh_emih!S13/SER_summary!S$26)</f>
        <v>0</v>
      </c>
      <c r="T13" s="133">
        <f>IF(SER_hh_emih!T13=0,0,SER_hh_emih!T13/SER_summary!T$26)</f>
        <v>0</v>
      </c>
      <c r="U13" s="133">
        <f>IF(SER_hh_emih!U13=0,0,SER_hh_emih!U13/SER_summary!U$26)</f>
        <v>0</v>
      </c>
      <c r="V13" s="133">
        <f>IF(SER_hh_emih!V13=0,0,SER_hh_emih!V13/SER_summary!V$26)</f>
        <v>0</v>
      </c>
      <c r="W13" s="133">
        <f>IF(SER_hh_emih!W13=0,0,SER_hh_emih!W13/SER_summary!W$26)</f>
        <v>0</v>
      </c>
      <c r="DA13" s="157" t="s">
        <v>548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DA14" s="109" t="s">
        <v>549</v>
      </c>
    </row>
    <row r="15" spans="1:105" ht="12" customHeight="1" x14ac:dyDescent="0.25">
      <c r="A15" s="134" t="s">
        <v>80</v>
      </c>
      <c r="B15" s="135">
        <f>IF(SER_hh_emih!B15=0,0,SER_hh_emih!B15/SER_summary!B$26)</f>
        <v>0</v>
      </c>
      <c r="C15" s="135">
        <f>IF(SER_hh_emih!C15=0,0,SER_hh_emih!C15/SER_summary!C$26)</f>
        <v>0</v>
      </c>
      <c r="D15" s="135">
        <f>IF(SER_hh_emih!D15=0,0,SER_hh_emih!D15/SER_summary!D$26)</f>
        <v>0</v>
      </c>
      <c r="E15" s="135">
        <f>IF(SER_hh_emih!E15=0,0,SER_hh_emih!E15/SER_summary!E$26)</f>
        <v>0</v>
      </c>
      <c r="F15" s="135">
        <f>IF(SER_hh_emih!F15=0,0,SER_hh_emih!F15/SER_summary!F$26)</f>
        <v>0</v>
      </c>
      <c r="G15" s="135">
        <f>IF(SER_hh_emih!G15=0,0,SER_hh_emih!G15/SER_summary!G$26)</f>
        <v>0</v>
      </c>
      <c r="H15" s="135">
        <f>IF(SER_hh_emih!H15=0,0,SER_hh_emih!H15/SER_summary!H$26)</f>
        <v>0</v>
      </c>
      <c r="I15" s="135">
        <f>IF(SER_hh_emih!I15=0,0,SER_hh_emih!I15/SER_summary!I$26)</f>
        <v>0</v>
      </c>
      <c r="J15" s="135">
        <f>IF(SER_hh_emih!J15=0,0,SER_hh_emih!J15/SER_summary!J$26)</f>
        <v>0</v>
      </c>
      <c r="K15" s="135">
        <f>IF(SER_hh_emih!K15=0,0,SER_hh_emih!K15/SER_summary!K$26)</f>
        <v>0</v>
      </c>
      <c r="L15" s="135">
        <f>IF(SER_hh_emih!L15=0,0,SER_hh_emih!L15/SER_summary!L$26)</f>
        <v>0</v>
      </c>
      <c r="M15" s="135">
        <f>IF(SER_hh_emih!M15=0,0,SER_hh_emih!M15/SER_summary!M$26)</f>
        <v>0</v>
      </c>
      <c r="N15" s="135">
        <f>IF(SER_hh_emih!N15=0,0,SER_hh_emih!N15/SER_summary!N$26)</f>
        <v>0</v>
      </c>
      <c r="O15" s="135">
        <f>IF(SER_hh_emih!O15=0,0,SER_hh_emih!O15/SER_summary!O$26)</f>
        <v>0</v>
      </c>
      <c r="P15" s="135">
        <f>IF(SER_hh_emih!P15=0,0,SER_hh_emih!P15/SER_summary!P$26)</f>
        <v>0</v>
      </c>
      <c r="Q15" s="135">
        <f>IF(SER_hh_emih!Q15=0,0,SER_hh_emih!Q15/SER_summary!Q$26)</f>
        <v>0</v>
      </c>
      <c r="R15" s="135">
        <f>IF(SER_hh_emih!R15=0,0,SER_hh_emih!R15/SER_summary!R$26)</f>
        <v>0</v>
      </c>
      <c r="S15" s="135">
        <f>IF(SER_hh_emih!S15=0,0,SER_hh_emih!S15/SER_summary!S$26)</f>
        <v>0</v>
      </c>
      <c r="T15" s="135">
        <f>IF(SER_hh_emih!T15=0,0,SER_hh_emih!T15/SER_summary!T$26)</f>
        <v>0</v>
      </c>
      <c r="U15" s="135">
        <f>IF(SER_hh_emih!U15=0,0,SER_hh_emih!U15/SER_summary!U$26)</f>
        <v>0</v>
      </c>
      <c r="V15" s="135">
        <f>IF(SER_hh_emih!V15=0,0,SER_hh_emih!V15/SER_summary!V$26)</f>
        <v>0</v>
      </c>
      <c r="W15" s="135">
        <f>IF(SER_hh_emih!W15=0,0,SER_hh_emih!W15/SER_summary!W$26)</f>
        <v>0</v>
      </c>
      <c r="DA15" s="158" t="s">
        <v>550</v>
      </c>
    </row>
    <row r="16" spans="1:105" ht="12.95" customHeight="1" x14ac:dyDescent="0.25">
      <c r="A16" s="130" t="s">
        <v>74</v>
      </c>
      <c r="B16" s="131">
        <f>IF(SER_hh_emih!B16=0,0,SER_hh_emih!B16/SER_summary!B$26)</f>
        <v>3.3538923585643122E-3</v>
      </c>
      <c r="C16" s="131">
        <f>IF(SER_hh_emih!C16=0,0,SER_hh_emih!C16/SER_summary!C$26)</f>
        <v>3.3982743519615135E-3</v>
      </c>
      <c r="D16" s="131">
        <f>IF(SER_hh_emih!D16=0,0,SER_hh_emih!D16/SER_summary!D$26)</f>
        <v>3.4982834238288418E-3</v>
      </c>
      <c r="E16" s="131">
        <f>IF(SER_hh_emih!E16=0,0,SER_hh_emih!E16/SER_summary!E$26)</f>
        <v>3.5523321081399909E-3</v>
      </c>
      <c r="F16" s="131">
        <f>IF(SER_hh_emih!F16=0,0,SER_hh_emih!F16/SER_summary!F$26)</f>
        <v>3.695146569686363E-3</v>
      </c>
      <c r="G16" s="131">
        <f>IF(SER_hh_emih!G16=0,0,SER_hh_emih!G16/SER_summary!G$26)</f>
        <v>3.8927451796665915E-3</v>
      </c>
      <c r="H16" s="131">
        <f>IF(SER_hh_emih!H16=0,0,SER_hh_emih!H16/SER_summary!H$26)</f>
        <v>3.9181678461115733E-3</v>
      </c>
      <c r="I16" s="131">
        <f>IF(SER_hh_emih!I16=0,0,SER_hh_emih!I16/SER_summary!I$26)</f>
        <v>3.8892965189619186E-3</v>
      </c>
      <c r="J16" s="131">
        <f>IF(SER_hh_emih!J16=0,0,SER_hh_emih!J16/SER_summary!J$26)</f>
        <v>3.902882988984288E-3</v>
      </c>
      <c r="K16" s="131">
        <f>IF(SER_hh_emih!K16=0,0,SER_hh_emih!K16/SER_summary!K$26)</f>
        <v>3.8750145874709308E-3</v>
      </c>
      <c r="L16" s="131">
        <f>IF(SER_hh_emih!L16=0,0,SER_hh_emih!L16/SER_summary!L$26)</f>
        <v>3.9873962118508154E-3</v>
      </c>
      <c r="M16" s="131">
        <f>IF(SER_hh_emih!M16=0,0,SER_hh_emih!M16/SER_summary!M$26)</f>
        <v>4.2283563454302625E-3</v>
      </c>
      <c r="N16" s="131">
        <f>IF(SER_hh_emih!N16=0,0,SER_hh_emih!N16/SER_summary!N$26)</f>
        <v>4.7129515377705902E-3</v>
      </c>
      <c r="O16" s="131">
        <f>IF(SER_hh_emih!O16=0,0,SER_hh_emih!O16/SER_summary!O$26)</f>
        <v>5.5153681421246867E-3</v>
      </c>
      <c r="P16" s="131">
        <f>IF(SER_hh_emih!P16=0,0,SER_hh_emih!P16/SER_summary!P$26)</f>
        <v>7.0885887030719824E-3</v>
      </c>
      <c r="Q16" s="131">
        <f>IF(SER_hh_emih!Q16=0,0,SER_hh_emih!Q16/SER_summary!Q$26)</f>
        <v>9.6799089765798162E-3</v>
      </c>
      <c r="R16" s="131">
        <f>IF(SER_hh_emih!R16=0,0,SER_hh_emih!R16/SER_summary!R$26)</f>
        <v>1.1758375230854585E-2</v>
      </c>
      <c r="S16" s="131">
        <f>IF(SER_hh_emih!S16=0,0,SER_hh_emih!S16/SER_summary!S$26)</f>
        <v>1.384451317818376E-2</v>
      </c>
      <c r="T16" s="131">
        <f>IF(SER_hh_emih!T16=0,0,SER_hh_emih!T16/SER_summary!T$26)</f>
        <v>1.5274644202290098E-2</v>
      </c>
      <c r="U16" s="131">
        <f>IF(SER_hh_emih!U16=0,0,SER_hh_emih!U16/SER_summary!U$26)</f>
        <v>1.633341729600692E-2</v>
      </c>
      <c r="V16" s="131">
        <f>IF(SER_hh_emih!V16=0,0,SER_hh_emih!V16/SER_summary!V$26)</f>
        <v>1.6672871472376609E-2</v>
      </c>
      <c r="W16" s="131">
        <f>IF(SER_hh_emih!W16=0,0,SER_hh_emih!W16/SER_summary!W$26)</f>
        <v>1.6760711704798065E-2</v>
      </c>
      <c r="DA16" s="156" t="s">
        <v>551</v>
      </c>
    </row>
    <row r="17" spans="1:105" ht="12.95" customHeight="1" x14ac:dyDescent="0.25">
      <c r="A17" s="132" t="s">
        <v>73</v>
      </c>
      <c r="B17" s="133">
        <f>IF(SER_hh_emih!B17=0,0,SER_hh_emih!B17/SER_summary!B$26)</f>
        <v>3.7675653612255942</v>
      </c>
      <c r="C17" s="133">
        <f>IF(SER_hh_emih!C17=0,0,SER_hh_emih!C17/SER_summary!C$26)</f>
        <v>3.7105118075116521</v>
      </c>
      <c r="D17" s="133">
        <f>IF(SER_hh_emih!D17=0,0,SER_hh_emih!D17/SER_summary!D$26)</f>
        <v>3.6425704506291954</v>
      </c>
      <c r="E17" s="133">
        <f>IF(SER_hh_emih!E17=0,0,SER_hh_emih!E17/SER_summary!E$26)</f>
        <v>3.6831584521319467</v>
      </c>
      <c r="F17" s="133">
        <f>IF(SER_hh_emih!F17=0,0,SER_hh_emih!F17/SER_summary!F$26)</f>
        <v>3.607237457412368</v>
      </c>
      <c r="G17" s="133">
        <f>IF(SER_hh_emih!G17=0,0,SER_hh_emih!G17/SER_summary!G$26)</f>
        <v>3.5717899874987675</v>
      </c>
      <c r="H17" s="133">
        <f>IF(SER_hh_emih!H17=0,0,SER_hh_emih!H17/SER_summary!H$26)</f>
        <v>3.5395228595507473</v>
      </c>
      <c r="I17" s="133">
        <f>IF(SER_hh_emih!I17=0,0,SER_hh_emih!I17/SER_summary!I$26)</f>
        <v>3.5534837105543935</v>
      </c>
      <c r="J17" s="133">
        <f>IF(SER_hh_emih!J17=0,0,SER_hh_emih!J17/SER_summary!J$26)</f>
        <v>3.5250418242271806</v>
      </c>
      <c r="K17" s="133">
        <f>IF(SER_hh_emih!K17=0,0,SER_hh_emih!K17/SER_summary!K$26)</f>
        <v>3.5441856251459618</v>
      </c>
      <c r="L17" s="133">
        <f>IF(SER_hh_emih!L17=0,0,SER_hh_emih!L17/SER_summary!L$26)</f>
        <v>3.5367962870090359</v>
      </c>
      <c r="M17" s="133">
        <f>IF(SER_hh_emih!M17=0,0,SER_hh_emih!M17/SER_summary!M$26)</f>
        <v>3.5075566609741755</v>
      </c>
      <c r="N17" s="133">
        <f>IF(SER_hh_emih!N17=0,0,SER_hh_emih!N17/SER_summary!N$26)</f>
        <v>3.4858823248845239</v>
      </c>
      <c r="O17" s="133">
        <f>IF(SER_hh_emih!O17=0,0,SER_hh_emih!O17/SER_summary!O$26)</f>
        <v>3.4096159064734906</v>
      </c>
      <c r="P17" s="133">
        <f>IF(SER_hh_emih!P17=0,0,SER_hh_emih!P17/SER_summary!P$26)</f>
        <v>3.4197708080270521</v>
      </c>
      <c r="Q17" s="133">
        <f>IF(SER_hh_emih!Q17=0,0,SER_hh_emih!Q17/SER_summary!Q$26)</f>
        <v>3.4148103463732959</v>
      </c>
      <c r="R17" s="133">
        <f>IF(SER_hh_emih!R17=0,0,SER_hh_emih!R17/SER_summary!R$26)</f>
        <v>3.3143861796834289</v>
      </c>
      <c r="S17" s="133">
        <f>IF(SER_hh_emih!S17=0,0,SER_hh_emih!S17/SER_summary!S$26)</f>
        <v>3.3190851941245874</v>
      </c>
      <c r="T17" s="133">
        <f>IF(SER_hh_emih!T17=0,0,SER_hh_emih!T17/SER_summary!T$26)</f>
        <v>3.4010892340274808</v>
      </c>
      <c r="U17" s="133">
        <f>IF(SER_hh_emih!U17=0,0,SER_hh_emih!U17/SER_summary!U$26)</f>
        <v>3.2402149825030548</v>
      </c>
      <c r="V17" s="133">
        <f>IF(SER_hh_emih!V17=0,0,SER_hh_emih!V17/SER_summary!V$26)</f>
        <v>2.2816686261713106</v>
      </c>
      <c r="W17" s="133">
        <f>IF(SER_hh_emih!W17=0,0,SER_hh_emih!W17/SER_summary!W$26)</f>
        <v>2.2547275134425981</v>
      </c>
      <c r="DA17" s="157" t="s">
        <v>552</v>
      </c>
    </row>
    <row r="18" spans="1:105" ht="12" customHeight="1" x14ac:dyDescent="0.25">
      <c r="A18" s="132" t="s">
        <v>72</v>
      </c>
      <c r="B18" s="133">
        <f>IF(SER_hh_emih!B18=0,0,SER_hh_emih!B18/SER_summary!B$26)</f>
        <v>0</v>
      </c>
      <c r="C18" s="133">
        <f>IF(SER_hh_emih!C18=0,0,SER_hh_emih!C18/SER_summary!C$26)</f>
        <v>0</v>
      </c>
      <c r="D18" s="133">
        <f>IF(SER_hh_emih!D18=0,0,SER_hh_emih!D18/SER_summary!D$26)</f>
        <v>0</v>
      </c>
      <c r="E18" s="133">
        <f>IF(SER_hh_emih!E18=0,0,SER_hh_emih!E18/SER_summary!E$26)</f>
        <v>0</v>
      </c>
      <c r="F18" s="133">
        <f>IF(SER_hh_emih!F18=0,0,SER_hh_emih!F18/SER_summary!F$26)</f>
        <v>0</v>
      </c>
      <c r="G18" s="133">
        <f>IF(SER_hh_emih!G18=0,0,SER_hh_emih!G18/SER_summary!G$26)</f>
        <v>0</v>
      </c>
      <c r="H18" s="133">
        <f>IF(SER_hh_emih!H18=0,0,SER_hh_emih!H18/SER_summary!H$26)</f>
        <v>0</v>
      </c>
      <c r="I18" s="133">
        <f>IF(SER_hh_emih!I18=0,0,SER_hh_emih!I18/SER_summary!I$26)</f>
        <v>0</v>
      </c>
      <c r="J18" s="133">
        <f>IF(SER_hh_emih!J18=0,0,SER_hh_emih!J18/SER_summary!J$26)</f>
        <v>0</v>
      </c>
      <c r="K18" s="133">
        <f>IF(SER_hh_emih!K18=0,0,SER_hh_emih!K18/SER_summary!K$26)</f>
        <v>0</v>
      </c>
      <c r="L18" s="133">
        <f>IF(SER_hh_emih!L18=0,0,SER_hh_emih!L18/SER_summary!L$26)</f>
        <v>0</v>
      </c>
      <c r="M18" s="133">
        <f>IF(SER_hh_emih!M18=0,0,SER_hh_emih!M18/SER_summary!M$26)</f>
        <v>0</v>
      </c>
      <c r="N18" s="133">
        <f>IF(SER_hh_emih!N18=0,0,SER_hh_emih!N18/SER_summary!N$26)</f>
        <v>0</v>
      </c>
      <c r="O18" s="133">
        <f>IF(SER_hh_emih!O18=0,0,SER_hh_emih!O18/SER_summary!O$26)</f>
        <v>0</v>
      </c>
      <c r="P18" s="133">
        <f>IF(SER_hh_emih!P18=0,0,SER_hh_emih!P18/SER_summary!P$26)</f>
        <v>0</v>
      </c>
      <c r="Q18" s="133">
        <f>IF(SER_hh_emih!Q18=0,0,SER_hh_emih!Q18/SER_summary!Q$26)</f>
        <v>0</v>
      </c>
      <c r="R18" s="133">
        <f>IF(SER_hh_emih!R18=0,0,SER_hh_emih!R18/SER_summary!R$26)</f>
        <v>0</v>
      </c>
      <c r="S18" s="133">
        <f>IF(SER_hh_emih!S18=0,0,SER_hh_emih!S18/SER_summary!S$26)</f>
        <v>0</v>
      </c>
      <c r="T18" s="133">
        <f>IF(SER_hh_emih!T18=0,0,SER_hh_emih!T18/SER_summary!T$26)</f>
        <v>0</v>
      </c>
      <c r="U18" s="133">
        <f>IF(SER_hh_emih!U18=0,0,SER_hh_emih!U18/SER_summary!U$26)</f>
        <v>0</v>
      </c>
      <c r="V18" s="133">
        <f>IF(SER_hh_emih!V18=0,0,SER_hh_emih!V18/SER_summary!V$26)</f>
        <v>0</v>
      </c>
      <c r="W18" s="133">
        <f>IF(SER_hh_emih!W18=0,0,SER_hh_emih!W18/SER_summary!W$26)</f>
        <v>0</v>
      </c>
      <c r="DA18" s="157" t="s">
        <v>553</v>
      </c>
    </row>
    <row r="19" spans="1:105" ht="12.95" customHeight="1" x14ac:dyDescent="0.25">
      <c r="A19" s="130" t="s">
        <v>35</v>
      </c>
      <c r="B19" s="131">
        <f>IF(SER_hh_emih!B19=0,0,SER_hh_emih!B19/SER_summary!B$26)</f>
        <v>0.72354523964403172</v>
      </c>
      <c r="C19" s="131">
        <f>IF(SER_hh_emih!C19=0,0,SER_hh_emih!C19/SER_summary!C$26)</f>
        <v>0.69454324129282774</v>
      </c>
      <c r="D19" s="131">
        <f>IF(SER_hh_emih!D19=0,0,SER_hh_emih!D19/SER_summary!D$26)</f>
        <v>0.69271463182547599</v>
      </c>
      <c r="E19" s="131">
        <f>IF(SER_hh_emih!E19=0,0,SER_hh_emih!E19/SER_summary!E$26)</f>
        <v>0.74094955842844956</v>
      </c>
      <c r="F19" s="131">
        <f>IF(SER_hh_emih!F19=0,0,SER_hh_emih!F19/SER_summary!F$26)</f>
        <v>0.72337118621406193</v>
      </c>
      <c r="G19" s="131">
        <f>IF(SER_hh_emih!G19=0,0,SER_hh_emih!G19/SER_summary!G$26)</f>
        <v>0.73819901249780695</v>
      </c>
      <c r="H19" s="131">
        <f>IF(SER_hh_emih!H19=0,0,SER_hh_emih!H19/SER_summary!H$26)</f>
        <v>0.71687727627593456</v>
      </c>
      <c r="I19" s="131">
        <f>IF(SER_hh_emih!I19=0,0,SER_hh_emih!I19/SER_summary!I$26)</f>
        <v>0.66730035445087899</v>
      </c>
      <c r="J19" s="131">
        <f>IF(SER_hh_emih!J19=0,0,SER_hh_emih!J19/SER_summary!J$26)</f>
        <v>0.65780843403815126</v>
      </c>
      <c r="K19" s="131">
        <f>IF(SER_hh_emih!K19=0,0,SER_hh_emih!K19/SER_summary!K$26)</f>
        <v>0.63837042210936112</v>
      </c>
      <c r="L19" s="131">
        <f>IF(SER_hh_emih!L19=0,0,SER_hh_emih!L19/SER_summary!L$26)</f>
        <v>0.61165034460604162</v>
      </c>
      <c r="M19" s="131">
        <f>IF(SER_hh_emih!M19=0,0,SER_hh_emih!M19/SER_summary!M$26)</f>
        <v>0.52093362081221728</v>
      </c>
      <c r="N19" s="131">
        <f>IF(SER_hh_emih!N19=0,0,SER_hh_emih!N19/SER_summary!N$26)</f>
        <v>0.51641079768491249</v>
      </c>
      <c r="O19" s="131">
        <f>IF(SER_hh_emih!O19=0,0,SER_hh_emih!O19/SER_summary!O$26)</f>
        <v>0.50486261419079348</v>
      </c>
      <c r="P19" s="131">
        <f>IF(SER_hh_emih!P19=0,0,SER_hh_emih!P19/SER_summary!P$26)</f>
        <v>0.47303099430834367</v>
      </c>
      <c r="Q19" s="131">
        <f>IF(SER_hh_emih!Q19=0,0,SER_hh_emih!Q19/SER_summary!Q$26)</f>
        <v>0.50845584460425219</v>
      </c>
      <c r="R19" s="131">
        <f>IF(SER_hh_emih!R19=0,0,SER_hh_emih!R19/SER_summary!R$26)</f>
        <v>0.50445714187976209</v>
      </c>
      <c r="S19" s="131">
        <f>IF(SER_hh_emih!S19=0,0,SER_hh_emih!S19/SER_summary!S$26)</f>
        <v>0.50520527993312647</v>
      </c>
      <c r="T19" s="131">
        <f>IF(SER_hh_emih!T19=0,0,SER_hh_emih!T19/SER_summary!T$26)</f>
        <v>0.48575119810538825</v>
      </c>
      <c r="U19" s="131">
        <f>IF(SER_hh_emih!U19=0,0,SER_hh_emih!U19/SER_summary!U$26)</f>
        <v>0.42945464974630904</v>
      </c>
      <c r="V19" s="131">
        <f>IF(SER_hh_emih!V19=0,0,SER_hh_emih!V19/SER_summary!V$26)</f>
        <v>0.31081386707605962</v>
      </c>
      <c r="W19" s="131">
        <f>IF(SER_hh_emih!W19=0,0,SER_hh_emih!W19/SER_summary!W$26)</f>
        <v>0.38711982588701788</v>
      </c>
      <c r="DA19" s="156" t="s">
        <v>554</v>
      </c>
    </row>
    <row r="20" spans="1:105" ht="12" customHeight="1" x14ac:dyDescent="0.25">
      <c r="A20" s="132" t="s">
        <v>29</v>
      </c>
      <c r="B20" s="133">
        <f>IF(SER_hh_emih!B20=0,0,SER_hh_emih!B20/SER_summary!B$26)</f>
        <v>0</v>
      </c>
      <c r="C20" s="133">
        <f>IF(SER_hh_emih!C20=0,0,SER_hh_emih!C20/SER_summary!C$26)</f>
        <v>0</v>
      </c>
      <c r="D20" s="133">
        <f>IF(SER_hh_emih!D20=0,0,SER_hh_emih!D20/SER_summary!D$26)</f>
        <v>0</v>
      </c>
      <c r="E20" s="133">
        <f>IF(SER_hh_emih!E20=0,0,SER_hh_emih!E20/SER_summary!E$26)</f>
        <v>0</v>
      </c>
      <c r="F20" s="133">
        <f>IF(SER_hh_emih!F20=0,0,SER_hh_emih!F20/SER_summary!F$26)</f>
        <v>0</v>
      </c>
      <c r="G20" s="133">
        <f>IF(SER_hh_emih!G20=0,0,SER_hh_emih!G20/SER_summary!G$26)</f>
        <v>0</v>
      </c>
      <c r="H20" s="133">
        <f>IF(SER_hh_emih!H20=0,0,SER_hh_emih!H20/SER_summary!H$26)</f>
        <v>0</v>
      </c>
      <c r="I20" s="133">
        <f>IF(SER_hh_emih!I20=0,0,SER_hh_emih!I20/SER_summary!I$26)</f>
        <v>0</v>
      </c>
      <c r="J20" s="133">
        <f>IF(SER_hh_emih!J20=0,0,SER_hh_emih!J20/SER_summary!J$26)</f>
        <v>0</v>
      </c>
      <c r="K20" s="133">
        <f>IF(SER_hh_emih!K20=0,0,SER_hh_emih!K20/SER_summary!K$26)</f>
        <v>0</v>
      </c>
      <c r="L20" s="133">
        <f>IF(SER_hh_emih!L20=0,0,SER_hh_emih!L20/SER_summary!L$26)</f>
        <v>0</v>
      </c>
      <c r="M20" s="133">
        <f>IF(SER_hh_emih!M20=0,0,SER_hh_emih!M20/SER_summary!M$26)</f>
        <v>0</v>
      </c>
      <c r="N20" s="133">
        <f>IF(SER_hh_emih!N20=0,0,SER_hh_emih!N20/SER_summary!N$26)</f>
        <v>0</v>
      </c>
      <c r="O20" s="133">
        <f>IF(SER_hh_emih!O20=0,0,SER_hh_emih!O20/SER_summary!O$26)</f>
        <v>0</v>
      </c>
      <c r="P20" s="133">
        <f>IF(SER_hh_emih!P20=0,0,SER_hh_emih!P20/SER_summary!P$26)</f>
        <v>0</v>
      </c>
      <c r="Q20" s="133">
        <f>IF(SER_hh_emih!Q20=0,0,SER_hh_emih!Q20/SER_summary!Q$26)</f>
        <v>0</v>
      </c>
      <c r="R20" s="133">
        <f>IF(SER_hh_emih!R20=0,0,SER_hh_emih!R20/SER_summary!R$26)</f>
        <v>0</v>
      </c>
      <c r="S20" s="133">
        <f>IF(SER_hh_emih!S20=0,0,SER_hh_emih!S20/SER_summary!S$26)</f>
        <v>0</v>
      </c>
      <c r="T20" s="133">
        <f>IF(SER_hh_emih!T20=0,0,SER_hh_emih!T20/SER_summary!T$26)</f>
        <v>0</v>
      </c>
      <c r="U20" s="133">
        <f>IF(SER_hh_emih!U20=0,0,SER_hh_emih!U20/SER_summary!U$26)</f>
        <v>0</v>
      </c>
      <c r="V20" s="133">
        <f>IF(SER_hh_emih!V20=0,0,SER_hh_emih!V20/SER_summary!V$26)</f>
        <v>0</v>
      </c>
      <c r="W20" s="133">
        <f>IF(SER_hh_emih!W20=0,0,SER_hh_emih!W20/SER_summary!W$26)</f>
        <v>0</v>
      </c>
      <c r="DA20" s="157" t="s">
        <v>555</v>
      </c>
    </row>
    <row r="21" spans="1:105" s="2" customFormat="1" ht="12" customHeight="1" x14ac:dyDescent="0.25">
      <c r="A21" s="132" t="s">
        <v>52</v>
      </c>
      <c r="B21" s="133">
        <f>IF(SER_hh_emih!B21=0,0,SER_hh_emih!B21/SER_summary!B$26)</f>
        <v>0</v>
      </c>
      <c r="C21" s="133">
        <f>IF(SER_hh_emih!C21=0,0,SER_hh_emih!C21/SER_summary!C$26)</f>
        <v>0</v>
      </c>
      <c r="D21" s="133">
        <f>IF(SER_hh_emih!D21=0,0,SER_hh_emih!D21/SER_summary!D$26)</f>
        <v>0</v>
      </c>
      <c r="E21" s="133">
        <f>IF(SER_hh_emih!E21=0,0,SER_hh_emih!E21/SER_summary!E$26)</f>
        <v>0</v>
      </c>
      <c r="F21" s="133">
        <f>IF(SER_hh_emih!F21=0,0,SER_hh_emih!F21/SER_summary!F$26)</f>
        <v>0</v>
      </c>
      <c r="G21" s="133">
        <f>IF(SER_hh_emih!G21=0,0,SER_hh_emih!G21/SER_summary!G$26)</f>
        <v>0</v>
      </c>
      <c r="H21" s="133">
        <f>IF(SER_hh_emih!H21=0,0,SER_hh_emih!H21/SER_summary!H$26)</f>
        <v>0</v>
      </c>
      <c r="I21" s="133">
        <f>IF(SER_hh_emih!I21=0,0,SER_hh_emih!I21/SER_summary!I$26)</f>
        <v>0</v>
      </c>
      <c r="J21" s="133">
        <f>IF(SER_hh_emih!J21=0,0,SER_hh_emih!J21/SER_summary!J$26)</f>
        <v>0</v>
      </c>
      <c r="K21" s="133">
        <f>IF(SER_hh_emih!K21=0,0,SER_hh_emih!K21/SER_summary!K$26)</f>
        <v>0</v>
      </c>
      <c r="L21" s="133">
        <f>IF(SER_hh_emih!L21=0,0,SER_hh_emih!L21/SER_summary!L$26)</f>
        <v>0</v>
      </c>
      <c r="M21" s="133">
        <f>IF(SER_hh_emih!M21=0,0,SER_hh_emih!M21/SER_summary!M$26)</f>
        <v>0</v>
      </c>
      <c r="N21" s="133">
        <f>IF(SER_hh_emih!N21=0,0,SER_hh_emih!N21/SER_summary!N$26)</f>
        <v>0</v>
      </c>
      <c r="O21" s="133">
        <f>IF(SER_hh_emih!O21=0,0,SER_hh_emih!O21/SER_summary!O$26)</f>
        <v>0</v>
      </c>
      <c r="P21" s="133">
        <f>IF(SER_hh_emih!P21=0,0,SER_hh_emih!P21/SER_summary!P$26)</f>
        <v>0</v>
      </c>
      <c r="Q21" s="133">
        <f>IF(SER_hh_emih!Q21=0,0,SER_hh_emih!Q21/SER_summary!Q$26)</f>
        <v>0</v>
      </c>
      <c r="R21" s="133">
        <f>IF(SER_hh_emih!R21=0,0,SER_hh_emih!R21/SER_summary!R$26)</f>
        <v>0</v>
      </c>
      <c r="S21" s="133">
        <f>IF(SER_hh_emih!S21=0,0,SER_hh_emih!S21/SER_summary!S$26)</f>
        <v>0</v>
      </c>
      <c r="T21" s="133">
        <f>IF(SER_hh_emih!T21=0,0,SER_hh_emih!T21/SER_summary!T$26)</f>
        <v>0</v>
      </c>
      <c r="U21" s="133">
        <f>IF(SER_hh_emih!U21=0,0,SER_hh_emih!U21/SER_summary!U$26)</f>
        <v>0</v>
      </c>
      <c r="V21" s="133">
        <f>IF(SER_hh_emih!V21=0,0,SER_hh_emih!V21/SER_summary!V$26)</f>
        <v>0</v>
      </c>
      <c r="W21" s="133">
        <f>IF(SER_hh_emih!W21=0,0,SER_hh_emih!W21/SER_summary!W$26)</f>
        <v>0</v>
      </c>
      <c r="DA21" s="157" t="s">
        <v>556</v>
      </c>
    </row>
    <row r="22" spans="1:105" ht="12" customHeight="1" x14ac:dyDescent="0.25">
      <c r="A22" s="132" t="s">
        <v>168</v>
      </c>
      <c r="B22" s="133">
        <f>IF(SER_hh_emih!B22=0,0,SER_hh_emih!B22/SER_summary!B$26)</f>
        <v>5.3912875718470046</v>
      </c>
      <c r="C22" s="133">
        <f>IF(SER_hh_emih!C22=0,0,SER_hh_emih!C22/SER_summary!C$26)</f>
        <v>5.2590872878155928</v>
      </c>
      <c r="D22" s="133">
        <f>IF(SER_hh_emih!D22=0,0,SER_hh_emih!D22/SER_summary!D$26)</f>
        <v>5.2239326395341719</v>
      </c>
      <c r="E22" s="133">
        <f>IF(SER_hh_emih!E22=0,0,SER_hh_emih!E22/SER_summary!E$26)</f>
        <v>5.2026963600992602</v>
      </c>
      <c r="F22" s="133">
        <f>IF(SER_hh_emih!F22=0,0,SER_hh_emih!F22/SER_summary!F$26)</f>
        <v>5.2516627864869427</v>
      </c>
      <c r="G22" s="133">
        <f>IF(SER_hh_emih!G22=0,0,SER_hh_emih!G22/SER_summary!G$26)</f>
        <v>5.350911037030337</v>
      </c>
      <c r="H22" s="133">
        <f>IF(SER_hh_emih!H22=0,0,SER_hh_emih!H22/SER_summary!H$26)</f>
        <v>5.0520274134755132</v>
      </c>
      <c r="I22" s="133">
        <f>IF(SER_hh_emih!I22=0,0,SER_hh_emih!I22/SER_summary!I$26)</f>
        <v>4.8603696074213216</v>
      </c>
      <c r="J22" s="133">
        <f>IF(SER_hh_emih!J22=0,0,SER_hh_emih!J22/SER_summary!J$26)</f>
        <v>5.0956026972256092</v>
      </c>
      <c r="K22" s="133">
        <f>IF(SER_hh_emih!K22=0,0,SER_hh_emih!K22/SER_summary!K$26)</f>
        <v>5.1587942068983281</v>
      </c>
      <c r="L22" s="133">
        <f>IF(SER_hh_emih!L22=0,0,SER_hh_emih!L22/SER_summary!L$26)</f>
        <v>5.0708810847776595</v>
      </c>
      <c r="M22" s="133">
        <f>IF(SER_hh_emih!M22=0,0,SER_hh_emih!M22/SER_summary!M$26)</f>
        <v>4.7226673325954796</v>
      </c>
      <c r="N22" s="133">
        <f>IF(SER_hh_emih!N22=0,0,SER_hh_emih!N22/SER_summary!N$26)</f>
        <v>4.882414051385541</v>
      </c>
      <c r="O22" s="133">
        <f>IF(SER_hh_emih!O22=0,0,SER_hh_emih!O22/SER_summary!O$26)</f>
        <v>4.9460209219153128</v>
      </c>
      <c r="P22" s="133">
        <f>IF(SER_hh_emih!P22=0,0,SER_hh_emih!P22/SER_summary!P$26)</f>
        <v>4.9370088273722486</v>
      </c>
      <c r="Q22" s="133">
        <f>IF(SER_hh_emih!Q22=0,0,SER_hh_emih!Q22/SER_summary!Q$26)</f>
        <v>4.9082924991832</v>
      </c>
      <c r="R22" s="133">
        <f>IF(SER_hh_emih!R22=0,0,SER_hh_emih!R22/SER_summary!R$26)</f>
        <v>5.0325142389767485</v>
      </c>
      <c r="S22" s="133">
        <f>IF(SER_hh_emih!S22=0,0,SER_hh_emih!S22/SER_summary!S$26)</f>
        <v>4.9036750901154269</v>
      </c>
      <c r="T22" s="133">
        <f>IF(SER_hh_emih!T22=0,0,SER_hh_emih!T22/SER_summary!T$26)</f>
        <v>5.4778132831548874</v>
      </c>
      <c r="U22" s="133">
        <f>IF(SER_hh_emih!U22=0,0,SER_hh_emih!U22/SER_summary!U$26)</f>
        <v>3.3561167745278517</v>
      </c>
      <c r="V22" s="133">
        <f>IF(SER_hh_emih!V22=0,0,SER_hh_emih!V22/SER_summary!V$26)</f>
        <v>4.8092126160359676</v>
      </c>
      <c r="W22" s="133">
        <f>IF(SER_hh_emih!W22=0,0,SER_hh_emih!W22/SER_summary!W$26)</f>
        <v>3.8509509780643176</v>
      </c>
      <c r="DA22" s="157" t="s">
        <v>557</v>
      </c>
    </row>
    <row r="23" spans="1:105" ht="12" customHeight="1" x14ac:dyDescent="0.25">
      <c r="A23" s="132" t="s">
        <v>153</v>
      </c>
      <c r="B23" s="133">
        <f>IF(SER_hh_emih!B23=0,0,SER_hh_emih!B23/SER_summary!B$26)</f>
        <v>3.7563765897372705</v>
      </c>
      <c r="C23" s="133">
        <f>IF(SER_hh_emih!C23=0,0,SER_hh_emih!C23/SER_summary!C$26)</f>
        <v>3.6263238575797292</v>
      </c>
      <c r="D23" s="133">
        <f>IF(SER_hh_emih!D23=0,0,SER_hh_emih!D23/SER_summary!D$26)</f>
        <v>3.4117919873916605</v>
      </c>
      <c r="E23" s="133">
        <f>IF(SER_hh_emih!E23=0,0,SER_hh_emih!E23/SER_summary!E$26)</f>
        <v>3.6921995599592599</v>
      </c>
      <c r="F23" s="133">
        <f>IF(SER_hh_emih!F23=0,0,SER_hh_emih!F23/SER_summary!F$26)</f>
        <v>3.3790420635524292</v>
      </c>
      <c r="G23" s="133">
        <f>IF(SER_hh_emih!G23=0,0,SER_hh_emih!G23/SER_summary!G$26)</f>
        <v>3.4158596685064029</v>
      </c>
      <c r="H23" s="133">
        <f>IF(SER_hh_emih!H23=0,0,SER_hh_emih!H23/SER_summary!H$26)</f>
        <v>3.4651197425852653</v>
      </c>
      <c r="I23" s="133">
        <f>IF(SER_hh_emih!I23=0,0,SER_hh_emih!I23/SER_summary!I$26)</f>
        <v>3.361911331185591</v>
      </c>
      <c r="J23" s="133">
        <f>IF(SER_hh_emih!J23=0,0,SER_hh_emih!J23/SER_summary!J$26)</f>
        <v>3.3151965996424213</v>
      </c>
      <c r="K23" s="133">
        <f>IF(SER_hh_emih!K23=0,0,SER_hh_emih!K23/SER_summary!K$26)</f>
        <v>3.3590283562875762</v>
      </c>
      <c r="L23" s="133">
        <f>IF(SER_hh_emih!L23=0,0,SER_hh_emih!L23/SER_summary!L$26)</f>
        <v>3.4366769032379865</v>
      </c>
      <c r="M23" s="133">
        <f>IF(SER_hh_emih!M23=0,0,SER_hh_emih!M23/SER_summary!M$26)</f>
        <v>3.0856567971747402</v>
      </c>
      <c r="N23" s="133">
        <f>IF(SER_hh_emih!N23=0,0,SER_hh_emih!N23/SER_summary!N$26)</f>
        <v>3.2218850026278347</v>
      </c>
      <c r="O23" s="133">
        <f>IF(SER_hh_emih!O23=0,0,SER_hh_emih!O23/SER_summary!O$26)</f>
        <v>3.2423044138853463</v>
      </c>
      <c r="P23" s="133">
        <f>IF(SER_hh_emih!P23=0,0,SER_hh_emih!P23/SER_summary!P$26)</f>
        <v>2.9826457301959644</v>
      </c>
      <c r="Q23" s="133">
        <f>IF(SER_hh_emih!Q23=0,0,SER_hh_emih!Q23/SER_summary!Q$26)</f>
        <v>3.3092804453835822</v>
      </c>
      <c r="R23" s="133">
        <f>IF(SER_hh_emih!R23=0,0,SER_hh_emih!R23/SER_summary!R$26)</f>
        <v>3.1251234861334689</v>
      </c>
      <c r="S23" s="133">
        <f>IF(SER_hh_emih!S23=0,0,SER_hh_emih!S23/SER_summary!S$26)</f>
        <v>3.1189437701578178</v>
      </c>
      <c r="T23" s="133">
        <f>IF(SER_hh_emih!T23=0,0,SER_hh_emih!T23/SER_summary!T$26)</f>
        <v>2.9771802753013179</v>
      </c>
      <c r="U23" s="133">
        <f>IF(SER_hh_emih!U23=0,0,SER_hh_emih!U23/SER_summary!U$26)</f>
        <v>3.0255880081877207</v>
      </c>
      <c r="V23" s="133">
        <f>IF(SER_hh_emih!V23=0,0,SER_hh_emih!V23/SER_summary!V$26)</f>
        <v>2.0184724659900102</v>
      </c>
      <c r="W23" s="133">
        <f>IF(SER_hh_emih!W23=0,0,SER_hh_emih!W23/SER_summary!W$26)</f>
        <v>2.8413074365558004</v>
      </c>
      <c r="DA23" s="157" t="s">
        <v>558</v>
      </c>
    </row>
    <row r="24" spans="1:105" ht="12" customHeight="1" x14ac:dyDescent="0.25">
      <c r="A24" s="132" t="s">
        <v>128</v>
      </c>
      <c r="B24" s="133">
        <f>IF(SER_hh_emih!B24=0,0,SER_hh_emih!B24/SER_summary!B$26)</f>
        <v>1.8391383105040862</v>
      </c>
      <c r="C24" s="133">
        <f>IF(SER_hh_emih!C24=0,0,SER_hh_emih!C24/SER_summary!C$26)</f>
        <v>1.8797143430015057</v>
      </c>
      <c r="D24" s="133">
        <f>IF(SER_hh_emih!D24=0,0,SER_hh_emih!D24/SER_summary!D$26)</f>
        <v>2.0354656712877097</v>
      </c>
      <c r="E24" s="133">
        <f>IF(SER_hh_emih!E24=0,0,SER_hh_emih!E24/SER_summary!E$26)</f>
        <v>1.9430573650551795</v>
      </c>
      <c r="F24" s="133">
        <f>IF(SER_hh_emih!F24=0,0,SER_hh_emih!F24/SER_summary!F$26)</f>
        <v>1.7530036984905706</v>
      </c>
      <c r="G24" s="133">
        <f>IF(SER_hh_emih!G24=0,0,SER_hh_emih!G24/SER_summary!G$26)</f>
        <v>1.6200646244739061</v>
      </c>
      <c r="H24" s="133">
        <f>IF(SER_hh_emih!H24=0,0,SER_hh_emih!H24/SER_summary!H$26)</f>
        <v>1.4882881469708693</v>
      </c>
      <c r="I24" s="133">
        <f>IF(SER_hh_emih!I24=0,0,SER_hh_emih!I24/SER_summary!I$26)</f>
        <v>1.1892906189711652</v>
      </c>
      <c r="J24" s="133">
        <f>IF(SER_hh_emih!J24=0,0,SER_hh_emih!J24/SER_summary!J$26)</f>
        <v>0.91037082439893846</v>
      </c>
      <c r="K24" s="133">
        <f>IF(SER_hh_emih!K24=0,0,SER_hh_emih!K24/SER_summary!K$26)</f>
        <v>0.64960091693085431</v>
      </c>
      <c r="L24" s="133">
        <f>IF(SER_hh_emih!L24=0,0,SER_hh_emih!L24/SER_summary!L$26)</f>
        <v>0.63984138462262985</v>
      </c>
      <c r="M24" s="133">
        <f>IF(SER_hh_emih!M24=0,0,SER_hh_emih!M24/SER_summary!M$26)</f>
        <v>0.85073107279087989</v>
      </c>
      <c r="N24" s="133">
        <f>IF(SER_hh_emih!N24=0,0,SER_hh_emih!N24/SER_summary!N$26)</f>
        <v>0.8788223984778113</v>
      </c>
      <c r="O24" s="133">
        <f>IF(SER_hh_emih!O24=0,0,SER_hh_emih!O24/SER_summary!O$26)</f>
        <v>0.82129559498192117</v>
      </c>
      <c r="P24" s="133">
        <f>IF(SER_hh_emih!P24=0,0,SER_hh_emih!P24/SER_summary!P$26)</f>
        <v>0.92572561961158362</v>
      </c>
      <c r="Q24" s="133">
        <f>IF(SER_hh_emih!Q24=0,0,SER_hh_emih!Q24/SER_summary!Q$26)</f>
        <v>0.43645241357011022</v>
      </c>
      <c r="R24" s="133">
        <f>IF(SER_hh_emih!R24=0,0,SER_hh_emih!R24/SER_summary!R$26)</f>
        <v>0.5723297721461853</v>
      </c>
      <c r="S24" s="133">
        <f>IF(SER_hh_emih!S24=0,0,SER_hh_emih!S24/SER_summary!S$26)</f>
        <v>0.67827116764767803</v>
      </c>
      <c r="T24" s="133">
        <f>IF(SER_hh_emih!T24=0,0,SER_hh_emih!T24/SER_summary!T$26)</f>
        <v>0.7373168408906785</v>
      </c>
      <c r="U24" s="133">
        <f>IF(SER_hh_emih!U24=0,0,SER_hh_emih!U24/SER_summary!U$26)</f>
        <v>0.68363013705072928</v>
      </c>
      <c r="V24" s="133">
        <f>IF(SER_hh_emih!V24=0,0,SER_hh_emih!V24/SER_summary!V$26)</f>
        <v>0.53465852561421801</v>
      </c>
      <c r="W24" s="133">
        <f>IF(SER_hh_emih!W24=0,0,SER_hh_emih!W24/SER_summary!W$26)</f>
        <v>0.50758666066774472</v>
      </c>
      <c r="DA24" s="157" t="s">
        <v>559</v>
      </c>
    </row>
    <row r="25" spans="1:105" ht="12" customHeight="1" x14ac:dyDescent="0.25">
      <c r="A25" s="132" t="s">
        <v>169</v>
      </c>
      <c r="B25" s="133">
        <f>IF(SER_hh_emih!B25=0,0,SER_hh_emih!B25/SER_summary!B$26)</f>
        <v>0</v>
      </c>
      <c r="C25" s="133">
        <f>IF(SER_hh_emih!C25=0,0,SER_hh_emih!C25/SER_summary!C$26)</f>
        <v>0</v>
      </c>
      <c r="D25" s="133">
        <f>IF(SER_hh_emih!D25=0,0,SER_hh_emih!D25/SER_summary!D$26)</f>
        <v>0</v>
      </c>
      <c r="E25" s="133">
        <f>IF(SER_hh_emih!E25=0,0,SER_hh_emih!E25/SER_summary!E$26)</f>
        <v>0</v>
      </c>
      <c r="F25" s="133">
        <f>IF(SER_hh_emih!F25=0,0,SER_hh_emih!F25/SER_summary!F$26)</f>
        <v>0</v>
      </c>
      <c r="G25" s="133">
        <f>IF(SER_hh_emih!G25=0,0,SER_hh_emih!G25/SER_summary!G$26)</f>
        <v>0</v>
      </c>
      <c r="H25" s="133">
        <f>IF(SER_hh_emih!H25=0,0,SER_hh_emih!H25/SER_summary!H$26)</f>
        <v>0</v>
      </c>
      <c r="I25" s="133">
        <f>IF(SER_hh_emih!I25=0,0,SER_hh_emih!I25/SER_summary!I$26)</f>
        <v>0</v>
      </c>
      <c r="J25" s="133">
        <f>IF(SER_hh_emih!J25=0,0,SER_hh_emih!J25/SER_summary!J$26)</f>
        <v>0</v>
      </c>
      <c r="K25" s="133">
        <f>IF(SER_hh_emih!K25=0,0,SER_hh_emih!K25/SER_summary!K$26)</f>
        <v>0</v>
      </c>
      <c r="L25" s="133">
        <f>IF(SER_hh_emih!L25=0,0,SER_hh_emih!L25/SER_summary!L$26)</f>
        <v>0</v>
      </c>
      <c r="M25" s="133">
        <f>IF(SER_hh_emih!M25=0,0,SER_hh_emih!M25/SER_summary!M$26)</f>
        <v>0</v>
      </c>
      <c r="N25" s="133">
        <f>IF(SER_hh_emih!N25=0,0,SER_hh_emih!N25/SER_summary!N$26)</f>
        <v>0</v>
      </c>
      <c r="O25" s="133">
        <f>IF(SER_hh_emih!O25=0,0,SER_hh_emih!O25/SER_summary!O$26)</f>
        <v>0</v>
      </c>
      <c r="P25" s="133">
        <f>IF(SER_hh_emih!P25=0,0,SER_hh_emih!P25/SER_summary!P$26)</f>
        <v>0</v>
      </c>
      <c r="Q25" s="133">
        <f>IF(SER_hh_emih!Q25=0,0,SER_hh_emih!Q25/SER_summary!Q$26)</f>
        <v>0</v>
      </c>
      <c r="R25" s="133">
        <f>IF(SER_hh_emih!R25=0,0,SER_hh_emih!R25/SER_summary!R$26)</f>
        <v>0</v>
      </c>
      <c r="S25" s="133">
        <f>IF(SER_hh_emih!S25=0,0,SER_hh_emih!S25/SER_summary!S$26)</f>
        <v>0</v>
      </c>
      <c r="T25" s="133">
        <f>IF(SER_hh_emih!T25=0,0,SER_hh_emih!T25/SER_summary!T$26)</f>
        <v>0</v>
      </c>
      <c r="U25" s="133">
        <f>IF(SER_hh_emih!U25=0,0,SER_hh_emih!U25/SER_summary!U$26)</f>
        <v>0</v>
      </c>
      <c r="V25" s="133">
        <f>IF(SER_hh_emih!V25=0,0,SER_hh_emih!V25/SER_summary!V$26)</f>
        <v>0</v>
      </c>
      <c r="W25" s="133">
        <f>IF(SER_hh_emih!W25=0,0,SER_hh_emih!W25/SER_summary!W$26)</f>
        <v>0</v>
      </c>
      <c r="DA25" s="157" t="s">
        <v>560</v>
      </c>
    </row>
    <row r="26" spans="1:105" ht="12" customHeight="1" x14ac:dyDescent="0.25">
      <c r="A26" s="132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DA26" s="109" t="s">
        <v>561</v>
      </c>
    </row>
    <row r="27" spans="1:105" ht="12" customHeight="1" x14ac:dyDescent="0.25">
      <c r="A27" s="145" t="s">
        <v>86</v>
      </c>
      <c r="B27" s="146">
        <f>IF(SER_hh_emih!B27=0,0,SER_hh_emih!B27/SER_summary!B$26)</f>
        <v>0</v>
      </c>
      <c r="C27" s="146">
        <f>IF(SER_hh_emih!C27=0,0,SER_hh_emih!C27/SER_summary!C$26)</f>
        <v>0</v>
      </c>
      <c r="D27" s="146">
        <f>IF(SER_hh_emih!D27=0,0,SER_hh_emih!D27/SER_summary!D$26)</f>
        <v>0</v>
      </c>
      <c r="E27" s="146">
        <f>IF(SER_hh_emih!E27=0,0,SER_hh_emih!E27/SER_summary!E$26)</f>
        <v>0</v>
      </c>
      <c r="F27" s="146">
        <f>IF(SER_hh_emih!F27=0,0,SER_hh_emih!F27/SER_summary!F$26)</f>
        <v>0</v>
      </c>
      <c r="G27" s="146">
        <f>IF(SER_hh_emih!G27=0,0,SER_hh_emih!G27/SER_summary!G$26)</f>
        <v>0</v>
      </c>
      <c r="H27" s="146">
        <f>IF(SER_hh_emih!H27=0,0,SER_hh_emih!H27/SER_summary!H$26)</f>
        <v>0</v>
      </c>
      <c r="I27" s="146">
        <f>IF(SER_hh_emih!I27=0,0,SER_hh_emih!I27/SER_summary!I$26)</f>
        <v>0</v>
      </c>
      <c r="J27" s="146">
        <f>IF(SER_hh_emih!J27=0,0,SER_hh_emih!J27/SER_summary!J$26)</f>
        <v>0</v>
      </c>
      <c r="K27" s="146">
        <f>IF(SER_hh_emih!K27=0,0,SER_hh_emih!K27/SER_summary!K$26)</f>
        <v>0</v>
      </c>
      <c r="L27" s="146">
        <f>IF(SER_hh_emih!L27=0,0,SER_hh_emih!L27/SER_summary!L$26)</f>
        <v>0</v>
      </c>
      <c r="M27" s="146">
        <f>IF(SER_hh_emih!M27=0,0,SER_hh_emih!M27/SER_summary!M$26)</f>
        <v>0</v>
      </c>
      <c r="N27" s="146">
        <f>IF(SER_hh_emih!N27=0,0,SER_hh_emih!N27/SER_summary!N$26)</f>
        <v>0</v>
      </c>
      <c r="O27" s="146">
        <f>IF(SER_hh_emih!O27=0,0,SER_hh_emih!O27/SER_summary!O$26)</f>
        <v>0</v>
      </c>
      <c r="P27" s="146">
        <f>IF(SER_hh_emih!P27=0,0,SER_hh_emih!P27/SER_summary!P$26)</f>
        <v>0</v>
      </c>
      <c r="Q27" s="146">
        <f>IF(SER_hh_emih!Q27=0,0,SER_hh_emih!Q27/SER_summary!Q$26)</f>
        <v>0</v>
      </c>
      <c r="R27" s="146">
        <f>IF(SER_hh_emih!R27=0,0,SER_hh_emih!R27/SER_summary!R$26)</f>
        <v>0</v>
      </c>
      <c r="S27" s="146">
        <f>IF(SER_hh_emih!S27=0,0,SER_hh_emih!S27/SER_summary!S$26)</f>
        <v>0</v>
      </c>
      <c r="T27" s="146">
        <f>IF(SER_hh_emih!T27=0,0,SER_hh_emih!T27/SER_summary!T$26)</f>
        <v>0</v>
      </c>
      <c r="U27" s="146">
        <f>IF(SER_hh_emih!U27=0,0,SER_hh_emih!U27/SER_summary!U$26)</f>
        <v>0</v>
      </c>
      <c r="V27" s="146">
        <f>IF(SER_hh_emih!V27=0,0,SER_hh_emih!V27/SER_summary!V$26)</f>
        <v>0</v>
      </c>
      <c r="W27" s="146">
        <f>IF(SER_hh_emih!W27=0,0,SER_hh_emih!W27/SER_summary!W$26)</f>
        <v>0</v>
      </c>
      <c r="DA27" s="159" t="s">
        <v>562</v>
      </c>
    </row>
    <row r="28" spans="1:105" ht="12" customHeight="1" x14ac:dyDescent="0.25">
      <c r="A28" s="78" t="s">
        <v>85</v>
      </c>
      <c r="B28" s="147">
        <f>IF(SER_hh_emih!B28=0,0,SER_hh_emih!B28/SER_summary!B$26)</f>
        <v>0</v>
      </c>
      <c r="C28" s="147">
        <f>IF(SER_hh_emih!C28=0,0,SER_hh_emih!C28/SER_summary!C$26)</f>
        <v>0</v>
      </c>
      <c r="D28" s="147">
        <f>IF(SER_hh_emih!D28=0,0,SER_hh_emih!D28/SER_summary!D$26)</f>
        <v>0</v>
      </c>
      <c r="E28" s="147">
        <f>IF(SER_hh_emih!E28=0,0,SER_hh_emih!E28/SER_summary!E$26)</f>
        <v>0</v>
      </c>
      <c r="F28" s="147">
        <f>IF(SER_hh_emih!F28=0,0,SER_hh_emih!F28/SER_summary!F$26)</f>
        <v>0</v>
      </c>
      <c r="G28" s="147">
        <f>IF(SER_hh_emih!G28=0,0,SER_hh_emih!G28/SER_summary!G$26)</f>
        <v>0</v>
      </c>
      <c r="H28" s="147">
        <f>IF(SER_hh_emih!H28=0,0,SER_hh_emih!H28/SER_summary!H$26)</f>
        <v>0</v>
      </c>
      <c r="I28" s="147">
        <f>IF(SER_hh_emih!I28=0,0,SER_hh_emih!I28/SER_summary!I$26)</f>
        <v>0</v>
      </c>
      <c r="J28" s="147">
        <f>IF(SER_hh_emih!J28=0,0,SER_hh_emih!J28/SER_summary!J$26)</f>
        <v>0</v>
      </c>
      <c r="K28" s="147">
        <f>IF(SER_hh_emih!K28=0,0,SER_hh_emih!K28/SER_summary!K$26)</f>
        <v>0</v>
      </c>
      <c r="L28" s="147">
        <f>IF(SER_hh_emih!L28=0,0,SER_hh_emih!L28/SER_summary!L$26)</f>
        <v>0</v>
      </c>
      <c r="M28" s="147">
        <f>IF(SER_hh_emih!M28=0,0,SER_hh_emih!M28/SER_summary!M$26)</f>
        <v>0</v>
      </c>
      <c r="N28" s="147">
        <f>IF(SER_hh_emih!N28=0,0,SER_hh_emih!N28/SER_summary!N$26)</f>
        <v>0</v>
      </c>
      <c r="O28" s="147">
        <f>IF(SER_hh_emih!O28=0,0,SER_hh_emih!O28/SER_summary!O$26)</f>
        <v>0</v>
      </c>
      <c r="P28" s="147">
        <f>IF(SER_hh_emih!P28=0,0,SER_hh_emih!P28/SER_summary!P$26)</f>
        <v>0</v>
      </c>
      <c r="Q28" s="147">
        <f>IF(SER_hh_emih!Q28=0,0,SER_hh_emih!Q28/SER_summary!Q$26)</f>
        <v>0</v>
      </c>
      <c r="R28" s="147">
        <f>IF(SER_hh_emih!R28=0,0,SER_hh_emih!R28/SER_summary!R$26)</f>
        <v>0</v>
      </c>
      <c r="S28" s="147">
        <f>IF(SER_hh_emih!S28=0,0,SER_hh_emih!S28/SER_summary!S$26)</f>
        <v>0</v>
      </c>
      <c r="T28" s="147">
        <f>IF(SER_hh_emih!T28=0,0,SER_hh_emih!T28/SER_summary!T$26)</f>
        <v>0</v>
      </c>
      <c r="U28" s="147">
        <f>IF(SER_hh_emih!U28=0,0,SER_hh_emih!U28/SER_summary!U$26)</f>
        <v>0</v>
      </c>
      <c r="V28" s="147">
        <f>IF(SER_hh_emih!V28=0,0,SER_hh_emih!V28/SER_summary!V$26)</f>
        <v>0</v>
      </c>
      <c r="W28" s="147">
        <f>IF(SER_hh_emih!W28=0,0,SER_hh_emih!W28/SER_summary!W$26)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IF(SER_hh_emih!B29=0,0,SER_hh_emih!B29/SER_summary!B$26)</f>
        <v>0.60890816821182558</v>
      </c>
      <c r="C29" s="131">
        <f>IF(SER_hh_emih!C29=0,0,SER_hh_emih!C29/SER_summary!C$26)</f>
        <v>0.59712059348489877</v>
      </c>
      <c r="D29" s="131">
        <f>IF(SER_hh_emih!D29=0,0,SER_hh_emih!D29/SER_summary!D$26)</f>
        <v>0.58926394499828827</v>
      </c>
      <c r="E29" s="131">
        <f>IF(SER_hh_emih!E29=0,0,SER_hh_emih!E29/SER_summary!E$26)</f>
        <v>0.62846409610703236</v>
      </c>
      <c r="F29" s="131">
        <f>IF(SER_hh_emih!F29=0,0,SER_hh_emih!F29/SER_summary!F$26)</f>
        <v>0.64349810796678908</v>
      </c>
      <c r="G29" s="131">
        <f>IF(SER_hh_emih!G29=0,0,SER_hh_emih!G29/SER_summary!G$26)</f>
        <v>0.70495943832529295</v>
      </c>
      <c r="H29" s="131">
        <f>IF(SER_hh_emih!H29=0,0,SER_hh_emih!H29/SER_summary!H$26)</f>
        <v>0.70619215249727896</v>
      </c>
      <c r="I29" s="131">
        <f>IF(SER_hh_emih!I29=0,0,SER_hh_emih!I29/SER_summary!I$26)</f>
        <v>0.69922276315284315</v>
      </c>
      <c r="J29" s="131">
        <f>IF(SER_hh_emih!J29=0,0,SER_hh_emih!J29/SER_summary!J$26)</f>
        <v>0.69629157872735004</v>
      </c>
      <c r="K29" s="131">
        <f>IF(SER_hh_emih!K29=0,0,SER_hh_emih!K29/SER_summary!K$26)</f>
        <v>0.69881553291133147</v>
      </c>
      <c r="L29" s="131">
        <f>IF(SER_hh_emih!L29=0,0,SER_hh_emih!L29/SER_summary!L$26)</f>
        <v>0.72654870001866134</v>
      </c>
      <c r="M29" s="131">
        <f>IF(SER_hh_emih!M29=0,0,SER_hh_emih!M29/SER_summary!M$26)</f>
        <v>0.68943808073729518</v>
      </c>
      <c r="N29" s="131">
        <f>IF(SER_hh_emih!N29=0,0,SER_hh_emih!N29/SER_summary!N$26)</f>
        <v>0.6592912841154086</v>
      </c>
      <c r="O29" s="131">
        <f>IF(SER_hh_emih!O29=0,0,SER_hh_emih!O29/SER_summary!O$26)</f>
        <v>0.6651609886956853</v>
      </c>
      <c r="P29" s="131">
        <f>IF(SER_hh_emih!P29=0,0,SER_hh_emih!P29/SER_summary!P$26)</f>
        <v>0.58538437900943385</v>
      </c>
      <c r="Q29" s="131">
        <f>IF(SER_hh_emih!Q29=0,0,SER_hh_emih!Q29/SER_summary!Q$26)</f>
        <v>0.7526639324712594</v>
      </c>
      <c r="R29" s="131">
        <f>IF(SER_hh_emih!R29=0,0,SER_hh_emih!R29/SER_summary!R$26)</f>
        <v>0.73787430139064214</v>
      </c>
      <c r="S29" s="131">
        <f>IF(SER_hh_emih!S29=0,0,SER_hh_emih!S29/SER_summary!S$26)</f>
        <v>0.695564575132259</v>
      </c>
      <c r="T29" s="131">
        <f>IF(SER_hh_emih!T29=0,0,SER_hh_emih!T29/SER_summary!T$26)</f>
        <v>0.73885747205623009</v>
      </c>
      <c r="U29" s="131">
        <f>IF(SER_hh_emih!U29=0,0,SER_hh_emih!U29/SER_summary!U$26)</f>
        <v>0.79953480993418113</v>
      </c>
      <c r="V29" s="131">
        <f>IF(SER_hh_emih!V29=0,0,SER_hh_emih!V29/SER_summary!V$26)</f>
        <v>0.53220141546531696</v>
      </c>
      <c r="W29" s="131">
        <f>IF(SER_hh_emih!W29=0,0,SER_hh_emih!W29/SER_summary!W$26)</f>
        <v>0.74516909320192082</v>
      </c>
      <c r="DA29" s="156" t="s">
        <v>563</v>
      </c>
    </row>
    <row r="30" spans="1:105" ht="12" customHeight="1" x14ac:dyDescent="0.25">
      <c r="A30" s="132" t="s">
        <v>52</v>
      </c>
      <c r="B30" s="133">
        <f>IF(SER_hh_emih!B30=0,0,SER_hh_emih!B30/SER_summary!B$26)</f>
        <v>3.6579464299694506</v>
      </c>
      <c r="C30" s="133">
        <f>IF(SER_hh_emih!C30=0,0,SER_hh_emih!C30/SER_summary!C$26)</f>
        <v>3.6657337877743541</v>
      </c>
      <c r="D30" s="133">
        <f>IF(SER_hh_emih!D30=0,0,SER_hh_emih!D30/SER_summary!D$26)</f>
        <v>3.2701686960049363</v>
      </c>
      <c r="E30" s="133">
        <f>IF(SER_hh_emih!E30=0,0,SER_hh_emih!E30/SER_summary!E$26)</f>
        <v>3.6535309187342153</v>
      </c>
      <c r="F30" s="133">
        <f>IF(SER_hh_emih!F30=0,0,SER_hh_emih!F30/SER_summary!F$26)</f>
        <v>3.8494444718191749</v>
      </c>
      <c r="G30" s="133">
        <f>IF(SER_hh_emih!G30=0,0,SER_hh_emih!G30/SER_summary!G$26)</f>
        <v>4.0486974050572977</v>
      </c>
      <c r="H30" s="133">
        <f>IF(SER_hh_emih!H30=0,0,SER_hh_emih!H30/SER_summary!H$26)</f>
        <v>3.8538113332231183</v>
      </c>
      <c r="I30" s="133">
        <f>IF(SER_hh_emih!I30=0,0,SER_hh_emih!I30/SER_summary!I$26)</f>
        <v>3.7823697862548817</v>
      </c>
      <c r="J30" s="133">
        <f>IF(SER_hh_emih!J30=0,0,SER_hh_emih!J30/SER_summary!J$26)</f>
        <v>3.6617991044057221</v>
      </c>
      <c r="K30" s="133">
        <f>IF(SER_hh_emih!K30=0,0,SER_hh_emih!K30/SER_summary!K$26)</f>
        <v>3.4921046962583056</v>
      </c>
      <c r="L30" s="133">
        <f>IF(SER_hh_emih!L30=0,0,SER_hh_emih!L30/SER_summary!L$26)</f>
        <v>4.3370159485065054</v>
      </c>
      <c r="M30" s="133">
        <f>IF(SER_hh_emih!M30=0,0,SER_hh_emih!M30/SER_summary!M$26)</f>
        <v>3.8856722416668608</v>
      </c>
      <c r="N30" s="133">
        <f>IF(SER_hh_emih!N30=0,0,SER_hh_emih!N30/SER_summary!N$26)</f>
        <v>3.6299710347997056</v>
      </c>
      <c r="O30" s="133">
        <f>IF(SER_hh_emih!O30=0,0,SER_hh_emih!O30/SER_summary!O$26)</f>
        <v>4.3182690383819313</v>
      </c>
      <c r="P30" s="133">
        <f>IF(SER_hh_emih!P30=0,0,SER_hh_emih!P30/SER_summary!P$26)</f>
        <v>2.3278612031643187</v>
      </c>
      <c r="Q30" s="133">
        <f>IF(SER_hh_emih!Q30=0,0,SER_hh_emih!Q30/SER_summary!Q$26)</f>
        <v>4.3974027031529435</v>
      </c>
      <c r="R30" s="133">
        <f>IF(SER_hh_emih!R30=0,0,SER_hh_emih!R30/SER_summary!R$26)</f>
        <v>4.2411834667406874</v>
      </c>
      <c r="S30" s="133">
        <f>IF(SER_hh_emih!S30=0,0,SER_hh_emih!S30/SER_summary!S$26)</f>
        <v>3.9571657819062751</v>
      </c>
      <c r="T30" s="133">
        <f>IF(SER_hh_emih!T30=0,0,SER_hh_emih!T30/SER_summary!T$26)</f>
        <v>4.0324747771000053</v>
      </c>
      <c r="U30" s="133">
        <f>IF(SER_hh_emih!U30=0,0,SER_hh_emih!U30/SER_summary!U$26)</f>
        <v>3.9975732322639557</v>
      </c>
      <c r="V30" s="133">
        <f>IF(SER_hh_emih!V30=0,0,SER_hh_emih!V30/SER_summary!V$26)</f>
        <v>3.4684759755126446</v>
      </c>
      <c r="W30" s="133">
        <f>IF(SER_hh_emih!W30=0,0,SER_hh_emih!W30/SER_summary!W$26)</f>
        <v>3.7474908981563786</v>
      </c>
      <c r="DA30" s="157" t="s">
        <v>564</v>
      </c>
    </row>
    <row r="31" spans="1:105" ht="12" customHeight="1" x14ac:dyDescent="0.25">
      <c r="A31" s="132" t="s">
        <v>153</v>
      </c>
      <c r="B31" s="133">
        <f>IF(SER_hh_emih!B31=0,0,SER_hh_emih!B31/SER_summary!B$26)</f>
        <v>3.0912997655332353</v>
      </c>
      <c r="C31" s="133">
        <f>IF(SER_hh_emih!C31=0,0,SER_hh_emih!C31/SER_summary!C$26)</f>
        <v>3.0805883080650331</v>
      </c>
      <c r="D31" s="133">
        <f>IF(SER_hh_emih!D31=0,0,SER_hh_emih!D31/SER_summary!D$26)</f>
        <v>3.083615927568677</v>
      </c>
      <c r="E31" s="133">
        <f>IF(SER_hh_emih!E31=0,0,SER_hh_emih!E31/SER_summary!E$26)</f>
        <v>3.184667642972312</v>
      </c>
      <c r="F31" s="133">
        <f>IF(SER_hh_emih!F31=0,0,SER_hh_emih!F31/SER_summary!F$26)</f>
        <v>3.1124399266169793</v>
      </c>
      <c r="G31" s="133">
        <f>IF(SER_hh_emih!G31=0,0,SER_hh_emih!G31/SER_summary!G$26)</f>
        <v>3.2562247360556942</v>
      </c>
      <c r="H31" s="133">
        <f>IF(SER_hh_emih!H31=0,0,SER_hh_emih!H31/SER_summary!H$26)</f>
        <v>3.2392369798358711</v>
      </c>
      <c r="I31" s="133">
        <f>IF(SER_hh_emih!I31=0,0,SER_hh_emih!I31/SER_summary!I$26)</f>
        <v>3.2289512255472665</v>
      </c>
      <c r="J31" s="133">
        <f>IF(SER_hh_emih!J31=0,0,SER_hh_emih!J31/SER_summary!J$26)</f>
        <v>3.2152997273558048</v>
      </c>
      <c r="K31" s="133">
        <f>IF(SER_hh_emih!K31=0,0,SER_hh_emih!K31/SER_summary!K$26)</f>
        <v>3.2707854888130132</v>
      </c>
      <c r="L31" s="133">
        <f>IF(SER_hh_emih!L31=0,0,SER_hh_emih!L31/SER_summary!L$26)</f>
        <v>3.2675062032048965</v>
      </c>
      <c r="M31" s="133">
        <f>IF(SER_hh_emih!M31=0,0,SER_hh_emih!M31/SER_summary!M$26)</f>
        <v>3.2590508818892561</v>
      </c>
      <c r="N31" s="133">
        <f>IF(SER_hh_emih!N31=0,0,SER_hh_emih!N31/SER_summary!N$26)</f>
        <v>3.3007574163139903</v>
      </c>
      <c r="O31" s="133">
        <f>IF(SER_hh_emih!O31=0,0,SER_hh_emih!O31/SER_summary!O$26)</f>
        <v>3.2542711151940225</v>
      </c>
      <c r="P31" s="133">
        <f>IF(SER_hh_emih!P31=0,0,SER_hh_emih!P31/SER_summary!P$26)</f>
        <v>3.1699996751891435</v>
      </c>
      <c r="Q31" s="133">
        <f>IF(SER_hh_emih!Q31=0,0,SER_hh_emih!Q31/SER_summary!Q$26)</f>
        <v>3.5809818062750263</v>
      </c>
      <c r="R31" s="133">
        <f>IF(SER_hh_emih!R31=0,0,SER_hh_emih!R31/SER_summary!R$26)</f>
        <v>3.4531879334198745</v>
      </c>
      <c r="S31" s="133">
        <f>IF(SER_hh_emih!S31=0,0,SER_hh_emih!S31/SER_summary!S$26)</f>
        <v>3.2126483714174965</v>
      </c>
      <c r="T31" s="133">
        <f>IF(SER_hh_emih!T31=0,0,SER_hh_emih!T31/SER_summary!T$26)</f>
        <v>3.4602000867768274</v>
      </c>
      <c r="U31" s="133">
        <f>IF(SER_hh_emih!U31=0,0,SER_hh_emih!U31/SER_summary!U$26)</f>
        <v>3.7850814393643715</v>
      </c>
      <c r="V31" s="133">
        <f>IF(SER_hh_emih!V31=0,0,SER_hh_emih!V31/SER_summary!V$26)</f>
        <v>2.3476783070414715</v>
      </c>
      <c r="W31" s="133">
        <f>IF(SER_hh_emih!W31=0,0,SER_hh_emih!W31/SER_summary!W$26)</f>
        <v>3.5752655349168379</v>
      </c>
      <c r="DA31" s="157" t="s">
        <v>565</v>
      </c>
    </row>
    <row r="32" spans="1:105" ht="12" customHeight="1" x14ac:dyDescent="0.25">
      <c r="A32" s="132" t="s">
        <v>128</v>
      </c>
      <c r="B32" s="133">
        <f>IF(SER_hh_emih!B32=0,0,SER_hh_emih!B32/SER_summary!B$26)</f>
        <v>0</v>
      </c>
      <c r="C32" s="133">
        <f>IF(SER_hh_emih!C32=0,0,SER_hh_emih!C32/SER_summary!C$26)</f>
        <v>0</v>
      </c>
      <c r="D32" s="133">
        <f>IF(SER_hh_emih!D32=0,0,SER_hh_emih!D32/SER_summary!D$26)</f>
        <v>0</v>
      </c>
      <c r="E32" s="133">
        <f>IF(SER_hh_emih!E32=0,0,SER_hh_emih!E32/SER_summary!E$26)</f>
        <v>0</v>
      </c>
      <c r="F32" s="133">
        <f>IF(SER_hh_emih!F32=0,0,SER_hh_emih!F32/SER_summary!F$26)</f>
        <v>0</v>
      </c>
      <c r="G32" s="133">
        <f>IF(SER_hh_emih!G32=0,0,SER_hh_emih!G32/SER_summary!G$26)</f>
        <v>0</v>
      </c>
      <c r="H32" s="133">
        <f>IF(SER_hh_emih!H32=0,0,SER_hh_emih!H32/SER_summary!H$26)</f>
        <v>0</v>
      </c>
      <c r="I32" s="133">
        <f>IF(SER_hh_emih!I32=0,0,SER_hh_emih!I32/SER_summary!I$26)</f>
        <v>0</v>
      </c>
      <c r="J32" s="133">
        <f>IF(SER_hh_emih!J32=0,0,SER_hh_emih!J32/SER_summary!J$26)</f>
        <v>0</v>
      </c>
      <c r="K32" s="133">
        <f>IF(SER_hh_emih!K32=0,0,SER_hh_emih!K32/SER_summary!K$26)</f>
        <v>0</v>
      </c>
      <c r="L32" s="133">
        <f>IF(SER_hh_emih!L32=0,0,SER_hh_emih!L32/SER_summary!L$26)</f>
        <v>0</v>
      </c>
      <c r="M32" s="133">
        <f>IF(SER_hh_emih!M32=0,0,SER_hh_emih!M32/SER_summary!M$26)</f>
        <v>0</v>
      </c>
      <c r="N32" s="133">
        <f>IF(SER_hh_emih!N32=0,0,SER_hh_emih!N32/SER_summary!N$26)</f>
        <v>0</v>
      </c>
      <c r="O32" s="133">
        <f>IF(SER_hh_emih!O32=0,0,SER_hh_emih!O32/SER_summary!O$26)</f>
        <v>0</v>
      </c>
      <c r="P32" s="133">
        <f>IF(SER_hh_emih!P32=0,0,SER_hh_emih!P32/SER_summary!P$26)</f>
        <v>0</v>
      </c>
      <c r="Q32" s="133">
        <f>IF(SER_hh_emih!Q32=0,0,SER_hh_emih!Q32/SER_summary!Q$26)</f>
        <v>0</v>
      </c>
      <c r="R32" s="133">
        <f>IF(SER_hh_emih!R32=0,0,SER_hh_emih!R32/SER_summary!R$26)</f>
        <v>0</v>
      </c>
      <c r="S32" s="133">
        <f>IF(SER_hh_emih!S32=0,0,SER_hh_emih!S32/SER_summary!S$26)</f>
        <v>0</v>
      </c>
      <c r="T32" s="133">
        <f>IF(SER_hh_emih!T32=0,0,SER_hh_emih!T32/SER_summary!T$26)</f>
        <v>0</v>
      </c>
      <c r="U32" s="133">
        <f>IF(SER_hh_emih!U32=0,0,SER_hh_emih!U32/SER_summary!U$26)</f>
        <v>0</v>
      </c>
      <c r="V32" s="133">
        <f>IF(SER_hh_emih!V32=0,0,SER_hh_emih!V32/SER_summary!V$26)</f>
        <v>0</v>
      </c>
      <c r="W32" s="133">
        <f>IF(SER_hh_emih!W32=0,0,SER_hh_emih!W32/SER_summary!W$26)</f>
        <v>0</v>
      </c>
      <c r="DA32" s="157" t="s">
        <v>566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DA33" s="111" t="s">
        <v>567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/>
      <c r="C3" s="125">
        <f t="shared" ref="C3:W3" si="0">C4</f>
        <v>3165.5337283212557</v>
      </c>
      <c r="D3" s="125">
        <f t="shared" si="0"/>
        <v>3630.0908679647828</v>
      </c>
      <c r="E3" s="125">
        <f t="shared" si="0"/>
        <v>3380.6216893093756</v>
      </c>
      <c r="F3" s="125">
        <f t="shared" si="0"/>
        <v>3221.6225078844604</v>
      </c>
      <c r="G3" s="125">
        <f t="shared" si="0"/>
        <v>3235.6233794007831</v>
      </c>
      <c r="H3" s="125">
        <f t="shared" si="0"/>
        <v>3315.9078933214928</v>
      </c>
      <c r="I3" s="125">
        <f t="shared" si="0"/>
        <v>4644.4853511909032</v>
      </c>
      <c r="J3" s="125">
        <f t="shared" si="0"/>
        <v>2490.7258040237402</v>
      </c>
      <c r="K3" s="125">
        <f t="shared" si="0"/>
        <v>3550.086902511483</v>
      </c>
      <c r="L3" s="125">
        <f t="shared" si="0"/>
        <v>3693.7988981358958</v>
      </c>
      <c r="M3" s="125">
        <f t="shared" si="0"/>
        <v>1631.6290534582592</v>
      </c>
      <c r="N3" s="125">
        <f t="shared" si="0"/>
        <v>1112.4490657528081</v>
      </c>
      <c r="O3" s="125">
        <f t="shared" si="0"/>
        <v>1303.1600391710438</v>
      </c>
      <c r="P3" s="125">
        <f t="shared" si="0"/>
        <v>1648.2914774166984</v>
      </c>
      <c r="Q3" s="125">
        <f t="shared" si="0"/>
        <v>1695.1495857014372</v>
      </c>
      <c r="R3" s="125">
        <f t="shared" si="0"/>
        <v>2131.1209933468394</v>
      </c>
      <c r="S3" s="125">
        <f t="shared" si="0"/>
        <v>2281.3206422767958</v>
      </c>
      <c r="T3" s="125">
        <f t="shared" si="0"/>
        <v>2127.4310861956073</v>
      </c>
      <c r="U3" s="125">
        <f t="shared" si="0"/>
        <v>2168.3781203974754</v>
      </c>
      <c r="V3" s="125">
        <f t="shared" si="0"/>
        <v>2148.7782179235614</v>
      </c>
      <c r="W3" s="125">
        <f t="shared" si="0"/>
        <v>2146.9837434414039</v>
      </c>
      <c r="DA3" s="169" t="s">
        <v>569</v>
      </c>
    </row>
    <row r="4" spans="1:105" ht="12.95" customHeight="1" x14ac:dyDescent="0.25">
      <c r="A4" s="130" t="s">
        <v>32</v>
      </c>
      <c r="B4" s="140"/>
      <c r="C4" s="140">
        <f t="shared" ref="C4:Q4" si="1">SUM(C5:C14)</f>
        <v>3165.5337283212557</v>
      </c>
      <c r="D4" s="140">
        <f t="shared" si="1"/>
        <v>3630.0908679647828</v>
      </c>
      <c r="E4" s="140">
        <f t="shared" si="1"/>
        <v>3380.6216893093756</v>
      </c>
      <c r="F4" s="140">
        <f t="shared" si="1"/>
        <v>3221.6225078844604</v>
      </c>
      <c r="G4" s="140">
        <f t="shared" si="1"/>
        <v>3235.6233794007831</v>
      </c>
      <c r="H4" s="140">
        <f t="shared" si="1"/>
        <v>3315.9078933214928</v>
      </c>
      <c r="I4" s="140">
        <f t="shared" si="1"/>
        <v>4644.4853511909032</v>
      </c>
      <c r="J4" s="140">
        <f t="shared" si="1"/>
        <v>2490.7258040237402</v>
      </c>
      <c r="K4" s="140">
        <f t="shared" si="1"/>
        <v>3550.086902511483</v>
      </c>
      <c r="L4" s="140">
        <f t="shared" si="1"/>
        <v>3693.7988981358958</v>
      </c>
      <c r="M4" s="140">
        <f t="shared" si="1"/>
        <v>1631.6290534582592</v>
      </c>
      <c r="N4" s="140">
        <f t="shared" si="1"/>
        <v>1112.4490657528081</v>
      </c>
      <c r="O4" s="140">
        <f t="shared" si="1"/>
        <v>1303.1600391710438</v>
      </c>
      <c r="P4" s="140">
        <f t="shared" si="1"/>
        <v>1648.2914774166984</v>
      </c>
      <c r="Q4" s="140">
        <f t="shared" si="1"/>
        <v>1695.1495857014372</v>
      </c>
      <c r="R4" s="140">
        <f t="shared" ref="R4:W4" si="2">SUM(R5:R14)</f>
        <v>2131.1209933468394</v>
      </c>
      <c r="S4" s="140">
        <f t="shared" si="2"/>
        <v>2281.3206422767958</v>
      </c>
      <c r="T4" s="140">
        <f t="shared" si="2"/>
        <v>2127.4310861956073</v>
      </c>
      <c r="U4" s="140">
        <f t="shared" si="2"/>
        <v>2168.3781203974754</v>
      </c>
      <c r="V4" s="140">
        <f t="shared" si="2"/>
        <v>2148.7782179235614</v>
      </c>
      <c r="W4" s="140">
        <f t="shared" si="2"/>
        <v>2146.9837434414039</v>
      </c>
      <c r="DA4" s="170" t="s">
        <v>570</v>
      </c>
    </row>
    <row r="5" spans="1:105" ht="12" customHeight="1" x14ac:dyDescent="0.25">
      <c r="A5" s="132" t="s">
        <v>29</v>
      </c>
      <c r="B5" s="141"/>
      <c r="C5" s="141">
        <v>0</v>
      </c>
      <c r="D5" s="141">
        <v>0</v>
      </c>
      <c r="E5" s="141">
        <v>0</v>
      </c>
      <c r="F5" s="141">
        <v>0</v>
      </c>
      <c r="G5" s="141">
        <v>0</v>
      </c>
      <c r="H5" s="141">
        <v>0</v>
      </c>
      <c r="I5" s="141">
        <v>0</v>
      </c>
      <c r="J5" s="141">
        <v>0</v>
      </c>
      <c r="K5" s="141">
        <v>0</v>
      </c>
      <c r="L5" s="141">
        <v>0</v>
      </c>
      <c r="M5" s="141">
        <v>0</v>
      </c>
      <c r="N5" s="141">
        <v>0</v>
      </c>
      <c r="O5" s="141">
        <v>0</v>
      </c>
      <c r="P5" s="141">
        <v>0</v>
      </c>
      <c r="Q5" s="141">
        <v>0</v>
      </c>
      <c r="R5" s="141">
        <v>0</v>
      </c>
      <c r="S5" s="141">
        <v>0</v>
      </c>
      <c r="T5" s="141">
        <v>0</v>
      </c>
      <c r="U5" s="141">
        <v>0</v>
      </c>
      <c r="V5" s="141">
        <v>0</v>
      </c>
      <c r="W5" s="141">
        <v>0</v>
      </c>
      <c r="DA5" s="171" t="s">
        <v>571</v>
      </c>
    </row>
    <row r="6" spans="1:105" ht="12" customHeight="1" x14ac:dyDescent="0.25">
      <c r="A6" s="132" t="s">
        <v>52</v>
      </c>
      <c r="B6" s="141"/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572</v>
      </c>
    </row>
    <row r="7" spans="1:105" ht="12" customHeight="1" x14ac:dyDescent="0.25">
      <c r="A7" s="132" t="s">
        <v>168</v>
      </c>
      <c r="B7" s="141"/>
      <c r="C7" s="141">
        <v>41.170790869055217</v>
      </c>
      <c r="D7" s="141">
        <v>104.07341825478944</v>
      </c>
      <c r="E7" s="141">
        <v>129.54294648613305</v>
      </c>
      <c r="F7" s="141">
        <v>136.03632729021146</v>
      </c>
      <c r="G7" s="141">
        <v>42.149428332442085</v>
      </c>
      <c r="H7" s="141">
        <v>6.0530927359633138</v>
      </c>
      <c r="I7" s="141">
        <v>71.238246211310553</v>
      </c>
      <c r="J7" s="141">
        <v>95.797013186543438</v>
      </c>
      <c r="K7" s="141">
        <v>126.00524360147102</v>
      </c>
      <c r="L7" s="141">
        <v>134.96681529138414</v>
      </c>
      <c r="M7" s="141">
        <v>85.405643140071604</v>
      </c>
      <c r="N7" s="141">
        <v>87.530795881696818</v>
      </c>
      <c r="O7" s="141">
        <v>76.605458413701157</v>
      </c>
      <c r="P7" s="141">
        <v>54.640115128750097</v>
      </c>
      <c r="Q7" s="141">
        <v>13.878102636497443</v>
      </c>
      <c r="R7" s="141">
        <v>31.691582418100481</v>
      </c>
      <c r="S7" s="141">
        <v>0</v>
      </c>
      <c r="T7" s="141">
        <v>6.4245063098934097</v>
      </c>
      <c r="U7" s="141">
        <v>0</v>
      </c>
      <c r="V7" s="141">
        <v>0</v>
      </c>
      <c r="W7" s="141">
        <v>0</v>
      </c>
      <c r="DA7" s="171" t="s">
        <v>573</v>
      </c>
    </row>
    <row r="8" spans="1:105" ht="12" customHeight="1" x14ac:dyDescent="0.25">
      <c r="A8" s="132" t="s">
        <v>73</v>
      </c>
      <c r="B8" s="141"/>
      <c r="C8" s="141">
        <v>0.41045755407567092</v>
      </c>
      <c r="D8" s="141">
        <v>1.5469067605973463</v>
      </c>
      <c r="E8" s="141">
        <v>1.6794019010209591</v>
      </c>
      <c r="F8" s="141">
        <v>1.1555541657178925</v>
      </c>
      <c r="G8" s="141">
        <v>2.8759230893300964</v>
      </c>
      <c r="H8" s="141">
        <v>4.4669065747288945</v>
      </c>
      <c r="I8" s="141">
        <v>12.578085982434619</v>
      </c>
      <c r="J8" s="141">
        <v>4.9411093280008407</v>
      </c>
      <c r="K8" s="141">
        <v>6.1144008705496811</v>
      </c>
      <c r="L8" s="141">
        <v>4.2483771330675379</v>
      </c>
      <c r="M8" s="141">
        <v>3.6745691293265512</v>
      </c>
      <c r="N8" s="141">
        <v>3.4284963487208753</v>
      </c>
      <c r="O8" s="141">
        <v>5.9453790307363539</v>
      </c>
      <c r="P8" s="141">
        <v>16.749021933573093</v>
      </c>
      <c r="Q8" s="141">
        <v>12.633118408804016</v>
      </c>
      <c r="R8" s="141">
        <v>12.932179322450878</v>
      </c>
      <c r="S8" s="141">
        <v>11.464370247054486</v>
      </c>
      <c r="T8" s="141">
        <v>16.944321540490634</v>
      </c>
      <c r="U8" s="141">
        <v>19.511354711528508</v>
      </c>
      <c r="V8" s="141">
        <v>24.268974038843456</v>
      </c>
      <c r="W8" s="141">
        <v>14.682380083117058</v>
      </c>
      <c r="DA8" s="171" t="s">
        <v>574</v>
      </c>
    </row>
    <row r="9" spans="1:105" ht="12" customHeight="1" x14ac:dyDescent="0.25">
      <c r="A9" s="132" t="s">
        <v>78</v>
      </c>
      <c r="B9" s="141"/>
      <c r="C9" s="141">
        <v>313.31252566512779</v>
      </c>
      <c r="D9" s="141">
        <v>681.1818158097891</v>
      </c>
      <c r="E9" s="141">
        <v>710.30758059548646</v>
      </c>
      <c r="F9" s="141">
        <v>648.7917027770269</v>
      </c>
      <c r="G9" s="141">
        <v>636.58955362600443</v>
      </c>
      <c r="H9" s="141">
        <v>583.59973445774403</v>
      </c>
      <c r="I9" s="141">
        <v>489.04198715805359</v>
      </c>
      <c r="J9" s="141">
        <v>245.48477403299734</v>
      </c>
      <c r="K9" s="141">
        <v>232.32304044947702</v>
      </c>
      <c r="L9" s="141">
        <v>137.81863381057732</v>
      </c>
      <c r="M9" s="141">
        <v>123.32569734658581</v>
      </c>
      <c r="N9" s="141">
        <v>152.88501697193433</v>
      </c>
      <c r="O9" s="141">
        <v>214.46575749072409</v>
      </c>
      <c r="P9" s="141">
        <v>163.33608485339064</v>
      </c>
      <c r="Q9" s="141">
        <v>476.48415551250287</v>
      </c>
      <c r="R9" s="141">
        <v>443.22965350455735</v>
      </c>
      <c r="S9" s="141">
        <v>470.09141859107325</v>
      </c>
      <c r="T9" s="141">
        <v>426.40711063091396</v>
      </c>
      <c r="U9" s="141">
        <v>716.91149884154925</v>
      </c>
      <c r="V9" s="141">
        <v>699.33854498963638</v>
      </c>
      <c r="W9" s="141">
        <v>412.88528999320715</v>
      </c>
      <c r="DA9" s="171" t="s">
        <v>575</v>
      </c>
    </row>
    <row r="10" spans="1:105" ht="12" customHeight="1" x14ac:dyDescent="0.25">
      <c r="A10" s="132" t="s">
        <v>128</v>
      </c>
      <c r="B10" s="141"/>
      <c r="C10" s="141">
        <v>70.253469484095746</v>
      </c>
      <c r="D10" s="141">
        <v>186.09510031710846</v>
      </c>
      <c r="E10" s="141">
        <v>106.5625184328929</v>
      </c>
      <c r="F10" s="141">
        <v>78.326689808931533</v>
      </c>
      <c r="G10" s="141">
        <v>92.584065192171138</v>
      </c>
      <c r="H10" s="141">
        <v>79.510878287631101</v>
      </c>
      <c r="I10" s="141">
        <v>8.5726111066333193</v>
      </c>
      <c r="J10" s="141">
        <v>0</v>
      </c>
      <c r="K10" s="141">
        <v>0</v>
      </c>
      <c r="L10" s="141">
        <v>19.569598054542595</v>
      </c>
      <c r="M10" s="141">
        <v>60.446896864159449</v>
      </c>
      <c r="N10" s="141">
        <v>46.124743779569009</v>
      </c>
      <c r="O10" s="141">
        <v>62.249397004159363</v>
      </c>
      <c r="P10" s="141">
        <v>121.10964332392632</v>
      </c>
      <c r="Q10" s="141">
        <v>49.326718546734526</v>
      </c>
      <c r="R10" s="141">
        <v>129.31241009593572</v>
      </c>
      <c r="S10" s="141">
        <v>121.70687912425591</v>
      </c>
      <c r="T10" s="141">
        <v>86.565357777769023</v>
      </c>
      <c r="U10" s="141">
        <v>28.317055887122251</v>
      </c>
      <c r="V10" s="141">
        <v>19.376634615414652</v>
      </c>
      <c r="W10" s="141">
        <v>0</v>
      </c>
      <c r="DA10" s="171" t="s">
        <v>576</v>
      </c>
    </row>
    <row r="11" spans="1:105" ht="12" customHeight="1" x14ac:dyDescent="0.25">
      <c r="A11" s="132" t="s">
        <v>25</v>
      </c>
      <c r="B11" s="141"/>
      <c r="C11" s="141">
        <v>0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0</v>
      </c>
      <c r="J11" s="141">
        <v>0</v>
      </c>
      <c r="K11" s="141">
        <v>0</v>
      </c>
      <c r="L11" s="141">
        <v>0</v>
      </c>
      <c r="M11" s="141">
        <v>0</v>
      </c>
      <c r="N11" s="141">
        <v>0</v>
      </c>
      <c r="O11" s="141">
        <v>0</v>
      </c>
      <c r="P11" s="141">
        <v>0</v>
      </c>
      <c r="Q11" s="141">
        <v>0</v>
      </c>
      <c r="R11" s="141">
        <v>0</v>
      </c>
      <c r="S11" s="141">
        <v>0</v>
      </c>
      <c r="T11" s="141">
        <v>0</v>
      </c>
      <c r="U11" s="141">
        <v>0</v>
      </c>
      <c r="V11" s="141">
        <v>0</v>
      </c>
      <c r="W11" s="141">
        <v>0</v>
      </c>
      <c r="DA11" s="171" t="s">
        <v>577</v>
      </c>
    </row>
    <row r="12" spans="1:105" ht="12" customHeight="1" x14ac:dyDescent="0.25">
      <c r="A12" s="132" t="s">
        <v>169</v>
      </c>
      <c r="B12" s="141"/>
      <c r="C12" s="141">
        <v>2253.0369120182759</v>
      </c>
      <c r="D12" s="141">
        <v>2349.6757339813375</v>
      </c>
      <c r="E12" s="141">
        <v>2137.4569640940254</v>
      </c>
      <c r="F12" s="141">
        <v>1858.4474795382287</v>
      </c>
      <c r="G12" s="141">
        <v>1787.2622608128645</v>
      </c>
      <c r="H12" s="141">
        <v>1792.5460523381539</v>
      </c>
      <c r="I12" s="141">
        <v>2987.7615901992367</v>
      </c>
      <c r="J12" s="141">
        <v>1759.4294876896456</v>
      </c>
      <c r="K12" s="141">
        <v>2927.0487035598189</v>
      </c>
      <c r="L12" s="141">
        <v>3167.7355086858643</v>
      </c>
      <c r="M12" s="141">
        <v>1234.3982820652777</v>
      </c>
      <c r="N12" s="141">
        <v>782.75235851112291</v>
      </c>
      <c r="O12" s="141">
        <v>904.96193145630639</v>
      </c>
      <c r="P12" s="141">
        <v>1209.4288631620491</v>
      </c>
      <c r="Q12" s="141">
        <v>1083.155919637529</v>
      </c>
      <c r="R12" s="141">
        <v>1433.5132306134815</v>
      </c>
      <c r="S12" s="141">
        <v>1594.3740954930158</v>
      </c>
      <c r="T12" s="141">
        <v>1461.5192724921001</v>
      </c>
      <c r="U12" s="141">
        <v>1261.8822247673652</v>
      </c>
      <c r="V12" s="141">
        <v>1248.7891514374087</v>
      </c>
      <c r="W12" s="141">
        <v>1403.5310555800406</v>
      </c>
      <c r="DA12" s="171" t="s">
        <v>578</v>
      </c>
    </row>
    <row r="13" spans="1:105" ht="12" customHeight="1" x14ac:dyDescent="0.25">
      <c r="A13" s="132" t="s">
        <v>77</v>
      </c>
      <c r="B13" s="141"/>
      <c r="C13" s="141">
        <v>12.608706075522466</v>
      </c>
      <c r="D13" s="141">
        <v>12.660943148310691</v>
      </c>
      <c r="E13" s="141">
        <v>9.625190992423569</v>
      </c>
      <c r="F13" s="141">
        <v>9.542826382333585</v>
      </c>
      <c r="G13" s="141">
        <v>59.043950719930749</v>
      </c>
      <c r="H13" s="141">
        <v>116.89534697961078</v>
      </c>
      <c r="I13" s="141">
        <v>289.55588285228976</v>
      </c>
      <c r="J13" s="141">
        <v>107.49824897972249</v>
      </c>
      <c r="K13" s="141">
        <v>108.03058627556914</v>
      </c>
      <c r="L13" s="141">
        <v>56.781422553287989</v>
      </c>
      <c r="M13" s="141">
        <v>46.621887004631077</v>
      </c>
      <c r="N13" s="141">
        <v>28.531036291526966</v>
      </c>
      <c r="O13" s="141">
        <v>38.932115775416484</v>
      </c>
      <c r="P13" s="141">
        <v>83.027749015009135</v>
      </c>
      <c r="Q13" s="141">
        <v>59.671570959369241</v>
      </c>
      <c r="R13" s="141">
        <v>80.441937392313321</v>
      </c>
      <c r="S13" s="141">
        <v>83.683878821396192</v>
      </c>
      <c r="T13" s="141">
        <v>129.57051744444001</v>
      </c>
      <c r="U13" s="141">
        <v>141.7559861899102</v>
      </c>
      <c r="V13" s="141">
        <v>157.00491284225856</v>
      </c>
      <c r="W13" s="141">
        <v>167.67384297143573</v>
      </c>
      <c r="DA13" s="171" t="s">
        <v>579</v>
      </c>
    </row>
    <row r="14" spans="1:105" ht="12" customHeight="1" x14ac:dyDescent="0.25">
      <c r="A14" s="60" t="s">
        <v>76</v>
      </c>
      <c r="B14" s="142"/>
      <c r="C14" s="142">
        <v>474.74086665510282</v>
      </c>
      <c r="D14" s="142">
        <v>294.85694969284987</v>
      </c>
      <c r="E14" s="142">
        <v>285.44708680739302</v>
      </c>
      <c r="F14" s="142">
        <v>489.32192792201039</v>
      </c>
      <c r="G14" s="142">
        <v>615.11819762803987</v>
      </c>
      <c r="H14" s="142">
        <v>732.83588194766128</v>
      </c>
      <c r="I14" s="142">
        <v>785.73694768094447</v>
      </c>
      <c r="J14" s="142">
        <v>277.57517080683039</v>
      </c>
      <c r="K14" s="142">
        <v>150.56492775459716</v>
      </c>
      <c r="L14" s="142">
        <v>172.67854260717201</v>
      </c>
      <c r="M14" s="142">
        <v>77.756077908206763</v>
      </c>
      <c r="N14" s="142">
        <v>11.196617968237307</v>
      </c>
      <c r="O14" s="142">
        <v>0</v>
      </c>
      <c r="P14" s="142">
        <v>0</v>
      </c>
      <c r="Q14" s="142">
        <v>0</v>
      </c>
      <c r="R14" s="142">
        <v>0</v>
      </c>
      <c r="S14" s="142">
        <v>0</v>
      </c>
      <c r="T14" s="142">
        <v>0</v>
      </c>
      <c r="U14" s="142">
        <v>0</v>
      </c>
      <c r="V14" s="142">
        <v>0</v>
      </c>
      <c r="W14" s="142">
        <v>148.21117481360315</v>
      </c>
      <c r="DA14" s="172" t="s">
        <v>580</v>
      </c>
    </row>
    <row r="15" spans="1:105" ht="12" customHeight="1" x14ac:dyDescent="0.25">
      <c r="A15" s="143" t="s">
        <v>75</v>
      </c>
      <c r="B15" s="144"/>
      <c r="C15" s="144">
        <f t="shared" ref="C15:Q15" si="3">SUM(C5:C12)</f>
        <v>2678.1841555906303</v>
      </c>
      <c r="D15" s="144">
        <f t="shared" si="3"/>
        <v>3322.5729751236222</v>
      </c>
      <c r="E15" s="144">
        <f t="shared" si="3"/>
        <v>3085.5494115095589</v>
      </c>
      <c r="F15" s="144">
        <f t="shared" si="3"/>
        <v>2722.7577535801165</v>
      </c>
      <c r="G15" s="144">
        <f t="shared" si="3"/>
        <v>2561.4612310528123</v>
      </c>
      <c r="H15" s="144">
        <f t="shared" si="3"/>
        <v>2466.176664394221</v>
      </c>
      <c r="I15" s="144">
        <f t="shared" si="3"/>
        <v>3569.1925206576689</v>
      </c>
      <c r="J15" s="144">
        <f t="shared" si="3"/>
        <v>2105.6523842371871</v>
      </c>
      <c r="K15" s="144">
        <f t="shared" si="3"/>
        <v>3291.4913884813168</v>
      </c>
      <c r="L15" s="144">
        <f t="shared" si="3"/>
        <v>3464.3389329754359</v>
      </c>
      <c r="M15" s="144">
        <f t="shared" si="3"/>
        <v>1507.2510885454212</v>
      </c>
      <c r="N15" s="144">
        <f t="shared" si="3"/>
        <v>1072.7214114930439</v>
      </c>
      <c r="O15" s="144">
        <f t="shared" si="3"/>
        <v>1264.2279233956274</v>
      </c>
      <c r="P15" s="144">
        <f t="shared" si="3"/>
        <v>1565.2637284016891</v>
      </c>
      <c r="Q15" s="144">
        <f t="shared" si="3"/>
        <v>1635.4780147420679</v>
      </c>
      <c r="R15" s="144">
        <f t="shared" ref="R15:W15" si="4">SUM(R5:R12)</f>
        <v>2050.6790559545261</v>
      </c>
      <c r="S15" s="144">
        <f t="shared" si="4"/>
        <v>2197.6367634553994</v>
      </c>
      <c r="T15" s="144">
        <f t="shared" si="4"/>
        <v>1997.8605687511672</v>
      </c>
      <c r="U15" s="144">
        <f t="shared" si="4"/>
        <v>2026.6221342075651</v>
      </c>
      <c r="V15" s="144">
        <f t="shared" si="4"/>
        <v>1991.7733050813031</v>
      </c>
      <c r="W15" s="144">
        <f t="shared" si="4"/>
        <v>1831.0987256563649</v>
      </c>
      <c r="DA15" s="173"/>
    </row>
    <row r="16" spans="1:105" ht="12.95" customHeight="1" x14ac:dyDescent="0.25">
      <c r="A16" s="130" t="s">
        <v>74</v>
      </c>
      <c r="B16" s="140"/>
      <c r="C16" s="140">
        <f t="shared" ref="C16:Q16" si="5">SUM(C17:C18)</f>
        <v>3165.5337283212557</v>
      </c>
      <c r="D16" s="140">
        <f t="shared" si="5"/>
        <v>3630.0908679647823</v>
      </c>
      <c r="E16" s="140">
        <f t="shared" si="5"/>
        <v>3380.6216893093756</v>
      </c>
      <c r="F16" s="140">
        <f t="shared" si="5"/>
        <v>3221.62250788446</v>
      </c>
      <c r="G16" s="140">
        <f t="shared" si="5"/>
        <v>3235.6233794007831</v>
      </c>
      <c r="H16" s="140">
        <f t="shared" si="5"/>
        <v>3315.9078933214932</v>
      </c>
      <c r="I16" s="140">
        <f t="shared" si="5"/>
        <v>4644.4853511909023</v>
      </c>
      <c r="J16" s="140">
        <f t="shared" si="5"/>
        <v>2490.7258040237402</v>
      </c>
      <c r="K16" s="140">
        <f t="shared" si="5"/>
        <v>3550.086902511483</v>
      </c>
      <c r="L16" s="140">
        <f t="shared" si="5"/>
        <v>3693.7988981358958</v>
      </c>
      <c r="M16" s="140">
        <f t="shared" si="5"/>
        <v>1631.629053458259</v>
      </c>
      <c r="N16" s="140">
        <f t="shared" si="5"/>
        <v>1112.4490657528081</v>
      </c>
      <c r="O16" s="140">
        <f t="shared" si="5"/>
        <v>1303.1600391710438</v>
      </c>
      <c r="P16" s="140">
        <f t="shared" si="5"/>
        <v>1648.2914774166986</v>
      </c>
      <c r="Q16" s="140">
        <f t="shared" si="5"/>
        <v>1695.149585701437</v>
      </c>
      <c r="R16" s="140">
        <f t="shared" ref="R16:W16" si="6">SUM(R17:R18)</f>
        <v>2131.120993346839</v>
      </c>
      <c r="S16" s="140">
        <f t="shared" si="6"/>
        <v>2281.3206422767958</v>
      </c>
      <c r="T16" s="140">
        <f t="shared" si="6"/>
        <v>2127.4310861956069</v>
      </c>
      <c r="U16" s="140">
        <f t="shared" si="6"/>
        <v>2168.378120397475</v>
      </c>
      <c r="V16" s="140">
        <f t="shared" si="6"/>
        <v>2148.7782179235614</v>
      </c>
      <c r="W16" s="140">
        <f t="shared" si="6"/>
        <v>2146.9837434414039</v>
      </c>
      <c r="DA16" s="170" t="s">
        <v>581</v>
      </c>
    </row>
    <row r="17" spans="1:105" ht="12.95" customHeight="1" x14ac:dyDescent="0.25">
      <c r="A17" s="132" t="s">
        <v>73</v>
      </c>
      <c r="B17" s="141"/>
      <c r="C17" s="141">
        <v>3.3459807509662318</v>
      </c>
      <c r="D17" s="141">
        <v>4.2124604942627153</v>
      </c>
      <c r="E17" s="141">
        <v>3.1613942828829611</v>
      </c>
      <c r="F17" s="141">
        <v>4.2267265125412026</v>
      </c>
      <c r="G17" s="141">
        <v>4.3916483453427313</v>
      </c>
      <c r="H17" s="141">
        <v>3.5762115581009803</v>
      </c>
      <c r="I17" s="141">
        <v>4.3578839137182594</v>
      </c>
      <c r="J17" s="141">
        <v>2.6715928777234565</v>
      </c>
      <c r="K17" s="141">
        <v>3.4629951807743256</v>
      </c>
      <c r="L17" s="141">
        <v>5.1415772264204245</v>
      </c>
      <c r="M17" s="141">
        <v>2.7734127887826712</v>
      </c>
      <c r="N17" s="141">
        <v>2.4699222146911031</v>
      </c>
      <c r="O17" s="141">
        <v>3.9452079302082717</v>
      </c>
      <c r="P17" s="141">
        <v>7.1480143589297747</v>
      </c>
      <c r="Q17" s="141">
        <v>11.522411062587052</v>
      </c>
      <c r="R17" s="141">
        <v>13.979151641496086</v>
      </c>
      <c r="S17" s="141">
        <v>13.911609349431995</v>
      </c>
      <c r="T17" s="141">
        <v>9.8384939899948805</v>
      </c>
      <c r="U17" s="141">
        <v>15.261746960231958</v>
      </c>
      <c r="V17" s="141">
        <v>65.208465363228569</v>
      </c>
      <c r="W17" s="141">
        <v>11.083272778151551</v>
      </c>
      <c r="DA17" s="171" t="s">
        <v>582</v>
      </c>
    </row>
    <row r="18" spans="1:105" ht="12" customHeight="1" x14ac:dyDescent="0.25">
      <c r="A18" s="132" t="s">
        <v>72</v>
      </c>
      <c r="B18" s="141"/>
      <c r="C18" s="141">
        <v>3162.1877475702895</v>
      </c>
      <c r="D18" s="141">
        <v>3625.8784074705195</v>
      </c>
      <c r="E18" s="141">
        <v>3377.4602950264925</v>
      </c>
      <c r="F18" s="141">
        <v>3217.3957813719189</v>
      </c>
      <c r="G18" s="141">
        <v>3231.2317310554404</v>
      </c>
      <c r="H18" s="141">
        <v>3312.3316817633922</v>
      </c>
      <c r="I18" s="141">
        <v>4640.1274672771842</v>
      </c>
      <c r="J18" s="141">
        <v>2488.0542111460168</v>
      </c>
      <c r="K18" s="141">
        <v>3546.6239073307088</v>
      </c>
      <c r="L18" s="141">
        <v>3688.6573209094754</v>
      </c>
      <c r="M18" s="141">
        <v>1628.8556406694763</v>
      </c>
      <c r="N18" s="141">
        <v>1109.9791435381171</v>
      </c>
      <c r="O18" s="141">
        <v>1299.2148312408356</v>
      </c>
      <c r="P18" s="141">
        <v>1641.1434630577689</v>
      </c>
      <c r="Q18" s="141">
        <v>1683.62717463885</v>
      </c>
      <c r="R18" s="141">
        <v>2117.1418417053428</v>
      </c>
      <c r="S18" s="141">
        <v>2267.4090329273636</v>
      </c>
      <c r="T18" s="141">
        <v>2117.5925922056122</v>
      </c>
      <c r="U18" s="141">
        <v>2153.1163734372431</v>
      </c>
      <c r="V18" s="141">
        <v>2083.5697525603327</v>
      </c>
      <c r="W18" s="141">
        <v>2135.9004706632522</v>
      </c>
      <c r="DA18" s="171" t="s">
        <v>583</v>
      </c>
    </row>
    <row r="19" spans="1:105" ht="12.95" customHeight="1" x14ac:dyDescent="0.25">
      <c r="A19" s="130" t="s">
        <v>35</v>
      </c>
      <c r="B19" s="140"/>
      <c r="C19" s="140">
        <f t="shared" ref="C19:Q19" si="7">SUM(C20:C26)</f>
        <v>3165.5337283212557</v>
      </c>
      <c r="D19" s="140">
        <f t="shared" si="7"/>
        <v>3630.0908679647828</v>
      </c>
      <c r="E19" s="140">
        <f t="shared" si="7"/>
        <v>3380.6216893093756</v>
      </c>
      <c r="F19" s="140">
        <f t="shared" si="7"/>
        <v>3221.6225078844609</v>
      </c>
      <c r="G19" s="140">
        <f t="shared" si="7"/>
        <v>3235.6233794007831</v>
      </c>
      <c r="H19" s="140">
        <f t="shared" si="7"/>
        <v>3315.9078933214932</v>
      </c>
      <c r="I19" s="140">
        <f t="shared" si="7"/>
        <v>4644.4853511909041</v>
      </c>
      <c r="J19" s="140">
        <f t="shared" si="7"/>
        <v>2490.7258040237402</v>
      </c>
      <c r="K19" s="140">
        <f t="shared" si="7"/>
        <v>3550.0869025114839</v>
      </c>
      <c r="L19" s="140">
        <f t="shared" si="7"/>
        <v>3693.7988981358963</v>
      </c>
      <c r="M19" s="140">
        <f t="shared" si="7"/>
        <v>1631.629053458259</v>
      </c>
      <c r="N19" s="140">
        <f t="shared" si="7"/>
        <v>1112.4490657528081</v>
      </c>
      <c r="O19" s="140">
        <f t="shared" si="7"/>
        <v>1303.160039171044</v>
      </c>
      <c r="P19" s="140">
        <f t="shared" si="7"/>
        <v>1648.2914774166986</v>
      </c>
      <c r="Q19" s="140">
        <f t="shared" si="7"/>
        <v>1695.1495857014372</v>
      </c>
      <c r="R19" s="140">
        <f t="shared" ref="R19:W19" si="8">SUM(R20:R26)</f>
        <v>2131.120993346839</v>
      </c>
      <c r="S19" s="140">
        <f t="shared" si="8"/>
        <v>2281.3206422767958</v>
      </c>
      <c r="T19" s="140">
        <f t="shared" si="8"/>
        <v>2127.4310861956073</v>
      </c>
      <c r="U19" s="140">
        <f t="shared" si="8"/>
        <v>2168.3781203974754</v>
      </c>
      <c r="V19" s="140">
        <f t="shared" si="8"/>
        <v>2148.7782179235619</v>
      </c>
      <c r="W19" s="140">
        <f t="shared" si="8"/>
        <v>2146.9837434414039</v>
      </c>
      <c r="DA19" s="170" t="s">
        <v>584</v>
      </c>
    </row>
    <row r="20" spans="1:105" ht="12" customHeight="1" x14ac:dyDescent="0.25">
      <c r="A20" s="132" t="s">
        <v>29</v>
      </c>
      <c r="B20" s="141"/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585</v>
      </c>
    </row>
    <row r="21" spans="1:105" s="2" customFormat="1" ht="12" customHeight="1" x14ac:dyDescent="0.25">
      <c r="A21" s="132" t="s">
        <v>52</v>
      </c>
      <c r="B21" s="141"/>
      <c r="C21" s="141">
        <v>0</v>
      </c>
      <c r="D21" s="141">
        <v>0</v>
      </c>
      <c r="E21" s="141">
        <v>0</v>
      </c>
      <c r="F21" s="141">
        <v>0</v>
      </c>
      <c r="G21" s="141">
        <v>0</v>
      </c>
      <c r="H21" s="141">
        <v>0</v>
      </c>
      <c r="I21" s="141">
        <v>0</v>
      </c>
      <c r="J21" s="141">
        <v>0</v>
      </c>
      <c r="K21" s="141">
        <v>0</v>
      </c>
      <c r="L21" s="141">
        <v>0</v>
      </c>
      <c r="M21" s="141">
        <v>0</v>
      </c>
      <c r="N21" s="141">
        <v>0</v>
      </c>
      <c r="O21" s="141">
        <v>0</v>
      </c>
      <c r="P21" s="141">
        <v>0</v>
      </c>
      <c r="Q21" s="141">
        <v>0</v>
      </c>
      <c r="R21" s="141">
        <v>0</v>
      </c>
      <c r="S21" s="141">
        <v>0</v>
      </c>
      <c r="T21" s="141">
        <v>0</v>
      </c>
      <c r="U21" s="141">
        <v>0</v>
      </c>
      <c r="V21" s="141">
        <v>0</v>
      </c>
      <c r="W21" s="141">
        <v>0</v>
      </c>
      <c r="DA21" s="171" t="s">
        <v>586</v>
      </c>
    </row>
    <row r="22" spans="1:105" ht="12" customHeight="1" x14ac:dyDescent="0.25">
      <c r="A22" s="132" t="s">
        <v>168</v>
      </c>
      <c r="B22" s="141"/>
      <c r="C22" s="141">
        <v>144.31436944660891</v>
      </c>
      <c r="D22" s="141">
        <v>168.95272262189067</v>
      </c>
      <c r="E22" s="141">
        <v>159.35513563447458</v>
      </c>
      <c r="F22" s="141">
        <v>123.60488139830484</v>
      </c>
      <c r="G22" s="141">
        <v>64.369232603041254</v>
      </c>
      <c r="H22" s="141">
        <v>7.0580774019086601</v>
      </c>
      <c r="I22" s="141">
        <v>40.027844948779787</v>
      </c>
      <c r="J22" s="141">
        <v>78.636228138198476</v>
      </c>
      <c r="K22" s="141">
        <v>120.77193524606017</v>
      </c>
      <c r="L22" s="141">
        <v>114.32829476862372</v>
      </c>
      <c r="M22" s="141">
        <v>49.633726636718123</v>
      </c>
      <c r="N22" s="141">
        <v>49.155868230368945</v>
      </c>
      <c r="O22" s="141">
        <v>58.532977913230162</v>
      </c>
      <c r="P22" s="141">
        <v>26.004035841604974</v>
      </c>
      <c r="Q22" s="141">
        <v>18.618150835704526</v>
      </c>
      <c r="R22" s="141">
        <v>25.814353347760587</v>
      </c>
      <c r="S22" s="141">
        <v>0</v>
      </c>
      <c r="T22" s="141">
        <v>0</v>
      </c>
      <c r="U22" s="141">
        <v>0</v>
      </c>
      <c r="V22" s="141">
        <v>0</v>
      </c>
      <c r="W22" s="141">
        <v>0</v>
      </c>
      <c r="DA22" s="171" t="s">
        <v>587</v>
      </c>
    </row>
    <row r="23" spans="1:105" ht="12" customHeight="1" x14ac:dyDescent="0.25">
      <c r="A23" s="132" t="s">
        <v>153</v>
      </c>
      <c r="B23" s="141"/>
      <c r="C23" s="141">
        <v>285.22345168159637</v>
      </c>
      <c r="D23" s="141">
        <v>596.02863871050454</v>
      </c>
      <c r="E23" s="141">
        <v>637.92075084350427</v>
      </c>
      <c r="F23" s="141">
        <v>576.55528552286637</v>
      </c>
      <c r="G23" s="141">
        <v>603.08674889255803</v>
      </c>
      <c r="H23" s="141">
        <v>535.17731931813671</v>
      </c>
      <c r="I23" s="141">
        <v>525.29565106487462</v>
      </c>
      <c r="J23" s="141">
        <v>278.72289878351893</v>
      </c>
      <c r="K23" s="141">
        <v>247.45562491639055</v>
      </c>
      <c r="L23" s="141">
        <v>172.8250409391633</v>
      </c>
      <c r="M23" s="141">
        <v>2.5344632470941781</v>
      </c>
      <c r="N23" s="141">
        <v>43.442636888629387</v>
      </c>
      <c r="O23" s="141">
        <v>95.911939580510051</v>
      </c>
      <c r="P23" s="141">
        <v>199.41943154755782</v>
      </c>
      <c r="Q23" s="141">
        <v>398.36136517730341</v>
      </c>
      <c r="R23" s="141">
        <v>437.52776249122741</v>
      </c>
      <c r="S23" s="141">
        <v>456.63978973245673</v>
      </c>
      <c r="T23" s="141">
        <v>300.37237733204694</v>
      </c>
      <c r="U23" s="141">
        <v>299.34596285706277</v>
      </c>
      <c r="V23" s="141">
        <v>248.99678883093569</v>
      </c>
      <c r="W23" s="141">
        <v>207.52940993268635</v>
      </c>
      <c r="DA23" s="171" t="s">
        <v>588</v>
      </c>
    </row>
    <row r="24" spans="1:105" ht="12" customHeight="1" x14ac:dyDescent="0.25">
      <c r="A24" s="132" t="s">
        <v>128</v>
      </c>
      <c r="B24" s="141"/>
      <c r="C24" s="141">
        <v>68.558737266482254</v>
      </c>
      <c r="D24" s="141">
        <v>68.69626623075311</v>
      </c>
      <c r="E24" s="141">
        <v>64.028862016905805</v>
      </c>
      <c r="F24" s="141">
        <v>59.390045224850354</v>
      </c>
      <c r="G24" s="141">
        <v>63.777110346521766</v>
      </c>
      <c r="H24" s="141">
        <v>64.843083869532776</v>
      </c>
      <c r="I24" s="141">
        <v>85.404592167010506</v>
      </c>
      <c r="J24" s="141">
        <v>53.922067064784017</v>
      </c>
      <c r="K24" s="141">
        <v>72.962153629897045</v>
      </c>
      <c r="L24" s="141">
        <v>75.329954797945049</v>
      </c>
      <c r="M24" s="141">
        <v>36.974430972456069</v>
      </c>
      <c r="N24" s="141">
        <v>23.698261085923392</v>
      </c>
      <c r="O24" s="141">
        <v>24.682076955398664</v>
      </c>
      <c r="P24" s="141">
        <v>38.984900581333932</v>
      </c>
      <c r="Q24" s="141">
        <v>53.609073144195385</v>
      </c>
      <c r="R24" s="141">
        <v>91.527257632797102</v>
      </c>
      <c r="S24" s="141">
        <v>66.186820560317187</v>
      </c>
      <c r="T24" s="141">
        <v>56.98647646953917</v>
      </c>
      <c r="U24" s="141">
        <v>41.869917131545527</v>
      </c>
      <c r="V24" s="141">
        <v>38.317652174718361</v>
      </c>
      <c r="W24" s="141">
        <v>41.24991730458386</v>
      </c>
      <c r="DA24" s="171" t="s">
        <v>589</v>
      </c>
    </row>
    <row r="25" spans="1:105" ht="12" customHeight="1" x14ac:dyDescent="0.25">
      <c r="A25" s="132" t="s">
        <v>169</v>
      </c>
      <c r="B25" s="141"/>
      <c r="C25" s="141">
        <v>1951.1447626622685</v>
      </c>
      <c r="D25" s="141">
        <v>1921.8768353953596</v>
      </c>
      <c r="E25" s="141">
        <v>1744.4138197970494</v>
      </c>
      <c r="F25" s="141">
        <v>1501.99212409194</v>
      </c>
      <c r="G25" s="141">
        <v>1479.2050372774006</v>
      </c>
      <c r="H25" s="141">
        <v>1507.8997882342142</v>
      </c>
      <c r="I25" s="141">
        <v>2667.6778325117175</v>
      </c>
      <c r="J25" s="141">
        <v>1531.3049149848619</v>
      </c>
      <c r="K25" s="141">
        <v>2582.7537158989089</v>
      </c>
      <c r="L25" s="141">
        <v>2736.14903740619</v>
      </c>
      <c r="M25" s="141">
        <v>993.49535521798452</v>
      </c>
      <c r="N25" s="141">
        <v>591.98483819803732</v>
      </c>
      <c r="O25" s="141">
        <v>719.29316957920673</v>
      </c>
      <c r="P25" s="141">
        <v>1102.5164937769607</v>
      </c>
      <c r="Q25" s="141">
        <v>1021.9139293434421</v>
      </c>
      <c r="R25" s="141">
        <v>1263.3518113342186</v>
      </c>
      <c r="S25" s="141">
        <v>1363.8273176427813</v>
      </c>
      <c r="T25" s="141">
        <v>1525.9448307750731</v>
      </c>
      <c r="U25" s="141">
        <v>1423.028396369004</v>
      </c>
      <c r="V25" s="141">
        <v>1663.3136207225107</v>
      </c>
      <c r="W25" s="141">
        <v>1217.7863399462015</v>
      </c>
      <c r="DA25" s="171" t="s">
        <v>590</v>
      </c>
    </row>
    <row r="26" spans="1:105" ht="12" customHeight="1" x14ac:dyDescent="0.25">
      <c r="A26" s="132" t="s">
        <v>24</v>
      </c>
      <c r="B26" s="142"/>
      <c r="C26" s="142">
        <v>716.29240726429975</v>
      </c>
      <c r="D26" s="142">
        <v>874.53640500627466</v>
      </c>
      <c r="E26" s="142">
        <v>774.90312101744155</v>
      </c>
      <c r="F26" s="142">
        <v>960.08017164649925</v>
      </c>
      <c r="G26" s="142">
        <v>1025.1852502812612</v>
      </c>
      <c r="H26" s="142">
        <v>1200.9296244977006</v>
      </c>
      <c r="I26" s="142">
        <v>1326.0794304985213</v>
      </c>
      <c r="J26" s="142">
        <v>548.13969505237696</v>
      </c>
      <c r="K26" s="142">
        <v>526.14347282022698</v>
      </c>
      <c r="L26" s="142">
        <v>595.16657022397419</v>
      </c>
      <c r="M26" s="142">
        <v>548.99107738400619</v>
      </c>
      <c r="N26" s="142">
        <v>404.16746134984919</v>
      </c>
      <c r="O26" s="142">
        <v>404.73987514269828</v>
      </c>
      <c r="P26" s="142">
        <v>281.36661566924118</v>
      </c>
      <c r="Q26" s="142">
        <v>202.64706720079172</v>
      </c>
      <c r="R26" s="142">
        <v>312.89980854083535</v>
      </c>
      <c r="S26" s="142">
        <v>394.66671434124061</v>
      </c>
      <c r="T26" s="142">
        <v>244.12740161894803</v>
      </c>
      <c r="U26" s="142">
        <v>404.13384403986311</v>
      </c>
      <c r="V26" s="142">
        <v>198.15015619539693</v>
      </c>
      <c r="W26" s="142">
        <v>680.41807625793217</v>
      </c>
      <c r="DA26" s="172" t="s">
        <v>591</v>
      </c>
    </row>
    <row r="27" spans="1:105" ht="12" customHeight="1" x14ac:dyDescent="0.25">
      <c r="A27" s="145" t="s">
        <v>26</v>
      </c>
      <c r="B27" s="151"/>
      <c r="C27" s="151">
        <v>245.47208728358632</v>
      </c>
      <c r="D27" s="151">
        <v>366.61801811979183</v>
      </c>
      <c r="E27" s="151">
        <v>265.56740130511827</v>
      </c>
      <c r="F27" s="151">
        <v>364.89666079585129</v>
      </c>
      <c r="G27" s="151">
        <v>504.10384499160079</v>
      </c>
      <c r="H27" s="151">
        <v>445.35190061638139</v>
      </c>
      <c r="I27" s="151">
        <v>522.98494245206825</v>
      </c>
      <c r="J27" s="151">
        <v>336.65698914333552</v>
      </c>
      <c r="K27" s="151">
        <v>166.30518552609018</v>
      </c>
      <c r="L27" s="151">
        <v>1031.210246710302</v>
      </c>
      <c r="M27" s="151">
        <v>419.27039471555656</v>
      </c>
      <c r="N27" s="151">
        <v>235.55074779809226</v>
      </c>
      <c r="O27" s="151">
        <v>446.12052508772825</v>
      </c>
      <c r="P27" s="151">
        <v>0</v>
      </c>
      <c r="Q27" s="151">
        <v>254.97449950653373</v>
      </c>
      <c r="R27" s="151">
        <v>319.29949798354858</v>
      </c>
      <c r="S27" s="151">
        <v>108.21781685882837</v>
      </c>
      <c r="T27" s="151">
        <v>458.51623450419379</v>
      </c>
      <c r="U27" s="151">
        <v>488.26872422576855</v>
      </c>
      <c r="V27" s="151">
        <v>642.99704697394236</v>
      </c>
      <c r="W27" s="151">
        <v>5.0180043223798529E-2</v>
      </c>
      <c r="DA27" s="174" t="s">
        <v>592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DA28" s="175"/>
    </row>
    <row r="29" spans="1:105" ht="12.95" customHeight="1" x14ac:dyDescent="0.25">
      <c r="A29" s="130" t="s">
        <v>34</v>
      </c>
      <c r="B29" s="140"/>
      <c r="C29" s="140">
        <f t="shared" ref="C29:Q29" si="9">SUM(C30:C33)</f>
        <v>3165.5337283212557</v>
      </c>
      <c r="D29" s="140">
        <f t="shared" si="9"/>
        <v>3630.0908679647828</v>
      </c>
      <c r="E29" s="140">
        <f t="shared" si="9"/>
        <v>3380.6216893093751</v>
      </c>
      <c r="F29" s="140">
        <f t="shared" si="9"/>
        <v>3221.62250788446</v>
      </c>
      <c r="G29" s="140">
        <f t="shared" si="9"/>
        <v>3235.6233794007835</v>
      </c>
      <c r="H29" s="140">
        <f t="shared" si="9"/>
        <v>3315.9078933214932</v>
      </c>
      <c r="I29" s="140">
        <f t="shared" si="9"/>
        <v>4644.4853511909041</v>
      </c>
      <c r="J29" s="140">
        <f t="shared" si="9"/>
        <v>2490.7258040237402</v>
      </c>
      <c r="K29" s="140">
        <f t="shared" si="9"/>
        <v>3550.086902511483</v>
      </c>
      <c r="L29" s="140">
        <f t="shared" si="9"/>
        <v>3693.7988981358958</v>
      </c>
      <c r="M29" s="140">
        <f t="shared" si="9"/>
        <v>1631.629053458259</v>
      </c>
      <c r="N29" s="140">
        <f t="shared" si="9"/>
        <v>1112.4490657528083</v>
      </c>
      <c r="O29" s="140">
        <f t="shared" si="9"/>
        <v>1303.1600391710438</v>
      </c>
      <c r="P29" s="140">
        <f t="shared" si="9"/>
        <v>1648.2914774166989</v>
      </c>
      <c r="Q29" s="140">
        <f t="shared" si="9"/>
        <v>1695.1495857014374</v>
      </c>
      <c r="R29" s="140">
        <f t="shared" ref="R29:W29" si="10">SUM(R30:R33)</f>
        <v>2131.120993346839</v>
      </c>
      <c r="S29" s="140">
        <f t="shared" si="10"/>
        <v>2281.3206422767958</v>
      </c>
      <c r="T29" s="140">
        <f t="shared" si="10"/>
        <v>2127.4310861956073</v>
      </c>
      <c r="U29" s="140">
        <f t="shared" si="10"/>
        <v>2168.3781203974754</v>
      </c>
      <c r="V29" s="140">
        <f t="shared" si="10"/>
        <v>2148.7782179235619</v>
      </c>
      <c r="W29" s="140">
        <f t="shared" si="10"/>
        <v>2146.983743441403</v>
      </c>
      <c r="DA29" s="170" t="s">
        <v>593</v>
      </c>
    </row>
    <row r="30" spans="1:105" s="2" customFormat="1" ht="12" customHeight="1" x14ac:dyDescent="0.25">
      <c r="A30" s="132" t="s">
        <v>52</v>
      </c>
      <c r="B30" s="141"/>
      <c r="C30" s="141">
        <v>56.457176863817523</v>
      </c>
      <c r="D30" s="141">
        <v>138.47757263138297</v>
      </c>
      <c r="E30" s="141">
        <v>186.48766739692067</v>
      </c>
      <c r="F30" s="141">
        <v>196.63433340016357</v>
      </c>
      <c r="G30" s="141">
        <v>181.54235794709359</v>
      </c>
      <c r="H30" s="141">
        <v>112.27593487697408</v>
      </c>
      <c r="I30" s="141">
        <v>110.17061483363815</v>
      </c>
      <c r="J30" s="141">
        <v>79.654104990820073</v>
      </c>
      <c r="K30" s="141">
        <v>125.51848133749105</v>
      </c>
      <c r="L30" s="141">
        <v>178.34737619421648</v>
      </c>
      <c r="M30" s="141">
        <v>34.767537487525864</v>
      </c>
      <c r="N30" s="141">
        <v>0</v>
      </c>
      <c r="O30" s="141">
        <v>40.751760417085073</v>
      </c>
      <c r="P30" s="141">
        <v>99.601295560637851</v>
      </c>
      <c r="Q30" s="141">
        <v>125.95624861148718</v>
      </c>
      <c r="R30" s="141">
        <v>153.20896586386863</v>
      </c>
      <c r="S30" s="141">
        <v>131.00007552584756</v>
      </c>
      <c r="T30" s="141">
        <v>69.510333513437956</v>
      </c>
      <c r="U30" s="141">
        <v>57.341546314505621</v>
      </c>
      <c r="V30" s="141">
        <v>50.230514348796632</v>
      </c>
      <c r="W30" s="141">
        <v>73.757920313076028</v>
      </c>
      <c r="DA30" s="171" t="s">
        <v>594</v>
      </c>
    </row>
    <row r="31" spans="1:105" ht="12" customHeight="1" x14ac:dyDescent="0.25">
      <c r="A31" s="132" t="s">
        <v>153</v>
      </c>
      <c r="B31" s="141"/>
      <c r="C31" s="141">
        <v>472.77852544786106</v>
      </c>
      <c r="D31" s="141">
        <v>557.61222642842813</v>
      </c>
      <c r="E31" s="141">
        <v>565.14128942769298</v>
      </c>
      <c r="F31" s="141">
        <v>585.50182421185286</v>
      </c>
      <c r="G31" s="141">
        <v>681.78645825527644</v>
      </c>
      <c r="H31" s="141">
        <v>624.34273699872131</v>
      </c>
      <c r="I31" s="141">
        <v>779.53728080318217</v>
      </c>
      <c r="J31" s="141">
        <v>430.46214588185939</v>
      </c>
      <c r="K31" s="141">
        <v>568.0619177116929</v>
      </c>
      <c r="L31" s="141">
        <v>503.96367282779374</v>
      </c>
      <c r="M31" s="141">
        <v>176.71221881841379</v>
      </c>
      <c r="N31" s="141">
        <v>126.04593982765161</v>
      </c>
      <c r="O31" s="141">
        <v>191.10029436589724</v>
      </c>
      <c r="P31" s="141">
        <v>275.31760519614221</v>
      </c>
      <c r="Q31" s="141">
        <v>349.47807345497722</v>
      </c>
      <c r="R31" s="141">
        <v>362.74462221441331</v>
      </c>
      <c r="S31" s="141">
        <v>392.57570840690255</v>
      </c>
      <c r="T31" s="141">
        <v>350.2878492557943</v>
      </c>
      <c r="U31" s="141">
        <v>407.02660284748958</v>
      </c>
      <c r="V31" s="141">
        <v>310.23827167045255</v>
      </c>
      <c r="W31" s="141">
        <v>335.72835351640197</v>
      </c>
      <c r="DA31" s="171" t="s">
        <v>595</v>
      </c>
    </row>
    <row r="32" spans="1:105" ht="12" customHeight="1" x14ac:dyDescent="0.25">
      <c r="A32" s="132" t="s">
        <v>128</v>
      </c>
      <c r="B32" s="141"/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596</v>
      </c>
    </row>
    <row r="33" spans="1:105" ht="12" customHeight="1" x14ac:dyDescent="0.25">
      <c r="A33" s="62" t="s">
        <v>24</v>
      </c>
      <c r="B33" s="153"/>
      <c r="C33" s="153">
        <v>2636.2980260095774</v>
      </c>
      <c r="D33" s="153">
        <v>2934.0010689049718</v>
      </c>
      <c r="E33" s="153">
        <v>2628.9927324847617</v>
      </c>
      <c r="F33" s="153">
        <v>2439.4863502724438</v>
      </c>
      <c r="G33" s="153">
        <v>2372.2945631984135</v>
      </c>
      <c r="H33" s="153">
        <v>2579.2892214457979</v>
      </c>
      <c r="I33" s="153">
        <v>3754.7774555540836</v>
      </c>
      <c r="J33" s="153">
        <v>1980.6095531510609</v>
      </c>
      <c r="K33" s="153">
        <v>2856.506503462299</v>
      </c>
      <c r="L33" s="153">
        <v>3011.4878491138857</v>
      </c>
      <c r="M33" s="153">
        <v>1420.1492971523194</v>
      </c>
      <c r="N33" s="153">
        <v>986.4031259251567</v>
      </c>
      <c r="O33" s="153">
        <v>1071.3079843880614</v>
      </c>
      <c r="P33" s="153">
        <v>1273.3725766599189</v>
      </c>
      <c r="Q33" s="153">
        <v>1219.7152636349731</v>
      </c>
      <c r="R33" s="153">
        <v>1615.1674052685573</v>
      </c>
      <c r="S33" s="153">
        <v>1757.7448583440457</v>
      </c>
      <c r="T33" s="153">
        <v>1707.6329034263752</v>
      </c>
      <c r="U33" s="153">
        <v>1704.0099712354802</v>
      </c>
      <c r="V33" s="153">
        <v>1788.3094319043128</v>
      </c>
      <c r="W33" s="153">
        <v>1737.4974696119252</v>
      </c>
      <c r="DA33" s="176" t="s">
        <v>597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W15 C19:W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/>
      <c r="C3" s="126">
        <f t="shared" ref="C3:Q3" si="0">SUM(C4,C16,C19,C29)</f>
        <v>36.251039211342096</v>
      </c>
      <c r="D3" s="126">
        <f t="shared" si="0"/>
        <v>41.570072518117279</v>
      </c>
      <c r="E3" s="126">
        <f t="shared" si="0"/>
        <v>39.080748222724701</v>
      </c>
      <c r="F3" s="126">
        <f t="shared" si="0"/>
        <v>35.864140577994341</v>
      </c>
      <c r="G3" s="126">
        <f t="shared" si="0"/>
        <v>34.175259435122321</v>
      </c>
      <c r="H3" s="126">
        <f t="shared" si="0"/>
        <v>34.067815741419523</v>
      </c>
      <c r="I3" s="126">
        <f t="shared" si="0"/>
        <v>43.478760325374878</v>
      </c>
      <c r="J3" s="126">
        <f t="shared" si="0"/>
        <v>22.911973475960082</v>
      </c>
      <c r="K3" s="126">
        <f t="shared" si="0"/>
        <v>31.045071317594271</v>
      </c>
      <c r="L3" s="126">
        <f t="shared" si="0"/>
        <v>34.090076578321636</v>
      </c>
      <c r="M3" s="126">
        <f t="shared" si="0"/>
        <v>13.209440899606925</v>
      </c>
      <c r="N3" s="126">
        <f t="shared" si="0"/>
        <v>9.1016827003835985</v>
      </c>
      <c r="O3" s="126">
        <f t="shared" si="0"/>
        <v>10.214949504135916</v>
      </c>
      <c r="P3" s="126">
        <f t="shared" si="0"/>
        <v>11.255338742421003</v>
      </c>
      <c r="Q3" s="126">
        <f t="shared" si="0"/>
        <v>11.87630069817412</v>
      </c>
      <c r="R3" s="126">
        <f t="shared" ref="R3:W3" si="1">SUM(R4,R16,R19,R29)</f>
        <v>14.769079348538716</v>
      </c>
      <c r="S3" s="126">
        <f t="shared" si="1"/>
        <v>15.420101293003764</v>
      </c>
      <c r="T3" s="126">
        <f t="shared" si="1"/>
        <v>12.951487738388215</v>
      </c>
      <c r="U3" s="126">
        <f t="shared" si="1"/>
        <v>12.170559605120353</v>
      </c>
      <c r="V3" s="126">
        <f t="shared" si="1"/>
        <v>10.899247742498511</v>
      </c>
      <c r="W3" s="126">
        <f t="shared" si="1"/>
        <v>11.900867500777906</v>
      </c>
      <c r="DA3" s="155" t="s">
        <v>599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27.536237322876996</v>
      </c>
      <c r="D4" s="131">
        <f t="shared" si="2"/>
        <v>31.640774224686101</v>
      </c>
      <c r="E4" s="131">
        <f t="shared" si="2"/>
        <v>29.796252724894156</v>
      </c>
      <c r="F4" s="131">
        <f t="shared" si="2"/>
        <v>27.117106873867197</v>
      </c>
      <c r="G4" s="131">
        <f t="shared" si="2"/>
        <v>25.491219355600226</v>
      </c>
      <c r="H4" s="131">
        <f t="shared" si="2"/>
        <v>25.285116662285226</v>
      </c>
      <c r="I4" s="131">
        <f t="shared" si="2"/>
        <v>31.556773785259061</v>
      </c>
      <c r="J4" s="131">
        <f t="shared" si="2"/>
        <v>16.580810259235886</v>
      </c>
      <c r="K4" s="131">
        <f t="shared" si="2"/>
        <v>22.183633090085529</v>
      </c>
      <c r="L4" s="131">
        <f t="shared" si="2"/>
        <v>25.088088251335744</v>
      </c>
      <c r="M4" s="131">
        <f t="shared" si="2"/>
        <v>9.2618825355032399</v>
      </c>
      <c r="N4" s="131">
        <f t="shared" si="2"/>
        <v>6.3983525775117682</v>
      </c>
      <c r="O4" s="131">
        <f t="shared" si="2"/>
        <v>7.0930617243824639</v>
      </c>
      <c r="P4" s="131">
        <f t="shared" si="2"/>
        <v>7.3692896284942231</v>
      </c>
      <c r="Q4" s="131">
        <f t="shared" si="2"/>
        <v>7.8299102973253758</v>
      </c>
      <c r="R4" s="131">
        <f t="shared" ref="R4:W4" si="3">SUM(R5:R15)</f>
        <v>9.7802918874600344</v>
      </c>
      <c r="S4" s="131">
        <f t="shared" si="3"/>
        <v>10.199496563765008</v>
      </c>
      <c r="T4" s="131">
        <f t="shared" si="3"/>
        <v>8.2143880446197244</v>
      </c>
      <c r="U4" s="131">
        <f t="shared" si="3"/>
        <v>7.4459884027928647</v>
      </c>
      <c r="V4" s="131">
        <f t="shared" si="3"/>
        <v>6.7785977815708538</v>
      </c>
      <c r="W4" s="131">
        <f t="shared" si="3"/>
        <v>7.587462787248425</v>
      </c>
      <c r="DA4" s="156" t="s">
        <v>600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601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602</v>
      </c>
    </row>
    <row r="7" spans="1:105" ht="12" customHeight="1" x14ac:dyDescent="0.25">
      <c r="A7" s="132" t="s">
        <v>168</v>
      </c>
      <c r="B7" s="133"/>
      <c r="C7" s="133">
        <v>0.50146283477288256</v>
      </c>
      <c r="D7" s="133">
        <v>1.1947750160864312</v>
      </c>
      <c r="E7" s="133">
        <v>1.4922598062886396</v>
      </c>
      <c r="F7" s="133">
        <v>1.626234133167342</v>
      </c>
      <c r="G7" s="133">
        <v>0.46084064732666308</v>
      </c>
      <c r="H7" s="133">
        <v>5.9003963652055451E-2</v>
      </c>
      <c r="I7" s="133">
        <v>0.64311667659623761</v>
      </c>
      <c r="J7" s="133">
        <v>0.89847054148593952</v>
      </c>
      <c r="K7" s="133">
        <v>1.1157149206691361</v>
      </c>
      <c r="L7" s="133">
        <v>1.1757946287941161</v>
      </c>
      <c r="M7" s="133">
        <v>0.57135695321962765</v>
      </c>
      <c r="N7" s="133">
        <v>0.66462553466021124</v>
      </c>
      <c r="O7" s="133">
        <v>0.49912119336706579</v>
      </c>
      <c r="P7" s="133">
        <v>0.29175991422788256</v>
      </c>
      <c r="Q7" s="133">
        <v>7.3038395086912816E-2</v>
      </c>
      <c r="R7" s="133">
        <v>0.16271589012935034</v>
      </c>
      <c r="S7" s="133">
        <v>0</v>
      </c>
      <c r="T7" s="133">
        <v>3.4286325645354533E-2</v>
      </c>
      <c r="U7" s="133">
        <v>0</v>
      </c>
      <c r="V7" s="133">
        <v>0</v>
      </c>
      <c r="W7" s="133">
        <v>0</v>
      </c>
      <c r="DA7" s="157" t="s">
        <v>603</v>
      </c>
    </row>
    <row r="8" spans="1:105" ht="12" customHeight="1" x14ac:dyDescent="0.25">
      <c r="A8" s="132" t="s">
        <v>73</v>
      </c>
      <c r="B8" s="133"/>
      <c r="C8" s="133">
        <v>1.9808575080598172E-3</v>
      </c>
      <c r="D8" s="133">
        <v>6.80547552817461E-3</v>
      </c>
      <c r="E8" s="133">
        <v>7.8380232580580883E-3</v>
      </c>
      <c r="F8" s="133">
        <v>5.0309789681140674E-3</v>
      </c>
      <c r="G8" s="133">
        <v>9.9247059119733031E-3</v>
      </c>
      <c r="H8" s="133">
        <v>8.8410425761292037E-3</v>
      </c>
      <c r="I8" s="133">
        <v>5.0361881013362989E-2</v>
      </c>
      <c r="J8" s="133">
        <v>1.5893082145814252E-2</v>
      </c>
      <c r="K8" s="133">
        <v>1.7689955474777346E-2</v>
      </c>
      <c r="L8" s="133">
        <v>1.1217266303285877E-2</v>
      </c>
      <c r="M8" s="133">
        <v>8.6542012737236534E-3</v>
      </c>
      <c r="N8" s="133">
        <v>7.154625050157978E-3</v>
      </c>
      <c r="O8" s="133">
        <v>1.0409376230954089E-2</v>
      </c>
      <c r="P8" s="133">
        <v>2.9160875230717028E-2</v>
      </c>
      <c r="Q8" s="133">
        <v>2.2024107847906566E-2</v>
      </c>
      <c r="R8" s="133">
        <v>2.1296797142837439E-2</v>
      </c>
      <c r="S8" s="133">
        <v>1.6993976871904692E-2</v>
      </c>
      <c r="T8" s="133">
        <v>2.3559656697743958E-2</v>
      </c>
      <c r="U8" s="133">
        <v>2.4690263182085399E-2</v>
      </c>
      <c r="V8" s="133">
        <v>3.0488264215379708E-2</v>
      </c>
      <c r="W8" s="133">
        <v>1.939713375670242E-2</v>
      </c>
      <c r="DA8" s="157" t="s">
        <v>604</v>
      </c>
    </row>
    <row r="9" spans="1:105" ht="12" customHeight="1" x14ac:dyDescent="0.25">
      <c r="A9" s="132" t="s">
        <v>78</v>
      </c>
      <c r="B9" s="133"/>
      <c r="C9" s="133">
        <v>3.3192541409970717</v>
      </c>
      <c r="D9" s="133">
        <v>6.7662566499573291</v>
      </c>
      <c r="E9" s="133">
        <v>7.5805219445554606</v>
      </c>
      <c r="F9" s="133">
        <v>6.2900674025642163</v>
      </c>
      <c r="G9" s="133">
        <v>5.8865369322130459</v>
      </c>
      <c r="H9" s="133">
        <v>5.5940202784657727</v>
      </c>
      <c r="I9" s="133">
        <v>4.0880349740151622</v>
      </c>
      <c r="J9" s="133">
        <v>1.973794452713957</v>
      </c>
      <c r="K9" s="133">
        <v>1.8523384049005875</v>
      </c>
      <c r="L9" s="133">
        <v>1.1008907596888049</v>
      </c>
      <c r="M9" s="133">
        <v>0.73294539062973352</v>
      </c>
      <c r="N9" s="133">
        <v>1.0004407934294439</v>
      </c>
      <c r="O9" s="133">
        <v>1.4058453465278073</v>
      </c>
      <c r="P9" s="133">
        <v>0.69106736902087718</v>
      </c>
      <c r="Q9" s="133">
        <v>2.4583550448625138</v>
      </c>
      <c r="R9" s="133">
        <v>2.2571597071972325</v>
      </c>
      <c r="S9" s="133">
        <v>2.4675961936846313</v>
      </c>
      <c r="T9" s="133">
        <v>1.5879252000182462</v>
      </c>
      <c r="U9" s="133">
        <v>2.4498442878307718</v>
      </c>
      <c r="V9" s="133">
        <v>2.278246157420281</v>
      </c>
      <c r="W9" s="133">
        <v>1.9065239871888324</v>
      </c>
      <c r="DA9" s="157" t="s">
        <v>605</v>
      </c>
    </row>
    <row r="10" spans="1:105" ht="12" customHeight="1" x14ac:dyDescent="0.25">
      <c r="A10" s="132" t="s">
        <v>128</v>
      </c>
      <c r="B10" s="133"/>
      <c r="C10" s="133">
        <v>0.71844831802560205</v>
      </c>
      <c r="D10" s="133">
        <v>2.3132150708038375</v>
      </c>
      <c r="E10" s="133">
        <v>1.3076605421287537</v>
      </c>
      <c r="F10" s="133">
        <v>0.79967983360184058</v>
      </c>
      <c r="G10" s="133">
        <v>0.9877982548855998</v>
      </c>
      <c r="H10" s="133">
        <v>0.91604223710797616</v>
      </c>
      <c r="I10" s="133">
        <v>8.5901157551201868E-2</v>
      </c>
      <c r="J10" s="133">
        <v>0</v>
      </c>
      <c r="K10" s="133">
        <v>0</v>
      </c>
      <c r="L10" s="133">
        <v>0.16618546477428658</v>
      </c>
      <c r="M10" s="133">
        <v>0.5336577294893321</v>
      </c>
      <c r="N10" s="133">
        <v>0.3480788325157021</v>
      </c>
      <c r="O10" s="133">
        <v>0.4455326329902296</v>
      </c>
      <c r="P10" s="133">
        <v>0.94227408754169018</v>
      </c>
      <c r="Q10" s="133">
        <v>0.30186487932415323</v>
      </c>
      <c r="R10" s="133">
        <v>0.85898261668056741</v>
      </c>
      <c r="S10" s="133">
        <v>0.82067108213494067</v>
      </c>
      <c r="T10" s="133">
        <v>0.61080541379180209</v>
      </c>
      <c r="U10" s="133">
        <v>0.16942988577897644</v>
      </c>
      <c r="V10" s="133">
        <v>0.10060128816002227</v>
      </c>
      <c r="W10" s="133">
        <v>0</v>
      </c>
      <c r="DA10" s="157" t="s">
        <v>606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607</v>
      </c>
    </row>
    <row r="12" spans="1:105" ht="12" customHeight="1" x14ac:dyDescent="0.25">
      <c r="A12" s="132" t="s">
        <v>169</v>
      </c>
      <c r="B12" s="133"/>
      <c r="C12" s="133">
        <v>18.513108288583723</v>
      </c>
      <c r="D12" s="133">
        <v>18.523519430041897</v>
      </c>
      <c r="E12" s="133">
        <v>16.834646549628399</v>
      </c>
      <c r="F12" s="133">
        <v>14.166047971668972</v>
      </c>
      <c r="G12" s="133">
        <v>13.060889307251994</v>
      </c>
      <c r="H12" s="133">
        <v>12.710792241779506</v>
      </c>
      <c r="I12" s="133">
        <v>19.676280920583363</v>
      </c>
      <c r="J12" s="133">
        <v>11.312169147598119</v>
      </c>
      <c r="K12" s="133">
        <v>17.908859508331776</v>
      </c>
      <c r="L12" s="133">
        <v>21.203933039622221</v>
      </c>
      <c r="M12" s="133">
        <v>6.8013291672322804</v>
      </c>
      <c r="N12" s="133">
        <v>4.2329411166946747</v>
      </c>
      <c r="O12" s="133">
        <v>4.6372493350959969</v>
      </c>
      <c r="P12" s="133">
        <v>5.2798715156297176</v>
      </c>
      <c r="Q12" s="133">
        <v>4.8548249590650148</v>
      </c>
      <c r="R12" s="133">
        <v>6.3305126838938239</v>
      </c>
      <c r="S12" s="133">
        <v>6.7484912447869423</v>
      </c>
      <c r="T12" s="133">
        <v>5.7862889902432837</v>
      </c>
      <c r="U12" s="133">
        <v>4.621690290498834</v>
      </c>
      <c r="V12" s="133">
        <v>4.1866801510440945</v>
      </c>
      <c r="W12" s="133">
        <v>4.815284840336493</v>
      </c>
      <c r="DA12" s="157" t="s">
        <v>608</v>
      </c>
    </row>
    <row r="13" spans="1:105" ht="12" customHeight="1" x14ac:dyDescent="0.25">
      <c r="A13" s="132" t="s">
        <v>77</v>
      </c>
      <c r="B13" s="133"/>
      <c r="C13" s="133">
        <v>4.6297595313002912E-2</v>
      </c>
      <c r="D13" s="133">
        <v>4.3821976132649799E-2</v>
      </c>
      <c r="E13" s="133">
        <v>3.122943832410249E-2</v>
      </c>
      <c r="F13" s="133">
        <v>2.9421028180931303E-2</v>
      </c>
      <c r="G13" s="133">
        <v>0.12821944914475833</v>
      </c>
      <c r="H13" s="133">
        <v>0.1600670850479079</v>
      </c>
      <c r="I13" s="133">
        <v>0.86882576224216201</v>
      </c>
      <c r="J13" s="133">
        <v>0.25754878836968831</v>
      </c>
      <c r="K13" s="133">
        <v>0.22391921975570339</v>
      </c>
      <c r="L13" s="133">
        <v>0.11089571637950549</v>
      </c>
      <c r="M13" s="133">
        <v>8.1137147009251454E-2</v>
      </c>
      <c r="N13" s="133">
        <v>4.4779160718072593E-2</v>
      </c>
      <c r="O13" s="133">
        <v>5.4065199265363371E-2</v>
      </c>
      <c r="P13" s="133">
        <v>9.9978160096009669E-2</v>
      </c>
      <c r="Q13" s="133">
        <v>6.9685930084960213E-2</v>
      </c>
      <c r="R13" s="133">
        <v>9.3131166335850182E-2</v>
      </c>
      <c r="S13" s="133">
        <v>8.7199967609808429E-2</v>
      </c>
      <c r="T13" s="133">
        <v>0.12798029011764364</v>
      </c>
      <c r="U13" s="133">
        <v>0.13245291180937671</v>
      </c>
      <c r="V13" s="133">
        <v>0.13896294059876091</v>
      </c>
      <c r="W13" s="133">
        <v>0.14351739940490948</v>
      </c>
      <c r="DA13" s="157" t="s">
        <v>609</v>
      </c>
    </row>
    <row r="14" spans="1:105" ht="12" customHeight="1" x14ac:dyDescent="0.25">
      <c r="A14" s="60" t="s">
        <v>76</v>
      </c>
      <c r="B14" s="65"/>
      <c r="C14" s="65">
        <v>4.3130519671722665</v>
      </c>
      <c r="D14" s="65">
        <v>2.6146431236381726</v>
      </c>
      <c r="E14" s="65">
        <v>2.3656837078113679</v>
      </c>
      <c r="F14" s="65">
        <v>4.0531804003103957</v>
      </c>
      <c r="G14" s="65">
        <v>4.8307575746559133</v>
      </c>
      <c r="H14" s="65">
        <v>5.7194837782585024</v>
      </c>
      <c r="I14" s="65">
        <v>6.0185645691555667</v>
      </c>
      <c r="J14" s="65">
        <v>2.0504245695109362</v>
      </c>
      <c r="K14" s="65">
        <v>0.96856557065576454</v>
      </c>
      <c r="L14" s="65">
        <v>1.2186566643489305</v>
      </c>
      <c r="M14" s="65">
        <v>0.49188421471272387</v>
      </c>
      <c r="N14" s="65">
        <v>6.4991805946854275E-2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0.66092756672840303</v>
      </c>
      <c r="DA14" s="109" t="s">
        <v>610</v>
      </c>
    </row>
    <row r="15" spans="1:105" ht="12" customHeight="1" x14ac:dyDescent="0.25">
      <c r="A15" s="134" t="s">
        <v>80</v>
      </c>
      <c r="B15" s="135"/>
      <c r="C15" s="135">
        <v>0.12263332050438694</v>
      </c>
      <c r="D15" s="135">
        <v>0.17773748249760962</v>
      </c>
      <c r="E15" s="135">
        <v>0.17641271289937327</v>
      </c>
      <c r="F15" s="135">
        <v>0.14744512540538329</v>
      </c>
      <c r="G15" s="135">
        <v>0.12625248421027929</v>
      </c>
      <c r="H15" s="135">
        <v>0.11686603539737508</v>
      </c>
      <c r="I15" s="135">
        <v>0.12568784410200351</v>
      </c>
      <c r="J15" s="135">
        <v>7.2509677411432605E-2</v>
      </c>
      <c r="K15" s="135">
        <v>9.6545510297780524E-2</v>
      </c>
      <c r="L15" s="135">
        <v>0.10051471142458962</v>
      </c>
      <c r="M15" s="135">
        <v>4.0917731936566289E-2</v>
      </c>
      <c r="N15" s="135">
        <v>3.5340708496650872E-2</v>
      </c>
      <c r="O15" s="135">
        <v>4.0838640905046686E-2</v>
      </c>
      <c r="P15" s="135">
        <v>3.5177706747328771E-2</v>
      </c>
      <c r="Q15" s="135">
        <v>5.0116981053914877E-2</v>
      </c>
      <c r="R15" s="135">
        <v>5.6493026080373154E-2</v>
      </c>
      <c r="S15" s="135">
        <v>5.8544098676779427E-2</v>
      </c>
      <c r="T15" s="135">
        <v>4.354216810565123E-2</v>
      </c>
      <c r="U15" s="135">
        <v>4.7880763692819753E-2</v>
      </c>
      <c r="V15" s="135">
        <v>4.3618980132315563E-2</v>
      </c>
      <c r="W15" s="135">
        <v>4.1811859833084962E-2</v>
      </c>
      <c r="DA15" s="158" t="s">
        <v>611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2.1994476629486761</v>
      </c>
      <c r="D16" s="131">
        <f t="shared" si="4"/>
        <v>2.4156367606411591</v>
      </c>
      <c r="E16" s="131">
        <f t="shared" si="4"/>
        <v>2.1544356303724586</v>
      </c>
      <c r="F16" s="131">
        <f t="shared" si="4"/>
        <v>1.9709872413793084</v>
      </c>
      <c r="G16" s="131">
        <f t="shared" si="4"/>
        <v>1.9013447637291823</v>
      </c>
      <c r="H16" s="131">
        <f t="shared" si="4"/>
        <v>1.8723953604652184</v>
      </c>
      <c r="I16" s="131">
        <f t="shared" si="4"/>
        <v>2.5270798047562568</v>
      </c>
      <c r="J16" s="131">
        <f t="shared" si="4"/>
        <v>1.3003987700862449</v>
      </c>
      <c r="K16" s="131">
        <f t="shared" si="4"/>
        <v>1.7812760765109932</v>
      </c>
      <c r="L16" s="131">
        <f t="shared" si="4"/>
        <v>1.7910215810007641</v>
      </c>
      <c r="M16" s="131">
        <f t="shared" si="4"/>
        <v>0.75001206620956473</v>
      </c>
      <c r="N16" s="131">
        <f t="shared" si="4"/>
        <v>0.482936116456817</v>
      </c>
      <c r="O16" s="131">
        <f t="shared" si="4"/>
        <v>0.53018847234168287</v>
      </c>
      <c r="P16" s="131">
        <f t="shared" si="4"/>
        <v>0.63117528676264067</v>
      </c>
      <c r="Q16" s="131">
        <f t="shared" si="4"/>
        <v>0.61468433465876149</v>
      </c>
      <c r="R16" s="131">
        <f t="shared" ref="R16:W16" si="5">SUM(R17:R18)</f>
        <v>0.74531354227966884</v>
      </c>
      <c r="S16" s="131">
        <f t="shared" si="5"/>
        <v>0.76624451184370046</v>
      </c>
      <c r="T16" s="131">
        <f t="shared" si="5"/>
        <v>0.71021192546452039</v>
      </c>
      <c r="U16" s="131">
        <f t="shared" si="5"/>
        <v>0.67554960063421221</v>
      </c>
      <c r="V16" s="131">
        <f t="shared" si="5"/>
        <v>0.65699395333679378</v>
      </c>
      <c r="W16" s="131">
        <f t="shared" si="5"/>
        <v>0.60125563871062593</v>
      </c>
      <c r="DA16" s="156" t="s">
        <v>612</v>
      </c>
    </row>
    <row r="17" spans="1:105" ht="12.95" customHeight="1" x14ac:dyDescent="0.25">
      <c r="A17" s="132" t="s">
        <v>73</v>
      </c>
      <c r="B17" s="133"/>
      <c r="C17" s="133">
        <v>4.7088237662117945E-3</v>
      </c>
      <c r="D17" s="133">
        <v>5.865238132304028E-3</v>
      </c>
      <c r="E17" s="133">
        <v>4.3527491929925286E-3</v>
      </c>
      <c r="F17" s="133">
        <v>5.7663143980834601E-3</v>
      </c>
      <c r="G17" s="133">
        <v>5.9387359452176816E-3</v>
      </c>
      <c r="H17" s="133">
        <v>4.7900093049163296E-3</v>
      </c>
      <c r="I17" s="133">
        <v>5.7886416059328505E-3</v>
      </c>
      <c r="J17" s="133">
        <v>3.5048809018565705E-3</v>
      </c>
      <c r="K17" s="133">
        <v>4.4928176594323469E-3</v>
      </c>
      <c r="L17" s="133">
        <v>6.6412217793783189E-3</v>
      </c>
      <c r="M17" s="133">
        <v>3.5011569775550322E-3</v>
      </c>
      <c r="N17" s="133">
        <v>3.0312866876873942E-3</v>
      </c>
      <c r="O17" s="133">
        <v>4.6667583387234226E-3</v>
      </c>
      <c r="P17" s="133">
        <v>8.1556395075000065E-3</v>
      </c>
      <c r="Q17" s="133">
        <v>1.263510460580804E-2</v>
      </c>
      <c r="R17" s="133">
        <v>1.4907534234906025E-2</v>
      </c>
      <c r="S17" s="133">
        <v>1.425859207396963E-2</v>
      </c>
      <c r="T17" s="133">
        <v>9.9574308362880923E-3</v>
      </c>
      <c r="U17" s="133">
        <v>1.4234306219769479E-2</v>
      </c>
      <c r="V17" s="133">
        <v>4.2842463914476256E-2</v>
      </c>
      <c r="W17" s="133">
        <v>6.9108459960228099E-3</v>
      </c>
      <c r="DA17" s="157" t="s">
        <v>613</v>
      </c>
    </row>
    <row r="18" spans="1:105" ht="12" customHeight="1" x14ac:dyDescent="0.25">
      <c r="A18" s="132" t="s">
        <v>72</v>
      </c>
      <c r="B18" s="133"/>
      <c r="C18" s="133">
        <v>2.1947388391824645</v>
      </c>
      <c r="D18" s="133">
        <v>2.409771522508855</v>
      </c>
      <c r="E18" s="133">
        <v>2.1500828811794661</v>
      </c>
      <c r="F18" s="133">
        <v>1.9652209269812249</v>
      </c>
      <c r="G18" s="133">
        <v>1.8954060277839646</v>
      </c>
      <c r="H18" s="133">
        <v>1.8676053511603021</v>
      </c>
      <c r="I18" s="133">
        <v>2.5212911631503241</v>
      </c>
      <c r="J18" s="133">
        <v>1.2968938891843884</v>
      </c>
      <c r="K18" s="133">
        <v>1.7767832588515609</v>
      </c>
      <c r="L18" s="133">
        <v>1.7843803592213858</v>
      </c>
      <c r="M18" s="133">
        <v>0.74651090923200969</v>
      </c>
      <c r="N18" s="133">
        <v>0.47990482976912963</v>
      </c>
      <c r="O18" s="133">
        <v>0.52552171400295944</v>
      </c>
      <c r="P18" s="133">
        <v>0.6230196472551407</v>
      </c>
      <c r="Q18" s="133">
        <v>0.60204923005295341</v>
      </c>
      <c r="R18" s="133">
        <v>0.73040600804476286</v>
      </c>
      <c r="S18" s="133">
        <v>0.75198591976973084</v>
      </c>
      <c r="T18" s="133">
        <v>0.7002544946282323</v>
      </c>
      <c r="U18" s="133">
        <v>0.6613152944144427</v>
      </c>
      <c r="V18" s="133">
        <v>0.61415148942231756</v>
      </c>
      <c r="W18" s="133">
        <v>0.59434479271460317</v>
      </c>
      <c r="DA18" s="157" t="s">
        <v>614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3.3993399357650653</v>
      </c>
      <c r="D19" s="131">
        <f t="shared" si="6"/>
        <v>3.910867348667785</v>
      </c>
      <c r="E19" s="131">
        <f t="shared" si="6"/>
        <v>3.6666755471716801</v>
      </c>
      <c r="F19" s="131">
        <f t="shared" si="6"/>
        <v>3.4205800862053728</v>
      </c>
      <c r="G19" s="131">
        <f t="shared" si="6"/>
        <v>3.385225673114042</v>
      </c>
      <c r="H19" s="131">
        <f t="shared" si="6"/>
        <v>3.4486059619494265</v>
      </c>
      <c r="I19" s="131">
        <f t="shared" si="6"/>
        <v>4.6518875622900344</v>
      </c>
      <c r="J19" s="131">
        <f t="shared" si="6"/>
        <v>2.4628940689324783</v>
      </c>
      <c r="K19" s="131">
        <f t="shared" si="6"/>
        <v>3.4408163522529653</v>
      </c>
      <c r="L19" s="131">
        <f t="shared" si="6"/>
        <v>3.4361043547770675</v>
      </c>
      <c r="M19" s="131">
        <f t="shared" si="6"/>
        <v>1.5444595890411237</v>
      </c>
      <c r="N19" s="131">
        <f t="shared" si="6"/>
        <v>1.0771482025727184</v>
      </c>
      <c r="O19" s="131">
        <f t="shared" si="6"/>
        <v>1.2272405817681336</v>
      </c>
      <c r="P19" s="131">
        <f t="shared" si="6"/>
        <v>1.5542546454933404</v>
      </c>
      <c r="Q19" s="131">
        <f t="shared" si="6"/>
        <v>1.5904049692114648</v>
      </c>
      <c r="R19" s="131">
        <f t="shared" ref="R19:W19" si="7">SUM(R20:R27)</f>
        <v>1.9651974422280203</v>
      </c>
      <c r="S19" s="131">
        <f t="shared" si="7"/>
        <v>2.083747198207222</v>
      </c>
      <c r="T19" s="131">
        <f t="shared" si="7"/>
        <v>1.8821481648504053</v>
      </c>
      <c r="U19" s="131">
        <f t="shared" si="7"/>
        <v>1.8658325177480184</v>
      </c>
      <c r="V19" s="131">
        <f t="shared" si="7"/>
        <v>1.598724553574238</v>
      </c>
      <c r="W19" s="131">
        <f t="shared" si="7"/>
        <v>1.7361839458954154</v>
      </c>
      <c r="DA19" s="156" t="s">
        <v>615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616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617</v>
      </c>
    </row>
    <row r="22" spans="1:105" ht="12" customHeight="1" x14ac:dyDescent="0.25">
      <c r="A22" s="132" t="s">
        <v>168</v>
      </c>
      <c r="B22" s="133"/>
      <c r="C22" s="133">
        <v>0.21006996956285046</v>
      </c>
      <c r="D22" s="133">
        <v>0.24304065076385611</v>
      </c>
      <c r="E22" s="133">
        <v>0.22703891414217844</v>
      </c>
      <c r="F22" s="133">
        <v>0.1769556355035716</v>
      </c>
      <c r="G22" s="133">
        <v>9.0417877504527705E-2</v>
      </c>
      <c r="H22" s="133">
        <v>9.727266309236789E-3</v>
      </c>
      <c r="I22" s="133">
        <v>5.245200257409089E-2</v>
      </c>
      <c r="J22" s="133">
        <v>0.10547972644302148</v>
      </c>
      <c r="K22" s="133">
        <v>0.16400414646961298</v>
      </c>
      <c r="L22" s="133">
        <v>0.14389420291576832</v>
      </c>
      <c r="M22" s="133">
        <v>6.1594791312389E-2</v>
      </c>
      <c r="N22" s="133">
        <v>6.1543633681078694E-2</v>
      </c>
      <c r="O22" s="133">
        <v>7.0138537874071233E-2</v>
      </c>
      <c r="P22" s="133">
        <v>3.0005756698217437E-2</v>
      </c>
      <c r="Q22" s="133">
        <v>2.0142818718133372E-2</v>
      </c>
      <c r="R22" s="133">
        <v>2.81223324657301E-2</v>
      </c>
      <c r="S22" s="133">
        <v>0</v>
      </c>
      <c r="T22" s="133">
        <v>0</v>
      </c>
      <c r="U22" s="133">
        <v>0</v>
      </c>
      <c r="V22" s="133">
        <v>0</v>
      </c>
      <c r="W22" s="133">
        <v>0</v>
      </c>
      <c r="DA22" s="157" t="s">
        <v>618</v>
      </c>
    </row>
    <row r="23" spans="1:105" ht="12" customHeight="1" x14ac:dyDescent="0.25">
      <c r="A23" s="132" t="s">
        <v>153</v>
      </c>
      <c r="B23" s="133"/>
      <c r="C23" s="133">
        <v>0.37535881296442897</v>
      </c>
      <c r="D23" s="133">
        <v>0.75009251192103921</v>
      </c>
      <c r="E23" s="133">
        <v>0.84947194352065958</v>
      </c>
      <c r="F23" s="133">
        <v>0.71776323422693411</v>
      </c>
      <c r="G23" s="133">
        <v>0.75168487229117331</v>
      </c>
      <c r="H23" s="133">
        <v>0.67946634254869986</v>
      </c>
      <c r="I23" s="133">
        <v>0.64039926846964879</v>
      </c>
      <c r="J23" s="133">
        <v>0.32962005492672236</v>
      </c>
      <c r="K23" s="133">
        <v>0.29251745691803321</v>
      </c>
      <c r="L23" s="133">
        <v>0.17987602845121478</v>
      </c>
      <c r="M23" s="133">
        <v>2.7539203379347262E-3</v>
      </c>
      <c r="N23" s="133">
        <v>4.8259008173118019E-2</v>
      </c>
      <c r="O23" s="133">
        <v>0.10467958923244569</v>
      </c>
      <c r="P23" s="133">
        <v>0.1921888393935941</v>
      </c>
      <c r="Q23" s="133">
        <v>0.40648153851281599</v>
      </c>
      <c r="R23" s="133">
        <v>0.43798949050046099</v>
      </c>
      <c r="S23" s="133">
        <v>0.45447615075652037</v>
      </c>
      <c r="T23" s="133">
        <v>0.27664921627742439</v>
      </c>
      <c r="U23" s="133">
        <v>0.28177632834895727</v>
      </c>
      <c r="V23" s="133">
        <v>0.15876235824362608</v>
      </c>
      <c r="W23" s="133">
        <v>0.19505129633771254</v>
      </c>
      <c r="DA23" s="157" t="s">
        <v>619</v>
      </c>
    </row>
    <row r="24" spans="1:105" ht="12" customHeight="1" x14ac:dyDescent="0.25">
      <c r="A24" s="132" t="s">
        <v>128</v>
      </c>
      <c r="B24" s="133"/>
      <c r="C24" s="133">
        <v>9.2757050999360297E-2</v>
      </c>
      <c r="D24" s="133">
        <v>8.9995622354628019E-2</v>
      </c>
      <c r="E24" s="133">
        <v>8.0280976047349267E-2</v>
      </c>
      <c r="F24" s="133">
        <v>7.2151363043585118E-2</v>
      </c>
      <c r="G24" s="133">
        <v>7.591518958120666E-2</v>
      </c>
      <c r="H24" s="133">
        <v>7.5795610403862498E-2</v>
      </c>
      <c r="I24" s="133">
        <v>9.7518942527452954E-2</v>
      </c>
      <c r="J24" s="133">
        <v>5.9705044005261852E-2</v>
      </c>
      <c r="K24" s="133">
        <v>7.952170532790151E-2</v>
      </c>
      <c r="L24" s="133">
        <v>7.6468966535973376E-2</v>
      </c>
      <c r="M24" s="133">
        <v>3.9758665808076944E-2</v>
      </c>
      <c r="N24" s="133">
        <v>2.5667502142466742E-2</v>
      </c>
      <c r="O24" s="133">
        <v>2.4895721061489545E-2</v>
      </c>
      <c r="P24" s="133">
        <v>4.0405129035312341E-2</v>
      </c>
      <c r="Q24" s="133">
        <v>5.3318586750647018E-2</v>
      </c>
      <c r="R24" s="133">
        <v>9.5214996159136076E-2</v>
      </c>
      <c r="S24" s="133">
        <v>6.9130295663843586E-2</v>
      </c>
      <c r="T24" s="133">
        <v>5.6947532365307675E-2</v>
      </c>
      <c r="U24" s="133">
        <v>4.0027950548857258E-2</v>
      </c>
      <c r="V24" s="133">
        <v>2.9377353759995325E-2</v>
      </c>
      <c r="W24" s="133">
        <v>3.6202895084874336E-2</v>
      </c>
      <c r="DA24" s="157" t="s">
        <v>620</v>
      </c>
    </row>
    <row r="25" spans="1:105" ht="12" customHeight="1" x14ac:dyDescent="0.25">
      <c r="A25" s="132" t="s">
        <v>169</v>
      </c>
      <c r="B25" s="133"/>
      <c r="C25" s="133">
        <v>1.8919136501706839</v>
      </c>
      <c r="D25" s="133">
        <v>1.8293463129206931</v>
      </c>
      <c r="E25" s="133">
        <v>1.6356780193309626</v>
      </c>
      <c r="F25" s="133">
        <v>1.3960187100011616</v>
      </c>
      <c r="G25" s="133">
        <v>1.359744150158356</v>
      </c>
      <c r="H25" s="133">
        <v>1.3742166065268278</v>
      </c>
      <c r="I25" s="133">
        <v>2.3906739562076083</v>
      </c>
      <c r="J25" s="133">
        <v>1.3571752975811271</v>
      </c>
      <c r="K25" s="133">
        <v>2.302869759894238</v>
      </c>
      <c r="L25" s="133">
        <v>2.3651555909020154</v>
      </c>
      <c r="M25" s="133">
        <v>0.9080413734775673</v>
      </c>
      <c r="N25" s="133">
        <v>0.53488609058532932</v>
      </c>
      <c r="O25" s="133">
        <v>0.63502032293221344</v>
      </c>
      <c r="P25" s="133">
        <v>1.0068942018502165</v>
      </c>
      <c r="Q25" s="133">
        <v>0.91403248530996029</v>
      </c>
      <c r="R25" s="133">
        <v>1.1239831284664454</v>
      </c>
      <c r="S25" s="133">
        <v>1.1909125578213149</v>
      </c>
      <c r="T25" s="133">
        <v>1.2714290577249945</v>
      </c>
      <c r="U25" s="133">
        <v>1.1732643290792737</v>
      </c>
      <c r="V25" s="133">
        <v>1.1366322664682817</v>
      </c>
      <c r="W25" s="133">
        <v>0.96205080850977676</v>
      </c>
      <c r="DA25" s="157" t="s">
        <v>621</v>
      </c>
    </row>
    <row r="26" spans="1:105" ht="12" customHeight="1" x14ac:dyDescent="0.25">
      <c r="A26" s="132" t="s">
        <v>24</v>
      </c>
      <c r="B26" s="65"/>
      <c r="C26" s="65">
        <v>0.74192488368786513</v>
      </c>
      <c r="D26" s="65">
        <v>0.8716078912561932</v>
      </c>
      <c r="E26" s="65">
        <v>0.78107882430440578</v>
      </c>
      <c r="F26" s="65">
        <v>0.93058969940460878</v>
      </c>
      <c r="G26" s="65">
        <v>0.93562441047187717</v>
      </c>
      <c r="H26" s="65">
        <v>1.1578808658802107</v>
      </c>
      <c r="I26" s="65">
        <v>1.2904335975658405</v>
      </c>
      <c r="J26" s="65">
        <v>0.49053790014213094</v>
      </c>
      <c r="K26" s="65">
        <v>0.53626978577523143</v>
      </c>
      <c r="L26" s="65">
        <v>0.32167638298867152</v>
      </c>
      <c r="M26" s="65">
        <v>0.38811044045344067</v>
      </c>
      <c r="N26" s="65">
        <v>0.32185877014826358</v>
      </c>
      <c r="O26" s="65">
        <v>0.24209380259868296</v>
      </c>
      <c r="P26" s="65">
        <v>0.28476071851599982</v>
      </c>
      <c r="Q26" s="65">
        <v>0.10751460173284157</v>
      </c>
      <c r="R26" s="65">
        <v>0.16810546355991945</v>
      </c>
      <c r="S26" s="65">
        <v>0.3287144779151514</v>
      </c>
      <c r="T26" s="65">
        <v>0.10911774027918682</v>
      </c>
      <c r="U26" s="65">
        <v>0.19811253477859272</v>
      </c>
      <c r="V26" s="65">
        <v>7.7394426812793987E-2</v>
      </c>
      <c r="W26" s="65">
        <v>0.54286176096058736</v>
      </c>
      <c r="DA26" s="109" t="s">
        <v>622</v>
      </c>
    </row>
    <row r="27" spans="1:105" ht="12" customHeight="1" x14ac:dyDescent="0.25">
      <c r="A27" s="145" t="s">
        <v>26</v>
      </c>
      <c r="B27" s="148"/>
      <c r="C27" s="148">
        <v>8.7315568379876196E-2</v>
      </c>
      <c r="D27" s="148">
        <v>0.12678435945137512</v>
      </c>
      <c r="E27" s="148">
        <v>9.3126869826124684E-2</v>
      </c>
      <c r="F27" s="148">
        <v>0.1271014440255116</v>
      </c>
      <c r="G27" s="148">
        <v>0.17183917310690128</v>
      </c>
      <c r="H27" s="148">
        <v>0.15151927028058879</v>
      </c>
      <c r="I27" s="148">
        <v>0.18040979494539322</v>
      </c>
      <c r="J27" s="148">
        <v>0.12037604583421435</v>
      </c>
      <c r="K27" s="148">
        <v>6.5633497867948365E-2</v>
      </c>
      <c r="L27" s="148">
        <v>0.34903318298342395</v>
      </c>
      <c r="M27" s="148">
        <v>0.14420039765171513</v>
      </c>
      <c r="N27" s="148">
        <v>8.4933197842462019E-2</v>
      </c>
      <c r="O27" s="148">
        <v>0.15041260806923082</v>
      </c>
      <c r="P27" s="148">
        <v>0</v>
      </c>
      <c r="Q27" s="148">
        <v>8.8914938187066361E-2</v>
      </c>
      <c r="R27" s="148">
        <v>0.11178203107632818</v>
      </c>
      <c r="S27" s="148">
        <v>4.0513716050391925E-2</v>
      </c>
      <c r="T27" s="148">
        <v>0.16800461820349205</v>
      </c>
      <c r="U27" s="148">
        <v>0.17265137499233729</v>
      </c>
      <c r="V27" s="148">
        <v>0.19655814828954082</v>
      </c>
      <c r="W27" s="148">
        <v>1.7185002464216076E-5</v>
      </c>
      <c r="DA27" s="161" t="s">
        <v>623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3.1160142897513614</v>
      </c>
      <c r="D29" s="131">
        <f t="shared" si="8"/>
        <v>3.6027941841222297</v>
      </c>
      <c r="E29" s="131">
        <f t="shared" si="8"/>
        <v>3.4633843202864059</v>
      </c>
      <c r="F29" s="131">
        <f t="shared" si="8"/>
        <v>3.3554663765424562</v>
      </c>
      <c r="G29" s="131">
        <f t="shared" si="8"/>
        <v>3.3974696426788733</v>
      </c>
      <c r="H29" s="131">
        <f t="shared" si="8"/>
        <v>3.4616977567196514</v>
      </c>
      <c r="I29" s="131">
        <f t="shared" si="8"/>
        <v>4.7430191730695288</v>
      </c>
      <c r="J29" s="131">
        <f t="shared" si="8"/>
        <v>2.5678703777054732</v>
      </c>
      <c r="K29" s="131">
        <f t="shared" si="8"/>
        <v>3.6393457987447833</v>
      </c>
      <c r="L29" s="131">
        <f t="shared" si="8"/>
        <v>3.7748623912080617</v>
      </c>
      <c r="M29" s="131">
        <f t="shared" si="8"/>
        <v>1.6530867088529981</v>
      </c>
      <c r="N29" s="131">
        <f t="shared" si="8"/>
        <v>1.1432458038422952</v>
      </c>
      <c r="O29" s="131">
        <f t="shared" si="8"/>
        <v>1.3644587256436358</v>
      </c>
      <c r="P29" s="131">
        <f t="shared" si="8"/>
        <v>1.7006191816707992</v>
      </c>
      <c r="Q29" s="131">
        <f t="shared" si="8"/>
        <v>1.8413010969785191</v>
      </c>
      <c r="R29" s="131">
        <f t="shared" ref="R29:W29" si="9">SUM(R30:R33)</f>
        <v>2.278276476570992</v>
      </c>
      <c r="S29" s="131">
        <f t="shared" si="9"/>
        <v>2.3706130191878332</v>
      </c>
      <c r="T29" s="131">
        <f t="shared" si="9"/>
        <v>2.144739603453564</v>
      </c>
      <c r="U29" s="131">
        <f t="shared" si="9"/>
        <v>2.1831890839452575</v>
      </c>
      <c r="V29" s="131">
        <f t="shared" si="9"/>
        <v>1.8649314540166249</v>
      </c>
      <c r="W29" s="131">
        <f t="shared" si="9"/>
        <v>1.9759651289234399</v>
      </c>
      <c r="DA29" s="156" t="s">
        <v>624</v>
      </c>
    </row>
    <row r="30" spans="1:105" s="2" customFormat="1" ht="12" customHeight="1" x14ac:dyDescent="0.25">
      <c r="A30" s="132" t="s">
        <v>52</v>
      </c>
      <c r="B30" s="133"/>
      <c r="C30" s="133">
        <v>6.9721899914676908E-2</v>
      </c>
      <c r="D30" s="133">
        <v>0.15263000640267593</v>
      </c>
      <c r="E30" s="133">
        <v>0.2298985111872443</v>
      </c>
      <c r="F30" s="133">
        <v>0.25561887443680198</v>
      </c>
      <c r="G30" s="133">
        <v>0.24830425721525709</v>
      </c>
      <c r="H30" s="133">
        <v>0.14612151669417109</v>
      </c>
      <c r="I30" s="133">
        <v>0.14065942747986449</v>
      </c>
      <c r="J30" s="133">
        <v>9.8451013498059625E-2</v>
      </c>
      <c r="K30" s="133">
        <v>0.14800834167436794</v>
      </c>
      <c r="L30" s="133">
        <v>0.26126564683611342</v>
      </c>
      <c r="M30" s="133">
        <v>4.5615457050617453E-2</v>
      </c>
      <c r="N30" s="133">
        <v>0</v>
      </c>
      <c r="O30" s="133">
        <v>5.9542295270491714E-2</v>
      </c>
      <c r="P30" s="133">
        <v>7.8614729924121218E-2</v>
      </c>
      <c r="Q30" s="133">
        <v>0.1881460347609612</v>
      </c>
      <c r="R30" s="133">
        <v>0.21981901124634767</v>
      </c>
      <c r="S30" s="133">
        <v>0.174048177754004</v>
      </c>
      <c r="T30" s="133">
        <v>9.3210748120422598E-2</v>
      </c>
      <c r="U30" s="133">
        <v>7.5503911853335756E-2</v>
      </c>
      <c r="V30" s="133">
        <v>5.6923363288579727E-2</v>
      </c>
      <c r="W30" s="133">
        <v>8.9849428242874549E-2</v>
      </c>
      <c r="DA30" s="157" t="s">
        <v>625</v>
      </c>
    </row>
    <row r="31" spans="1:105" ht="12" customHeight="1" x14ac:dyDescent="0.25">
      <c r="A31" s="132" t="s">
        <v>153</v>
      </c>
      <c r="B31" s="133"/>
      <c r="C31" s="133">
        <v>0.5791065921641716</v>
      </c>
      <c r="D31" s="133">
        <v>0.68837894728318616</v>
      </c>
      <c r="E31" s="133">
        <v>0.70655386632598072</v>
      </c>
      <c r="F31" s="133">
        <v>0.72306889844322197</v>
      </c>
      <c r="G31" s="133">
        <v>0.88162498074635742</v>
      </c>
      <c r="H31" s="133">
        <v>0.80471995174526834</v>
      </c>
      <c r="I31" s="133">
        <v>0.99094261969756414</v>
      </c>
      <c r="J31" s="133">
        <v>0.5457618266643105</v>
      </c>
      <c r="K31" s="133">
        <v>0.72929790452256604</v>
      </c>
      <c r="L31" s="133">
        <v>0.64950251122131364</v>
      </c>
      <c r="M31" s="133">
        <v>0.22730083779074045</v>
      </c>
      <c r="N31" s="133">
        <v>0.16463427709049822</v>
      </c>
      <c r="O31" s="133">
        <v>0.24947458284712207</v>
      </c>
      <c r="P31" s="133">
        <v>0.34563470266163271</v>
      </c>
      <c r="Q31" s="133">
        <v>0.48708175763410577</v>
      </c>
      <c r="R31" s="133">
        <v>0.49571642475266248</v>
      </c>
      <c r="S31" s="133">
        <v>0.48778098750842741</v>
      </c>
      <c r="T31" s="133">
        <v>0.46561962840085092</v>
      </c>
      <c r="U31" s="133">
        <v>0.58789059395949983</v>
      </c>
      <c r="V31" s="133">
        <v>0.27140477865562812</v>
      </c>
      <c r="W31" s="133">
        <v>0.45438803623803115</v>
      </c>
      <c r="DA31" s="157" t="s">
        <v>626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627</v>
      </c>
    </row>
    <row r="33" spans="1:105" ht="12" customHeight="1" x14ac:dyDescent="0.25">
      <c r="A33" s="62" t="s">
        <v>24</v>
      </c>
      <c r="B33" s="68"/>
      <c r="C33" s="68">
        <v>2.4671857976725131</v>
      </c>
      <c r="D33" s="68">
        <v>2.7617852304363675</v>
      </c>
      <c r="E33" s="68">
        <v>2.5269319427731811</v>
      </c>
      <c r="F33" s="68">
        <v>2.3767786036624323</v>
      </c>
      <c r="G33" s="68">
        <v>2.2675404047172587</v>
      </c>
      <c r="H33" s="68">
        <v>2.5108562882802121</v>
      </c>
      <c r="I33" s="68">
        <v>3.6114171258921006</v>
      </c>
      <c r="J33" s="68">
        <v>1.9236575375431033</v>
      </c>
      <c r="K33" s="68">
        <v>2.7620395525478494</v>
      </c>
      <c r="L33" s="68">
        <v>2.8640942331506345</v>
      </c>
      <c r="M33" s="68">
        <v>1.3801704140116402</v>
      </c>
      <c r="N33" s="68">
        <v>0.97861152675179697</v>
      </c>
      <c r="O33" s="68">
        <v>1.0554418475260221</v>
      </c>
      <c r="P33" s="68">
        <v>1.2763697490850452</v>
      </c>
      <c r="Q33" s="68">
        <v>1.1660733045834522</v>
      </c>
      <c r="R33" s="68">
        <v>1.5627410405719817</v>
      </c>
      <c r="S33" s="68">
        <v>1.7087838539254019</v>
      </c>
      <c r="T33" s="68">
        <v>1.5859092269322903</v>
      </c>
      <c r="U33" s="68">
        <v>1.519794578132422</v>
      </c>
      <c r="V33" s="68">
        <v>1.536603312072417</v>
      </c>
      <c r="W33" s="68">
        <v>1.4317276644425343</v>
      </c>
      <c r="DA33" s="111" t="s">
        <v>628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629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/>
      <c r="C3" s="126">
        <f t="shared" ref="C3:Q3" si="0">SUM(C4,C16,C19,C29)</f>
        <v>32.208627374986648</v>
      </c>
      <c r="D3" s="126">
        <f t="shared" si="0"/>
        <v>36.023200925741399</v>
      </c>
      <c r="E3" s="126">
        <f t="shared" si="0"/>
        <v>33.807180832703594</v>
      </c>
      <c r="F3" s="126">
        <f t="shared" si="0"/>
        <v>31.35599673014945</v>
      </c>
      <c r="G3" s="126">
        <f t="shared" si="0"/>
        <v>30.557619812561342</v>
      </c>
      <c r="H3" s="126">
        <f t="shared" si="0"/>
        <v>30.941705915720249</v>
      </c>
      <c r="I3" s="126">
        <f t="shared" si="0"/>
        <v>42.18263108496825</v>
      </c>
      <c r="J3" s="126">
        <f t="shared" si="0"/>
        <v>22.05840922012343</v>
      </c>
      <c r="K3" s="126">
        <f t="shared" si="0"/>
        <v>30.38002809304383</v>
      </c>
      <c r="L3" s="126">
        <f t="shared" si="0"/>
        <v>33.216101500343171</v>
      </c>
      <c r="M3" s="126">
        <f t="shared" si="0"/>
        <v>13.071479081950001</v>
      </c>
      <c r="N3" s="126">
        <f t="shared" si="0"/>
        <v>8.9038334844642808</v>
      </c>
      <c r="O3" s="126">
        <f t="shared" si="0"/>
        <v>10.160878067506669</v>
      </c>
      <c r="P3" s="126">
        <f t="shared" si="0"/>
        <v>11.707630076867414</v>
      </c>
      <c r="Q3" s="126">
        <f t="shared" si="0"/>
        <v>12.285381853041491</v>
      </c>
      <c r="R3" s="126">
        <f t="shared" ref="R3:W3" si="1">SUM(R4,R16,R19,R29)</f>
        <v>15.369586942496142</v>
      </c>
      <c r="S3" s="126">
        <f t="shared" si="1"/>
        <v>16.205929101157768</v>
      </c>
      <c r="T3" s="126">
        <f t="shared" si="1"/>
        <v>14.295920291136106</v>
      </c>
      <c r="U3" s="126">
        <f t="shared" si="1"/>
        <v>13.616391244447044</v>
      </c>
      <c r="V3" s="126">
        <f t="shared" si="1"/>
        <v>12.586457248430401</v>
      </c>
      <c r="W3" s="126">
        <f t="shared" si="1"/>
        <v>13.472586372401679</v>
      </c>
      <c r="DA3" s="155" t="s">
        <v>630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21.119139917610426</v>
      </c>
      <c r="D4" s="131">
        <f t="shared" si="2"/>
        <v>23.379229695334026</v>
      </c>
      <c r="E4" s="131">
        <f t="shared" si="2"/>
        <v>22.012990701610629</v>
      </c>
      <c r="F4" s="131">
        <f t="shared" si="2"/>
        <v>20.155745736122373</v>
      </c>
      <c r="G4" s="131">
        <f t="shared" si="2"/>
        <v>19.347595189507256</v>
      </c>
      <c r="H4" s="131">
        <f t="shared" si="2"/>
        <v>19.452825219878154</v>
      </c>
      <c r="I4" s="131">
        <f t="shared" si="2"/>
        <v>26.19216213728108</v>
      </c>
      <c r="J4" s="131">
        <f t="shared" si="2"/>
        <v>13.514879419525514</v>
      </c>
      <c r="K4" s="131">
        <f t="shared" si="2"/>
        <v>18.258448182875632</v>
      </c>
      <c r="L4" s="131">
        <f t="shared" si="2"/>
        <v>20.62571699445645</v>
      </c>
      <c r="M4" s="131">
        <f t="shared" si="2"/>
        <v>7.5329246630018218</v>
      </c>
      <c r="N4" s="131">
        <f t="shared" si="2"/>
        <v>5.1297907308421822</v>
      </c>
      <c r="O4" s="131">
        <f t="shared" si="2"/>
        <v>5.7756899817436622</v>
      </c>
      <c r="P4" s="131">
        <f t="shared" si="2"/>
        <v>6.2076040190099091</v>
      </c>
      <c r="Q4" s="131">
        <f t="shared" si="2"/>
        <v>6.6323308876321727</v>
      </c>
      <c r="R4" s="131">
        <f t="shared" ref="R4:W4" si="3">SUM(R5:R15)</f>
        <v>8.2885181070279259</v>
      </c>
      <c r="S4" s="131">
        <f t="shared" si="3"/>
        <v>8.7051391711898969</v>
      </c>
      <c r="T4" s="131">
        <f t="shared" si="3"/>
        <v>7.2701120476427024</v>
      </c>
      <c r="U4" s="131">
        <f t="shared" si="3"/>
        <v>6.7004765270523192</v>
      </c>
      <c r="V4" s="131">
        <f t="shared" si="3"/>
        <v>6.2063812747596021</v>
      </c>
      <c r="W4" s="131">
        <f t="shared" si="3"/>
        <v>7.0371344993630736</v>
      </c>
      <c r="DA4" s="156" t="s">
        <v>631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632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633</v>
      </c>
    </row>
    <row r="7" spans="1:105" ht="12" customHeight="1" x14ac:dyDescent="0.25">
      <c r="A7" s="132" t="s">
        <v>168</v>
      </c>
      <c r="B7" s="133"/>
      <c r="C7" s="133">
        <v>0.26411608259022107</v>
      </c>
      <c r="D7" s="133">
        <v>0.63761642395192419</v>
      </c>
      <c r="E7" s="133">
        <v>0.80716023046759489</v>
      </c>
      <c r="F7" s="133">
        <v>0.89132380180390247</v>
      </c>
      <c r="G7" s="133">
        <v>0.25599452050362448</v>
      </c>
      <c r="H7" s="133">
        <v>3.3223500990668488E-2</v>
      </c>
      <c r="I7" s="133">
        <v>0.36714041410614301</v>
      </c>
      <c r="J7" s="133">
        <v>0.52034253589156032</v>
      </c>
      <c r="K7" s="133">
        <v>0.65610695767784311</v>
      </c>
      <c r="L7" s="133">
        <v>0.70272883913102901</v>
      </c>
      <c r="M7" s="133">
        <v>0.35027437189507005</v>
      </c>
      <c r="N7" s="133">
        <v>0.42252261916951489</v>
      </c>
      <c r="O7" s="133">
        <v>0.33267691562576468</v>
      </c>
      <c r="P7" s="133">
        <v>0.20476514139296881</v>
      </c>
      <c r="Q7" s="133">
        <v>5.33942642045925E-2</v>
      </c>
      <c r="R7" s="133">
        <v>0.1212777305854342</v>
      </c>
      <c r="S7" s="133">
        <v>0</v>
      </c>
      <c r="T7" s="133">
        <v>2.6162161976016569E-2</v>
      </c>
      <c r="U7" s="133">
        <v>0</v>
      </c>
      <c r="V7" s="133">
        <v>0</v>
      </c>
      <c r="W7" s="133">
        <v>0</v>
      </c>
      <c r="DA7" s="157" t="s">
        <v>634</v>
      </c>
    </row>
    <row r="8" spans="1:105" ht="12" customHeight="1" x14ac:dyDescent="0.25">
      <c r="A8" s="132" t="s">
        <v>73</v>
      </c>
      <c r="B8" s="133"/>
      <c r="C8" s="133">
        <v>2.6027863219556194E-3</v>
      </c>
      <c r="D8" s="133">
        <v>9.350680944366271E-3</v>
      </c>
      <c r="E8" s="133">
        <v>1.1251807572930504E-2</v>
      </c>
      <c r="F8" s="133">
        <v>7.5380928480391178E-3</v>
      </c>
      <c r="G8" s="133">
        <v>1.5508323586719367E-2</v>
      </c>
      <c r="H8" s="133">
        <v>1.439571987884539E-2</v>
      </c>
      <c r="I8" s="133">
        <v>8.5384979197095506E-2</v>
      </c>
      <c r="J8" s="133">
        <v>2.803913417648142E-2</v>
      </c>
      <c r="K8" s="133">
        <v>3.2458480793866019E-2</v>
      </c>
      <c r="L8" s="133">
        <v>2.1394563113828566E-2</v>
      </c>
      <c r="M8" s="133">
        <v>1.7197909903984832E-2</v>
      </c>
      <c r="N8" s="133">
        <v>1.4854337768452436E-2</v>
      </c>
      <c r="O8" s="133">
        <v>2.2624095155104437E-2</v>
      </c>
      <c r="P8" s="133">
        <v>6.6239860378027454E-2</v>
      </c>
      <c r="Q8" s="133">
        <v>5.180212260402961E-2</v>
      </c>
      <c r="R8" s="133">
        <v>5.0937253251949574E-2</v>
      </c>
      <c r="S8" s="133">
        <v>4.1080119775395066E-2</v>
      </c>
      <c r="T8" s="133">
        <v>5.7346215139419558E-2</v>
      </c>
      <c r="U8" s="133">
        <v>6.0429050417677231E-2</v>
      </c>
      <c r="V8" s="133">
        <v>7.5096785261069735E-2</v>
      </c>
      <c r="W8" s="133">
        <v>4.8113164173572455E-2</v>
      </c>
      <c r="DA8" s="157" t="s">
        <v>635</v>
      </c>
    </row>
    <row r="9" spans="1:105" ht="12" customHeight="1" x14ac:dyDescent="0.25">
      <c r="A9" s="132" t="s">
        <v>78</v>
      </c>
      <c r="B9" s="133"/>
      <c r="C9" s="133">
        <v>1.996602931123403</v>
      </c>
      <c r="D9" s="133">
        <v>4.126829072420847</v>
      </c>
      <c r="E9" s="133">
        <v>4.6870936904062113</v>
      </c>
      <c r="F9" s="133">
        <v>3.9413453476569562</v>
      </c>
      <c r="G9" s="133">
        <v>3.7372651114700468</v>
      </c>
      <c r="H9" s="133">
        <v>3.5978064146475939</v>
      </c>
      <c r="I9" s="133">
        <v>2.6630668655399838</v>
      </c>
      <c r="J9" s="133">
        <v>1.3023420615829651</v>
      </c>
      <c r="K9" s="133">
        <v>1.2381027565761533</v>
      </c>
      <c r="L9" s="133">
        <v>0.74552911344951289</v>
      </c>
      <c r="M9" s="133">
        <v>0.50460423765914586</v>
      </c>
      <c r="N9" s="133">
        <v>0.703214036324325</v>
      </c>
      <c r="O9" s="133">
        <v>1.0135606751165442</v>
      </c>
      <c r="P9" s="133">
        <v>0.51209241552340246</v>
      </c>
      <c r="Q9" s="133">
        <v>1.8634871872767067</v>
      </c>
      <c r="R9" s="133">
        <v>1.7327929474069534</v>
      </c>
      <c r="S9" s="133">
        <v>1.912753376257448</v>
      </c>
      <c r="T9" s="133">
        <v>1.2403190466084337</v>
      </c>
      <c r="U9" s="133">
        <v>1.9256871792316983</v>
      </c>
      <c r="V9" s="133">
        <v>1.8005947524632897</v>
      </c>
      <c r="W9" s="133">
        <v>1.5124756701433641</v>
      </c>
      <c r="DA9" s="157" t="s">
        <v>636</v>
      </c>
    </row>
    <row r="10" spans="1:105" ht="12" customHeight="1" x14ac:dyDescent="0.25">
      <c r="A10" s="132" t="s">
        <v>128</v>
      </c>
      <c r="B10" s="133"/>
      <c r="C10" s="133">
        <v>0.40012888414610709</v>
      </c>
      <c r="D10" s="133">
        <v>1.288956025142848</v>
      </c>
      <c r="E10" s="133">
        <v>0.72901553576467293</v>
      </c>
      <c r="F10" s="133">
        <v>0.44604567180435423</v>
      </c>
      <c r="G10" s="133">
        <v>0.55125735129544229</v>
      </c>
      <c r="H10" s="133">
        <v>0.51147672151532864</v>
      </c>
      <c r="I10" s="133">
        <v>4.7988212712723993E-2</v>
      </c>
      <c r="J10" s="133">
        <v>0</v>
      </c>
      <c r="K10" s="133">
        <v>0</v>
      </c>
      <c r="L10" s="133">
        <v>9.2982660152200122E-2</v>
      </c>
      <c r="M10" s="133">
        <v>0.29872887438193613</v>
      </c>
      <c r="N10" s="133">
        <v>0.19492657611768138</v>
      </c>
      <c r="O10" s="133">
        <v>0.24958639150488124</v>
      </c>
      <c r="P10" s="133">
        <v>0.52801732555785597</v>
      </c>
      <c r="Q10" s="133">
        <v>0.16921454280057777</v>
      </c>
      <c r="R10" s="133">
        <v>0.48176660762837364</v>
      </c>
      <c r="S10" s="133">
        <v>0.46054913760954702</v>
      </c>
      <c r="T10" s="133">
        <v>0.3429772613612917</v>
      </c>
      <c r="U10" s="133">
        <v>9.5189223591592251E-2</v>
      </c>
      <c r="V10" s="133">
        <v>5.6545553309251456E-2</v>
      </c>
      <c r="W10" s="133">
        <v>0</v>
      </c>
      <c r="DA10" s="157" t="s">
        <v>637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638</v>
      </c>
    </row>
    <row r="12" spans="1:105" ht="12" customHeight="1" x14ac:dyDescent="0.25">
      <c r="A12" s="132" t="s">
        <v>169</v>
      </c>
      <c r="B12" s="133"/>
      <c r="C12" s="133">
        <v>15.069559875858532</v>
      </c>
      <c r="D12" s="133">
        <v>15.118730792370716</v>
      </c>
      <c r="E12" s="133">
        <v>13.778272225474444</v>
      </c>
      <c r="F12" s="133">
        <v>11.626242460255826</v>
      </c>
      <c r="G12" s="133">
        <v>10.749514361619534</v>
      </c>
      <c r="H12" s="133">
        <v>10.491472362908583</v>
      </c>
      <c r="I12" s="133">
        <v>16.288559236814816</v>
      </c>
      <c r="J12" s="133">
        <v>9.3932051314713565</v>
      </c>
      <c r="K12" s="133">
        <v>14.918901932101736</v>
      </c>
      <c r="L12" s="133">
        <v>17.724090466832752</v>
      </c>
      <c r="M12" s="133">
        <v>5.7118969683330283</v>
      </c>
      <c r="N12" s="133">
        <v>3.5774393981313066</v>
      </c>
      <c r="O12" s="133">
        <v>3.9514563155284419</v>
      </c>
      <c r="P12" s="133">
        <v>4.5419351772994991</v>
      </c>
      <c r="Q12" s="133">
        <v>4.2135053272921157</v>
      </c>
      <c r="R12" s="133">
        <v>5.5314356220181429</v>
      </c>
      <c r="S12" s="133">
        <v>5.9352124722152437</v>
      </c>
      <c r="T12" s="133">
        <v>5.1208841825607712</v>
      </c>
      <c r="U12" s="133">
        <v>4.1146129498725754</v>
      </c>
      <c r="V12" s="133">
        <v>3.7482887429948377</v>
      </c>
      <c r="W12" s="133">
        <v>4.3332766913382939</v>
      </c>
      <c r="DA12" s="157" t="s">
        <v>639</v>
      </c>
    </row>
    <row r="13" spans="1:105" ht="12" customHeight="1" x14ac:dyDescent="0.25">
      <c r="A13" s="132" t="s">
        <v>77</v>
      </c>
      <c r="B13" s="133"/>
      <c r="C13" s="133">
        <v>8.2434915792684166E-2</v>
      </c>
      <c r="D13" s="133">
        <v>8.1866463050692173E-2</v>
      </c>
      <c r="E13" s="133">
        <v>6.1156144211926521E-2</v>
      </c>
      <c r="F13" s="133">
        <v>6.0329139908358059E-2</v>
      </c>
      <c r="G13" s="133">
        <v>0.27506285858461943</v>
      </c>
      <c r="H13" s="133">
        <v>0.35892540677259549</v>
      </c>
      <c r="I13" s="133">
        <v>2.034684788183494</v>
      </c>
      <c r="J13" s="133">
        <v>0.62948290901504511</v>
      </c>
      <c r="K13" s="133">
        <v>0.57083763852518032</v>
      </c>
      <c r="L13" s="133">
        <v>0.29469331451430308</v>
      </c>
      <c r="M13" s="133">
        <v>0.22525655204957523</v>
      </c>
      <c r="N13" s="133">
        <v>0.13021125113373841</v>
      </c>
      <c r="O13" s="133">
        <v>0.16494694790788003</v>
      </c>
      <c r="P13" s="133">
        <v>0.31937639211082541</v>
      </c>
      <c r="Q13" s="133">
        <v>0.23081046240023587</v>
      </c>
      <c r="R13" s="133">
        <v>0.31381492005669936</v>
      </c>
      <c r="S13" s="133">
        <v>0.29699996665548301</v>
      </c>
      <c r="T13" s="133">
        <v>0.43888101189111783</v>
      </c>
      <c r="U13" s="133">
        <v>0.45667736024595618</v>
      </c>
      <c r="V13" s="133">
        <v>0.48223646059883862</v>
      </c>
      <c r="W13" s="133">
        <v>0.50171762687895594</v>
      </c>
      <c r="DA13" s="157" t="s">
        <v>640</v>
      </c>
    </row>
    <row r="14" spans="1:105" ht="12" customHeight="1" x14ac:dyDescent="0.25">
      <c r="A14" s="60" t="s">
        <v>76</v>
      </c>
      <c r="B14" s="65"/>
      <c r="C14" s="65">
        <v>3.1810611212731321</v>
      </c>
      <c r="D14" s="65">
        <v>1.9381427549550254</v>
      </c>
      <c r="E14" s="65">
        <v>1.7626283548134707</v>
      </c>
      <c r="F14" s="65">
        <v>3.0354760964395524</v>
      </c>
      <c r="G14" s="65">
        <v>3.6367401782369897</v>
      </c>
      <c r="H14" s="65">
        <v>4.3286590577671626</v>
      </c>
      <c r="I14" s="65">
        <v>4.5796497966248193</v>
      </c>
      <c r="J14" s="65">
        <v>1.5689579699766729</v>
      </c>
      <c r="K14" s="65">
        <v>0.74549490690307274</v>
      </c>
      <c r="L14" s="65">
        <v>0.94378332583823799</v>
      </c>
      <c r="M14" s="65">
        <v>0.38404801684251583</v>
      </c>
      <c r="N14" s="65">
        <v>5.1281803700512059E-2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0.59973948699580271</v>
      </c>
      <c r="DA14" s="109" t="s">
        <v>641</v>
      </c>
    </row>
    <row r="15" spans="1:105" ht="12" customHeight="1" x14ac:dyDescent="0.25">
      <c r="A15" s="134" t="s">
        <v>80</v>
      </c>
      <c r="B15" s="135"/>
      <c r="C15" s="135">
        <v>0.12263332050438694</v>
      </c>
      <c r="D15" s="135">
        <v>0.17773748249760962</v>
      </c>
      <c r="E15" s="135">
        <v>0.17641271289937327</v>
      </c>
      <c r="F15" s="135">
        <v>0.14744512540538329</v>
      </c>
      <c r="G15" s="135">
        <v>0.12625248421027929</v>
      </c>
      <c r="H15" s="135">
        <v>0.11686603539737508</v>
      </c>
      <c r="I15" s="135">
        <v>0.12568784410200351</v>
      </c>
      <c r="J15" s="135">
        <v>7.2509677411432605E-2</v>
      </c>
      <c r="K15" s="135">
        <v>9.6545510297780524E-2</v>
      </c>
      <c r="L15" s="135">
        <v>0.10051471142458962</v>
      </c>
      <c r="M15" s="135">
        <v>4.0917731936566289E-2</v>
      </c>
      <c r="N15" s="135">
        <v>3.5340708496650872E-2</v>
      </c>
      <c r="O15" s="135">
        <v>4.0838640905046686E-2</v>
      </c>
      <c r="P15" s="135">
        <v>3.5177706747328771E-2</v>
      </c>
      <c r="Q15" s="135">
        <v>5.0116981053914877E-2</v>
      </c>
      <c r="R15" s="135">
        <v>5.6493026080373154E-2</v>
      </c>
      <c r="S15" s="135">
        <v>5.8544098676779427E-2</v>
      </c>
      <c r="T15" s="135">
        <v>4.354216810565123E-2</v>
      </c>
      <c r="U15" s="135">
        <v>4.7880763692819753E-2</v>
      </c>
      <c r="V15" s="135">
        <v>4.3618980132315563E-2</v>
      </c>
      <c r="W15" s="135">
        <v>4.1811859833084962E-2</v>
      </c>
      <c r="DA15" s="158" t="s">
        <v>642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6.368173504099425</v>
      </c>
      <c r="D16" s="131">
        <f t="shared" si="4"/>
        <v>7.2665492271441039</v>
      </c>
      <c r="E16" s="131">
        <f t="shared" si="4"/>
        <v>6.7287500374498341</v>
      </c>
      <c r="F16" s="131">
        <f t="shared" si="4"/>
        <v>6.3784030791920676</v>
      </c>
      <c r="G16" s="131">
        <f t="shared" si="4"/>
        <v>6.3720058671724411</v>
      </c>
      <c r="H16" s="131">
        <f t="shared" si="4"/>
        <v>6.4952181056467246</v>
      </c>
      <c r="I16" s="131">
        <f t="shared" si="4"/>
        <v>9.065250947264154</v>
      </c>
      <c r="J16" s="131">
        <f t="shared" si="4"/>
        <v>4.8196233458969786</v>
      </c>
      <c r="K16" s="131">
        <f t="shared" si="4"/>
        <v>6.8214326042329514</v>
      </c>
      <c r="L16" s="131">
        <f t="shared" si="4"/>
        <v>7.0792220571298499</v>
      </c>
      <c r="M16" s="131">
        <f t="shared" si="4"/>
        <v>3.0754102375515453</v>
      </c>
      <c r="N16" s="131">
        <f t="shared" si="4"/>
        <v>2.0658591125470296</v>
      </c>
      <c r="O16" s="131">
        <f t="shared" si="4"/>
        <v>2.3789167676058711</v>
      </c>
      <c r="P16" s="131">
        <f t="shared" si="4"/>
        <v>2.9718732951019069</v>
      </c>
      <c r="Q16" s="131">
        <f t="shared" si="4"/>
        <v>3.0021832781468398</v>
      </c>
      <c r="R16" s="131">
        <f t="shared" ref="R16:W16" si="5">SUM(R17:R18)</f>
        <v>3.7351332117301301</v>
      </c>
      <c r="S16" s="131">
        <f t="shared" si="5"/>
        <v>3.9204152664528062</v>
      </c>
      <c r="T16" s="131">
        <f t="shared" si="5"/>
        <v>3.7048020777314687</v>
      </c>
      <c r="U16" s="131">
        <f t="shared" si="5"/>
        <v>3.5587820236367151</v>
      </c>
      <c r="V16" s="131">
        <f t="shared" si="5"/>
        <v>3.4077068374951272</v>
      </c>
      <c r="W16" s="131">
        <f t="shared" si="5"/>
        <v>3.2809351941180025</v>
      </c>
      <c r="DA16" s="156" t="s">
        <v>643</v>
      </c>
    </row>
    <row r="17" spans="1:105" ht="12.95" customHeight="1" x14ac:dyDescent="0.25">
      <c r="A17" s="132" t="s">
        <v>73</v>
      </c>
      <c r="B17" s="133"/>
      <c r="C17" s="133">
        <v>6.732168736091621E-3</v>
      </c>
      <c r="D17" s="133">
        <v>8.4372998332663037E-3</v>
      </c>
      <c r="E17" s="133">
        <v>6.29531177916907E-3</v>
      </c>
      <c r="F17" s="133">
        <v>8.3790290249211013E-3</v>
      </c>
      <c r="G17" s="133">
        <v>8.664922719322005E-3</v>
      </c>
      <c r="H17" s="133">
        <v>7.0145841827706674E-3</v>
      </c>
      <c r="I17" s="133">
        <v>8.5052744596040564E-3</v>
      </c>
      <c r="J17" s="133">
        <v>5.1662697136351165E-3</v>
      </c>
      <c r="K17" s="133">
        <v>6.6449206113319533E-3</v>
      </c>
      <c r="L17" s="133">
        <v>9.8591683869730905E-3</v>
      </c>
      <c r="M17" s="133">
        <v>5.2328116623358749E-3</v>
      </c>
      <c r="N17" s="133">
        <v>4.5896626837756667E-3</v>
      </c>
      <c r="O17" s="133">
        <v>7.2094209826109182E-3</v>
      </c>
      <c r="P17" s="133">
        <v>1.2934902463177092E-2</v>
      </c>
      <c r="Q17" s="133">
        <v>2.0582715868403961E-2</v>
      </c>
      <c r="R17" s="133">
        <v>2.480408460346463E-2</v>
      </c>
      <c r="S17" s="133">
        <v>2.4211128641311554E-2</v>
      </c>
      <c r="T17" s="133">
        <v>1.7300490086868316E-2</v>
      </c>
      <c r="U17" s="133">
        <v>2.5323826165362696E-2</v>
      </c>
      <c r="V17" s="133">
        <v>7.7949077083789453E-2</v>
      </c>
      <c r="W17" s="133">
        <v>1.28030306191014E-2</v>
      </c>
      <c r="DA17" s="157" t="s">
        <v>644</v>
      </c>
    </row>
    <row r="18" spans="1:105" ht="12" customHeight="1" x14ac:dyDescent="0.25">
      <c r="A18" s="132" t="s">
        <v>72</v>
      </c>
      <c r="B18" s="133"/>
      <c r="C18" s="133">
        <v>6.3614413353633337</v>
      </c>
      <c r="D18" s="133">
        <v>7.2581119273108374</v>
      </c>
      <c r="E18" s="133">
        <v>6.7224547256706648</v>
      </c>
      <c r="F18" s="133">
        <v>6.3700240501671468</v>
      </c>
      <c r="G18" s="133">
        <v>6.3633409444531193</v>
      </c>
      <c r="H18" s="133">
        <v>6.4882035214639542</v>
      </c>
      <c r="I18" s="133">
        <v>9.0567456728045492</v>
      </c>
      <c r="J18" s="133">
        <v>4.8144570761833432</v>
      </c>
      <c r="K18" s="133">
        <v>6.8147876836216197</v>
      </c>
      <c r="L18" s="133">
        <v>7.0693628887428765</v>
      </c>
      <c r="M18" s="133">
        <v>3.0701774258892094</v>
      </c>
      <c r="N18" s="133">
        <v>2.061269449863254</v>
      </c>
      <c r="O18" s="133">
        <v>2.3717073466232601</v>
      </c>
      <c r="P18" s="133">
        <v>2.9589383926387298</v>
      </c>
      <c r="Q18" s="133">
        <v>2.9816005622784361</v>
      </c>
      <c r="R18" s="133">
        <v>3.7103291271266654</v>
      </c>
      <c r="S18" s="133">
        <v>3.8962041378114947</v>
      </c>
      <c r="T18" s="133">
        <v>3.6875015876446002</v>
      </c>
      <c r="U18" s="133">
        <v>3.5334581974713526</v>
      </c>
      <c r="V18" s="133">
        <v>3.3297577604113378</v>
      </c>
      <c r="W18" s="133">
        <v>3.2681321634989011</v>
      </c>
      <c r="DA18" s="157" t="s">
        <v>645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2.5529404517200174</v>
      </c>
      <c r="D19" s="131">
        <f t="shared" si="6"/>
        <v>2.8809813078579429</v>
      </c>
      <c r="E19" s="131">
        <f t="shared" si="6"/>
        <v>2.6829542361813288</v>
      </c>
      <c r="F19" s="131">
        <f t="shared" si="6"/>
        <v>2.5210975902584525</v>
      </c>
      <c r="G19" s="131">
        <f t="shared" si="6"/>
        <v>2.5276399872287256</v>
      </c>
      <c r="H19" s="131">
        <f t="shared" si="6"/>
        <v>2.5984160819394799</v>
      </c>
      <c r="I19" s="131">
        <f t="shared" si="6"/>
        <v>3.6050812526943412</v>
      </c>
      <c r="J19" s="131">
        <f t="shared" si="6"/>
        <v>1.9276254718267847</v>
      </c>
      <c r="K19" s="131">
        <f t="shared" si="6"/>
        <v>2.7413572396950951</v>
      </c>
      <c r="L19" s="131">
        <f t="shared" si="6"/>
        <v>2.850234604053822</v>
      </c>
      <c r="M19" s="131">
        <f t="shared" si="6"/>
        <v>1.270705824224128</v>
      </c>
      <c r="N19" s="131">
        <f t="shared" si="6"/>
        <v>0.87514505934573472</v>
      </c>
      <c r="O19" s="131">
        <f t="shared" si="6"/>
        <v>1.0275171536570724</v>
      </c>
      <c r="P19" s="131">
        <f t="shared" si="6"/>
        <v>1.3068126183297777</v>
      </c>
      <c r="Q19" s="131">
        <f t="shared" si="6"/>
        <v>1.3611626618364527</v>
      </c>
      <c r="R19" s="131">
        <f t="shared" ref="R19:W19" si="7">SUM(R20:R27)</f>
        <v>1.7032621913280799</v>
      </c>
      <c r="S19" s="131">
        <f t="shared" si="7"/>
        <v>1.8227622079965837</v>
      </c>
      <c r="T19" s="131">
        <f t="shared" si="7"/>
        <v>1.6914896115130207</v>
      </c>
      <c r="U19" s="131">
        <f t="shared" si="7"/>
        <v>1.6917402078862782</v>
      </c>
      <c r="V19" s="131">
        <f t="shared" si="7"/>
        <v>1.4691910751454798</v>
      </c>
      <c r="W19" s="131">
        <f t="shared" si="7"/>
        <v>1.5934991324837762</v>
      </c>
      <c r="DA19" s="156" t="s">
        <v>646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647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648</v>
      </c>
    </row>
    <row r="22" spans="1:105" ht="12" customHeight="1" x14ac:dyDescent="0.25">
      <c r="A22" s="132" t="s">
        <v>168</v>
      </c>
      <c r="B22" s="133"/>
      <c r="C22" s="133">
        <v>0.11394442234361786</v>
      </c>
      <c r="D22" s="133">
        <v>0.13241002419681408</v>
      </c>
      <c r="E22" s="133">
        <v>0.12432577435044899</v>
      </c>
      <c r="F22" s="133">
        <v>9.74037245364337E-2</v>
      </c>
      <c r="G22" s="133">
        <v>5.0059971437983443E-2</v>
      </c>
      <c r="H22" s="133">
        <v>5.419915921596131E-3</v>
      </c>
      <c r="I22" s="133">
        <v>2.9432303537721347E-2</v>
      </c>
      <c r="J22" s="133">
        <v>5.9678966623384073E-2</v>
      </c>
      <c r="K22" s="133">
        <v>9.3716620717952545E-2</v>
      </c>
      <c r="L22" s="133">
        <v>8.3189037574349908E-2</v>
      </c>
      <c r="M22" s="133">
        <v>3.6477294377673629E-2</v>
      </c>
      <c r="N22" s="133">
        <v>3.7892495692005555E-2</v>
      </c>
      <c r="O22" s="133">
        <v>4.5608751271727914E-2</v>
      </c>
      <c r="P22" s="133">
        <v>2.0775473836122764E-2</v>
      </c>
      <c r="Q22" s="133">
        <v>1.4716796674544095E-2</v>
      </c>
      <c r="R22" s="133">
        <v>2.1272562964882374E-2</v>
      </c>
      <c r="S22" s="133">
        <v>0</v>
      </c>
      <c r="T22" s="133">
        <v>0</v>
      </c>
      <c r="U22" s="133">
        <v>0</v>
      </c>
      <c r="V22" s="133">
        <v>0</v>
      </c>
      <c r="W22" s="133">
        <v>0</v>
      </c>
      <c r="DA22" s="157" t="s">
        <v>649</v>
      </c>
    </row>
    <row r="23" spans="1:105" ht="12" customHeight="1" x14ac:dyDescent="0.25">
      <c r="A23" s="132" t="s">
        <v>153</v>
      </c>
      <c r="B23" s="133"/>
      <c r="C23" s="133">
        <v>0.22224820422152558</v>
      </c>
      <c r="D23" s="133">
        <v>0.44902540996818002</v>
      </c>
      <c r="E23" s="133">
        <v>0.51430469006395363</v>
      </c>
      <c r="F23" s="133">
        <v>0.43949310530351882</v>
      </c>
      <c r="G23" s="133">
        <v>0.46562059546459722</v>
      </c>
      <c r="H23" s="133">
        <v>0.4258846240666998</v>
      </c>
      <c r="I23" s="133">
        <v>0.40628680514264492</v>
      </c>
      <c r="J23" s="133">
        <v>0.21179382835416663</v>
      </c>
      <c r="K23" s="133">
        <v>0.190515214894004</v>
      </c>
      <c r="L23" s="133">
        <v>0.11885020414306391</v>
      </c>
      <c r="M23" s="133">
        <v>1.8589178239646331E-3</v>
      </c>
      <c r="N23" s="133">
        <v>3.3559067210113397E-2</v>
      </c>
      <c r="O23" s="133">
        <v>7.5666470077936795E-2</v>
      </c>
      <c r="P23" s="133">
        <v>0.14505917985468492</v>
      </c>
      <c r="Q23" s="133">
        <v>0.31833716364290165</v>
      </c>
      <c r="R23" s="133">
        <v>0.35118543710188388</v>
      </c>
      <c r="S23" s="133">
        <v>0.37214243601103691</v>
      </c>
      <c r="T23" s="133">
        <v>0.23066680516002727</v>
      </c>
      <c r="U23" s="133">
        <v>0.23843053418225688</v>
      </c>
      <c r="V23" s="133">
        <v>0.13581202422447655</v>
      </c>
      <c r="W23" s="133">
        <v>0.16778858843017783</v>
      </c>
      <c r="DA23" s="157" t="s">
        <v>650</v>
      </c>
    </row>
    <row r="24" spans="1:105" ht="12" customHeight="1" x14ac:dyDescent="0.25">
      <c r="A24" s="132" t="s">
        <v>128</v>
      </c>
      <c r="B24" s="133"/>
      <c r="C24" s="133">
        <v>5.5234055993724496E-2</v>
      </c>
      <c r="D24" s="133">
        <v>5.471142002865096E-2</v>
      </c>
      <c r="E24" s="133">
        <v>4.9815694674459725E-2</v>
      </c>
      <c r="F24" s="133">
        <v>4.5686658997381065E-2</v>
      </c>
      <c r="G24" s="133">
        <v>4.9040384630525097E-2</v>
      </c>
      <c r="H24" s="133">
        <v>4.9938125180704618E-2</v>
      </c>
      <c r="I24" s="133">
        <v>6.5510987928865769E-2</v>
      </c>
      <c r="J24" s="133">
        <v>4.0881370897334922E-2</v>
      </c>
      <c r="K24" s="133">
        <v>5.5477067064283965E-2</v>
      </c>
      <c r="L24" s="133">
        <v>5.4328562191665063E-2</v>
      </c>
      <c r="M24" s="133">
        <v>2.8716990246476452E-2</v>
      </c>
      <c r="N24" s="133">
        <v>1.880361086277435E-2</v>
      </c>
      <c r="O24" s="133">
        <v>1.8450216799487159E-2</v>
      </c>
      <c r="P24" s="133">
        <v>3.0245613100117114E-2</v>
      </c>
      <c r="Q24" s="133">
        <v>4.0385559265081333E-2</v>
      </c>
      <c r="R24" s="133">
        <v>7.3366183890209449E-2</v>
      </c>
      <c r="S24" s="133">
        <v>5.4281539528816911E-2</v>
      </c>
      <c r="T24" s="133">
        <v>4.5555283486215542E-2</v>
      </c>
      <c r="U24" s="133">
        <v>3.2564119780880217E-2</v>
      </c>
      <c r="V24" s="133">
        <v>2.423396348332468E-2</v>
      </c>
      <c r="W24" s="133">
        <v>3.0196032606845488E-2</v>
      </c>
      <c r="DA24" s="157" t="s">
        <v>651</v>
      </c>
    </row>
    <row r="25" spans="1:105" ht="12" customHeight="1" x14ac:dyDescent="0.25">
      <c r="A25" s="132" t="s">
        <v>169</v>
      </c>
      <c r="B25" s="133"/>
      <c r="C25" s="133">
        <v>1.5659654713945903</v>
      </c>
      <c r="D25" s="133">
        <v>1.5185342629989849</v>
      </c>
      <c r="E25" s="133">
        <v>1.3617715129725201</v>
      </c>
      <c r="F25" s="133">
        <v>1.1656716639007332</v>
      </c>
      <c r="G25" s="133">
        <v>1.1388007012001262</v>
      </c>
      <c r="H25" s="133">
        <v>1.1544490035971673</v>
      </c>
      <c r="I25" s="133">
        <v>2.0146454696421441</v>
      </c>
      <c r="J25" s="133">
        <v>1.1474360780186741</v>
      </c>
      <c r="K25" s="133">
        <v>1.9536797169276918</v>
      </c>
      <c r="L25" s="133">
        <v>2.0138049566006471</v>
      </c>
      <c r="M25" s="133">
        <v>0.77702132381210265</v>
      </c>
      <c r="N25" s="133">
        <v>0.46079393192683293</v>
      </c>
      <c r="O25" s="133">
        <v>0.551855111152599</v>
      </c>
      <c r="P25" s="133">
        <v>0.88389365138888765</v>
      </c>
      <c r="Q25" s="133">
        <v>0.8099700304054136</v>
      </c>
      <c r="R25" s="133">
        <v>1.0031737137750669</v>
      </c>
      <c r="S25" s="133">
        <v>1.0702853629857199</v>
      </c>
      <c r="T25" s="133">
        <v>1.1502485478404803</v>
      </c>
      <c r="U25" s="133">
        <v>1.0681551392617668</v>
      </c>
      <c r="V25" s="133">
        <v>1.0409726565189206</v>
      </c>
      <c r="W25" s="133">
        <v>0.88589313604747244</v>
      </c>
      <c r="DA25" s="157" t="s">
        <v>652</v>
      </c>
    </row>
    <row r="26" spans="1:105" ht="12" customHeight="1" x14ac:dyDescent="0.25">
      <c r="A26" s="132" t="s">
        <v>24</v>
      </c>
      <c r="B26" s="65"/>
      <c r="C26" s="65">
        <v>0.50823272938668296</v>
      </c>
      <c r="D26" s="65">
        <v>0.59951583121393781</v>
      </c>
      <c r="E26" s="65">
        <v>0.53960969429382144</v>
      </c>
      <c r="F26" s="65">
        <v>0.64574099349487413</v>
      </c>
      <c r="G26" s="65">
        <v>0.65227916138859243</v>
      </c>
      <c r="H26" s="65">
        <v>0.81120514289272294</v>
      </c>
      <c r="I26" s="65">
        <v>0.90879589149757201</v>
      </c>
      <c r="J26" s="65">
        <v>0.34745918209901072</v>
      </c>
      <c r="K26" s="65">
        <v>0.3823351222232147</v>
      </c>
      <c r="L26" s="65">
        <v>0.23102866056067231</v>
      </c>
      <c r="M26" s="65">
        <v>0.28243090031219548</v>
      </c>
      <c r="N26" s="65">
        <v>0.23916275581154645</v>
      </c>
      <c r="O26" s="65">
        <v>0.1855239962860907</v>
      </c>
      <c r="P26" s="65">
        <v>0.22683870014996521</v>
      </c>
      <c r="Q26" s="65">
        <v>8.8838173661445571E-2</v>
      </c>
      <c r="R26" s="65">
        <v>0.142482262519709</v>
      </c>
      <c r="S26" s="65">
        <v>0.2855391534206182</v>
      </c>
      <c r="T26" s="65">
        <v>9.7014356822805695E-2</v>
      </c>
      <c r="U26" s="65">
        <v>0.17993903966903704</v>
      </c>
      <c r="V26" s="65">
        <v>7.1614282629217096E-2</v>
      </c>
      <c r="W26" s="65">
        <v>0.50960419039681626</v>
      </c>
      <c r="DA26" s="109" t="s">
        <v>653</v>
      </c>
    </row>
    <row r="27" spans="1:105" ht="12" customHeight="1" x14ac:dyDescent="0.25">
      <c r="A27" s="145" t="s">
        <v>26</v>
      </c>
      <c r="B27" s="148"/>
      <c r="C27" s="148">
        <v>8.7315568379876196E-2</v>
      </c>
      <c r="D27" s="148">
        <v>0.12678435945137512</v>
      </c>
      <c r="E27" s="148">
        <v>9.3126869826124684E-2</v>
      </c>
      <c r="F27" s="148">
        <v>0.1271014440255116</v>
      </c>
      <c r="G27" s="148">
        <v>0.17183917310690128</v>
      </c>
      <c r="H27" s="148">
        <v>0.15151927028058879</v>
      </c>
      <c r="I27" s="148">
        <v>0.18040979494539322</v>
      </c>
      <c r="J27" s="148">
        <v>0.12037604583421435</v>
      </c>
      <c r="K27" s="148">
        <v>6.5633497867948365E-2</v>
      </c>
      <c r="L27" s="148">
        <v>0.34903318298342395</v>
      </c>
      <c r="M27" s="148">
        <v>0.14420039765171513</v>
      </c>
      <c r="N27" s="148">
        <v>8.4933197842462019E-2</v>
      </c>
      <c r="O27" s="148">
        <v>0.15041260806923082</v>
      </c>
      <c r="P27" s="148">
        <v>0</v>
      </c>
      <c r="Q27" s="148">
        <v>8.8914938187066361E-2</v>
      </c>
      <c r="R27" s="148">
        <v>0.11178203107632818</v>
      </c>
      <c r="S27" s="148">
        <v>4.0513716050391925E-2</v>
      </c>
      <c r="T27" s="148">
        <v>0.16800461820349205</v>
      </c>
      <c r="U27" s="148">
        <v>0.17265137499233729</v>
      </c>
      <c r="V27" s="148">
        <v>0.19655814828954082</v>
      </c>
      <c r="W27" s="148">
        <v>1.7185002464216076E-5</v>
      </c>
      <c r="DA27" s="161" t="s">
        <v>654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2.1683735015567827</v>
      </c>
      <c r="D29" s="131">
        <f t="shared" si="8"/>
        <v>2.4964406954053242</v>
      </c>
      <c r="E29" s="131">
        <f t="shared" si="8"/>
        <v>2.3824858574618046</v>
      </c>
      <c r="F29" s="131">
        <f t="shared" si="8"/>
        <v>2.300750324576553</v>
      </c>
      <c r="G29" s="131">
        <f t="shared" si="8"/>
        <v>2.3103787686529191</v>
      </c>
      <c r="H29" s="131">
        <f t="shared" si="8"/>
        <v>2.3952465082558918</v>
      </c>
      <c r="I29" s="131">
        <f t="shared" si="8"/>
        <v>3.3201367477286765</v>
      </c>
      <c r="J29" s="131">
        <f t="shared" si="8"/>
        <v>1.7962809828741511</v>
      </c>
      <c r="K29" s="131">
        <f t="shared" si="8"/>
        <v>2.5587900662401508</v>
      </c>
      <c r="L29" s="131">
        <f t="shared" si="8"/>
        <v>2.6609278447030533</v>
      </c>
      <c r="M29" s="131">
        <f t="shared" si="8"/>
        <v>1.1924383571725057</v>
      </c>
      <c r="N29" s="131">
        <f t="shared" si="8"/>
        <v>0.83303858172933409</v>
      </c>
      <c r="O29" s="131">
        <f t="shared" si="8"/>
        <v>0.97875416450006325</v>
      </c>
      <c r="P29" s="131">
        <f t="shared" si="8"/>
        <v>1.2213401444258201</v>
      </c>
      <c r="Q29" s="131">
        <f t="shared" si="8"/>
        <v>1.2897050254260258</v>
      </c>
      <c r="R29" s="131">
        <f t="shared" ref="R29:W29" si="9">SUM(R30:R33)</f>
        <v>1.6426734324100065</v>
      </c>
      <c r="S29" s="131">
        <f t="shared" si="9"/>
        <v>1.7576124555184813</v>
      </c>
      <c r="T29" s="131">
        <f t="shared" si="9"/>
        <v>1.629516554248915</v>
      </c>
      <c r="U29" s="131">
        <f t="shared" si="9"/>
        <v>1.6653924858717319</v>
      </c>
      <c r="V29" s="131">
        <f t="shared" si="9"/>
        <v>1.5031780610301932</v>
      </c>
      <c r="W29" s="131">
        <f t="shared" si="9"/>
        <v>1.5610175464368254</v>
      </c>
      <c r="DA29" s="156" t="s">
        <v>655</v>
      </c>
    </row>
    <row r="30" spans="1:105" s="2" customFormat="1" ht="12" customHeight="1" x14ac:dyDescent="0.25">
      <c r="A30" s="132" t="s">
        <v>52</v>
      </c>
      <c r="B30" s="133"/>
      <c r="C30" s="133">
        <v>3.8664488499265154E-2</v>
      </c>
      <c r="D30" s="133">
        <v>8.4840978796607541E-2</v>
      </c>
      <c r="E30" s="133">
        <v>0.12808781675273587</v>
      </c>
      <c r="F30" s="133">
        <v>0.14274674672366416</v>
      </c>
      <c r="G30" s="133">
        <v>0.13897722082292244</v>
      </c>
      <c r="H30" s="133">
        <v>8.1968271029542031E-2</v>
      </c>
      <c r="I30" s="133">
        <v>7.9078044291786859E-2</v>
      </c>
      <c r="J30" s="133">
        <v>5.5467029958503757E-2</v>
      </c>
      <c r="K30" s="133">
        <v>8.3558638559546469E-2</v>
      </c>
      <c r="L30" s="133">
        <v>0.1477877320361202</v>
      </c>
      <c r="M30" s="133">
        <v>2.5830054386072058E-2</v>
      </c>
      <c r="N30" s="133">
        <v>0</v>
      </c>
      <c r="O30" s="133">
        <v>3.3716218680034993E-2</v>
      </c>
      <c r="P30" s="133">
        <v>4.4516111002310586E-2</v>
      </c>
      <c r="Q30" s="133">
        <v>0.10653893711964131</v>
      </c>
      <c r="R30" s="133">
        <v>0.12530142513631087</v>
      </c>
      <c r="S30" s="133">
        <v>0.10028243333763971</v>
      </c>
      <c r="T30" s="133">
        <v>5.4375199012588034E-2</v>
      </c>
      <c r="U30" s="133">
        <v>4.4607363846040235E-2</v>
      </c>
      <c r="V30" s="133">
        <v>3.4024246502279518E-2</v>
      </c>
      <c r="W30" s="133">
        <v>5.4280926731440082E-2</v>
      </c>
      <c r="DA30" s="157" t="s">
        <v>656</v>
      </c>
    </row>
    <row r="31" spans="1:105" ht="12" customHeight="1" x14ac:dyDescent="0.25">
      <c r="A31" s="132" t="s">
        <v>153</v>
      </c>
      <c r="B31" s="133"/>
      <c r="C31" s="133">
        <v>0.32282492715019612</v>
      </c>
      <c r="D31" s="133">
        <v>0.38462711866808275</v>
      </c>
      <c r="E31" s="133">
        <v>0.39568077120727552</v>
      </c>
      <c r="F31" s="133">
        <v>0.40584718433978384</v>
      </c>
      <c r="G31" s="133">
        <v>0.49594643859954718</v>
      </c>
      <c r="H31" s="133">
        <v>0.45368035857286876</v>
      </c>
      <c r="I31" s="133">
        <v>0.55987581173765499</v>
      </c>
      <c r="J31" s="133">
        <v>0.30899899141383136</v>
      </c>
      <c r="K31" s="133">
        <v>0.41374531547754217</v>
      </c>
      <c r="L31" s="133">
        <v>0.36918529759423618</v>
      </c>
      <c r="M31" s="133">
        <v>0.12933423892951804</v>
      </c>
      <c r="N31" s="133">
        <v>9.3676948735286966E-2</v>
      </c>
      <c r="O31" s="133">
        <v>0.14195110593695281</v>
      </c>
      <c r="P31" s="133">
        <v>0.19666624043650385</v>
      </c>
      <c r="Q31" s="133">
        <v>0.27714965343882825</v>
      </c>
      <c r="R31" s="133">
        <v>0.28390379773948693</v>
      </c>
      <c r="S31" s="133">
        <v>0.282321347807862</v>
      </c>
      <c r="T31" s="133">
        <v>0.27279362383427519</v>
      </c>
      <c r="U31" s="133">
        <v>0.34874284434998326</v>
      </c>
      <c r="V31" s="133">
        <v>0.16285441820069874</v>
      </c>
      <c r="W31" s="133">
        <v>0.27552663150280776</v>
      </c>
      <c r="DA31" s="157" t="s">
        <v>657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658</v>
      </c>
    </row>
    <row r="33" spans="1:105" ht="12" customHeight="1" x14ac:dyDescent="0.25">
      <c r="A33" s="62" t="s">
        <v>24</v>
      </c>
      <c r="B33" s="68"/>
      <c r="C33" s="68">
        <v>1.8068840859073216</v>
      </c>
      <c r="D33" s="68">
        <v>2.0269725979406341</v>
      </c>
      <c r="E33" s="68">
        <v>1.8587172695017931</v>
      </c>
      <c r="F33" s="68">
        <v>1.7521563935131048</v>
      </c>
      <c r="G33" s="68">
        <v>1.6754551092304493</v>
      </c>
      <c r="H33" s="68">
        <v>1.8595978786534813</v>
      </c>
      <c r="I33" s="68">
        <v>2.6811828916992346</v>
      </c>
      <c r="J33" s="68">
        <v>1.4318149615018159</v>
      </c>
      <c r="K33" s="68">
        <v>2.0614861122030623</v>
      </c>
      <c r="L33" s="68">
        <v>2.1439548150726968</v>
      </c>
      <c r="M33" s="68">
        <v>1.0372740638569156</v>
      </c>
      <c r="N33" s="68">
        <v>0.73936163299404711</v>
      </c>
      <c r="O33" s="68">
        <v>0.80308683988307539</v>
      </c>
      <c r="P33" s="68">
        <v>0.98015779298700556</v>
      </c>
      <c r="Q33" s="68">
        <v>0.90601643486755634</v>
      </c>
      <c r="R33" s="68">
        <v>1.2334682095342087</v>
      </c>
      <c r="S33" s="68">
        <v>1.3750086743729797</v>
      </c>
      <c r="T33" s="68">
        <v>1.3023477314020517</v>
      </c>
      <c r="U33" s="68">
        <v>1.2720422776757085</v>
      </c>
      <c r="V33" s="68">
        <v>1.3062993963272149</v>
      </c>
      <c r="W33" s="68">
        <v>1.2312099882025775</v>
      </c>
      <c r="DA33" s="111" t="s">
        <v>659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/>
      <c r="C3" s="127">
        <f>IF(SER_hh_tes_in!C3=0,"",SER_hh_tes_in!C3/SER_hh_fec_in!C3)</f>
        <v>0.88848838752488302</v>
      </c>
      <c r="D3" s="127">
        <f>IF(SER_hh_tes_in!D3=0,"",SER_hh_tes_in!D3/SER_hh_fec_in!D3)</f>
        <v>0.86656574654859175</v>
      </c>
      <c r="E3" s="127">
        <f>IF(SER_hh_tes_in!E3=0,"",SER_hh_tes_in!E3/SER_hh_fec_in!E3)</f>
        <v>0.86505971277810312</v>
      </c>
      <c r="F3" s="127">
        <f>IF(SER_hh_tes_in!F3=0,"",SER_hh_tes_in!F3/SER_hh_fec_in!F3)</f>
        <v>0.87429940393968297</v>
      </c>
      <c r="G3" s="127">
        <f>IF(SER_hh_tes_in!G3=0,"",SER_hh_tes_in!G3/SER_hh_fec_in!G3)</f>
        <v>0.89414448690788617</v>
      </c>
      <c r="H3" s="127">
        <f>IF(SER_hh_tes_in!H3=0,"",SER_hh_tes_in!H3/SER_hh_fec_in!H3)</f>
        <v>0.90823861883523804</v>
      </c>
      <c r="I3" s="127">
        <f>IF(SER_hh_tes_in!I3=0,"",SER_hh_tes_in!I3/SER_hh_fec_in!I3)</f>
        <v>0.97018936991977234</v>
      </c>
      <c r="J3" s="127">
        <f>IF(SER_hh_tes_in!J3=0,"",SER_hh_tes_in!J3/SER_hh_fec_in!J3)</f>
        <v>0.9627459303437027</v>
      </c>
      <c r="K3" s="127">
        <f>IF(SER_hh_tes_in!K3=0,"",SER_hh_tes_in!K3/SER_hh_fec_in!K3)</f>
        <v>0.97857813828974716</v>
      </c>
      <c r="L3" s="127">
        <f>IF(SER_hh_tes_in!L3=0,"",SER_hh_tes_in!L3/SER_hh_fec_in!L3)</f>
        <v>0.9743627716420491</v>
      </c>
      <c r="M3" s="127">
        <f>IF(SER_hh_tes_in!M3=0,"",SER_hh_tes_in!M3/SER_hh_fec_in!M3)</f>
        <v>0.98955581703226903</v>
      </c>
      <c r="N3" s="127">
        <f>IF(SER_hh_tes_in!N3=0,"",SER_hh_tes_in!N3/SER_hh_fec_in!N3)</f>
        <v>0.9782623474765848</v>
      </c>
      <c r="O3" s="127">
        <f>IF(SER_hh_tes_in!O3=0,"",SER_hh_tes_in!O3/SER_hh_fec_in!O3)</f>
        <v>0.99470663691412731</v>
      </c>
      <c r="P3" s="127">
        <f>IF(SER_hh_tes_in!P3=0,"",SER_hh_tes_in!P3/SER_hh_fec_in!P3)</f>
        <v>1.0401846043728333</v>
      </c>
      <c r="Q3" s="127">
        <f>IF(SER_hh_tes_in!Q3=0,"",SER_hh_tes_in!Q3/SER_hh_fec_in!Q3)</f>
        <v>1.0344451664928174</v>
      </c>
      <c r="R3" s="127">
        <f>IF(SER_hh_tes_in!R3=0,"",SER_hh_tes_in!R3/SER_hh_fec_in!R3)</f>
        <v>1.0406597852029851</v>
      </c>
      <c r="S3" s="127">
        <f>IF(SER_hh_tes_in!S3=0,"",SER_hh_tes_in!S3/SER_hh_fec_in!S3)</f>
        <v>1.0509612610982355</v>
      </c>
      <c r="T3" s="127">
        <f>IF(SER_hh_tes_in!T3=0,"",SER_hh_tes_in!T3/SER_hh_fec_in!T3)</f>
        <v>1.1038052600523254</v>
      </c>
      <c r="U3" s="127">
        <f>IF(SER_hh_tes_in!U3=0,"",SER_hh_tes_in!U3/SER_hh_fec_in!U3)</f>
        <v>1.1187974658715287</v>
      </c>
      <c r="V3" s="127">
        <f>IF(SER_hh_tes_in!V3=0,"",SER_hh_tes_in!V3/SER_hh_fec_in!V3)</f>
        <v>1.1548005464040509</v>
      </c>
      <c r="W3" s="127">
        <f>IF(SER_hh_tes_in!W3=0,"",SER_hh_tes_in!W3/SER_hh_fec_in!W3)</f>
        <v>1.1320675884779858</v>
      </c>
      <c r="DA3" s="162" t="s">
        <v>661</v>
      </c>
    </row>
    <row r="4" spans="1:105" ht="12.95" customHeight="1" x14ac:dyDescent="0.25">
      <c r="A4" s="130" t="s">
        <v>32</v>
      </c>
      <c r="B4" s="136"/>
      <c r="C4" s="136">
        <f>IF(SER_hh_tes_in!C4=0,"",SER_hh_tes_in!C4/SER_hh_fec_in!C4)</f>
        <v>0.76695808762748885</v>
      </c>
      <c r="D4" s="136">
        <f>IF(SER_hh_tes_in!D4=0,"",SER_hh_tes_in!D4/SER_hh_fec_in!D4)</f>
        <v>0.73889562655181718</v>
      </c>
      <c r="E4" s="136">
        <f>IF(SER_hh_tes_in!E4=0,"",SER_hh_tes_in!E4/SER_hh_fec_in!E4)</f>
        <v>0.73878386335538193</v>
      </c>
      <c r="F4" s="136">
        <f>IF(SER_hh_tes_in!F4=0,"",SER_hh_tes_in!F4/SER_hh_fec_in!F4)</f>
        <v>0.7432852564204222</v>
      </c>
      <c r="G4" s="136">
        <f>IF(SER_hh_tes_in!G4=0,"",SER_hh_tes_in!G4/SER_hh_fec_in!G4)</f>
        <v>0.75899057316992324</v>
      </c>
      <c r="H4" s="136">
        <f>IF(SER_hh_tes_in!H4=0,"",SER_hh_tes_in!H4/SER_hh_fec_in!H4)</f>
        <v>0.76933895459907442</v>
      </c>
      <c r="I4" s="136">
        <f>IF(SER_hh_tes_in!I4=0,"",SER_hh_tes_in!I4/SER_hh_fec_in!I4)</f>
        <v>0.83000126424571574</v>
      </c>
      <c r="J4" s="136">
        <f>IF(SER_hh_tes_in!J4=0,"",SER_hh_tes_in!J4/SER_hh_fec_in!J4)</f>
        <v>0.81509161544125508</v>
      </c>
      <c r="K4" s="136">
        <f>IF(SER_hh_tes_in!K4=0,"",SER_hh_tes_in!K4/SER_hh_fec_in!K4)</f>
        <v>0.82305941992142984</v>
      </c>
      <c r="L4" s="136">
        <f>IF(SER_hh_tes_in!L4=0,"",SER_hh_tes_in!L4/SER_hh_fec_in!L4)</f>
        <v>0.82213187341439986</v>
      </c>
      <c r="M4" s="136">
        <f>IF(SER_hh_tes_in!M4=0,"",SER_hh_tes_in!M4/SER_hh_fec_in!M4)</f>
        <v>0.81332543725599349</v>
      </c>
      <c r="N4" s="136">
        <f>IF(SER_hh_tes_in!N4=0,"",SER_hh_tes_in!N4/SER_hh_fec_in!N4)</f>
        <v>0.80173617641388051</v>
      </c>
      <c r="O4" s="136">
        <f>IF(SER_hh_tes_in!O4=0,"",SER_hh_tes_in!O4/SER_hh_fec_in!O4)</f>
        <v>0.81427318782376812</v>
      </c>
      <c r="P4" s="136">
        <f>IF(SER_hh_tes_in!P4=0,"",SER_hh_tes_in!P4/SER_hh_fec_in!P4)</f>
        <v>0.84236124944899438</v>
      </c>
      <c r="Q4" s="136">
        <f>IF(SER_hh_tes_in!Q4=0,"",SER_hh_tes_in!Q4/SER_hh_fec_in!Q4)</f>
        <v>0.8470506858677187</v>
      </c>
      <c r="R4" s="136">
        <f>IF(SER_hh_tes_in!R4=0,"",SER_hh_tes_in!R4/SER_hh_fec_in!R4)</f>
        <v>0.84747144588344947</v>
      </c>
      <c r="S4" s="136">
        <f>IF(SER_hh_tes_in!S4=0,"",SER_hh_tes_in!S4/SER_hh_fec_in!S4)</f>
        <v>0.85348714191600361</v>
      </c>
      <c r="T4" s="136">
        <f>IF(SER_hh_tes_in!T4=0,"",SER_hh_tes_in!T4/SER_hh_fec_in!T4)</f>
        <v>0.88504609328804407</v>
      </c>
      <c r="U4" s="136">
        <f>IF(SER_hh_tes_in!U4=0,"",SER_hh_tes_in!U4/SER_hh_fec_in!U4)</f>
        <v>0.89987737887680341</v>
      </c>
      <c r="V4" s="136">
        <f>IF(SER_hh_tes_in!V4=0,"",SER_hh_tes_in!V4/SER_hh_fec_in!V4)</f>
        <v>0.91558482664852148</v>
      </c>
      <c r="W4" s="136">
        <f>IF(SER_hh_tes_in!W4=0,"",SER_hh_tes_in!W4/SER_hh_fec_in!W4)</f>
        <v>0.92746873318308209</v>
      </c>
      <c r="DA4" s="163" t="s">
        <v>662</v>
      </c>
    </row>
    <row r="5" spans="1:105" ht="12" customHeight="1" x14ac:dyDescent="0.25">
      <c r="A5" s="132" t="s">
        <v>29</v>
      </c>
      <c r="B5" s="137"/>
      <c r="C5" s="137" t="str">
        <f>IF(SER_hh_tes_in!C5=0,"",SER_hh_tes_in!C5/SER_hh_fec_in!C5)</f>
        <v/>
      </c>
      <c r="D5" s="137" t="str">
        <f>IF(SER_hh_tes_in!D5=0,"",SER_hh_tes_in!D5/SER_hh_fec_in!D5)</f>
        <v/>
      </c>
      <c r="E5" s="137" t="str">
        <f>IF(SER_hh_tes_in!E5=0,"",SER_hh_tes_in!E5/SER_hh_fec_in!E5)</f>
        <v/>
      </c>
      <c r="F5" s="137" t="str">
        <f>IF(SER_hh_tes_in!F5=0,"",SER_hh_tes_in!F5/SER_hh_fec_in!F5)</f>
        <v/>
      </c>
      <c r="G5" s="137" t="str">
        <f>IF(SER_hh_tes_in!G5=0,"",SER_hh_tes_in!G5/SER_hh_fec_in!G5)</f>
        <v/>
      </c>
      <c r="H5" s="137" t="str">
        <f>IF(SER_hh_tes_in!H5=0,"",SER_hh_tes_in!H5/SER_hh_fec_in!H5)</f>
        <v/>
      </c>
      <c r="I5" s="137" t="str">
        <f>IF(SER_hh_tes_in!I5=0,"",SER_hh_tes_in!I5/SER_hh_fec_in!I5)</f>
        <v/>
      </c>
      <c r="J5" s="137" t="str">
        <f>IF(SER_hh_tes_in!J5=0,"",SER_hh_tes_in!J5/SER_hh_fec_in!J5)</f>
        <v/>
      </c>
      <c r="K5" s="137" t="str">
        <f>IF(SER_hh_tes_in!K5=0,"",SER_hh_tes_in!K5/SER_hh_fec_in!K5)</f>
        <v/>
      </c>
      <c r="L5" s="137" t="str">
        <f>IF(SER_hh_tes_in!L5=0,"",SER_hh_tes_in!L5/SER_hh_fec_in!L5)</f>
        <v/>
      </c>
      <c r="M5" s="137" t="str">
        <f>IF(SER_hh_tes_in!M5=0,"",SER_hh_tes_in!M5/SER_hh_fec_in!M5)</f>
        <v/>
      </c>
      <c r="N5" s="137" t="str">
        <f>IF(SER_hh_tes_in!N5=0,"",SER_hh_tes_in!N5/SER_hh_fec_in!N5)</f>
        <v/>
      </c>
      <c r="O5" s="137" t="str">
        <f>IF(SER_hh_tes_in!O5=0,"",SER_hh_tes_in!O5/SER_hh_fec_in!O5)</f>
        <v/>
      </c>
      <c r="P5" s="137" t="str">
        <f>IF(SER_hh_tes_in!P5=0,"",SER_hh_tes_in!P5/SER_hh_fec_in!P5)</f>
        <v/>
      </c>
      <c r="Q5" s="137" t="str">
        <f>IF(SER_hh_tes_in!Q5=0,"",SER_hh_tes_in!Q5/SER_hh_fec_in!Q5)</f>
        <v/>
      </c>
      <c r="R5" s="137" t="str">
        <f>IF(SER_hh_tes_in!R5=0,"",SER_hh_tes_in!R5/SER_hh_fec_in!R5)</f>
        <v/>
      </c>
      <c r="S5" s="137" t="str">
        <f>IF(SER_hh_tes_in!S5=0,"",SER_hh_tes_in!S5/SER_hh_fec_in!S5)</f>
        <v/>
      </c>
      <c r="T5" s="137" t="str">
        <f>IF(SER_hh_tes_in!T5=0,"",SER_hh_tes_in!T5/SER_hh_fec_in!T5)</f>
        <v/>
      </c>
      <c r="U5" s="137" t="str">
        <f>IF(SER_hh_tes_in!U5=0,"",SER_hh_tes_in!U5/SER_hh_fec_in!U5)</f>
        <v/>
      </c>
      <c r="V5" s="137" t="str">
        <f>IF(SER_hh_tes_in!V5=0,"",SER_hh_tes_in!V5/SER_hh_fec_in!V5)</f>
        <v/>
      </c>
      <c r="W5" s="137" t="str">
        <f>IF(SER_hh_tes_in!W5=0,"",SER_hh_tes_in!W5/SER_hh_fec_in!W5)</f>
        <v/>
      </c>
      <c r="DA5" s="164" t="s">
        <v>663</v>
      </c>
    </row>
    <row r="6" spans="1:105" ht="12" customHeight="1" x14ac:dyDescent="0.25">
      <c r="A6" s="132" t="s">
        <v>52</v>
      </c>
      <c r="B6" s="137"/>
      <c r="C6" s="137" t="str">
        <f>IF(SER_hh_tes_in!C6=0,"",SER_hh_tes_in!C6/SER_hh_fec_in!C6)</f>
        <v/>
      </c>
      <c r="D6" s="137" t="str">
        <f>IF(SER_hh_tes_in!D6=0,"",SER_hh_tes_in!D6/SER_hh_fec_in!D6)</f>
        <v/>
      </c>
      <c r="E6" s="137" t="str">
        <f>IF(SER_hh_tes_in!E6=0,"",SER_hh_tes_in!E6/SER_hh_fec_in!E6)</f>
        <v/>
      </c>
      <c r="F6" s="137" t="str">
        <f>IF(SER_hh_tes_in!F6=0,"",SER_hh_tes_in!F6/SER_hh_fec_in!F6)</f>
        <v/>
      </c>
      <c r="G6" s="137" t="str">
        <f>IF(SER_hh_tes_in!G6=0,"",SER_hh_tes_in!G6/SER_hh_fec_in!G6)</f>
        <v/>
      </c>
      <c r="H6" s="137" t="str">
        <f>IF(SER_hh_tes_in!H6=0,"",SER_hh_tes_in!H6/SER_hh_fec_in!H6)</f>
        <v/>
      </c>
      <c r="I6" s="137" t="str">
        <f>IF(SER_hh_tes_in!I6=0,"",SER_hh_tes_in!I6/SER_hh_fec_in!I6)</f>
        <v/>
      </c>
      <c r="J6" s="137" t="str">
        <f>IF(SER_hh_tes_in!J6=0,"",SER_hh_tes_in!J6/SER_hh_fec_in!J6)</f>
        <v/>
      </c>
      <c r="K6" s="137" t="str">
        <f>IF(SER_hh_tes_in!K6=0,"",SER_hh_tes_in!K6/SER_hh_fec_in!K6)</f>
        <v/>
      </c>
      <c r="L6" s="137" t="str">
        <f>IF(SER_hh_tes_in!L6=0,"",SER_hh_tes_in!L6/SER_hh_fec_in!L6)</f>
        <v/>
      </c>
      <c r="M6" s="137" t="str">
        <f>IF(SER_hh_tes_in!M6=0,"",SER_hh_tes_in!M6/SER_hh_fec_in!M6)</f>
        <v/>
      </c>
      <c r="N6" s="137" t="str">
        <f>IF(SER_hh_tes_in!N6=0,"",SER_hh_tes_in!N6/SER_hh_fec_in!N6)</f>
        <v/>
      </c>
      <c r="O6" s="137" t="str">
        <f>IF(SER_hh_tes_in!O6=0,"",SER_hh_tes_in!O6/SER_hh_fec_in!O6)</f>
        <v/>
      </c>
      <c r="P6" s="137" t="str">
        <f>IF(SER_hh_tes_in!P6=0,"",SER_hh_tes_in!P6/SER_hh_fec_in!P6)</f>
        <v/>
      </c>
      <c r="Q6" s="137" t="str">
        <f>IF(SER_hh_tes_in!Q6=0,"",SER_hh_tes_in!Q6/SER_hh_fec_in!Q6)</f>
        <v/>
      </c>
      <c r="R6" s="137" t="str">
        <f>IF(SER_hh_tes_in!R6=0,"",SER_hh_tes_in!R6/SER_hh_fec_in!R6)</f>
        <v/>
      </c>
      <c r="S6" s="137" t="str">
        <f>IF(SER_hh_tes_in!S6=0,"",SER_hh_tes_in!S6/SER_hh_fec_in!S6)</f>
        <v/>
      </c>
      <c r="T6" s="137" t="str">
        <f>IF(SER_hh_tes_in!T6=0,"",SER_hh_tes_in!T6/SER_hh_fec_in!T6)</f>
        <v/>
      </c>
      <c r="U6" s="137" t="str">
        <f>IF(SER_hh_tes_in!U6=0,"",SER_hh_tes_in!U6/SER_hh_fec_in!U6)</f>
        <v/>
      </c>
      <c r="V6" s="137" t="str">
        <f>IF(SER_hh_tes_in!V6=0,"",SER_hh_tes_in!V6/SER_hh_fec_in!V6)</f>
        <v/>
      </c>
      <c r="W6" s="137" t="str">
        <f>IF(SER_hh_tes_in!W6=0,"",SER_hh_tes_in!W6/SER_hh_fec_in!W6)</f>
        <v/>
      </c>
      <c r="DA6" s="164" t="s">
        <v>664</v>
      </c>
    </row>
    <row r="7" spans="1:105" ht="12" customHeight="1" x14ac:dyDescent="0.25">
      <c r="A7" s="132" t="s">
        <v>168</v>
      </c>
      <c r="B7" s="137"/>
      <c r="C7" s="137">
        <f>IF(SER_hh_tes_in!C7=0,"",SER_hh_tes_in!C7/SER_hh_fec_in!C7)</f>
        <v>0.52669124065762885</v>
      </c>
      <c r="D7" s="137">
        <f>IF(SER_hh_tes_in!D7=0,"",SER_hh_tes_in!D7/SER_hh_fec_in!D7)</f>
        <v>0.53367070399620609</v>
      </c>
      <c r="E7" s="137">
        <f>IF(SER_hh_tes_in!E7=0,"",SER_hh_tes_in!E7/SER_hh_fec_in!E7)</f>
        <v>0.54089792344877397</v>
      </c>
      <c r="F7" s="137">
        <f>IF(SER_hh_tes_in!F7=0,"",SER_hh_tes_in!F7/SER_hh_fec_in!F7)</f>
        <v>0.54809069839649216</v>
      </c>
      <c r="G7" s="137">
        <f>IF(SER_hh_tes_in!G7=0,"",SER_hh_tes_in!G7/SER_hh_fec_in!G7)</f>
        <v>0.55549466391180746</v>
      </c>
      <c r="H7" s="137">
        <f>IF(SER_hh_tes_in!H7=0,"",SER_hh_tes_in!H7/SER_hh_fec_in!H7)</f>
        <v>0.56307235877552986</v>
      </c>
      <c r="I7" s="137">
        <f>IF(SER_hh_tes_in!I7=0,"",SER_hh_tes_in!I7/SER_hh_fec_in!I7)</f>
        <v>0.57087683692059132</v>
      </c>
      <c r="J7" s="137">
        <f>IF(SER_hh_tes_in!J7=0,"",SER_hh_tes_in!J7/SER_hh_fec_in!J7)</f>
        <v>0.57914256713524459</v>
      </c>
      <c r="K7" s="137">
        <f>IF(SER_hh_tes_in!K7=0,"",SER_hh_tes_in!K7/SER_hh_fec_in!K7)</f>
        <v>0.58805967861785979</v>
      </c>
      <c r="L7" s="137">
        <f>IF(SER_hh_tes_in!L7=0,"",SER_hh_tes_in!L7/SER_hh_fec_in!L7)</f>
        <v>0.59766290976489755</v>
      </c>
      <c r="M7" s="137">
        <f>IF(SER_hh_tes_in!M7=0,"",SER_hh_tes_in!M7/SER_hh_fec_in!M7)</f>
        <v>0.61305698639222783</v>
      </c>
      <c r="N7" s="137">
        <f>IF(SER_hh_tes_in!N7=0,"",SER_hh_tes_in!N7/SER_hh_fec_in!N7)</f>
        <v>0.63573034308037668</v>
      </c>
      <c r="O7" s="137">
        <f>IF(SER_hh_tes_in!O7=0,"",SER_hh_tes_in!O7/SER_hh_fec_in!O7)</f>
        <v>0.666525325004795</v>
      </c>
      <c r="P7" s="137">
        <f>IF(SER_hh_tes_in!P7=0,"",SER_hh_tes_in!P7/SER_hh_fec_in!P7)</f>
        <v>0.70182753492666083</v>
      </c>
      <c r="Q7" s="137">
        <f>IF(SER_hh_tes_in!Q7=0,"",SER_hh_tes_in!Q7/SER_hh_fec_in!Q7)</f>
        <v>0.73104377692110334</v>
      </c>
      <c r="R7" s="137">
        <f>IF(SER_hh_tes_in!R7=0,"",SER_hh_tes_in!R7/SER_hh_fec_in!R7)</f>
        <v>0.74533427859457957</v>
      </c>
      <c r="S7" s="137" t="str">
        <f>IF(SER_hh_tes_in!S7=0,"",SER_hh_tes_in!S7/SER_hh_fec_in!S7)</f>
        <v/>
      </c>
      <c r="T7" s="137">
        <f>IF(SER_hh_tes_in!T7=0,"",SER_hh_tes_in!T7/SER_hh_fec_in!T7)</f>
        <v>0.76304945145270442</v>
      </c>
      <c r="U7" s="137" t="str">
        <f>IF(SER_hh_tes_in!U7=0,"",SER_hh_tes_in!U7/SER_hh_fec_in!U7)</f>
        <v/>
      </c>
      <c r="V7" s="137" t="str">
        <f>IF(SER_hh_tes_in!V7=0,"",SER_hh_tes_in!V7/SER_hh_fec_in!V7)</f>
        <v/>
      </c>
      <c r="W7" s="137" t="str">
        <f>IF(SER_hh_tes_in!W7=0,"",SER_hh_tes_in!W7/SER_hh_fec_in!W7)</f>
        <v/>
      </c>
      <c r="DA7" s="164" t="s">
        <v>665</v>
      </c>
    </row>
    <row r="8" spans="1:105" ht="12" customHeight="1" x14ac:dyDescent="0.25">
      <c r="A8" s="132" t="s">
        <v>73</v>
      </c>
      <c r="B8" s="137"/>
      <c r="C8" s="137">
        <f>IF(SER_hh_tes_in!C8=0,"",SER_hh_tes_in!C8/SER_hh_fec_in!C8)</f>
        <v>1.3139694861267233</v>
      </c>
      <c r="D8" s="137">
        <f>IF(SER_hh_tes_in!D8=0,"",SER_hh_tes_in!D8/SER_hh_fec_in!D8)</f>
        <v>1.3739937651167111</v>
      </c>
      <c r="E8" s="137">
        <f>IF(SER_hh_tes_in!E8=0,"",SER_hh_tes_in!E8/SER_hh_fec_in!E8)</f>
        <v>1.4355414882652695</v>
      </c>
      <c r="F8" s="137">
        <f>IF(SER_hh_tes_in!F8=0,"",SER_hh_tes_in!F8/SER_hh_fec_in!F8)</f>
        <v>1.4983351939681984</v>
      </c>
      <c r="G8" s="137">
        <f>IF(SER_hh_tes_in!G8=0,"",SER_hh_tes_in!G8/SER_hh_fec_in!G8)</f>
        <v>1.5625977962742361</v>
      </c>
      <c r="H8" s="137">
        <f>IF(SER_hh_tes_in!H8=0,"",SER_hh_tes_in!H8/SER_hh_fec_in!H8)</f>
        <v>1.6282830621937965</v>
      </c>
      <c r="I8" s="137">
        <f>IF(SER_hh_tes_in!I8=0,"",SER_hh_tes_in!I8/SER_hh_fec_in!I8)</f>
        <v>1.6954287147145977</v>
      </c>
      <c r="J8" s="137">
        <f>IF(SER_hh_tes_in!J8=0,"",SER_hh_tes_in!J8/SER_hh_fec_in!J8)</f>
        <v>1.7642351508178711</v>
      </c>
      <c r="K8" s="137">
        <f>IF(SER_hh_tes_in!K8=0,"",SER_hh_tes_in!K8/SER_hh_fec_in!K8)</f>
        <v>1.8348537304204016</v>
      </c>
      <c r="L8" s="137">
        <f>IF(SER_hh_tes_in!L8=0,"",SER_hh_tes_in!L8/SER_hh_fec_in!L8)</f>
        <v>1.9072885082135789</v>
      </c>
      <c r="M8" s="137">
        <f>IF(SER_hh_tes_in!M8=0,"",SER_hh_tes_in!M8/SER_hh_fec_in!M8)</f>
        <v>1.9872324851285863</v>
      </c>
      <c r="N8" s="137">
        <f>IF(SER_hh_tes_in!N8=0,"",SER_hh_tes_in!N8/SER_hh_fec_in!N8)</f>
        <v>2.0761867553247173</v>
      </c>
      <c r="O8" s="137">
        <f>IF(SER_hh_tes_in!O8=0,"",SER_hh_tes_in!O8/SER_hh_fec_in!O8)</f>
        <v>2.17343428204927</v>
      </c>
      <c r="P8" s="137">
        <f>IF(SER_hh_tes_in!P8=0,"",SER_hh_tes_in!P8/SER_hh_fec_in!P8)</f>
        <v>2.2715319706266137</v>
      </c>
      <c r="Q8" s="137">
        <f>IF(SER_hh_tes_in!Q8=0,"",SER_hh_tes_in!Q8/SER_hh_fec_in!Q8)</f>
        <v>2.352064517744064</v>
      </c>
      <c r="R8" s="137">
        <f>IF(SER_hh_tes_in!R8=0,"",SER_hh_tes_in!R8/SER_hh_fec_in!R8)</f>
        <v>2.391779989747465</v>
      </c>
      <c r="S8" s="137">
        <f>IF(SER_hh_tes_in!S8=0,"",SER_hh_tes_in!S8/SER_hh_fec_in!S8)</f>
        <v>2.4173340993131993</v>
      </c>
      <c r="T8" s="137">
        <f>IF(SER_hh_tes_in!T8=0,"",SER_hh_tes_in!T8/SER_hh_fec_in!T8)</f>
        <v>2.4340853466218357</v>
      </c>
      <c r="U8" s="137">
        <f>IF(SER_hh_tes_in!U8=0,"",SER_hh_tes_in!U8/SER_hh_fec_in!U8)</f>
        <v>2.447485066158507</v>
      </c>
      <c r="V8" s="137">
        <f>IF(SER_hh_tes_in!V8=0,"",SER_hh_tes_in!V8/SER_hh_fec_in!V8)</f>
        <v>2.4631374462829339</v>
      </c>
      <c r="W8" s="137">
        <f>IF(SER_hh_tes_in!W8=0,"",SER_hh_tes_in!W8/SER_hh_fec_in!W8)</f>
        <v>2.4804264783165499</v>
      </c>
      <c r="DA8" s="164" t="s">
        <v>666</v>
      </c>
    </row>
    <row r="9" spans="1:105" ht="12" customHeight="1" x14ac:dyDescent="0.25">
      <c r="A9" s="132" t="s">
        <v>78</v>
      </c>
      <c r="B9" s="137"/>
      <c r="C9" s="137">
        <f>IF(SER_hh_tes_in!C9=0,"",SER_hh_tes_in!C9/SER_hh_fec_in!C9)</f>
        <v>0.60152156066110773</v>
      </c>
      <c r="D9" s="137">
        <f>IF(SER_hh_tes_in!D9=0,"",SER_hh_tes_in!D9/SER_hh_fec_in!D9)</f>
        <v>0.60991317443550896</v>
      </c>
      <c r="E9" s="137">
        <f>IF(SER_hh_tes_in!E9=0,"",SER_hh_tes_in!E9/SER_hh_fec_in!E9)</f>
        <v>0.61830751558903019</v>
      </c>
      <c r="F9" s="137">
        <f>IF(SER_hh_tes_in!F9=0,"",SER_hh_tes_in!F9/SER_hh_fec_in!F9)</f>
        <v>0.62659826920936057</v>
      </c>
      <c r="G9" s="137">
        <f>IF(SER_hh_tes_in!G9=0,"",SER_hh_tes_in!G9/SER_hh_fec_in!G9)</f>
        <v>0.63488348998857302</v>
      </c>
      <c r="H9" s="137">
        <f>IF(SER_hh_tes_in!H9=0,"",SER_hh_tes_in!H9/SER_hh_fec_in!H9)</f>
        <v>0.64315219386983269</v>
      </c>
      <c r="I9" s="137">
        <f>IF(SER_hh_tes_in!I9=0,"",SER_hh_tes_in!I9/SER_hh_fec_in!I9)</f>
        <v>0.65142957006661528</v>
      </c>
      <c r="J9" s="137">
        <f>IF(SER_hh_tes_in!J9=0,"",SER_hh_tes_in!J9/SER_hh_fec_in!J9)</f>
        <v>0.65981645646650366</v>
      </c>
      <c r="K9" s="137">
        <f>IF(SER_hh_tes_in!K9=0,"",SER_hh_tes_in!K9/SER_hh_fec_in!K9)</f>
        <v>0.66839987407301016</v>
      </c>
      <c r="L9" s="137">
        <f>IF(SER_hh_tes_in!L9=0,"",SER_hh_tes_in!L9/SER_hh_fec_in!L9)</f>
        <v>0.67720535111063684</v>
      </c>
      <c r="M9" s="137">
        <f>IF(SER_hh_tes_in!M9=0,"",SER_hh_tes_in!M9/SER_hh_fec_in!M9)</f>
        <v>0.68846089232596031</v>
      </c>
      <c r="N9" s="137">
        <f>IF(SER_hh_tes_in!N9=0,"",SER_hh_tes_in!N9/SER_hh_fec_in!N9)</f>
        <v>0.70290420077109661</v>
      </c>
      <c r="O9" s="137">
        <f>IF(SER_hh_tes_in!O9=0,"",SER_hh_tes_in!O9/SER_hh_fec_in!O9)</f>
        <v>0.7209617171759769</v>
      </c>
      <c r="P9" s="137">
        <f>IF(SER_hh_tes_in!P9=0,"",SER_hh_tes_in!P9/SER_hh_fec_in!P9)</f>
        <v>0.74101663380366045</v>
      </c>
      <c r="Q9" s="137">
        <f>IF(SER_hh_tes_in!Q9=0,"",SER_hh_tes_in!Q9/SER_hh_fec_in!Q9)</f>
        <v>0.75802199164479278</v>
      </c>
      <c r="R9" s="137">
        <f>IF(SER_hh_tes_in!R9=0,"",SER_hh_tes_in!R9/SER_hh_fec_in!R9)</f>
        <v>0.76768734701480323</v>
      </c>
      <c r="S9" s="137">
        <f>IF(SER_hh_tes_in!S9=0,"",SER_hh_tes_in!S9/SER_hh_fec_in!S9)</f>
        <v>0.77514845465915216</v>
      </c>
      <c r="T9" s="137">
        <f>IF(SER_hh_tes_in!T9=0,"",SER_hh_tes_in!T9/SER_hh_fec_in!T9)</f>
        <v>0.78109412621840235</v>
      </c>
      <c r="U9" s="137">
        <f>IF(SER_hh_tes_in!U9=0,"",SER_hh_tes_in!U9/SER_hh_fec_in!U9)</f>
        <v>0.78604472488200816</v>
      </c>
      <c r="V9" s="137">
        <f>IF(SER_hh_tes_in!V9=0,"",SER_hh_tes_in!V9/SER_hh_fec_in!V9)</f>
        <v>0.79034249508058041</v>
      </c>
      <c r="W9" s="137">
        <f>IF(SER_hh_tes_in!W9=0,"",SER_hh_tes_in!W9/SER_hh_fec_in!W9)</f>
        <v>0.79331583568141095</v>
      </c>
      <c r="DA9" s="164" t="s">
        <v>667</v>
      </c>
    </row>
    <row r="10" spans="1:105" ht="12" customHeight="1" x14ac:dyDescent="0.25">
      <c r="A10" s="132" t="s">
        <v>128</v>
      </c>
      <c r="B10" s="137"/>
      <c r="C10" s="137">
        <f>IF(SER_hh_tes_in!C10=0,"",SER_hh_tes_in!C10/SER_hh_fec_in!C10)</f>
        <v>0.55693481925842359</v>
      </c>
      <c r="D10" s="137">
        <f>IF(SER_hh_tes_in!D10=0,"",SER_hh_tes_in!D10/SER_hh_fec_in!D10)</f>
        <v>0.55721408761829416</v>
      </c>
      <c r="E10" s="137">
        <f>IF(SER_hh_tes_in!E10=0,"",SER_hh_tes_in!E10/SER_hh_fec_in!E10)</f>
        <v>0.55749601083619238</v>
      </c>
      <c r="F10" s="137">
        <f>IF(SER_hh_tes_in!F10=0,"",SER_hh_tes_in!F10/SER_hh_fec_in!F10)</f>
        <v>0.55778031789962546</v>
      </c>
      <c r="G10" s="137">
        <f>IF(SER_hh_tes_in!G10=0,"",SER_hh_tes_in!G10/SER_hh_fec_in!G10)</f>
        <v>0.55806673940650486</v>
      </c>
      <c r="H10" s="137">
        <f>IF(SER_hh_tes_in!H10=0,"",SER_hh_tes_in!H10/SER_hh_fec_in!H10)</f>
        <v>0.5583549543851869</v>
      </c>
      <c r="I10" s="137">
        <f>IF(SER_hh_tes_in!I10=0,"",SER_hh_tes_in!I10/SER_hh_fec_in!I10)</f>
        <v>0.55864454078072634</v>
      </c>
      <c r="J10" s="137" t="str">
        <f>IF(SER_hh_tes_in!J10=0,"",SER_hh_tes_in!J10/SER_hh_fec_in!J10)</f>
        <v/>
      </c>
      <c r="K10" s="137" t="str">
        <f>IF(SER_hh_tes_in!K10=0,"",SER_hh_tes_in!K10/SER_hh_fec_in!K10)</f>
        <v/>
      </c>
      <c r="L10" s="137">
        <f>IF(SER_hh_tes_in!L10=0,"",SER_hh_tes_in!L10/SER_hh_fec_in!L10)</f>
        <v>0.55951138854706306</v>
      </c>
      <c r="M10" s="137">
        <f>IF(SER_hh_tes_in!M10=0,"",SER_hh_tes_in!M10/SER_hh_fec_in!M10)</f>
        <v>0.55977615965161009</v>
      </c>
      <c r="N10" s="137">
        <f>IF(SER_hh_tes_in!N10=0,"",SER_hh_tes_in!N10/SER_hh_fec_in!N10)</f>
        <v>0.5600069809154169</v>
      </c>
      <c r="O10" s="137">
        <f>IF(SER_hh_tes_in!O10=0,"",SER_hh_tes_in!O10/SER_hh_fec_in!O10)</f>
        <v>0.5601977790712237</v>
      </c>
      <c r="P10" s="137">
        <f>IF(SER_hh_tes_in!P10=0,"",SER_hh_tes_in!P10/SER_hh_fec_in!P10)</f>
        <v>0.5603649007640723</v>
      </c>
      <c r="Q10" s="137">
        <f>IF(SER_hh_tes_in!Q10=0,"",SER_hh_tes_in!Q10/SER_hh_fec_in!Q10)</f>
        <v>0.56056386280985404</v>
      </c>
      <c r="R10" s="137">
        <f>IF(SER_hh_tes_in!R10=0,"",SER_hh_tes_in!R10/SER_hh_fec_in!R10)</f>
        <v>0.5608572260636675</v>
      </c>
      <c r="S10" s="137">
        <f>IF(SER_hh_tes_in!S10=0,"",SER_hh_tes_in!S10/SER_hh_fec_in!S10)</f>
        <v>0.56118601914356259</v>
      </c>
      <c r="T10" s="137">
        <f>IF(SER_hh_tes_in!T10=0,"",SER_hh_tes_in!T10/SER_hh_fec_in!T10)</f>
        <v>0.56151640705365169</v>
      </c>
      <c r="U10" s="137">
        <f>IF(SER_hh_tes_in!U10=0,"",SER_hh_tes_in!U10/SER_hh_fec_in!U10)</f>
        <v>0.56182073873181892</v>
      </c>
      <c r="V10" s="137">
        <f>IF(SER_hh_tes_in!V10=0,"",SER_hh_tes_in!V10/SER_hh_fec_in!V10)</f>
        <v>0.5620758376304964</v>
      </c>
      <c r="W10" s="137" t="str">
        <f>IF(SER_hh_tes_in!W10=0,"",SER_hh_tes_in!W10/SER_hh_fec_in!W10)</f>
        <v/>
      </c>
      <c r="DA10" s="164" t="s">
        <v>668</v>
      </c>
    </row>
    <row r="11" spans="1:105" ht="12" customHeight="1" x14ac:dyDescent="0.25">
      <c r="A11" s="132" t="s">
        <v>25</v>
      </c>
      <c r="B11" s="137"/>
      <c r="C11" s="137" t="str">
        <f>IF(SER_hh_tes_in!C11=0,"",SER_hh_tes_in!C11/SER_hh_fec_in!C11)</f>
        <v/>
      </c>
      <c r="D11" s="137" t="str">
        <f>IF(SER_hh_tes_in!D11=0,"",SER_hh_tes_in!D11/SER_hh_fec_in!D11)</f>
        <v/>
      </c>
      <c r="E11" s="137" t="str">
        <f>IF(SER_hh_tes_in!E11=0,"",SER_hh_tes_in!E11/SER_hh_fec_in!E11)</f>
        <v/>
      </c>
      <c r="F11" s="137" t="str">
        <f>IF(SER_hh_tes_in!F11=0,"",SER_hh_tes_in!F11/SER_hh_fec_in!F11)</f>
        <v/>
      </c>
      <c r="G11" s="137" t="str">
        <f>IF(SER_hh_tes_in!G11=0,"",SER_hh_tes_in!G11/SER_hh_fec_in!G11)</f>
        <v/>
      </c>
      <c r="H11" s="137" t="str">
        <f>IF(SER_hh_tes_in!H11=0,"",SER_hh_tes_in!H11/SER_hh_fec_in!H11)</f>
        <v/>
      </c>
      <c r="I11" s="137" t="str">
        <f>IF(SER_hh_tes_in!I11=0,"",SER_hh_tes_in!I11/SER_hh_fec_in!I11)</f>
        <v/>
      </c>
      <c r="J11" s="137" t="str">
        <f>IF(SER_hh_tes_in!J11=0,"",SER_hh_tes_in!J11/SER_hh_fec_in!J11)</f>
        <v/>
      </c>
      <c r="K11" s="137" t="str">
        <f>IF(SER_hh_tes_in!K11=0,"",SER_hh_tes_in!K11/SER_hh_fec_in!K11)</f>
        <v/>
      </c>
      <c r="L11" s="137" t="str">
        <f>IF(SER_hh_tes_in!L11=0,"",SER_hh_tes_in!L11/SER_hh_fec_in!L11)</f>
        <v/>
      </c>
      <c r="M11" s="137" t="str">
        <f>IF(SER_hh_tes_in!M11=0,"",SER_hh_tes_in!M11/SER_hh_fec_in!M11)</f>
        <v/>
      </c>
      <c r="N11" s="137" t="str">
        <f>IF(SER_hh_tes_in!N11=0,"",SER_hh_tes_in!N11/SER_hh_fec_in!N11)</f>
        <v/>
      </c>
      <c r="O11" s="137" t="str">
        <f>IF(SER_hh_tes_in!O11=0,"",SER_hh_tes_in!O11/SER_hh_fec_in!O11)</f>
        <v/>
      </c>
      <c r="P11" s="137" t="str">
        <f>IF(SER_hh_tes_in!P11=0,"",SER_hh_tes_in!P11/SER_hh_fec_in!P11)</f>
        <v/>
      </c>
      <c r="Q11" s="137" t="str">
        <f>IF(SER_hh_tes_in!Q11=0,"",SER_hh_tes_in!Q11/SER_hh_fec_in!Q11)</f>
        <v/>
      </c>
      <c r="R11" s="137" t="str">
        <f>IF(SER_hh_tes_in!R11=0,"",SER_hh_tes_in!R11/SER_hh_fec_in!R11)</f>
        <v/>
      </c>
      <c r="S11" s="137" t="str">
        <f>IF(SER_hh_tes_in!S11=0,"",SER_hh_tes_in!S11/SER_hh_fec_in!S11)</f>
        <v/>
      </c>
      <c r="T11" s="137" t="str">
        <f>IF(SER_hh_tes_in!T11=0,"",SER_hh_tes_in!T11/SER_hh_fec_in!T11)</f>
        <v/>
      </c>
      <c r="U11" s="137" t="str">
        <f>IF(SER_hh_tes_in!U11=0,"",SER_hh_tes_in!U11/SER_hh_fec_in!U11)</f>
        <v/>
      </c>
      <c r="V11" s="137" t="str">
        <f>IF(SER_hh_tes_in!V11=0,"",SER_hh_tes_in!V11/SER_hh_fec_in!V11)</f>
        <v/>
      </c>
      <c r="W11" s="137" t="str">
        <f>IF(SER_hh_tes_in!W11=0,"",SER_hh_tes_in!W11/SER_hh_fec_in!W11)</f>
        <v/>
      </c>
      <c r="DA11" s="164" t="s">
        <v>669</v>
      </c>
    </row>
    <row r="12" spans="1:105" ht="12" customHeight="1" x14ac:dyDescent="0.25">
      <c r="A12" s="132" t="s">
        <v>169</v>
      </c>
      <c r="B12" s="137"/>
      <c r="C12" s="137">
        <f>IF(SER_hh_tes_in!C12=0,"",SER_hh_tes_in!C12/SER_hh_fec_in!C12)</f>
        <v>0.81399404362320471</v>
      </c>
      <c r="D12" s="137">
        <f>IF(SER_hh_tes_in!D12=0,"",SER_hh_tes_in!D12/SER_hh_fec_in!D12)</f>
        <v>0.81619105102947054</v>
      </c>
      <c r="E12" s="137">
        <f>IF(SER_hh_tes_in!E12=0,"",SER_hh_tes_in!E12/SER_hh_fec_in!E12)</f>
        <v>0.81844737190390138</v>
      </c>
      <c r="F12" s="137">
        <f>IF(SER_hh_tes_in!F12=0,"",SER_hh_tes_in!F12/SER_hh_fec_in!F12)</f>
        <v>0.82071178097853648</v>
      </c>
      <c r="G12" s="137">
        <f>IF(SER_hh_tes_in!G12=0,"",SER_hh_tes_in!G12/SER_hh_fec_in!G12)</f>
        <v>0.82303081426859037</v>
      </c>
      <c r="H12" s="137">
        <f>IF(SER_hh_tes_in!H12=0,"",SER_hh_tes_in!H12/SER_hh_fec_in!H12)</f>
        <v>0.82539877635823755</v>
      </c>
      <c r="I12" s="137">
        <f>IF(SER_hh_tes_in!I12=0,"",SER_hh_tes_in!I12/SER_hh_fec_in!I12)</f>
        <v>0.82782713372298677</v>
      </c>
      <c r="J12" s="137">
        <f>IF(SER_hh_tes_in!J12=0,"",SER_hh_tes_in!J12/SER_hh_fec_in!J12)</f>
        <v>0.83036286046569496</v>
      </c>
      <c r="K12" s="137">
        <f>IF(SER_hh_tes_in!K12=0,"",SER_hh_tes_in!K12/SER_hh_fec_in!K12)</f>
        <v>0.83304589692944908</v>
      </c>
      <c r="L12" s="137">
        <f>IF(SER_hh_tes_in!L12=0,"",SER_hh_tes_in!L12/SER_hh_fec_in!L12)</f>
        <v>0.8358869287934958</v>
      </c>
      <c r="M12" s="137">
        <f>IF(SER_hh_tes_in!M12=0,"",SER_hh_tes_in!M12/SER_hh_fec_in!M12)</f>
        <v>0.83982069208648757</v>
      </c>
      <c r="N12" s="137">
        <f>IF(SER_hh_tes_in!N12=0,"",SER_hh_tes_in!N12/SER_hh_fec_in!N12)</f>
        <v>0.84514272689074832</v>
      </c>
      <c r="O12" s="137">
        <f>IF(SER_hh_tes_in!O12=0,"",SER_hh_tes_in!O12/SER_hh_fec_in!O12)</f>
        <v>0.85211211000079679</v>
      </c>
      <c r="P12" s="137">
        <f>IF(SER_hh_tes_in!P12=0,"",SER_hh_tes_in!P12/SER_hh_fec_in!P12)</f>
        <v>0.86023592882028554</v>
      </c>
      <c r="Q12" s="137">
        <f>IF(SER_hh_tes_in!Q12=0,"",SER_hh_tes_in!Q12/SER_hh_fec_in!Q12)</f>
        <v>0.8679005654827131</v>
      </c>
      <c r="R12" s="137">
        <f>IF(SER_hh_tes_in!R12=0,"",SER_hh_tes_in!R12/SER_hh_fec_in!R12)</f>
        <v>0.87377372074323401</v>
      </c>
      <c r="S12" s="137">
        <f>IF(SER_hh_tes_in!S12=0,"",SER_hh_tes_in!S12/SER_hh_fec_in!S12)</f>
        <v>0.87948731900631294</v>
      </c>
      <c r="T12" s="137">
        <f>IF(SER_hh_tes_in!T12=0,"",SER_hh_tes_in!T12/SER_hh_fec_in!T12)</f>
        <v>0.88500318445820736</v>
      </c>
      <c r="U12" s="137">
        <f>IF(SER_hh_tes_in!U12=0,"",SER_hh_tes_in!U12/SER_hh_fec_in!U12)</f>
        <v>0.89028314128519248</v>
      </c>
      <c r="V12" s="137">
        <f>IF(SER_hh_tes_in!V12=0,"",SER_hh_tes_in!V12/SER_hh_fec_in!V12)</f>
        <v>0.89528901367353586</v>
      </c>
      <c r="W12" s="137">
        <f>IF(SER_hh_tes_in!W12=0,"",SER_hh_tes_in!W12/SER_hh_fec_in!W12)</f>
        <v>0.89990038700088271</v>
      </c>
      <c r="DA12" s="164" t="s">
        <v>670</v>
      </c>
    </row>
    <row r="13" spans="1:105" ht="12" customHeight="1" x14ac:dyDescent="0.25">
      <c r="A13" s="132" t="s">
        <v>77</v>
      </c>
      <c r="B13" s="137"/>
      <c r="C13" s="137">
        <f>IF(SER_hh_tes_in!C13=0,"",SER_hh_tes_in!C13/SER_hh_fec_in!C13)</f>
        <v>1.7805442212574678</v>
      </c>
      <c r="D13" s="137">
        <f>IF(SER_hh_tes_in!D13=0,"",SER_hh_tes_in!D13/SER_hh_fec_in!D13)</f>
        <v>1.8681600027091687</v>
      </c>
      <c r="E13" s="137">
        <f>IF(SER_hh_tes_in!E13=0,"",SER_hh_tes_in!E13/SER_hh_fec_in!E13)</f>
        <v>1.9582851147446663</v>
      </c>
      <c r="F13" s="137">
        <f>IF(SER_hh_tes_in!F13=0,"",SER_hh_tes_in!F13/SER_hh_fec_in!F13)</f>
        <v>2.0505449210459368</v>
      </c>
      <c r="G13" s="137">
        <f>IF(SER_hh_tes_in!G13=0,"",SER_hh_tes_in!G13/SER_hh_fec_in!G13)</f>
        <v>2.1452506653189292</v>
      </c>
      <c r="H13" s="137">
        <f>IF(SER_hh_tes_in!H13=0,"",SER_hh_tes_in!H13/SER_hh_fec_in!H13)</f>
        <v>2.2423436190217965</v>
      </c>
      <c r="I13" s="137">
        <f>IF(SER_hh_tes_in!I13=0,"",SER_hh_tes_in!I13/SER_hh_fec_in!I13)</f>
        <v>2.3418789780503535</v>
      </c>
      <c r="J13" s="137">
        <f>IF(SER_hh_tes_in!J13=0,"",SER_hh_tes_in!J13/SER_hh_fec_in!J13)</f>
        <v>2.4441307334417686</v>
      </c>
      <c r="K13" s="137">
        <f>IF(SER_hh_tes_in!K13=0,"",SER_hh_tes_in!K13/SER_hh_fec_in!K13)</f>
        <v>2.5493016595358187</v>
      </c>
      <c r="L13" s="137">
        <f>IF(SER_hh_tes_in!L13=0,"",SER_hh_tes_in!L13/SER_hh_fec_in!L13)</f>
        <v>2.6573913234466922</v>
      </c>
      <c r="M13" s="137">
        <f>IF(SER_hh_tes_in!M13=0,"",SER_hh_tes_in!M13/SER_hh_fec_in!M13)</f>
        <v>2.7762444250583638</v>
      </c>
      <c r="N13" s="137">
        <f>IF(SER_hh_tes_in!N13=0,"",SER_hh_tes_in!N13/SER_hh_fec_in!N13)</f>
        <v>2.9078537660306338</v>
      </c>
      <c r="O13" s="137">
        <f>IF(SER_hh_tes_in!O13=0,"",SER_hh_tes_in!O13/SER_hh_fec_in!O13)</f>
        <v>3.0508894843480685</v>
      </c>
      <c r="P13" s="137">
        <f>IF(SER_hh_tes_in!P13=0,"",SER_hh_tes_in!P13/SER_hh_fec_in!P13)</f>
        <v>3.1944615884521803</v>
      </c>
      <c r="Q13" s="137">
        <f>IF(SER_hh_tes_in!Q13=0,"",SER_hh_tes_in!Q13/SER_hh_fec_in!Q13)</f>
        <v>3.3121530001656669</v>
      </c>
      <c r="R13" s="137">
        <f>IF(SER_hh_tes_in!R13=0,"",SER_hh_tes_in!R13/SER_hh_fec_in!R13)</f>
        <v>3.3696015244243593</v>
      </c>
      <c r="S13" s="137">
        <f>IF(SER_hh_tes_in!S13=0,"",SER_hh_tes_in!S13/SER_hh_fec_in!S13)</f>
        <v>3.4059641854967371</v>
      </c>
      <c r="T13" s="137">
        <f>IF(SER_hh_tes_in!T13=0,"",SER_hh_tes_in!T13/SER_hh_fec_in!T13)</f>
        <v>3.4292859587025797</v>
      </c>
      <c r="U13" s="137">
        <f>IF(SER_hh_tes_in!U13=0,"",SER_hh_tes_in!U13/SER_hh_fec_in!U13)</f>
        <v>3.4478468914537426</v>
      </c>
      <c r="V13" s="137">
        <f>IF(SER_hh_tes_in!V13=0,"",SER_hh_tes_in!V13/SER_hh_fec_in!V13)</f>
        <v>3.4702522738867443</v>
      </c>
      <c r="W13" s="137">
        <f>IF(SER_hh_tes_in!W13=0,"",SER_hh_tes_in!W13/SER_hh_fec_in!W13)</f>
        <v>3.4958662082737897</v>
      </c>
      <c r="DA13" s="164" t="s">
        <v>671</v>
      </c>
    </row>
    <row r="14" spans="1:105" ht="12" customHeight="1" x14ac:dyDescent="0.25">
      <c r="A14" s="60" t="s">
        <v>76</v>
      </c>
      <c r="B14" s="138"/>
      <c r="C14" s="138">
        <f>IF(SER_hh_tes_in!C14=0,"",SER_hh_tes_in!C14/SER_hh_fec_in!C14)</f>
        <v>0.73754296156990362</v>
      </c>
      <c r="D14" s="138">
        <f>IF(SER_hh_tes_in!D14=0,"",SER_hh_tes_in!D14/SER_hh_fec_in!D14)</f>
        <v>0.74126473989237063</v>
      </c>
      <c r="E14" s="138">
        <f>IF(SER_hh_tes_in!E14=0,"",SER_hh_tes_in!E14/SER_hh_fec_in!E14)</f>
        <v>0.74508200271801384</v>
      </c>
      <c r="F14" s="138">
        <f>IF(SER_hh_tes_in!F14=0,"",SER_hh_tes_in!F14/SER_hh_fec_in!F14)</f>
        <v>0.74891216196720312</v>
      </c>
      <c r="G14" s="138">
        <f>IF(SER_hh_tes_in!G14=0,"",SER_hh_tes_in!G14/SER_hh_fec_in!G14)</f>
        <v>0.75283019734146539</v>
      </c>
      <c r="H14" s="138">
        <f>IF(SER_hh_tes_in!H14=0,"",SER_hh_tes_in!H14/SER_hh_fec_in!H14)</f>
        <v>0.75682687906585422</v>
      </c>
      <c r="I14" s="138">
        <f>IF(SER_hh_tes_in!I14=0,"",SER_hh_tes_in!I14/SER_hh_fec_in!I14)</f>
        <v>0.76092060557013619</v>
      </c>
      <c r="J14" s="138">
        <f>IF(SER_hh_tes_in!J14=0,"",SER_hh_tes_in!J14/SER_hh_fec_in!J14)</f>
        <v>0.76518687558981902</v>
      </c>
      <c r="K14" s="138">
        <f>IF(SER_hh_tes_in!K14=0,"",SER_hh_tes_in!K14/SER_hh_fec_in!K14)</f>
        <v>0.76968966220669766</v>
      </c>
      <c r="L14" s="138">
        <f>IF(SER_hh_tes_in!L14=0,"",SER_hh_tes_in!L14/SER_hh_fec_in!L14)</f>
        <v>0.77444562808217676</v>
      </c>
      <c r="M14" s="138">
        <f>IF(SER_hh_tes_in!M14=0,"",SER_hh_tes_in!M14/SER_hh_fec_in!M14)</f>
        <v>0.78076914313424794</v>
      </c>
      <c r="N14" s="138">
        <f>IF(SER_hh_tes_in!N14=0,"",SER_hh_tes_in!N14/SER_hh_fec_in!N14)</f>
        <v>0.7890502957010721</v>
      </c>
      <c r="O14" s="138" t="str">
        <f>IF(SER_hh_tes_in!O14=0,"",SER_hh_tes_in!O14/SER_hh_fec_in!O14)</f>
        <v/>
      </c>
      <c r="P14" s="138" t="str">
        <f>IF(SER_hh_tes_in!P14=0,"",SER_hh_tes_in!P14/SER_hh_fec_in!P14)</f>
        <v/>
      </c>
      <c r="Q14" s="138" t="str">
        <f>IF(SER_hh_tes_in!Q14=0,"",SER_hh_tes_in!Q14/SER_hh_fec_in!Q14)</f>
        <v/>
      </c>
      <c r="R14" s="138" t="str">
        <f>IF(SER_hh_tes_in!R14=0,"",SER_hh_tes_in!R14/SER_hh_fec_in!R14)</f>
        <v/>
      </c>
      <c r="S14" s="138" t="str">
        <f>IF(SER_hh_tes_in!S14=0,"",SER_hh_tes_in!S14/SER_hh_fec_in!S14)</f>
        <v/>
      </c>
      <c r="T14" s="138" t="str">
        <f>IF(SER_hh_tes_in!T14=0,"",SER_hh_tes_in!T14/SER_hh_fec_in!T14)</f>
        <v/>
      </c>
      <c r="U14" s="138" t="str">
        <f>IF(SER_hh_tes_in!U14=0,"",SER_hh_tes_in!U14/SER_hh_fec_in!U14)</f>
        <v/>
      </c>
      <c r="V14" s="138" t="str">
        <f>IF(SER_hh_tes_in!V14=0,"",SER_hh_tes_in!V14/SER_hh_fec_in!V14)</f>
        <v/>
      </c>
      <c r="W14" s="138">
        <f>IF(SER_hh_tes_in!W14=0,"",SER_hh_tes_in!W14/SER_hh_fec_in!W14)</f>
        <v>0.90742089933473069</v>
      </c>
      <c r="DA14" s="165" t="s">
        <v>672</v>
      </c>
    </row>
    <row r="15" spans="1:105" ht="12" customHeight="1" x14ac:dyDescent="0.25">
      <c r="A15" s="134" t="s">
        <v>80</v>
      </c>
      <c r="B15" s="139"/>
      <c r="C15" s="139">
        <f>IF(SER_hh_tes_in!C15=0,"",SER_hh_tes_in!C15/SER_hh_fec_in!C15)</f>
        <v>1</v>
      </c>
      <c r="D15" s="139">
        <f>IF(SER_hh_tes_in!D15=0,"",SER_hh_tes_in!D15/SER_hh_fec_in!D15)</f>
        <v>1</v>
      </c>
      <c r="E15" s="139">
        <f>IF(SER_hh_tes_in!E15=0,"",SER_hh_tes_in!E15/SER_hh_fec_in!E15)</f>
        <v>1</v>
      </c>
      <c r="F15" s="139">
        <f>IF(SER_hh_tes_in!F15=0,"",SER_hh_tes_in!F15/SER_hh_fec_in!F15)</f>
        <v>1</v>
      </c>
      <c r="G15" s="139">
        <f>IF(SER_hh_tes_in!G15=0,"",SER_hh_tes_in!G15/SER_hh_fec_in!G15)</f>
        <v>1</v>
      </c>
      <c r="H15" s="139">
        <f>IF(SER_hh_tes_in!H15=0,"",SER_hh_tes_in!H15/SER_hh_fec_in!H15)</f>
        <v>1</v>
      </c>
      <c r="I15" s="139">
        <f>IF(SER_hh_tes_in!I15=0,"",SER_hh_tes_in!I15/SER_hh_fec_in!I15)</f>
        <v>1</v>
      </c>
      <c r="J15" s="139">
        <f>IF(SER_hh_tes_in!J15=0,"",SER_hh_tes_in!J15/SER_hh_fec_in!J15)</f>
        <v>1</v>
      </c>
      <c r="K15" s="139">
        <f>IF(SER_hh_tes_in!K15=0,"",SER_hh_tes_in!K15/SER_hh_fec_in!K15)</f>
        <v>1</v>
      </c>
      <c r="L15" s="139">
        <f>IF(SER_hh_tes_in!L15=0,"",SER_hh_tes_in!L15/SER_hh_fec_in!L15)</f>
        <v>1</v>
      </c>
      <c r="M15" s="139">
        <f>IF(SER_hh_tes_in!M15=0,"",SER_hh_tes_in!M15/SER_hh_fec_in!M15)</f>
        <v>1</v>
      </c>
      <c r="N15" s="139">
        <f>IF(SER_hh_tes_in!N15=0,"",SER_hh_tes_in!N15/SER_hh_fec_in!N15)</f>
        <v>1</v>
      </c>
      <c r="O15" s="139">
        <f>IF(SER_hh_tes_in!O15=0,"",SER_hh_tes_in!O15/SER_hh_fec_in!O15)</f>
        <v>1</v>
      </c>
      <c r="P15" s="139">
        <f>IF(SER_hh_tes_in!P15=0,"",SER_hh_tes_in!P15/SER_hh_fec_in!P15)</f>
        <v>1</v>
      </c>
      <c r="Q15" s="139">
        <f>IF(SER_hh_tes_in!Q15=0,"",SER_hh_tes_in!Q15/SER_hh_fec_in!Q15)</f>
        <v>1</v>
      </c>
      <c r="R15" s="139">
        <f>IF(SER_hh_tes_in!R15=0,"",SER_hh_tes_in!R15/SER_hh_fec_in!R15)</f>
        <v>1</v>
      </c>
      <c r="S15" s="139">
        <f>IF(SER_hh_tes_in!S15=0,"",SER_hh_tes_in!S15/SER_hh_fec_in!S15)</f>
        <v>1</v>
      </c>
      <c r="T15" s="139">
        <f>IF(SER_hh_tes_in!T15=0,"",SER_hh_tes_in!T15/SER_hh_fec_in!T15)</f>
        <v>1</v>
      </c>
      <c r="U15" s="139">
        <f>IF(SER_hh_tes_in!U15=0,"",SER_hh_tes_in!U15/SER_hh_fec_in!U15)</f>
        <v>1</v>
      </c>
      <c r="V15" s="139">
        <f>IF(SER_hh_tes_in!V15=0,"",SER_hh_tes_in!V15/SER_hh_fec_in!V15)</f>
        <v>1</v>
      </c>
      <c r="W15" s="139">
        <f>IF(SER_hh_tes_in!W15=0,"",SER_hh_tes_in!W15/SER_hh_fec_in!W15)</f>
        <v>1</v>
      </c>
      <c r="DA15" s="166" t="s">
        <v>673</v>
      </c>
    </row>
    <row r="16" spans="1:105" ht="12.95" customHeight="1" x14ac:dyDescent="0.25">
      <c r="A16" s="130" t="s">
        <v>74</v>
      </c>
      <c r="B16" s="136"/>
      <c r="C16" s="136">
        <f>IF(SER_hh_tes_in!C16=0,"",SER_hh_tes_in!C16/SER_hh_fec_in!C16)</f>
        <v>2.8953512335737837</v>
      </c>
      <c r="D16" s="136">
        <f>IF(SER_hh_tes_in!D16=0,"",SER_hh_tes_in!D16/SER_hh_fec_in!D16)</f>
        <v>3.008129924805174</v>
      </c>
      <c r="E16" s="136">
        <f>IF(SER_hh_tes_in!E16=0,"",SER_hh_tes_in!E16/SER_hh_fec_in!E16)</f>
        <v>3.123207740621412</v>
      </c>
      <c r="F16" s="136">
        <f>IF(SER_hh_tes_in!F16=0,"",SER_hh_tes_in!F16/SER_hh_fec_in!F16)</f>
        <v>3.2361463054060278</v>
      </c>
      <c r="G16" s="136">
        <f>IF(SER_hh_tes_in!G16=0,"",SER_hh_tes_in!G16/SER_hh_fec_in!G16)</f>
        <v>3.3513153367697375</v>
      </c>
      <c r="H16" s="136">
        <f>IF(SER_hh_tes_in!H16=0,"",SER_hh_tes_in!H16/SER_hh_fec_in!H16)</f>
        <v>3.4689351633689758</v>
      </c>
      <c r="I16" s="136">
        <f>IF(SER_hh_tes_in!I16=0,"",SER_hh_tes_in!I16/SER_hh_fec_in!I16)</f>
        <v>3.5872436359953106</v>
      </c>
      <c r="J16" s="136">
        <f>IF(SER_hh_tes_in!J16=0,"",SER_hh_tes_in!J16/SER_hh_fec_in!J16)</f>
        <v>3.7062656907752474</v>
      </c>
      <c r="K16" s="136">
        <f>IF(SER_hh_tes_in!K16=0,"",SER_hh_tes_in!K16/SER_hh_fec_in!K16)</f>
        <v>3.8295201368190908</v>
      </c>
      <c r="L16" s="136">
        <f>IF(SER_hh_tes_in!L16=0,"",SER_hh_tes_in!L16/SER_hh_fec_in!L16)</f>
        <v>3.9526168373550323</v>
      </c>
      <c r="M16" s="136">
        <f>IF(SER_hh_tes_in!M16=0,"",SER_hh_tes_in!M16/SER_hh_fec_in!M16)</f>
        <v>4.100481013717757</v>
      </c>
      <c r="N16" s="136">
        <f>IF(SER_hh_tes_in!N16=0,"",SER_hh_tes_in!N16/SER_hh_fec_in!N16)</f>
        <v>4.2777068066553552</v>
      </c>
      <c r="O16" s="136">
        <f>IF(SER_hh_tes_in!O16=0,"",SER_hh_tes_in!O16/SER_hh_fec_in!O16)</f>
        <v>4.4869266151693417</v>
      </c>
      <c r="P16" s="136">
        <f>IF(SER_hh_tes_in!P16=0,"",SER_hh_tes_in!P16/SER_hh_fec_in!P16)</f>
        <v>4.7084753751132009</v>
      </c>
      <c r="Q16" s="136">
        <f>IF(SER_hh_tes_in!Q16=0,"",SER_hh_tes_in!Q16/SER_hh_fec_in!Q16)</f>
        <v>4.8841057252800901</v>
      </c>
      <c r="R16" s="136">
        <f>IF(SER_hh_tes_in!R16=0,"",SER_hh_tes_in!R16/SER_hh_fec_in!R16)</f>
        <v>5.011492479132456</v>
      </c>
      <c r="S16" s="136">
        <f>IF(SER_hh_tes_in!S16=0,"",SER_hh_tes_in!S16/SER_hh_fec_in!S16)</f>
        <v>5.1164024092253433</v>
      </c>
      <c r="T16" s="136">
        <f>IF(SER_hh_tes_in!T16=0,"",SER_hh_tes_in!T16/SER_hh_fec_in!T16)</f>
        <v>5.2164740479516878</v>
      </c>
      <c r="U16" s="136">
        <f>IF(SER_hh_tes_in!U16=0,"",SER_hh_tes_in!U16/SER_hh_fec_in!U16)</f>
        <v>5.2679803530276645</v>
      </c>
      <c r="V16" s="136">
        <f>IF(SER_hh_tes_in!V16=0,"",SER_hh_tes_in!V16/SER_hh_fec_in!V16)</f>
        <v>5.1868161345896588</v>
      </c>
      <c r="W16" s="136">
        <f>IF(SER_hh_tes_in!W16=0,"",SER_hh_tes_in!W16/SER_hh_fec_in!W16)</f>
        <v>5.4568056960827285</v>
      </c>
      <c r="DA16" s="163" t="s">
        <v>674</v>
      </c>
    </row>
    <row r="17" spans="1:105" ht="12.95" customHeight="1" x14ac:dyDescent="0.25">
      <c r="A17" s="132" t="s">
        <v>73</v>
      </c>
      <c r="B17" s="137"/>
      <c r="C17" s="137">
        <f>IF(SER_hh_tes_in!C17=0,"",SER_hh_tes_in!C17/SER_hh_fec_in!C17)</f>
        <v>1.4296922268355754</v>
      </c>
      <c r="D17" s="137">
        <f>IF(SER_hh_tes_in!D17=0,"",SER_hh_tes_in!D17/SER_hh_fec_in!D17)</f>
        <v>1.4385263893713209</v>
      </c>
      <c r="E17" s="137">
        <f>IF(SER_hh_tes_in!E17=0,"",SER_hh_tes_in!E17/SER_hh_fec_in!E17)</f>
        <v>1.4462840609571221</v>
      </c>
      <c r="F17" s="137">
        <f>IF(SER_hh_tes_in!F17=0,"",SER_hh_tes_in!F17/SER_hh_fec_in!F17)</f>
        <v>1.4530995791186871</v>
      </c>
      <c r="G17" s="137">
        <f>IF(SER_hh_tes_in!G17=0,"",SER_hh_tes_in!G17/SER_hh_fec_in!G17)</f>
        <v>1.4590516903348185</v>
      </c>
      <c r="H17" s="137">
        <f>IF(SER_hh_tes_in!H17=0,"",SER_hh_tes_in!H17/SER_hh_fec_in!H17)</f>
        <v>1.4644197403898771</v>
      </c>
      <c r="I17" s="137">
        <f>IF(SER_hh_tes_in!I17=0,"",SER_hh_tes_in!I17/SER_hh_fec_in!I17)</f>
        <v>1.469304033417252</v>
      </c>
      <c r="J17" s="137">
        <f>IF(SER_hh_tes_in!J17=0,"",SER_hh_tes_in!J17/SER_hh_fec_in!J17)</f>
        <v>1.4740214741386766</v>
      </c>
      <c r="K17" s="137">
        <f>IF(SER_hh_tes_in!K17=0,"",SER_hh_tes_in!K17/SER_hh_fec_in!K17)</f>
        <v>1.4790096360535401</v>
      </c>
      <c r="L17" s="137">
        <f>IF(SER_hh_tes_in!L17=0,"",SER_hh_tes_in!L17/SER_hh_fec_in!L17)</f>
        <v>1.4845413561683527</v>
      </c>
      <c r="M17" s="137">
        <f>IF(SER_hh_tes_in!M17=0,"",SER_hh_tes_in!M17/SER_hh_fec_in!M17)</f>
        <v>1.4945949855667744</v>
      </c>
      <c r="N17" s="137">
        <f>IF(SER_hh_tes_in!N17=0,"",SER_hh_tes_in!N17/SER_hh_fec_in!N17)</f>
        <v>1.5140971991920622</v>
      </c>
      <c r="O17" s="137">
        <f>IF(SER_hh_tes_in!O17=0,"",SER_hh_tes_in!O17/SER_hh_fec_in!O17)</f>
        <v>1.5448455778798764</v>
      </c>
      <c r="P17" s="137">
        <f>IF(SER_hh_tes_in!P17=0,"",SER_hh_tes_in!P17/SER_hh_fec_in!P17)</f>
        <v>1.5860071366913691</v>
      </c>
      <c r="Q17" s="137">
        <f>IF(SER_hh_tes_in!Q17=0,"",SER_hh_tes_in!Q17/SER_hh_fec_in!Q17)</f>
        <v>1.6290103256400903</v>
      </c>
      <c r="R17" s="137">
        <f>IF(SER_hh_tes_in!R17=0,"",SER_hh_tes_in!R17/SER_hh_fec_in!R17)</f>
        <v>1.6638623271034192</v>
      </c>
      <c r="S17" s="137">
        <f>IF(SER_hh_tes_in!S17=0,"",SER_hh_tes_in!S17/SER_hh_fec_in!S17)</f>
        <v>1.6980027562125994</v>
      </c>
      <c r="T17" s="137">
        <f>IF(SER_hh_tes_in!T17=0,"",SER_hh_tes_in!T17/SER_hh_fec_in!T17)</f>
        <v>1.7374451674642566</v>
      </c>
      <c r="U17" s="137">
        <f>IF(SER_hh_tes_in!U17=0,"",SER_hh_tes_in!U17/SER_hh_fec_in!U17)</f>
        <v>1.7790699296739458</v>
      </c>
      <c r="V17" s="137">
        <f>IF(SER_hh_tes_in!V17=0,"",SER_hh_tes_in!V17/SER_hh_fec_in!V17)</f>
        <v>1.8194349708596207</v>
      </c>
      <c r="W17" s="137">
        <f>IF(SER_hh_tes_in!W17=0,"",SER_hh_tes_in!W17/SER_hh_fec_in!W17)</f>
        <v>1.8525996131977969</v>
      </c>
      <c r="DA17" s="164" t="s">
        <v>675</v>
      </c>
    </row>
    <row r="18" spans="1:105" ht="12" customHeight="1" x14ac:dyDescent="0.25">
      <c r="A18" s="132" t="s">
        <v>72</v>
      </c>
      <c r="B18" s="137"/>
      <c r="C18" s="137">
        <f>IF(SER_hh_tes_in!C18=0,"",SER_hh_tes_in!C18/SER_hh_fec_in!C18)</f>
        <v>2.898495812710435</v>
      </c>
      <c r="D18" s="137">
        <f>IF(SER_hh_tes_in!D18=0,"",SER_hh_tes_in!D18/SER_hh_fec_in!D18)</f>
        <v>3.0119502448739586</v>
      </c>
      <c r="E18" s="137">
        <f>IF(SER_hh_tes_in!E18=0,"",SER_hh_tes_in!E18/SER_hh_fec_in!E18)</f>
        <v>3.1266025996090638</v>
      </c>
      <c r="F18" s="137">
        <f>IF(SER_hh_tes_in!F18=0,"",SER_hh_tes_in!F18/SER_hh_fec_in!F18)</f>
        <v>3.241378087680014</v>
      </c>
      <c r="G18" s="137">
        <f>IF(SER_hh_tes_in!G18=0,"",SER_hh_tes_in!G18/SER_hh_fec_in!G18)</f>
        <v>3.3572442269231839</v>
      </c>
      <c r="H18" s="137">
        <f>IF(SER_hh_tes_in!H18=0,"",SER_hh_tes_in!H18/SER_hh_fec_in!H18)</f>
        <v>3.4740763178007472</v>
      </c>
      <c r="I18" s="137">
        <f>IF(SER_hh_tes_in!I18=0,"",SER_hh_tes_in!I18/SER_hh_fec_in!I18)</f>
        <v>3.5921062212776134</v>
      </c>
      <c r="J18" s="137">
        <f>IF(SER_hh_tes_in!J18=0,"",SER_hh_tes_in!J18/SER_hh_fec_in!J18)</f>
        <v>3.7122983740875952</v>
      </c>
      <c r="K18" s="137">
        <f>IF(SER_hh_tes_in!K18=0,"",SER_hh_tes_in!K18/SER_hh_fec_in!K18)</f>
        <v>3.8354636952322569</v>
      </c>
      <c r="L18" s="137">
        <f>IF(SER_hh_tes_in!L18=0,"",SER_hh_tes_in!L18/SER_hh_fec_in!L18)</f>
        <v>3.9618026796862931</v>
      </c>
      <c r="M18" s="137">
        <f>IF(SER_hh_tes_in!M18=0,"",SER_hh_tes_in!M18/SER_hh_fec_in!M18)</f>
        <v>4.1127026918437473</v>
      </c>
      <c r="N18" s="137">
        <f>IF(SER_hh_tes_in!N18=0,"",SER_hh_tes_in!N18/SER_hh_fec_in!N18)</f>
        <v>4.2951629614873426</v>
      </c>
      <c r="O18" s="137">
        <f>IF(SER_hh_tes_in!O18=0,"",SER_hh_tes_in!O18/SER_hh_fec_in!O18)</f>
        <v>4.5130529974826201</v>
      </c>
      <c r="P18" s="137">
        <f>IF(SER_hh_tes_in!P18=0,"",SER_hh_tes_in!P18/SER_hh_fec_in!P18)</f>
        <v>4.7493500496734375</v>
      </c>
      <c r="Q18" s="137">
        <f>IF(SER_hh_tes_in!Q18=0,"",SER_hh_tes_in!Q18/SER_hh_fec_in!Q18)</f>
        <v>4.9524198577850331</v>
      </c>
      <c r="R18" s="137">
        <f>IF(SER_hh_tes_in!R18=0,"",SER_hh_tes_in!R18/SER_hh_fec_in!R18)</f>
        <v>5.0798173704223943</v>
      </c>
      <c r="S18" s="137">
        <f>IF(SER_hh_tes_in!S18=0,"",SER_hh_tes_in!S18/SER_hh_fec_in!S18)</f>
        <v>5.1812195353399302</v>
      </c>
      <c r="T18" s="137">
        <f>IF(SER_hh_tes_in!T18=0,"",SER_hh_tes_in!T18/SER_hh_fec_in!T18)</f>
        <v>5.2659449042198698</v>
      </c>
      <c r="U18" s="137">
        <f>IF(SER_hh_tes_in!U18=0,"",SER_hh_tes_in!U18/SER_hh_fec_in!U18)</f>
        <v>5.3430764830564366</v>
      </c>
      <c r="V18" s="137">
        <f>IF(SER_hh_tes_in!V18=0,"",SER_hh_tes_in!V18/SER_hh_fec_in!V18)</f>
        <v>5.421720565301194</v>
      </c>
      <c r="W18" s="137">
        <f>IF(SER_hh_tes_in!W18=0,"",SER_hh_tes_in!W18/SER_hh_fec_in!W18)</f>
        <v>5.4987142203636949</v>
      </c>
      <c r="DA18" s="164" t="s">
        <v>676</v>
      </c>
    </row>
    <row r="19" spans="1:105" ht="12.95" customHeight="1" x14ac:dyDescent="0.25">
      <c r="A19" s="130" t="s">
        <v>35</v>
      </c>
      <c r="B19" s="136"/>
      <c r="C19" s="136">
        <f>IF(SER_hh_tes_in!C19=0,"",SER_hh_tes_in!C19/SER_hh_fec_in!C19)</f>
        <v>0.75101063734758411</v>
      </c>
      <c r="D19" s="136">
        <f>IF(SER_hh_tes_in!D19=0,"",SER_hh_tes_in!D19/SER_hh_fec_in!D19)</f>
        <v>0.73666045176380968</v>
      </c>
      <c r="E19" s="136">
        <f>IF(SER_hh_tes_in!E19=0,"",SER_hh_tes_in!E19/SER_hh_fec_in!E19)</f>
        <v>0.73171301950914291</v>
      </c>
      <c r="F19" s="136">
        <f>IF(SER_hh_tes_in!F19=0,"",SER_hh_tes_in!F19/SER_hh_fec_in!F19)</f>
        <v>0.7370380247565661</v>
      </c>
      <c r="G19" s="136">
        <f>IF(SER_hh_tes_in!G19=0,"",SER_hh_tes_in!G19/SER_hh_fec_in!G19)</f>
        <v>0.74666808990124722</v>
      </c>
      <c r="H19" s="136">
        <f>IF(SER_hh_tes_in!H19=0,"",SER_hh_tes_in!H19/SER_hh_fec_in!H19)</f>
        <v>0.7534685349991822</v>
      </c>
      <c r="I19" s="136">
        <f>IF(SER_hh_tes_in!I19=0,"",SER_hh_tes_in!I19/SER_hh_fec_in!I19)</f>
        <v>0.77497170867122789</v>
      </c>
      <c r="J19" s="136">
        <f>IF(SER_hh_tes_in!J19=0,"",SER_hh_tes_in!J19/SER_hh_fec_in!J19)</f>
        <v>0.78266682117688424</v>
      </c>
      <c r="K19" s="136">
        <f>IF(SER_hh_tes_in!K19=0,"",SER_hh_tes_in!K19/SER_hh_fec_in!K19)</f>
        <v>0.79671710403844109</v>
      </c>
      <c r="L19" s="136">
        <f>IF(SER_hh_tes_in!L19=0,"",SER_hh_tes_in!L19/SER_hh_fec_in!L19)</f>
        <v>0.82949593777361963</v>
      </c>
      <c r="M19" s="136">
        <f>IF(SER_hh_tes_in!M19=0,"",SER_hh_tes_in!M19/SER_hh_fec_in!M19)</f>
        <v>0.82275109898669774</v>
      </c>
      <c r="N19" s="136">
        <f>IF(SER_hh_tes_in!N19=0,"",SER_hh_tes_in!N19/SER_hh_fec_in!N19)</f>
        <v>0.81246485604811991</v>
      </c>
      <c r="O19" s="136">
        <f>IF(SER_hh_tes_in!O19=0,"",SER_hh_tes_in!O19/SER_hh_fec_in!O19)</f>
        <v>0.83725812927135135</v>
      </c>
      <c r="P19" s="136">
        <f>IF(SER_hh_tes_in!P19=0,"",SER_hh_tes_in!P19/SER_hh_fec_in!P19)</f>
        <v>0.84079698401993752</v>
      </c>
      <c r="Q19" s="136">
        <f>IF(SER_hh_tes_in!Q19=0,"",SER_hh_tes_in!Q19/SER_hh_fec_in!Q19)</f>
        <v>0.85585916052018363</v>
      </c>
      <c r="R19" s="136">
        <f>IF(SER_hh_tes_in!R19=0,"",SER_hh_tes_in!R19/SER_hh_fec_in!R19)</f>
        <v>0.86671301047340343</v>
      </c>
      <c r="S19" s="136">
        <f>IF(SER_hh_tes_in!S19=0,"",SER_hh_tes_in!S19/SER_hh_fec_in!S19)</f>
        <v>0.87475208584074882</v>
      </c>
      <c r="T19" s="136">
        <f>IF(SER_hh_tes_in!T19=0,"",SER_hh_tes_in!T19/SER_hh_fec_in!T19)</f>
        <v>0.89870162355016392</v>
      </c>
      <c r="U19" s="136">
        <f>IF(SER_hh_tes_in!U19=0,"",SER_hh_tes_in!U19/SER_hh_fec_in!U19)</f>
        <v>0.9066945675960979</v>
      </c>
      <c r="V19" s="136">
        <f>IF(SER_hh_tes_in!V19=0,"",SER_hh_tes_in!V19/SER_hh_fec_in!V19)</f>
        <v>0.91897698816274342</v>
      </c>
      <c r="W19" s="136">
        <f>IF(SER_hh_tes_in!W19=0,"",SER_hh_tes_in!W19/SER_hh_fec_in!W19)</f>
        <v>0.91781699528499483</v>
      </c>
      <c r="DA19" s="163" t="s">
        <v>677</v>
      </c>
    </row>
    <row r="20" spans="1:105" ht="12" customHeight="1" x14ac:dyDescent="0.25">
      <c r="A20" s="132" t="s">
        <v>29</v>
      </c>
      <c r="B20" s="137"/>
      <c r="C20" s="137" t="str">
        <f>IF(SER_hh_tes_in!C20=0,"",SER_hh_tes_in!C20/SER_hh_fec_in!C20)</f>
        <v/>
      </c>
      <c r="D20" s="137" t="str">
        <f>IF(SER_hh_tes_in!D20=0,"",SER_hh_tes_in!D20/SER_hh_fec_in!D20)</f>
        <v/>
      </c>
      <c r="E20" s="137" t="str">
        <f>IF(SER_hh_tes_in!E20=0,"",SER_hh_tes_in!E20/SER_hh_fec_in!E20)</f>
        <v/>
      </c>
      <c r="F20" s="137" t="str">
        <f>IF(SER_hh_tes_in!F20=0,"",SER_hh_tes_in!F20/SER_hh_fec_in!F20)</f>
        <v/>
      </c>
      <c r="G20" s="137" t="str">
        <f>IF(SER_hh_tes_in!G20=0,"",SER_hh_tes_in!G20/SER_hh_fec_in!G20)</f>
        <v/>
      </c>
      <c r="H20" s="137" t="str">
        <f>IF(SER_hh_tes_in!H20=0,"",SER_hh_tes_in!H20/SER_hh_fec_in!H20)</f>
        <v/>
      </c>
      <c r="I20" s="137" t="str">
        <f>IF(SER_hh_tes_in!I20=0,"",SER_hh_tes_in!I20/SER_hh_fec_in!I20)</f>
        <v/>
      </c>
      <c r="J20" s="137" t="str">
        <f>IF(SER_hh_tes_in!J20=0,"",SER_hh_tes_in!J20/SER_hh_fec_in!J20)</f>
        <v/>
      </c>
      <c r="K20" s="137" t="str">
        <f>IF(SER_hh_tes_in!K20=0,"",SER_hh_tes_in!K20/SER_hh_fec_in!K20)</f>
        <v/>
      </c>
      <c r="L20" s="137" t="str">
        <f>IF(SER_hh_tes_in!L20=0,"",SER_hh_tes_in!L20/SER_hh_fec_in!L20)</f>
        <v/>
      </c>
      <c r="M20" s="137" t="str">
        <f>IF(SER_hh_tes_in!M20=0,"",SER_hh_tes_in!M20/SER_hh_fec_in!M20)</f>
        <v/>
      </c>
      <c r="N20" s="137" t="str">
        <f>IF(SER_hh_tes_in!N20=0,"",SER_hh_tes_in!N20/SER_hh_fec_in!N20)</f>
        <v/>
      </c>
      <c r="O20" s="137" t="str">
        <f>IF(SER_hh_tes_in!O20=0,"",SER_hh_tes_in!O20/SER_hh_fec_in!O20)</f>
        <v/>
      </c>
      <c r="P20" s="137" t="str">
        <f>IF(SER_hh_tes_in!P20=0,"",SER_hh_tes_in!P20/SER_hh_fec_in!P20)</f>
        <v/>
      </c>
      <c r="Q20" s="137" t="str">
        <f>IF(SER_hh_tes_in!Q20=0,"",SER_hh_tes_in!Q20/SER_hh_fec_in!Q20)</f>
        <v/>
      </c>
      <c r="R20" s="137" t="str">
        <f>IF(SER_hh_tes_in!R20=0,"",SER_hh_tes_in!R20/SER_hh_fec_in!R20)</f>
        <v/>
      </c>
      <c r="S20" s="137" t="str">
        <f>IF(SER_hh_tes_in!S20=0,"",SER_hh_tes_in!S20/SER_hh_fec_in!S20)</f>
        <v/>
      </c>
      <c r="T20" s="137" t="str">
        <f>IF(SER_hh_tes_in!T20=0,"",SER_hh_tes_in!T20/SER_hh_fec_in!T20)</f>
        <v/>
      </c>
      <c r="U20" s="137" t="str">
        <f>IF(SER_hh_tes_in!U20=0,"",SER_hh_tes_in!U20/SER_hh_fec_in!U20)</f>
        <v/>
      </c>
      <c r="V20" s="137" t="str">
        <f>IF(SER_hh_tes_in!V20=0,"",SER_hh_tes_in!V20/SER_hh_fec_in!V20)</f>
        <v/>
      </c>
      <c r="W20" s="137" t="str">
        <f>IF(SER_hh_tes_in!W20=0,"",SER_hh_tes_in!W20/SER_hh_fec_in!W20)</f>
        <v/>
      </c>
      <c r="DA20" s="164" t="s">
        <v>678</v>
      </c>
    </row>
    <row r="21" spans="1:105" s="2" customFormat="1" ht="12" customHeight="1" x14ac:dyDescent="0.25">
      <c r="A21" s="132" t="s">
        <v>52</v>
      </c>
      <c r="B21" s="137"/>
      <c r="C21" s="137" t="str">
        <f>IF(SER_hh_tes_in!C21=0,"",SER_hh_tes_in!C21/SER_hh_fec_in!C21)</f>
        <v/>
      </c>
      <c r="D21" s="137" t="str">
        <f>IF(SER_hh_tes_in!D21=0,"",SER_hh_tes_in!D21/SER_hh_fec_in!D21)</f>
        <v/>
      </c>
      <c r="E21" s="137" t="str">
        <f>IF(SER_hh_tes_in!E21=0,"",SER_hh_tes_in!E21/SER_hh_fec_in!E21)</f>
        <v/>
      </c>
      <c r="F21" s="137" t="str">
        <f>IF(SER_hh_tes_in!F21=0,"",SER_hh_tes_in!F21/SER_hh_fec_in!F21)</f>
        <v/>
      </c>
      <c r="G21" s="137" t="str">
        <f>IF(SER_hh_tes_in!G21=0,"",SER_hh_tes_in!G21/SER_hh_fec_in!G21)</f>
        <v/>
      </c>
      <c r="H21" s="137" t="str">
        <f>IF(SER_hh_tes_in!H21=0,"",SER_hh_tes_in!H21/SER_hh_fec_in!H21)</f>
        <v/>
      </c>
      <c r="I21" s="137" t="str">
        <f>IF(SER_hh_tes_in!I21=0,"",SER_hh_tes_in!I21/SER_hh_fec_in!I21)</f>
        <v/>
      </c>
      <c r="J21" s="137" t="str">
        <f>IF(SER_hh_tes_in!J21=0,"",SER_hh_tes_in!J21/SER_hh_fec_in!J21)</f>
        <v/>
      </c>
      <c r="K21" s="137" t="str">
        <f>IF(SER_hh_tes_in!K21=0,"",SER_hh_tes_in!K21/SER_hh_fec_in!K21)</f>
        <v/>
      </c>
      <c r="L21" s="137" t="str">
        <f>IF(SER_hh_tes_in!L21=0,"",SER_hh_tes_in!L21/SER_hh_fec_in!L21)</f>
        <v/>
      </c>
      <c r="M21" s="137" t="str">
        <f>IF(SER_hh_tes_in!M21=0,"",SER_hh_tes_in!M21/SER_hh_fec_in!M21)</f>
        <v/>
      </c>
      <c r="N21" s="137" t="str">
        <f>IF(SER_hh_tes_in!N21=0,"",SER_hh_tes_in!N21/SER_hh_fec_in!N21)</f>
        <v/>
      </c>
      <c r="O21" s="137" t="str">
        <f>IF(SER_hh_tes_in!O21=0,"",SER_hh_tes_in!O21/SER_hh_fec_in!O21)</f>
        <v/>
      </c>
      <c r="P21" s="137" t="str">
        <f>IF(SER_hh_tes_in!P21=0,"",SER_hh_tes_in!P21/SER_hh_fec_in!P21)</f>
        <v/>
      </c>
      <c r="Q21" s="137" t="str">
        <f>IF(SER_hh_tes_in!Q21=0,"",SER_hh_tes_in!Q21/SER_hh_fec_in!Q21)</f>
        <v/>
      </c>
      <c r="R21" s="137" t="str">
        <f>IF(SER_hh_tes_in!R21=0,"",SER_hh_tes_in!R21/SER_hh_fec_in!R21)</f>
        <v/>
      </c>
      <c r="S21" s="137" t="str">
        <f>IF(SER_hh_tes_in!S21=0,"",SER_hh_tes_in!S21/SER_hh_fec_in!S21)</f>
        <v/>
      </c>
      <c r="T21" s="137" t="str">
        <f>IF(SER_hh_tes_in!T21=0,"",SER_hh_tes_in!T21/SER_hh_fec_in!T21)</f>
        <v/>
      </c>
      <c r="U21" s="137" t="str">
        <f>IF(SER_hh_tes_in!U21=0,"",SER_hh_tes_in!U21/SER_hh_fec_in!U21)</f>
        <v/>
      </c>
      <c r="V21" s="137" t="str">
        <f>IF(SER_hh_tes_in!V21=0,"",SER_hh_tes_in!V21/SER_hh_fec_in!V21)</f>
        <v/>
      </c>
      <c r="W21" s="137" t="str">
        <f>IF(SER_hh_tes_in!W21=0,"",SER_hh_tes_in!W21/SER_hh_fec_in!W21)</f>
        <v/>
      </c>
      <c r="DA21" s="164" t="s">
        <v>679</v>
      </c>
    </row>
    <row r="22" spans="1:105" ht="12" customHeight="1" x14ac:dyDescent="0.25">
      <c r="A22" s="132" t="s">
        <v>168</v>
      </c>
      <c r="B22" s="137"/>
      <c r="C22" s="137">
        <f>IF(SER_hh_tes_in!C22=0,"",SER_hh_tes_in!C22/SER_hh_fec_in!C22)</f>
        <v>0.54241176204639296</v>
      </c>
      <c r="D22" s="137">
        <f>IF(SER_hh_tes_in!D22=0,"",SER_hh_tes_in!D22/SER_hh_fec_in!D22)</f>
        <v>0.54480607989100027</v>
      </c>
      <c r="E22" s="137">
        <f>IF(SER_hh_tes_in!E22=0,"",SER_hh_tes_in!E22/SER_hh_fec_in!E22)</f>
        <v>0.5475967625205983</v>
      </c>
      <c r="F22" s="137">
        <f>IF(SER_hh_tes_in!F22=0,"",SER_hh_tes_in!F22/SER_hh_fec_in!F22)</f>
        <v>0.55044149489360428</v>
      </c>
      <c r="G22" s="137">
        <f>IF(SER_hh_tes_in!G22=0,"",SER_hh_tes_in!G22/SER_hh_fec_in!G22)</f>
        <v>0.55365125591978948</v>
      </c>
      <c r="H22" s="137">
        <f>IF(SER_hh_tes_in!H22=0,"",SER_hh_tes_in!H22/SER_hh_fec_in!H22)</f>
        <v>0.55718798573958062</v>
      </c>
      <c r="I22" s="137">
        <f>IF(SER_hh_tes_in!I22=0,"",SER_hh_tes_in!I22/SER_hh_fec_in!I22)</f>
        <v>0.56112830956543269</v>
      </c>
      <c r="J22" s="137">
        <f>IF(SER_hh_tes_in!J22=0,"",SER_hh_tes_in!J22/SER_hh_fec_in!J22)</f>
        <v>0.56578613384650489</v>
      </c>
      <c r="K22" s="137">
        <f>IF(SER_hh_tes_in!K22=0,"",SER_hh_tes_in!K22/SER_hh_fec_in!K22)</f>
        <v>0.57142836163179911</v>
      </c>
      <c r="L22" s="137">
        <f>IF(SER_hh_tes_in!L22=0,"",SER_hh_tes_in!L22/SER_hh_fec_in!L22)</f>
        <v>0.57812640042939367</v>
      </c>
      <c r="M22" s="137">
        <f>IF(SER_hh_tes_in!M22=0,"",SER_hh_tes_in!M22/SER_hh_fec_in!M22)</f>
        <v>0.59221394537522676</v>
      </c>
      <c r="N22" s="137">
        <f>IF(SER_hh_tes_in!N22=0,"",SER_hh_tes_in!N22/SER_hh_fec_in!N22)</f>
        <v>0.615701306951842</v>
      </c>
      <c r="O22" s="137">
        <f>IF(SER_hh_tes_in!O22=0,"",SER_hh_tes_in!O22/SER_hh_fec_in!O22)</f>
        <v>0.65026663877161495</v>
      </c>
      <c r="P22" s="137">
        <f>IF(SER_hh_tes_in!P22=0,"",SER_hh_tes_in!P22/SER_hh_fec_in!P22)</f>
        <v>0.69238293321751088</v>
      </c>
      <c r="Q22" s="137">
        <f>IF(SER_hh_tes_in!Q22=0,"",SER_hh_tes_in!Q22/SER_hh_fec_in!Q22)</f>
        <v>0.73062250524527861</v>
      </c>
      <c r="R22" s="137">
        <f>IF(SER_hh_tes_in!R22=0,"",SER_hh_tes_in!R22/SER_hh_fec_in!R22)</f>
        <v>0.75642953836795501</v>
      </c>
      <c r="S22" s="137" t="str">
        <f>IF(SER_hh_tes_in!S22=0,"",SER_hh_tes_in!S22/SER_hh_fec_in!S22)</f>
        <v/>
      </c>
      <c r="T22" s="137" t="str">
        <f>IF(SER_hh_tes_in!T22=0,"",SER_hh_tes_in!T22/SER_hh_fec_in!T22)</f>
        <v/>
      </c>
      <c r="U22" s="137" t="str">
        <f>IF(SER_hh_tes_in!U22=0,"",SER_hh_tes_in!U22/SER_hh_fec_in!U22)</f>
        <v/>
      </c>
      <c r="V22" s="137" t="str">
        <f>IF(SER_hh_tes_in!V22=0,"",SER_hh_tes_in!V22/SER_hh_fec_in!V22)</f>
        <v/>
      </c>
      <c r="W22" s="137" t="str">
        <f>IF(SER_hh_tes_in!W22=0,"",SER_hh_tes_in!W22/SER_hh_fec_in!W22)</f>
        <v/>
      </c>
      <c r="DA22" s="164" t="s">
        <v>680</v>
      </c>
    </row>
    <row r="23" spans="1:105" ht="12" customHeight="1" x14ac:dyDescent="0.25">
      <c r="A23" s="132" t="s">
        <v>153</v>
      </c>
      <c r="B23" s="137"/>
      <c r="C23" s="137">
        <f>IF(SER_hh_tes_in!C23=0,"",SER_hh_tes_in!C23/SER_hh_fec_in!C23)</f>
        <v>0.59209534063234326</v>
      </c>
      <c r="D23" s="137">
        <f>IF(SER_hh_tes_in!D23=0,"",SER_hh_tes_in!D23/SER_hh_fec_in!D23)</f>
        <v>0.59862670648210403</v>
      </c>
      <c r="E23" s="137">
        <f>IF(SER_hh_tes_in!E23=0,"",SER_hh_tes_in!E23/SER_hh_fec_in!E23)</f>
        <v>0.60544046685332986</v>
      </c>
      <c r="F23" s="137">
        <f>IF(SER_hh_tes_in!F23=0,"",SER_hh_tes_in!F23/SER_hh_fec_in!F23)</f>
        <v>0.61230930249147442</v>
      </c>
      <c r="G23" s="137">
        <f>IF(SER_hh_tes_in!G23=0,"",SER_hh_tes_in!G23/SER_hh_fec_in!G23)</f>
        <v>0.61943590010713157</v>
      </c>
      <c r="H23" s="137">
        <f>IF(SER_hh_tes_in!H23=0,"",SER_hh_tes_in!H23/SER_hh_fec_in!H23)</f>
        <v>0.62679281871298143</v>
      </c>
      <c r="I23" s="137">
        <f>IF(SER_hh_tes_in!I23=0,"",SER_hh_tes_in!I23/SER_hh_fec_in!I23)</f>
        <v>0.63442734110790222</v>
      </c>
      <c r="J23" s="137">
        <f>IF(SER_hh_tes_in!J23=0,"",SER_hh_tes_in!J23/SER_hh_fec_in!J23)</f>
        <v>0.64253926661486171</v>
      </c>
      <c r="K23" s="137">
        <f>IF(SER_hh_tes_in!K23=0,"",SER_hh_tes_in!K23/SER_hh_fec_in!K23)</f>
        <v>0.65129519756281951</v>
      </c>
      <c r="L23" s="137">
        <f>IF(SER_hh_tes_in!L23=0,"",SER_hh_tes_in!L23/SER_hh_fec_in!L23)</f>
        <v>0.66073397976594728</v>
      </c>
      <c r="M23" s="137">
        <f>IF(SER_hh_tes_in!M23=0,"",SER_hh_tes_in!M23/SER_hh_fec_in!M23)</f>
        <v>0.67500784186034557</v>
      </c>
      <c r="N23" s="137">
        <f>IF(SER_hh_tes_in!N23=0,"",SER_hh_tes_in!N23/SER_hh_fec_in!N23)</f>
        <v>0.69539488026210594</v>
      </c>
      <c r="O23" s="137">
        <f>IF(SER_hh_tes_in!O23=0,"",SER_hh_tes_in!O23/SER_hh_fec_in!O23)</f>
        <v>0.72283881349511248</v>
      </c>
      <c r="P23" s="137">
        <f>IF(SER_hh_tes_in!P23=0,"",SER_hh_tes_in!P23/SER_hh_fec_in!P23)</f>
        <v>0.75477421224033847</v>
      </c>
      <c r="Q23" s="137">
        <f>IF(SER_hh_tes_in!Q23=0,"",SER_hh_tes_in!Q23/SER_hh_fec_in!Q23)</f>
        <v>0.78315282117754725</v>
      </c>
      <c r="R23" s="137">
        <f>IF(SER_hh_tes_in!R23=0,"",SER_hh_tes_in!R23/SER_hh_fec_in!R23)</f>
        <v>0.80181247431441338</v>
      </c>
      <c r="S23" s="137">
        <f>IF(SER_hh_tes_in!S23=0,"",SER_hh_tes_in!S23/SER_hh_fec_in!S23)</f>
        <v>0.81883820612273961</v>
      </c>
      <c r="T23" s="137">
        <f>IF(SER_hh_tes_in!T23=0,"",SER_hh_tes_in!T23/SER_hh_fec_in!T23)</f>
        <v>0.83378803043025485</v>
      </c>
      <c r="U23" s="137">
        <f>IF(SER_hh_tes_in!U23=0,"",SER_hh_tes_in!U23/SER_hh_fec_in!U23)</f>
        <v>0.84616949755616044</v>
      </c>
      <c r="V23" s="137">
        <f>IF(SER_hh_tes_in!V23=0,"",SER_hh_tes_in!V23/SER_hh_fec_in!V23)</f>
        <v>0.85544222022747052</v>
      </c>
      <c r="W23" s="137">
        <f>IF(SER_hh_tes_in!W23=0,"",SER_hh_tes_in!W23/SER_hh_fec_in!W23)</f>
        <v>0.86022800965992063</v>
      </c>
      <c r="DA23" s="164" t="s">
        <v>681</v>
      </c>
    </row>
    <row r="24" spans="1:105" ht="12" customHeight="1" x14ac:dyDescent="0.25">
      <c r="A24" s="132" t="s">
        <v>128</v>
      </c>
      <c r="B24" s="137"/>
      <c r="C24" s="137">
        <f>IF(SER_hh_tes_in!C24=0,"",SER_hh_tes_in!C24/SER_hh_fec_in!C24)</f>
        <v>0.59547015993539321</v>
      </c>
      <c r="D24" s="137">
        <f>IF(SER_hh_tes_in!D24=0,"",SER_hh_tes_in!D24/SER_hh_fec_in!D24)</f>
        <v>0.6079342372127885</v>
      </c>
      <c r="E24" s="137">
        <f>IF(SER_hh_tes_in!E24=0,"",SER_hh_tes_in!E24/SER_hh_fec_in!E24)</f>
        <v>0.62051680394466935</v>
      </c>
      <c r="F24" s="137">
        <f>IF(SER_hh_tes_in!F24=0,"",SER_hh_tes_in!F24/SER_hh_fec_in!F24)</f>
        <v>0.63320576452287836</v>
      </c>
      <c r="G24" s="137">
        <f>IF(SER_hh_tes_in!G24=0,"",SER_hh_tes_in!G24/SER_hh_fec_in!G24)</f>
        <v>0.64598909521350112</v>
      </c>
      <c r="H24" s="137">
        <f>IF(SER_hh_tes_in!H24=0,"",SER_hh_tes_in!H24/SER_hh_fec_in!H24)</f>
        <v>0.6588524706723623</v>
      </c>
      <c r="I24" s="137">
        <f>IF(SER_hh_tes_in!I24=0,"",SER_hh_tes_in!I24/SER_hh_fec_in!I24)</f>
        <v>0.67177705408796351</v>
      </c>
      <c r="J24" s="137">
        <f>IF(SER_hh_tes_in!J24=0,"",SER_hh_tes_in!J24/SER_hh_fec_in!J24)</f>
        <v>0.68472223039869151</v>
      </c>
      <c r="K24" s="137">
        <f>IF(SER_hh_tes_in!K24=0,"",SER_hh_tes_in!K24/SER_hh_fec_in!K24)</f>
        <v>0.69763427275017098</v>
      </c>
      <c r="L24" s="137">
        <f>IF(SER_hh_tes_in!L24=0,"",SER_hh_tes_in!L24/SER_hh_fec_in!L24)</f>
        <v>0.71046549538638293</v>
      </c>
      <c r="M24" s="137">
        <f>IF(SER_hh_tes_in!M24=0,"",SER_hh_tes_in!M24/SER_hh_fec_in!M24)</f>
        <v>0.7222825430083375</v>
      </c>
      <c r="N24" s="137">
        <f>IF(SER_hh_tes_in!N24=0,"",SER_hh_tes_in!N24/SER_hh_fec_in!N24)</f>
        <v>0.73258436907516133</v>
      </c>
      <c r="O24" s="137">
        <f>IF(SER_hh_tes_in!O24=0,"",SER_hh_tes_in!O24/SER_hh_fec_in!O24)</f>
        <v>0.74109991648433327</v>
      </c>
      <c r="P24" s="137">
        <f>IF(SER_hh_tes_in!P24=0,"",SER_hh_tes_in!P24/SER_hh_fec_in!P24)</f>
        <v>0.74855875534226735</v>
      </c>
      <c r="Q24" s="137">
        <f>IF(SER_hh_tes_in!Q24=0,"",SER_hh_tes_in!Q24/SER_hh_fec_in!Q24)</f>
        <v>0.75743866681896355</v>
      </c>
      <c r="R24" s="137">
        <f>IF(SER_hh_tes_in!R24=0,"",SER_hh_tes_in!R24/SER_hh_fec_in!R24)</f>
        <v>0.7705318158873844</v>
      </c>
      <c r="S24" s="137">
        <f>IF(SER_hh_tes_in!S24=0,"",SER_hh_tes_in!S24/SER_hh_fec_in!S24)</f>
        <v>0.78520624000755079</v>
      </c>
      <c r="T24" s="137">
        <f>IF(SER_hh_tes_in!T24=0,"",SER_hh_tes_in!T24/SER_hh_fec_in!T24)</f>
        <v>0.79995184328597413</v>
      </c>
      <c r="U24" s="137">
        <f>IF(SER_hh_tes_in!U24=0,"",SER_hh_tes_in!U24/SER_hh_fec_in!U24)</f>
        <v>0.81353452610902854</v>
      </c>
      <c r="V24" s="137">
        <f>IF(SER_hh_tes_in!V24=0,"",SER_hh_tes_in!V24/SER_hh_fec_in!V24)</f>
        <v>0.8249198917407371</v>
      </c>
      <c r="W24" s="137">
        <f>IF(SER_hh_tes_in!W24=0,"",SER_hh_tes_in!W24/SER_hh_fec_in!W24)</f>
        <v>0.83407784200831692</v>
      </c>
      <c r="DA24" s="164" t="s">
        <v>682</v>
      </c>
    </row>
    <row r="25" spans="1:105" ht="12" customHeight="1" x14ac:dyDescent="0.25">
      <c r="A25" s="132" t="s">
        <v>169</v>
      </c>
      <c r="B25" s="137"/>
      <c r="C25" s="137">
        <f>IF(SER_hh_tes_in!C25=0,"",SER_hh_tes_in!C25/SER_hh_fec_in!C25)</f>
        <v>0.82771508691916917</v>
      </c>
      <c r="D25" s="137">
        <f>IF(SER_hh_tes_in!D25=0,"",SER_hh_tes_in!D25/SER_hh_fec_in!D25)</f>
        <v>0.83009665926760867</v>
      </c>
      <c r="E25" s="137">
        <f>IF(SER_hh_tes_in!E25=0,"",SER_hh_tes_in!E25/SER_hh_fec_in!E25)</f>
        <v>0.83254252785613769</v>
      </c>
      <c r="F25" s="137">
        <f>IF(SER_hh_tes_in!F25=0,"",SER_hh_tes_in!F25/SER_hh_fec_in!F25)</f>
        <v>0.83499716411376979</v>
      </c>
      <c r="G25" s="137">
        <f>IF(SER_hh_tes_in!G25=0,"",SER_hh_tes_in!G25/SER_hh_fec_in!G25)</f>
        <v>0.83751101342668122</v>
      </c>
      <c r="H25" s="137">
        <f>IF(SER_hh_tes_in!H25=0,"",SER_hh_tes_in!H25/SER_hh_fec_in!H25)</f>
        <v>0.8400779019218102</v>
      </c>
      <c r="I25" s="137">
        <f>IF(SER_hh_tes_in!I25=0,"",SER_hh_tes_in!I25/SER_hh_fec_in!I25)</f>
        <v>0.84271025934378418</v>
      </c>
      <c r="J25" s="137">
        <f>IF(SER_hh_tes_in!J25=0,"",SER_hh_tes_in!J25/SER_hh_fec_in!J25)</f>
        <v>0.84545900596903878</v>
      </c>
      <c r="K25" s="137">
        <f>IF(SER_hh_tes_in!K25=0,"",SER_hh_tes_in!K25/SER_hh_fec_in!K25)</f>
        <v>0.84836743742616905</v>
      </c>
      <c r="L25" s="137">
        <f>IF(SER_hh_tes_in!L25=0,"",SER_hh_tes_in!L25/SER_hh_fec_in!L25)</f>
        <v>0.85144713707085484</v>
      </c>
      <c r="M25" s="137">
        <f>IF(SER_hh_tes_in!M25=0,"",SER_hh_tes_in!M25/SER_hh_fec_in!M25)</f>
        <v>0.85571136570166262</v>
      </c>
      <c r="N25" s="137">
        <f>IF(SER_hh_tes_in!N25=0,"",SER_hh_tes_in!N25/SER_hh_fec_in!N25)</f>
        <v>0.8614804909631939</v>
      </c>
      <c r="O25" s="137">
        <f>IF(SER_hh_tes_in!O25=0,"",SER_hh_tes_in!O25/SER_hh_fec_in!O25)</f>
        <v>0.86903535402520959</v>
      </c>
      <c r="P25" s="137">
        <f>IF(SER_hh_tes_in!P25=0,"",SER_hh_tes_in!P25/SER_hh_fec_in!P25)</f>
        <v>0.8778416339717624</v>
      </c>
      <c r="Q25" s="137">
        <f>IF(SER_hh_tes_in!Q25=0,"",SER_hh_tes_in!Q25/SER_hh_fec_in!Q25)</f>
        <v>0.88615015704911437</v>
      </c>
      <c r="R25" s="137">
        <f>IF(SER_hh_tes_in!R25=0,"",SER_hh_tes_in!R25/SER_hh_fec_in!R25)</f>
        <v>0.89251670097912406</v>
      </c>
      <c r="S25" s="137">
        <f>IF(SER_hh_tes_in!S25=0,"",SER_hh_tes_in!S25/SER_hh_fec_in!S25)</f>
        <v>0.89871028393866847</v>
      </c>
      <c r="T25" s="137">
        <f>IF(SER_hh_tes_in!T25=0,"",SER_hh_tes_in!T25/SER_hh_fec_in!T25)</f>
        <v>0.9046895230620684</v>
      </c>
      <c r="U25" s="137">
        <f>IF(SER_hh_tes_in!U25=0,"",SER_hh_tes_in!U25/SER_hh_fec_in!U25)</f>
        <v>0.91041303548366459</v>
      </c>
      <c r="V25" s="137">
        <f>IF(SER_hh_tes_in!V25=0,"",SER_hh_tes_in!V25/SER_hh_fec_in!V25)</f>
        <v>0.91583943833779013</v>
      </c>
      <c r="W25" s="137">
        <f>IF(SER_hh_tes_in!W25=0,"",SER_hh_tes_in!W25/SER_hh_fec_in!W25)</f>
        <v>0.92083820127933469</v>
      </c>
      <c r="DA25" s="164" t="s">
        <v>683</v>
      </c>
    </row>
    <row r="26" spans="1:105" ht="12" customHeight="1" x14ac:dyDescent="0.25">
      <c r="A26" s="132" t="s">
        <v>24</v>
      </c>
      <c r="B26" s="138"/>
      <c r="C26" s="138">
        <f>IF(SER_hh_tes_in!C26=0,"",SER_hh_tes_in!C26/SER_hh_fec_in!C26)</f>
        <v>0.68501911791989623</v>
      </c>
      <c r="D26" s="138">
        <f>IF(SER_hh_tes_in!D26=0,"",SER_hh_tes_in!D26/SER_hh_fec_in!D26)</f>
        <v>0.68782744767247761</v>
      </c>
      <c r="E26" s="138">
        <f>IF(SER_hh_tes_in!E26=0,"",SER_hh_tes_in!E26/SER_hh_fec_in!E26)</f>
        <v>0.69085177769909967</v>
      </c>
      <c r="F26" s="138">
        <f>IF(SER_hh_tes_in!F26=0,"",SER_hh_tes_in!F26/SER_hh_fec_in!F26)</f>
        <v>0.69390515917812023</v>
      </c>
      <c r="G26" s="138">
        <f>IF(SER_hh_tes_in!G26=0,"",SER_hh_tes_in!G26/SER_hh_fec_in!G26)</f>
        <v>0.69715919560031459</v>
      </c>
      <c r="H26" s="138">
        <f>IF(SER_hh_tes_in!H26=0,"",SER_hh_tes_in!H26/SER_hh_fec_in!H26)</f>
        <v>0.70059465252157183</v>
      </c>
      <c r="I26" s="138">
        <f>IF(SER_hh_tes_in!I26=0,"",SER_hh_tes_in!I26/SER_hh_fec_in!I26)</f>
        <v>0.70425622303374924</v>
      </c>
      <c r="J26" s="138">
        <f>IF(SER_hh_tes_in!J26=0,"",SER_hh_tes_in!J26/SER_hh_fec_in!J26)</f>
        <v>0.70832280645050283</v>
      </c>
      <c r="K26" s="138">
        <f>IF(SER_hh_tes_in!K26=0,"",SER_hh_tes_in!K26/SER_hh_fec_in!K26)</f>
        <v>0.71295294339678517</v>
      </c>
      <c r="L26" s="138">
        <f>IF(SER_hh_tes_in!L26=0,"",SER_hh_tes_in!L26/SER_hh_fec_in!L26)</f>
        <v>0.71820212107025727</v>
      </c>
      <c r="M26" s="138">
        <f>IF(SER_hh_tes_in!M26=0,"",SER_hh_tes_in!M26/SER_hh_fec_in!M26)</f>
        <v>0.72770755659709452</v>
      </c>
      <c r="N26" s="138">
        <f>IF(SER_hh_tes_in!N26=0,"",SER_hh_tes_in!N26/SER_hh_fec_in!N26)</f>
        <v>0.74306738853620991</v>
      </c>
      <c r="O26" s="138">
        <f>IF(SER_hh_tes_in!O26=0,"",SER_hh_tes_in!O26/SER_hh_fec_in!O26)</f>
        <v>0.76633104315203149</v>
      </c>
      <c r="P26" s="138">
        <f>IF(SER_hh_tes_in!P26=0,"",SER_hh_tes_in!P26/SER_hh_fec_in!P26)</f>
        <v>0.79659407144395111</v>
      </c>
      <c r="Q26" s="138">
        <f>IF(SER_hh_tes_in!Q26=0,"",SER_hh_tes_in!Q26/SER_hh_fec_in!Q26)</f>
        <v>0.82628938050847967</v>
      </c>
      <c r="R26" s="138">
        <f>IF(SER_hh_tes_in!R26=0,"",SER_hh_tes_in!R26/SER_hh_fec_in!R26)</f>
        <v>0.84757663137416506</v>
      </c>
      <c r="S26" s="138">
        <f>IF(SER_hh_tes_in!S26=0,"",SER_hh_tes_in!S26/SER_hh_fec_in!S26)</f>
        <v>0.86865402227376876</v>
      </c>
      <c r="T26" s="138">
        <f>IF(SER_hh_tes_in!T26=0,"",SER_hh_tes_in!T26/SER_hh_fec_in!T26)</f>
        <v>0.88907959947288484</v>
      </c>
      <c r="U26" s="138">
        <f>IF(SER_hh_tes_in!U26=0,"",SER_hh_tes_in!U26/SER_hh_fec_in!U26)</f>
        <v>0.90826680840833174</v>
      </c>
      <c r="V26" s="138">
        <f>IF(SER_hh_tes_in!V26=0,"",SER_hh_tes_in!V26/SER_hh_fec_in!V26)</f>
        <v>0.92531575693998958</v>
      </c>
      <c r="W26" s="138">
        <f>IF(SER_hh_tes_in!W26=0,"",SER_hh_tes_in!W26/SER_hh_fec_in!W26)</f>
        <v>0.93873657539458621</v>
      </c>
      <c r="DA26" s="165" t="s">
        <v>684</v>
      </c>
    </row>
    <row r="27" spans="1:105" ht="12" customHeight="1" x14ac:dyDescent="0.25">
      <c r="A27" s="145" t="s">
        <v>26</v>
      </c>
      <c r="B27" s="149"/>
      <c r="C27" s="149">
        <f>IF(SER_hh_tes_in!C27=0,"",SER_hh_tes_in!C27/SER_hh_fec_in!C27)</f>
        <v>1</v>
      </c>
      <c r="D27" s="149">
        <f>IF(SER_hh_tes_in!D27=0,"",SER_hh_tes_in!D27/SER_hh_fec_in!D27)</f>
        <v>1</v>
      </c>
      <c r="E27" s="149">
        <f>IF(SER_hh_tes_in!E27=0,"",SER_hh_tes_in!E27/SER_hh_fec_in!E27)</f>
        <v>1</v>
      </c>
      <c r="F27" s="149">
        <f>IF(SER_hh_tes_in!F27=0,"",SER_hh_tes_in!F27/SER_hh_fec_in!F27)</f>
        <v>1</v>
      </c>
      <c r="G27" s="149">
        <f>IF(SER_hh_tes_in!G27=0,"",SER_hh_tes_in!G27/SER_hh_fec_in!G27)</f>
        <v>1</v>
      </c>
      <c r="H27" s="149">
        <f>IF(SER_hh_tes_in!H27=0,"",SER_hh_tes_in!H27/SER_hh_fec_in!H27)</f>
        <v>1</v>
      </c>
      <c r="I27" s="149">
        <f>IF(SER_hh_tes_in!I27=0,"",SER_hh_tes_in!I27/SER_hh_fec_in!I27)</f>
        <v>1</v>
      </c>
      <c r="J27" s="149">
        <f>IF(SER_hh_tes_in!J27=0,"",SER_hh_tes_in!J27/SER_hh_fec_in!J27)</f>
        <v>1</v>
      </c>
      <c r="K27" s="149">
        <f>IF(SER_hh_tes_in!K27=0,"",SER_hh_tes_in!K27/SER_hh_fec_in!K27)</f>
        <v>1</v>
      </c>
      <c r="L27" s="149">
        <f>IF(SER_hh_tes_in!L27=0,"",SER_hh_tes_in!L27/SER_hh_fec_in!L27)</f>
        <v>1</v>
      </c>
      <c r="M27" s="149">
        <f>IF(SER_hh_tes_in!M27=0,"",SER_hh_tes_in!M27/SER_hh_fec_in!M27)</f>
        <v>1</v>
      </c>
      <c r="N27" s="149">
        <f>IF(SER_hh_tes_in!N27=0,"",SER_hh_tes_in!N27/SER_hh_fec_in!N27)</f>
        <v>1</v>
      </c>
      <c r="O27" s="149">
        <f>IF(SER_hh_tes_in!O27=0,"",SER_hh_tes_in!O27/SER_hh_fec_in!O27)</f>
        <v>1</v>
      </c>
      <c r="P27" s="149" t="str">
        <f>IF(SER_hh_tes_in!P27=0,"",SER_hh_tes_in!P27/SER_hh_fec_in!P27)</f>
        <v/>
      </c>
      <c r="Q27" s="149">
        <f>IF(SER_hh_tes_in!Q27=0,"",SER_hh_tes_in!Q27/SER_hh_fec_in!Q27)</f>
        <v>1</v>
      </c>
      <c r="R27" s="149">
        <f>IF(SER_hh_tes_in!R27=0,"",SER_hh_tes_in!R27/SER_hh_fec_in!R27)</f>
        <v>1</v>
      </c>
      <c r="S27" s="149">
        <f>IF(SER_hh_tes_in!S27=0,"",SER_hh_tes_in!S27/SER_hh_fec_in!S27)</f>
        <v>1</v>
      </c>
      <c r="T27" s="149">
        <f>IF(SER_hh_tes_in!T27=0,"",SER_hh_tes_in!T27/SER_hh_fec_in!T27)</f>
        <v>1</v>
      </c>
      <c r="U27" s="149">
        <f>IF(SER_hh_tes_in!U27=0,"",SER_hh_tes_in!U27/SER_hh_fec_in!U27)</f>
        <v>1</v>
      </c>
      <c r="V27" s="149">
        <f>IF(SER_hh_tes_in!V27=0,"",SER_hh_tes_in!V27/SER_hh_fec_in!V27)</f>
        <v>1</v>
      </c>
      <c r="W27" s="149">
        <f>IF(SER_hh_tes_in!W27=0,"",SER_hh_tes_in!W27/SER_hh_fec_in!W27)</f>
        <v>1</v>
      </c>
      <c r="DA27" s="167" t="s">
        <v>685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/>
      <c r="C29" s="136">
        <f>IF(SER_hh_tes_in!C29=0,"",SER_hh_tes_in!C29/SER_hh_fec_in!C29)</f>
        <v>0.69588047419699262</v>
      </c>
      <c r="D29" s="136">
        <f>IF(SER_hh_tes_in!D29=0,"",SER_hh_tes_in!D29/SER_hh_fec_in!D29)</f>
        <v>0.69291793197827289</v>
      </c>
      <c r="E29" s="136">
        <f>IF(SER_hh_tes_in!E29=0,"",SER_hh_tes_in!E29/SER_hh_fec_in!E29)</f>
        <v>0.68790686713762794</v>
      </c>
      <c r="F29" s="136">
        <f>IF(SER_hh_tes_in!F29=0,"",SER_hh_tes_in!F29/SER_hh_fec_in!F29)</f>
        <v>0.68567229302631105</v>
      </c>
      <c r="G29" s="136">
        <f>IF(SER_hh_tes_in!G29=0,"",SER_hh_tes_in!G29/SER_hh_fec_in!G29)</f>
        <v>0.68002926049140699</v>
      </c>
      <c r="H29" s="136">
        <f>IF(SER_hh_tes_in!H29=0,"",SER_hh_tes_in!H29/SER_hh_fec_in!H29)</f>
        <v>0.69192826080970682</v>
      </c>
      <c r="I29" s="136">
        <f>IF(SER_hh_tes_in!I29=0,"",SER_hh_tes_in!I29/SER_hh_fec_in!I29)</f>
        <v>0.70000491808680398</v>
      </c>
      <c r="J29" s="136">
        <f>IF(SER_hh_tes_in!J29=0,"",SER_hh_tes_in!J29/SER_hh_fec_in!J29)</f>
        <v>0.69952167308352309</v>
      </c>
      <c r="K29" s="136">
        <f>IF(SER_hh_tes_in!K29=0,"",SER_hh_tes_in!K29/SER_hh_fec_in!K29)</f>
        <v>0.70309066731792347</v>
      </c>
      <c r="L29" s="136">
        <f>IF(SER_hh_tes_in!L29=0,"",SER_hh_tes_in!L29/SER_hh_fec_in!L29)</f>
        <v>0.7049072440098888</v>
      </c>
      <c r="M29" s="136">
        <f>IF(SER_hh_tes_in!M29=0,"",SER_hh_tes_in!M29/SER_hh_fec_in!M29)</f>
        <v>0.72134047826195669</v>
      </c>
      <c r="N29" s="136">
        <f>IF(SER_hh_tes_in!N29=0,"",SER_hh_tes_in!N29/SER_hh_fec_in!N29)</f>
        <v>0.7286609571883873</v>
      </c>
      <c r="O29" s="136">
        <f>IF(SER_hh_tes_in!O29=0,"",SER_hh_tes_in!O29/SER_hh_fec_in!O29)</f>
        <v>0.71732046276326178</v>
      </c>
      <c r="P29" s="136">
        <f>IF(SER_hh_tes_in!P29=0,"",SER_hh_tes_in!P29/SER_hh_fec_in!P29)</f>
        <v>0.71817380257107055</v>
      </c>
      <c r="Q29" s="136">
        <f>IF(SER_hh_tes_in!Q29=0,"",SER_hh_tes_in!Q29/SER_hh_fec_in!Q29)</f>
        <v>0.70043135668705447</v>
      </c>
      <c r="R29" s="136">
        <f>IF(SER_hh_tes_in!R29=0,"",SER_hh_tes_in!R29/SER_hh_fec_in!R29)</f>
        <v>0.72101584215203574</v>
      </c>
      <c r="S29" s="136">
        <f>IF(SER_hh_tes_in!S29=0,"",SER_hh_tes_in!S29/SER_hh_fec_in!S29)</f>
        <v>0.74141685770401933</v>
      </c>
      <c r="T29" s="136">
        <f>IF(SER_hh_tes_in!T29=0,"",SER_hh_tes_in!T29/SER_hh_fec_in!T29)</f>
        <v>0.75977361150276157</v>
      </c>
      <c r="U29" s="136">
        <f>IF(SER_hh_tes_in!U29=0,"",SER_hh_tes_in!U29/SER_hh_fec_in!U29)</f>
        <v>0.76282558305128045</v>
      </c>
      <c r="V29" s="136">
        <f>IF(SER_hh_tes_in!V29=0,"",SER_hh_tes_in!V29/SER_hh_fec_in!V29)</f>
        <v>0.80602322288720063</v>
      </c>
      <c r="W29" s="136">
        <f>IF(SER_hh_tes_in!W29=0,"",SER_hh_tes_in!W29/SER_hh_fec_in!W29)</f>
        <v>0.79000257827794296</v>
      </c>
      <c r="DA29" s="163" t="s">
        <v>686</v>
      </c>
    </row>
    <row r="30" spans="1:105" s="2" customFormat="1" ht="12" customHeight="1" x14ac:dyDescent="0.25">
      <c r="A30" s="132" t="s">
        <v>52</v>
      </c>
      <c r="B30" s="137"/>
      <c r="C30" s="137">
        <f>IF(SER_hh_tes_in!C30=0,"",SER_hh_tes_in!C30/SER_hh_fec_in!C30)</f>
        <v>0.5545529962118263</v>
      </c>
      <c r="D30" s="137">
        <f>IF(SER_hh_tes_in!D30=0,"",SER_hh_tes_in!D30/SER_hh_fec_in!D30)</f>
        <v>0.55586041563004285</v>
      </c>
      <c r="E30" s="137">
        <f>IF(SER_hh_tes_in!E30=0,"",SER_hh_tes_in!E30/SER_hh_fec_in!E30)</f>
        <v>0.55714939645003969</v>
      </c>
      <c r="F30" s="137">
        <f>IF(SER_hh_tes_in!F30=0,"",SER_hh_tes_in!F30/SER_hh_fec_in!F30)</f>
        <v>0.55843586291573399</v>
      </c>
      <c r="G30" s="137">
        <f>IF(SER_hh_tes_in!G30=0,"",SER_hh_tes_in!G30/SER_hh_fec_in!G30)</f>
        <v>0.55970534851700871</v>
      </c>
      <c r="H30" s="137">
        <f>IF(SER_hh_tes_in!H30=0,"",SER_hh_tes_in!H30/SER_hh_fec_in!H30)</f>
        <v>0.5609596237705341</v>
      </c>
      <c r="I30" s="137">
        <f>IF(SER_hh_tes_in!I30=0,"",SER_hh_tes_in!I30/SER_hh_fec_in!I30)</f>
        <v>0.56219512412779404</v>
      </c>
      <c r="J30" s="137">
        <f>IF(SER_hh_tes_in!J30=0,"",SER_hh_tes_in!J30/SER_hh_fec_in!J30)</f>
        <v>0.56339724689169357</v>
      </c>
      <c r="K30" s="137">
        <f>IF(SER_hh_tes_in!K30=0,"",SER_hh_tes_in!K30/SER_hh_fec_in!K30)</f>
        <v>0.56455357592873523</v>
      </c>
      <c r="L30" s="137">
        <f>IF(SER_hh_tes_in!L30=0,"",SER_hh_tes_in!L30/SER_hh_fec_in!L30)</f>
        <v>0.56566078941417208</v>
      </c>
      <c r="M30" s="137">
        <f>IF(SER_hh_tes_in!M30=0,"",SER_hh_tes_in!M30/SER_hh_fec_in!M30)</f>
        <v>0.56625661686146411</v>
      </c>
      <c r="N30" s="137" t="str">
        <f>IF(SER_hh_tes_in!N30=0,"",SER_hh_tes_in!N30/SER_hh_fec_in!N30)</f>
        <v/>
      </c>
      <c r="O30" s="137">
        <f>IF(SER_hh_tes_in!O30=0,"",SER_hh_tes_in!O30/SER_hh_fec_in!O30)</f>
        <v>0.56625661686146411</v>
      </c>
      <c r="P30" s="137">
        <f>IF(SER_hh_tes_in!P30=0,"",SER_hh_tes_in!P30/SER_hh_fec_in!P30)</f>
        <v>0.56625661686146411</v>
      </c>
      <c r="Q30" s="137">
        <f>IF(SER_hh_tes_in!Q30=0,"",SER_hh_tes_in!Q30/SER_hh_fec_in!Q30)</f>
        <v>0.56625661686146411</v>
      </c>
      <c r="R30" s="137">
        <f>IF(SER_hh_tes_in!R30=0,"",SER_hh_tes_in!R30/SER_hh_fec_in!R30)</f>
        <v>0.57002087501834664</v>
      </c>
      <c r="S30" s="137">
        <f>IF(SER_hh_tes_in!S30=0,"",SER_hh_tes_in!S30/SER_hh_fec_in!S30)</f>
        <v>0.57617628998895221</v>
      </c>
      <c r="T30" s="137">
        <f>IF(SER_hh_tes_in!T30=0,"",SER_hh_tes_in!T30/SER_hh_fec_in!T30)</f>
        <v>0.58335760745465315</v>
      </c>
      <c r="U30" s="137">
        <f>IF(SER_hh_tes_in!U30=0,"",SER_hh_tes_in!U30/SER_hh_fec_in!U30)</f>
        <v>0.59079540054413071</v>
      </c>
      <c r="V30" s="137">
        <f>IF(SER_hh_tes_in!V30=0,"",SER_hh_tes_in!V30/SER_hh_fec_in!V30)</f>
        <v>0.59772024238605814</v>
      </c>
      <c r="W30" s="137">
        <f>IF(SER_hh_tes_in!W30=0,"",SER_hh_tes_in!W30/SER_hh_fec_in!W30)</f>
        <v>0.60413213298043211</v>
      </c>
      <c r="DA30" s="164" t="s">
        <v>687</v>
      </c>
    </row>
    <row r="31" spans="1:105" ht="12" customHeight="1" x14ac:dyDescent="0.25">
      <c r="A31" s="132" t="s">
        <v>153</v>
      </c>
      <c r="B31" s="137"/>
      <c r="C31" s="137">
        <f>IF(SER_hh_tes_in!C31=0,"",SER_hh_tes_in!C31/SER_hh_fec_in!C31)</f>
        <v>0.55745337994473754</v>
      </c>
      <c r="D31" s="137">
        <f>IF(SER_hh_tes_in!D31=0,"",SER_hh_tes_in!D31/SER_hh_fec_in!D31)</f>
        <v>0.55874329130210076</v>
      </c>
      <c r="E31" s="137">
        <f>IF(SER_hh_tes_in!E31=0,"",SER_hh_tes_in!E31/SER_hh_fec_in!E31)</f>
        <v>0.56001501097825912</v>
      </c>
      <c r="F31" s="137">
        <f>IF(SER_hh_tes_in!F31=0,"",SER_hh_tes_in!F31/SER_hh_fec_in!F31)</f>
        <v>0.56128424997061666</v>
      </c>
      <c r="G31" s="137">
        <f>IF(SER_hh_tes_in!G31=0,"",SER_hh_tes_in!G31/SER_hh_fec_in!G31)</f>
        <v>0.56253673549460192</v>
      </c>
      <c r="H31" s="137">
        <f>IF(SER_hh_tes_in!H31=0,"",SER_hh_tes_in!H31/SER_hh_fec_in!H31)</f>
        <v>0.56377421435734443</v>
      </c>
      <c r="I31" s="137">
        <f>IF(SER_hh_tes_in!I31=0,"",SER_hh_tes_in!I31/SER_hh_fec_in!I31)</f>
        <v>0.56499316974430791</v>
      </c>
      <c r="J31" s="137">
        <f>IF(SER_hh_tes_in!J31=0,"",SER_hh_tes_in!J31/SER_hh_fec_in!J31)</f>
        <v>0.5661791945076653</v>
      </c>
      <c r="K31" s="137">
        <f>IF(SER_hh_tes_in!K31=0,"",SER_hh_tes_in!K31/SER_hh_fec_in!K31)</f>
        <v>0.56732003878223125</v>
      </c>
      <c r="L31" s="137">
        <f>IF(SER_hh_tes_in!L31=0,"",SER_hh_tes_in!L31/SER_hh_fec_in!L31)</f>
        <v>0.56841242522684987</v>
      </c>
      <c r="M31" s="137">
        <f>IF(SER_hh_tes_in!M31=0,"",SER_hh_tes_in!M31/SER_hh_fec_in!M31)</f>
        <v>0.56900027376312079</v>
      </c>
      <c r="N31" s="137">
        <f>IF(SER_hh_tes_in!N31=0,"",SER_hh_tes_in!N31/SER_hh_fec_in!N31)</f>
        <v>0.56900027376312079</v>
      </c>
      <c r="O31" s="137">
        <f>IF(SER_hh_tes_in!O31=0,"",SER_hh_tes_in!O31/SER_hh_fec_in!O31)</f>
        <v>0.56900027376312079</v>
      </c>
      <c r="P31" s="137">
        <f>IF(SER_hh_tes_in!P31=0,"",SER_hh_tes_in!P31/SER_hh_fec_in!P31)</f>
        <v>0.56900027376312079</v>
      </c>
      <c r="Q31" s="137">
        <f>IF(SER_hh_tes_in!Q31=0,"",SER_hh_tes_in!Q31/SER_hh_fec_in!Q31)</f>
        <v>0.56900027376312079</v>
      </c>
      <c r="R31" s="137">
        <f>IF(SER_hh_tes_in!R31=0,"",SER_hh_tes_in!R31/SER_hh_fec_in!R31)</f>
        <v>0.57271412356598961</v>
      </c>
      <c r="S31" s="137">
        <f>IF(SER_hh_tes_in!S31=0,"",SER_hh_tes_in!S31/SER_hh_fec_in!S31)</f>
        <v>0.57878710945654543</v>
      </c>
      <c r="T31" s="137">
        <f>IF(SER_hh_tes_in!T31=0,"",SER_hh_tes_in!T31/SER_hh_fec_in!T31)</f>
        <v>0.58587225966218881</v>
      </c>
      <c r="U31" s="137">
        <f>IF(SER_hh_tes_in!U31=0,"",SER_hh_tes_in!U31/SER_hh_fec_in!U31)</f>
        <v>0.59321045094660652</v>
      </c>
      <c r="V31" s="137">
        <f>IF(SER_hh_tes_in!V31=0,"",SER_hh_tes_in!V31/SER_hh_fec_in!V31)</f>
        <v>0.600042560073478</v>
      </c>
      <c r="W31" s="137">
        <f>IF(SER_hh_tes_in!W31=0,"",SER_hh_tes_in!W31/SER_hh_fec_in!W31)</f>
        <v>0.6063685870428005</v>
      </c>
      <c r="DA31" s="164" t="s">
        <v>688</v>
      </c>
    </row>
    <row r="32" spans="1:105" ht="12" customHeight="1" x14ac:dyDescent="0.25">
      <c r="A32" s="132" t="s">
        <v>128</v>
      </c>
      <c r="B32" s="137"/>
      <c r="C32" s="137" t="str">
        <f>IF(SER_hh_tes_in!C32=0,"",SER_hh_tes_in!C32/SER_hh_fec_in!C32)</f>
        <v/>
      </c>
      <c r="D32" s="137" t="str">
        <f>IF(SER_hh_tes_in!D32=0,"",SER_hh_tes_in!D32/SER_hh_fec_in!D32)</f>
        <v/>
      </c>
      <c r="E32" s="137" t="str">
        <f>IF(SER_hh_tes_in!E32=0,"",SER_hh_tes_in!E32/SER_hh_fec_in!E32)</f>
        <v/>
      </c>
      <c r="F32" s="137" t="str">
        <f>IF(SER_hh_tes_in!F32=0,"",SER_hh_tes_in!F32/SER_hh_fec_in!F32)</f>
        <v/>
      </c>
      <c r="G32" s="137" t="str">
        <f>IF(SER_hh_tes_in!G32=0,"",SER_hh_tes_in!G32/SER_hh_fec_in!G32)</f>
        <v/>
      </c>
      <c r="H32" s="137" t="str">
        <f>IF(SER_hh_tes_in!H32=0,"",SER_hh_tes_in!H32/SER_hh_fec_in!H32)</f>
        <v/>
      </c>
      <c r="I32" s="137" t="str">
        <f>IF(SER_hh_tes_in!I32=0,"",SER_hh_tes_in!I32/SER_hh_fec_in!I32)</f>
        <v/>
      </c>
      <c r="J32" s="137" t="str">
        <f>IF(SER_hh_tes_in!J32=0,"",SER_hh_tes_in!J32/SER_hh_fec_in!J32)</f>
        <v/>
      </c>
      <c r="K32" s="137" t="str">
        <f>IF(SER_hh_tes_in!K32=0,"",SER_hh_tes_in!K32/SER_hh_fec_in!K32)</f>
        <v/>
      </c>
      <c r="L32" s="137" t="str">
        <f>IF(SER_hh_tes_in!L32=0,"",SER_hh_tes_in!L32/SER_hh_fec_in!L32)</f>
        <v/>
      </c>
      <c r="M32" s="137" t="str">
        <f>IF(SER_hh_tes_in!M32=0,"",SER_hh_tes_in!M32/SER_hh_fec_in!M32)</f>
        <v/>
      </c>
      <c r="N32" s="137" t="str">
        <f>IF(SER_hh_tes_in!N32=0,"",SER_hh_tes_in!N32/SER_hh_fec_in!N32)</f>
        <v/>
      </c>
      <c r="O32" s="137" t="str">
        <f>IF(SER_hh_tes_in!O32=0,"",SER_hh_tes_in!O32/SER_hh_fec_in!O32)</f>
        <v/>
      </c>
      <c r="P32" s="137" t="str">
        <f>IF(SER_hh_tes_in!P32=0,"",SER_hh_tes_in!P32/SER_hh_fec_in!P32)</f>
        <v/>
      </c>
      <c r="Q32" s="137" t="str">
        <f>IF(SER_hh_tes_in!Q32=0,"",SER_hh_tes_in!Q32/SER_hh_fec_in!Q32)</f>
        <v/>
      </c>
      <c r="R32" s="137" t="str">
        <f>IF(SER_hh_tes_in!R32=0,"",SER_hh_tes_in!R32/SER_hh_fec_in!R32)</f>
        <v/>
      </c>
      <c r="S32" s="137" t="str">
        <f>IF(SER_hh_tes_in!S32=0,"",SER_hh_tes_in!S32/SER_hh_fec_in!S32)</f>
        <v/>
      </c>
      <c r="T32" s="137" t="str">
        <f>IF(SER_hh_tes_in!T32=0,"",SER_hh_tes_in!T32/SER_hh_fec_in!T32)</f>
        <v/>
      </c>
      <c r="U32" s="137" t="str">
        <f>IF(SER_hh_tes_in!U32=0,"",SER_hh_tes_in!U32/SER_hh_fec_in!U32)</f>
        <v/>
      </c>
      <c r="V32" s="137" t="str">
        <f>IF(SER_hh_tes_in!V32=0,"",SER_hh_tes_in!V32/SER_hh_fec_in!V32)</f>
        <v/>
      </c>
      <c r="W32" s="137" t="str">
        <f>IF(SER_hh_tes_in!W32=0,"",SER_hh_tes_in!W32/SER_hh_fec_in!W32)</f>
        <v/>
      </c>
      <c r="DA32" s="164" t="s">
        <v>689</v>
      </c>
    </row>
    <row r="33" spans="1:105" ht="12" customHeight="1" x14ac:dyDescent="0.25">
      <c r="A33" s="62" t="s">
        <v>24</v>
      </c>
      <c r="B33" s="150"/>
      <c r="C33" s="150">
        <f>IF(SER_hh_tes_in!C33=0,"",SER_hh_tes_in!C33/SER_hh_fec_in!C33)</f>
        <v>0.73236644261323769</v>
      </c>
      <c r="D33" s="150">
        <f>IF(SER_hh_tes_in!D33=0,"",SER_hh_tes_in!D33/SER_hh_fec_in!D33)</f>
        <v>0.73393563540071816</v>
      </c>
      <c r="E33" s="150">
        <f>IF(SER_hh_tes_in!E33=0,"",SER_hh_tes_in!E33/SER_hh_fec_in!E33)</f>
        <v>0.73556285313404368</v>
      </c>
      <c r="F33" s="150">
        <f>IF(SER_hh_tes_in!F33=0,"",SER_hh_tes_in!F33/SER_hh_fec_in!F33)</f>
        <v>0.73719798335998443</v>
      </c>
      <c r="G33" s="150">
        <f>IF(SER_hh_tes_in!G33=0,"",SER_hh_tes_in!G33/SER_hh_fec_in!G33)</f>
        <v>0.73888655114807666</v>
      </c>
      <c r="H33" s="150">
        <f>IF(SER_hh_tes_in!H33=0,"",SER_hh_tes_in!H33/SER_hh_fec_in!H33)</f>
        <v>0.74062298480937583</v>
      </c>
      <c r="I33" s="150">
        <f>IF(SER_hh_tes_in!I33=0,"",SER_hh_tes_in!I33/SER_hh_fec_in!I33)</f>
        <v>0.74241850172234602</v>
      </c>
      <c r="J33" s="150">
        <f>IF(SER_hh_tes_in!J33=0,"",SER_hh_tes_in!J33/SER_hh_fec_in!J33)</f>
        <v>0.74431905552717603</v>
      </c>
      <c r="K33" s="150">
        <f>IF(SER_hh_tes_in!K33=0,"",SER_hh_tes_in!K33/SER_hh_fec_in!K33)</f>
        <v>0.74636371890527053</v>
      </c>
      <c r="L33" s="150">
        <f>IF(SER_hh_tes_in!L33=0,"",SER_hh_tes_in!L33/SER_hh_fec_in!L33)</f>
        <v>0.74856294540080426</v>
      </c>
      <c r="M33" s="150">
        <f>IF(SER_hh_tes_in!M33=0,"",SER_hh_tes_in!M33/SER_hh_fec_in!M33)</f>
        <v>0.75155506401702021</v>
      </c>
      <c r="N33" s="150">
        <f>IF(SER_hh_tes_in!N33=0,"",SER_hh_tes_in!N33/SER_hh_fec_in!N33)</f>
        <v>0.75552107530158874</v>
      </c>
      <c r="O33" s="150">
        <f>IF(SER_hh_tes_in!O33=0,"",SER_hh_tes_in!O33/SER_hh_fec_in!O33)</f>
        <v>0.76090107831665743</v>
      </c>
      <c r="P33" s="150">
        <f>IF(SER_hh_tes_in!P33=0,"",SER_hh_tes_in!P33/SER_hh_fec_in!P33)</f>
        <v>0.76792621706180619</v>
      </c>
      <c r="Q33" s="150">
        <f>IF(SER_hh_tes_in!Q33=0,"",SER_hh_tes_in!Q33/SER_hh_fec_in!Q33)</f>
        <v>0.77698068492461203</v>
      </c>
      <c r="R33" s="150">
        <f>IF(SER_hh_tes_in!R33=0,"",SER_hh_tes_in!R33/SER_hh_fec_in!R33)</f>
        <v>0.78929789230002223</v>
      </c>
      <c r="S33" s="150">
        <f>IF(SER_hh_tes_in!S33=0,"",SER_hh_tes_in!S33/SER_hh_fec_in!S33)</f>
        <v>0.80467091915359745</v>
      </c>
      <c r="T33" s="150">
        <f>IF(SER_hh_tes_in!T33=0,"",SER_hh_tes_in!T33/SER_hh_fec_in!T33)</f>
        <v>0.82119941626246362</v>
      </c>
      <c r="U33" s="150">
        <f>IF(SER_hh_tes_in!U33=0,"",SER_hh_tes_in!U33/SER_hh_fec_in!U33)</f>
        <v>0.83698303440379396</v>
      </c>
      <c r="V33" s="150">
        <f>IF(SER_hh_tes_in!V33=0,"",SER_hh_tes_in!V33/SER_hh_fec_in!V33)</f>
        <v>0.85012142435474047</v>
      </c>
      <c r="W33" s="150">
        <f>IF(SER_hh_tes_in!W33=0,"",SER_hh_tes_in!W33/SER_hh_fec_in!W33)</f>
        <v>0.85994705472284672</v>
      </c>
      <c r="DA33" s="168" t="s">
        <v>690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/>
      <c r="C3" s="126">
        <f t="shared" ref="C3:Q3" si="0">SUM(C4,C16,C19,C29)</f>
        <v>12.788250303105992</v>
      </c>
      <c r="D3" s="126">
        <f t="shared" si="0"/>
        <v>25.85525252598357</v>
      </c>
      <c r="E3" s="126">
        <f t="shared" si="0"/>
        <v>28.236289869749015</v>
      </c>
      <c r="F3" s="126">
        <f t="shared" si="0"/>
        <v>24.541339391868146</v>
      </c>
      <c r="G3" s="126">
        <f t="shared" si="0"/>
        <v>20.309268304317005</v>
      </c>
      <c r="H3" s="126">
        <f t="shared" si="0"/>
        <v>17.393813283515204</v>
      </c>
      <c r="I3" s="126">
        <f t="shared" si="0"/>
        <v>15.752315016703236</v>
      </c>
      <c r="J3" s="126">
        <f t="shared" si="0"/>
        <v>9.9199799129717228</v>
      </c>
      <c r="K3" s="126">
        <f t="shared" si="0"/>
        <v>10.982951921925142</v>
      </c>
      <c r="L3" s="126">
        <f t="shared" si="0"/>
        <v>9.3057902888644612</v>
      </c>
      <c r="M3" s="126">
        <f t="shared" si="0"/>
        <v>4.6426536832422824</v>
      </c>
      <c r="N3" s="126">
        <f t="shared" si="0"/>
        <v>5.2593949972686289</v>
      </c>
      <c r="O3" s="126">
        <f t="shared" si="0"/>
        <v>6.1717013146141584</v>
      </c>
      <c r="P3" s="126">
        <f t="shared" si="0"/>
        <v>4.7675124322637217</v>
      </c>
      <c r="Q3" s="126">
        <f t="shared" si="0"/>
        <v>8.7137280753277082</v>
      </c>
      <c r="R3" s="126">
        <f t="shared" ref="R3:W3" si="1">SUM(R4,R16,R19,R29)</f>
        <v>8.8663279292335631</v>
      </c>
      <c r="S3" s="126">
        <f t="shared" si="1"/>
        <v>8.79461114093003</v>
      </c>
      <c r="T3" s="126">
        <f t="shared" si="1"/>
        <v>6.1006740578639578</v>
      </c>
      <c r="U3" s="126">
        <f t="shared" si="1"/>
        <v>7.9970976596803691</v>
      </c>
      <c r="V3" s="126">
        <f t="shared" si="1"/>
        <v>6.6899801472006004</v>
      </c>
      <c r="W3" s="126">
        <f t="shared" si="1"/>
        <v>6.1465965346876068</v>
      </c>
      <c r="DA3" s="155" t="s">
        <v>692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9.711343508092515</v>
      </c>
      <c r="D4" s="131">
        <f t="shared" si="2"/>
        <v>21.383839884592181</v>
      </c>
      <c r="E4" s="131">
        <f t="shared" si="2"/>
        <v>23.298507729914167</v>
      </c>
      <c r="F4" s="131">
        <f t="shared" si="2"/>
        <v>19.998538449250223</v>
      </c>
      <c r="G4" s="131">
        <f t="shared" si="2"/>
        <v>15.62365748790948</v>
      </c>
      <c r="H4" s="131">
        <f t="shared" si="2"/>
        <v>13.575665707721408</v>
      </c>
      <c r="I4" s="131">
        <f t="shared" si="2"/>
        <v>11.438072899819627</v>
      </c>
      <c r="J4" s="131">
        <f t="shared" si="2"/>
        <v>7.3071911838788282</v>
      </c>
      <c r="K4" s="131">
        <f t="shared" si="2"/>
        <v>7.7144055249580044</v>
      </c>
      <c r="L4" s="131">
        <f t="shared" si="2"/>
        <v>6.2422744374891872</v>
      </c>
      <c r="M4" s="131">
        <f t="shared" si="2"/>
        <v>3.7784344439115838</v>
      </c>
      <c r="N4" s="131">
        <f t="shared" si="2"/>
        <v>4.5641481927185197</v>
      </c>
      <c r="O4" s="131">
        <f t="shared" si="2"/>
        <v>4.9810798811590189</v>
      </c>
      <c r="P4" s="131">
        <f t="shared" si="2"/>
        <v>3.2027672536136196</v>
      </c>
      <c r="Q4" s="131">
        <f t="shared" si="2"/>
        <v>6.0471506717212282</v>
      </c>
      <c r="R4" s="131">
        <f t="shared" ref="R4:W4" si="3">SUM(R5:R15)</f>
        <v>6.0168090889293051</v>
      </c>
      <c r="S4" s="131">
        <f t="shared" si="3"/>
        <v>6.1081652984463171</v>
      </c>
      <c r="T4" s="131">
        <f t="shared" si="3"/>
        <v>4.1043296352851888</v>
      </c>
      <c r="U4" s="131">
        <f t="shared" si="3"/>
        <v>5.7536350478878067</v>
      </c>
      <c r="V4" s="131">
        <f t="shared" si="3"/>
        <v>5.4240863255065195</v>
      </c>
      <c r="W4" s="131">
        <f t="shared" si="3"/>
        <v>4.3954204208175138</v>
      </c>
      <c r="DA4" s="156" t="s">
        <v>693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694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695</v>
      </c>
    </row>
    <row r="7" spans="1:105" ht="12" customHeight="1" x14ac:dyDescent="0.25">
      <c r="A7" s="132" t="s">
        <v>168</v>
      </c>
      <c r="B7" s="133"/>
      <c r="C7" s="133">
        <v>1.5581280736074741</v>
      </c>
      <c r="D7" s="133">
        <v>3.7227523385415591</v>
      </c>
      <c r="E7" s="133">
        <v>4.6354886570813694</v>
      </c>
      <c r="F7" s="133">
        <v>5.0482400436571657</v>
      </c>
      <c r="G7" s="133">
        <v>1.4373628784359935</v>
      </c>
      <c r="H7" s="133">
        <v>0.18364509088118347</v>
      </c>
      <c r="I7" s="133">
        <v>2.009795439843876</v>
      </c>
      <c r="J7" s="133">
        <v>2.8098972409849834</v>
      </c>
      <c r="K7" s="133">
        <v>3.4635614403323189</v>
      </c>
      <c r="L7" s="133">
        <v>3.6501739314951256</v>
      </c>
      <c r="M7" s="133">
        <v>1.7740545639247132</v>
      </c>
      <c r="N7" s="133">
        <v>2.0676641027792493</v>
      </c>
      <c r="O7" s="133">
        <v>1.5508176442065909</v>
      </c>
      <c r="P7" s="133">
        <v>0.90816547712045959</v>
      </c>
      <c r="Q7" s="133">
        <v>0.22668044275256458</v>
      </c>
      <c r="R7" s="133">
        <v>0.50498503037088038</v>
      </c>
      <c r="S7" s="133">
        <v>0</v>
      </c>
      <c r="T7" s="133">
        <v>0.1063632587641959</v>
      </c>
      <c r="U7" s="133">
        <v>0</v>
      </c>
      <c r="V7" s="133">
        <v>0</v>
      </c>
      <c r="W7" s="133">
        <v>0</v>
      </c>
      <c r="DA7" s="157" t="s">
        <v>696</v>
      </c>
    </row>
    <row r="8" spans="1:105" ht="12" customHeight="1" x14ac:dyDescent="0.25">
      <c r="A8" s="132" t="s">
        <v>73</v>
      </c>
      <c r="B8" s="133"/>
      <c r="C8" s="133">
        <v>4.4345089136449975E-3</v>
      </c>
      <c r="D8" s="133">
        <v>1.5121724317212469E-2</v>
      </c>
      <c r="E8" s="133">
        <v>1.7755422182853125E-2</v>
      </c>
      <c r="F8" s="133">
        <v>1.1276076128839621E-2</v>
      </c>
      <c r="G8" s="133">
        <v>2.2235638503921341E-2</v>
      </c>
      <c r="H8" s="133">
        <v>1.9777156096358637E-2</v>
      </c>
      <c r="I8" s="133">
        <v>0.11393146991438764</v>
      </c>
      <c r="J8" s="133">
        <v>3.5923159197618536E-2</v>
      </c>
      <c r="K8" s="133">
        <v>4.0211819339549981E-2</v>
      </c>
      <c r="L8" s="133">
        <v>2.5383587320771998E-2</v>
      </c>
      <c r="M8" s="133">
        <v>1.9566161205172822E-2</v>
      </c>
      <c r="N8" s="133">
        <v>1.6150309991158036E-2</v>
      </c>
      <c r="O8" s="133">
        <v>2.3213681278284434E-2</v>
      </c>
      <c r="P8" s="133">
        <v>6.5968486276717239E-2</v>
      </c>
      <c r="Q8" s="133">
        <v>5.076510354791737E-2</v>
      </c>
      <c r="R8" s="133">
        <v>4.8053012078935767E-2</v>
      </c>
      <c r="S8" s="133">
        <v>3.8938108868404646E-2</v>
      </c>
      <c r="T8" s="133">
        <v>5.3905068883970675E-2</v>
      </c>
      <c r="U8" s="133">
        <v>5.6484192120855328E-2</v>
      </c>
      <c r="V8" s="133">
        <v>7.0987064418289961E-2</v>
      </c>
      <c r="W8" s="133">
        <v>4.4268977006535294E-2</v>
      </c>
      <c r="DA8" s="157" t="s">
        <v>697</v>
      </c>
    </row>
    <row r="9" spans="1:105" ht="12" customHeight="1" x14ac:dyDescent="0.25">
      <c r="A9" s="132" t="s">
        <v>78</v>
      </c>
      <c r="B9" s="133"/>
      <c r="C9" s="133">
        <v>7.4307525983136475</v>
      </c>
      <c r="D9" s="133">
        <v>15.034580213618709</v>
      </c>
      <c r="E9" s="133">
        <v>17.172106162557068</v>
      </c>
      <c r="F9" s="133">
        <v>14.098106817058445</v>
      </c>
      <c r="G9" s="133">
        <v>13.188391517653214</v>
      </c>
      <c r="H9" s="133">
        <v>12.513661290595325</v>
      </c>
      <c r="I9" s="133">
        <v>9.248181844665206</v>
      </c>
      <c r="J9" s="133">
        <v>4.4613707836962258</v>
      </c>
      <c r="K9" s="133">
        <v>4.2106322652861357</v>
      </c>
      <c r="L9" s="133">
        <v>2.4912091746458755</v>
      </c>
      <c r="M9" s="133">
        <v>1.6571058626972799</v>
      </c>
      <c r="N9" s="133">
        <v>2.2583194546762249</v>
      </c>
      <c r="O9" s="133">
        <v>3.1351394239945396</v>
      </c>
      <c r="P9" s="133">
        <v>1.5633504786413046</v>
      </c>
      <c r="Q9" s="133">
        <v>5.6664564699656115</v>
      </c>
      <c r="R9" s="133">
        <v>5.0929405932062526</v>
      </c>
      <c r="S9" s="133">
        <v>5.6539755206918798</v>
      </c>
      <c r="T9" s="133">
        <v>3.6332115695800078</v>
      </c>
      <c r="U9" s="133">
        <v>5.6045362659567086</v>
      </c>
      <c r="V9" s="133">
        <v>5.3045331014919794</v>
      </c>
      <c r="W9" s="133">
        <v>4.3511514438109788</v>
      </c>
      <c r="DA9" s="157" t="s">
        <v>698</v>
      </c>
    </row>
    <row r="10" spans="1:105" ht="12" customHeight="1" x14ac:dyDescent="0.25">
      <c r="A10" s="132" t="s">
        <v>128</v>
      </c>
      <c r="B10" s="133"/>
      <c r="C10" s="133">
        <v>0.71802832725774879</v>
      </c>
      <c r="D10" s="133">
        <v>2.611385608114702</v>
      </c>
      <c r="E10" s="133">
        <v>1.4731574880928777</v>
      </c>
      <c r="F10" s="133">
        <v>0.84091551240577322</v>
      </c>
      <c r="G10" s="133">
        <v>0.97566745331635074</v>
      </c>
      <c r="H10" s="133">
        <v>0.85858217014854021</v>
      </c>
      <c r="I10" s="133">
        <v>6.6164145396158169E-2</v>
      </c>
      <c r="J10" s="133">
        <v>0</v>
      </c>
      <c r="K10" s="133">
        <v>0</v>
      </c>
      <c r="L10" s="133">
        <v>7.5507744027414128E-2</v>
      </c>
      <c r="M10" s="133">
        <v>0.32770785608441799</v>
      </c>
      <c r="N10" s="133">
        <v>0.22201432527188747</v>
      </c>
      <c r="O10" s="133">
        <v>0.27190913167960401</v>
      </c>
      <c r="P10" s="133">
        <v>0.66528281157513836</v>
      </c>
      <c r="Q10" s="133">
        <v>0.10324865545513434</v>
      </c>
      <c r="R10" s="133">
        <v>0.37083045327323605</v>
      </c>
      <c r="S10" s="133">
        <v>0.4152516688860326</v>
      </c>
      <c r="T10" s="133">
        <v>0.31084973805701432</v>
      </c>
      <c r="U10" s="133">
        <v>9.2614589810242509E-2</v>
      </c>
      <c r="V10" s="133">
        <v>4.856615959624995E-2</v>
      </c>
      <c r="W10" s="133">
        <v>0</v>
      </c>
      <c r="DA10" s="157" t="s">
        <v>699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700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701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702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703</v>
      </c>
    </row>
    <row r="15" spans="1:105" ht="12" customHeight="1" x14ac:dyDescent="0.25">
      <c r="A15" s="134" t="s">
        <v>80</v>
      </c>
      <c r="B15" s="135"/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704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1.0541556310379013E-2</v>
      </c>
      <c r="D16" s="131">
        <f t="shared" si="4"/>
        <v>1.3032522668594931E-2</v>
      </c>
      <c r="E16" s="131">
        <f t="shared" si="4"/>
        <v>9.8602539228498445E-3</v>
      </c>
      <c r="F16" s="131">
        <f t="shared" si="4"/>
        <v>1.2924204324389631E-2</v>
      </c>
      <c r="G16" s="131">
        <f t="shared" si="4"/>
        <v>1.3305339908237998E-2</v>
      </c>
      <c r="H16" s="131">
        <f t="shared" si="4"/>
        <v>1.07151120369128E-2</v>
      </c>
      <c r="I16" s="131">
        <f t="shared" si="4"/>
        <v>1.3095389483099681E-2</v>
      </c>
      <c r="J16" s="131">
        <f t="shared" si="4"/>
        <v>7.9220879531693763E-3</v>
      </c>
      <c r="K16" s="131">
        <f t="shared" si="4"/>
        <v>1.021282231627026E-2</v>
      </c>
      <c r="L16" s="131">
        <f t="shared" si="4"/>
        <v>1.5028441725064576E-2</v>
      </c>
      <c r="M16" s="131">
        <f t="shared" si="4"/>
        <v>7.9157162701373168E-3</v>
      </c>
      <c r="N16" s="131">
        <f t="shared" si="4"/>
        <v>6.8425975274750556E-3</v>
      </c>
      <c r="O16" s="131">
        <f t="shared" si="4"/>
        <v>1.0407217327370275E-2</v>
      </c>
      <c r="P16" s="131">
        <f t="shared" si="4"/>
        <v>1.844989866290574E-2</v>
      </c>
      <c r="Q16" s="131">
        <f t="shared" si="4"/>
        <v>2.9123649324736725E-2</v>
      </c>
      <c r="R16" s="131">
        <f t="shared" ref="R16:W16" si="5">SUM(R17:R18)</f>
        <v>3.36366035630861E-2</v>
      </c>
      <c r="S16" s="131">
        <f t="shared" si="5"/>
        <v>3.2670552318115151E-2</v>
      </c>
      <c r="T16" s="131">
        <f t="shared" si="5"/>
        <v>2.2782844505067953E-2</v>
      </c>
      <c r="U16" s="131">
        <f t="shared" si="5"/>
        <v>3.2563982056210555E-2</v>
      </c>
      <c r="V16" s="131">
        <f t="shared" si="5"/>
        <v>9.9751849572368712E-2</v>
      </c>
      <c r="W16" s="131">
        <f t="shared" si="5"/>
        <v>1.5772231419909043E-2</v>
      </c>
      <c r="DA16" s="156" t="s">
        <v>705</v>
      </c>
    </row>
    <row r="17" spans="1:105" ht="12.95" customHeight="1" x14ac:dyDescent="0.25">
      <c r="A17" s="132" t="s">
        <v>73</v>
      </c>
      <c r="B17" s="133"/>
      <c r="C17" s="133">
        <v>1.0541556310379013E-2</v>
      </c>
      <c r="D17" s="133">
        <v>1.3032522668594931E-2</v>
      </c>
      <c r="E17" s="133">
        <v>9.8602539228498445E-3</v>
      </c>
      <c r="F17" s="133">
        <v>1.2924204324389631E-2</v>
      </c>
      <c r="G17" s="133">
        <v>1.3305339908237998E-2</v>
      </c>
      <c r="H17" s="133">
        <v>1.07151120369128E-2</v>
      </c>
      <c r="I17" s="133">
        <v>1.3095389483099681E-2</v>
      </c>
      <c r="J17" s="133">
        <v>7.9220879531693763E-3</v>
      </c>
      <c r="K17" s="133">
        <v>1.021282231627026E-2</v>
      </c>
      <c r="L17" s="133">
        <v>1.5028441725064576E-2</v>
      </c>
      <c r="M17" s="133">
        <v>7.9157162701373168E-3</v>
      </c>
      <c r="N17" s="133">
        <v>6.8425975274750556E-3</v>
      </c>
      <c r="O17" s="133">
        <v>1.0407217327370275E-2</v>
      </c>
      <c r="P17" s="133">
        <v>1.844989866290574E-2</v>
      </c>
      <c r="Q17" s="133">
        <v>2.9123649324736725E-2</v>
      </c>
      <c r="R17" s="133">
        <v>3.36366035630861E-2</v>
      </c>
      <c r="S17" s="133">
        <v>3.2670552318115151E-2</v>
      </c>
      <c r="T17" s="133">
        <v>2.2782844505067953E-2</v>
      </c>
      <c r="U17" s="133">
        <v>3.2563982056210555E-2</v>
      </c>
      <c r="V17" s="133">
        <v>9.9751849572368712E-2</v>
      </c>
      <c r="W17" s="133">
        <v>1.5772231419909043E-2</v>
      </c>
      <c r="DA17" s="157" t="s">
        <v>706</v>
      </c>
    </row>
    <row r="18" spans="1:105" ht="12" customHeight="1" x14ac:dyDescent="0.25">
      <c r="A18" s="132" t="s">
        <v>72</v>
      </c>
      <c r="B18" s="133"/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707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1.585733814827657</v>
      </c>
      <c r="D19" s="131">
        <f t="shared" si="6"/>
        <v>2.5255776200637023</v>
      </c>
      <c r="E19" s="131">
        <f t="shared" si="6"/>
        <v>2.7200079276756628</v>
      </c>
      <c r="F19" s="131">
        <f t="shared" si="6"/>
        <v>2.2339298281332516</v>
      </c>
      <c r="G19" s="131">
        <f t="shared" si="6"/>
        <v>2.0410960214888019</v>
      </c>
      <c r="H19" s="131">
        <f t="shared" si="6"/>
        <v>1.6212630781850712</v>
      </c>
      <c r="I19" s="131">
        <f t="shared" si="6"/>
        <v>1.687776758500994</v>
      </c>
      <c r="J19" s="131">
        <f t="shared" si="6"/>
        <v>1.1111854466413755</v>
      </c>
      <c r="K19" s="131">
        <f t="shared" si="6"/>
        <v>1.2095153711599136</v>
      </c>
      <c r="L19" s="131">
        <f t="shared" si="6"/>
        <v>0.88849604367857826</v>
      </c>
      <c r="M19" s="131">
        <f t="shared" si="6"/>
        <v>0.2218921311336913</v>
      </c>
      <c r="N19" s="131">
        <f t="shared" si="6"/>
        <v>0.31677122953724646</v>
      </c>
      <c r="O19" s="131">
        <f t="shared" si="6"/>
        <v>0.46656433634046607</v>
      </c>
      <c r="P19" s="131">
        <f t="shared" si="6"/>
        <v>0.55670155535536658</v>
      </c>
      <c r="Q19" s="131">
        <f t="shared" si="6"/>
        <v>1.0176830723503019</v>
      </c>
      <c r="R19" s="131">
        <f t="shared" ref="R19:W19" si="7">SUM(R20:R27)</f>
        <v>1.1166394306707534</v>
      </c>
      <c r="S19" s="131">
        <f t="shared" si="7"/>
        <v>1.0763153781952466</v>
      </c>
      <c r="T19" s="131">
        <f t="shared" si="7"/>
        <v>0.66196176327257961</v>
      </c>
      <c r="U19" s="131">
        <f t="shared" si="7"/>
        <v>0.66650314144767842</v>
      </c>
      <c r="V19" s="131">
        <f t="shared" si="7"/>
        <v>0.38383502653528584</v>
      </c>
      <c r="W19" s="131">
        <f t="shared" si="7"/>
        <v>0.46100928655809176</v>
      </c>
      <c r="DA19" s="156" t="s">
        <v>708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709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710</v>
      </c>
    </row>
    <row r="22" spans="1:105" ht="12" customHeight="1" x14ac:dyDescent="0.25">
      <c r="A22" s="132" t="s">
        <v>168</v>
      </c>
      <c r="B22" s="133"/>
      <c r="C22" s="133">
        <v>0.65272218457822406</v>
      </c>
      <c r="D22" s="133">
        <v>0.75728077571916264</v>
      </c>
      <c r="E22" s="133">
        <v>0.70526345800308454</v>
      </c>
      <c r="F22" s="133">
        <v>0.54931482919994057</v>
      </c>
      <c r="G22" s="133">
        <v>0.28201353640547594</v>
      </c>
      <c r="H22" s="133">
        <v>3.0275333974500454E-2</v>
      </c>
      <c r="I22" s="133">
        <v>0.16391706111870999</v>
      </c>
      <c r="J22" s="133">
        <v>0.3298796995858268</v>
      </c>
      <c r="K22" s="133">
        <v>0.50912507061041301</v>
      </c>
      <c r="L22" s="133">
        <v>0.44670970211446487</v>
      </c>
      <c r="M22" s="133">
        <v>0.19125088095275178</v>
      </c>
      <c r="N22" s="133">
        <v>0.19146354673541024</v>
      </c>
      <c r="O22" s="133">
        <v>0.21792719587839318</v>
      </c>
      <c r="P22" s="133">
        <v>9.3399370576017438E-2</v>
      </c>
      <c r="Q22" s="133">
        <v>6.251483291599956E-2</v>
      </c>
      <c r="R22" s="133">
        <v>8.7277013345269466E-2</v>
      </c>
      <c r="S22" s="133">
        <v>0</v>
      </c>
      <c r="T22" s="133">
        <v>0</v>
      </c>
      <c r="U22" s="133">
        <v>0</v>
      </c>
      <c r="V22" s="133">
        <v>0</v>
      </c>
      <c r="W22" s="133">
        <v>0</v>
      </c>
      <c r="DA22" s="157" t="s">
        <v>711</v>
      </c>
    </row>
    <row r="23" spans="1:105" ht="12" customHeight="1" x14ac:dyDescent="0.25">
      <c r="A23" s="132" t="s">
        <v>153</v>
      </c>
      <c r="B23" s="133"/>
      <c r="C23" s="133">
        <v>0.84030880319923595</v>
      </c>
      <c r="D23" s="133">
        <v>1.666700898521597</v>
      </c>
      <c r="E23" s="133">
        <v>1.9243031684285794</v>
      </c>
      <c r="F23" s="133">
        <v>1.6087431338754004</v>
      </c>
      <c r="G23" s="133">
        <v>1.6840995831391412</v>
      </c>
      <c r="H23" s="133">
        <v>1.5199465224938358</v>
      </c>
      <c r="I23" s="133">
        <v>1.4487471182715765</v>
      </c>
      <c r="J23" s="133">
        <v>0.74504074157692346</v>
      </c>
      <c r="K23" s="133">
        <v>0.66493435486731189</v>
      </c>
      <c r="L23" s="133">
        <v>0.40704203249303167</v>
      </c>
      <c r="M23" s="133">
        <v>6.2262995248145289E-3</v>
      </c>
      <c r="N23" s="133">
        <v>0.1089362386425094</v>
      </c>
      <c r="O23" s="133">
        <v>0.23344325028407623</v>
      </c>
      <c r="P23" s="133">
        <v>0.43477456399249448</v>
      </c>
      <c r="Q23" s="133">
        <v>0.93693136336876726</v>
      </c>
      <c r="R23" s="133">
        <v>0.98825725466160186</v>
      </c>
      <c r="S23" s="133">
        <v>1.041336113944437</v>
      </c>
      <c r="T23" s="133">
        <v>0.63298015125827756</v>
      </c>
      <c r="U23" s="133">
        <v>0.64462286805917401</v>
      </c>
      <c r="V23" s="133">
        <v>0.36965284977275809</v>
      </c>
      <c r="W23" s="133">
        <v>0.4451544986477956</v>
      </c>
      <c r="DA23" s="157" t="s">
        <v>712</v>
      </c>
    </row>
    <row r="24" spans="1:105" ht="12" customHeight="1" x14ac:dyDescent="0.25">
      <c r="A24" s="132" t="s">
        <v>128</v>
      </c>
      <c r="B24" s="133"/>
      <c r="C24" s="133">
        <v>9.270282705019707E-2</v>
      </c>
      <c r="D24" s="133">
        <v>0.10159594582294275</v>
      </c>
      <c r="E24" s="133">
        <v>9.0441301243998906E-2</v>
      </c>
      <c r="F24" s="133">
        <v>7.5871865057910715E-2</v>
      </c>
      <c r="G24" s="133">
        <v>7.4982901944184874E-2</v>
      </c>
      <c r="H24" s="133">
        <v>7.1041221716734854E-2</v>
      </c>
      <c r="I24" s="133">
        <v>7.5112579110707373E-2</v>
      </c>
      <c r="J24" s="133">
        <v>3.6265005478625295E-2</v>
      </c>
      <c r="K24" s="133">
        <v>3.5455945682188683E-2</v>
      </c>
      <c r="L24" s="133">
        <v>3.4744309071081704E-2</v>
      </c>
      <c r="M24" s="133">
        <v>2.4414950656125006E-2</v>
      </c>
      <c r="N24" s="133">
        <v>1.6371444159326794E-2</v>
      </c>
      <c r="O24" s="133">
        <v>1.5193890177996683E-2</v>
      </c>
      <c r="P24" s="133">
        <v>2.8527620786854686E-2</v>
      </c>
      <c r="Q24" s="133">
        <v>1.8236876065534945E-2</v>
      </c>
      <c r="R24" s="133">
        <v>4.1105162663882158E-2</v>
      </c>
      <c r="S24" s="133">
        <v>3.4979264250809543E-2</v>
      </c>
      <c r="T24" s="133">
        <v>2.898161201430207E-2</v>
      </c>
      <c r="U24" s="133">
        <v>2.188027338850445E-2</v>
      </c>
      <c r="V24" s="133">
        <v>1.4182176762527757E-2</v>
      </c>
      <c r="W24" s="133">
        <v>1.5854787910296129E-2</v>
      </c>
      <c r="DA24" s="157" t="s">
        <v>713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714</v>
      </c>
    </row>
    <row r="26" spans="1:105" ht="12" customHeight="1" x14ac:dyDescent="0.25">
      <c r="A26" s="132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715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716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1.4806314238754403</v>
      </c>
      <c r="D29" s="131">
        <f t="shared" si="8"/>
        <v>1.9328024986590913</v>
      </c>
      <c r="E29" s="131">
        <f t="shared" si="8"/>
        <v>2.2079139582363352</v>
      </c>
      <c r="F29" s="131">
        <f t="shared" si="8"/>
        <v>2.2959469101602807</v>
      </c>
      <c r="G29" s="131">
        <f t="shared" si="8"/>
        <v>2.6312094550104841</v>
      </c>
      <c r="H29" s="131">
        <f t="shared" si="8"/>
        <v>2.1861693855718118</v>
      </c>
      <c r="I29" s="131">
        <f t="shared" si="8"/>
        <v>2.6133699688995149</v>
      </c>
      <c r="J29" s="131">
        <f t="shared" si="8"/>
        <v>1.4936811944983504</v>
      </c>
      <c r="K29" s="131">
        <f t="shared" si="8"/>
        <v>2.048818203490955</v>
      </c>
      <c r="L29" s="131">
        <f t="shared" si="8"/>
        <v>2.1599913659716306</v>
      </c>
      <c r="M29" s="131">
        <f t="shared" si="8"/>
        <v>0.63441139192687035</v>
      </c>
      <c r="N29" s="131">
        <f t="shared" si="8"/>
        <v>0.37163297748538815</v>
      </c>
      <c r="O29" s="131">
        <f t="shared" si="8"/>
        <v>0.71364987978730388</v>
      </c>
      <c r="P29" s="131">
        <f t="shared" si="8"/>
        <v>0.98959372463183026</v>
      </c>
      <c r="Q29" s="131">
        <f t="shared" si="8"/>
        <v>1.6197706819314424</v>
      </c>
      <c r="R29" s="131">
        <f t="shared" ref="R29:W29" si="9">SUM(R30:R33)</f>
        <v>1.6992428060704183</v>
      </c>
      <c r="S29" s="131">
        <f t="shared" si="9"/>
        <v>1.5774599119703507</v>
      </c>
      <c r="T29" s="131">
        <f t="shared" si="9"/>
        <v>1.311599814801121</v>
      </c>
      <c r="U29" s="131">
        <f t="shared" si="9"/>
        <v>1.5443954882886737</v>
      </c>
      <c r="V29" s="131">
        <f t="shared" si="9"/>
        <v>0.78230694558642744</v>
      </c>
      <c r="W29" s="131">
        <f t="shared" si="9"/>
        <v>1.2743945958920924</v>
      </c>
      <c r="DA29" s="156" t="s">
        <v>717</v>
      </c>
    </row>
    <row r="30" spans="1:105" s="2" customFormat="1" ht="12" customHeight="1" x14ac:dyDescent="0.25">
      <c r="A30" s="132" t="s">
        <v>52</v>
      </c>
      <c r="B30" s="133"/>
      <c r="C30" s="133">
        <v>0.18419625150510743</v>
      </c>
      <c r="D30" s="133">
        <v>0.40322875711904266</v>
      </c>
      <c r="E30" s="133">
        <v>0.60736216366905416</v>
      </c>
      <c r="F30" s="133">
        <v>0.67531204030345371</v>
      </c>
      <c r="G30" s="133">
        <v>0.65598776665267711</v>
      </c>
      <c r="H30" s="133">
        <v>0.38603416820604319</v>
      </c>
      <c r="I30" s="133">
        <v>0.37160403420377164</v>
      </c>
      <c r="J30" s="133">
        <v>0.26009485779092961</v>
      </c>
      <c r="K30" s="133">
        <v>0.3910189160259358</v>
      </c>
      <c r="L30" s="133">
        <v>0.69023008341944059</v>
      </c>
      <c r="M30" s="133">
        <v>0.12051014401068039</v>
      </c>
      <c r="N30" s="133">
        <v>0</v>
      </c>
      <c r="O30" s="133">
        <v>0.1573030512400902</v>
      </c>
      <c r="P30" s="133">
        <v>0.2076899594364221</v>
      </c>
      <c r="Q30" s="133">
        <v>0.49705751537076848</v>
      </c>
      <c r="R30" s="133">
        <v>0.58073342709659759</v>
      </c>
      <c r="S30" s="133">
        <v>0.45981279860151281</v>
      </c>
      <c r="T30" s="133">
        <v>0.2462507537054994</v>
      </c>
      <c r="U30" s="133">
        <v>0.19947158001110166</v>
      </c>
      <c r="V30" s="133">
        <v>0.15038417130989079</v>
      </c>
      <c r="W30" s="133">
        <v>0.23737058087154561</v>
      </c>
      <c r="DA30" s="157" t="s">
        <v>718</v>
      </c>
    </row>
    <row r="31" spans="1:105" ht="12" customHeight="1" x14ac:dyDescent="0.25">
      <c r="A31" s="132" t="s">
        <v>153</v>
      </c>
      <c r="B31" s="133"/>
      <c r="C31" s="133">
        <v>1.2964351723703329</v>
      </c>
      <c r="D31" s="133">
        <v>1.5295737415400485</v>
      </c>
      <c r="E31" s="133">
        <v>1.6005517945672809</v>
      </c>
      <c r="F31" s="133">
        <v>1.6206348698568269</v>
      </c>
      <c r="G31" s="133">
        <v>1.9752216883578069</v>
      </c>
      <c r="H31" s="133">
        <v>1.8001352173657688</v>
      </c>
      <c r="I31" s="133">
        <v>2.2417659346957435</v>
      </c>
      <c r="J31" s="133">
        <v>1.2335863367074207</v>
      </c>
      <c r="K31" s="133">
        <v>1.6577992874650191</v>
      </c>
      <c r="L31" s="133">
        <v>1.4697612825521897</v>
      </c>
      <c r="M31" s="133">
        <v>0.51390124791618996</v>
      </c>
      <c r="N31" s="133">
        <v>0.37163297748538815</v>
      </c>
      <c r="O31" s="133">
        <v>0.55634682854721373</v>
      </c>
      <c r="P31" s="133">
        <v>0.78190376519540816</v>
      </c>
      <c r="Q31" s="133">
        <v>1.122713166560674</v>
      </c>
      <c r="R31" s="133">
        <v>1.1185093789738207</v>
      </c>
      <c r="S31" s="133">
        <v>1.1176471133688379</v>
      </c>
      <c r="T31" s="133">
        <v>1.0653490610956216</v>
      </c>
      <c r="U31" s="133">
        <v>1.3449239082775721</v>
      </c>
      <c r="V31" s="133">
        <v>0.63192277427653665</v>
      </c>
      <c r="W31" s="133">
        <v>1.0370240150205468</v>
      </c>
      <c r="DA31" s="157" t="s">
        <v>719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720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721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/>
      <c r="C3" s="126">
        <f>IF(SER_hh_fec_in!C3=0,0,11630*1000*SER_hh_fec_in!C3/SER_hh_num_in!C3)</f>
        <v>133184.36074648652</v>
      </c>
      <c r="D3" s="126">
        <f>IF(SER_hh_fec_in!D3=0,0,11630*1000*SER_hh_fec_in!D3/SER_hh_num_in!D3)</f>
        <v>133181.22354792641</v>
      </c>
      <c r="E3" s="126">
        <f>IF(SER_hh_fec_in!E3=0,0,11630*1000*SER_hh_fec_in!E3/SER_hh_num_in!E3)</f>
        <v>134445.41968940027</v>
      </c>
      <c r="F3" s="126">
        <f>IF(SER_hh_fec_in!F3=0,0,11630*1000*SER_hh_fec_in!F3/SER_hh_num_in!F3)</f>
        <v>129468.91012254903</v>
      </c>
      <c r="G3" s="126">
        <f>IF(SER_hh_fec_in!G3=0,0,11630*1000*SER_hh_fec_in!G3/SER_hh_num_in!G3)</f>
        <v>122838.23567379444</v>
      </c>
      <c r="H3" s="126">
        <f>IF(SER_hh_fec_in!H3=0,0,11630*1000*SER_hh_fec_in!H3/SER_hh_num_in!H3)</f>
        <v>119487.24446499418</v>
      </c>
      <c r="I3" s="126">
        <f>IF(SER_hh_fec_in!I3=0,0,11630*1000*SER_hh_fec_in!I3/SER_hh_num_in!I3)</f>
        <v>108872.76939186662</v>
      </c>
      <c r="J3" s="126">
        <f>IF(SER_hh_fec_in!J3=0,0,11630*1000*SER_hh_fec_in!J3/SER_hh_num_in!J3)</f>
        <v>106983.37452277663</v>
      </c>
      <c r="K3" s="126">
        <f>IF(SER_hh_fec_in!K3=0,0,11630*1000*SER_hh_fec_in!K3/SER_hh_num_in!K3)</f>
        <v>101702.91300987483</v>
      </c>
      <c r="L3" s="126">
        <f>IF(SER_hh_fec_in!L3=0,0,11630*1000*SER_hh_fec_in!L3/SER_hh_num_in!L3)</f>
        <v>107333.29061470051</v>
      </c>
      <c r="M3" s="126">
        <f>IF(SER_hh_fec_in!M3=0,0,11630*1000*SER_hh_fec_in!M3/SER_hh_num_in!M3)</f>
        <v>94154.855441447697</v>
      </c>
      <c r="N3" s="126">
        <f>IF(SER_hh_fec_in!N3=0,0,11630*1000*SER_hh_fec_in!N3/SER_hh_num_in!N3)</f>
        <v>95152.733787258388</v>
      </c>
      <c r="O3" s="126">
        <f>IF(SER_hh_fec_in!O3=0,0,11630*1000*SER_hh_fec_in!O3/SER_hh_num_in!O3)</f>
        <v>91162.911048646609</v>
      </c>
      <c r="P3" s="126">
        <f>IF(SER_hh_fec_in!P3=0,0,11630*1000*SER_hh_fec_in!P3/SER_hh_num_in!P3)</f>
        <v>79415.31662804565</v>
      </c>
      <c r="Q3" s="126">
        <f>IF(SER_hh_fec_in!Q3=0,0,11630*1000*SER_hh_fec_in!Q3/SER_hh_num_in!Q3)</f>
        <v>81480.347389290531</v>
      </c>
      <c r="R3" s="126">
        <f>IF(SER_hh_fec_in!R3=0,0,11630*1000*SER_hh_fec_in!R3/SER_hh_num_in!R3)</f>
        <v>80598.142179509116</v>
      </c>
      <c r="S3" s="126">
        <f>IF(SER_hh_fec_in!S3=0,0,11630*1000*SER_hh_fec_in!S3/SER_hh_num_in!S3)</f>
        <v>78610.509506745046</v>
      </c>
      <c r="T3" s="126">
        <f>IF(SER_hh_fec_in!T3=0,0,11630*1000*SER_hh_fec_in!T3/SER_hh_num_in!T3)</f>
        <v>70801.730488395056</v>
      </c>
      <c r="U3" s="126">
        <f>IF(SER_hh_fec_in!U3=0,0,11630*1000*SER_hh_fec_in!U3/SER_hh_num_in!U3)</f>
        <v>65276.257344638761</v>
      </c>
      <c r="V3" s="126">
        <f>IF(SER_hh_fec_in!V3=0,0,11630*1000*SER_hh_fec_in!V3/SER_hh_num_in!V3)</f>
        <v>58990.848933562142</v>
      </c>
      <c r="W3" s="126">
        <f>IF(SER_hh_fec_in!W3=0,0,11630*1000*SER_hh_fec_in!W3/SER_hh_num_in!W3)</f>
        <v>64465.830007727061</v>
      </c>
      <c r="DA3" s="155" t="s">
        <v>723</v>
      </c>
    </row>
    <row r="4" spans="1:105" ht="12.95" customHeight="1" x14ac:dyDescent="0.25">
      <c r="A4" s="130" t="s">
        <v>32</v>
      </c>
      <c r="B4" s="131"/>
      <c r="C4" s="131">
        <f>IF(SER_hh_fec_in!C4=0,0,11630*1000*SER_hh_fec_in!C4/SER_hh_num_in!C4)</f>
        <v>101166.64914983939</v>
      </c>
      <c r="D4" s="131">
        <f>IF(SER_hh_fec_in!D4=0,0,11630*1000*SER_hh_fec_in!D4/SER_hh_num_in!D4)</f>
        <v>101369.97050969394</v>
      </c>
      <c r="E4" s="131">
        <f>IF(SER_hh_fec_in!E4=0,0,11630*1000*SER_hh_fec_in!E4/SER_hh_num_in!E4)</f>
        <v>102504.93874732</v>
      </c>
      <c r="F4" s="131">
        <f>IF(SER_hh_fec_in!F4=0,0,11630*1000*SER_hh_fec_in!F4/SER_hh_num_in!F4)</f>
        <v>97892.27389964147</v>
      </c>
      <c r="G4" s="131">
        <f>IF(SER_hh_fec_in!G4=0,0,11630*1000*SER_hh_fec_in!G4/SER_hh_num_in!G4)</f>
        <v>91624.656625065458</v>
      </c>
      <c r="H4" s="131">
        <f>IF(SER_hh_fec_in!H4=0,0,11630*1000*SER_hh_fec_in!H4/SER_hh_num_in!H4)</f>
        <v>88683.376089742946</v>
      </c>
      <c r="I4" s="131">
        <f>IF(SER_hh_fec_in!I4=0,0,11630*1000*SER_hh_fec_in!I4/SER_hh_num_in!I4)</f>
        <v>79019.579430573125</v>
      </c>
      <c r="J4" s="131">
        <f>IF(SER_hh_fec_in!J4=0,0,11630*1000*SER_hh_fec_in!J4/SER_hh_num_in!J4)</f>
        <v>77421.136844284832</v>
      </c>
      <c r="K4" s="131">
        <f>IF(SER_hh_fec_in!K4=0,0,11630*1000*SER_hh_fec_in!K4/SER_hh_num_in!K4)</f>
        <v>72673.052779405931</v>
      </c>
      <c r="L4" s="131">
        <f>IF(SER_hh_fec_in!L4=0,0,11630*1000*SER_hh_fec_in!L4/SER_hh_num_in!L4)</f>
        <v>78990.349612774255</v>
      </c>
      <c r="M4" s="131">
        <f>IF(SER_hh_fec_in!M4=0,0,11630*1000*SER_hh_fec_in!M4/SER_hh_num_in!M4)</f>
        <v>66017.268851396002</v>
      </c>
      <c r="N4" s="131">
        <f>IF(SER_hh_fec_in!N4=0,0,11630*1000*SER_hh_fec_in!N4/SER_hh_num_in!N4)</f>
        <v>66891.009006426524</v>
      </c>
      <c r="O4" s="131">
        <f>IF(SER_hh_fec_in!O4=0,0,11630*1000*SER_hh_fec_in!O4/SER_hh_num_in!O4)</f>
        <v>63301.747578940827</v>
      </c>
      <c r="P4" s="131">
        <f>IF(SER_hh_fec_in!P4=0,0,11630*1000*SER_hh_fec_in!P4/SER_hh_num_in!P4)</f>
        <v>51996.166669325736</v>
      </c>
      <c r="Q4" s="131">
        <f>IF(SER_hh_fec_in!Q4=0,0,11630*1000*SER_hh_fec_in!Q4/SER_hh_num_in!Q4)</f>
        <v>53719.068527048934</v>
      </c>
      <c r="R4" s="131">
        <f>IF(SER_hh_fec_in!R4=0,0,11630*1000*SER_hh_fec_in!R4/SER_hh_num_in!R4)</f>
        <v>53373.22235868391</v>
      </c>
      <c r="S4" s="131">
        <f>IF(SER_hh_fec_in!S4=0,0,11630*1000*SER_hh_fec_in!S4/SER_hh_num_in!S4)</f>
        <v>51996.261655793453</v>
      </c>
      <c r="T4" s="131">
        <f>IF(SER_hh_fec_in!T4=0,0,11630*1000*SER_hh_fec_in!T4/SER_hh_num_in!T4)</f>
        <v>44905.488868156717</v>
      </c>
      <c r="U4" s="131">
        <f>IF(SER_hh_fec_in!U4=0,0,11630*1000*SER_hh_fec_in!U4/SER_hh_num_in!U4)</f>
        <v>39936.228976801955</v>
      </c>
      <c r="V4" s="131">
        <f>IF(SER_hh_fec_in!V4=0,0,11630*1000*SER_hh_fec_in!V4/SER_hh_num_in!V4)</f>
        <v>36688.333650296445</v>
      </c>
      <c r="W4" s="131">
        <f>IF(SER_hh_fec_in!W4=0,0,11630*1000*SER_hh_fec_in!W4/SER_hh_num_in!W4)</f>
        <v>41100.540460663025</v>
      </c>
      <c r="DA4" s="156" t="s">
        <v>724</v>
      </c>
    </row>
    <row r="5" spans="1:105" ht="12" customHeight="1" x14ac:dyDescent="0.25">
      <c r="A5" s="132" t="s">
        <v>29</v>
      </c>
      <c r="B5" s="133"/>
      <c r="C5" s="133">
        <f>IF(SER_hh_fec_in!C5=0,0,11630*1000*SER_hh_fec_in!C5/SER_hh_num_in!C5)</f>
        <v>0</v>
      </c>
      <c r="D5" s="133">
        <f>IF(SER_hh_fec_in!D5=0,0,11630*1000*SER_hh_fec_in!D5/SER_hh_num_in!D5)</f>
        <v>0</v>
      </c>
      <c r="E5" s="133">
        <f>IF(SER_hh_fec_in!E5=0,0,11630*1000*SER_hh_fec_in!E5/SER_hh_num_in!E5)</f>
        <v>0</v>
      </c>
      <c r="F5" s="133">
        <f>IF(SER_hh_fec_in!F5=0,0,11630*1000*SER_hh_fec_in!F5/SER_hh_num_in!F5)</f>
        <v>0</v>
      </c>
      <c r="G5" s="133">
        <f>IF(SER_hh_fec_in!G5=0,0,11630*1000*SER_hh_fec_in!G5/SER_hh_num_in!G5)</f>
        <v>0</v>
      </c>
      <c r="H5" s="133">
        <f>IF(SER_hh_fec_in!H5=0,0,11630*1000*SER_hh_fec_in!H5/SER_hh_num_in!H5)</f>
        <v>0</v>
      </c>
      <c r="I5" s="133">
        <f>IF(SER_hh_fec_in!I5=0,0,11630*1000*SER_hh_fec_in!I5/SER_hh_num_in!I5)</f>
        <v>0</v>
      </c>
      <c r="J5" s="133">
        <f>IF(SER_hh_fec_in!J5=0,0,11630*1000*SER_hh_fec_in!J5/SER_hh_num_in!J5)</f>
        <v>0</v>
      </c>
      <c r="K5" s="133">
        <f>IF(SER_hh_fec_in!K5=0,0,11630*1000*SER_hh_fec_in!K5/SER_hh_num_in!K5)</f>
        <v>0</v>
      </c>
      <c r="L5" s="133">
        <f>IF(SER_hh_fec_in!L5=0,0,11630*1000*SER_hh_fec_in!L5/SER_hh_num_in!L5)</f>
        <v>0</v>
      </c>
      <c r="M5" s="133">
        <f>IF(SER_hh_fec_in!M5=0,0,11630*1000*SER_hh_fec_in!M5/SER_hh_num_in!M5)</f>
        <v>0</v>
      </c>
      <c r="N5" s="133">
        <f>IF(SER_hh_fec_in!N5=0,0,11630*1000*SER_hh_fec_in!N5/SER_hh_num_in!N5)</f>
        <v>0</v>
      </c>
      <c r="O5" s="133">
        <f>IF(SER_hh_fec_in!O5=0,0,11630*1000*SER_hh_fec_in!O5/SER_hh_num_in!O5)</f>
        <v>0</v>
      </c>
      <c r="P5" s="133">
        <f>IF(SER_hh_fec_in!P5=0,0,11630*1000*SER_hh_fec_in!P5/SER_hh_num_in!P5)</f>
        <v>0</v>
      </c>
      <c r="Q5" s="133">
        <f>IF(SER_hh_fec_in!Q5=0,0,11630*1000*SER_hh_fec_in!Q5/SER_hh_num_in!Q5)</f>
        <v>0</v>
      </c>
      <c r="R5" s="133">
        <f>IF(SER_hh_fec_in!R5=0,0,11630*1000*SER_hh_fec_in!R5/SER_hh_num_in!R5)</f>
        <v>0</v>
      </c>
      <c r="S5" s="133">
        <f>IF(SER_hh_fec_in!S5=0,0,11630*1000*SER_hh_fec_in!S5/SER_hh_num_in!S5)</f>
        <v>0</v>
      </c>
      <c r="T5" s="133">
        <f>IF(SER_hh_fec_in!T5=0,0,11630*1000*SER_hh_fec_in!T5/SER_hh_num_in!T5)</f>
        <v>0</v>
      </c>
      <c r="U5" s="133">
        <f>IF(SER_hh_fec_in!U5=0,0,11630*1000*SER_hh_fec_in!U5/SER_hh_num_in!U5)</f>
        <v>0</v>
      </c>
      <c r="V5" s="133">
        <f>IF(SER_hh_fec_in!V5=0,0,11630*1000*SER_hh_fec_in!V5/SER_hh_num_in!V5)</f>
        <v>0</v>
      </c>
      <c r="W5" s="133">
        <f>IF(SER_hh_fec_in!W5=0,0,11630*1000*SER_hh_fec_in!W5/SER_hh_num_in!W5)</f>
        <v>0</v>
      </c>
      <c r="DA5" s="157" t="s">
        <v>725</v>
      </c>
    </row>
    <row r="6" spans="1:105" ht="12" customHeight="1" x14ac:dyDescent="0.25">
      <c r="A6" s="132" t="s">
        <v>52</v>
      </c>
      <c r="B6" s="133"/>
      <c r="C6" s="133">
        <f>IF(SER_hh_fec_in!C6=0,0,11630*1000*SER_hh_fec_in!C6/SER_hh_num_in!C6)</f>
        <v>0</v>
      </c>
      <c r="D6" s="133">
        <f>IF(SER_hh_fec_in!D6=0,0,11630*1000*SER_hh_fec_in!D6/SER_hh_num_in!D6)</f>
        <v>0</v>
      </c>
      <c r="E6" s="133">
        <f>IF(SER_hh_fec_in!E6=0,0,11630*1000*SER_hh_fec_in!E6/SER_hh_num_in!E6)</f>
        <v>0</v>
      </c>
      <c r="F6" s="133">
        <f>IF(SER_hh_fec_in!F6=0,0,11630*1000*SER_hh_fec_in!F6/SER_hh_num_in!F6)</f>
        <v>0</v>
      </c>
      <c r="G6" s="133">
        <f>IF(SER_hh_fec_in!G6=0,0,11630*1000*SER_hh_fec_in!G6/SER_hh_num_in!G6)</f>
        <v>0</v>
      </c>
      <c r="H6" s="133">
        <f>IF(SER_hh_fec_in!H6=0,0,11630*1000*SER_hh_fec_in!H6/SER_hh_num_in!H6)</f>
        <v>0</v>
      </c>
      <c r="I6" s="133">
        <f>IF(SER_hh_fec_in!I6=0,0,11630*1000*SER_hh_fec_in!I6/SER_hh_num_in!I6)</f>
        <v>0</v>
      </c>
      <c r="J6" s="133">
        <f>IF(SER_hh_fec_in!J6=0,0,11630*1000*SER_hh_fec_in!J6/SER_hh_num_in!J6)</f>
        <v>0</v>
      </c>
      <c r="K6" s="133">
        <f>IF(SER_hh_fec_in!K6=0,0,11630*1000*SER_hh_fec_in!K6/SER_hh_num_in!K6)</f>
        <v>0</v>
      </c>
      <c r="L6" s="133">
        <f>IF(SER_hh_fec_in!L6=0,0,11630*1000*SER_hh_fec_in!L6/SER_hh_num_in!L6)</f>
        <v>0</v>
      </c>
      <c r="M6" s="133">
        <f>IF(SER_hh_fec_in!M6=0,0,11630*1000*SER_hh_fec_in!M6/SER_hh_num_in!M6)</f>
        <v>0</v>
      </c>
      <c r="N6" s="133">
        <f>IF(SER_hh_fec_in!N6=0,0,11630*1000*SER_hh_fec_in!N6/SER_hh_num_in!N6)</f>
        <v>0</v>
      </c>
      <c r="O6" s="133">
        <f>IF(SER_hh_fec_in!O6=0,0,11630*1000*SER_hh_fec_in!O6/SER_hh_num_in!O6)</f>
        <v>0</v>
      </c>
      <c r="P6" s="133">
        <f>IF(SER_hh_fec_in!P6=0,0,11630*1000*SER_hh_fec_in!P6/SER_hh_num_in!P6)</f>
        <v>0</v>
      </c>
      <c r="Q6" s="133">
        <f>IF(SER_hh_fec_in!Q6=0,0,11630*1000*SER_hh_fec_in!Q6/SER_hh_num_in!Q6)</f>
        <v>0</v>
      </c>
      <c r="R6" s="133">
        <f>IF(SER_hh_fec_in!R6=0,0,11630*1000*SER_hh_fec_in!R6/SER_hh_num_in!R6)</f>
        <v>0</v>
      </c>
      <c r="S6" s="133">
        <f>IF(SER_hh_fec_in!S6=0,0,11630*1000*SER_hh_fec_in!S6/SER_hh_num_in!S6)</f>
        <v>0</v>
      </c>
      <c r="T6" s="133">
        <f>IF(SER_hh_fec_in!T6=0,0,11630*1000*SER_hh_fec_in!T6/SER_hh_num_in!T6)</f>
        <v>0</v>
      </c>
      <c r="U6" s="133">
        <f>IF(SER_hh_fec_in!U6=0,0,11630*1000*SER_hh_fec_in!U6/SER_hh_num_in!U6)</f>
        <v>0</v>
      </c>
      <c r="V6" s="133">
        <f>IF(SER_hh_fec_in!V6=0,0,11630*1000*SER_hh_fec_in!V6/SER_hh_num_in!V6)</f>
        <v>0</v>
      </c>
      <c r="W6" s="133">
        <f>IF(SER_hh_fec_in!W6=0,0,11630*1000*SER_hh_fec_in!W6/SER_hh_num_in!W6)</f>
        <v>0</v>
      </c>
      <c r="DA6" s="157" t="s">
        <v>726</v>
      </c>
    </row>
    <row r="7" spans="1:105" ht="12" customHeight="1" x14ac:dyDescent="0.25">
      <c r="A7" s="132" t="s">
        <v>168</v>
      </c>
      <c r="B7" s="133"/>
      <c r="C7" s="133">
        <f>IF(SER_hh_fec_in!C7=0,0,11630*1000*SER_hh_fec_in!C7/SER_hh_num_in!C7)</f>
        <v>141654.13501425061</v>
      </c>
      <c r="D7" s="133">
        <f>IF(SER_hh_fec_in!D7=0,0,11630*1000*SER_hh_fec_in!D7/SER_hh_num_in!D7)</f>
        <v>133513.7604788506</v>
      </c>
      <c r="E7" s="133">
        <f>IF(SER_hh_fec_in!E7=0,0,11630*1000*SER_hh_fec_in!E7/SER_hh_num_in!E7)</f>
        <v>133970.87234691429</v>
      </c>
      <c r="F7" s="133">
        <f>IF(SER_hh_fec_in!F7=0,0,11630*1000*SER_hh_fec_in!F7/SER_hh_num_in!F7)</f>
        <v>139029.79700700199</v>
      </c>
      <c r="G7" s="133">
        <f>IF(SER_hh_fec_in!G7=0,0,11630*1000*SER_hh_fec_in!G7/SER_hh_num_in!G7)</f>
        <v>127156.56986227421</v>
      </c>
      <c r="H7" s="133">
        <f>IF(SER_hh_fec_in!H7=0,0,11630*1000*SER_hh_fec_in!H7/SER_hh_num_in!H7)</f>
        <v>113366.19596068318</v>
      </c>
      <c r="I7" s="133">
        <f>IF(SER_hh_fec_in!I7=0,0,11630*1000*SER_hh_fec_in!I7/SER_hh_num_in!I7)</f>
        <v>104992.01407384907</v>
      </c>
      <c r="J7" s="133">
        <f>IF(SER_hh_fec_in!J7=0,0,11630*1000*SER_hh_fec_in!J7/SER_hh_num_in!J7)</f>
        <v>109076.59904942916</v>
      </c>
      <c r="K7" s="133">
        <f>IF(SER_hh_fec_in!K7=0,0,11630*1000*SER_hh_fec_in!K7/SER_hh_num_in!K7)</f>
        <v>102977.97263439099</v>
      </c>
      <c r="L7" s="133">
        <f>IF(SER_hh_fec_in!L7=0,0,11630*1000*SER_hh_fec_in!L7/SER_hh_num_in!L7)</f>
        <v>101317.43498098607</v>
      </c>
      <c r="M7" s="133">
        <f>IF(SER_hh_fec_in!M7=0,0,11630*1000*SER_hh_fec_in!M7/SER_hh_num_in!M7)</f>
        <v>77803.774102446245</v>
      </c>
      <c r="N7" s="133">
        <f>IF(SER_hh_fec_in!N7=0,0,11630*1000*SER_hh_fec_in!N7/SER_hh_num_in!N7)</f>
        <v>88307.148246946977</v>
      </c>
      <c r="O7" s="133">
        <f>IF(SER_hh_fec_in!O7=0,0,11630*1000*SER_hh_fec_in!O7/SER_hh_num_in!O7)</f>
        <v>75775.011325051601</v>
      </c>
      <c r="P7" s="133">
        <f>IF(SER_hh_fec_in!P7=0,0,11630*1000*SER_hh_fec_in!P7/SER_hh_num_in!P7)</f>
        <v>62100.304775618686</v>
      </c>
      <c r="Q7" s="133">
        <f>IF(SER_hh_fec_in!Q7=0,0,11630*1000*SER_hh_fec_in!Q7/SER_hh_num_in!Q7)</f>
        <v>61206.964461186384</v>
      </c>
      <c r="R7" s="133">
        <f>IF(SER_hh_fec_in!R7=0,0,11630*1000*SER_hh_fec_in!R7/SER_hh_num_in!R7)</f>
        <v>59712.569010865111</v>
      </c>
      <c r="S7" s="133">
        <f>IF(SER_hh_fec_in!S7=0,0,11630*1000*SER_hh_fec_in!S7/SER_hh_num_in!S7)</f>
        <v>0</v>
      </c>
      <c r="T7" s="133">
        <f>IF(SER_hh_fec_in!T7=0,0,11630*1000*SER_hh_fec_in!T7/SER_hh_num_in!T7)</f>
        <v>62067.020876206276</v>
      </c>
      <c r="U7" s="133">
        <f>IF(SER_hh_fec_in!U7=0,0,11630*1000*SER_hh_fec_in!U7/SER_hh_num_in!U7)</f>
        <v>0</v>
      </c>
      <c r="V7" s="133">
        <f>IF(SER_hh_fec_in!V7=0,0,11630*1000*SER_hh_fec_in!V7/SER_hh_num_in!V7)</f>
        <v>0</v>
      </c>
      <c r="W7" s="133">
        <f>IF(SER_hh_fec_in!W7=0,0,11630*1000*SER_hh_fec_in!W7/SER_hh_num_in!W7)</f>
        <v>0</v>
      </c>
      <c r="DA7" s="157" t="s">
        <v>727</v>
      </c>
    </row>
    <row r="8" spans="1:105" ht="12" customHeight="1" x14ac:dyDescent="0.25">
      <c r="A8" s="132" t="s">
        <v>73</v>
      </c>
      <c r="B8" s="133"/>
      <c r="C8" s="133">
        <f>IF(SER_hh_fec_in!C8=0,0,11630*1000*SER_hh_fec_in!C8/SER_hh_num_in!C8)</f>
        <v>56126.078299654255</v>
      </c>
      <c r="D8" s="133">
        <f>IF(SER_hh_fec_in!D8=0,0,11630*1000*SER_hh_fec_in!D8/SER_hh_num_in!D8)</f>
        <v>51165.126695876243</v>
      </c>
      <c r="E8" s="133">
        <f>IF(SER_hh_fec_in!E8=0,0,11630*1000*SER_hh_fec_in!E8/SER_hh_num_in!E8)</f>
        <v>54278.973029504705</v>
      </c>
      <c r="F8" s="133">
        <f>IF(SER_hh_fec_in!F8=0,0,11630*1000*SER_hh_fec_in!F8/SER_hh_num_in!F8)</f>
        <v>50633.961725902191</v>
      </c>
      <c r="G8" s="133">
        <f>IF(SER_hh_fec_in!G8=0,0,11630*1000*SER_hh_fec_in!G8/SER_hh_num_in!G8)</f>
        <v>40134.706725810218</v>
      </c>
      <c r="H8" s="133">
        <f>IF(SER_hh_fec_in!H8=0,0,11630*1000*SER_hh_fec_in!H8/SER_hh_num_in!H8)</f>
        <v>23018.463323608477</v>
      </c>
      <c r="I8" s="133">
        <f>IF(SER_hh_fec_in!I8=0,0,11630*1000*SER_hh_fec_in!I8/SER_hh_num_in!I8)</f>
        <v>46565.803175726229</v>
      </c>
      <c r="J8" s="133">
        <f>IF(SER_hh_fec_in!J8=0,0,11630*1000*SER_hh_fec_in!J8/SER_hh_num_in!J8)</f>
        <v>37407.904396765109</v>
      </c>
      <c r="K8" s="133">
        <f>IF(SER_hh_fec_in!K8=0,0,11630*1000*SER_hh_fec_in!K8/SER_hh_num_in!K8)</f>
        <v>33647.480191001145</v>
      </c>
      <c r="L8" s="133">
        <f>IF(SER_hh_fec_in!L8=0,0,11630*1000*SER_hh_fec_in!L8/SER_hh_num_in!L8)</f>
        <v>30707.444989239575</v>
      </c>
      <c r="M8" s="133">
        <f>IF(SER_hh_fec_in!M8=0,0,11630*1000*SER_hh_fec_in!M8/SER_hh_num_in!M8)</f>
        <v>27390.520431398771</v>
      </c>
      <c r="N8" s="133">
        <f>IF(SER_hh_fec_in!N8=0,0,11630*1000*SER_hh_fec_in!N8/SER_hh_num_in!N8)</f>
        <v>24269.61585196996</v>
      </c>
      <c r="O8" s="133">
        <f>IF(SER_hh_fec_in!O8=0,0,11630*1000*SER_hh_fec_in!O8/SER_hh_num_in!O8)</f>
        <v>20362.20818557337</v>
      </c>
      <c r="P8" s="133">
        <f>IF(SER_hh_fec_in!P8=0,0,11630*1000*SER_hh_fec_in!P8/SER_hh_num_in!P8)</f>
        <v>20248.404968258921</v>
      </c>
      <c r="Q8" s="133">
        <f>IF(SER_hh_fec_in!Q8=0,0,11630*1000*SER_hh_fec_in!Q8/SER_hh_num_in!Q8)</f>
        <v>20275.308596225077</v>
      </c>
      <c r="R8" s="133">
        <f>IF(SER_hh_fec_in!R8=0,0,11630*1000*SER_hh_fec_in!R8/SER_hh_num_in!R8)</f>
        <v>19152.359752792177</v>
      </c>
      <c r="S8" s="133">
        <f>IF(SER_hh_fec_in!S8=0,0,11630*1000*SER_hh_fec_in!S8/SER_hh_num_in!S8)</f>
        <v>17239.494779142424</v>
      </c>
      <c r="T8" s="133">
        <f>IF(SER_hh_fec_in!T8=0,0,11630*1000*SER_hh_fec_in!T8/SER_hh_num_in!T8)</f>
        <v>16170.538710564886</v>
      </c>
      <c r="U8" s="133">
        <f>IF(SER_hh_fec_in!U8=0,0,11630*1000*SER_hh_fec_in!U8/SER_hh_num_in!U8)</f>
        <v>14716.956615933421</v>
      </c>
      <c r="V8" s="133">
        <f>IF(SER_hh_fec_in!V8=0,0,11630*1000*SER_hh_fec_in!V8/SER_hh_num_in!V8)</f>
        <v>14610.362690130576</v>
      </c>
      <c r="W8" s="133">
        <f>IF(SER_hh_fec_in!W8=0,0,11630*1000*SER_hh_fec_in!W8/SER_hh_num_in!W8)</f>
        <v>15364.58423725514</v>
      </c>
      <c r="DA8" s="157" t="s">
        <v>728</v>
      </c>
    </row>
    <row r="9" spans="1:105" ht="12" customHeight="1" x14ac:dyDescent="0.25">
      <c r="A9" s="132" t="s">
        <v>78</v>
      </c>
      <c r="B9" s="133"/>
      <c r="C9" s="133">
        <f>IF(SER_hh_fec_in!C9=0,0,11630*1000*SER_hh_fec_in!C9/SER_hh_num_in!C9)</f>
        <v>123209.00857010492</v>
      </c>
      <c r="D9" s="133">
        <f>IF(SER_hh_fec_in!D9=0,0,11630*1000*SER_hh_fec_in!D9/SER_hh_num_in!D9)</f>
        <v>115522.1161408356</v>
      </c>
      <c r="E9" s="133">
        <f>IF(SER_hh_fec_in!E9=0,0,11630*1000*SER_hh_fec_in!E9/SER_hh_num_in!E9)</f>
        <v>124117.31568635356</v>
      </c>
      <c r="F9" s="133">
        <f>IF(SER_hh_fec_in!F9=0,0,11630*1000*SER_hh_fec_in!F9/SER_hh_num_in!F9)</f>
        <v>112753.42082628762</v>
      </c>
      <c r="G9" s="133">
        <f>IF(SER_hh_fec_in!G9=0,0,11630*1000*SER_hh_fec_in!G9/SER_hh_num_in!G9)</f>
        <v>107542.48814120211</v>
      </c>
      <c r="H9" s="133">
        <f>IF(SER_hh_fec_in!H9=0,0,11630*1000*SER_hh_fec_in!H9/SER_hh_num_in!H9)</f>
        <v>111477.87087155973</v>
      </c>
      <c r="I9" s="133">
        <f>IF(SER_hh_fec_in!I9=0,0,11630*1000*SER_hh_fec_in!I9/SER_hh_num_in!I9)</f>
        <v>97218.332978085644</v>
      </c>
      <c r="J9" s="133">
        <f>IF(SER_hh_fec_in!J9=0,0,11630*1000*SER_hh_fec_in!J9/SER_hh_num_in!J9)</f>
        <v>93509.789254700372</v>
      </c>
      <c r="K9" s="133">
        <f>IF(SER_hh_fec_in!K9=0,0,11630*1000*SER_hh_fec_in!K9/SER_hh_num_in!K9)</f>
        <v>92727.331767503681</v>
      </c>
      <c r="L9" s="133">
        <f>IF(SER_hh_fec_in!L9=0,0,11630*1000*SER_hh_fec_in!L9/SER_hh_num_in!L9)</f>
        <v>92900.061342780245</v>
      </c>
      <c r="M9" s="133">
        <f>IF(SER_hh_fec_in!M9=0,0,11630*1000*SER_hh_fec_in!M9/SER_hh_num_in!M9)</f>
        <v>69119.048798630494</v>
      </c>
      <c r="N9" s="133">
        <f>IF(SER_hh_fec_in!N9=0,0,11630*1000*SER_hh_fec_in!N9/SER_hh_num_in!N9)</f>
        <v>76103.771697394885</v>
      </c>
      <c r="O9" s="133">
        <f>IF(SER_hh_fec_in!O9=0,0,11630*1000*SER_hh_fec_in!O9/SER_hh_num_in!O9)</f>
        <v>76235.859614211644</v>
      </c>
      <c r="P9" s="133">
        <f>IF(SER_hh_fec_in!P9=0,0,11630*1000*SER_hh_fec_in!P9/SER_hh_num_in!P9)</f>
        <v>49205.988431318532</v>
      </c>
      <c r="Q9" s="133">
        <f>IF(SER_hh_fec_in!Q9=0,0,11630*1000*SER_hh_fec_in!Q9/SER_hh_num_in!Q9)</f>
        <v>60003.399569496956</v>
      </c>
      <c r="R9" s="133">
        <f>IF(SER_hh_fec_in!R9=0,0,11630*1000*SER_hh_fec_in!R9/SER_hh_num_in!R9)</f>
        <v>59226.108152156608</v>
      </c>
      <c r="S9" s="133">
        <f>IF(SER_hh_fec_in!S9=0,0,11630*1000*SER_hh_fec_in!S9/SER_hh_num_in!S9)</f>
        <v>61048.005978421032</v>
      </c>
      <c r="T9" s="133">
        <f>IF(SER_hh_fec_in!T9=0,0,11630*1000*SER_hh_fec_in!T9/SER_hh_num_in!T9)</f>
        <v>43309.71415764503</v>
      </c>
      <c r="U9" s="133">
        <f>IF(SER_hh_fec_in!U9=0,0,11630*1000*SER_hh_fec_in!U9/SER_hh_num_in!U9)</f>
        <v>39742.268206761</v>
      </c>
      <c r="V9" s="133">
        <f>IF(SER_hh_fec_in!V9=0,0,11630*1000*SER_hh_fec_in!V9/SER_hh_num_in!V9)</f>
        <v>37887.233587547387</v>
      </c>
      <c r="W9" s="133">
        <f>IF(SER_hh_fec_in!W9=0,0,11630*1000*SER_hh_fec_in!W9/SER_hh_num_in!W9)</f>
        <v>53702.261883369378</v>
      </c>
      <c r="DA9" s="157" t="s">
        <v>729</v>
      </c>
    </row>
    <row r="10" spans="1:105" ht="12" customHeight="1" x14ac:dyDescent="0.25">
      <c r="A10" s="132" t="s">
        <v>128</v>
      </c>
      <c r="B10" s="133"/>
      <c r="C10" s="133">
        <f>IF(SER_hh_fec_in!C10=0,0,11630*1000*SER_hh_fec_in!C10/SER_hh_num_in!C10)</f>
        <v>118934.39569599213</v>
      </c>
      <c r="D10" s="133">
        <f>IF(SER_hh_fec_in!D10=0,0,11630*1000*SER_hh_fec_in!D10/SER_hh_num_in!D10)</f>
        <v>144564.21059773254</v>
      </c>
      <c r="E10" s="133">
        <f>IF(SER_hh_fec_in!E10=0,0,11630*1000*SER_hh_fec_in!E10/SER_hh_num_in!E10)</f>
        <v>142715.20914302161</v>
      </c>
      <c r="F10" s="133">
        <f>IF(SER_hh_fec_in!F10=0,0,11630*1000*SER_hh_fec_in!F10/SER_hh_num_in!F10)</f>
        <v>118737.00379112539</v>
      </c>
      <c r="G10" s="133">
        <f>IF(SER_hh_fec_in!G10=0,0,11630*1000*SER_hh_fec_in!G10/SER_hh_num_in!G10)</f>
        <v>124082.83953047844</v>
      </c>
      <c r="H10" s="133">
        <f>IF(SER_hh_fec_in!H10=0,0,11630*1000*SER_hh_fec_in!H10/SER_hh_num_in!H10)</f>
        <v>133988.85092208895</v>
      </c>
      <c r="I10" s="133">
        <f>IF(SER_hh_fec_in!I10=0,0,11630*1000*SER_hh_fec_in!I10/SER_hh_num_in!I10)</f>
        <v>116537.47614276441</v>
      </c>
      <c r="J10" s="133">
        <f>IF(SER_hh_fec_in!J10=0,0,11630*1000*SER_hh_fec_in!J10/SER_hh_num_in!J10)</f>
        <v>0</v>
      </c>
      <c r="K10" s="133">
        <f>IF(SER_hh_fec_in!K10=0,0,11630*1000*SER_hh_fec_in!K10/SER_hh_num_in!K10)</f>
        <v>0</v>
      </c>
      <c r="L10" s="133">
        <f>IF(SER_hh_fec_in!L10=0,0,11630*1000*SER_hh_fec_in!L10/SER_hh_num_in!L10)</f>
        <v>98762.220355175668</v>
      </c>
      <c r="M10" s="133">
        <f>IF(SER_hh_fec_in!M10=0,0,11630*1000*SER_hh_fec_in!M10/SER_hh_num_in!M10)</f>
        <v>102675.89762148556</v>
      </c>
      <c r="N10" s="133">
        <f>IF(SER_hh_fec_in!N10=0,0,11630*1000*SER_hh_fec_in!N10/SER_hh_num_in!N10)</f>
        <v>87765.405082873316</v>
      </c>
      <c r="O10" s="133">
        <f>IF(SER_hh_fec_in!O10=0,0,11630*1000*SER_hh_fec_in!O10/SER_hh_num_in!O10)</f>
        <v>83238.469303247242</v>
      </c>
      <c r="P10" s="133">
        <f>IF(SER_hh_fec_in!P10=0,0,11630*1000*SER_hh_fec_in!P10/SER_hh_num_in!P10)</f>
        <v>90485.343176176917</v>
      </c>
      <c r="Q10" s="133">
        <f>IF(SER_hh_fec_in!Q10=0,0,11630*1000*SER_hh_fec_in!Q10/SER_hh_num_in!Q10)</f>
        <v>71172.148684768181</v>
      </c>
      <c r="R10" s="133">
        <f>IF(SER_hh_fec_in!R10=0,0,11630*1000*SER_hh_fec_in!R10/SER_hh_num_in!R10)</f>
        <v>77254.517370633897</v>
      </c>
      <c r="S10" s="133">
        <f>IF(SER_hh_fec_in!S10=0,0,11630*1000*SER_hh_fec_in!S10/SER_hh_num_in!S10)</f>
        <v>78421.24252882252</v>
      </c>
      <c r="T10" s="133">
        <f>IF(SER_hh_fec_in!T10=0,0,11630*1000*SER_hh_fec_in!T10/SER_hh_num_in!T10)</f>
        <v>82061.313494888149</v>
      </c>
      <c r="U10" s="133">
        <f>IF(SER_hh_fec_in!U10=0,0,11630*1000*SER_hh_fec_in!U10/SER_hh_num_in!U10)</f>
        <v>69585.961883332886</v>
      </c>
      <c r="V10" s="133">
        <f>IF(SER_hh_fec_in!V10=0,0,11630*1000*SER_hh_fec_in!V10/SER_hh_num_in!V10)</f>
        <v>60381.640285991511</v>
      </c>
      <c r="W10" s="133">
        <f>IF(SER_hh_fec_in!W10=0,0,11630*1000*SER_hh_fec_in!W10/SER_hh_num_in!W10)</f>
        <v>0</v>
      </c>
      <c r="DA10" s="157" t="s">
        <v>730</v>
      </c>
    </row>
    <row r="11" spans="1:105" ht="12" customHeight="1" x14ac:dyDescent="0.25">
      <c r="A11" s="132" t="s">
        <v>25</v>
      </c>
      <c r="B11" s="133"/>
      <c r="C11" s="133">
        <f>IF(SER_hh_fec_in!C11=0,0,11630*1000*SER_hh_fec_in!C11/SER_hh_num_in!C11)</f>
        <v>0</v>
      </c>
      <c r="D11" s="133">
        <f>IF(SER_hh_fec_in!D11=0,0,11630*1000*SER_hh_fec_in!D11/SER_hh_num_in!D11)</f>
        <v>0</v>
      </c>
      <c r="E11" s="133">
        <f>IF(SER_hh_fec_in!E11=0,0,11630*1000*SER_hh_fec_in!E11/SER_hh_num_in!E11)</f>
        <v>0</v>
      </c>
      <c r="F11" s="133">
        <f>IF(SER_hh_fec_in!F11=0,0,11630*1000*SER_hh_fec_in!F11/SER_hh_num_in!F11)</f>
        <v>0</v>
      </c>
      <c r="G11" s="133">
        <f>IF(SER_hh_fec_in!G11=0,0,11630*1000*SER_hh_fec_in!G11/SER_hh_num_in!G11)</f>
        <v>0</v>
      </c>
      <c r="H11" s="133">
        <f>IF(SER_hh_fec_in!H11=0,0,11630*1000*SER_hh_fec_in!H11/SER_hh_num_in!H11)</f>
        <v>0</v>
      </c>
      <c r="I11" s="133">
        <f>IF(SER_hh_fec_in!I11=0,0,11630*1000*SER_hh_fec_in!I11/SER_hh_num_in!I11)</f>
        <v>0</v>
      </c>
      <c r="J11" s="133">
        <f>IF(SER_hh_fec_in!J11=0,0,11630*1000*SER_hh_fec_in!J11/SER_hh_num_in!J11)</f>
        <v>0</v>
      </c>
      <c r="K11" s="133">
        <f>IF(SER_hh_fec_in!K11=0,0,11630*1000*SER_hh_fec_in!K11/SER_hh_num_in!K11)</f>
        <v>0</v>
      </c>
      <c r="L11" s="133">
        <f>IF(SER_hh_fec_in!L11=0,0,11630*1000*SER_hh_fec_in!L11/SER_hh_num_in!L11)</f>
        <v>0</v>
      </c>
      <c r="M11" s="133">
        <f>IF(SER_hh_fec_in!M11=0,0,11630*1000*SER_hh_fec_in!M11/SER_hh_num_in!M11)</f>
        <v>0</v>
      </c>
      <c r="N11" s="133">
        <f>IF(SER_hh_fec_in!N11=0,0,11630*1000*SER_hh_fec_in!N11/SER_hh_num_in!N11)</f>
        <v>0</v>
      </c>
      <c r="O11" s="133">
        <f>IF(SER_hh_fec_in!O11=0,0,11630*1000*SER_hh_fec_in!O11/SER_hh_num_in!O11)</f>
        <v>0</v>
      </c>
      <c r="P11" s="133">
        <f>IF(SER_hh_fec_in!P11=0,0,11630*1000*SER_hh_fec_in!P11/SER_hh_num_in!P11)</f>
        <v>0</v>
      </c>
      <c r="Q11" s="133">
        <f>IF(SER_hh_fec_in!Q11=0,0,11630*1000*SER_hh_fec_in!Q11/SER_hh_num_in!Q11)</f>
        <v>0</v>
      </c>
      <c r="R11" s="133">
        <f>IF(SER_hh_fec_in!R11=0,0,11630*1000*SER_hh_fec_in!R11/SER_hh_num_in!R11)</f>
        <v>0</v>
      </c>
      <c r="S11" s="133">
        <f>IF(SER_hh_fec_in!S11=0,0,11630*1000*SER_hh_fec_in!S11/SER_hh_num_in!S11)</f>
        <v>0</v>
      </c>
      <c r="T11" s="133">
        <f>IF(SER_hh_fec_in!T11=0,0,11630*1000*SER_hh_fec_in!T11/SER_hh_num_in!T11)</f>
        <v>0</v>
      </c>
      <c r="U11" s="133">
        <f>IF(SER_hh_fec_in!U11=0,0,11630*1000*SER_hh_fec_in!U11/SER_hh_num_in!U11)</f>
        <v>0</v>
      </c>
      <c r="V11" s="133">
        <f>IF(SER_hh_fec_in!V11=0,0,11630*1000*SER_hh_fec_in!V11/SER_hh_num_in!V11)</f>
        <v>0</v>
      </c>
      <c r="W11" s="133">
        <f>IF(SER_hh_fec_in!W11=0,0,11630*1000*SER_hh_fec_in!W11/SER_hh_num_in!W11)</f>
        <v>0</v>
      </c>
      <c r="DA11" s="157" t="s">
        <v>731</v>
      </c>
    </row>
    <row r="12" spans="1:105" ht="12" customHeight="1" x14ac:dyDescent="0.25">
      <c r="A12" s="132" t="s">
        <v>169</v>
      </c>
      <c r="B12" s="133"/>
      <c r="C12" s="133">
        <f>IF(SER_hh_fec_in!C12=0,0,11630*1000*SER_hh_fec_in!C12/SER_hh_num_in!C12)</f>
        <v>95563.214365341119</v>
      </c>
      <c r="D12" s="133">
        <f>IF(SER_hh_fec_in!D12=0,0,11630*1000*SER_hh_fec_in!D12/SER_hh_num_in!D12)</f>
        <v>91684.366423770683</v>
      </c>
      <c r="E12" s="133">
        <f>IF(SER_hh_fec_in!E12=0,0,11630*1000*SER_hh_fec_in!E12/SER_hh_num_in!E12)</f>
        <v>91598.073159411564</v>
      </c>
      <c r="F12" s="133">
        <f>IF(SER_hh_fec_in!F12=0,0,11630*1000*SER_hh_fec_in!F12/SER_hh_num_in!F12)</f>
        <v>88649.875621691564</v>
      </c>
      <c r="G12" s="133">
        <f>IF(SER_hh_fec_in!G12=0,0,11630*1000*SER_hh_fec_in!G12/SER_hh_num_in!G12)</f>
        <v>84989.285553568334</v>
      </c>
      <c r="H12" s="133">
        <f>IF(SER_hh_fec_in!H12=0,0,11630*1000*SER_hh_fec_in!H12/SER_hh_num_in!H12)</f>
        <v>82467.345025291987</v>
      </c>
      <c r="I12" s="133">
        <f>IF(SER_hh_fec_in!I12=0,0,11630*1000*SER_hh_fec_in!I12/SER_hh_num_in!I12)</f>
        <v>76590.832366622941</v>
      </c>
      <c r="J12" s="133">
        <f>IF(SER_hh_fec_in!J12=0,0,11630*1000*SER_hh_fec_in!J12/SER_hh_num_in!J12)</f>
        <v>74774.538057402809</v>
      </c>
      <c r="K12" s="133">
        <f>IF(SER_hh_fec_in!K12=0,0,11630*1000*SER_hh_fec_in!K12/SER_hh_num_in!K12)</f>
        <v>71157.010755780211</v>
      </c>
      <c r="L12" s="133">
        <f>IF(SER_hh_fec_in!L12=0,0,11630*1000*SER_hh_fec_in!L12/SER_hh_num_in!L12)</f>
        <v>77847.958131172767</v>
      </c>
      <c r="M12" s="133">
        <f>IF(SER_hh_fec_in!M12=0,0,11630*1000*SER_hh_fec_in!M12/SER_hh_num_in!M12)</f>
        <v>64079.365115908724</v>
      </c>
      <c r="N12" s="133">
        <f>IF(SER_hh_fec_in!N12=0,0,11630*1000*SER_hh_fec_in!N12/SER_hh_num_in!N12)</f>
        <v>62892.31153617728</v>
      </c>
      <c r="O12" s="133">
        <f>IF(SER_hh_fec_in!O12=0,0,11630*1000*SER_hh_fec_in!O12/SER_hh_num_in!O12)</f>
        <v>59595.00382560608</v>
      </c>
      <c r="P12" s="133">
        <f>IF(SER_hh_fec_in!P12=0,0,11630*1000*SER_hh_fec_in!P12/SER_hh_num_in!P12)</f>
        <v>50771.820978565556</v>
      </c>
      <c r="Q12" s="133">
        <f>IF(SER_hh_fec_in!Q12=0,0,11630*1000*SER_hh_fec_in!Q12/SER_hh_num_in!Q12)</f>
        <v>52126.949823457209</v>
      </c>
      <c r="R12" s="133">
        <f>IF(SER_hh_fec_in!R12=0,0,11630*1000*SER_hh_fec_in!R12/SER_hh_num_in!R12)</f>
        <v>51359.03941547672</v>
      </c>
      <c r="S12" s="133">
        <f>IF(SER_hh_fec_in!S12=0,0,11630*1000*SER_hh_fec_in!S12/SER_hh_num_in!S12)</f>
        <v>49226.184368357317</v>
      </c>
      <c r="T12" s="133">
        <f>IF(SER_hh_fec_in!T12=0,0,11630*1000*SER_hh_fec_in!T12/SER_hh_num_in!T12)</f>
        <v>46044.237816845576</v>
      </c>
      <c r="U12" s="133">
        <f>IF(SER_hh_fec_in!U12=0,0,11630*1000*SER_hh_fec_in!U12/SER_hh_num_in!U12)</f>
        <v>42595.304873567417</v>
      </c>
      <c r="V12" s="133">
        <f>IF(SER_hh_fec_in!V12=0,0,11630*1000*SER_hh_fec_in!V12/SER_hh_num_in!V12)</f>
        <v>38990.641535120107</v>
      </c>
      <c r="W12" s="133">
        <f>IF(SER_hh_fec_in!W12=0,0,11630*1000*SER_hh_fec_in!W12/SER_hh_num_in!W12)</f>
        <v>39900.622412640121</v>
      </c>
      <c r="DA12" s="157" t="s">
        <v>732</v>
      </c>
    </row>
    <row r="13" spans="1:105" ht="12" customHeight="1" x14ac:dyDescent="0.25">
      <c r="A13" s="132" t="s">
        <v>77</v>
      </c>
      <c r="B13" s="133"/>
      <c r="C13" s="133">
        <f>IF(SER_hh_fec_in!C13=0,0,11630*1000*SER_hh_fec_in!C13/SER_hh_num_in!C13)</f>
        <v>42703.908732991273</v>
      </c>
      <c r="D13" s="133">
        <f>IF(SER_hh_fec_in!D13=0,0,11630*1000*SER_hh_fec_in!D13/SER_hh_num_in!D13)</f>
        <v>40253.682245679942</v>
      </c>
      <c r="E13" s="133">
        <f>IF(SER_hh_fec_in!E13=0,0,11630*1000*SER_hh_fec_in!E13/SER_hh_num_in!E13)</f>
        <v>37734.146573839636</v>
      </c>
      <c r="F13" s="133">
        <f>IF(SER_hh_fec_in!F13=0,0,11630*1000*SER_hh_fec_in!F13/SER_hh_num_in!F13)</f>
        <v>35855.89258730266</v>
      </c>
      <c r="G13" s="133">
        <f>IF(SER_hh_fec_in!G13=0,0,11630*1000*SER_hh_fec_in!G13/SER_hh_num_in!G13)</f>
        <v>25255.630346059752</v>
      </c>
      <c r="H13" s="133">
        <f>IF(SER_hh_fec_in!H13=0,0,11630*1000*SER_hh_fec_in!H13/SER_hh_num_in!H13)</f>
        <v>15925.186478396536</v>
      </c>
      <c r="I13" s="133">
        <f>IF(SER_hh_fec_in!I13=0,0,11630*1000*SER_hh_fec_in!I13/SER_hh_num_in!I13)</f>
        <v>34896.350629598135</v>
      </c>
      <c r="J13" s="133">
        <f>IF(SER_hh_fec_in!J13=0,0,11630*1000*SER_hh_fec_in!J13/SER_hh_num_in!J13)</f>
        <v>27863.639056153188</v>
      </c>
      <c r="K13" s="133">
        <f>IF(SER_hh_fec_in!K13=0,0,11630*1000*SER_hh_fec_in!K13/SER_hh_num_in!K13)</f>
        <v>24105.955688474864</v>
      </c>
      <c r="L13" s="133">
        <f>IF(SER_hh_fec_in!L13=0,0,11630*1000*SER_hh_fec_in!L13/SER_hh_num_in!L13)</f>
        <v>22713.717330404685</v>
      </c>
      <c r="M13" s="133">
        <f>IF(SER_hh_fec_in!M13=0,0,11630*1000*SER_hh_fec_in!M13/SER_hh_num_in!M13)</f>
        <v>20239.957675326645</v>
      </c>
      <c r="N13" s="133">
        <f>IF(SER_hh_fec_in!N13=0,0,11630*1000*SER_hh_fec_in!N13/SER_hh_num_in!N13)</f>
        <v>18253.162409871664</v>
      </c>
      <c r="O13" s="133">
        <f>IF(SER_hh_fec_in!O13=0,0,11630*1000*SER_hh_fec_in!O13/SER_hh_num_in!O13)</f>
        <v>16150.631809566725</v>
      </c>
      <c r="P13" s="133">
        <f>IF(SER_hh_fec_in!P13=0,0,11630*1000*SER_hh_fec_in!P13/SER_hh_num_in!P13)</f>
        <v>14004.30597855182</v>
      </c>
      <c r="Q13" s="133">
        <f>IF(SER_hh_fec_in!Q13=0,0,11630*1000*SER_hh_fec_in!Q13/SER_hh_num_in!Q13)</f>
        <v>13581.80040944332</v>
      </c>
      <c r="R13" s="133">
        <f>IF(SER_hh_fec_in!R13=0,0,11630*1000*SER_hh_fec_in!R13/SER_hh_num_in!R13)</f>
        <v>13464.562137577699</v>
      </c>
      <c r="S13" s="133">
        <f>IF(SER_hh_fec_in!S13=0,0,11630*1000*SER_hh_fec_in!S13/SER_hh_num_in!S13)</f>
        <v>12118.649823420697</v>
      </c>
      <c r="T13" s="133">
        <f>IF(SER_hh_fec_in!T13=0,0,11630*1000*SER_hh_fec_in!T13/SER_hh_num_in!T13)</f>
        <v>11487.26425906594</v>
      </c>
      <c r="U13" s="133">
        <f>IF(SER_hh_fec_in!U13=0,0,11630*1000*SER_hh_fec_in!U13/SER_hh_num_in!U13)</f>
        <v>10866.753537161696</v>
      </c>
      <c r="V13" s="133">
        <f>IF(SER_hh_fec_in!V13=0,0,11630*1000*SER_hh_fec_in!V13/SER_hh_num_in!V13)</f>
        <v>10293.556869696873</v>
      </c>
      <c r="W13" s="133">
        <f>IF(SER_hh_fec_in!W13=0,0,11630*1000*SER_hh_fec_in!W13/SER_hh_num_in!W13)</f>
        <v>9954.488580329371</v>
      </c>
      <c r="DA13" s="157" t="s">
        <v>733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105659.31416781749</v>
      </c>
      <c r="D14" s="65">
        <f>IF(SER_hh_fec_in!D14=0,0,11630*1000*SER_hh_fec_in!D14/SER_hh_num_in!D14)</f>
        <v>103128.99037851415</v>
      </c>
      <c r="E14" s="65">
        <f>IF(SER_hh_fec_in!E14=0,0,11630*1000*SER_hh_fec_in!E14/SER_hh_num_in!E14)</f>
        <v>96385.29448510606</v>
      </c>
      <c r="F14" s="65">
        <f>IF(SER_hh_fec_in!F14=0,0,11630*1000*SER_hh_fec_in!F14/SER_hh_num_in!F14)</f>
        <v>96334.30542504316</v>
      </c>
      <c r="G14" s="65">
        <f>IF(SER_hh_fec_in!G14=0,0,11630*1000*SER_hh_fec_in!G14/SER_hh_num_in!G14)</f>
        <v>91334.821193537806</v>
      </c>
      <c r="H14" s="65">
        <f>IF(SER_hh_fec_in!H14=0,0,11630*1000*SER_hh_fec_in!H14/SER_hh_num_in!H14)</f>
        <v>90767.384594163508</v>
      </c>
      <c r="I14" s="65">
        <f>IF(SER_hh_fec_in!I14=0,0,11630*1000*SER_hh_fec_in!I14/SER_hh_num_in!I14)</f>
        <v>89083.129087753812</v>
      </c>
      <c r="J14" s="65">
        <f>IF(SER_hh_fec_in!J14=0,0,11630*1000*SER_hh_fec_in!J14/SER_hh_num_in!J14)</f>
        <v>85909.837231109399</v>
      </c>
      <c r="K14" s="65">
        <f>IF(SER_hh_fec_in!K14=0,0,11630*1000*SER_hh_fec_in!K14/SER_hh_num_in!K14)</f>
        <v>74814.35255019147</v>
      </c>
      <c r="L14" s="65">
        <f>IF(SER_hh_fec_in!L14=0,0,11630*1000*SER_hh_fec_in!L14/SER_hh_num_in!L14)</f>
        <v>82077.233177837828</v>
      </c>
      <c r="M14" s="65">
        <f>IF(SER_hh_fec_in!M14=0,0,11630*1000*SER_hh_fec_in!M14/SER_hh_num_in!M14)</f>
        <v>73571.270195267862</v>
      </c>
      <c r="N14" s="65">
        <f>IF(SER_hh_fec_in!N14=0,0,11630*1000*SER_hh_fec_in!N14/SER_hh_num_in!N14)</f>
        <v>67507.412086947355</v>
      </c>
      <c r="O14" s="65">
        <f>IF(SER_hh_fec_in!O14=0,0,11630*1000*SER_hh_fec_in!O14/SER_hh_num_in!O14)</f>
        <v>0</v>
      </c>
      <c r="P14" s="65">
        <f>IF(SER_hh_fec_in!P14=0,0,11630*1000*SER_hh_fec_in!P14/SER_hh_num_in!P14)</f>
        <v>0</v>
      </c>
      <c r="Q14" s="65">
        <f>IF(SER_hh_fec_in!Q14=0,0,11630*1000*SER_hh_fec_in!Q14/SER_hh_num_in!Q14)</f>
        <v>0</v>
      </c>
      <c r="R14" s="65">
        <f>IF(SER_hh_fec_in!R14=0,0,11630*1000*SER_hh_fec_in!R14/SER_hh_num_in!R14)</f>
        <v>0</v>
      </c>
      <c r="S14" s="65">
        <f>IF(SER_hh_fec_in!S14=0,0,11630*1000*SER_hh_fec_in!S14/SER_hh_num_in!S14)</f>
        <v>0</v>
      </c>
      <c r="T14" s="65">
        <f>IF(SER_hh_fec_in!T14=0,0,11630*1000*SER_hh_fec_in!T14/SER_hh_num_in!T14)</f>
        <v>0</v>
      </c>
      <c r="U14" s="65">
        <f>IF(SER_hh_fec_in!U14=0,0,11630*1000*SER_hh_fec_in!U14/SER_hh_num_in!U14)</f>
        <v>0</v>
      </c>
      <c r="V14" s="65">
        <f>IF(SER_hh_fec_in!V14=0,0,11630*1000*SER_hh_fec_in!V14/SER_hh_num_in!V14)</f>
        <v>0</v>
      </c>
      <c r="W14" s="65">
        <f>IF(SER_hh_fec_in!W14=0,0,11630*1000*SER_hh_fec_in!W14/SER_hh_num_in!W14)</f>
        <v>51862.402485631166</v>
      </c>
      <c r="DA14" s="109" t="s">
        <v>734</v>
      </c>
    </row>
    <row r="15" spans="1:105" ht="12" customHeight="1" x14ac:dyDescent="0.25">
      <c r="A15" s="134" t="s">
        <v>80</v>
      </c>
      <c r="B15" s="135"/>
      <c r="C15" s="135">
        <f>IF(SER_hh_fec_in!C15=0,0,11630*1000*SER_hh_fec_in!C15/SER_hh_num_in!C15)</f>
        <v>532.53452138039745</v>
      </c>
      <c r="D15" s="135">
        <f>IF(SER_hh_fec_in!D15=0,0,11630*1000*SER_hh_fec_in!D15/SER_hh_num_in!D15)</f>
        <v>622.1343931114983</v>
      </c>
      <c r="E15" s="135">
        <f>IF(SER_hh_fec_in!E15=0,0,11630*1000*SER_hh_fec_in!E15/SER_hh_num_in!E15)</f>
        <v>664.93177628808655</v>
      </c>
      <c r="F15" s="135">
        <f>IF(SER_hh_fec_in!F15=0,0,11630*1000*SER_hh_fec_in!F15/SER_hh_num_in!F15)</f>
        <v>629.79778726545112</v>
      </c>
      <c r="G15" s="135">
        <f>IF(SER_hh_fec_in!G15=0,0,11630*1000*SER_hh_fec_in!G15/SER_hh_num_in!G15)</f>
        <v>573.23389226626728</v>
      </c>
      <c r="H15" s="135">
        <f>IF(SER_hh_fec_in!H15=0,0,11630*1000*SER_hh_fec_in!H15/SER_hh_num_in!H15)</f>
        <v>551.11704335477009</v>
      </c>
      <c r="I15" s="135">
        <f>IF(SER_hh_fec_in!I15=0,0,11630*1000*SER_hh_fec_in!I15/SER_hh_num_in!I15)</f>
        <v>409.54631010964772</v>
      </c>
      <c r="J15" s="135">
        <f>IF(SER_hh_fec_in!J15=0,0,11630*1000*SER_hh_fec_in!J15/SER_hh_num_in!J15)</f>
        <v>400.48754229699614</v>
      </c>
      <c r="K15" s="135">
        <f>IF(SER_hh_fec_in!K15=0,0,11630*1000*SER_hh_fec_in!K15/SER_hh_num_in!K15)</f>
        <v>341.12933993767939</v>
      </c>
      <c r="L15" s="135">
        <f>IF(SER_hh_fec_in!L15=0,0,11630*1000*SER_hh_fec_in!L15/SER_hh_num_in!L15)</f>
        <v>337.43410113281379</v>
      </c>
      <c r="M15" s="135">
        <f>IF(SER_hh_fec_in!M15=0,0,11630*1000*SER_hh_fec_in!M15/SER_hh_num_in!M15)</f>
        <v>315.72259329499593</v>
      </c>
      <c r="N15" s="135">
        <f>IF(SER_hh_fec_in!N15=0,0,11630*1000*SER_hh_fec_in!N15/SER_hh_num_in!N15)</f>
        <v>383.14928313399741</v>
      </c>
      <c r="O15" s="135">
        <f>IF(SER_hh_fec_in!O15=0,0,11630*1000*SER_hh_fec_in!O15/SER_hh_num_in!O15)</f>
        <v>375.68652371638927</v>
      </c>
      <c r="P15" s="135">
        <f>IF(SER_hh_fec_in!P15=0,0,11630*1000*SER_hh_fec_in!P15/SER_hh_num_in!P15)</f>
        <v>261.37239498240206</v>
      </c>
      <c r="Q15" s="135">
        <f>IF(SER_hh_fec_in!Q15=0,0,11630*1000*SER_hh_fec_in!Q15/SER_hh_num_in!Q15)</f>
        <v>356.38540194559152</v>
      </c>
      <c r="R15" s="135">
        <f>IF(SER_hh_fec_in!R15=0,0,11630*1000*SER_hh_fec_in!R15/SER_hh_num_in!R15)</f>
        <v>320.38845445218664</v>
      </c>
      <c r="S15" s="135">
        <f>IF(SER_hh_fec_in!S15=0,0,11630*1000*SER_hh_fec_in!S15/SER_hh_num_in!S15)</f>
        <v>309.81820059307671</v>
      </c>
      <c r="T15" s="135">
        <f>IF(SER_hh_fec_in!T15=0,0,11630*1000*SER_hh_fec_in!T15/SER_hh_num_in!T15)</f>
        <v>253.46884712042942</v>
      </c>
      <c r="U15" s="135">
        <f>IF(SER_hh_fec_in!U15=0,0,11630*1000*SER_hh_fec_in!U15/SER_hh_num_in!U15)</f>
        <v>274.76917001364461</v>
      </c>
      <c r="V15" s="135">
        <f>IF(SER_hh_fec_in!V15=0,0,11630*1000*SER_hh_fec_in!V15/SER_hh_num_in!V15)</f>
        <v>254.69200618597642</v>
      </c>
      <c r="W15" s="135">
        <f>IF(SER_hh_fec_in!W15=0,0,11630*1000*SER_hh_fec_in!W15/SER_hh_num_in!W15)</f>
        <v>265.56292298465331</v>
      </c>
      <c r="DA15" s="158" t="s">
        <v>735</v>
      </c>
    </row>
    <row r="16" spans="1:105" ht="12.95" customHeight="1" x14ac:dyDescent="0.25">
      <c r="A16" s="130" t="s">
        <v>74</v>
      </c>
      <c r="B16" s="131"/>
      <c r="C16" s="131">
        <f>IF(SER_hh_fec_in!C16=0,0,11630*1000*SER_hh_fec_in!C16/SER_hh_num_in!C16)</f>
        <v>8080.6519580691538</v>
      </c>
      <c r="D16" s="131">
        <f>IF(SER_hh_fec_in!D16=0,0,11630*1000*SER_hh_fec_in!D16/SER_hh_num_in!D16)</f>
        <v>7739.1604089534976</v>
      </c>
      <c r="E16" s="131">
        <f>IF(SER_hh_fec_in!E16=0,0,11630*1000*SER_hh_fec_in!E16/SER_hh_num_in!E16)</f>
        <v>7411.6800647842911</v>
      </c>
      <c r="F16" s="131">
        <f>IF(SER_hh_fec_in!F16=0,0,11630*1000*SER_hh_fec_in!F16/SER_hh_num_in!F16)</f>
        <v>7115.2289137357402</v>
      </c>
      <c r="G16" s="131">
        <f>IF(SER_hh_fec_in!G16=0,0,11630*1000*SER_hh_fec_in!G16/SER_hh_num_in!G16)</f>
        <v>6834.120356203357</v>
      </c>
      <c r="H16" s="131">
        <f>IF(SER_hh_fec_in!H16=0,0,11630*1000*SER_hh_fec_in!H16/SER_hh_num_in!H16)</f>
        <v>6567.1178883071607</v>
      </c>
      <c r="I16" s="131">
        <f>IF(SER_hh_fec_in!I16=0,0,11630*1000*SER_hh_fec_in!I16/SER_hh_num_in!I16)</f>
        <v>6327.9213749224837</v>
      </c>
      <c r="J16" s="131">
        <f>IF(SER_hh_fec_in!J16=0,0,11630*1000*SER_hh_fec_in!J16/SER_hh_num_in!J16)</f>
        <v>6071.9801720731193</v>
      </c>
      <c r="K16" s="131">
        <f>IF(SER_hh_fec_in!K16=0,0,11630*1000*SER_hh_fec_in!K16/SER_hh_num_in!K16)</f>
        <v>5835.4179316476166</v>
      </c>
      <c r="L16" s="131">
        <f>IF(SER_hh_fec_in!L16=0,0,11630*1000*SER_hh_fec_in!L16/SER_hh_num_in!L16)</f>
        <v>5639.0674103971114</v>
      </c>
      <c r="M16" s="131">
        <f>IF(SER_hh_fec_in!M16=0,0,11630*1000*SER_hh_fec_in!M16/SER_hh_num_in!M16)</f>
        <v>5345.9702200873953</v>
      </c>
      <c r="N16" s="131">
        <f>IF(SER_hh_fec_in!N16=0,0,11630*1000*SER_hh_fec_in!N16/SER_hh_num_in!N16)</f>
        <v>5048.812756736862</v>
      </c>
      <c r="O16" s="131">
        <f>IF(SER_hh_fec_in!O16=0,0,11630*1000*SER_hh_fec_in!O16/SER_hh_num_in!O16)</f>
        <v>4731.6459590459044</v>
      </c>
      <c r="P16" s="131">
        <f>IF(SER_hh_fec_in!P16=0,0,11630*1000*SER_hh_fec_in!P16/SER_hh_num_in!P16)</f>
        <v>4453.4408420008886</v>
      </c>
      <c r="Q16" s="131">
        <f>IF(SER_hh_fec_in!Q16=0,0,11630*1000*SER_hh_fec_in!Q16/SER_hh_num_in!Q16)</f>
        <v>4217.196448255213</v>
      </c>
      <c r="R16" s="131">
        <f>IF(SER_hh_fec_in!R16=0,0,11630*1000*SER_hh_fec_in!R16/SER_hh_num_in!R16)</f>
        <v>4067.3413305829304</v>
      </c>
      <c r="S16" s="131">
        <f>IF(SER_hh_fec_in!S16=0,0,11630*1000*SER_hh_fec_in!S16/SER_hh_num_in!S16)</f>
        <v>3906.2565373749867</v>
      </c>
      <c r="T16" s="131">
        <f>IF(SER_hh_fec_in!T16=0,0,11630*1000*SER_hh_fec_in!T16/SER_hh_num_in!T16)</f>
        <v>3882.506346150536</v>
      </c>
      <c r="U16" s="131">
        <f>IF(SER_hh_fec_in!U16=0,0,11630*1000*SER_hh_fec_in!U16/SER_hh_num_in!U16)</f>
        <v>3623.280359394018</v>
      </c>
      <c r="V16" s="131">
        <f>IF(SER_hh_fec_in!V16=0,0,11630*1000*SER_hh_fec_in!V16/SER_hh_num_in!V16)</f>
        <v>3555.8996333695709</v>
      </c>
      <c r="W16" s="131">
        <f>IF(SER_hh_fec_in!W16=0,0,11630*1000*SER_hh_fec_in!W16/SER_hh_num_in!W16)</f>
        <v>3256.9427223496923</v>
      </c>
      <c r="DA16" s="156" t="s">
        <v>736</v>
      </c>
    </row>
    <row r="17" spans="1:105" ht="12.95" customHeight="1" x14ac:dyDescent="0.25">
      <c r="A17" s="132" t="s">
        <v>73</v>
      </c>
      <c r="B17" s="133"/>
      <c r="C17" s="133">
        <f>IF(SER_hh_fec_in!C17=0,0,11630*1000*SER_hh_fec_in!C17/SER_hh_num_in!C17)</f>
        <v>16366.986087779753</v>
      </c>
      <c r="D17" s="133">
        <f>IF(SER_hh_fec_in!D17=0,0,11630*1000*SER_hh_fec_in!D17/SER_hh_num_in!D17)</f>
        <v>16193.082302279194</v>
      </c>
      <c r="E17" s="133">
        <f>IF(SER_hh_fec_in!E17=0,0,11630*1000*SER_hh_fec_in!E17/SER_hh_num_in!E17)</f>
        <v>16012.704707094968</v>
      </c>
      <c r="F17" s="133">
        <f>IF(SER_hh_fec_in!F17=0,0,11630*1000*SER_hh_fec_in!F17/SER_hh_num_in!F17)</f>
        <v>15866.235075945648</v>
      </c>
      <c r="G17" s="133">
        <f>IF(SER_hh_fec_in!G17=0,0,11630*1000*SER_hh_fec_in!G17/SER_hh_num_in!G17)</f>
        <v>15727.010364144149</v>
      </c>
      <c r="H17" s="133">
        <f>IF(SER_hh_fec_in!H17=0,0,11630*1000*SER_hh_fec_in!H17/SER_hh_num_in!H17)</f>
        <v>15577.324582485986</v>
      </c>
      <c r="I17" s="133">
        <f>IF(SER_hh_fec_in!I17=0,0,11630*1000*SER_hh_fec_in!I17/SER_hh_num_in!I17)</f>
        <v>15448.300874898308</v>
      </c>
      <c r="J17" s="133">
        <f>IF(SER_hh_fec_in!J17=0,0,11630*1000*SER_hh_fec_in!J17/SER_hh_num_in!J17)</f>
        <v>15257.47625264154</v>
      </c>
      <c r="K17" s="133">
        <f>IF(SER_hh_fec_in!K17=0,0,11630*1000*SER_hh_fec_in!K17/SER_hh_num_in!K17)</f>
        <v>15088.519230198513</v>
      </c>
      <c r="L17" s="133">
        <f>IF(SER_hh_fec_in!L17=0,0,11630*1000*SER_hh_fec_in!L17/SER_hh_num_in!L17)</f>
        <v>15022.123736132749</v>
      </c>
      <c r="M17" s="133">
        <f>IF(SER_hh_fec_in!M17=0,0,11630*1000*SER_hh_fec_in!M17/SER_hh_num_in!M17)</f>
        <v>14681.714822133456</v>
      </c>
      <c r="N17" s="133">
        <f>IF(SER_hh_fec_in!N17=0,0,11630*1000*SER_hh_fec_in!N17/SER_hh_num_in!N17)</f>
        <v>14273.268999369426</v>
      </c>
      <c r="O17" s="133">
        <f>IF(SER_hh_fec_in!O17=0,0,11630*1000*SER_hh_fec_in!O17/SER_hh_num_in!O17)</f>
        <v>13757.044099951458</v>
      </c>
      <c r="P17" s="133">
        <f>IF(SER_hh_fec_in!P17=0,0,11630*1000*SER_hh_fec_in!P17/SER_hh_num_in!P17)</f>
        <v>13269.431580496483</v>
      </c>
      <c r="Q17" s="133">
        <f>IF(SER_hh_fec_in!Q17=0,0,11630*1000*SER_hh_fec_in!Q17/SER_hh_num_in!Q17)</f>
        <v>12753.083167001214</v>
      </c>
      <c r="R17" s="133">
        <f>IF(SER_hh_fec_in!R17=0,0,11630*1000*SER_hh_fec_in!R17/SER_hh_num_in!R17)</f>
        <v>12402.370873301585</v>
      </c>
      <c r="S17" s="133">
        <f>IF(SER_hh_fec_in!S17=0,0,11630*1000*SER_hh_fec_in!S17/SER_hh_num_in!S17)</f>
        <v>11920.074928429289</v>
      </c>
      <c r="T17" s="133">
        <f>IF(SER_hh_fec_in!T17=0,0,11630*1000*SER_hh_fec_in!T17/SER_hh_num_in!T17)</f>
        <v>11770.594233608996</v>
      </c>
      <c r="U17" s="133">
        <f>IF(SER_hh_fec_in!U17=0,0,11630*1000*SER_hh_fec_in!U17/SER_hh_num_in!U17)</f>
        <v>10847.053208737185</v>
      </c>
      <c r="V17" s="133">
        <f>IF(SER_hh_fec_in!V17=0,0,11630*1000*SER_hh_fec_in!V17/SER_hh_num_in!V17)</f>
        <v>7640.9995627090675</v>
      </c>
      <c r="W17" s="133">
        <f>IF(SER_hh_fec_in!W17=0,0,11630*1000*SER_hh_fec_in!W17/SER_hh_num_in!W17)</f>
        <v>7251.7514043491565</v>
      </c>
      <c r="DA17" s="157" t="s">
        <v>737</v>
      </c>
    </row>
    <row r="18" spans="1:105" ht="12" customHeight="1" x14ac:dyDescent="0.25">
      <c r="A18" s="132" t="s">
        <v>72</v>
      </c>
      <c r="B18" s="133"/>
      <c r="C18" s="133">
        <f>IF(SER_hh_fec_in!C18=0,0,11630*1000*SER_hh_fec_in!C18/SER_hh_num_in!C18)</f>
        <v>8071.8840047699268</v>
      </c>
      <c r="D18" s="133">
        <f>IF(SER_hh_fec_in!D18=0,0,11630*1000*SER_hh_fec_in!D18/SER_hh_num_in!D18)</f>
        <v>7729.3388407718821</v>
      </c>
      <c r="E18" s="133">
        <f>IF(SER_hh_fec_in!E18=0,0,11630*1000*SER_hh_fec_in!E18/SER_hh_num_in!E18)</f>
        <v>7403.6292728412518</v>
      </c>
      <c r="F18" s="133">
        <f>IF(SER_hh_fec_in!F18=0,0,11630*1000*SER_hh_fec_in!F18/SER_hh_num_in!F18)</f>
        <v>7103.7326253489091</v>
      </c>
      <c r="G18" s="133">
        <f>IF(SER_hh_fec_in!G18=0,0,11630*1000*SER_hh_fec_in!G18/SER_hh_num_in!G18)</f>
        <v>6822.033805643292</v>
      </c>
      <c r="H18" s="133">
        <f>IF(SER_hh_fec_in!H18=0,0,11630*1000*SER_hh_fec_in!H18/SER_hh_num_in!H18)</f>
        <v>6557.3898754097781</v>
      </c>
      <c r="I18" s="133">
        <f>IF(SER_hh_fec_in!I18=0,0,11630*1000*SER_hh_fec_in!I18/SER_hh_num_in!I18)</f>
        <v>6319.3557578375558</v>
      </c>
      <c r="J18" s="133">
        <f>IF(SER_hh_fec_in!J18=0,0,11630*1000*SER_hh_fec_in!J18/SER_hh_num_in!J18)</f>
        <v>6062.1170807476692</v>
      </c>
      <c r="K18" s="133">
        <f>IF(SER_hh_fec_in!K18=0,0,11630*1000*SER_hh_fec_in!K18/SER_hh_num_in!K18)</f>
        <v>5826.383016742242</v>
      </c>
      <c r="L18" s="133">
        <f>IF(SER_hh_fec_in!L18=0,0,11630*1000*SER_hh_fec_in!L18/SER_hh_num_in!L18)</f>
        <v>5625.9884755648754</v>
      </c>
      <c r="M18" s="133">
        <f>IF(SER_hh_fec_in!M18=0,0,11630*1000*SER_hh_fec_in!M18/SER_hh_num_in!M18)</f>
        <v>5330.0744753536992</v>
      </c>
      <c r="N18" s="133">
        <f>IF(SER_hh_fec_in!N18=0,0,11630*1000*SER_hh_fec_in!N18/SER_hh_num_in!N18)</f>
        <v>5028.2865247578529</v>
      </c>
      <c r="O18" s="133">
        <f>IF(SER_hh_fec_in!O18=0,0,11630*1000*SER_hh_fec_in!O18/SER_hh_num_in!O18)</f>
        <v>4704.2393504831152</v>
      </c>
      <c r="P18" s="133">
        <f>IF(SER_hh_fec_in!P18=0,0,11630*1000*SER_hh_fec_in!P18/SER_hh_num_in!P18)</f>
        <v>4415.0427191033659</v>
      </c>
      <c r="Q18" s="133">
        <f>IF(SER_hh_fec_in!Q18=0,0,11630*1000*SER_hh_fec_in!Q18/SER_hh_num_in!Q18)</f>
        <v>4158.7785294673631</v>
      </c>
      <c r="R18" s="133">
        <f>IF(SER_hh_fec_in!R18=0,0,11630*1000*SER_hh_fec_in!R18/SER_hh_num_in!R18)</f>
        <v>4012.306453080269</v>
      </c>
      <c r="S18" s="133">
        <f>IF(SER_hh_fec_in!S18=0,0,11630*1000*SER_hh_fec_in!S18/SER_hh_num_in!S18)</f>
        <v>3857.0880330448672</v>
      </c>
      <c r="T18" s="133">
        <f>IF(SER_hh_fec_in!T18=0,0,11630*1000*SER_hh_fec_in!T18/SER_hh_num_in!T18)</f>
        <v>3845.8576982666295</v>
      </c>
      <c r="U18" s="133">
        <f>IF(SER_hh_fec_in!U18=0,0,11630*1000*SER_hh_fec_in!U18/SER_hh_num_in!U18)</f>
        <v>3572.0767204802182</v>
      </c>
      <c r="V18" s="133">
        <f>IF(SER_hh_fec_in!V18=0,0,11630*1000*SER_hh_fec_in!V18/SER_hh_num_in!V18)</f>
        <v>3428.0502551952504</v>
      </c>
      <c r="W18" s="133">
        <f>IF(SER_hh_fec_in!W18=0,0,11630*1000*SER_hh_fec_in!W18/SER_hh_num_in!W18)</f>
        <v>3236.213500680773</v>
      </c>
      <c r="DA18" s="157" t="s">
        <v>738</v>
      </c>
    </row>
    <row r="19" spans="1:105" ht="12.95" customHeight="1" x14ac:dyDescent="0.25">
      <c r="A19" s="130" t="s">
        <v>35</v>
      </c>
      <c r="B19" s="131"/>
      <c r="C19" s="131">
        <f>IF(SER_hh_fec_in!C19=0,0,11630*1000*SER_hh_fec_in!C19/SER_hh_num_in!C19)</f>
        <v>12488.991382162129</v>
      </c>
      <c r="D19" s="131">
        <f>IF(SER_hh_fec_in!D19=0,0,11630*1000*SER_hh_fec_in!D19/SER_hh_num_in!D19)</f>
        <v>12529.54510488788</v>
      </c>
      <c r="E19" s="131">
        <f>IF(SER_hh_fec_in!E19=0,0,11630*1000*SER_hh_fec_in!E19/SER_hh_num_in!E19)</f>
        <v>12614.081234957181</v>
      </c>
      <c r="F19" s="131">
        <f>IF(SER_hh_fec_in!F19=0,0,11630*1000*SER_hh_fec_in!F19/SER_hh_num_in!F19)</f>
        <v>12348.23332193928</v>
      </c>
      <c r="G19" s="131">
        <f>IF(SER_hh_fec_in!G19=0,0,11630*1000*SER_hh_fec_in!G19/SER_hh_num_in!G19)</f>
        <v>12167.724720052993</v>
      </c>
      <c r="H19" s="131">
        <f>IF(SER_hh_fec_in!H19=0,0,11630*1000*SER_hh_fec_in!H19/SER_hh_num_in!H19)</f>
        <v>12095.416588093762</v>
      </c>
      <c r="I19" s="131">
        <f>IF(SER_hh_fec_in!I19=0,0,11630*1000*SER_hh_fec_in!I19/SER_hh_num_in!I19)</f>
        <v>11648.535469179769</v>
      </c>
      <c r="J19" s="131">
        <f>IF(SER_hh_fec_in!J19=0,0,11630*1000*SER_hh_fec_in!J19/SER_hh_num_in!J19)</f>
        <v>11500.044675897896</v>
      </c>
      <c r="K19" s="131">
        <f>IF(SER_hh_fec_in!K19=0,0,11630*1000*SER_hh_fec_in!K19/SER_hh_num_in!K19)</f>
        <v>11272.032284165341</v>
      </c>
      <c r="L19" s="131">
        <f>IF(SER_hh_fec_in!L19=0,0,11630*1000*SER_hh_fec_in!L19/SER_hh_num_in!L19)</f>
        <v>10818.643555886154</v>
      </c>
      <c r="M19" s="131">
        <f>IF(SER_hh_fec_in!M19=0,0,11630*1000*SER_hh_fec_in!M19/SER_hh_num_in!M19)</f>
        <v>11008.669514971823</v>
      </c>
      <c r="N19" s="131">
        <f>IF(SER_hh_fec_in!N19=0,0,11630*1000*SER_hh_fec_in!N19/SER_hh_num_in!N19)</f>
        <v>11260.950259725716</v>
      </c>
      <c r="O19" s="131">
        <f>IF(SER_hh_fec_in!O19=0,0,11630*1000*SER_hh_fec_in!O19/SER_hh_num_in!O19)</f>
        <v>10952.459818398438</v>
      </c>
      <c r="P19" s="131">
        <f>IF(SER_hh_fec_in!P19=0,0,11630*1000*SER_hh_fec_in!P19/SER_hh_num_in!P19)</f>
        <v>10966.495777444236</v>
      </c>
      <c r="Q19" s="131">
        <f>IF(SER_hh_fec_in!Q19=0,0,11630*1000*SER_hh_fec_in!Q19/SER_hh_num_in!Q19)</f>
        <v>10911.373219181534</v>
      </c>
      <c r="R19" s="131">
        <f>IF(SER_hh_fec_in!R19=0,0,11630*1000*SER_hh_fec_in!R19/SER_hh_num_in!R19)</f>
        <v>10724.518375288792</v>
      </c>
      <c r="S19" s="131">
        <f>IF(SER_hh_fec_in!S19=0,0,11630*1000*SER_hh_fec_in!S19/SER_hh_num_in!S19)</f>
        <v>10622.785533104228</v>
      </c>
      <c r="T19" s="131">
        <f>IF(SER_hh_fec_in!T19=0,0,11630*1000*SER_hh_fec_in!T19/SER_hh_num_in!T19)</f>
        <v>10289.115026684152</v>
      </c>
      <c r="U19" s="131">
        <f>IF(SER_hh_fec_in!U19=0,0,11630*1000*SER_hh_fec_in!U19/SER_hh_num_in!U19)</f>
        <v>10007.310061508919</v>
      </c>
      <c r="V19" s="131">
        <f>IF(SER_hh_fec_in!V19=0,0,11630*1000*SER_hh_fec_in!V19/SER_hh_num_in!V19)</f>
        <v>8652.9016363706451</v>
      </c>
      <c r="W19" s="131">
        <f>IF(SER_hh_fec_in!W19=0,0,11630*1000*SER_hh_fec_in!W19/SER_hh_num_in!W19)</f>
        <v>9404.7378572127327</v>
      </c>
      <c r="DA19" s="156" t="s">
        <v>739</v>
      </c>
    </row>
    <row r="20" spans="1:105" ht="12" customHeight="1" x14ac:dyDescent="0.25">
      <c r="A20" s="132" t="s">
        <v>29</v>
      </c>
      <c r="B20" s="133"/>
      <c r="C20" s="133">
        <f>IF(SER_hh_fec_in!C20=0,0,11630*1000*SER_hh_fec_in!C20/SER_hh_num_in!C20)</f>
        <v>0</v>
      </c>
      <c r="D20" s="133">
        <f>IF(SER_hh_fec_in!D20=0,0,11630*1000*SER_hh_fec_in!D20/SER_hh_num_in!D20)</f>
        <v>0</v>
      </c>
      <c r="E20" s="133">
        <f>IF(SER_hh_fec_in!E20=0,0,11630*1000*SER_hh_fec_in!E20/SER_hh_num_in!E20)</f>
        <v>0</v>
      </c>
      <c r="F20" s="133">
        <f>IF(SER_hh_fec_in!F20=0,0,11630*1000*SER_hh_fec_in!F20/SER_hh_num_in!F20)</f>
        <v>0</v>
      </c>
      <c r="G20" s="133">
        <f>IF(SER_hh_fec_in!G20=0,0,11630*1000*SER_hh_fec_in!G20/SER_hh_num_in!G20)</f>
        <v>0</v>
      </c>
      <c r="H20" s="133">
        <f>IF(SER_hh_fec_in!H20=0,0,11630*1000*SER_hh_fec_in!H20/SER_hh_num_in!H20)</f>
        <v>0</v>
      </c>
      <c r="I20" s="133">
        <f>IF(SER_hh_fec_in!I20=0,0,11630*1000*SER_hh_fec_in!I20/SER_hh_num_in!I20)</f>
        <v>0</v>
      </c>
      <c r="J20" s="133">
        <f>IF(SER_hh_fec_in!J20=0,0,11630*1000*SER_hh_fec_in!J20/SER_hh_num_in!J20)</f>
        <v>0</v>
      </c>
      <c r="K20" s="133">
        <f>IF(SER_hh_fec_in!K20=0,0,11630*1000*SER_hh_fec_in!K20/SER_hh_num_in!K20)</f>
        <v>0</v>
      </c>
      <c r="L20" s="133">
        <f>IF(SER_hh_fec_in!L20=0,0,11630*1000*SER_hh_fec_in!L20/SER_hh_num_in!L20)</f>
        <v>0</v>
      </c>
      <c r="M20" s="133">
        <f>IF(SER_hh_fec_in!M20=0,0,11630*1000*SER_hh_fec_in!M20/SER_hh_num_in!M20)</f>
        <v>0</v>
      </c>
      <c r="N20" s="133">
        <f>IF(SER_hh_fec_in!N20=0,0,11630*1000*SER_hh_fec_in!N20/SER_hh_num_in!N20)</f>
        <v>0</v>
      </c>
      <c r="O20" s="133">
        <f>IF(SER_hh_fec_in!O20=0,0,11630*1000*SER_hh_fec_in!O20/SER_hh_num_in!O20)</f>
        <v>0</v>
      </c>
      <c r="P20" s="133">
        <f>IF(SER_hh_fec_in!P20=0,0,11630*1000*SER_hh_fec_in!P20/SER_hh_num_in!P20)</f>
        <v>0</v>
      </c>
      <c r="Q20" s="133">
        <f>IF(SER_hh_fec_in!Q20=0,0,11630*1000*SER_hh_fec_in!Q20/SER_hh_num_in!Q20)</f>
        <v>0</v>
      </c>
      <c r="R20" s="133">
        <f>IF(SER_hh_fec_in!R20=0,0,11630*1000*SER_hh_fec_in!R20/SER_hh_num_in!R20)</f>
        <v>0</v>
      </c>
      <c r="S20" s="133">
        <f>IF(SER_hh_fec_in!S20=0,0,11630*1000*SER_hh_fec_in!S20/SER_hh_num_in!S20)</f>
        <v>0</v>
      </c>
      <c r="T20" s="133">
        <f>IF(SER_hh_fec_in!T20=0,0,11630*1000*SER_hh_fec_in!T20/SER_hh_num_in!T20)</f>
        <v>0</v>
      </c>
      <c r="U20" s="133">
        <f>IF(SER_hh_fec_in!U20=0,0,11630*1000*SER_hh_fec_in!U20/SER_hh_num_in!U20)</f>
        <v>0</v>
      </c>
      <c r="V20" s="133">
        <f>IF(SER_hh_fec_in!V20=0,0,11630*1000*SER_hh_fec_in!V20/SER_hh_num_in!V20)</f>
        <v>0</v>
      </c>
      <c r="W20" s="133">
        <f>IF(SER_hh_fec_in!W20=0,0,11630*1000*SER_hh_fec_in!W20/SER_hh_num_in!W20)</f>
        <v>0</v>
      </c>
      <c r="DA20" s="157" t="s">
        <v>740</v>
      </c>
    </row>
    <row r="21" spans="1:105" s="2" customFormat="1" ht="12" customHeight="1" x14ac:dyDescent="0.25">
      <c r="A21" s="132" t="s">
        <v>52</v>
      </c>
      <c r="B21" s="133"/>
      <c r="C21" s="133">
        <f>IF(SER_hh_fec_in!C21=0,0,11630*1000*SER_hh_fec_in!C21/SER_hh_num_in!C21)</f>
        <v>0</v>
      </c>
      <c r="D21" s="133">
        <f>IF(SER_hh_fec_in!D21=0,0,11630*1000*SER_hh_fec_in!D21/SER_hh_num_in!D21)</f>
        <v>0</v>
      </c>
      <c r="E21" s="133">
        <f>IF(SER_hh_fec_in!E21=0,0,11630*1000*SER_hh_fec_in!E21/SER_hh_num_in!E21)</f>
        <v>0</v>
      </c>
      <c r="F21" s="133">
        <f>IF(SER_hh_fec_in!F21=0,0,11630*1000*SER_hh_fec_in!F21/SER_hh_num_in!F21)</f>
        <v>0</v>
      </c>
      <c r="G21" s="133">
        <f>IF(SER_hh_fec_in!G21=0,0,11630*1000*SER_hh_fec_in!G21/SER_hh_num_in!G21)</f>
        <v>0</v>
      </c>
      <c r="H21" s="133">
        <f>IF(SER_hh_fec_in!H21=0,0,11630*1000*SER_hh_fec_in!H21/SER_hh_num_in!H21)</f>
        <v>0</v>
      </c>
      <c r="I21" s="133">
        <f>IF(SER_hh_fec_in!I21=0,0,11630*1000*SER_hh_fec_in!I21/SER_hh_num_in!I21)</f>
        <v>0</v>
      </c>
      <c r="J21" s="133">
        <f>IF(SER_hh_fec_in!J21=0,0,11630*1000*SER_hh_fec_in!J21/SER_hh_num_in!J21)</f>
        <v>0</v>
      </c>
      <c r="K21" s="133">
        <f>IF(SER_hh_fec_in!K21=0,0,11630*1000*SER_hh_fec_in!K21/SER_hh_num_in!K21)</f>
        <v>0</v>
      </c>
      <c r="L21" s="133">
        <f>IF(SER_hh_fec_in!L21=0,0,11630*1000*SER_hh_fec_in!L21/SER_hh_num_in!L21)</f>
        <v>0</v>
      </c>
      <c r="M21" s="133">
        <f>IF(SER_hh_fec_in!M21=0,0,11630*1000*SER_hh_fec_in!M21/SER_hh_num_in!M21)</f>
        <v>0</v>
      </c>
      <c r="N21" s="133">
        <f>IF(SER_hh_fec_in!N21=0,0,11630*1000*SER_hh_fec_in!N21/SER_hh_num_in!N21)</f>
        <v>0</v>
      </c>
      <c r="O21" s="133">
        <f>IF(SER_hh_fec_in!O21=0,0,11630*1000*SER_hh_fec_in!O21/SER_hh_num_in!O21)</f>
        <v>0</v>
      </c>
      <c r="P21" s="133">
        <f>IF(SER_hh_fec_in!P21=0,0,11630*1000*SER_hh_fec_in!P21/SER_hh_num_in!P21)</f>
        <v>0</v>
      </c>
      <c r="Q21" s="133">
        <f>IF(SER_hh_fec_in!Q21=0,0,11630*1000*SER_hh_fec_in!Q21/SER_hh_num_in!Q21)</f>
        <v>0</v>
      </c>
      <c r="R21" s="133">
        <f>IF(SER_hh_fec_in!R21=0,0,11630*1000*SER_hh_fec_in!R21/SER_hh_num_in!R21)</f>
        <v>0</v>
      </c>
      <c r="S21" s="133">
        <f>IF(SER_hh_fec_in!S21=0,0,11630*1000*SER_hh_fec_in!S21/SER_hh_num_in!S21)</f>
        <v>0</v>
      </c>
      <c r="T21" s="133">
        <f>IF(SER_hh_fec_in!T21=0,0,11630*1000*SER_hh_fec_in!T21/SER_hh_num_in!T21)</f>
        <v>0</v>
      </c>
      <c r="U21" s="133">
        <f>IF(SER_hh_fec_in!U21=0,0,11630*1000*SER_hh_fec_in!U21/SER_hh_num_in!U21)</f>
        <v>0</v>
      </c>
      <c r="V21" s="133">
        <f>IF(SER_hh_fec_in!V21=0,0,11630*1000*SER_hh_fec_in!V21/SER_hh_num_in!V21)</f>
        <v>0</v>
      </c>
      <c r="W21" s="133">
        <f>IF(SER_hh_fec_in!W21=0,0,11630*1000*SER_hh_fec_in!W21/SER_hh_num_in!W21)</f>
        <v>0</v>
      </c>
      <c r="DA21" s="157" t="s">
        <v>741</v>
      </c>
    </row>
    <row r="22" spans="1:105" ht="12" customHeight="1" x14ac:dyDescent="0.25">
      <c r="A22" s="132" t="s">
        <v>168</v>
      </c>
      <c r="B22" s="133"/>
      <c r="C22" s="133">
        <f>IF(SER_hh_fec_in!C22=0,0,11630*1000*SER_hh_fec_in!C22/SER_hh_num_in!C22)</f>
        <v>16929.109383801271</v>
      </c>
      <c r="D22" s="133">
        <f>IF(SER_hh_fec_in!D22=0,0,11630*1000*SER_hh_fec_in!D22/SER_hh_num_in!D22)</f>
        <v>16729.903635287246</v>
      </c>
      <c r="E22" s="133">
        <f>IF(SER_hh_fec_in!E22=0,0,11630*1000*SER_hh_fec_in!E22/SER_hh_num_in!E22)</f>
        <v>16569.673521725537</v>
      </c>
      <c r="F22" s="133">
        <f>IF(SER_hh_fec_in!F22=0,0,11630*1000*SER_hh_fec_in!F22/SER_hh_num_in!F22)</f>
        <v>16649.779665860038</v>
      </c>
      <c r="G22" s="133">
        <f>IF(SER_hh_fec_in!G22=0,0,11630*1000*SER_hh_fec_in!G22/SER_hh_num_in!G22)</f>
        <v>16336.374892994671</v>
      </c>
      <c r="H22" s="133">
        <f>IF(SER_hh_fec_in!H22=0,0,11630*1000*SER_hh_fec_in!H22/SER_hh_num_in!H22)</f>
        <v>16028.176050581638</v>
      </c>
      <c r="I22" s="133">
        <f>IF(SER_hh_fec_in!I22=0,0,11630*1000*SER_hh_fec_in!I22/SER_hh_num_in!I22)</f>
        <v>15239.810954530863</v>
      </c>
      <c r="J22" s="133">
        <f>IF(SER_hh_fec_in!J22=0,0,11630*1000*SER_hh_fec_in!J22/SER_hh_num_in!J22)</f>
        <v>15600.05162476049</v>
      </c>
      <c r="K22" s="133">
        <f>IF(SER_hh_fec_in!K22=0,0,11630*1000*SER_hh_fec_in!K22/SER_hh_num_in!K22)</f>
        <v>15793.141176015239</v>
      </c>
      <c r="L22" s="133">
        <f>IF(SER_hh_fec_in!L22=0,0,11630*1000*SER_hh_fec_in!L22/SER_hh_num_in!L22)</f>
        <v>14637.580165935078</v>
      </c>
      <c r="M22" s="133">
        <f>IF(SER_hh_fec_in!M22=0,0,11630*1000*SER_hh_fec_in!M22/SER_hh_num_in!M22)</f>
        <v>14432.674544190751</v>
      </c>
      <c r="N22" s="133">
        <f>IF(SER_hh_fec_in!N22=0,0,11630*1000*SER_hh_fec_in!N22/SER_hh_num_in!N22)</f>
        <v>14560.875140208527</v>
      </c>
      <c r="O22" s="133">
        <f>IF(SER_hh_fec_in!O22=0,0,11630*1000*SER_hh_fec_in!O22/SER_hh_num_in!O22)</f>
        <v>13935.925089693306</v>
      </c>
      <c r="P22" s="133">
        <f>IF(SER_hh_fec_in!P22=0,0,11630*1000*SER_hh_fec_in!P22/SER_hh_num_in!P22)</f>
        <v>13419.72271250071</v>
      </c>
      <c r="Q22" s="133">
        <f>IF(SER_hh_fec_in!Q22=0,0,11630*1000*SER_hh_fec_in!Q22/SER_hh_num_in!Q22)</f>
        <v>12582.397884683724</v>
      </c>
      <c r="R22" s="133">
        <f>IF(SER_hh_fec_in!R22=0,0,11630*1000*SER_hh_fec_in!R22/SER_hh_num_in!R22)</f>
        <v>12669.80126018977</v>
      </c>
      <c r="S22" s="133">
        <f>IF(SER_hh_fec_in!S22=0,0,11630*1000*SER_hh_fec_in!S22/SER_hh_num_in!S22)</f>
        <v>0</v>
      </c>
      <c r="T22" s="133">
        <f>IF(SER_hh_fec_in!T22=0,0,11630*1000*SER_hh_fec_in!T22/SER_hh_num_in!T22)</f>
        <v>0</v>
      </c>
      <c r="U22" s="133">
        <f>IF(SER_hh_fec_in!U22=0,0,11630*1000*SER_hh_fec_in!U22/SER_hh_num_in!U22)</f>
        <v>0</v>
      </c>
      <c r="V22" s="133">
        <f>IF(SER_hh_fec_in!V22=0,0,11630*1000*SER_hh_fec_in!V22/SER_hh_num_in!V22)</f>
        <v>0</v>
      </c>
      <c r="W22" s="133">
        <f>IF(SER_hh_fec_in!W22=0,0,11630*1000*SER_hh_fec_in!W22/SER_hh_num_in!W22)</f>
        <v>0</v>
      </c>
      <c r="DA22" s="157" t="s">
        <v>742</v>
      </c>
    </row>
    <row r="23" spans="1:105" ht="12" customHeight="1" x14ac:dyDescent="0.25">
      <c r="A23" s="132" t="s">
        <v>153</v>
      </c>
      <c r="B23" s="133"/>
      <c r="C23" s="133">
        <f>IF(SER_hh_fec_in!C23=0,0,11630*1000*SER_hh_fec_in!C23/SER_hh_num_in!C23)</f>
        <v>15305.273703964438</v>
      </c>
      <c r="D23" s="133">
        <f>IF(SER_hh_fec_in!D23=0,0,11630*1000*SER_hh_fec_in!D23/SER_hh_num_in!D23)</f>
        <v>14636.169048042657</v>
      </c>
      <c r="E23" s="133">
        <f>IF(SER_hh_fec_in!E23=0,0,11630*1000*SER_hh_fec_in!E23/SER_hh_num_in!E23)</f>
        <v>15486.811943461753</v>
      </c>
      <c r="F23" s="133">
        <f>IF(SER_hh_fec_in!F23=0,0,11630*1000*SER_hh_fec_in!F23/SER_hh_num_in!F23)</f>
        <v>14478.379825256456</v>
      </c>
      <c r="G23" s="133">
        <f>IF(SER_hh_fec_in!G23=0,0,11630*1000*SER_hh_fec_in!G23/SER_hh_num_in!G23)</f>
        <v>14495.584724418775</v>
      </c>
      <c r="H23" s="133">
        <f>IF(SER_hh_fec_in!H23=0,0,11630*1000*SER_hh_fec_in!H23/SER_hh_num_in!H23)</f>
        <v>14765.56139170747</v>
      </c>
      <c r="I23" s="133">
        <f>IF(SER_hh_fec_in!I23=0,0,11630*1000*SER_hh_fec_in!I23/SER_hh_num_in!I23)</f>
        <v>14178.384072291126</v>
      </c>
      <c r="J23" s="133">
        <f>IF(SER_hh_fec_in!J23=0,0,11630*1000*SER_hh_fec_in!J23/SER_hh_num_in!J23)</f>
        <v>13753.736257512177</v>
      </c>
      <c r="K23" s="133">
        <f>IF(SER_hh_fec_in!K23=0,0,11630*1000*SER_hh_fec_in!K23/SER_hh_num_in!K23)</f>
        <v>13747.830646832841</v>
      </c>
      <c r="L23" s="133">
        <f>IF(SER_hh_fec_in!L23=0,0,11630*1000*SER_hh_fec_in!L23/SER_hh_num_in!L23)</f>
        <v>12104.485550933703</v>
      </c>
      <c r="M23" s="133">
        <f>IF(SER_hh_fec_in!M23=0,0,11630*1000*SER_hh_fec_in!M23/SER_hh_num_in!M23)</f>
        <v>12637.03214749783</v>
      </c>
      <c r="N23" s="133">
        <f>IF(SER_hh_fec_in!N23=0,0,11630*1000*SER_hh_fec_in!N23/SER_hh_num_in!N23)</f>
        <v>12919.387616644972</v>
      </c>
      <c r="O23" s="133">
        <f>IF(SER_hh_fec_in!O23=0,0,11630*1000*SER_hh_fec_in!O23/SER_hh_num_in!O23)</f>
        <v>12693.139437050151</v>
      </c>
      <c r="P23" s="133">
        <f>IF(SER_hh_fec_in!P23=0,0,11630*1000*SER_hh_fec_in!P23/SER_hh_num_in!P23)</f>
        <v>11208.316986975546</v>
      </c>
      <c r="Q23" s="133">
        <f>IF(SER_hh_fec_in!Q23=0,0,11630*1000*SER_hh_fec_in!Q23/SER_hh_num_in!Q23)</f>
        <v>11867.065197951561</v>
      </c>
      <c r="R23" s="133">
        <f>IF(SER_hh_fec_in!R23=0,0,11630*1000*SER_hh_fec_in!R23/SER_hh_num_in!R23)</f>
        <v>11642.273270881853</v>
      </c>
      <c r="S23" s="133">
        <f>IF(SER_hh_fec_in!S23=0,0,11630*1000*SER_hh_fec_in!S23/SER_hh_num_in!S23)</f>
        <v>11574.895031366226</v>
      </c>
      <c r="T23" s="133">
        <f>IF(SER_hh_fec_in!T23=0,0,11630*1000*SER_hh_fec_in!T23/SER_hh_num_in!T23)</f>
        <v>10711.47225282215</v>
      </c>
      <c r="U23" s="133">
        <f>IF(SER_hh_fec_in!U23=0,0,11630*1000*SER_hh_fec_in!U23/SER_hh_num_in!U23)</f>
        <v>10947.395673624513</v>
      </c>
      <c r="V23" s="133">
        <f>IF(SER_hh_fec_in!V23=0,0,11630*1000*SER_hh_fec_in!V23/SER_hh_num_in!V23)</f>
        <v>7415.3816803920627</v>
      </c>
      <c r="W23" s="133">
        <f>IF(SER_hh_fec_in!W23=0,0,11630*1000*SER_hh_fec_in!W23/SER_hh_num_in!W23)</f>
        <v>10930.723395509985</v>
      </c>
      <c r="DA23" s="157" t="s">
        <v>743</v>
      </c>
    </row>
    <row r="24" spans="1:105" ht="12" customHeight="1" x14ac:dyDescent="0.25">
      <c r="A24" s="132" t="s">
        <v>128</v>
      </c>
      <c r="B24" s="133"/>
      <c r="C24" s="133">
        <f>IF(SER_hh_fec_in!C24=0,0,11630*1000*SER_hh_fec_in!C24/SER_hh_num_in!C24)</f>
        <v>15734.89457557379</v>
      </c>
      <c r="D24" s="133">
        <f>IF(SER_hh_fec_in!D24=0,0,11630*1000*SER_hh_fec_in!D24/SER_hh_num_in!D24)</f>
        <v>15235.894836971105</v>
      </c>
      <c r="E24" s="133">
        <f>IF(SER_hh_fec_in!E24=0,0,11630*1000*SER_hh_fec_in!E24/SER_hh_num_in!E24)</f>
        <v>14581.982593789529</v>
      </c>
      <c r="F24" s="133">
        <f>IF(SER_hh_fec_in!F24=0,0,11630*1000*SER_hh_fec_in!F24/SER_hh_num_in!F24)</f>
        <v>14128.973113591517</v>
      </c>
      <c r="G24" s="133">
        <f>IF(SER_hh_fec_in!G24=0,0,11630*1000*SER_hh_fec_in!G24/SER_hh_num_in!G24)</f>
        <v>13843.425172956022</v>
      </c>
      <c r="H24" s="133">
        <f>IF(SER_hh_fec_in!H24=0,0,11630*1000*SER_hh_fec_in!H24/SER_hh_num_in!H24)</f>
        <v>13594.401999302574</v>
      </c>
      <c r="I24" s="133">
        <f>IF(SER_hh_fec_in!I24=0,0,11630*1000*SER_hh_fec_in!I24/SER_hh_num_in!I24)</f>
        <v>13279.675867738264</v>
      </c>
      <c r="J24" s="133">
        <f>IF(SER_hh_fec_in!J24=0,0,11630*1000*SER_hh_fec_in!J24/SER_hh_num_in!J24)</f>
        <v>12877.281965970504</v>
      </c>
      <c r="K24" s="133">
        <f>IF(SER_hh_fec_in!K24=0,0,11630*1000*SER_hh_fec_in!K24/SER_hh_num_in!K24)</f>
        <v>12675.577500833695</v>
      </c>
      <c r="L24" s="133">
        <f>IF(SER_hh_fec_in!L24=0,0,11630*1000*SER_hh_fec_in!L24/SER_hh_num_in!L24)</f>
        <v>11805.849123350739</v>
      </c>
      <c r="M24" s="133">
        <f>IF(SER_hh_fec_in!M24=0,0,11630*1000*SER_hh_fec_in!M24/SER_hh_num_in!M24)</f>
        <v>12505.757930186743</v>
      </c>
      <c r="N24" s="133">
        <f>IF(SER_hh_fec_in!N24=0,0,11630*1000*SER_hh_fec_in!N24/SER_hh_num_in!N24)</f>
        <v>12596.411560939505</v>
      </c>
      <c r="O24" s="133">
        <f>IF(SER_hh_fec_in!O24=0,0,11630*1000*SER_hh_fec_in!O24/SER_hh_num_in!O24)</f>
        <v>11730.667417832254</v>
      </c>
      <c r="P24" s="133">
        <f>IF(SER_hh_fec_in!P24=0,0,11630*1000*SER_hh_fec_in!P24/SER_hh_num_in!P24)</f>
        <v>12053.683443422127</v>
      </c>
      <c r="Q24" s="133">
        <f>IF(SER_hh_fec_in!Q24=0,0,11630*1000*SER_hh_fec_in!Q24/SER_hh_num_in!Q24)</f>
        <v>11566.981623467345</v>
      </c>
      <c r="R24" s="133">
        <f>IF(SER_hh_fec_in!R24=0,0,11630*1000*SER_hh_fec_in!R24/SER_hh_num_in!R24)</f>
        <v>12098.586082119802</v>
      </c>
      <c r="S24" s="133">
        <f>IF(SER_hh_fec_in!S24=0,0,11630*1000*SER_hh_fec_in!S24/SER_hh_num_in!S24)</f>
        <v>12147.211964016542</v>
      </c>
      <c r="T24" s="133">
        <f>IF(SER_hh_fec_in!T24=0,0,11630*1000*SER_hh_fec_in!T24/SER_hh_num_in!T24)</f>
        <v>11622.052150610603</v>
      </c>
      <c r="U24" s="133">
        <f>IF(SER_hh_fec_in!U24=0,0,11630*1000*SER_hh_fec_in!U24/SER_hh_num_in!U24)</f>
        <v>11118.366043587775</v>
      </c>
      <c r="V24" s="133">
        <f>IF(SER_hh_fec_in!V24=0,0,11630*1000*SER_hh_fec_in!V24/SER_hh_num_in!V24)</f>
        <v>8916.4811735038638</v>
      </c>
      <c r="W24" s="133">
        <f>IF(SER_hh_fec_in!W24=0,0,11630*1000*SER_hh_fec_in!W24/SER_hh_num_in!W24)</f>
        <v>10207.042761520903</v>
      </c>
      <c r="DA24" s="157" t="s">
        <v>744</v>
      </c>
    </row>
    <row r="25" spans="1:105" ht="12" customHeight="1" x14ac:dyDescent="0.25">
      <c r="A25" s="132" t="s">
        <v>169</v>
      </c>
      <c r="B25" s="133"/>
      <c r="C25" s="133">
        <f>IF(SER_hh_fec_in!C25=0,0,11630*1000*SER_hh_fec_in!C25/SER_hh_num_in!C25)</f>
        <v>11276.946832721316</v>
      </c>
      <c r="D25" s="133">
        <f>IF(SER_hh_fec_in!D25=0,0,11630*1000*SER_hh_fec_in!D25/SER_hh_num_in!D25)</f>
        <v>11070.062986055505</v>
      </c>
      <c r="E25" s="133">
        <f>IF(SER_hh_fec_in!E25=0,0,11630*1000*SER_hh_fec_in!E25/SER_hh_num_in!E25)</f>
        <v>10905.058850675858</v>
      </c>
      <c r="F25" s="133">
        <f>IF(SER_hh_fec_in!F25=0,0,11630*1000*SER_hh_fec_in!F25/SER_hh_num_in!F25)</f>
        <v>10809.442564240564</v>
      </c>
      <c r="G25" s="133">
        <f>IF(SER_hh_fec_in!G25=0,0,11630*1000*SER_hh_fec_in!G25/SER_hh_num_in!G25)</f>
        <v>10690.758933222898</v>
      </c>
      <c r="H25" s="133">
        <f>IF(SER_hh_fec_in!H25=0,0,11630*1000*SER_hh_fec_in!H25/SER_hh_num_in!H25)</f>
        <v>10598.939835798017</v>
      </c>
      <c r="I25" s="133">
        <f>IF(SER_hh_fec_in!I25=0,0,11630*1000*SER_hh_fec_in!I25/SER_hh_num_in!I25)</f>
        <v>10422.374760492132</v>
      </c>
      <c r="J25" s="133">
        <f>IF(SER_hh_fec_in!J25=0,0,11630*1000*SER_hh_fec_in!J25/SER_hh_num_in!J25)</f>
        <v>10307.515215560152</v>
      </c>
      <c r="K25" s="133">
        <f>IF(SER_hh_fec_in!K25=0,0,11630*1000*SER_hh_fec_in!K25/SER_hh_num_in!K25)</f>
        <v>10369.697715544115</v>
      </c>
      <c r="L25" s="133">
        <f>IF(SER_hh_fec_in!L25=0,0,11630*1000*SER_hh_fec_in!L25/SER_hh_num_in!L25)</f>
        <v>10053.092556780552</v>
      </c>
      <c r="M25" s="133">
        <f>IF(SER_hh_fec_in!M25=0,0,11630*1000*SER_hh_fec_in!M25/SER_hh_num_in!M25)</f>
        <v>10629.663357839258</v>
      </c>
      <c r="N25" s="133">
        <f>IF(SER_hh_fec_in!N25=0,0,11630*1000*SER_hh_fec_in!N25/SER_hh_num_in!N25)</f>
        <v>10508.250941768805</v>
      </c>
      <c r="O25" s="133">
        <f>IF(SER_hh_fec_in!O25=0,0,11630*1000*SER_hh_fec_in!O25/SER_hh_num_in!O25)</f>
        <v>10267.421780220859</v>
      </c>
      <c r="P25" s="133">
        <f>IF(SER_hh_fec_in!P25=0,0,11630*1000*SER_hh_fec_in!P25/SER_hh_num_in!P25)</f>
        <v>10621.319167209656</v>
      </c>
      <c r="Q25" s="133">
        <f>IF(SER_hh_fec_in!Q25=0,0,11630*1000*SER_hh_fec_in!Q25/SER_hh_num_in!Q25)</f>
        <v>10402.243769183686</v>
      </c>
      <c r="R25" s="133">
        <f>IF(SER_hh_fec_in!R25=0,0,11630*1000*SER_hh_fec_in!R25/SER_hh_num_in!R25)</f>
        <v>10347.017882738124</v>
      </c>
      <c r="S25" s="133">
        <f>IF(SER_hh_fec_in!S25=0,0,11630*1000*SER_hh_fec_in!S25/SER_hh_num_in!S25)</f>
        <v>10155.474133925229</v>
      </c>
      <c r="T25" s="133">
        <f>IF(SER_hh_fec_in!T25=0,0,11630*1000*SER_hh_fec_in!T25/SER_hh_num_in!T25)</f>
        <v>9690.2061222167958</v>
      </c>
      <c r="U25" s="133">
        <f>IF(SER_hh_fec_in!U25=0,0,11630*1000*SER_hh_fec_in!U25/SER_hh_num_in!U25)</f>
        <v>9588.7504297234464</v>
      </c>
      <c r="V25" s="133">
        <f>IF(SER_hh_fec_in!V25=0,0,11630*1000*SER_hh_fec_in!V25/SER_hh_num_in!V25)</f>
        <v>7947.4087714642956</v>
      </c>
      <c r="W25" s="133">
        <f>IF(SER_hh_fec_in!W25=0,0,11630*1000*SER_hh_fec_in!W25/SER_hh_num_in!W25)</f>
        <v>9187.6961794981107</v>
      </c>
      <c r="DA25" s="157" t="s">
        <v>745</v>
      </c>
    </row>
    <row r="26" spans="1:105" ht="12" customHeight="1" x14ac:dyDescent="0.25">
      <c r="A26" s="132" t="s">
        <v>24</v>
      </c>
      <c r="B26" s="65"/>
      <c r="C26" s="65">
        <f>IF(SER_hh_fec_in!C26=0,0,11630*1000*SER_hh_fec_in!C26/SER_hh_num_in!C26)</f>
        <v>12046.178780876104</v>
      </c>
      <c r="D26" s="65">
        <f>IF(SER_hh_fec_in!D26=0,0,11630*1000*SER_hh_fec_in!D26/SER_hh_num_in!D26)</f>
        <v>11591.05523484388</v>
      </c>
      <c r="E26" s="65">
        <f>IF(SER_hh_fec_in!E26=0,0,11630*1000*SER_hh_fec_in!E26/SER_hh_num_in!E26)</f>
        <v>11722.686978900136</v>
      </c>
      <c r="F26" s="65">
        <f>IF(SER_hh_fec_in!F26=0,0,11630*1000*SER_hh_fec_in!F26/SER_hh_num_in!F26)</f>
        <v>11272.765049938487</v>
      </c>
      <c r="G26" s="65">
        <f>IF(SER_hh_fec_in!G26=0,0,11630*1000*SER_hh_fec_in!G26/SER_hh_num_in!G26)</f>
        <v>10613.995754233321</v>
      </c>
      <c r="H26" s="65">
        <f>IF(SER_hh_fec_in!H26=0,0,11630*1000*SER_hh_fec_in!H26/SER_hh_num_in!H26)</f>
        <v>11213.108741337934</v>
      </c>
      <c r="I26" s="65">
        <f>IF(SER_hh_fec_in!I26=0,0,11630*1000*SER_hh_fec_in!I26/SER_hh_num_in!I26)</f>
        <v>11317.378427360698</v>
      </c>
      <c r="J26" s="65">
        <f>IF(SER_hh_fec_in!J26=0,0,11630*1000*SER_hh_fec_in!J26/SER_hh_num_in!J26)</f>
        <v>10407.85009760669</v>
      </c>
      <c r="K26" s="65">
        <f>IF(SER_hh_fec_in!K26=0,0,11630*1000*SER_hh_fec_in!K26/SER_hh_num_in!K26)</f>
        <v>11853.834421123649</v>
      </c>
      <c r="L26" s="65">
        <f>IF(SER_hh_fec_in!L26=0,0,11630*1000*SER_hh_fec_in!L26/SER_hh_num_in!L26)</f>
        <v>6285.7971554927781</v>
      </c>
      <c r="M26" s="65">
        <f>IF(SER_hh_fec_in!M26=0,0,11630*1000*SER_hh_fec_in!M26/SER_hh_num_in!M26)</f>
        <v>8221.853885097431</v>
      </c>
      <c r="N26" s="65">
        <f>IF(SER_hh_fec_in!N26=0,0,11630*1000*SER_hh_fec_in!N26/SER_hh_num_in!N26)</f>
        <v>9261.5508540014798</v>
      </c>
      <c r="O26" s="65">
        <f>IF(SER_hh_fec_in!O26=0,0,11630*1000*SER_hh_fec_in!O26/SER_hh_num_in!O26)</f>
        <v>6956.4456015854885</v>
      </c>
      <c r="P26" s="65">
        <f>IF(SER_hh_fec_in!P26=0,0,11630*1000*SER_hh_fec_in!P26/SER_hh_num_in!P26)</f>
        <v>11770.291754279071</v>
      </c>
      <c r="Q26" s="65">
        <f>IF(SER_hh_fec_in!Q26=0,0,11630*1000*SER_hh_fec_in!Q26/SER_hh_num_in!Q26)</f>
        <v>6170.3079912525973</v>
      </c>
      <c r="R26" s="65">
        <f>IF(SER_hh_fec_in!R26=0,0,11630*1000*SER_hh_fec_in!R26/SER_hh_num_in!R26)</f>
        <v>6248.2190395674688</v>
      </c>
      <c r="S26" s="65">
        <f>IF(SER_hh_fec_in!S26=0,0,11630*1000*SER_hh_fec_in!S26/SER_hh_num_in!S26)</f>
        <v>9686.5259704870241</v>
      </c>
      <c r="T26" s="65">
        <f>IF(SER_hh_fec_in!T26=0,0,11630*1000*SER_hh_fec_in!T26/SER_hh_num_in!T26)</f>
        <v>5198.2666060066149</v>
      </c>
      <c r="U26" s="65">
        <f>IF(SER_hh_fec_in!U26=0,0,11630*1000*SER_hh_fec_in!U26/SER_hh_num_in!U26)</f>
        <v>5701.202246372035</v>
      </c>
      <c r="V26" s="65">
        <f>IF(SER_hh_fec_in!V26=0,0,11630*1000*SER_hh_fec_in!V26/SER_hh_num_in!V26)</f>
        <v>4542.5005012118354</v>
      </c>
      <c r="W26" s="65">
        <f>IF(SER_hh_fec_in!W26=0,0,11630*1000*SER_hh_fec_in!W26/SER_hh_num_in!W26)</f>
        <v>9278.8279739621776</v>
      </c>
      <c r="DA26" s="109" t="s">
        <v>746</v>
      </c>
    </row>
    <row r="27" spans="1:105" ht="12" customHeight="1" x14ac:dyDescent="0.25">
      <c r="A27" s="145" t="s">
        <v>86</v>
      </c>
      <c r="B27" s="148"/>
      <c r="C27" s="146">
        <f>IF(SER_hh_fec_in!C27=0,0,11630*1000*SER_hh_fec_in!C27/SER_hh_num_in!C19)</f>
        <v>320.79268376536584</v>
      </c>
      <c r="D27" s="146">
        <f>IF(SER_hh_fec_in!D27=0,0,11630*1000*SER_hh_fec_in!D27/SER_hh_num_in!D19)</f>
        <v>406.18875781646068</v>
      </c>
      <c r="E27" s="146">
        <f>IF(SER_hh_fec_in!E27=0,0,11630*1000*SER_hh_fec_in!E27/SER_hh_num_in!E19)</f>
        <v>320.37465165145068</v>
      </c>
      <c r="F27" s="146">
        <f>IF(SER_hh_fec_in!F27=0,0,11630*1000*SER_hh_fec_in!F27/SER_hh_num_in!F19)</f>
        <v>458.83395413306232</v>
      </c>
      <c r="G27" s="146">
        <f>IF(SER_hh_fec_in!G27=0,0,11630*1000*SER_hh_fec_in!G27/SER_hh_num_in!G19)</f>
        <v>617.65210251490066</v>
      </c>
      <c r="H27" s="146">
        <f>IF(SER_hh_fec_in!H27=0,0,11630*1000*SER_hh_fec_in!H27/SER_hh_num_in!H19)</f>
        <v>531.42884846481979</v>
      </c>
      <c r="I27" s="146">
        <f>IF(SER_hh_fec_in!I27=0,0,11630*1000*SER_hh_fec_in!I27/SER_hh_num_in!I19)</f>
        <v>451.75423250649874</v>
      </c>
      <c r="J27" s="146">
        <f>IF(SER_hh_fec_in!J27=0,0,11630*1000*SER_hh_fec_in!J27/SER_hh_num_in!J19)</f>
        <v>562.07448077595336</v>
      </c>
      <c r="K27" s="146">
        <f>IF(SER_hh_fec_in!K27=0,0,11630*1000*SER_hh_fec_in!K27/SER_hh_num_in!K19)</f>
        <v>215.01377323023721</v>
      </c>
      <c r="L27" s="146">
        <f>IF(SER_hh_fec_in!L27=0,0,11630*1000*SER_hh_fec_in!L27/SER_hh_num_in!L19)</f>
        <v>1098.9379849958141</v>
      </c>
      <c r="M27" s="146">
        <f>IF(SER_hh_fec_in!M27=0,0,11630*1000*SER_hh_fec_in!M27/SER_hh_num_in!M19)</f>
        <v>1027.8381726133869</v>
      </c>
      <c r="N27" s="146">
        <f>IF(SER_hh_fec_in!N27=0,0,11630*1000*SER_hh_fec_in!N27/SER_hh_num_in!N19)</f>
        <v>887.92657688052884</v>
      </c>
      <c r="O27" s="146">
        <f>IF(SER_hh_fec_in!O27=0,0,11630*1000*SER_hh_fec_in!O27/SER_hh_num_in!O19)</f>
        <v>1342.3513453941578</v>
      </c>
      <c r="P27" s="146">
        <f>IF(SER_hh_fec_in!P27=0,0,11630*1000*SER_hh_fec_in!P27/SER_hh_num_in!P19)</f>
        <v>0</v>
      </c>
      <c r="Q27" s="146">
        <f>IF(SER_hh_fec_in!Q27=0,0,11630*1000*SER_hh_fec_in!Q27/SER_hh_num_in!Q19)</f>
        <v>610.02329224396374</v>
      </c>
      <c r="R27" s="146">
        <f>IF(SER_hh_fec_in!R27=0,0,11630*1000*SER_hh_fec_in!R27/SER_hh_num_in!R19)</f>
        <v>610.01933981048171</v>
      </c>
      <c r="S27" s="146">
        <f>IF(SER_hh_fec_in!S27=0,0,11630*1000*SER_hh_fec_in!S27/SER_hh_num_in!S19)</f>
        <v>206.53585863134879</v>
      </c>
      <c r="T27" s="146">
        <f>IF(SER_hh_fec_in!T27=0,0,11630*1000*SER_hh_fec_in!T27/SER_hh_num_in!T19)</f>
        <v>918.42867314714101</v>
      </c>
      <c r="U27" s="146">
        <f>IF(SER_hh_fec_in!U27=0,0,11630*1000*SER_hh_fec_in!U27/SER_hh_num_in!U19)</f>
        <v>926.00800214347169</v>
      </c>
      <c r="V27" s="146">
        <f>IF(SER_hh_fec_in!V27=0,0,11630*1000*SER_hh_fec_in!V27/SER_hh_num_in!V19)</f>
        <v>1063.8470017703232</v>
      </c>
      <c r="W27" s="146">
        <f>IF(SER_hh_fec_in!W27=0,0,11630*1000*SER_hh_fec_in!W27/SER_hh_num_in!W19)</f>
        <v>9.3089469945624503E-2</v>
      </c>
      <c r="DA27" s="159" t="s">
        <v>747</v>
      </c>
    </row>
    <row r="28" spans="1:105" ht="12" customHeight="1" x14ac:dyDescent="0.25">
      <c r="A28" s="78" t="s">
        <v>85</v>
      </c>
      <c r="B28" s="68"/>
      <c r="C28" s="147">
        <f>IF(SER_hh_fec_in!C27=0,0,11630*1000*SER_hh_fec_in!C27/SER_hh_num_in!C27)</f>
        <v>4136.845339506187</v>
      </c>
      <c r="D28" s="147">
        <f>IF(SER_hh_fec_in!D27=0,0,11630*1000*SER_hh_fec_in!D27/SER_hh_num_in!D27)</f>
        <v>4021.9029822415919</v>
      </c>
      <c r="E28" s="147">
        <f>IF(SER_hh_fec_in!E27=0,0,11630*1000*SER_hh_fec_in!E27/SER_hh_num_in!E27)</f>
        <v>4078.3073929825591</v>
      </c>
      <c r="F28" s="147">
        <f>IF(SER_hh_fec_in!F27=0,0,11630*1000*SER_hh_fec_in!F27/SER_hh_num_in!F27)</f>
        <v>4050.9819706015419</v>
      </c>
      <c r="G28" s="147">
        <f>IF(SER_hh_fec_in!G27=0,0,11630*1000*SER_hh_fec_in!G27/SER_hh_num_in!G27)</f>
        <v>3964.4402697752885</v>
      </c>
      <c r="H28" s="147">
        <f>IF(SER_hh_fec_in!H27=0,0,11630*1000*SER_hh_fec_in!H27/SER_hh_num_in!H27)</f>
        <v>3956.8016009909215</v>
      </c>
      <c r="I28" s="147">
        <f>IF(SER_hh_fec_in!I27=0,0,11630*1000*SER_hh_fec_in!I27/SER_hh_num_in!I27)</f>
        <v>4011.9050184838175</v>
      </c>
      <c r="J28" s="147">
        <f>IF(SER_hh_fec_in!J27=0,0,11630*1000*SER_hh_fec_in!J27/SER_hh_num_in!J27)</f>
        <v>4158.4564057746575</v>
      </c>
      <c r="K28" s="147">
        <f>IF(SER_hh_fec_in!K27=0,0,11630*1000*SER_hh_fec_in!K27/SER_hh_num_in!K27)</f>
        <v>4589.8603689930596</v>
      </c>
      <c r="L28" s="147">
        <f>IF(SER_hh_fec_in!L27=0,0,11630*1000*SER_hh_fec_in!L27/SER_hh_num_in!L27)</f>
        <v>3936.3999058841659</v>
      </c>
      <c r="M28" s="147">
        <f>IF(SER_hh_fec_in!M27=0,0,11630*1000*SER_hh_fec_in!M27/SER_hh_num_in!M27)</f>
        <v>3999.9261713367569</v>
      </c>
      <c r="N28" s="147">
        <f>IF(SER_hh_fec_in!N27=0,0,11630*1000*SER_hh_fec_in!N27/SER_hh_num_in!N27)</f>
        <v>4193.4619191042675</v>
      </c>
      <c r="O28" s="147">
        <f>IF(SER_hh_fec_in!O27=0,0,11630*1000*SER_hh_fec_in!O27/SER_hh_num_in!O27)</f>
        <v>3921.1346115517999</v>
      </c>
      <c r="P28" s="147">
        <f>IF(SER_hh_fec_in!P27=0,0,11630*1000*SER_hh_fec_in!P27/SER_hh_num_in!P27)</f>
        <v>0</v>
      </c>
      <c r="Q28" s="147">
        <f>IF(SER_hh_fec_in!Q27=0,0,11630*1000*SER_hh_fec_in!Q27/SER_hh_num_in!Q27)</f>
        <v>4055.6241236550932</v>
      </c>
      <c r="R28" s="147">
        <f>IF(SER_hh_fec_in!R27=0,0,11630*1000*SER_hh_fec_in!R27/SER_hh_num_in!R27)</f>
        <v>4071.4909657787139</v>
      </c>
      <c r="S28" s="147">
        <f>IF(SER_hh_fec_in!S27=0,0,11630*1000*SER_hh_fec_in!S27/SER_hh_num_in!S27)</f>
        <v>4353.9458782532247</v>
      </c>
      <c r="T28" s="147">
        <f>IF(SER_hh_fec_in!T27=0,0,11630*1000*SER_hh_fec_in!T27/SER_hh_num_in!T27)</f>
        <v>4261.3403030743539</v>
      </c>
      <c r="U28" s="147">
        <f>IF(SER_hh_fec_in!U27=0,0,11630*1000*SER_hh_fec_in!U27/SER_hh_num_in!U27)</f>
        <v>4112.3573793197565</v>
      </c>
      <c r="V28" s="147">
        <f>IF(SER_hh_fec_in!V27=0,0,11630*1000*SER_hh_fec_in!V27/SER_hh_num_in!V27)</f>
        <v>3555.1815912149896</v>
      </c>
      <c r="W28" s="147">
        <f>IF(SER_hh_fec_in!W27=0,0,11630*1000*SER_hh_fec_in!W27/SER_hh_num_in!W27)</f>
        <v>3982.8897270468283</v>
      </c>
      <c r="DA28" s="160"/>
    </row>
    <row r="29" spans="1:105" ht="12.95" customHeight="1" x14ac:dyDescent="0.25">
      <c r="A29" s="130" t="s">
        <v>34</v>
      </c>
      <c r="B29" s="131"/>
      <c r="C29" s="131">
        <f>IF(SER_hh_fec_in!C29=0,0,11630*1000*SER_hh_fec_in!C29/SER_hh_num_in!C29)</f>
        <v>11448.068256415865</v>
      </c>
      <c r="D29" s="131">
        <f>IF(SER_hh_fec_in!D29=0,0,11630*1000*SER_hh_fec_in!D29/SER_hh_num_in!D29)</f>
        <v>11542.547524391068</v>
      </c>
      <c r="E29" s="131">
        <f>IF(SER_hh_fec_in!E29=0,0,11630*1000*SER_hh_fec_in!E29/SER_hh_num_in!E29)</f>
        <v>11914.719642338774</v>
      </c>
      <c r="F29" s="131">
        <f>IF(SER_hh_fec_in!F29=0,0,11630*1000*SER_hh_fec_in!F29/SER_hh_num_in!F29)</f>
        <v>12113.1739872325</v>
      </c>
      <c r="G29" s="131">
        <f>IF(SER_hh_fec_in!G29=0,0,11630*1000*SER_hh_fec_in!G29/SER_hh_num_in!G29)</f>
        <v>12211.733972472644</v>
      </c>
      <c r="H29" s="131">
        <f>IF(SER_hh_fec_in!H29=0,0,11630*1000*SER_hh_fec_in!H29/SER_hh_num_in!H29)</f>
        <v>12141.333898850304</v>
      </c>
      <c r="I29" s="131">
        <f>IF(SER_hh_fec_in!I29=0,0,11630*1000*SER_hh_fec_in!I29/SER_hh_num_in!I29)</f>
        <v>11876.733117191245</v>
      </c>
      <c r="J29" s="131">
        <f>IF(SER_hh_fec_in!J29=0,0,11630*1000*SER_hh_fec_in!J29/SER_hh_num_in!J29)</f>
        <v>11990.212830520788</v>
      </c>
      <c r="K29" s="131">
        <f>IF(SER_hh_fec_in!K29=0,0,11630*1000*SER_hh_fec_in!K29/SER_hh_num_in!K29)</f>
        <v>11922.41001465595</v>
      </c>
      <c r="L29" s="131">
        <f>IF(SER_hh_fec_in!L29=0,0,11630*1000*SER_hh_fec_in!L29/SER_hh_num_in!L29)</f>
        <v>11885.230035642997</v>
      </c>
      <c r="M29" s="131">
        <f>IF(SER_hh_fec_in!M29=0,0,11630*1000*SER_hh_fec_in!M29/SER_hh_num_in!M29)</f>
        <v>11782.946854992491</v>
      </c>
      <c r="N29" s="131">
        <f>IF(SER_hh_fec_in!N29=0,0,11630*1000*SER_hh_fec_in!N29/SER_hh_num_in!N29)</f>
        <v>11951.961764369282</v>
      </c>
      <c r="O29" s="131">
        <f>IF(SER_hh_fec_in!O29=0,0,11630*1000*SER_hh_fec_in!O29/SER_hh_num_in!O29)</f>
        <v>12177.057692261445</v>
      </c>
      <c r="P29" s="131">
        <f>IF(SER_hh_fec_in!P29=0,0,11630*1000*SER_hh_fec_in!P29/SER_hh_num_in!P29)</f>
        <v>11999.213339274784</v>
      </c>
      <c r="Q29" s="131">
        <f>IF(SER_hh_fec_in!Q29=0,0,11630*1000*SER_hh_fec_in!Q29/SER_hh_num_in!Q29)</f>
        <v>12632.709194804847</v>
      </c>
      <c r="R29" s="131">
        <f>IF(SER_hh_fec_in!R29=0,0,11630*1000*SER_hh_fec_in!R29/SER_hh_num_in!R29)</f>
        <v>12433.060114953487</v>
      </c>
      <c r="S29" s="131">
        <f>IF(SER_hh_fec_in!S29=0,0,11630*1000*SER_hh_fec_in!S29/SER_hh_num_in!S29)</f>
        <v>12085.205780472383</v>
      </c>
      <c r="T29" s="131">
        <f>IF(SER_hh_fec_in!T29=0,0,11630*1000*SER_hh_fec_in!T29/SER_hh_num_in!T29)</f>
        <v>11724.620247403645</v>
      </c>
      <c r="U29" s="131">
        <f>IF(SER_hh_fec_in!U29=0,0,11630*1000*SER_hh_fec_in!U29/SER_hh_num_in!U29)</f>
        <v>11709.437946933873</v>
      </c>
      <c r="V29" s="131">
        <f>IF(SER_hh_fec_in!V29=0,0,11630*1000*SER_hh_fec_in!V29/SER_hh_num_in!V29)</f>
        <v>10093.714013525472</v>
      </c>
      <c r="W29" s="131">
        <f>IF(SER_hh_fec_in!W29=0,0,11630*1000*SER_hh_fec_in!W29/SER_hh_num_in!W29)</f>
        <v>10703.608967501623</v>
      </c>
      <c r="DA29" s="156" t="s">
        <v>748</v>
      </c>
    </row>
    <row r="30" spans="1:105" s="2" customFormat="1" ht="12" customHeight="1" x14ac:dyDescent="0.25">
      <c r="A30" s="132" t="s">
        <v>52</v>
      </c>
      <c r="B30" s="133"/>
      <c r="C30" s="133">
        <f>IF(SER_hh_fec_in!C30=0,0,11630*1000*SER_hh_fec_in!C30/SER_hh_num_in!C30)</f>
        <v>14362.491025075733</v>
      </c>
      <c r="D30" s="133">
        <f>IF(SER_hh_fec_in!D30=0,0,11630*1000*SER_hh_fec_in!D30/SER_hh_num_in!D30)</f>
        <v>12818.588170867719</v>
      </c>
      <c r="E30" s="133">
        <f>IF(SER_hh_fec_in!E30=0,0,11630*1000*SER_hh_fec_in!E30/SER_hh_num_in!E30)</f>
        <v>14337.24665243896</v>
      </c>
      <c r="F30" s="133">
        <f>IF(SER_hh_fec_in!F30=0,0,11630*1000*SER_hh_fec_in!F30/SER_hh_num_in!F30)</f>
        <v>15118.659383100052</v>
      </c>
      <c r="G30" s="133">
        <f>IF(SER_hh_fec_in!G30=0,0,11630*1000*SER_hh_fec_in!G30/SER_hh_num_in!G30)</f>
        <v>15906.913097686094</v>
      </c>
      <c r="H30" s="133">
        <f>IF(SER_hh_fec_in!H30=0,0,11630*1000*SER_hh_fec_in!H30/SER_hh_num_in!H30)</f>
        <v>15135.863629328167</v>
      </c>
      <c r="I30" s="133">
        <f>IF(SER_hh_fec_in!I30=0,0,11630*1000*SER_hh_fec_in!I30/SER_hh_num_in!I30)</f>
        <v>14848.506964048889</v>
      </c>
      <c r="J30" s="133">
        <f>IF(SER_hh_fec_in!J30=0,0,11630*1000*SER_hh_fec_in!J30/SER_hh_num_in!J30)</f>
        <v>14374.466791314646</v>
      </c>
      <c r="K30" s="133">
        <f>IF(SER_hh_fec_in!K30=0,0,11630*1000*SER_hh_fec_in!K30/SER_hh_num_in!K30)</f>
        <v>13713.81325945627</v>
      </c>
      <c r="L30" s="133">
        <f>IF(SER_hh_fec_in!L30=0,0,11630*1000*SER_hh_fec_in!L30/SER_hh_num_in!L30)</f>
        <v>17037.085364211449</v>
      </c>
      <c r="M30" s="133">
        <f>IF(SER_hh_fec_in!M30=0,0,11630*1000*SER_hh_fec_in!M30/SER_hh_num_in!M30)</f>
        <v>15258.709814838632</v>
      </c>
      <c r="N30" s="133">
        <f>IF(SER_hh_fec_in!N30=0,0,11630*1000*SER_hh_fec_in!N30/SER_hh_num_in!N30)</f>
        <v>0</v>
      </c>
      <c r="O30" s="133">
        <f>IF(SER_hh_fec_in!O30=0,0,11630*1000*SER_hh_fec_in!O30/SER_hh_num_in!O30)</f>
        <v>16992.563926281317</v>
      </c>
      <c r="P30" s="133">
        <f>IF(SER_hh_fec_in!P30=0,0,11630*1000*SER_hh_fec_in!P30/SER_hh_num_in!P30)</f>
        <v>9179.4921328197488</v>
      </c>
      <c r="Q30" s="133">
        <f>IF(SER_hh_fec_in!Q30=0,0,11630*1000*SER_hh_fec_in!Q30/SER_hh_num_in!Q30)</f>
        <v>17372.209861690189</v>
      </c>
      <c r="R30" s="133">
        <f>IF(SER_hh_fec_in!R30=0,0,11630*1000*SER_hh_fec_in!R30/SER_hh_num_in!R30)</f>
        <v>16686.3282862085</v>
      </c>
      <c r="S30" s="133">
        <f>IF(SER_hh_fec_in!S30=0,0,11630*1000*SER_hh_fec_in!S30/SER_hh_num_in!S30)</f>
        <v>15451.749162386372</v>
      </c>
      <c r="T30" s="133">
        <f>IF(SER_hh_fec_in!T30=0,0,11630*1000*SER_hh_fec_in!T30/SER_hh_num_in!T30)</f>
        <v>15595.393459462319</v>
      </c>
      <c r="U30" s="133">
        <f>IF(SER_hh_fec_in!U30=0,0,11630*1000*SER_hh_fec_in!U30/SER_hh_num_in!U30)</f>
        <v>15313.687043562693</v>
      </c>
      <c r="V30" s="133">
        <f>IF(SER_hh_fec_in!V30=0,0,11630*1000*SER_hh_fec_in!V30/SER_hh_num_in!V30)</f>
        <v>13179.612505043802</v>
      </c>
      <c r="W30" s="133">
        <f>IF(SER_hh_fec_in!W30=0,0,11630*1000*SER_hh_fec_in!W30/SER_hh_num_in!W30)</f>
        <v>14167.276490839171</v>
      </c>
      <c r="DA30" s="157" t="s">
        <v>749</v>
      </c>
    </row>
    <row r="31" spans="1:105" ht="12" customHeight="1" x14ac:dyDescent="0.25">
      <c r="A31" s="132" t="s">
        <v>153</v>
      </c>
      <c r="B31" s="133"/>
      <c r="C31" s="133">
        <f>IF(SER_hh_fec_in!C31=0,0,11630*1000*SER_hh_fec_in!C31/SER_hh_num_in!C31)</f>
        <v>14245.591337908738</v>
      </c>
      <c r="D31" s="133">
        <f>IF(SER_hh_fec_in!D31=0,0,11630*1000*SER_hh_fec_in!D31/SER_hh_num_in!D31)</f>
        <v>14357.373776005321</v>
      </c>
      <c r="E31" s="133">
        <f>IF(SER_hh_fec_in!E31=0,0,11630*1000*SER_hh_fec_in!E31/SER_hh_num_in!E31)</f>
        <v>14540.118761615468</v>
      </c>
      <c r="F31" s="133">
        <f>IF(SER_hh_fec_in!F31=0,0,11630*1000*SER_hh_fec_in!F31/SER_hh_num_in!F31)</f>
        <v>14362.536445064819</v>
      </c>
      <c r="G31" s="133">
        <f>IF(SER_hh_fec_in!G31=0,0,11630*1000*SER_hh_fec_in!G31/SER_hh_num_in!G31)</f>
        <v>15038.870898549099</v>
      </c>
      <c r="H31" s="133">
        <f>IF(SER_hh_fec_in!H31=0,0,11630*1000*SER_hh_fec_in!H31/SER_hh_num_in!H31)</f>
        <v>14989.992650169388</v>
      </c>
      <c r="I31" s="133">
        <f>IF(SER_hh_fec_in!I31=0,0,11630*1000*SER_hh_fec_in!I31/SER_hh_num_in!I31)</f>
        <v>14783.978843460114</v>
      </c>
      <c r="J31" s="133">
        <f>IF(SER_hh_fec_in!J31=0,0,11630*1000*SER_hh_fec_in!J31/SER_hh_num_in!J31)</f>
        <v>14745.106172118389</v>
      </c>
      <c r="K31" s="133">
        <f>IF(SER_hh_fec_in!K31=0,0,11630*1000*SER_hh_fec_in!K31/SER_hh_num_in!K31)</f>
        <v>14931.003760583289</v>
      </c>
      <c r="L31" s="133">
        <f>IF(SER_hh_fec_in!L31=0,0,11630*1000*SER_hh_fec_in!L31/SER_hh_num_in!L31)</f>
        <v>14988.608530291844</v>
      </c>
      <c r="M31" s="133">
        <f>IF(SER_hh_fec_in!M31=0,0,11630*1000*SER_hh_fec_in!M31/SER_hh_num_in!M31)</f>
        <v>14959.399871622529</v>
      </c>
      <c r="N31" s="133">
        <f>IF(SER_hh_fec_in!N31=0,0,11630*1000*SER_hh_fec_in!N31/SER_hh_num_in!N31)</f>
        <v>15190.466628124212</v>
      </c>
      <c r="O31" s="133">
        <f>IF(SER_hh_fec_in!O31=0,0,11630*1000*SER_hh_fec_in!O31/SER_hh_num_in!O31)</f>
        <v>15182.548033949006</v>
      </c>
      <c r="P31" s="133">
        <f>IF(SER_hh_fec_in!P31=0,0,11630*1000*SER_hh_fec_in!P31/SER_hh_num_in!P31)</f>
        <v>14600.343443678599</v>
      </c>
      <c r="Q31" s="133">
        <f>IF(SER_hh_fec_in!Q31=0,0,11630*1000*SER_hh_fec_in!Q31/SER_hh_num_in!Q31)</f>
        <v>16209.202440892001</v>
      </c>
      <c r="R31" s="133">
        <f>IF(SER_hh_fec_in!R31=0,0,11630*1000*SER_hh_fec_in!R31/SER_hh_num_in!R31)</f>
        <v>15893.225334890687</v>
      </c>
      <c r="S31" s="133">
        <f>IF(SER_hh_fec_in!S31=0,0,11630*1000*SER_hh_fec_in!S31/SER_hh_num_in!S31)</f>
        <v>14450.442967406145</v>
      </c>
      <c r="T31" s="133">
        <f>IF(SER_hh_fec_in!T31=0,0,11630*1000*SER_hh_fec_in!T31/SER_hh_num_in!T31)</f>
        <v>15459.161057989</v>
      </c>
      <c r="U31" s="133">
        <f>IF(SER_hh_fec_in!U31=0,0,11630*1000*SER_hh_fec_in!U31/SER_hh_num_in!U31)</f>
        <v>16797.839649588776</v>
      </c>
      <c r="V31" s="133">
        <f>IF(SER_hh_fec_in!V31=0,0,11630*1000*SER_hh_fec_in!V31/SER_hh_num_in!V31)</f>
        <v>10174.236591666708</v>
      </c>
      <c r="W31" s="133">
        <f>IF(SER_hh_fec_in!W31=0,0,11630*1000*SER_hh_fec_in!W31/SER_hh_num_in!W31)</f>
        <v>15740.502123512564</v>
      </c>
      <c r="DA31" s="157" t="s">
        <v>750</v>
      </c>
    </row>
    <row r="32" spans="1:105" ht="12" customHeight="1" x14ac:dyDescent="0.25">
      <c r="A32" s="132" t="s">
        <v>128</v>
      </c>
      <c r="B32" s="133"/>
      <c r="C32" s="133">
        <f>IF(SER_hh_fec_in!C32=0,0,11630*1000*SER_hh_fec_in!C32/SER_hh_num_in!C32)</f>
        <v>0</v>
      </c>
      <c r="D32" s="133">
        <f>IF(SER_hh_fec_in!D32=0,0,11630*1000*SER_hh_fec_in!D32/SER_hh_num_in!D32)</f>
        <v>0</v>
      </c>
      <c r="E32" s="133">
        <f>IF(SER_hh_fec_in!E32=0,0,11630*1000*SER_hh_fec_in!E32/SER_hh_num_in!E32)</f>
        <v>0</v>
      </c>
      <c r="F32" s="133">
        <f>IF(SER_hh_fec_in!F32=0,0,11630*1000*SER_hh_fec_in!F32/SER_hh_num_in!F32)</f>
        <v>0</v>
      </c>
      <c r="G32" s="133">
        <f>IF(SER_hh_fec_in!G32=0,0,11630*1000*SER_hh_fec_in!G32/SER_hh_num_in!G32)</f>
        <v>0</v>
      </c>
      <c r="H32" s="133">
        <f>IF(SER_hh_fec_in!H32=0,0,11630*1000*SER_hh_fec_in!H32/SER_hh_num_in!H32)</f>
        <v>0</v>
      </c>
      <c r="I32" s="133">
        <f>IF(SER_hh_fec_in!I32=0,0,11630*1000*SER_hh_fec_in!I32/SER_hh_num_in!I32)</f>
        <v>0</v>
      </c>
      <c r="J32" s="133">
        <f>IF(SER_hh_fec_in!J32=0,0,11630*1000*SER_hh_fec_in!J32/SER_hh_num_in!J32)</f>
        <v>0</v>
      </c>
      <c r="K32" s="133">
        <f>IF(SER_hh_fec_in!K32=0,0,11630*1000*SER_hh_fec_in!K32/SER_hh_num_in!K32)</f>
        <v>0</v>
      </c>
      <c r="L32" s="133">
        <f>IF(SER_hh_fec_in!L32=0,0,11630*1000*SER_hh_fec_in!L32/SER_hh_num_in!L32)</f>
        <v>0</v>
      </c>
      <c r="M32" s="133">
        <f>IF(SER_hh_fec_in!M32=0,0,11630*1000*SER_hh_fec_in!M32/SER_hh_num_in!M32)</f>
        <v>0</v>
      </c>
      <c r="N32" s="133">
        <f>IF(SER_hh_fec_in!N32=0,0,11630*1000*SER_hh_fec_in!N32/SER_hh_num_in!N32)</f>
        <v>0</v>
      </c>
      <c r="O32" s="133">
        <f>IF(SER_hh_fec_in!O32=0,0,11630*1000*SER_hh_fec_in!O32/SER_hh_num_in!O32)</f>
        <v>0</v>
      </c>
      <c r="P32" s="133">
        <f>IF(SER_hh_fec_in!P32=0,0,11630*1000*SER_hh_fec_in!P32/SER_hh_num_in!P32)</f>
        <v>0</v>
      </c>
      <c r="Q32" s="133">
        <f>IF(SER_hh_fec_in!Q32=0,0,11630*1000*SER_hh_fec_in!Q32/SER_hh_num_in!Q32)</f>
        <v>0</v>
      </c>
      <c r="R32" s="133">
        <f>IF(SER_hh_fec_in!R32=0,0,11630*1000*SER_hh_fec_in!R32/SER_hh_num_in!R32)</f>
        <v>0</v>
      </c>
      <c r="S32" s="133">
        <f>IF(SER_hh_fec_in!S32=0,0,11630*1000*SER_hh_fec_in!S32/SER_hh_num_in!S32)</f>
        <v>0</v>
      </c>
      <c r="T32" s="133">
        <f>IF(SER_hh_fec_in!T32=0,0,11630*1000*SER_hh_fec_in!T32/SER_hh_num_in!T32)</f>
        <v>0</v>
      </c>
      <c r="U32" s="133">
        <f>IF(SER_hh_fec_in!U32=0,0,11630*1000*SER_hh_fec_in!U32/SER_hh_num_in!U32)</f>
        <v>0</v>
      </c>
      <c r="V32" s="133">
        <f>IF(SER_hh_fec_in!V32=0,0,11630*1000*SER_hh_fec_in!V32/SER_hh_num_in!V32)</f>
        <v>0</v>
      </c>
      <c r="W32" s="133">
        <f>IF(SER_hh_fec_in!W32=0,0,11630*1000*SER_hh_fec_in!W32/SER_hh_num_in!W32)</f>
        <v>0</v>
      </c>
      <c r="DA32" s="157" t="s">
        <v>751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10883.963248405167</v>
      </c>
      <c r="D33" s="68">
        <f>IF(SER_hh_fec_in!D33=0,0,11630*1000*SER_hh_fec_in!D33/SER_hh_num_in!D33)</f>
        <v>10947.358734931417</v>
      </c>
      <c r="E33" s="68">
        <f>IF(SER_hh_fec_in!E33=0,0,11630*1000*SER_hh_fec_in!E33/SER_hh_num_in!E33)</f>
        <v>11178.508837746449</v>
      </c>
      <c r="F33" s="68">
        <f>IF(SER_hh_fec_in!F33=0,0,11630*1000*SER_hh_fec_in!F33/SER_hh_num_in!F33)</f>
        <v>11331.047274565408</v>
      </c>
      <c r="G33" s="68">
        <f>IF(SER_hh_fec_in!G33=0,0,11630*1000*SER_hh_fec_in!G33/SER_hh_num_in!G33)</f>
        <v>11116.450425661607</v>
      </c>
      <c r="H33" s="68">
        <f>IF(SER_hh_fec_in!H33=0,0,11630*1000*SER_hh_fec_in!H33/SER_hh_num_in!H33)</f>
        <v>11321.436304971785</v>
      </c>
      <c r="I33" s="68">
        <f>IF(SER_hh_fec_in!I33=0,0,11630*1000*SER_hh_fec_in!I33/SER_hh_num_in!I33)</f>
        <v>11185.957535778154</v>
      </c>
      <c r="J33" s="68">
        <f>IF(SER_hh_fec_in!J33=0,0,11630*1000*SER_hh_fec_in!J33/SER_hh_num_in!J33)</f>
        <v>11295.581769780532</v>
      </c>
      <c r="K33" s="68">
        <f>IF(SER_hh_fec_in!K33=0,0,11630*1000*SER_hh_fec_in!K33/SER_hh_num_in!K33)</f>
        <v>11245.386613752356</v>
      </c>
      <c r="L33" s="68">
        <f>IF(SER_hh_fec_in!L33=0,0,11630*1000*SER_hh_fec_in!L33/SER_hh_num_in!L33)</f>
        <v>11060.783772161989</v>
      </c>
      <c r="M33" s="68">
        <f>IF(SER_hh_fec_in!M33=0,0,11630*1000*SER_hh_fec_in!M33/SER_hh_num_in!M33)</f>
        <v>11302.601738522546</v>
      </c>
      <c r="N33" s="68">
        <f>IF(SER_hh_fec_in!N33=0,0,11630*1000*SER_hh_fec_in!N33/SER_hh_num_in!N33)</f>
        <v>11538.134619604754</v>
      </c>
      <c r="O33" s="68">
        <f>IF(SER_hh_fec_in!O33=0,0,11630*1000*SER_hh_fec_in!O33/SER_hh_num_in!O33)</f>
        <v>11457.758987709853</v>
      </c>
      <c r="P33" s="68">
        <f>IF(SER_hh_fec_in!P33=0,0,11630*1000*SER_hh_fec_in!P33/SER_hh_num_in!P33)</f>
        <v>11657.373854238051</v>
      </c>
      <c r="Q33" s="68">
        <f>IF(SER_hh_fec_in!Q33=0,0,11630*1000*SER_hh_fec_in!Q33/SER_hh_num_in!Q33)</f>
        <v>11118.523262462106</v>
      </c>
      <c r="R33" s="68">
        <f>IF(SER_hh_fec_in!R33=0,0,11630*1000*SER_hh_fec_in!R33/SER_hh_num_in!R33)</f>
        <v>11252.504379773691</v>
      </c>
      <c r="S33" s="68">
        <f>IF(SER_hh_fec_in!S33=0,0,11630*1000*SER_hh_fec_in!S33/SER_hh_num_in!S33)</f>
        <v>11306.052824910397</v>
      </c>
      <c r="T33" s="68">
        <f>IF(SER_hh_fec_in!T33=0,0,11630*1000*SER_hh_fec_in!T33/SER_hh_num_in!T33)</f>
        <v>10800.989060479156</v>
      </c>
      <c r="U33" s="68">
        <f>IF(SER_hh_fec_in!U33=0,0,11630*1000*SER_hh_fec_in!U33/SER_hh_num_in!U33)</f>
        <v>10372.715677752039</v>
      </c>
      <c r="V33" s="68">
        <f>IF(SER_hh_fec_in!V33=0,0,11630*1000*SER_hh_fec_in!V33/SER_hh_num_in!V33)</f>
        <v>9993.067307357589</v>
      </c>
      <c r="W33" s="68">
        <f>IF(SER_hh_fec_in!W33=0,0,11630*1000*SER_hh_fec_in!W33/SER_hh_num_in!W33)</f>
        <v>9583.3191291989151</v>
      </c>
      <c r="DA33" s="111" t="s">
        <v>752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/>
      <c r="C3" s="126">
        <f>IF(SER_hh_tes_in!C3=0,0,11630*1000*SER_hh_tes_in!C3/SER_hh_num_in!C3)</f>
        <v>118332.75792317814</v>
      </c>
      <c r="D3" s="126">
        <f>IF(SER_hh_tes_in!D3=0,0,11630*1000*SER_hh_tes_in!D3/SER_hh_num_in!D3)</f>
        <v>115410.28641006375</v>
      </c>
      <c r="E3" s="126">
        <f>IF(SER_hh_tes_in!E3=0,0,11630*1000*SER_hh_tes_in!E3/SER_hh_num_in!E3)</f>
        <v>116303.31614084411</v>
      </c>
      <c r="F3" s="126">
        <f>IF(SER_hh_tes_in!F3=0,0,11630*1000*SER_hh_tes_in!F3/SER_hh_num_in!F3)</f>
        <v>113194.59094886499</v>
      </c>
      <c r="G3" s="126">
        <f>IF(SER_hh_tes_in!G3=0,0,11630*1000*SER_hh_tes_in!G3/SER_hh_num_in!G3)</f>
        <v>109835.13120921493</v>
      </c>
      <c r="H3" s="126">
        <f>IF(SER_hh_tes_in!H3=0,0,11630*1000*SER_hh_tes_in!H3/SER_hh_num_in!H3)</f>
        <v>108522.92988131476</v>
      </c>
      <c r="I3" s="126">
        <f>IF(SER_hh_tes_in!I3=0,0,11630*1000*SER_hh_tes_in!I3/SER_hh_num_in!I3)</f>
        <v>105627.20353771574</v>
      </c>
      <c r="J3" s="126">
        <f>IF(SER_hh_tes_in!J3=0,0,11630*1000*SER_hh_tes_in!J3/SER_hh_num_in!J3)</f>
        <v>102997.80843623937</v>
      </c>
      <c r="K3" s="126">
        <f>IF(SER_hh_tes_in!K3=0,0,11630*1000*SER_hh_tes_in!K3/SER_hh_num_in!K3)</f>
        <v>99524.247271847416</v>
      </c>
      <c r="L3" s="126">
        <f>IF(SER_hh_tes_in!L3=0,0,11630*1000*SER_hh_tes_in!L3/SER_hh_num_in!L3)</f>
        <v>104581.56253280112</v>
      </c>
      <c r="M3" s="126">
        <f>IF(SER_hh_tes_in!M3=0,0,11630*1000*SER_hh_tes_in!M3/SER_hh_num_in!M3)</f>
        <v>93171.484903916964</v>
      </c>
      <c r="N3" s="126">
        <f>IF(SER_hh_tes_in!N3=0,0,11630*1000*SER_hh_tes_in!N3/SER_hh_num_in!N3)</f>
        <v>93084.336723537926</v>
      </c>
      <c r="O3" s="126">
        <f>IF(SER_hh_tes_in!O3=0,0,11630*1000*SER_hh_tes_in!O3/SER_hh_num_in!O3)</f>
        <v>90680.352660501012</v>
      </c>
      <c r="P3" s="126">
        <f>IF(SER_hh_tes_in!P3=0,0,11630*1000*SER_hh_tes_in!P3/SER_hh_num_in!P3)</f>
        <v>82606.58970788696</v>
      </c>
      <c r="Q3" s="126">
        <f>IF(SER_hh_tes_in!Q3=0,0,11630*1000*SER_hh_tes_in!Q3/SER_hh_num_in!Q3)</f>
        <v>84286.951521007242</v>
      </c>
      <c r="R3" s="126">
        <f>IF(SER_hh_tes_in!R3=0,0,11630*1000*SER_hh_tes_in!R3/SER_hh_num_in!R3)</f>
        <v>83875.245328287609</v>
      </c>
      <c r="S3" s="126">
        <f>IF(SER_hh_tes_in!S3=0,0,11630*1000*SER_hh_tes_in!S3/SER_hh_num_in!S3)</f>
        <v>82616.600206783609</v>
      </c>
      <c r="T3" s="126">
        <f>IF(SER_hh_tes_in!T3=0,0,11630*1000*SER_hh_tes_in!T3/SER_hh_num_in!T3)</f>
        <v>78151.322533897561</v>
      </c>
      <c r="U3" s="126">
        <f>IF(SER_hh_tes_in!U3=0,0,11630*1000*SER_hh_tes_in!U3/SER_hh_num_in!U3)</f>
        <v>73030.911298759616</v>
      </c>
      <c r="V3" s="126">
        <f>IF(SER_hh_tes_in!V3=0,0,11630*1000*SER_hh_tes_in!V3/SER_hh_num_in!V3)</f>
        <v>68122.664581316392</v>
      </c>
      <c r="W3" s="126">
        <f>IF(SER_hh_tes_in!W3=0,0,11630*1000*SER_hh_tes_in!W3/SER_hh_num_in!W3)</f>
        <v>72979.676716079368</v>
      </c>
      <c r="DA3" s="155" t="s">
        <v>754</v>
      </c>
    </row>
    <row r="4" spans="1:105" ht="12.95" customHeight="1" x14ac:dyDescent="0.25">
      <c r="A4" s="130" t="s">
        <v>32</v>
      </c>
      <c r="B4" s="131"/>
      <c r="C4" s="131">
        <f>IF(SER_hh_tes_in!C4=0,0,11630*1000*SER_hh_tes_in!C4/SER_hh_num_in!C4)</f>
        <v>77590.579763641945</v>
      </c>
      <c r="D4" s="131">
        <f>IF(SER_hh_tes_in!D4=0,0,11630*1000*SER_hh_tes_in!D4/SER_hh_num_in!D4)</f>
        <v>74901.827873299539</v>
      </c>
      <c r="E4" s="131">
        <f>IF(SER_hh_tes_in!E4=0,0,11630*1000*SER_hh_tes_in!E4/SER_hh_num_in!E4)</f>
        <v>75728.99466075185</v>
      </c>
      <c r="F4" s="131">
        <f>IF(SER_hh_tes_in!F4=0,0,11630*1000*SER_hh_tes_in!F4/SER_hh_num_in!F4)</f>
        <v>72761.883907073221</v>
      </c>
      <c r="G4" s="131">
        <f>IF(SER_hh_tes_in!G4=0,0,11630*1000*SER_hh_tes_in!G4/SER_hh_num_in!G4)</f>
        <v>69542.250648355825</v>
      </c>
      <c r="H4" s="131">
        <f>IF(SER_hh_tes_in!H4=0,0,11630*1000*SER_hh_tes_in!H4/SER_hh_num_in!H4)</f>
        <v>68227.575851199392</v>
      </c>
      <c r="I4" s="131">
        <f>IF(SER_hh_tes_in!I4=0,0,11630*1000*SER_hh_tes_in!I4/SER_hh_num_in!I4)</f>
        <v>65586.350827540446</v>
      </c>
      <c r="J4" s="131">
        <f>IF(SER_hh_tes_in!J4=0,0,11630*1000*SER_hh_tes_in!J4/SER_hh_num_in!J4)</f>
        <v>63105.319499706602</v>
      </c>
      <c r="K4" s="131">
        <f>IF(SER_hh_tes_in!K4=0,0,11630*1000*SER_hh_tes_in!K4/SER_hh_num_in!K4)</f>
        <v>59814.240664537298</v>
      </c>
      <c r="L4" s="131">
        <f>IF(SER_hh_tes_in!L4=0,0,11630*1000*SER_hh_tes_in!L4/SER_hh_num_in!L4)</f>
        <v>64940.484108808509</v>
      </c>
      <c r="M4" s="131">
        <f>IF(SER_hh_tes_in!M4=0,0,11630*1000*SER_hh_tes_in!M4/SER_hh_num_in!M4)</f>
        <v>53693.524055008129</v>
      </c>
      <c r="N4" s="131">
        <f>IF(SER_hh_tes_in!N4=0,0,11630*1000*SER_hh_tes_in!N4/SER_hh_num_in!N4)</f>
        <v>53628.941797278851</v>
      </c>
      <c r="O4" s="131">
        <f>IF(SER_hh_tes_in!O4=0,0,11630*1000*SER_hh_tes_in!O4/SER_hh_num_in!O4)</f>
        <v>51544.915795919645</v>
      </c>
      <c r="P4" s="131">
        <f>IF(SER_hh_tes_in!P4=0,0,11630*1000*SER_hh_tes_in!P4/SER_hh_num_in!P4)</f>
        <v>43799.555922131389</v>
      </c>
      <c r="Q4" s="131">
        <f>IF(SER_hh_tes_in!Q4=0,0,11630*1000*SER_hh_tes_in!Q4/SER_hh_num_in!Q4)</f>
        <v>45502.773840011789</v>
      </c>
      <c r="R4" s="131">
        <f>IF(SER_hh_tes_in!R4=0,0,11630*1000*SER_hh_tes_in!R4/SER_hh_num_in!R4)</f>
        <v>45232.281923772709</v>
      </c>
      <c r="S4" s="131">
        <f>IF(SER_hh_tes_in!S4=0,0,11630*1000*SER_hh_tes_in!S4/SER_hh_num_in!S4)</f>
        <v>44378.140750919847</v>
      </c>
      <c r="T4" s="131">
        <f>IF(SER_hh_tes_in!T4=0,0,11630*1000*SER_hh_tes_in!T4/SER_hh_num_in!T4)</f>
        <v>39743.42748995185</v>
      </c>
      <c r="U4" s="131">
        <f>IF(SER_hh_tes_in!U4=0,0,11630*1000*SER_hh_tes_in!U4/SER_hh_num_in!U4)</f>
        <v>35937.709053868391</v>
      </c>
      <c r="V4" s="131">
        <f>IF(SER_hh_tes_in!V4=0,0,11630*1000*SER_hh_tes_in!V4/SER_hh_num_in!V4)</f>
        <v>33591.281605229786</v>
      </c>
      <c r="W4" s="131">
        <f>IF(SER_hh_tes_in!W4=0,0,11630*1000*SER_hh_tes_in!W4/SER_hh_num_in!W4)</f>
        <v>38119.46619419114</v>
      </c>
      <c r="DA4" s="156" t="s">
        <v>755</v>
      </c>
    </row>
    <row r="5" spans="1:105" ht="12" customHeight="1" x14ac:dyDescent="0.25">
      <c r="A5" s="132" t="s">
        <v>29</v>
      </c>
      <c r="B5" s="133"/>
      <c r="C5" s="133">
        <f>IF(SER_hh_tes_in!C5=0,0,11630*1000*SER_hh_tes_in!C5/SER_hh_num_in!C5)</f>
        <v>0</v>
      </c>
      <c r="D5" s="133">
        <f>IF(SER_hh_tes_in!D5=0,0,11630*1000*SER_hh_tes_in!D5/SER_hh_num_in!D5)</f>
        <v>0</v>
      </c>
      <c r="E5" s="133">
        <f>IF(SER_hh_tes_in!E5=0,0,11630*1000*SER_hh_tes_in!E5/SER_hh_num_in!E5)</f>
        <v>0</v>
      </c>
      <c r="F5" s="133">
        <f>IF(SER_hh_tes_in!F5=0,0,11630*1000*SER_hh_tes_in!F5/SER_hh_num_in!F5)</f>
        <v>0</v>
      </c>
      <c r="G5" s="133">
        <f>IF(SER_hh_tes_in!G5=0,0,11630*1000*SER_hh_tes_in!G5/SER_hh_num_in!G5)</f>
        <v>0</v>
      </c>
      <c r="H5" s="133">
        <f>IF(SER_hh_tes_in!H5=0,0,11630*1000*SER_hh_tes_in!H5/SER_hh_num_in!H5)</f>
        <v>0</v>
      </c>
      <c r="I5" s="133">
        <f>IF(SER_hh_tes_in!I5=0,0,11630*1000*SER_hh_tes_in!I5/SER_hh_num_in!I5)</f>
        <v>0</v>
      </c>
      <c r="J5" s="133">
        <f>IF(SER_hh_tes_in!J5=0,0,11630*1000*SER_hh_tes_in!J5/SER_hh_num_in!J5)</f>
        <v>0</v>
      </c>
      <c r="K5" s="133">
        <f>IF(SER_hh_tes_in!K5=0,0,11630*1000*SER_hh_tes_in!K5/SER_hh_num_in!K5)</f>
        <v>0</v>
      </c>
      <c r="L5" s="133">
        <f>IF(SER_hh_tes_in!L5=0,0,11630*1000*SER_hh_tes_in!L5/SER_hh_num_in!L5)</f>
        <v>0</v>
      </c>
      <c r="M5" s="133">
        <f>IF(SER_hh_tes_in!M5=0,0,11630*1000*SER_hh_tes_in!M5/SER_hh_num_in!M5)</f>
        <v>0</v>
      </c>
      <c r="N5" s="133">
        <f>IF(SER_hh_tes_in!N5=0,0,11630*1000*SER_hh_tes_in!N5/SER_hh_num_in!N5)</f>
        <v>0</v>
      </c>
      <c r="O5" s="133">
        <f>IF(SER_hh_tes_in!O5=0,0,11630*1000*SER_hh_tes_in!O5/SER_hh_num_in!O5)</f>
        <v>0</v>
      </c>
      <c r="P5" s="133">
        <f>IF(SER_hh_tes_in!P5=0,0,11630*1000*SER_hh_tes_in!P5/SER_hh_num_in!P5)</f>
        <v>0</v>
      </c>
      <c r="Q5" s="133">
        <f>IF(SER_hh_tes_in!Q5=0,0,11630*1000*SER_hh_tes_in!Q5/SER_hh_num_in!Q5)</f>
        <v>0</v>
      </c>
      <c r="R5" s="133">
        <f>IF(SER_hh_tes_in!R5=0,0,11630*1000*SER_hh_tes_in!R5/SER_hh_num_in!R5)</f>
        <v>0</v>
      </c>
      <c r="S5" s="133">
        <f>IF(SER_hh_tes_in!S5=0,0,11630*1000*SER_hh_tes_in!S5/SER_hh_num_in!S5)</f>
        <v>0</v>
      </c>
      <c r="T5" s="133">
        <f>IF(SER_hh_tes_in!T5=0,0,11630*1000*SER_hh_tes_in!T5/SER_hh_num_in!T5)</f>
        <v>0</v>
      </c>
      <c r="U5" s="133">
        <f>IF(SER_hh_tes_in!U5=0,0,11630*1000*SER_hh_tes_in!U5/SER_hh_num_in!U5)</f>
        <v>0</v>
      </c>
      <c r="V5" s="133">
        <f>IF(SER_hh_tes_in!V5=0,0,11630*1000*SER_hh_tes_in!V5/SER_hh_num_in!V5)</f>
        <v>0</v>
      </c>
      <c r="W5" s="133">
        <f>IF(SER_hh_tes_in!W5=0,0,11630*1000*SER_hh_tes_in!W5/SER_hh_num_in!W5)</f>
        <v>0</v>
      </c>
      <c r="DA5" s="157" t="s">
        <v>756</v>
      </c>
    </row>
    <row r="6" spans="1:105" ht="12" customHeight="1" x14ac:dyDescent="0.25">
      <c r="A6" s="132" t="s">
        <v>52</v>
      </c>
      <c r="B6" s="133"/>
      <c r="C6" s="133">
        <f>IF(SER_hh_tes_in!C6=0,0,11630*1000*SER_hh_tes_in!C6/SER_hh_num_in!C6)</f>
        <v>0</v>
      </c>
      <c r="D6" s="133">
        <f>IF(SER_hh_tes_in!D6=0,0,11630*1000*SER_hh_tes_in!D6/SER_hh_num_in!D6)</f>
        <v>0</v>
      </c>
      <c r="E6" s="133">
        <f>IF(SER_hh_tes_in!E6=0,0,11630*1000*SER_hh_tes_in!E6/SER_hh_num_in!E6)</f>
        <v>0</v>
      </c>
      <c r="F6" s="133">
        <f>IF(SER_hh_tes_in!F6=0,0,11630*1000*SER_hh_tes_in!F6/SER_hh_num_in!F6)</f>
        <v>0</v>
      </c>
      <c r="G6" s="133">
        <f>IF(SER_hh_tes_in!G6=0,0,11630*1000*SER_hh_tes_in!G6/SER_hh_num_in!G6)</f>
        <v>0</v>
      </c>
      <c r="H6" s="133">
        <f>IF(SER_hh_tes_in!H6=0,0,11630*1000*SER_hh_tes_in!H6/SER_hh_num_in!H6)</f>
        <v>0</v>
      </c>
      <c r="I6" s="133">
        <f>IF(SER_hh_tes_in!I6=0,0,11630*1000*SER_hh_tes_in!I6/SER_hh_num_in!I6)</f>
        <v>0</v>
      </c>
      <c r="J6" s="133">
        <f>IF(SER_hh_tes_in!J6=0,0,11630*1000*SER_hh_tes_in!J6/SER_hh_num_in!J6)</f>
        <v>0</v>
      </c>
      <c r="K6" s="133">
        <f>IF(SER_hh_tes_in!K6=0,0,11630*1000*SER_hh_tes_in!K6/SER_hh_num_in!K6)</f>
        <v>0</v>
      </c>
      <c r="L6" s="133">
        <f>IF(SER_hh_tes_in!L6=0,0,11630*1000*SER_hh_tes_in!L6/SER_hh_num_in!L6)</f>
        <v>0</v>
      </c>
      <c r="M6" s="133">
        <f>IF(SER_hh_tes_in!M6=0,0,11630*1000*SER_hh_tes_in!M6/SER_hh_num_in!M6)</f>
        <v>0</v>
      </c>
      <c r="N6" s="133">
        <f>IF(SER_hh_tes_in!N6=0,0,11630*1000*SER_hh_tes_in!N6/SER_hh_num_in!N6)</f>
        <v>0</v>
      </c>
      <c r="O6" s="133">
        <f>IF(SER_hh_tes_in!O6=0,0,11630*1000*SER_hh_tes_in!O6/SER_hh_num_in!O6)</f>
        <v>0</v>
      </c>
      <c r="P6" s="133">
        <f>IF(SER_hh_tes_in!P6=0,0,11630*1000*SER_hh_tes_in!P6/SER_hh_num_in!P6)</f>
        <v>0</v>
      </c>
      <c r="Q6" s="133">
        <f>IF(SER_hh_tes_in!Q6=0,0,11630*1000*SER_hh_tes_in!Q6/SER_hh_num_in!Q6)</f>
        <v>0</v>
      </c>
      <c r="R6" s="133">
        <f>IF(SER_hh_tes_in!R6=0,0,11630*1000*SER_hh_tes_in!R6/SER_hh_num_in!R6)</f>
        <v>0</v>
      </c>
      <c r="S6" s="133">
        <f>IF(SER_hh_tes_in!S6=0,0,11630*1000*SER_hh_tes_in!S6/SER_hh_num_in!S6)</f>
        <v>0</v>
      </c>
      <c r="T6" s="133">
        <f>IF(SER_hh_tes_in!T6=0,0,11630*1000*SER_hh_tes_in!T6/SER_hh_num_in!T6)</f>
        <v>0</v>
      </c>
      <c r="U6" s="133">
        <f>IF(SER_hh_tes_in!U6=0,0,11630*1000*SER_hh_tes_in!U6/SER_hh_num_in!U6)</f>
        <v>0</v>
      </c>
      <c r="V6" s="133">
        <f>IF(SER_hh_tes_in!V6=0,0,11630*1000*SER_hh_tes_in!V6/SER_hh_num_in!V6)</f>
        <v>0</v>
      </c>
      <c r="W6" s="133">
        <f>IF(SER_hh_tes_in!W6=0,0,11630*1000*SER_hh_tes_in!W6/SER_hh_num_in!W6)</f>
        <v>0</v>
      </c>
      <c r="DA6" s="157" t="s">
        <v>757</v>
      </c>
    </row>
    <row r="7" spans="1:105" ht="12" customHeight="1" x14ac:dyDescent="0.25">
      <c r="A7" s="132" t="s">
        <v>168</v>
      </c>
      <c r="B7" s="133"/>
      <c r="C7" s="133">
        <f>IF(SER_hh_tes_in!C7=0,0,11630*1000*SER_hh_tes_in!C7/SER_hh_num_in!C7)</f>
        <v>74607.992114938912</v>
      </c>
      <c r="D7" s="133">
        <f>IF(SER_hh_tes_in!D7=0,0,11630*1000*SER_hh_tes_in!D7/SER_hh_num_in!D7)</f>
        <v>71252.382547929039</v>
      </c>
      <c r="E7" s="133">
        <f>IF(SER_hh_tes_in!E7=0,0,11630*1000*SER_hh_tes_in!E7/SER_hh_num_in!E7)</f>
        <v>72464.566655066708</v>
      </c>
      <c r="F7" s="133">
        <f>IF(SER_hh_tes_in!F7=0,0,11630*1000*SER_hh_tes_in!F7/SER_hh_num_in!F7)</f>
        <v>76200.938539490264</v>
      </c>
      <c r="G7" s="133">
        <f>IF(SER_hh_tes_in!G7=0,0,11630*1000*SER_hh_tes_in!G7/SER_hh_num_in!G7)</f>
        <v>70634.796039822264</v>
      </c>
      <c r="H7" s="133">
        <f>IF(SER_hh_tes_in!H7=0,0,11630*1000*SER_hh_tes_in!H7/SER_hh_num_in!H7)</f>
        <v>63833.371364990817</v>
      </c>
      <c r="I7" s="133">
        <f>IF(SER_hh_tes_in!I7=0,0,11630*1000*SER_hh_tes_in!I7/SER_hh_num_in!I7)</f>
        <v>59937.508896401167</v>
      </c>
      <c r="J7" s="133">
        <f>IF(SER_hh_tes_in!J7=0,0,11630*1000*SER_hh_tes_in!J7/SER_hh_num_in!J7)</f>
        <v>63170.901587868182</v>
      </c>
      <c r="K7" s="133">
        <f>IF(SER_hh_tes_in!K7=0,0,11630*1000*SER_hh_tes_in!K7/SER_hh_num_in!K7)</f>
        <v>60557.193492098719</v>
      </c>
      <c r="L7" s="133">
        <f>IF(SER_hh_tes_in!L7=0,0,11630*1000*SER_hh_tes_in!L7/SER_hh_num_in!L7)</f>
        <v>60553.673000651957</v>
      </c>
      <c r="M7" s="133">
        <f>IF(SER_hh_tes_in!M7=0,0,11630*1000*SER_hh_tes_in!M7/SER_hh_num_in!M7)</f>
        <v>47698.147281187368</v>
      </c>
      <c r="N7" s="133">
        <f>IF(SER_hh_tes_in!N7=0,0,11630*1000*SER_hh_tes_in!N7/SER_hh_num_in!N7)</f>
        <v>56139.533651481281</v>
      </c>
      <c r="O7" s="133">
        <f>IF(SER_hh_tes_in!O7=0,0,11630*1000*SER_hh_tes_in!O7/SER_hh_num_in!O7)</f>
        <v>50505.964050672046</v>
      </c>
      <c r="P7" s="133">
        <f>IF(SER_hh_tes_in!P7=0,0,11630*1000*SER_hh_tes_in!P7/SER_hh_num_in!P7)</f>
        <v>43583.703818866801</v>
      </c>
      <c r="Q7" s="133">
        <f>IF(SER_hh_tes_in!Q7=0,0,11630*1000*SER_hh_tes_in!Q7/SER_hh_num_in!Q7)</f>
        <v>44744.970473581438</v>
      </c>
      <c r="R7" s="133">
        <f>IF(SER_hh_tes_in!R7=0,0,11630*1000*SER_hh_tes_in!R7/SER_hh_num_in!R7)</f>
        <v>44505.824546742202</v>
      </c>
      <c r="S7" s="133">
        <f>IF(SER_hh_tes_in!S7=0,0,11630*1000*SER_hh_tes_in!S7/SER_hh_num_in!S7)</f>
        <v>0</v>
      </c>
      <c r="T7" s="133">
        <f>IF(SER_hh_tes_in!T7=0,0,11630*1000*SER_hh_tes_in!T7/SER_hh_num_in!T7)</f>
        <v>47360.20623289275</v>
      </c>
      <c r="U7" s="133">
        <f>IF(SER_hh_tes_in!U7=0,0,11630*1000*SER_hh_tes_in!U7/SER_hh_num_in!U7)</f>
        <v>0</v>
      </c>
      <c r="V7" s="133">
        <f>IF(SER_hh_tes_in!V7=0,0,11630*1000*SER_hh_tes_in!V7/SER_hh_num_in!V7)</f>
        <v>0</v>
      </c>
      <c r="W7" s="133">
        <f>IF(SER_hh_tes_in!W7=0,0,11630*1000*SER_hh_tes_in!W7/SER_hh_num_in!W7)</f>
        <v>0</v>
      </c>
      <c r="DA7" s="157" t="s">
        <v>758</v>
      </c>
    </row>
    <row r="8" spans="1:105" ht="12" customHeight="1" x14ac:dyDescent="0.25">
      <c r="A8" s="132" t="s">
        <v>73</v>
      </c>
      <c r="B8" s="133"/>
      <c r="C8" s="133">
        <f>IF(SER_hh_tes_in!C8=0,0,11630*1000*SER_hh_tes_in!C8/SER_hh_num_in!C8)</f>
        <v>73747.954261704916</v>
      </c>
      <c r="D8" s="133">
        <f>IF(SER_hh_tes_in!D8=0,0,11630*1000*SER_hh_tes_in!D8/SER_hh_num_in!D8)</f>
        <v>70300.565071540535</v>
      </c>
      <c r="E8" s="133">
        <f>IF(SER_hh_tes_in!E8=0,0,11630*1000*SER_hh_tes_in!E8/SER_hh_num_in!E8)</f>
        <v>77919.717724285612</v>
      </c>
      <c r="F8" s="133">
        <f>IF(SER_hh_tes_in!F8=0,0,11630*1000*SER_hh_tes_in!F8/SER_hh_num_in!F8)</f>
        <v>75866.646863957998</v>
      </c>
      <c r="G8" s="133">
        <f>IF(SER_hh_tes_in!G8=0,0,11630*1000*SER_hh_tes_in!G8/SER_hh_num_in!G8)</f>
        <v>62714.404283863805</v>
      </c>
      <c r="H8" s="133">
        <f>IF(SER_hh_tes_in!H8=0,0,11630*1000*SER_hh_tes_in!H8/SER_hh_num_in!H8)</f>
        <v>37480.573947560806</v>
      </c>
      <c r="I8" s="133">
        <f>IF(SER_hh_tes_in!I8=0,0,11630*1000*SER_hh_tes_in!I8/SER_hh_num_in!I8)</f>
        <v>78948.999827874446</v>
      </c>
      <c r="J8" s="133">
        <f>IF(SER_hh_tes_in!J8=0,0,11630*1000*SER_hh_tes_in!J8/SER_hh_num_in!J8)</f>
        <v>65996.339855207392</v>
      </c>
      <c r="K8" s="133">
        <f>IF(SER_hh_tes_in!K8=0,0,11630*1000*SER_hh_tes_in!K8/SER_hh_num_in!K8)</f>
        <v>61738.204547705012</v>
      </c>
      <c r="L8" s="133">
        <f>IF(SER_hh_tes_in!L8=0,0,11630*1000*SER_hh_tes_in!L8/SER_hh_num_in!L8)</f>
        <v>58567.956944577287</v>
      </c>
      <c r="M8" s="133">
        <f>IF(SER_hh_tes_in!M8=0,0,11630*1000*SER_hh_tes_in!M8/SER_hh_num_in!M8)</f>
        <v>54431.331985853896</v>
      </c>
      <c r="N8" s="133">
        <f>IF(SER_hh_tes_in!N8=0,0,11630*1000*SER_hh_tes_in!N8/SER_hh_num_in!N8)</f>
        <v>50388.25498867884</v>
      </c>
      <c r="O8" s="133">
        <f>IF(SER_hh_tes_in!O8=0,0,11630*1000*SER_hh_tes_in!O8/SER_hh_num_in!O8)</f>
        <v>44255.921328749428</v>
      </c>
      <c r="P8" s="133">
        <f>IF(SER_hh_tes_in!P8=0,0,11630*1000*SER_hh_tes_in!P8/SER_hh_num_in!P8)</f>
        <v>45994.899239594895</v>
      </c>
      <c r="Q8" s="133">
        <f>IF(SER_hh_tes_in!Q8=0,0,11630*1000*SER_hh_tes_in!Q8/SER_hh_num_in!Q8)</f>
        <v>47688.833935492221</v>
      </c>
      <c r="R8" s="133">
        <f>IF(SER_hh_tes_in!R8=0,0,11630*1000*SER_hh_tes_in!R8/SER_hh_num_in!R8)</f>
        <v>45808.230813173039</v>
      </c>
      <c r="S8" s="133">
        <f>IF(SER_hh_tes_in!S8=0,0,11630*1000*SER_hh_tes_in!S8/SER_hh_num_in!S8)</f>
        <v>41673.618584552853</v>
      </c>
      <c r="T8" s="133">
        <f>IF(SER_hh_tes_in!T8=0,0,11630*1000*SER_hh_tes_in!T8/SER_hh_num_in!T8)</f>
        <v>39360.47132236715</v>
      </c>
      <c r="U8" s="133">
        <f>IF(SER_hh_tes_in!U8=0,0,11630*1000*SER_hh_tes_in!U8/SER_hh_num_in!U8)</f>
        <v>36019.531536799688</v>
      </c>
      <c r="V8" s="133">
        <f>IF(SER_hh_tes_in!V8=0,0,11630*1000*SER_hh_tes_in!V8/SER_hh_num_in!V8)</f>
        <v>35987.331445835684</v>
      </c>
      <c r="W8" s="133">
        <f>IF(SER_hh_tes_in!W8=0,0,11630*1000*SER_hh_tes_in!W8/SER_hh_num_in!W8)</f>
        <v>38110.721570412737</v>
      </c>
      <c r="DA8" s="157" t="s">
        <v>759</v>
      </c>
    </row>
    <row r="9" spans="1:105" ht="12" customHeight="1" x14ac:dyDescent="0.25">
      <c r="A9" s="132" t="s">
        <v>78</v>
      </c>
      <c r="B9" s="133"/>
      <c r="C9" s="133">
        <f>IF(SER_hh_tes_in!C9=0,0,11630*1000*SER_hh_tes_in!C9/SER_hh_num_in!C9)</f>
        <v>74112.875122597296</v>
      </c>
      <c r="D9" s="133">
        <f>IF(SER_hh_tes_in!D9=0,0,11630*1000*SER_hh_tes_in!D9/SER_hh_num_in!D9)</f>
        <v>70458.460572964585</v>
      </c>
      <c r="E9" s="133">
        <f>IF(SER_hh_tes_in!E9=0,0,11630*1000*SER_hh_tes_in!E9/SER_hh_num_in!E9)</f>
        <v>76742.669103608641</v>
      </c>
      <c r="F9" s="133">
        <f>IF(SER_hh_tes_in!F9=0,0,11630*1000*SER_hh_tes_in!F9/SER_hh_num_in!F9)</f>
        <v>70651.098337186486</v>
      </c>
      <c r="G9" s="133">
        <f>IF(SER_hh_tes_in!G9=0,0,11630*1000*SER_hh_tes_in!G9/SER_hh_num_in!G9)</f>
        <v>68276.950193141121</v>
      </c>
      <c r="H9" s="133">
        <f>IF(SER_hh_tes_in!H9=0,0,11630*1000*SER_hh_tes_in!H9/SER_hh_num_in!H9)</f>
        <v>71697.237218981551</v>
      </c>
      <c r="I9" s="133">
        <f>IF(SER_hh_tes_in!I9=0,0,11630*1000*SER_hh_tes_in!I9/SER_hh_num_in!I9)</f>
        <v>63330.896854507373</v>
      </c>
      <c r="J9" s="133">
        <f>IF(SER_hh_tes_in!J9=0,0,11630*1000*SER_hh_tes_in!J9/SER_hh_num_in!J9)</f>
        <v>61699.297790965931</v>
      </c>
      <c r="K9" s="133">
        <f>IF(SER_hh_tes_in!K9=0,0,11630*1000*SER_hh_tes_in!K9/SER_hh_num_in!K9)</f>
        <v>61978.936876525695</v>
      </c>
      <c r="L9" s="133">
        <f>IF(SER_hh_tes_in!L9=0,0,11630*1000*SER_hh_tes_in!L9/SER_hh_num_in!L9)</f>
        <v>62912.418659837203</v>
      </c>
      <c r="M9" s="133">
        <f>IF(SER_hh_tes_in!M9=0,0,11630*1000*SER_hh_tes_in!M9/SER_hh_num_in!M9)</f>
        <v>47585.76201262675</v>
      </c>
      <c r="N9" s="133">
        <f>IF(SER_hh_tes_in!N9=0,0,11630*1000*SER_hh_tes_in!N9/SER_hh_num_in!N9)</f>
        <v>53493.66082062335</v>
      </c>
      <c r="O9" s="133">
        <f>IF(SER_hh_tes_in!O9=0,0,11630*1000*SER_hh_tes_in!O9/SER_hh_num_in!O9)</f>
        <v>54963.136257848724</v>
      </c>
      <c r="P9" s="133">
        <f>IF(SER_hh_tes_in!P9=0,0,11630*1000*SER_hh_tes_in!P9/SER_hh_num_in!P9)</f>
        <v>36462.455910357516</v>
      </c>
      <c r="Q9" s="133">
        <f>IF(SER_hh_tes_in!Q9=0,0,11630*1000*SER_hh_tes_in!Q9/SER_hh_num_in!Q9)</f>
        <v>45483.896447128383</v>
      </c>
      <c r="R9" s="133">
        <f>IF(SER_hh_tes_in!R9=0,0,11630*1000*SER_hh_tes_in!R9/SER_hh_num_in!R9)</f>
        <v>45467.133841340918</v>
      </c>
      <c r="S9" s="133">
        <f>IF(SER_hh_tes_in!S9=0,0,11630*1000*SER_hh_tes_in!S9/SER_hh_num_in!S9)</f>
        <v>47321.267494195745</v>
      </c>
      <c r="T9" s="133">
        <f>IF(SER_hh_tes_in!T9=0,0,11630*1000*SER_hh_tes_in!T9/SER_hh_num_in!T9)</f>
        <v>33828.963336734509</v>
      </c>
      <c r="U9" s="133">
        <f>IF(SER_hh_tes_in!U9=0,0,11630*1000*SER_hh_tes_in!U9/SER_hh_num_in!U9)</f>
        <v>31239.20027877043</v>
      </c>
      <c r="V9" s="133">
        <f>IF(SER_hh_tes_in!V9=0,0,11630*1000*SER_hh_tes_in!V9/SER_hh_num_in!V9)</f>
        <v>29943.89072528297</v>
      </c>
      <c r="W9" s="133">
        <f>IF(SER_hh_tes_in!W9=0,0,11630*1000*SER_hh_tes_in!W9/SER_hh_num_in!W9)</f>
        <v>42602.854763987161</v>
      </c>
      <c r="DA9" s="157" t="s">
        <v>760</v>
      </c>
    </row>
    <row r="10" spans="1:105" ht="12" customHeight="1" x14ac:dyDescent="0.25">
      <c r="A10" s="132" t="s">
        <v>128</v>
      </c>
      <c r="B10" s="133"/>
      <c r="C10" s="133">
        <f>IF(SER_hh_tes_in!C10=0,0,11630*1000*SER_hh_tes_in!C10/SER_hh_num_in!C10)</f>
        <v>66238.706170557212</v>
      </c>
      <c r="D10" s="133">
        <f>IF(SER_hh_tes_in!D10=0,0,11630*1000*SER_hh_tes_in!D10/SER_hh_num_in!D10)</f>
        <v>80553.214710474465</v>
      </c>
      <c r="E10" s="133">
        <f>IF(SER_hh_tes_in!E10=0,0,11630*1000*SER_hh_tes_in!E10/SER_hh_num_in!E10)</f>
        <v>79563.159782887436</v>
      </c>
      <c r="F10" s="133">
        <f>IF(SER_hh_tes_in!F10=0,0,11630*1000*SER_hh_tes_in!F10/SER_hh_num_in!F10)</f>
        <v>66229.163721062941</v>
      </c>
      <c r="G10" s="133">
        <f>IF(SER_hh_tes_in!G10=0,0,11630*1000*SER_hh_tes_in!G10/SER_hh_num_in!G10)</f>
        <v>69246.505673074673</v>
      </c>
      <c r="H10" s="133">
        <f>IF(SER_hh_tes_in!H10=0,0,11630*1000*SER_hh_tes_in!H10/SER_hh_num_in!H10)</f>
        <v>74813.338744726585</v>
      </c>
      <c r="I10" s="133">
        <f>IF(SER_hh_tes_in!I10=0,0,11630*1000*SER_hh_tes_in!I10/SER_hh_num_in!I10)</f>
        <v>65103.024843519488</v>
      </c>
      <c r="J10" s="133">
        <f>IF(SER_hh_tes_in!J10=0,0,11630*1000*SER_hh_tes_in!J10/SER_hh_num_in!J10)</f>
        <v>0</v>
      </c>
      <c r="K10" s="133">
        <f>IF(SER_hh_tes_in!K10=0,0,11630*1000*SER_hh_tes_in!K10/SER_hh_num_in!K10)</f>
        <v>0</v>
      </c>
      <c r="L10" s="133">
        <f>IF(SER_hh_tes_in!L10=0,0,11630*1000*SER_hh_tes_in!L10/SER_hh_num_in!L10)</f>
        <v>55258.58704691536</v>
      </c>
      <c r="M10" s="133">
        <f>IF(SER_hh_tes_in!M10=0,0,11630*1000*SER_hh_tes_in!M10/SER_hh_num_in!M10)</f>
        <v>57475.519659337078</v>
      </c>
      <c r="N10" s="133">
        <f>IF(SER_hh_tes_in!N10=0,0,11630*1000*SER_hh_tes_in!N10/SER_hh_num_in!N10)</f>
        <v>49149.239529278471</v>
      </c>
      <c r="O10" s="133">
        <f>IF(SER_hh_tes_in!O10=0,0,11630*1000*SER_hh_tes_in!O10/SER_hh_num_in!O10)</f>
        <v>46630.005636967333</v>
      </c>
      <c r="P10" s="133">
        <f>IF(SER_hh_tes_in!P10=0,0,11630*1000*SER_hh_tes_in!P10/SER_hh_num_in!P10)</f>
        <v>50704.810349521402</v>
      </c>
      <c r="Q10" s="133">
        <f>IF(SER_hh_tes_in!Q10=0,0,11630*1000*SER_hh_tes_in!Q10/SER_hh_num_in!Q10)</f>
        <v>39896.534591210926</v>
      </c>
      <c r="R10" s="133">
        <f>IF(SER_hh_tes_in!R10=0,0,11630*1000*SER_hh_tes_in!R10/SER_hh_num_in!R10)</f>
        <v>43328.754313381134</v>
      </c>
      <c r="S10" s="133">
        <f>IF(SER_hh_tes_in!S10=0,0,11630*1000*SER_hh_tes_in!S10/SER_hh_num_in!S10)</f>
        <v>44008.904911041762</v>
      </c>
      <c r="T10" s="133">
        <f>IF(SER_hh_tes_in!T10=0,0,11630*1000*SER_hh_tes_in!T10/SER_hh_num_in!T10)</f>
        <v>46078.773911752935</v>
      </c>
      <c r="U10" s="133">
        <f>IF(SER_hh_tes_in!U10=0,0,11630*1000*SER_hh_tes_in!U10/SER_hh_num_in!U10)</f>
        <v>39094.836510658279</v>
      </c>
      <c r="V10" s="133">
        <f>IF(SER_hh_tes_in!V10=0,0,11630*1000*SER_hh_tes_in!V10/SER_hh_num_in!V10)</f>
        <v>33939.061041252004</v>
      </c>
      <c r="W10" s="133">
        <f>IF(SER_hh_tes_in!W10=0,0,11630*1000*SER_hh_tes_in!W10/SER_hh_num_in!W10)</f>
        <v>0</v>
      </c>
      <c r="DA10" s="157" t="s">
        <v>761</v>
      </c>
    </row>
    <row r="11" spans="1:105" ht="12" customHeight="1" x14ac:dyDescent="0.25">
      <c r="A11" s="132" t="s">
        <v>25</v>
      </c>
      <c r="B11" s="133"/>
      <c r="C11" s="133">
        <f>IF(SER_hh_tes_in!C11=0,0,11630*1000*SER_hh_tes_in!C11/SER_hh_num_in!C11)</f>
        <v>0</v>
      </c>
      <c r="D11" s="133">
        <f>IF(SER_hh_tes_in!D11=0,0,11630*1000*SER_hh_tes_in!D11/SER_hh_num_in!D11)</f>
        <v>0</v>
      </c>
      <c r="E11" s="133">
        <f>IF(SER_hh_tes_in!E11=0,0,11630*1000*SER_hh_tes_in!E11/SER_hh_num_in!E11)</f>
        <v>0</v>
      </c>
      <c r="F11" s="133">
        <f>IF(SER_hh_tes_in!F11=0,0,11630*1000*SER_hh_tes_in!F11/SER_hh_num_in!F11)</f>
        <v>0</v>
      </c>
      <c r="G11" s="133">
        <f>IF(SER_hh_tes_in!G11=0,0,11630*1000*SER_hh_tes_in!G11/SER_hh_num_in!G11)</f>
        <v>0</v>
      </c>
      <c r="H11" s="133">
        <f>IF(SER_hh_tes_in!H11=0,0,11630*1000*SER_hh_tes_in!H11/SER_hh_num_in!H11)</f>
        <v>0</v>
      </c>
      <c r="I11" s="133">
        <f>IF(SER_hh_tes_in!I11=0,0,11630*1000*SER_hh_tes_in!I11/SER_hh_num_in!I11)</f>
        <v>0</v>
      </c>
      <c r="J11" s="133">
        <f>IF(SER_hh_tes_in!J11=0,0,11630*1000*SER_hh_tes_in!J11/SER_hh_num_in!J11)</f>
        <v>0</v>
      </c>
      <c r="K11" s="133">
        <f>IF(SER_hh_tes_in!K11=0,0,11630*1000*SER_hh_tes_in!K11/SER_hh_num_in!K11)</f>
        <v>0</v>
      </c>
      <c r="L11" s="133">
        <f>IF(SER_hh_tes_in!L11=0,0,11630*1000*SER_hh_tes_in!L11/SER_hh_num_in!L11)</f>
        <v>0</v>
      </c>
      <c r="M11" s="133">
        <f>IF(SER_hh_tes_in!M11=0,0,11630*1000*SER_hh_tes_in!M11/SER_hh_num_in!M11)</f>
        <v>0</v>
      </c>
      <c r="N11" s="133">
        <f>IF(SER_hh_tes_in!N11=0,0,11630*1000*SER_hh_tes_in!N11/SER_hh_num_in!N11)</f>
        <v>0</v>
      </c>
      <c r="O11" s="133">
        <f>IF(SER_hh_tes_in!O11=0,0,11630*1000*SER_hh_tes_in!O11/SER_hh_num_in!O11)</f>
        <v>0</v>
      </c>
      <c r="P11" s="133">
        <f>IF(SER_hh_tes_in!P11=0,0,11630*1000*SER_hh_tes_in!P11/SER_hh_num_in!P11)</f>
        <v>0</v>
      </c>
      <c r="Q11" s="133">
        <f>IF(SER_hh_tes_in!Q11=0,0,11630*1000*SER_hh_tes_in!Q11/SER_hh_num_in!Q11)</f>
        <v>0</v>
      </c>
      <c r="R11" s="133">
        <f>IF(SER_hh_tes_in!R11=0,0,11630*1000*SER_hh_tes_in!R11/SER_hh_num_in!R11)</f>
        <v>0</v>
      </c>
      <c r="S11" s="133">
        <f>IF(SER_hh_tes_in!S11=0,0,11630*1000*SER_hh_tes_in!S11/SER_hh_num_in!S11)</f>
        <v>0</v>
      </c>
      <c r="T11" s="133">
        <f>IF(SER_hh_tes_in!T11=0,0,11630*1000*SER_hh_tes_in!T11/SER_hh_num_in!T11)</f>
        <v>0</v>
      </c>
      <c r="U11" s="133">
        <f>IF(SER_hh_tes_in!U11=0,0,11630*1000*SER_hh_tes_in!U11/SER_hh_num_in!U11)</f>
        <v>0</v>
      </c>
      <c r="V11" s="133">
        <f>IF(SER_hh_tes_in!V11=0,0,11630*1000*SER_hh_tes_in!V11/SER_hh_num_in!V11)</f>
        <v>0</v>
      </c>
      <c r="W11" s="133">
        <f>IF(SER_hh_tes_in!W11=0,0,11630*1000*SER_hh_tes_in!W11/SER_hh_num_in!W11)</f>
        <v>0</v>
      </c>
      <c r="DA11" s="157" t="s">
        <v>762</v>
      </c>
    </row>
    <row r="12" spans="1:105" ht="12" customHeight="1" x14ac:dyDescent="0.25">
      <c r="A12" s="132" t="s">
        <v>169</v>
      </c>
      <c r="B12" s="133"/>
      <c r="C12" s="133">
        <f>IF(SER_hh_tes_in!C12=0,0,11630*1000*SER_hh_tes_in!C12/SER_hh_num_in!C12)</f>
        <v>77787.887282875148</v>
      </c>
      <c r="D12" s="133">
        <f>IF(SER_hh_tes_in!D12=0,0,11630*1000*SER_hh_tes_in!D12/SER_hh_num_in!D12)</f>
        <v>74831.959394388483</v>
      </c>
      <c r="E12" s="133">
        <f>IF(SER_hh_tes_in!E12=0,0,11630*1000*SER_hh_tes_in!E12/SER_hh_num_in!E12)</f>
        <v>74968.202248781672</v>
      </c>
      <c r="F12" s="133">
        <f>IF(SER_hh_tes_in!F12=0,0,11630*1000*SER_hh_tes_in!F12/SER_hh_num_in!F12)</f>
        <v>72755.997305004217</v>
      </c>
      <c r="G12" s="133">
        <f>IF(SER_hh_tes_in!G12=0,0,11630*1000*SER_hh_tes_in!G12/SER_hh_num_in!G12)</f>
        <v>69948.800893259104</v>
      </c>
      <c r="H12" s="133">
        <f>IF(SER_hh_tes_in!H12=0,0,11630*1000*SER_hh_tes_in!H12/SER_hh_num_in!H12)</f>
        <v>68068.445673388589</v>
      </c>
      <c r="I12" s="133">
        <f>IF(SER_hh_tes_in!I12=0,0,11630*1000*SER_hh_tes_in!I12/SER_hh_num_in!I12)</f>
        <v>63403.969227519221</v>
      </c>
      <c r="J12" s="133">
        <f>IF(SER_hh_tes_in!J12=0,0,11630*1000*SER_hh_tes_in!J12/SER_hh_num_in!J12)</f>
        <v>62089.999311345964</v>
      </c>
      <c r="K12" s="133">
        <f>IF(SER_hh_tes_in!K12=0,0,11630*1000*SER_hh_tes_in!K12/SER_hh_num_in!K12)</f>
        <v>59277.055847867385</v>
      </c>
      <c r="L12" s="133">
        <f>IF(SER_hh_tes_in!L12=0,0,11630*1000*SER_hh_tes_in!L12/SER_hh_num_in!L12)</f>
        <v>65072.090635110661</v>
      </c>
      <c r="M12" s="133">
        <f>IF(SER_hh_tes_in!M12=0,0,11630*1000*SER_hh_tes_in!M12/SER_hh_num_in!M12)</f>
        <v>53815.176760105205</v>
      </c>
      <c r="N12" s="133">
        <f>IF(SER_hh_tes_in!N12=0,0,11630*1000*SER_hh_tes_in!N12/SER_hh_num_in!N12)</f>
        <v>53152.979672147332</v>
      </c>
      <c r="O12" s="133">
        <f>IF(SER_hh_tes_in!O12=0,0,11630*1000*SER_hh_tes_in!O12/SER_hh_num_in!O12)</f>
        <v>50781.624455342753</v>
      </c>
      <c r="P12" s="133">
        <f>IF(SER_hh_tes_in!P12=0,0,11630*1000*SER_hh_tes_in!P12/SER_hh_num_in!P12)</f>
        <v>43675.744577393598</v>
      </c>
      <c r="Q12" s="133">
        <f>IF(SER_hh_tes_in!Q12=0,0,11630*1000*SER_hh_tes_in!Q12/SER_hh_num_in!Q12)</f>
        <v>45241.009228667521</v>
      </c>
      <c r="R12" s="133">
        <f>IF(SER_hh_tes_in!R12=0,0,11630*1000*SER_hh_tes_in!R12/SER_hh_num_in!R12)</f>
        <v>44876.178963859507</v>
      </c>
      <c r="S12" s="133">
        <f>IF(SER_hh_tes_in!S12=0,0,11630*1000*SER_hh_tes_in!S12/SER_hh_num_in!S12)</f>
        <v>43293.80491503705</v>
      </c>
      <c r="T12" s="133">
        <f>IF(SER_hh_tes_in!T12=0,0,11630*1000*SER_hh_tes_in!T12/SER_hh_num_in!T12)</f>
        <v>40749.29709385935</v>
      </c>
      <c r="U12" s="133">
        <f>IF(SER_hh_tes_in!U12=0,0,11630*1000*SER_hh_tes_in!U12/SER_hh_num_in!U12)</f>
        <v>37921.881826840065</v>
      </c>
      <c r="V12" s="133">
        <f>IF(SER_hh_tes_in!V12=0,0,11630*1000*SER_hh_tes_in!V12/SER_hh_num_in!V12)</f>
        <v>34907.893002476078</v>
      </c>
      <c r="W12" s="133">
        <f>IF(SER_hh_tes_in!W12=0,0,11630*1000*SER_hh_tes_in!W12/SER_hh_num_in!W12)</f>
        <v>35906.585550710937</v>
      </c>
      <c r="DA12" s="157" t="s">
        <v>763</v>
      </c>
    </row>
    <row r="13" spans="1:105" ht="12" customHeight="1" x14ac:dyDescent="0.25">
      <c r="A13" s="132" t="s">
        <v>77</v>
      </c>
      <c r="B13" s="133"/>
      <c r="C13" s="133">
        <f>IF(SER_hh_tes_in!C13=0,0,11630*1000*SER_hh_tes_in!C13/SER_hh_num_in!C13)</f>
        <v>76036.197919633909</v>
      </c>
      <c r="D13" s="133">
        <f>IF(SER_hh_tes_in!D13=0,0,11630*1000*SER_hh_tes_in!D13/SER_hh_num_in!D13)</f>
        <v>75200.31913314345</v>
      </c>
      <c r="E13" s="133">
        <f>IF(SER_hh_tes_in!E13=0,0,11630*1000*SER_hh_tes_in!E13/SER_hh_num_in!E13)</f>
        <v>73894.217553143608</v>
      </c>
      <c r="F13" s="133">
        <f>IF(SER_hh_tes_in!F13=0,0,11630*1000*SER_hh_tes_in!F13/SER_hh_num_in!F13)</f>
        <v>73524.118434462129</v>
      </c>
      <c r="G13" s="133">
        <f>IF(SER_hh_tes_in!G13=0,0,11630*1000*SER_hh_tes_in!G13/SER_hh_num_in!G13)</f>
        <v>54179.657802933616</v>
      </c>
      <c r="H13" s="133">
        <f>IF(SER_hh_tes_in!H13=0,0,11630*1000*SER_hh_tes_in!H13/SER_hh_num_in!H13)</f>
        <v>35709.740281564664</v>
      </c>
      <c r="I13" s="133">
        <f>IF(SER_hh_tes_in!I13=0,0,11630*1000*SER_hh_tes_in!I13/SER_hh_num_in!I13)</f>
        <v>81723.029950130091</v>
      </c>
      <c r="J13" s="133">
        <f>IF(SER_hh_tes_in!J13=0,0,11630*1000*SER_hh_tes_in!J13/SER_hh_num_in!J13)</f>
        <v>68102.376562672391</v>
      </c>
      <c r="K13" s="133">
        <f>IF(SER_hh_tes_in!K13=0,0,11630*1000*SER_hh_tes_in!K13/SER_hh_num_in!K13)</f>
        <v>61453.352841325883</v>
      </c>
      <c r="L13" s="133">
        <f>IF(SER_hh_tes_in!L13=0,0,11630*1000*SER_hh_tes_in!L13/SER_hh_num_in!L13)</f>
        <v>60359.235357038167</v>
      </c>
      <c r="M13" s="133">
        <f>IF(SER_hh_tes_in!M13=0,0,11630*1000*SER_hh_tes_in!M13/SER_hh_num_in!M13)</f>
        <v>56191.069659542845</v>
      </c>
      <c r="N13" s="133">
        <f>IF(SER_hh_tes_in!N13=0,0,11630*1000*SER_hh_tes_in!N13/SER_hh_num_in!N13)</f>
        <v>53077.527055514111</v>
      </c>
      <c r="O13" s="133">
        <f>IF(SER_hh_tes_in!O13=0,0,11630*1000*SER_hh_tes_in!O13/SER_hh_num_in!O13)</f>
        <v>49273.792753384543</v>
      </c>
      <c r="P13" s="133">
        <f>IF(SER_hh_tes_in!P13=0,0,11630*1000*SER_hh_tes_in!P13/SER_hh_num_in!P13)</f>
        <v>44736.217521415012</v>
      </c>
      <c r="Q13" s="133">
        <f>IF(SER_hh_tes_in!Q13=0,0,11630*1000*SER_hh_tes_in!Q13/SER_hh_num_in!Q13)</f>
        <v>44985.000973788978</v>
      </c>
      <c r="R13" s="133">
        <f>IF(SER_hh_tes_in!R13=0,0,11630*1000*SER_hh_tes_in!R13/SER_hh_num_in!R13)</f>
        <v>45370.20910448832</v>
      </c>
      <c r="S13" s="133">
        <f>IF(SER_hh_tes_in!S13=0,0,11630*1000*SER_hh_tes_in!S13/SER_hh_num_in!S13)</f>
        <v>41275.687275147255</v>
      </c>
      <c r="T13" s="133">
        <f>IF(SER_hh_tes_in!T13=0,0,11630*1000*SER_hh_tes_in!T13/SER_hh_num_in!T13)</f>
        <v>39393.114027520816</v>
      </c>
      <c r="U13" s="133">
        <f>IF(SER_hh_tes_in!U13=0,0,11630*1000*SER_hh_tes_in!U13/SER_hh_num_in!U13)</f>
        <v>37466.902403296917</v>
      </c>
      <c r="V13" s="133">
        <f>IF(SER_hh_tes_in!V13=0,0,11630*1000*SER_hh_tes_in!V13/SER_hh_num_in!V13)</f>
        <v>35721.239133448093</v>
      </c>
      <c r="W13" s="133">
        <f>IF(SER_hh_tes_in!W13=0,0,11630*1000*SER_hh_tes_in!W13/SER_hh_num_in!W13)</f>
        <v>34799.560248620779</v>
      </c>
      <c r="DA13" s="157" t="s">
        <v>764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77928.283488777</v>
      </c>
      <c r="D14" s="65">
        <f>IF(SER_hh_tes_in!D14=0,0,11630*1000*SER_hh_tes_in!D14/SER_hh_num_in!D14)</f>
        <v>76445.884228292081</v>
      </c>
      <c r="E14" s="65">
        <f>IF(SER_hh_tes_in!E14=0,0,11630*1000*SER_hh_tes_in!E14/SER_hh_num_in!E14)</f>
        <v>71814.948247528358</v>
      </c>
      <c r="F14" s="65">
        <f>IF(SER_hh_tes_in!F14=0,0,11630*1000*SER_hh_tes_in!F14/SER_hh_num_in!F14)</f>
        <v>72145.932947477937</v>
      </c>
      <c r="G14" s="65">
        <f>IF(SER_hh_tes_in!G14=0,0,11630*1000*SER_hh_tes_in!G14/SER_hh_num_in!G14)</f>
        <v>68759.611463278517</v>
      </c>
      <c r="H14" s="65">
        <f>IF(SER_hh_tes_in!H14=0,0,11630*1000*SER_hh_tes_in!H14/SER_hh_num_in!H14)</f>
        <v>68695.196403370865</v>
      </c>
      <c r="I14" s="65">
        <f>IF(SER_hh_tes_in!I14=0,0,11630*1000*SER_hh_tes_in!I14/SER_hh_num_in!I14)</f>
        <v>67785.188531536245</v>
      </c>
      <c r="J14" s="65">
        <f>IF(SER_hh_tes_in!J14=0,0,11630*1000*SER_hh_tes_in!J14/SER_hh_num_in!J14)</f>
        <v>65737.079933302506</v>
      </c>
      <c r="K14" s="65">
        <f>IF(SER_hh_tes_in!K14=0,0,11630*1000*SER_hh_tes_in!K14/SER_hh_num_in!K14)</f>
        <v>57583.833742569659</v>
      </c>
      <c r="L14" s="65">
        <f>IF(SER_hh_tes_in!L14=0,0,11630*1000*SER_hh_tes_in!L14/SER_hh_num_in!L14)</f>
        <v>63564.354399657903</v>
      </c>
      <c r="M14" s="65">
        <f>IF(SER_hh_tes_in!M14=0,0,11630*1000*SER_hh_tes_in!M14/SER_hh_num_in!M14)</f>
        <v>57442.177589657527</v>
      </c>
      <c r="N14" s="65">
        <f>IF(SER_hh_tes_in!N14=0,0,11630*1000*SER_hh_tes_in!N14/SER_hh_num_in!N14)</f>
        <v>53266.743469219939</v>
      </c>
      <c r="O14" s="65">
        <f>IF(SER_hh_tes_in!O14=0,0,11630*1000*SER_hh_tes_in!O14/SER_hh_num_in!O14)</f>
        <v>0</v>
      </c>
      <c r="P14" s="65">
        <f>IF(SER_hh_tes_in!P14=0,0,11630*1000*SER_hh_tes_in!P14/SER_hh_num_in!P14)</f>
        <v>0</v>
      </c>
      <c r="Q14" s="65">
        <f>IF(SER_hh_tes_in!Q14=0,0,11630*1000*SER_hh_tes_in!Q14/SER_hh_num_in!Q14)</f>
        <v>0</v>
      </c>
      <c r="R14" s="65">
        <f>IF(SER_hh_tes_in!R14=0,0,11630*1000*SER_hh_tes_in!R14/SER_hh_num_in!R14)</f>
        <v>0</v>
      </c>
      <c r="S14" s="65">
        <f>IF(SER_hh_tes_in!S14=0,0,11630*1000*SER_hh_tes_in!S14/SER_hh_num_in!S14)</f>
        <v>0</v>
      </c>
      <c r="T14" s="65">
        <f>IF(SER_hh_tes_in!T14=0,0,11630*1000*SER_hh_tes_in!T14/SER_hh_num_in!T14)</f>
        <v>0</v>
      </c>
      <c r="U14" s="65">
        <f>IF(SER_hh_tes_in!U14=0,0,11630*1000*SER_hh_tes_in!U14/SER_hh_num_in!U14)</f>
        <v>0</v>
      </c>
      <c r="V14" s="65">
        <f>IF(SER_hh_tes_in!V14=0,0,11630*1000*SER_hh_tes_in!V14/SER_hh_num_in!V14)</f>
        <v>0</v>
      </c>
      <c r="W14" s="65">
        <f>IF(SER_hh_tes_in!W14=0,0,11630*1000*SER_hh_tes_in!W14/SER_hh_num_in!W14)</f>
        <v>47061.027905171206</v>
      </c>
      <c r="DA14" s="109" t="s">
        <v>765</v>
      </c>
    </row>
    <row r="15" spans="1:105" ht="12" customHeight="1" x14ac:dyDescent="0.25">
      <c r="A15" s="134" t="s">
        <v>80</v>
      </c>
      <c r="B15" s="135"/>
      <c r="C15" s="135">
        <f>IF(SER_hh_tes_in!C15=0,0,11630*1000*SER_hh_tes_in!C15/SER_hh_num_in!C15)</f>
        <v>532.53452138039745</v>
      </c>
      <c r="D15" s="135">
        <f>IF(SER_hh_tes_in!D15=0,0,11630*1000*SER_hh_tes_in!D15/SER_hh_num_in!D15)</f>
        <v>622.1343931114983</v>
      </c>
      <c r="E15" s="135">
        <f>IF(SER_hh_tes_in!E15=0,0,11630*1000*SER_hh_tes_in!E15/SER_hh_num_in!E15)</f>
        <v>664.93177628808655</v>
      </c>
      <c r="F15" s="135">
        <f>IF(SER_hh_tes_in!F15=0,0,11630*1000*SER_hh_tes_in!F15/SER_hh_num_in!F15)</f>
        <v>629.79778726545112</v>
      </c>
      <c r="G15" s="135">
        <f>IF(SER_hh_tes_in!G15=0,0,11630*1000*SER_hh_tes_in!G15/SER_hh_num_in!G15)</f>
        <v>573.23389226626728</v>
      </c>
      <c r="H15" s="135">
        <f>IF(SER_hh_tes_in!H15=0,0,11630*1000*SER_hh_tes_in!H15/SER_hh_num_in!H15)</f>
        <v>551.11704335477009</v>
      </c>
      <c r="I15" s="135">
        <f>IF(SER_hh_tes_in!I15=0,0,11630*1000*SER_hh_tes_in!I15/SER_hh_num_in!I15)</f>
        <v>409.54631010964772</v>
      </c>
      <c r="J15" s="135">
        <f>IF(SER_hh_tes_in!J15=0,0,11630*1000*SER_hh_tes_in!J15/SER_hh_num_in!J15)</f>
        <v>400.48754229699614</v>
      </c>
      <c r="K15" s="135">
        <f>IF(SER_hh_tes_in!K15=0,0,11630*1000*SER_hh_tes_in!K15/SER_hh_num_in!K15)</f>
        <v>341.12933993767939</v>
      </c>
      <c r="L15" s="135">
        <f>IF(SER_hh_tes_in!L15=0,0,11630*1000*SER_hh_tes_in!L15/SER_hh_num_in!L15)</f>
        <v>337.43410113281379</v>
      </c>
      <c r="M15" s="135">
        <f>IF(SER_hh_tes_in!M15=0,0,11630*1000*SER_hh_tes_in!M15/SER_hh_num_in!M15)</f>
        <v>315.72259329499593</v>
      </c>
      <c r="N15" s="135">
        <f>IF(SER_hh_tes_in!N15=0,0,11630*1000*SER_hh_tes_in!N15/SER_hh_num_in!N15)</f>
        <v>383.14928313399741</v>
      </c>
      <c r="O15" s="135">
        <f>IF(SER_hh_tes_in!O15=0,0,11630*1000*SER_hh_tes_in!O15/SER_hh_num_in!O15)</f>
        <v>375.68652371638927</v>
      </c>
      <c r="P15" s="135">
        <f>IF(SER_hh_tes_in!P15=0,0,11630*1000*SER_hh_tes_in!P15/SER_hh_num_in!P15)</f>
        <v>261.37239498240206</v>
      </c>
      <c r="Q15" s="135">
        <f>IF(SER_hh_tes_in!Q15=0,0,11630*1000*SER_hh_tes_in!Q15/SER_hh_num_in!Q15)</f>
        <v>356.38540194559152</v>
      </c>
      <c r="R15" s="135">
        <f>IF(SER_hh_tes_in!R15=0,0,11630*1000*SER_hh_tes_in!R15/SER_hh_num_in!R15)</f>
        <v>320.38845445218664</v>
      </c>
      <c r="S15" s="135">
        <f>IF(SER_hh_tes_in!S15=0,0,11630*1000*SER_hh_tes_in!S15/SER_hh_num_in!S15)</f>
        <v>309.81820059307671</v>
      </c>
      <c r="T15" s="135">
        <f>IF(SER_hh_tes_in!T15=0,0,11630*1000*SER_hh_tes_in!T15/SER_hh_num_in!T15)</f>
        <v>253.46884712042942</v>
      </c>
      <c r="U15" s="135">
        <f>IF(SER_hh_tes_in!U15=0,0,11630*1000*SER_hh_tes_in!U15/SER_hh_num_in!U15)</f>
        <v>274.76917001364461</v>
      </c>
      <c r="V15" s="135">
        <f>IF(SER_hh_tes_in!V15=0,0,11630*1000*SER_hh_tes_in!V15/SER_hh_num_in!V15)</f>
        <v>254.69200618597642</v>
      </c>
      <c r="W15" s="135">
        <f>IF(SER_hh_tes_in!W15=0,0,11630*1000*SER_hh_tes_in!W15/SER_hh_num_in!W15)</f>
        <v>265.56292298465331</v>
      </c>
      <c r="DA15" s="158" t="s">
        <v>766</v>
      </c>
    </row>
    <row r="16" spans="1:105" ht="12.95" customHeight="1" x14ac:dyDescent="0.25">
      <c r="A16" s="130" t="s">
        <v>74</v>
      </c>
      <c r="B16" s="131"/>
      <c r="C16" s="131">
        <f>IF(SER_hh_tes_in!C16=0,0,11630*1000*SER_hh_tes_in!C16/SER_hh_num_in!C16)</f>
        <v>23396.325614875936</v>
      </c>
      <c r="D16" s="131">
        <f>IF(SER_hh_tes_in!D16=0,0,11630*1000*SER_hh_tes_in!D16/SER_hh_num_in!D16)</f>
        <v>23280.400019040462</v>
      </c>
      <c r="E16" s="131">
        <f>IF(SER_hh_tes_in!E16=0,0,11630*1000*SER_hh_tes_in!E16/SER_hh_num_in!E16)</f>
        <v>23148.216549343706</v>
      </c>
      <c r="F16" s="131">
        <f>IF(SER_hh_tes_in!F16=0,0,11630*1000*SER_hh_tes_in!F16/SER_hh_num_in!F16)</f>
        <v>23025.92176130406</v>
      </c>
      <c r="G16" s="131">
        <f>IF(SER_hh_tes_in!G16=0,0,11630*1000*SER_hh_tes_in!G16/SER_hh_num_in!G16)</f>
        <v>22903.292363074568</v>
      </c>
      <c r="H16" s="131">
        <f>IF(SER_hh_tes_in!H16=0,0,11630*1000*SER_hh_tes_in!H16/SER_hh_num_in!H16)</f>
        <v>22780.90616473812</v>
      </c>
      <c r="I16" s="131">
        <f>IF(SER_hh_tes_in!I16=0,0,11630*1000*SER_hh_tes_in!I16/SER_hh_num_in!I16)</f>
        <v>22699.795681269374</v>
      </c>
      <c r="J16" s="131">
        <f>IF(SER_hh_tes_in!J16=0,0,11630*1000*SER_hh_tes_in!J16/SER_hh_num_in!J16)</f>
        <v>22504.371786822183</v>
      </c>
      <c r="K16" s="131">
        <f>IF(SER_hh_tes_in!K16=0,0,11630*1000*SER_hh_tes_in!K16/SER_hh_num_in!K16)</f>
        <v>22346.850475999756</v>
      </c>
      <c r="L16" s="131">
        <f>IF(SER_hh_tes_in!L16=0,0,11630*1000*SER_hh_tes_in!L16/SER_hh_num_in!L16)</f>
        <v>22289.07279331566</v>
      </c>
      <c r="M16" s="131">
        <f>IF(SER_hh_tes_in!M16=0,0,11630*1000*SER_hh_tes_in!M16/SER_hh_num_in!M16)</f>
        <v>21921.049387368901</v>
      </c>
      <c r="N16" s="131">
        <f>IF(SER_hh_tes_in!N16=0,0,11630*1000*SER_hh_tes_in!N16/SER_hh_num_in!N16)</f>
        <v>21597.340695021663</v>
      </c>
      <c r="O16" s="131">
        <f>IF(SER_hh_tes_in!O16=0,0,11630*1000*SER_hh_tes_in!O16/SER_hh_num_in!O16)</f>
        <v>21230.548187201533</v>
      </c>
      <c r="P16" s="131">
        <f>IF(SER_hh_tes_in!P16=0,0,11630*1000*SER_hh_tes_in!P16/SER_hh_num_in!P16)</f>
        <v>20968.916539084588</v>
      </c>
      <c r="Q16" s="131">
        <f>IF(SER_hh_tes_in!Q16=0,0,11630*1000*SER_hh_tes_in!Q16/SER_hh_num_in!Q16)</f>
        <v>20597.233317554146</v>
      </c>
      <c r="R16" s="131">
        <f>IF(SER_hh_tes_in!R16=0,0,11630*1000*SER_hh_tes_in!R16/SER_hh_num_in!R16)</f>
        <v>20383.450488280952</v>
      </c>
      <c r="S16" s="131">
        <f>IF(SER_hh_tes_in!S16=0,0,11630*1000*SER_hh_tes_in!S16/SER_hh_num_in!S16)</f>
        <v>19985.980358877627</v>
      </c>
      <c r="T16" s="131">
        <f>IF(SER_hh_tes_in!T16=0,0,11630*1000*SER_hh_tes_in!T16/SER_hh_num_in!T16)</f>
        <v>20252.993595702002</v>
      </c>
      <c r="U16" s="131">
        <f>IF(SER_hh_tes_in!U16=0,0,11630*1000*SER_hh_tes_in!U16/SER_hh_num_in!U16)</f>
        <v>19087.3697467987</v>
      </c>
      <c r="V16" s="131">
        <f>IF(SER_hh_tes_in!V16=0,0,11630*1000*SER_hh_tes_in!V16/SER_hh_num_in!V16)</f>
        <v>18443.79759134274</v>
      </c>
      <c r="W16" s="131">
        <f>IF(SER_hh_tes_in!W16=0,0,11630*1000*SER_hh_tes_in!W16/SER_hh_num_in!W16)</f>
        <v>17772.50359913299</v>
      </c>
      <c r="DA16" s="156" t="s">
        <v>767</v>
      </c>
    </row>
    <row r="17" spans="1:105" ht="12.95" customHeight="1" x14ac:dyDescent="0.25">
      <c r="A17" s="132" t="s">
        <v>73</v>
      </c>
      <c r="B17" s="133"/>
      <c r="C17" s="133">
        <f>IF(SER_hh_tes_in!C17=0,0,11630*1000*SER_hh_tes_in!C17/SER_hh_num_in!C17)</f>
        <v>23399.752786424717</v>
      </c>
      <c r="D17" s="133">
        <f>IF(SER_hh_tes_in!D17=0,0,11630*1000*SER_hh_tes_in!D17/SER_hh_num_in!D17)</f>
        <v>23294.176217090328</v>
      </c>
      <c r="E17" s="133">
        <f>IF(SER_hh_tes_in!E17=0,0,11630*1000*SER_hh_tes_in!E17/SER_hh_num_in!E17)</f>
        <v>23158.919590684531</v>
      </c>
      <c r="F17" s="133">
        <f>IF(SER_hh_tes_in!F17=0,0,11630*1000*SER_hh_tes_in!F17/SER_hh_num_in!F17)</f>
        <v>23055.219511054769</v>
      </c>
      <c r="G17" s="133">
        <f>IF(SER_hh_tes_in!G17=0,0,11630*1000*SER_hh_tes_in!G17/SER_hh_num_in!G17)</f>
        <v>22946.521055717734</v>
      </c>
      <c r="H17" s="133">
        <f>IF(SER_hh_tes_in!H17=0,0,11630*1000*SER_hh_tes_in!H17/SER_hh_num_in!H17)</f>
        <v>22811.741621052981</v>
      </c>
      <c r="I17" s="133">
        <f>IF(SER_hh_tes_in!I17=0,0,11630*1000*SER_hh_tes_in!I17/SER_hh_num_in!I17)</f>
        <v>22698.250784931348</v>
      </c>
      <c r="J17" s="133">
        <f>IF(SER_hh_tes_in!J17=0,0,11630*1000*SER_hh_tes_in!J17/SER_hh_num_in!J17)</f>
        <v>22489.847637554536</v>
      </c>
      <c r="K17" s="133">
        <f>IF(SER_hh_tes_in!K17=0,0,11630*1000*SER_hh_tes_in!K17/SER_hh_num_in!K17)</f>
        <v>22316.065335242747</v>
      </c>
      <c r="L17" s="133">
        <f>IF(SER_hh_tes_in!L17=0,0,11630*1000*SER_hh_tes_in!L17/SER_hh_num_in!L17)</f>
        <v>22300.963943767314</v>
      </c>
      <c r="M17" s="133">
        <f>IF(SER_hh_tes_in!M17=0,0,11630*1000*SER_hh_tes_in!M17/SER_hh_num_in!M17)</f>
        <v>21943.217352682048</v>
      </c>
      <c r="N17" s="133">
        <f>IF(SER_hh_tes_in!N17=0,0,11630*1000*SER_hh_tes_in!N17/SER_hh_num_in!N17)</f>
        <v>21611.116615260133</v>
      </c>
      <c r="O17" s="133">
        <f>IF(SER_hh_tes_in!O17=0,0,11630*1000*SER_hh_tes_in!O17/SER_hh_num_in!O17)</f>
        <v>21252.508742508453</v>
      </c>
      <c r="P17" s="133">
        <f>IF(SER_hh_tes_in!P17=0,0,11630*1000*SER_hh_tes_in!P17/SER_hh_num_in!P17)</f>
        <v>21045.413186505255</v>
      </c>
      <c r="Q17" s="133">
        <f>IF(SER_hh_tes_in!Q17=0,0,11630*1000*SER_hh_tes_in!Q17/SER_hh_num_in!Q17)</f>
        <v>20774.904162791805</v>
      </c>
      <c r="R17" s="133">
        <f>IF(SER_hh_tes_in!R17=0,0,11630*1000*SER_hh_tes_in!R17/SER_hh_num_in!R17)</f>
        <v>20635.837662851238</v>
      </c>
      <c r="S17" s="133">
        <f>IF(SER_hh_tes_in!S17=0,0,11630*1000*SER_hh_tes_in!S17/SER_hh_num_in!S17)</f>
        <v>20240.320082733637</v>
      </c>
      <c r="T17" s="133">
        <f>IF(SER_hh_tes_in!T17=0,0,11630*1000*SER_hh_tes_in!T17/SER_hh_num_in!T17)</f>
        <v>20450.762069366596</v>
      </c>
      <c r="U17" s="133">
        <f>IF(SER_hh_tes_in!U17=0,0,11630*1000*SER_hh_tes_in!U17/SER_hh_num_in!U17)</f>
        <v>19297.666189237611</v>
      </c>
      <c r="V17" s="133">
        <f>IF(SER_hh_tes_in!V17=0,0,11630*1000*SER_hh_tes_in!V17/SER_hh_num_in!V17)</f>
        <v>13902.301816715946</v>
      </c>
      <c r="W17" s="133">
        <f>IF(SER_hh_tes_in!W17=0,0,11630*1000*SER_hh_tes_in!W17/SER_hh_num_in!W17)</f>
        <v>13434.591846703826</v>
      </c>
      <c r="DA17" s="157" t="s">
        <v>768</v>
      </c>
    </row>
    <row r="18" spans="1:105" ht="12" customHeight="1" x14ac:dyDescent="0.25">
      <c r="A18" s="132" t="s">
        <v>72</v>
      </c>
      <c r="B18" s="133"/>
      <c r="C18" s="133">
        <f>IF(SER_hh_tes_in!C18=0,0,11630*1000*SER_hh_tes_in!C18/SER_hh_num_in!C18)</f>
        <v>23396.321988509968</v>
      </c>
      <c r="D18" s="133">
        <f>IF(SER_hh_tes_in!D18=0,0,11630*1000*SER_hh_tes_in!D18/SER_hh_num_in!D18)</f>
        <v>23280.38401417667</v>
      </c>
      <c r="E18" s="133">
        <f>IF(SER_hh_tes_in!E18=0,0,11630*1000*SER_hh_tes_in!E18/SER_hh_num_in!E18)</f>
        <v>23148.206531007221</v>
      </c>
      <c r="F18" s="133">
        <f>IF(SER_hh_tes_in!F18=0,0,11630*1000*SER_hh_tes_in!F18/SER_hh_num_in!F18)</f>
        <v>23025.883272543568</v>
      </c>
      <c r="G18" s="133">
        <f>IF(SER_hh_tes_in!G18=0,0,11630*1000*SER_hh_tes_in!G18/SER_hh_num_in!G18)</f>
        <v>22903.233609870742</v>
      </c>
      <c r="H18" s="133">
        <f>IF(SER_hh_tes_in!H18=0,0,11630*1000*SER_hh_tes_in!H18/SER_hh_num_in!H18)</f>
        <v>22780.872872747506</v>
      </c>
      <c r="I18" s="133">
        <f>IF(SER_hh_tes_in!I18=0,0,11630*1000*SER_hh_tes_in!I18/SER_hh_num_in!I18)</f>
        <v>22699.797132194792</v>
      </c>
      <c r="J18" s="133">
        <f>IF(SER_hh_tes_in!J18=0,0,11630*1000*SER_hh_tes_in!J18/SER_hh_num_in!J18)</f>
        <v>22504.387382388213</v>
      </c>
      <c r="K18" s="133">
        <f>IF(SER_hh_tes_in!K18=0,0,11630*1000*SER_hh_tes_in!K18/SER_hh_num_in!K18)</f>
        <v>22346.880535232664</v>
      </c>
      <c r="L18" s="133">
        <f>IF(SER_hh_tes_in!L18=0,0,11630*1000*SER_hh_tes_in!L18/SER_hh_num_in!L18)</f>
        <v>22289.056218377129</v>
      </c>
      <c r="M18" s="133">
        <f>IF(SER_hh_tes_in!M18=0,0,11630*1000*SER_hh_tes_in!M18/SER_hh_num_in!M18)</f>
        <v>21921.011642514808</v>
      </c>
      <c r="N18" s="133">
        <f>IF(SER_hh_tes_in!N18=0,0,11630*1000*SER_hh_tes_in!N18/SER_hh_num_in!N18)</f>
        <v>21597.310040885841</v>
      </c>
      <c r="O18" s="133">
        <f>IF(SER_hh_tes_in!O18=0,0,11630*1000*SER_hh_tes_in!O18/SER_hh_num_in!O18)</f>
        <v>21230.481501573515</v>
      </c>
      <c r="P18" s="133">
        <f>IF(SER_hh_tes_in!P18=0,0,11630*1000*SER_hh_tes_in!P18/SER_hh_num_in!P18)</f>
        <v>20968.583357283918</v>
      </c>
      <c r="Q18" s="133">
        <f>IF(SER_hh_tes_in!Q18=0,0,11630*1000*SER_hh_tes_in!Q18/SER_hh_num_in!Q18)</f>
        <v>20596.017373464209</v>
      </c>
      <c r="R18" s="133">
        <f>IF(SER_hh_tes_in!R18=0,0,11630*1000*SER_hh_tes_in!R18/SER_hh_num_in!R18)</f>
        <v>20381.784015815017</v>
      </c>
      <c r="S18" s="133">
        <f>IF(SER_hh_tes_in!S18=0,0,11630*1000*SER_hh_tes_in!S18/SER_hh_num_in!S18)</f>
        <v>19984.419866337932</v>
      </c>
      <c r="T18" s="133">
        <f>IF(SER_hh_tes_in!T18=0,0,11630*1000*SER_hh_tes_in!T18/SER_hh_num_in!T18)</f>
        <v>20252.074748541916</v>
      </c>
      <c r="U18" s="133">
        <f>IF(SER_hh_tes_in!U18=0,0,11630*1000*SER_hh_tes_in!U18/SER_hh_num_in!U18)</f>
        <v>19085.879120871217</v>
      </c>
      <c r="V18" s="133">
        <f>IF(SER_hh_tes_in!V18=0,0,11630*1000*SER_hh_tes_in!V18/SER_hh_num_in!V18)</f>
        <v>18585.930567478092</v>
      </c>
      <c r="W18" s="133">
        <f>IF(SER_hh_tes_in!W18=0,0,11630*1000*SER_hh_tes_in!W18/SER_hh_num_in!W18)</f>
        <v>17795.013196326341</v>
      </c>
      <c r="DA18" s="157" t="s">
        <v>769</v>
      </c>
    </row>
    <row r="19" spans="1:105" ht="12.95" customHeight="1" x14ac:dyDescent="0.25">
      <c r="A19" s="130" t="s">
        <v>35</v>
      </c>
      <c r="B19" s="131"/>
      <c r="C19" s="131">
        <f>IF(SER_hh_tes_in!C19=0,0,11630*1000*SER_hh_tes_in!C19/SER_hh_num_in!C19)</f>
        <v>9379.365377746064</v>
      </c>
      <c r="D19" s="131">
        <f>IF(SER_hh_tes_in!D19=0,0,11630*1000*SER_hh_tes_in!D19/SER_hh_num_in!D19)</f>
        <v>9230.0203573617346</v>
      </c>
      <c r="E19" s="131">
        <f>IF(SER_hh_tes_in!E19=0,0,11630*1000*SER_hh_tes_in!E19/SER_hh_num_in!E19)</f>
        <v>9229.8874687641382</v>
      </c>
      <c r="F19" s="131">
        <f>IF(SER_hh_tes_in!F19=0,0,11630*1000*SER_hh_tes_in!F19/SER_hh_num_in!F19)</f>
        <v>9101.1174968353371</v>
      </c>
      <c r="G19" s="131">
        <f>IF(SER_hh_tes_in!G19=0,0,11630*1000*SER_hh_tes_in!G19/SER_hh_num_in!G19)</f>
        <v>9085.2517751661544</v>
      </c>
      <c r="H19" s="131">
        <f>IF(SER_hh_tes_in!H19=0,0,11630*1000*SER_hh_tes_in!H19/SER_hh_num_in!H19)</f>
        <v>9113.5158168358139</v>
      </c>
      <c r="I19" s="131">
        <f>IF(SER_hh_tes_in!I19=0,0,11630*1000*SER_hh_tes_in!I19/SER_hh_num_in!I19)</f>
        <v>9027.2854360676502</v>
      </c>
      <c r="J19" s="131">
        <f>IF(SER_hh_tes_in!J19=0,0,11630*1000*SER_hh_tes_in!J19/SER_hh_num_in!J19)</f>
        <v>9000.7034098771583</v>
      </c>
      <c r="K19" s="131">
        <f>IF(SER_hh_tes_in!K19=0,0,11630*1000*SER_hh_tes_in!K19/SER_hh_num_in!K19)</f>
        <v>8980.6209180680253</v>
      </c>
      <c r="L19" s="131">
        <f>IF(SER_hh_tes_in!L19=0,0,11630*1000*SER_hh_tes_in!L19/SER_hh_num_in!L19)</f>
        <v>8974.0208818283136</v>
      </c>
      <c r="M19" s="131">
        <f>IF(SER_hh_tes_in!M19=0,0,11630*1000*SER_hh_tes_in!M19/SER_hh_num_in!M19)</f>
        <v>9057.3949418244247</v>
      </c>
      <c r="N19" s="131">
        <f>IF(SER_hh_tes_in!N19=0,0,11630*1000*SER_hh_tes_in!N19/SER_hh_num_in!N19)</f>
        <v>9149.1263317330922</v>
      </c>
      <c r="O19" s="131">
        <f>IF(SER_hh_tes_in!O19=0,0,11630*1000*SER_hh_tes_in!O19/SER_hh_num_in!O19)</f>
        <v>9170.0360184719211</v>
      </c>
      <c r="P19" s="131">
        <f>IF(SER_hh_tes_in!P19=0,0,11630*1000*SER_hh_tes_in!P19/SER_hh_num_in!P19)</f>
        <v>9220.596574942494</v>
      </c>
      <c r="Q19" s="131">
        <f>IF(SER_hh_tes_in!Q19=0,0,11630*1000*SER_hh_tes_in!Q19/SER_hh_num_in!Q19)</f>
        <v>9338.5987234911227</v>
      </c>
      <c r="R19" s="131">
        <f>IF(SER_hh_tes_in!R19=0,0,11630*1000*SER_hh_tes_in!R19/SER_hh_num_in!R19)</f>
        <v>9295.0796069238822</v>
      </c>
      <c r="S19" s="131">
        <f>IF(SER_hh_tes_in!S19=0,0,11630*1000*SER_hh_tes_in!S19/SER_hh_num_in!S19)</f>
        <v>9292.3038025218557</v>
      </c>
      <c r="T19" s="131">
        <f>IF(SER_hh_tes_in!T19=0,0,11630*1000*SER_hh_tes_in!T19/SER_hh_num_in!T19)</f>
        <v>9246.8443793754359</v>
      </c>
      <c r="U19" s="131">
        <f>IF(SER_hh_tes_in!U19=0,0,11630*1000*SER_hh_tes_in!U19/SER_hh_num_in!U19)</f>
        <v>9073.5736690199083</v>
      </c>
      <c r="V19" s="131">
        <f>IF(SER_hh_tes_in!V19=0,0,11630*1000*SER_hh_tes_in!V19/SER_hh_num_in!V19)</f>
        <v>7951.8174846603697</v>
      </c>
      <c r="W19" s="131">
        <f>IF(SER_hh_tes_in!W19=0,0,11630*1000*SER_hh_tes_in!W19/SER_hh_num_in!W19)</f>
        <v>8631.8282415500307</v>
      </c>
      <c r="DA19" s="156" t="s">
        <v>770</v>
      </c>
    </row>
    <row r="20" spans="1:105" ht="12" customHeight="1" x14ac:dyDescent="0.25">
      <c r="A20" s="132" t="s">
        <v>29</v>
      </c>
      <c r="B20" s="133"/>
      <c r="C20" s="133">
        <f>IF(SER_hh_tes_in!C20=0,0,11630*1000*SER_hh_tes_in!C20/SER_hh_num_in!C20)</f>
        <v>0</v>
      </c>
      <c r="D20" s="133">
        <f>IF(SER_hh_tes_in!D20=0,0,11630*1000*SER_hh_tes_in!D20/SER_hh_num_in!D20)</f>
        <v>0</v>
      </c>
      <c r="E20" s="133">
        <f>IF(SER_hh_tes_in!E20=0,0,11630*1000*SER_hh_tes_in!E20/SER_hh_num_in!E20)</f>
        <v>0</v>
      </c>
      <c r="F20" s="133">
        <f>IF(SER_hh_tes_in!F20=0,0,11630*1000*SER_hh_tes_in!F20/SER_hh_num_in!F20)</f>
        <v>0</v>
      </c>
      <c r="G20" s="133">
        <f>IF(SER_hh_tes_in!G20=0,0,11630*1000*SER_hh_tes_in!G20/SER_hh_num_in!G20)</f>
        <v>0</v>
      </c>
      <c r="H20" s="133">
        <f>IF(SER_hh_tes_in!H20=0,0,11630*1000*SER_hh_tes_in!H20/SER_hh_num_in!H20)</f>
        <v>0</v>
      </c>
      <c r="I20" s="133">
        <f>IF(SER_hh_tes_in!I20=0,0,11630*1000*SER_hh_tes_in!I20/SER_hh_num_in!I20)</f>
        <v>0</v>
      </c>
      <c r="J20" s="133">
        <f>IF(SER_hh_tes_in!J20=0,0,11630*1000*SER_hh_tes_in!J20/SER_hh_num_in!J20)</f>
        <v>0</v>
      </c>
      <c r="K20" s="133">
        <f>IF(SER_hh_tes_in!K20=0,0,11630*1000*SER_hh_tes_in!K20/SER_hh_num_in!K20)</f>
        <v>0</v>
      </c>
      <c r="L20" s="133">
        <f>IF(SER_hh_tes_in!L20=0,0,11630*1000*SER_hh_tes_in!L20/SER_hh_num_in!L20)</f>
        <v>0</v>
      </c>
      <c r="M20" s="133">
        <f>IF(SER_hh_tes_in!M20=0,0,11630*1000*SER_hh_tes_in!M20/SER_hh_num_in!M20)</f>
        <v>0</v>
      </c>
      <c r="N20" s="133">
        <f>IF(SER_hh_tes_in!N20=0,0,11630*1000*SER_hh_tes_in!N20/SER_hh_num_in!N20)</f>
        <v>0</v>
      </c>
      <c r="O20" s="133">
        <f>IF(SER_hh_tes_in!O20=0,0,11630*1000*SER_hh_tes_in!O20/SER_hh_num_in!O20)</f>
        <v>0</v>
      </c>
      <c r="P20" s="133">
        <f>IF(SER_hh_tes_in!P20=0,0,11630*1000*SER_hh_tes_in!P20/SER_hh_num_in!P20)</f>
        <v>0</v>
      </c>
      <c r="Q20" s="133">
        <f>IF(SER_hh_tes_in!Q20=0,0,11630*1000*SER_hh_tes_in!Q20/SER_hh_num_in!Q20)</f>
        <v>0</v>
      </c>
      <c r="R20" s="133">
        <f>IF(SER_hh_tes_in!R20=0,0,11630*1000*SER_hh_tes_in!R20/SER_hh_num_in!R20)</f>
        <v>0</v>
      </c>
      <c r="S20" s="133">
        <f>IF(SER_hh_tes_in!S20=0,0,11630*1000*SER_hh_tes_in!S20/SER_hh_num_in!S20)</f>
        <v>0</v>
      </c>
      <c r="T20" s="133">
        <f>IF(SER_hh_tes_in!T20=0,0,11630*1000*SER_hh_tes_in!T20/SER_hh_num_in!T20)</f>
        <v>0</v>
      </c>
      <c r="U20" s="133">
        <f>IF(SER_hh_tes_in!U20=0,0,11630*1000*SER_hh_tes_in!U20/SER_hh_num_in!U20)</f>
        <v>0</v>
      </c>
      <c r="V20" s="133">
        <f>IF(SER_hh_tes_in!V20=0,0,11630*1000*SER_hh_tes_in!V20/SER_hh_num_in!V20)</f>
        <v>0</v>
      </c>
      <c r="W20" s="133">
        <f>IF(SER_hh_tes_in!W20=0,0,11630*1000*SER_hh_tes_in!W20/SER_hh_num_in!W20)</f>
        <v>0</v>
      </c>
      <c r="DA20" s="157" t="s">
        <v>771</v>
      </c>
    </row>
    <row r="21" spans="1:105" s="2" customFormat="1" ht="12" customHeight="1" x14ac:dyDescent="0.25">
      <c r="A21" s="132" t="s">
        <v>52</v>
      </c>
      <c r="B21" s="133"/>
      <c r="C21" s="133">
        <f>IF(SER_hh_tes_in!C21=0,0,11630*1000*SER_hh_tes_in!C21/SER_hh_num_in!C21)</f>
        <v>0</v>
      </c>
      <c r="D21" s="133">
        <f>IF(SER_hh_tes_in!D21=0,0,11630*1000*SER_hh_tes_in!D21/SER_hh_num_in!D21)</f>
        <v>0</v>
      </c>
      <c r="E21" s="133">
        <f>IF(SER_hh_tes_in!E21=0,0,11630*1000*SER_hh_tes_in!E21/SER_hh_num_in!E21)</f>
        <v>0</v>
      </c>
      <c r="F21" s="133">
        <f>IF(SER_hh_tes_in!F21=0,0,11630*1000*SER_hh_tes_in!F21/SER_hh_num_in!F21)</f>
        <v>0</v>
      </c>
      <c r="G21" s="133">
        <f>IF(SER_hh_tes_in!G21=0,0,11630*1000*SER_hh_tes_in!G21/SER_hh_num_in!G21)</f>
        <v>0</v>
      </c>
      <c r="H21" s="133">
        <f>IF(SER_hh_tes_in!H21=0,0,11630*1000*SER_hh_tes_in!H21/SER_hh_num_in!H21)</f>
        <v>0</v>
      </c>
      <c r="I21" s="133">
        <f>IF(SER_hh_tes_in!I21=0,0,11630*1000*SER_hh_tes_in!I21/SER_hh_num_in!I21)</f>
        <v>0</v>
      </c>
      <c r="J21" s="133">
        <f>IF(SER_hh_tes_in!J21=0,0,11630*1000*SER_hh_tes_in!J21/SER_hh_num_in!J21)</f>
        <v>0</v>
      </c>
      <c r="K21" s="133">
        <f>IF(SER_hh_tes_in!K21=0,0,11630*1000*SER_hh_tes_in!K21/SER_hh_num_in!K21)</f>
        <v>0</v>
      </c>
      <c r="L21" s="133">
        <f>IF(SER_hh_tes_in!L21=0,0,11630*1000*SER_hh_tes_in!L21/SER_hh_num_in!L21)</f>
        <v>0</v>
      </c>
      <c r="M21" s="133">
        <f>IF(SER_hh_tes_in!M21=0,0,11630*1000*SER_hh_tes_in!M21/SER_hh_num_in!M21)</f>
        <v>0</v>
      </c>
      <c r="N21" s="133">
        <f>IF(SER_hh_tes_in!N21=0,0,11630*1000*SER_hh_tes_in!N21/SER_hh_num_in!N21)</f>
        <v>0</v>
      </c>
      <c r="O21" s="133">
        <f>IF(SER_hh_tes_in!O21=0,0,11630*1000*SER_hh_tes_in!O21/SER_hh_num_in!O21)</f>
        <v>0</v>
      </c>
      <c r="P21" s="133">
        <f>IF(SER_hh_tes_in!P21=0,0,11630*1000*SER_hh_tes_in!P21/SER_hh_num_in!P21)</f>
        <v>0</v>
      </c>
      <c r="Q21" s="133">
        <f>IF(SER_hh_tes_in!Q21=0,0,11630*1000*SER_hh_tes_in!Q21/SER_hh_num_in!Q21)</f>
        <v>0</v>
      </c>
      <c r="R21" s="133">
        <f>IF(SER_hh_tes_in!R21=0,0,11630*1000*SER_hh_tes_in!R21/SER_hh_num_in!R21)</f>
        <v>0</v>
      </c>
      <c r="S21" s="133">
        <f>IF(SER_hh_tes_in!S21=0,0,11630*1000*SER_hh_tes_in!S21/SER_hh_num_in!S21)</f>
        <v>0</v>
      </c>
      <c r="T21" s="133">
        <f>IF(SER_hh_tes_in!T21=0,0,11630*1000*SER_hh_tes_in!T21/SER_hh_num_in!T21)</f>
        <v>0</v>
      </c>
      <c r="U21" s="133">
        <f>IF(SER_hh_tes_in!U21=0,0,11630*1000*SER_hh_tes_in!U21/SER_hh_num_in!U21)</f>
        <v>0</v>
      </c>
      <c r="V21" s="133">
        <f>IF(SER_hh_tes_in!V21=0,0,11630*1000*SER_hh_tes_in!V21/SER_hh_num_in!V21)</f>
        <v>0</v>
      </c>
      <c r="W21" s="133">
        <f>IF(SER_hh_tes_in!W21=0,0,11630*1000*SER_hh_tes_in!W21/SER_hh_num_in!W21)</f>
        <v>0</v>
      </c>
      <c r="DA21" s="157" t="s">
        <v>772</v>
      </c>
    </row>
    <row r="22" spans="1:105" ht="12" customHeight="1" x14ac:dyDescent="0.25">
      <c r="A22" s="132" t="s">
        <v>168</v>
      </c>
      <c r="B22" s="133"/>
      <c r="C22" s="133">
        <f>IF(SER_hh_tes_in!C22=0,0,11630*1000*SER_hh_tes_in!C22/SER_hh_num_in!C22)</f>
        <v>9182.5480507437751</v>
      </c>
      <c r="D22" s="133">
        <f>IF(SER_hh_tes_in!D22=0,0,11630*1000*SER_hh_tes_in!D22/SER_hh_num_in!D22)</f>
        <v>9114.5532164950382</v>
      </c>
      <c r="E22" s="133">
        <f>IF(SER_hh_tes_in!E22=0,0,11630*1000*SER_hh_tes_in!E22/SER_hh_num_in!E22)</f>
        <v>9073.4995765201857</v>
      </c>
      <c r="F22" s="133">
        <f>IF(SER_hh_tes_in!F22=0,0,11630*1000*SER_hh_tes_in!F22/SER_hh_num_in!F22)</f>
        <v>9164.729608925134</v>
      </c>
      <c r="G22" s="133">
        <f>IF(SER_hh_tes_in!G22=0,0,11630*1000*SER_hh_tes_in!G22/SER_hh_num_in!G22)</f>
        <v>9044.6544766830157</v>
      </c>
      <c r="H22" s="133">
        <f>IF(SER_hh_tes_in!H22=0,0,11630*1000*SER_hh_tes_in!H22/SER_hh_num_in!H22)</f>
        <v>8930.7071287029703</v>
      </c>
      <c r="I22" s="133">
        <f>IF(SER_hh_tes_in!I22=0,0,11630*1000*SER_hh_tes_in!I22/SER_hh_num_in!I22)</f>
        <v>8551.4893590126667</v>
      </c>
      <c r="J22" s="133">
        <f>IF(SER_hh_tes_in!J22=0,0,11630*1000*SER_hh_tes_in!J22/SER_hh_num_in!J22)</f>
        <v>8826.2928965791252</v>
      </c>
      <c r="K22" s="133">
        <f>IF(SER_hh_tes_in!K22=0,0,11630*1000*SER_hh_tes_in!K22/SER_hh_num_in!K22)</f>
        <v>9024.6487872300913</v>
      </c>
      <c r="L22" s="133">
        <f>IF(SER_hh_tes_in!L22=0,0,11630*1000*SER_hh_tes_in!L22/SER_hh_num_in!L22)</f>
        <v>8462.3715323287342</v>
      </c>
      <c r="M22" s="133">
        <f>IF(SER_hh_tes_in!M22=0,0,11630*1000*SER_hh_tes_in!M22/SER_hh_num_in!M22)</f>
        <v>8547.2311341318073</v>
      </c>
      <c r="N22" s="133">
        <f>IF(SER_hh_tes_in!N22=0,0,11630*1000*SER_hh_tes_in!N22/SER_hh_num_in!N22)</f>
        <v>8965.149854188976</v>
      </c>
      <c r="O22" s="133">
        <f>IF(SER_hh_tes_in!O22=0,0,11630*1000*SER_hh_tes_in!O22/SER_hh_num_in!O22)</f>
        <v>9062.0671662478853</v>
      </c>
      <c r="P22" s="133">
        <f>IF(SER_hh_tes_in!P22=0,0,11630*1000*SER_hh_tes_in!P22/SER_hh_num_in!P22)</f>
        <v>9291.5869746468943</v>
      </c>
      <c r="Q22" s="133">
        <f>IF(SER_hh_tes_in!Q22=0,0,11630*1000*SER_hh_tes_in!Q22/SER_hh_num_in!Q22)</f>
        <v>9192.983064500515</v>
      </c>
      <c r="R22" s="133">
        <f>IF(SER_hh_tes_in!R22=0,0,11630*1000*SER_hh_tes_in!R22/SER_hh_num_in!R22)</f>
        <v>9583.8119184590814</v>
      </c>
      <c r="S22" s="133">
        <f>IF(SER_hh_tes_in!S22=0,0,11630*1000*SER_hh_tes_in!S22/SER_hh_num_in!S22)</f>
        <v>0</v>
      </c>
      <c r="T22" s="133">
        <f>IF(SER_hh_tes_in!T22=0,0,11630*1000*SER_hh_tes_in!T22/SER_hh_num_in!T22)</f>
        <v>0</v>
      </c>
      <c r="U22" s="133">
        <f>IF(SER_hh_tes_in!U22=0,0,11630*1000*SER_hh_tes_in!U22/SER_hh_num_in!U22)</f>
        <v>0</v>
      </c>
      <c r="V22" s="133">
        <f>IF(SER_hh_tes_in!V22=0,0,11630*1000*SER_hh_tes_in!V22/SER_hh_num_in!V22)</f>
        <v>0</v>
      </c>
      <c r="W22" s="133">
        <f>IF(SER_hh_tes_in!W22=0,0,11630*1000*SER_hh_tes_in!W22/SER_hh_num_in!W22)</f>
        <v>0</v>
      </c>
      <c r="DA22" s="157" t="s">
        <v>773</v>
      </c>
    </row>
    <row r="23" spans="1:105" ht="12" customHeight="1" x14ac:dyDescent="0.25">
      <c r="A23" s="132" t="s">
        <v>153</v>
      </c>
      <c r="B23" s="133"/>
      <c r="C23" s="133">
        <f>IF(SER_hh_tes_in!C23=0,0,11630*1000*SER_hh_tes_in!C23/SER_hh_num_in!C23)</f>
        <v>9062.1812472200691</v>
      </c>
      <c r="D23" s="133">
        <f>IF(SER_hh_tes_in!D23=0,0,11630*1000*SER_hh_tes_in!D23/SER_hh_num_in!D23)</f>
        <v>8761.6016727450879</v>
      </c>
      <c r="E23" s="133">
        <f>IF(SER_hh_tes_in!E23=0,0,11630*1000*SER_hh_tes_in!E23/SER_hh_num_in!E23)</f>
        <v>9376.342653119209</v>
      </c>
      <c r="F23" s="133">
        <f>IF(SER_hh_tes_in!F23=0,0,11630*1000*SER_hh_tes_in!F23/SER_hh_num_in!F23)</f>
        <v>8865.2466520094149</v>
      </c>
      <c r="G23" s="133">
        <f>IF(SER_hh_tes_in!G23=0,0,11630*1000*SER_hh_tes_in!G23/SER_hh_num_in!G23)</f>
        <v>8979.0855713495312</v>
      </c>
      <c r="H23" s="133">
        <f>IF(SER_hh_tes_in!H23=0,0,11630*1000*SER_hh_tes_in!H23/SER_hh_num_in!H23)</f>
        <v>9254.9478445878976</v>
      </c>
      <c r="I23" s="133">
        <f>IF(SER_hh_tes_in!I23=0,0,11630*1000*SER_hh_tes_in!I23/SER_hh_num_in!I23)</f>
        <v>8995.1545081902896</v>
      </c>
      <c r="J23" s="133">
        <f>IF(SER_hh_tes_in!J23=0,0,11630*1000*SER_hh_tes_in!J23/SER_hh_num_in!J23)</f>
        <v>8837.3156081161069</v>
      </c>
      <c r="K23" s="133">
        <f>IF(SER_hh_tes_in!K23=0,0,11630*1000*SER_hh_tes_in!K23/SER_hh_num_in!K23)</f>
        <v>8953.8960771891798</v>
      </c>
      <c r="L23" s="133">
        <f>IF(SER_hh_tes_in!L23=0,0,11630*1000*SER_hh_tes_in!L23/SER_hh_num_in!L23)</f>
        <v>7997.8449110878319</v>
      </c>
      <c r="M23" s="133">
        <f>IF(SER_hh_tes_in!M23=0,0,11630*1000*SER_hh_tes_in!M23/SER_hh_num_in!M23)</f>
        <v>8530.0957974023186</v>
      </c>
      <c r="N23" s="133">
        <f>IF(SER_hh_tes_in!N23=0,0,11630*1000*SER_hh_tes_in!N23/SER_hh_num_in!N23)</f>
        <v>8984.0760047365657</v>
      </c>
      <c r="O23" s="133">
        <f>IF(SER_hh_tes_in!O23=0,0,11630*1000*SER_hh_tes_in!O23/SER_hh_num_in!O23)</f>
        <v>9175.0938502053505</v>
      </c>
      <c r="P23" s="133">
        <f>IF(SER_hh_tes_in!P23=0,0,11630*1000*SER_hh_tes_in!P23/SER_hh_num_in!P23)</f>
        <v>8459.7486243844724</v>
      </c>
      <c r="Q23" s="133">
        <f>IF(SER_hh_tes_in!Q23=0,0,11630*1000*SER_hh_tes_in!Q23/SER_hh_num_in!Q23)</f>
        <v>9293.7255888736527</v>
      </c>
      <c r="R23" s="133">
        <f>IF(SER_hh_tes_in!R23=0,0,11630*1000*SER_hh_tes_in!R23/SER_hh_num_in!R23)</f>
        <v>9334.9199379703387</v>
      </c>
      <c r="S23" s="133">
        <f>IF(SER_hh_tes_in!S23=0,0,11630*1000*SER_hh_tes_in!S23/SER_hh_num_in!S23)</f>
        <v>9477.9662835429335</v>
      </c>
      <c r="T23" s="133">
        <f>IF(SER_hh_tes_in!T23=0,0,11630*1000*SER_hh_tes_in!T23/SER_hh_num_in!T23)</f>
        <v>8931.0973526889047</v>
      </c>
      <c r="U23" s="133">
        <f>IF(SER_hh_tes_in!U23=0,0,11630*1000*SER_hh_tes_in!U23/SER_hh_num_in!U23)</f>
        <v>9263.3522966993387</v>
      </c>
      <c r="V23" s="133">
        <f>IF(SER_hh_tes_in!V23=0,0,11630*1000*SER_hh_tes_in!V23/SER_hh_num_in!V23)</f>
        <v>6343.4305685086974</v>
      </c>
      <c r="W23" s="133">
        <f>IF(SER_hh_tes_in!W23=0,0,11630*1000*SER_hh_tes_in!W23/SER_hh_num_in!W23)</f>
        <v>9402.914430662684</v>
      </c>
      <c r="DA23" s="157" t="s">
        <v>774</v>
      </c>
    </row>
    <row r="24" spans="1:105" ht="12" customHeight="1" x14ac:dyDescent="0.25">
      <c r="A24" s="132" t="s">
        <v>128</v>
      </c>
      <c r="B24" s="133"/>
      <c r="C24" s="133">
        <f>IF(SER_hh_tes_in!C24=0,0,11630*1000*SER_hh_tes_in!C24/SER_hh_num_in!C24)</f>
        <v>9369.6601894834748</v>
      </c>
      <c r="D24" s="133">
        <f>IF(SER_hh_tes_in!D24=0,0,11630*1000*SER_hh_tes_in!D24/SER_hh_num_in!D24)</f>
        <v>9262.4221059682914</v>
      </c>
      <c r="E24" s="133">
        <f>IF(SER_hh_tes_in!E24=0,0,11630*1000*SER_hh_tes_in!E24/SER_hh_num_in!E24)</f>
        <v>9048.3652342750793</v>
      </c>
      <c r="F24" s="133">
        <f>IF(SER_hh_tes_in!F24=0,0,11630*1000*SER_hh_tes_in!F24/SER_hh_num_in!F24)</f>
        <v>8946.5472223149081</v>
      </c>
      <c r="G24" s="133">
        <f>IF(SER_hh_tes_in!G24=0,0,11630*1000*SER_hh_tes_in!G24/SER_hh_num_in!G24)</f>
        <v>8942.7017021336669</v>
      </c>
      <c r="H24" s="133">
        <f>IF(SER_hh_tes_in!H24=0,0,11630*1000*SER_hh_tes_in!H24/SER_hh_num_in!H24)</f>
        <v>8956.705344553804</v>
      </c>
      <c r="I24" s="133">
        <f>IF(SER_hh_tes_in!I24=0,0,11630*1000*SER_hh_tes_in!I24/SER_hh_num_in!I24)</f>
        <v>8920.9815336722313</v>
      </c>
      <c r="J24" s="133">
        <f>IF(SER_hh_tes_in!J24=0,0,11630*1000*SER_hh_tes_in!J24/SER_hh_num_in!J24)</f>
        <v>8817.3612292121707</v>
      </c>
      <c r="K24" s="133">
        <f>IF(SER_hh_tes_in!K24=0,0,11630*1000*SER_hh_tes_in!K24/SER_hh_num_in!K24)</f>
        <v>8842.9172914825449</v>
      </c>
      <c r="L24" s="133">
        <f>IF(SER_hh_tes_in!L24=0,0,11630*1000*SER_hh_tes_in!L24/SER_hh_num_in!L24)</f>
        <v>8387.6484458782779</v>
      </c>
      <c r="M24" s="133">
        <f>IF(SER_hh_tes_in!M24=0,0,11630*1000*SER_hh_tes_in!M24/SER_hh_num_in!M24)</f>
        <v>9032.6906400619646</v>
      </c>
      <c r="N24" s="133">
        <f>IF(SER_hh_tes_in!N24=0,0,11630*1000*SER_hh_tes_in!N24/SER_hh_num_in!N24)</f>
        <v>9227.9342159819371</v>
      </c>
      <c r="O24" s="133">
        <f>IF(SER_hh_tes_in!O24=0,0,11630*1000*SER_hh_tes_in!O24/SER_hh_num_in!O24)</f>
        <v>8693.5966436609724</v>
      </c>
      <c r="P24" s="133">
        <f>IF(SER_hh_tes_in!P24=0,0,11630*1000*SER_hh_tes_in!P24/SER_hh_num_in!P24)</f>
        <v>9022.8902756977641</v>
      </c>
      <c r="Q24" s="133">
        <f>IF(SER_hh_tes_in!Q24=0,0,11630*1000*SER_hh_tes_in!Q24/SER_hh_num_in!Q24)</f>
        <v>8761.2791399985581</v>
      </c>
      <c r="R24" s="133">
        <f>IF(SER_hh_tes_in!R24=0,0,11630*1000*SER_hh_tes_in!R24/SER_hh_num_in!R24)</f>
        <v>9322.3455035256065</v>
      </c>
      <c r="S24" s="133">
        <f>IF(SER_hh_tes_in!S24=0,0,11630*1000*SER_hh_tes_in!S24/SER_hh_num_in!S24)</f>
        <v>9538.0666328401639</v>
      </c>
      <c r="T24" s="133">
        <f>IF(SER_hh_tes_in!T24=0,0,11630*1000*SER_hh_tes_in!T24/SER_hh_num_in!T24)</f>
        <v>9297.0820406466701</v>
      </c>
      <c r="U24" s="133">
        <f>IF(SER_hh_tes_in!U24=0,0,11630*1000*SER_hh_tes_in!U24/SER_hh_num_in!U24)</f>
        <v>9045.1746503768954</v>
      </c>
      <c r="V24" s="133">
        <f>IF(SER_hh_tes_in!V24=0,0,11630*1000*SER_hh_tes_in!V24/SER_hh_num_in!V24)</f>
        <v>7355.3826843551278</v>
      </c>
      <c r="W24" s="133">
        <f>IF(SER_hh_tes_in!W24=0,0,11630*1000*SER_hh_tes_in!W24/SER_hh_num_in!W24)</f>
        <v>8513.4681998159649</v>
      </c>
      <c r="DA24" s="157" t="s">
        <v>775</v>
      </c>
    </row>
    <row r="25" spans="1:105" ht="12" customHeight="1" x14ac:dyDescent="0.25">
      <c r="A25" s="132" t="s">
        <v>169</v>
      </c>
      <c r="B25" s="133"/>
      <c r="C25" s="133">
        <f>IF(SER_hh_tes_in!C25=0,0,11630*1000*SER_hh_tes_in!C25/SER_hh_num_in!C25)</f>
        <v>9334.0990278287754</v>
      </c>
      <c r="D25" s="133">
        <f>IF(SER_hh_tes_in!D25=0,0,11630*1000*SER_hh_tes_in!D25/SER_hh_num_in!D25)</f>
        <v>9189.222302606684</v>
      </c>
      <c r="E25" s="133">
        <f>IF(SER_hh_tes_in!E25=0,0,11630*1000*SER_hh_tes_in!E25/SER_hh_num_in!E25)</f>
        <v>9078.9252619616273</v>
      </c>
      <c r="F25" s="133">
        <f>IF(SER_hh_tes_in!F25=0,0,11630*1000*SER_hh_tes_in!F25/SER_hh_num_in!F25)</f>
        <v>9025.8538867915468</v>
      </c>
      <c r="G25" s="133">
        <f>IF(SER_hh_tes_in!G25=0,0,11630*1000*SER_hh_tes_in!G25/SER_hh_num_in!G25)</f>
        <v>8953.6283484638552</v>
      </c>
      <c r="H25" s="133">
        <f>IF(SER_hh_tes_in!H25=0,0,11630*1000*SER_hh_tes_in!H25/SER_hh_num_in!H25)</f>
        <v>8903.9351398526942</v>
      </c>
      <c r="I25" s="133">
        <f>IF(SER_hh_tes_in!I25=0,0,11630*1000*SER_hh_tes_in!I25/SER_hh_num_in!I25)</f>
        <v>8783.0421373924364</v>
      </c>
      <c r="J25" s="133">
        <f>IF(SER_hh_tes_in!J25=0,0,11630*1000*SER_hh_tes_in!J25/SER_hh_num_in!J25)</f>
        <v>8714.581568158228</v>
      </c>
      <c r="K25" s="133">
        <f>IF(SER_hh_tes_in!K25=0,0,11630*1000*SER_hh_tes_in!K25/SER_hh_num_in!K25)</f>
        <v>8797.3138778201592</v>
      </c>
      <c r="L25" s="133">
        <f>IF(SER_hh_tes_in!L25=0,0,11630*1000*SER_hh_tes_in!L25/SER_hh_num_in!L25)</f>
        <v>8559.6768761791209</v>
      </c>
      <c r="M25" s="133">
        <f>IF(SER_hh_tes_in!M25=0,0,11630*1000*SER_hh_tes_in!M25/SER_hh_num_in!M25)</f>
        <v>9095.9237488855542</v>
      </c>
      <c r="N25" s="133">
        <f>IF(SER_hh_tes_in!N25=0,0,11630*1000*SER_hh_tes_in!N25/SER_hh_num_in!N25)</f>
        <v>9052.6531804794358</v>
      </c>
      <c r="O25" s="133">
        <f>IF(SER_hh_tes_in!O25=0,0,11630*1000*SER_hh_tes_in!O25/SER_hh_num_in!O25)</f>
        <v>8922.7525217003804</v>
      </c>
      <c r="P25" s="133">
        <f>IF(SER_hh_tes_in!P25=0,0,11630*1000*SER_hh_tes_in!P25/SER_hh_num_in!P25)</f>
        <v>9323.8361726789226</v>
      </c>
      <c r="Q25" s="133">
        <f>IF(SER_hh_tes_in!Q25=0,0,11630*1000*SER_hh_tes_in!Q25/SER_hh_num_in!Q25)</f>
        <v>9217.9499497252946</v>
      </c>
      <c r="R25" s="133">
        <f>IF(SER_hh_tes_in!R25=0,0,11630*1000*SER_hh_tes_in!R25/SER_hh_num_in!R25)</f>
        <v>9234.8862656734309</v>
      </c>
      <c r="S25" s="133">
        <f>IF(SER_hh_tes_in!S25=0,0,11630*1000*SER_hh_tes_in!S25/SER_hh_num_in!S25)</f>
        <v>9126.8290424317456</v>
      </c>
      <c r="T25" s="133">
        <f>IF(SER_hh_tes_in!T25=0,0,11630*1000*SER_hh_tes_in!T25/SER_hh_num_in!T25)</f>
        <v>8766.627955081447</v>
      </c>
      <c r="U25" s="133">
        <f>IF(SER_hh_tes_in!U25=0,0,11630*1000*SER_hh_tes_in!U25/SER_hh_num_in!U25)</f>
        <v>8729.7233852198169</v>
      </c>
      <c r="V25" s="133">
        <f>IF(SER_hh_tes_in!V25=0,0,11630*1000*SER_hh_tes_in!V25/SER_hh_num_in!V25)</f>
        <v>7278.5503854986873</v>
      </c>
      <c r="W25" s="133">
        <f>IF(SER_hh_tes_in!W25=0,0,11630*1000*SER_hh_tes_in!W25/SER_hh_num_in!W25)</f>
        <v>8460.3816238300569</v>
      </c>
      <c r="DA25" s="157" t="s">
        <v>776</v>
      </c>
    </row>
    <row r="26" spans="1:105" ht="12" customHeight="1" x14ac:dyDescent="0.25">
      <c r="A26" s="132" t="s">
        <v>24</v>
      </c>
      <c r="B26" s="65"/>
      <c r="C26" s="65">
        <f>IF(SER_hh_tes_in!C26=0,0,11630*1000*SER_hh_tes_in!C26/SER_hh_num_in!C26)</f>
        <v>8251.8627627811184</v>
      </c>
      <c r="D26" s="65">
        <f>IF(SER_hh_tes_in!D26=0,0,11630*1000*SER_hh_tes_in!D26/SER_hh_num_in!D26)</f>
        <v>7972.6459380133765</v>
      </c>
      <c r="E26" s="65">
        <f>IF(SER_hh_tes_in!E26=0,0,11630*1000*SER_hh_tes_in!E26/SER_hh_num_in!E26)</f>
        <v>8098.6391387832482</v>
      </c>
      <c r="F26" s="65">
        <f>IF(SER_hh_tes_in!F26=0,0,11630*1000*SER_hh_tes_in!F26/SER_hh_num_in!F26)</f>
        <v>7822.2298263551165</v>
      </c>
      <c r="G26" s="65">
        <f>IF(SER_hh_tes_in!G26=0,0,11630*1000*SER_hh_tes_in!G26/SER_hh_num_in!G26)</f>
        <v>7399.6447421264565</v>
      </c>
      <c r="H26" s="65">
        <f>IF(SER_hh_tes_in!H26=0,0,11630*1000*SER_hh_tes_in!H26/SER_hh_num_in!H26)</f>
        <v>7855.8440223242496</v>
      </c>
      <c r="I26" s="65">
        <f>IF(SER_hh_tes_in!I26=0,0,11630*1000*SER_hh_tes_in!I26/SER_hh_num_in!I26)</f>
        <v>7970.3341858966778</v>
      </c>
      <c r="J26" s="65">
        <f>IF(SER_hh_tes_in!J26=0,0,11630*1000*SER_hh_tes_in!J26/SER_hh_num_in!J26)</f>
        <v>7372.1175902529112</v>
      </c>
      <c r="K26" s="65">
        <f>IF(SER_hh_tes_in!K26=0,0,11630*1000*SER_hh_tes_in!K26/SER_hh_num_in!K26)</f>
        <v>8451.2261410782321</v>
      </c>
      <c r="L26" s="65">
        <f>IF(SER_hh_tes_in!L26=0,0,11630*1000*SER_hh_tes_in!L26/SER_hh_num_in!L26)</f>
        <v>4514.4728496923035</v>
      </c>
      <c r="M26" s="65">
        <f>IF(SER_hh_tes_in!M26=0,0,11630*1000*SER_hh_tes_in!M26/SER_hh_num_in!M26)</f>
        <v>5983.1052014225797</v>
      </c>
      <c r="N26" s="65">
        <f>IF(SER_hh_tes_in!N26=0,0,11630*1000*SER_hh_tes_in!N26/SER_hh_num_in!N26)</f>
        <v>6881.9564068781838</v>
      </c>
      <c r="O26" s="65">
        <f>IF(SER_hh_tes_in!O26=0,0,11630*1000*SER_hh_tes_in!O26/SER_hh_num_in!O26)</f>
        <v>5330.9402144933674</v>
      </c>
      <c r="P26" s="65">
        <f>IF(SER_hh_tes_in!P26=0,0,11630*1000*SER_hh_tes_in!P26/SER_hh_num_in!P26)</f>
        <v>9376.1446306243306</v>
      </c>
      <c r="Q26" s="65">
        <f>IF(SER_hh_tes_in!Q26=0,0,11630*1000*SER_hh_tes_in!Q26/SER_hh_num_in!Q26)</f>
        <v>5098.4599676386306</v>
      </c>
      <c r="R26" s="65">
        <f>IF(SER_hh_tes_in!R26=0,0,11630*1000*SER_hh_tes_in!R26/SER_hh_num_in!R26)</f>
        <v>5295.8444456445168</v>
      </c>
      <c r="S26" s="65">
        <f>IF(SER_hh_tes_in!S26=0,0,11630*1000*SER_hh_tes_in!S26/SER_hh_num_in!S26)</f>
        <v>8414.2397461228757</v>
      </c>
      <c r="T26" s="65">
        <f>IF(SER_hh_tes_in!T26=0,0,11630*1000*SER_hh_tes_in!T26/SER_hh_num_in!T26)</f>
        <v>4621.6727920216335</v>
      </c>
      <c r="U26" s="65">
        <f>IF(SER_hh_tes_in!U26=0,0,11630*1000*SER_hh_tes_in!U26/SER_hh_num_in!U26)</f>
        <v>5178.21276840274</v>
      </c>
      <c r="V26" s="65">
        <f>IF(SER_hh_tes_in!V26=0,0,11630*1000*SER_hh_tes_in!V26/SER_hh_num_in!V26)</f>
        <v>4203.2472896791114</v>
      </c>
      <c r="W26" s="65">
        <f>IF(SER_hh_tes_in!W26=0,0,11630*1000*SER_hh_tes_in!W26/SER_hh_num_in!W26)</f>
        <v>8710.3751959527417</v>
      </c>
      <c r="DA26" s="109" t="s">
        <v>777</v>
      </c>
    </row>
    <row r="27" spans="1:105" ht="12" customHeight="1" x14ac:dyDescent="0.25">
      <c r="A27" s="145" t="s">
        <v>86</v>
      </c>
      <c r="B27" s="148"/>
      <c r="C27" s="146">
        <f>IF(SER_hh_tes_in!C27=0,0,11630*1000*SER_hh_tes_in!C27/SER_hh_num_in!C19)</f>
        <v>320.79268376536584</v>
      </c>
      <c r="D27" s="146">
        <f>IF(SER_hh_tes_in!D27=0,0,11630*1000*SER_hh_tes_in!D27/SER_hh_num_in!D19)</f>
        <v>406.18875781646068</v>
      </c>
      <c r="E27" s="146">
        <f>IF(SER_hh_tes_in!E27=0,0,11630*1000*SER_hh_tes_in!E27/SER_hh_num_in!E19)</f>
        <v>320.37465165145068</v>
      </c>
      <c r="F27" s="146">
        <f>IF(SER_hh_tes_in!F27=0,0,11630*1000*SER_hh_tes_in!F27/SER_hh_num_in!F19)</f>
        <v>458.83395413306232</v>
      </c>
      <c r="G27" s="146">
        <f>IF(SER_hh_tes_in!G27=0,0,11630*1000*SER_hh_tes_in!G27/SER_hh_num_in!G19)</f>
        <v>617.65210251490066</v>
      </c>
      <c r="H27" s="146">
        <f>IF(SER_hh_tes_in!H27=0,0,11630*1000*SER_hh_tes_in!H27/SER_hh_num_in!H19)</f>
        <v>531.42884846481979</v>
      </c>
      <c r="I27" s="146">
        <f>IF(SER_hh_tes_in!I27=0,0,11630*1000*SER_hh_tes_in!I27/SER_hh_num_in!I19)</f>
        <v>451.75423250649874</v>
      </c>
      <c r="J27" s="146">
        <f>IF(SER_hh_tes_in!J27=0,0,11630*1000*SER_hh_tes_in!J27/SER_hh_num_in!J19)</f>
        <v>562.07448077595336</v>
      </c>
      <c r="K27" s="146">
        <f>IF(SER_hh_tes_in!K27=0,0,11630*1000*SER_hh_tes_in!K27/SER_hh_num_in!K19)</f>
        <v>215.01377323023721</v>
      </c>
      <c r="L27" s="146">
        <f>IF(SER_hh_tes_in!L27=0,0,11630*1000*SER_hh_tes_in!L27/SER_hh_num_in!L19)</f>
        <v>1098.9379849958141</v>
      </c>
      <c r="M27" s="146">
        <f>IF(SER_hh_tes_in!M27=0,0,11630*1000*SER_hh_tes_in!M27/SER_hh_num_in!M19)</f>
        <v>1027.8381726133869</v>
      </c>
      <c r="N27" s="146">
        <f>IF(SER_hh_tes_in!N27=0,0,11630*1000*SER_hh_tes_in!N27/SER_hh_num_in!N19)</f>
        <v>887.92657688052884</v>
      </c>
      <c r="O27" s="146">
        <f>IF(SER_hh_tes_in!O27=0,0,11630*1000*SER_hh_tes_in!O27/SER_hh_num_in!O19)</f>
        <v>1342.3513453941578</v>
      </c>
      <c r="P27" s="146">
        <f>IF(SER_hh_tes_in!P27=0,0,11630*1000*SER_hh_tes_in!P27/SER_hh_num_in!P19)</f>
        <v>0</v>
      </c>
      <c r="Q27" s="146">
        <f>IF(SER_hh_tes_in!Q27=0,0,11630*1000*SER_hh_tes_in!Q27/SER_hh_num_in!Q19)</f>
        <v>610.02329224396374</v>
      </c>
      <c r="R27" s="146">
        <f>IF(SER_hh_tes_in!R27=0,0,11630*1000*SER_hh_tes_in!R27/SER_hh_num_in!R19)</f>
        <v>610.01933981048171</v>
      </c>
      <c r="S27" s="146">
        <f>IF(SER_hh_tes_in!S27=0,0,11630*1000*SER_hh_tes_in!S27/SER_hh_num_in!S19)</f>
        <v>206.53585863134879</v>
      </c>
      <c r="T27" s="146">
        <f>IF(SER_hh_tes_in!T27=0,0,11630*1000*SER_hh_tes_in!T27/SER_hh_num_in!T19)</f>
        <v>918.42867314714101</v>
      </c>
      <c r="U27" s="146">
        <f>IF(SER_hh_tes_in!U27=0,0,11630*1000*SER_hh_tes_in!U27/SER_hh_num_in!U19)</f>
        <v>926.00800214347169</v>
      </c>
      <c r="V27" s="146">
        <f>IF(SER_hh_tes_in!V27=0,0,11630*1000*SER_hh_tes_in!V27/SER_hh_num_in!V19)</f>
        <v>1063.8470017703232</v>
      </c>
      <c r="W27" s="146">
        <f>IF(SER_hh_tes_in!W27=0,0,11630*1000*SER_hh_tes_in!W27/SER_hh_num_in!W19)</f>
        <v>9.3089469945624503E-2</v>
      </c>
      <c r="DA27" s="159" t="s">
        <v>778</v>
      </c>
    </row>
    <row r="28" spans="1:105" ht="12" customHeight="1" x14ac:dyDescent="0.25">
      <c r="A28" s="78" t="s">
        <v>85</v>
      </c>
      <c r="B28" s="68"/>
      <c r="C28" s="147">
        <f>IF(SER_hh_tes_in!C27=0,0,11630*1000*SER_hh_tes_in!C27/SER_hh_num_in!C27)</f>
        <v>4136.845339506187</v>
      </c>
      <c r="D28" s="147">
        <f>IF(SER_hh_tes_in!D27=0,0,11630*1000*SER_hh_tes_in!D27/SER_hh_num_in!D27)</f>
        <v>4021.9029822415919</v>
      </c>
      <c r="E28" s="147">
        <f>IF(SER_hh_tes_in!E27=0,0,11630*1000*SER_hh_tes_in!E27/SER_hh_num_in!E27)</f>
        <v>4078.3073929825591</v>
      </c>
      <c r="F28" s="147">
        <f>IF(SER_hh_tes_in!F27=0,0,11630*1000*SER_hh_tes_in!F27/SER_hh_num_in!F27)</f>
        <v>4050.9819706015419</v>
      </c>
      <c r="G28" s="147">
        <f>IF(SER_hh_tes_in!G27=0,0,11630*1000*SER_hh_tes_in!G27/SER_hh_num_in!G27)</f>
        <v>3964.4402697752885</v>
      </c>
      <c r="H28" s="147">
        <f>IF(SER_hh_tes_in!H27=0,0,11630*1000*SER_hh_tes_in!H27/SER_hh_num_in!H27)</f>
        <v>3956.8016009909215</v>
      </c>
      <c r="I28" s="147">
        <f>IF(SER_hh_tes_in!I27=0,0,11630*1000*SER_hh_tes_in!I27/SER_hh_num_in!I27)</f>
        <v>4011.9050184838175</v>
      </c>
      <c r="J28" s="147">
        <f>IF(SER_hh_tes_in!J27=0,0,11630*1000*SER_hh_tes_in!J27/SER_hh_num_in!J27)</f>
        <v>4158.4564057746575</v>
      </c>
      <c r="K28" s="147">
        <f>IF(SER_hh_tes_in!K27=0,0,11630*1000*SER_hh_tes_in!K27/SER_hh_num_in!K27)</f>
        <v>4589.8603689930596</v>
      </c>
      <c r="L28" s="147">
        <f>IF(SER_hh_tes_in!L27=0,0,11630*1000*SER_hh_tes_in!L27/SER_hh_num_in!L27)</f>
        <v>3936.3999058841659</v>
      </c>
      <c r="M28" s="147">
        <f>IF(SER_hh_tes_in!M27=0,0,11630*1000*SER_hh_tes_in!M27/SER_hh_num_in!M27)</f>
        <v>3999.9261713367569</v>
      </c>
      <c r="N28" s="147">
        <f>IF(SER_hh_tes_in!N27=0,0,11630*1000*SER_hh_tes_in!N27/SER_hh_num_in!N27)</f>
        <v>4193.4619191042675</v>
      </c>
      <c r="O28" s="147">
        <f>IF(SER_hh_tes_in!O27=0,0,11630*1000*SER_hh_tes_in!O27/SER_hh_num_in!O27)</f>
        <v>3921.1346115517999</v>
      </c>
      <c r="P28" s="147">
        <f>IF(SER_hh_tes_in!P27=0,0,11630*1000*SER_hh_tes_in!P27/SER_hh_num_in!P27)</f>
        <v>0</v>
      </c>
      <c r="Q28" s="147">
        <f>IF(SER_hh_tes_in!Q27=0,0,11630*1000*SER_hh_tes_in!Q27/SER_hh_num_in!Q27)</f>
        <v>4055.6241236550932</v>
      </c>
      <c r="R28" s="147">
        <f>IF(SER_hh_tes_in!R27=0,0,11630*1000*SER_hh_tes_in!R27/SER_hh_num_in!R27)</f>
        <v>4071.4909657787139</v>
      </c>
      <c r="S28" s="147">
        <f>IF(SER_hh_tes_in!S27=0,0,11630*1000*SER_hh_tes_in!S27/SER_hh_num_in!S27)</f>
        <v>4353.9458782532247</v>
      </c>
      <c r="T28" s="147">
        <f>IF(SER_hh_tes_in!T27=0,0,11630*1000*SER_hh_tes_in!T27/SER_hh_num_in!T27)</f>
        <v>4261.3403030743539</v>
      </c>
      <c r="U28" s="147">
        <f>IF(SER_hh_tes_in!U27=0,0,11630*1000*SER_hh_tes_in!U27/SER_hh_num_in!U27)</f>
        <v>4112.3573793197565</v>
      </c>
      <c r="V28" s="147">
        <f>IF(SER_hh_tes_in!V27=0,0,11630*1000*SER_hh_tes_in!V27/SER_hh_num_in!V27)</f>
        <v>3555.1815912149896</v>
      </c>
      <c r="W28" s="147">
        <f>IF(SER_hh_tes_in!W27=0,0,11630*1000*SER_hh_tes_in!W27/SER_hh_num_in!W27)</f>
        <v>3982.8897270468283</v>
      </c>
      <c r="DA28" s="160"/>
    </row>
    <row r="29" spans="1:105" ht="12.95" customHeight="1" x14ac:dyDescent="0.25">
      <c r="A29" s="130" t="s">
        <v>34</v>
      </c>
      <c r="B29" s="131"/>
      <c r="C29" s="131">
        <f>IF(SER_hh_tes_in!C29=0,0,11630*1000*SER_hh_tes_in!C29/SER_hh_num_in!C29)</f>
        <v>7966.4871669142121</v>
      </c>
      <c r="D29" s="131">
        <f>IF(SER_hh_tes_in!D29=0,0,11630*1000*SER_hh_tes_in!D29/SER_hh_num_in!D29)</f>
        <v>7998.0381603619926</v>
      </c>
      <c r="E29" s="131">
        <f>IF(SER_hh_tes_in!E29=0,0,11630*1000*SER_hh_tes_in!E29/SER_hh_num_in!E29)</f>
        <v>8196.2174619844245</v>
      </c>
      <c r="F29" s="131">
        <f>IF(SER_hh_tes_in!F29=0,0,11630*1000*SER_hh_tes_in!F29/SER_hh_num_in!F29)</f>
        <v>8305.6677836523704</v>
      </c>
      <c r="G29" s="131">
        <f>IF(SER_hh_tes_in!G29=0,0,11630*1000*SER_hh_tes_in!G29/SER_hh_num_in!G29)</f>
        <v>8304.3364226183658</v>
      </c>
      <c r="H29" s="131">
        <f>IF(SER_hh_tes_in!H29=0,0,11630*1000*SER_hh_tes_in!H29/SER_hh_num_in!H29)</f>
        <v>8400.9320485414282</v>
      </c>
      <c r="I29" s="131">
        <f>IF(SER_hh_tes_in!I29=0,0,11630*1000*SER_hh_tes_in!I29/SER_hh_num_in!I29)</f>
        <v>8313.7715928382895</v>
      </c>
      <c r="J29" s="131">
        <f>IF(SER_hh_tes_in!J29=0,0,11630*1000*SER_hh_tes_in!J29/SER_hh_num_in!J29)</f>
        <v>8387.413739833426</v>
      </c>
      <c r="K29" s="131">
        <f>IF(SER_hh_tes_in!K29=0,0,11630*1000*SER_hh_tes_in!K29/SER_hh_num_in!K29)</f>
        <v>8382.535213242345</v>
      </c>
      <c r="L29" s="131">
        <f>IF(SER_hh_tes_in!L29=0,0,11630*1000*SER_hh_tes_in!L29/SER_hh_num_in!L29)</f>
        <v>8377.9847488486575</v>
      </c>
      <c r="M29" s="131">
        <f>IF(SER_hh_tes_in!M29=0,0,11630*1000*SER_hh_tes_in!M29/SER_hh_num_in!M29)</f>
        <v>8499.516519715502</v>
      </c>
      <c r="N29" s="131">
        <f>IF(SER_hh_tes_in!N29=0,0,11630*1000*SER_hh_tes_in!N29/SER_hh_num_in!N29)</f>
        <v>8708.927899504326</v>
      </c>
      <c r="O29" s="131">
        <f>IF(SER_hh_tes_in!O29=0,0,11630*1000*SER_hh_tes_in!O29/SER_hh_num_in!O29)</f>
        <v>8734.8526589079156</v>
      </c>
      <c r="P29" s="131">
        <f>IF(SER_hh_tes_in!P29=0,0,11630*1000*SER_hh_tes_in!P29/SER_hh_num_in!P29)</f>
        <v>8617.5206717284855</v>
      </c>
      <c r="Q29" s="131">
        <f>IF(SER_hh_tes_in!Q29=0,0,11630*1000*SER_hh_tes_in!Q29/SER_hh_num_in!Q29)</f>
        <v>8848.3456399501865</v>
      </c>
      <c r="R29" s="131">
        <f>IF(SER_hh_tes_in!R29=0,0,11630*1000*SER_hh_tes_in!R29/SER_hh_num_in!R29)</f>
        <v>8964.433309310074</v>
      </c>
      <c r="S29" s="131">
        <f>IF(SER_hh_tes_in!S29=0,0,11630*1000*SER_hh_tes_in!S29/SER_hh_num_in!S29)</f>
        <v>8960.1752944642831</v>
      </c>
      <c r="T29" s="131">
        <f>IF(SER_hh_tes_in!T29=0,0,11630*1000*SER_hh_tes_in!T29/SER_hh_num_in!T29)</f>
        <v>8908.0570688682692</v>
      </c>
      <c r="U29" s="131">
        <f>IF(SER_hh_tes_in!U29=0,0,11630*1000*SER_hh_tes_in!U29/SER_hh_num_in!U29)</f>
        <v>8932.2588290726198</v>
      </c>
      <c r="V29" s="131">
        <f>IF(SER_hh_tes_in!V29=0,0,11630*1000*SER_hh_tes_in!V29/SER_hh_num_in!V29)</f>
        <v>8135.7679000835024</v>
      </c>
      <c r="W29" s="131">
        <f>IF(SER_hh_tes_in!W29=0,0,11630*1000*SER_hh_tes_in!W29/SER_hh_num_in!W29)</f>
        <v>8455.8786812051931</v>
      </c>
      <c r="DA29" s="156" t="s">
        <v>779</v>
      </c>
    </row>
    <row r="30" spans="1:105" s="2" customFormat="1" ht="12" customHeight="1" x14ac:dyDescent="0.25">
      <c r="A30" s="132" t="s">
        <v>52</v>
      </c>
      <c r="B30" s="133"/>
      <c r="C30" s="133">
        <f>IF(SER_hh_tes_in!C30=0,0,11630*1000*SER_hh_tes_in!C30/SER_hh_num_in!C30)</f>
        <v>7964.7624310212113</v>
      </c>
      <c r="D30" s="133">
        <f>IF(SER_hh_tes_in!D30=0,0,11630*1000*SER_hh_tes_in!D30/SER_hh_num_in!D30)</f>
        <v>7125.3457484488799</v>
      </c>
      <c r="E30" s="133">
        <f>IF(SER_hh_tes_in!E30=0,0,11630*1000*SER_hh_tes_in!E30/SER_hh_num_in!E30)</f>
        <v>7987.9883191617191</v>
      </c>
      <c r="F30" s="133">
        <f>IF(SER_hh_tes_in!F30=0,0,11630*1000*SER_hh_tes_in!F30/SER_hh_num_in!F30)</f>
        <v>8442.8015987305371</v>
      </c>
      <c r="G30" s="133">
        <f>IF(SER_hh_tes_in!G30=0,0,11630*1000*SER_hh_tes_in!G30/SER_hh_num_in!G30)</f>
        <v>8903.1843391701641</v>
      </c>
      <c r="H30" s="133">
        <f>IF(SER_hh_tes_in!H30=0,0,11630*1000*SER_hh_tes_in!H30/SER_hh_num_in!H30)</f>
        <v>8490.6083669500404</v>
      </c>
      <c r="I30" s="133">
        <f>IF(SER_hh_tes_in!I30=0,0,11630*1000*SER_hh_tes_in!I30/SER_hh_num_in!I30)</f>
        <v>8347.7582157658799</v>
      </c>
      <c r="J30" s="133">
        <f>IF(SER_hh_tes_in!J30=0,0,11630*1000*SER_hh_tes_in!J30/SER_hh_num_in!J30)</f>
        <v>8098.535015762749</v>
      </c>
      <c r="K30" s="133">
        <f>IF(SER_hh_tes_in!K30=0,0,11630*1000*SER_hh_tes_in!K30/SER_hh_num_in!K30)</f>
        <v>7742.1823152449415</v>
      </c>
      <c r="L30" s="133">
        <f>IF(SER_hh_tes_in!L30=0,0,11630*1000*SER_hh_tes_in!L30/SER_hh_num_in!L30)</f>
        <v>9637.2111564364859</v>
      </c>
      <c r="M30" s="133">
        <f>IF(SER_hh_tes_in!M30=0,0,11630*1000*SER_hh_tes_in!M30/SER_hh_num_in!M30)</f>
        <v>8640.3453974213407</v>
      </c>
      <c r="N30" s="133">
        <f>IF(SER_hh_tes_in!N30=0,0,11630*1000*SER_hh_tes_in!N30/SER_hh_num_in!N30)</f>
        <v>0</v>
      </c>
      <c r="O30" s="133">
        <f>IF(SER_hh_tes_in!O30=0,0,11630*1000*SER_hh_tes_in!O30/SER_hh_num_in!O30)</f>
        <v>9622.1517606982161</v>
      </c>
      <c r="P30" s="133">
        <f>IF(SER_hh_tes_in!P30=0,0,11630*1000*SER_hh_tes_in!P30/SER_hh_num_in!P30)</f>
        <v>5197.9481596369369</v>
      </c>
      <c r="Q30" s="133">
        <f>IF(SER_hh_tes_in!Q30=0,0,11630*1000*SER_hh_tes_in!Q30/SER_hh_num_in!Q30)</f>
        <v>9837.1287836880492</v>
      </c>
      <c r="R30" s="133">
        <f>IF(SER_hh_tes_in!R30=0,0,11630*1000*SER_hh_tes_in!R30/SER_hh_num_in!R30)</f>
        <v>9511.5554505479558</v>
      </c>
      <c r="S30" s="133">
        <f>IF(SER_hh_tes_in!S30=0,0,11630*1000*SER_hh_tes_in!S30/SER_hh_num_in!S30)</f>
        <v>8902.9315062236801</v>
      </c>
      <c r="T30" s="133">
        <f>IF(SER_hh_tes_in!T30=0,0,11630*1000*SER_hh_tes_in!T30/SER_hh_num_in!T30)</f>
        <v>9097.6914158258842</v>
      </c>
      <c r="U30" s="133">
        <f>IF(SER_hh_tes_in!U30=0,0,11630*1000*SER_hh_tes_in!U30/SER_hh_num_in!U30)</f>
        <v>9047.2558707090866</v>
      </c>
      <c r="V30" s="133">
        <f>IF(SER_hh_tes_in!V30=0,0,11630*1000*SER_hh_tes_in!V30/SER_hh_num_in!V30)</f>
        <v>7877.7211810691042</v>
      </c>
      <c r="W30" s="133">
        <f>IF(SER_hh_tes_in!W30=0,0,11630*1000*SER_hh_tes_in!W30/SER_hh_num_in!W30)</f>
        <v>8558.9069649342</v>
      </c>
      <c r="DA30" s="157" t="s">
        <v>780</v>
      </c>
    </row>
    <row r="31" spans="1:105" ht="12" customHeight="1" x14ac:dyDescent="0.25">
      <c r="A31" s="132" t="s">
        <v>153</v>
      </c>
      <c r="B31" s="133"/>
      <c r="C31" s="133">
        <f>IF(SER_hh_tes_in!C31=0,0,11630*1000*SER_hh_tes_in!C31/SER_hh_num_in!C31)</f>
        <v>7941.2530406287024</v>
      </c>
      <c r="D31" s="133">
        <f>IF(SER_hh_tes_in!D31=0,0,11630*1000*SER_hh_tes_in!D31/SER_hh_num_in!D31)</f>
        <v>8022.0862780596835</v>
      </c>
      <c r="E31" s="133">
        <f>IF(SER_hh_tes_in!E31=0,0,11630*1000*SER_hh_tes_in!E31/SER_hh_num_in!E31)</f>
        <v>8142.684767911277</v>
      </c>
      <c r="F31" s="133">
        <f>IF(SER_hh_tes_in!F31=0,0,11630*1000*SER_hh_tes_in!F31/SER_hh_num_in!F31)</f>
        <v>8061.4654962438535</v>
      </c>
      <c r="G31" s="133">
        <f>IF(SER_hh_tes_in!G31=0,0,11630*1000*SER_hh_tes_in!G31/SER_hh_num_in!G31)</f>
        <v>8459.91734079458</v>
      </c>
      <c r="H31" s="133">
        <f>IF(SER_hh_tes_in!H31=0,0,11630*1000*SER_hh_tes_in!H31/SER_hh_num_in!H31)</f>
        <v>8450.9713295716119</v>
      </c>
      <c r="I31" s="133">
        <f>IF(SER_hh_tes_in!I31=0,0,11630*1000*SER_hh_tes_in!I31/SER_hh_num_in!I31)</f>
        <v>8352.8470681993167</v>
      </c>
      <c r="J31" s="133">
        <f>IF(SER_hh_tes_in!J31=0,0,11630*1000*SER_hh_tes_in!J31/SER_hh_num_in!J31)</f>
        <v>8348.3723354599933</v>
      </c>
      <c r="K31" s="133">
        <f>IF(SER_hh_tes_in!K31=0,0,11630*1000*SER_hh_tes_in!K31/SER_hh_num_in!K31)</f>
        <v>8470.6576325117549</v>
      </c>
      <c r="L31" s="133">
        <f>IF(SER_hh_tes_in!L31=0,0,11630*1000*SER_hh_tes_in!L31/SER_hh_num_in!L31)</f>
        <v>8519.7113254790384</v>
      </c>
      <c r="M31" s="133">
        <f>IF(SER_hh_tes_in!M31=0,0,11630*1000*SER_hh_tes_in!M31/SER_hh_num_in!M31)</f>
        <v>8511.9026222852135</v>
      </c>
      <c r="N31" s="133">
        <f>IF(SER_hh_tes_in!N31=0,0,11630*1000*SER_hh_tes_in!N31/SER_hh_num_in!N31)</f>
        <v>8643.3796699922259</v>
      </c>
      <c r="O31" s="133">
        <f>IF(SER_hh_tes_in!O31=0,0,11630*1000*SER_hh_tes_in!O31/SER_hh_num_in!O31)</f>
        <v>8638.8739877387161</v>
      </c>
      <c r="P31" s="133">
        <f>IF(SER_hh_tes_in!P31=0,0,11630*1000*SER_hh_tes_in!P31/SER_hh_num_in!P31)</f>
        <v>8307.5994164887088</v>
      </c>
      <c r="Q31" s="133">
        <f>IF(SER_hh_tes_in!Q31=0,0,11630*1000*SER_hh_tes_in!Q31/SER_hh_num_in!Q31)</f>
        <v>9223.0406263493933</v>
      </c>
      <c r="R31" s="133">
        <f>IF(SER_hh_tes_in!R31=0,0,11630*1000*SER_hh_tes_in!R31/SER_hh_num_in!R31)</f>
        <v>9102.274618308702</v>
      </c>
      <c r="S31" s="133">
        <f>IF(SER_hh_tes_in!S31=0,0,11630*1000*SER_hh_tes_in!S31/SER_hh_num_in!S31)</f>
        <v>8363.7301154716679</v>
      </c>
      <c r="T31" s="133">
        <f>IF(SER_hh_tes_in!T31=0,0,11630*1000*SER_hh_tes_in!T31/SER_hh_num_in!T31)</f>
        <v>9057.0936215257279</v>
      </c>
      <c r="U31" s="133">
        <f>IF(SER_hh_tes_in!U31=0,0,11630*1000*SER_hh_tes_in!U31/SER_hh_num_in!U31)</f>
        <v>9964.6540334613437</v>
      </c>
      <c r="V31" s="133">
        <f>IF(SER_hh_tes_in!V31=0,0,11630*1000*SER_hh_tes_in!V31/SER_hh_num_in!V31)</f>
        <v>6104.9749712569483</v>
      </c>
      <c r="W31" s="133">
        <f>IF(SER_hh_tes_in!W31=0,0,11630*1000*SER_hh_tes_in!W31/SER_hh_num_in!W31)</f>
        <v>9544.5460319785143</v>
      </c>
      <c r="DA31" s="157" t="s">
        <v>781</v>
      </c>
    </row>
    <row r="32" spans="1:105" ht="12" customHeight="1" x14ac:dyDescent="0.25">
      <c r="A32" s="132" t="s">
        <v>128</v>
      </c>
      <c r="B32" s="133"/>
      <c r="C32" s="133">
        <f>IF(SER_hh_tes_in!C32=0,0,11630*1000*SER_hh_tes_in!C32/SER_hh_num_in!C32)</f>
        <v>0</v>
      </c>
      <c r="D32" s="133">
        <f>IF(SER_hh_tes_in!D32=0,0,11630*1000*SER_hh_tes_in!D32/SER_hh_num_in!D32)</f>
        <v>0</v>
      </c>
      <c r="E32" s="133">
        <f>IF(SER_hh_tes_in!E32=0,0,11630*1000*SER_hh_tes_in!E32/SER_hh_num_in!E32)</f>
        <v>0</v>
      </c>
      <c r="F32" s="133">
        <f>IF(SER_hh_tes_in!F32=0,0,11630*1000*SER_hh_tes_in!F32/SER_hh_num_in!F32)</f>
        <v>0</v>
      </c>
      <c r="G32" s="133">
        <f>IF(SER_hh_tes_in!G32=0,0,11630*1000*SER_hh_tes_in!G32/SER_hh_num_in!G32)</f>
        <v>0</v>
      </c>
      <c r="H32" s="133">
        <f>IF(SER_hh_tes_in!H32=0,0,11630*1000*SER_hh_tes_in!H32/SER_hh_num_in!H32)</f>
        <v>0</v>
      </c>
      <c r="I32" s="133">
        <f>IF(SER_hh_tes_in!I32=0,0,11630*1000*SER_hh_tes_in!I32/SER_hh_num_in!I32)</f>
        <v>0</v>
      </c>
      <c r="J32" s="133">
        <f>IF(SER_hh_tes_in!J32=0,0,11630*1000*SER_hh_tes_in!J32/SER_hh_num_in!J32)</f>
        <v>0</v>
      </c>
      <c r="K32" s="133">
        <f>IF(SER_hh_tes_in!K32=0,0,11630*1000*SER_hh_tes_in!K32/SER_hh_num_in!K32)</f>
        <v>0</v>
      </c>
      <c r="L32" s="133">
        <f>IF(SER_hh_tes_in!L32=0,0,11630*1000*SER_hh_tes_in!L32/SER_hh_num_in!L32)</f>
        <v>0</v>
      </c>
      <c r="M32" s="133">
        <f>IF(SER_hh_tes_in!M32=0,0,11630*1000*SER_hh_tes_in!M32/SER_hh_num_in!M32)</f>
        <v>0</v>
      </c>
      <c r="N32" s="133">
        <f>IF(SER_hh_tes_in!N32=0,0,11630*1000*SER_hh_tes_in!N32/SER_hh_num_in!N32)</f>
        <v>0</v>
      </c>
      <c r="O32" s="133">
        <f>IF(SER_hh_tes_in!O32=0,0,11630*1000*SER_hh_tes_in!O32/SER_hh_num_in!O32)</f>
        <v>0</v>
      </c>
      <c r="P32" s="133">
        <f>IF(SER_hh_tes_in!P32=0,0,11630*1000*SER_hh_tes_in!P32/SER_hh_num_in!P32)</f>
        <v>0</v>
      </c>
      <c r="Q32" s="133">
        <f>IF(SER_hh_tes_in!Q32=0,0,11630*1000*SER_hh_tes_in!Q32/SER_hh_num_in!Q32)</f>
        <v>0</v>
      </c>
      <c r="R32" s="133">
        <f>IF(SER_hh_tes_in!R32=0,0,11630*1000*SER_hh_tes_in!R32/SER_hh_num_in!R32)</f>
        <v>0</v>
      </c>
      <c r="S32" s="133">
        <f>IF(SER_hh_tes_in!S32=0,0,11630*1000*SER_hh_tes_in!S32/SER_hh_num_in!S32)</f>
        <v>0</v>
      </c>
      <c r="T32" s="133">
        <f>IF(SER_hh_tes_in!T32=0,0,11630*1000*SER_hh_tes_in!T32/SER_hh_num_in!T32)</f>
        <v>0</v>
      </c>
      <c r="U32" s="133">
        <f>IF(SER_hh_tes_in!U32=0,0,11630*1000*SER_hh_tes_in!U32/SER_hh_num_in!U32)</f>
        <v>0</v>
      </c>
      <c r="V32" s="133">
        <f>IF(SER_hh_tes_in!V32=0,0,11630*1000*SER_hh_tes_in!V32/SER_hh_num_in!V32)</f>
        <v>0</v>
      </c>
      <c r="W32" s="133">
        <f>IF(SER_hh_tes_in!W32=0,0,11630*1000*SER_hh_tes_in!W32/SER_hh_num_in!W32)</f>
        <v>0</v>
      </c>
      <c r="DA32" s="157" t="s">
        <v>782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7971.0494457677105</v>
      </c>
      <c r="D33" s="68">
        <f>IF(SER_hh_tes_in!D33=0,0,11630*1000*SER_hh_tes_in!D33/SER_hh_num_in!D33)</f>
        <v>8034.6566890814911</v>
      </c>
      <c r="E33" s="68">
        <f>IF(SER_hh_tes_in!E33=0,0,11630*1000*SER_hh_tes_in!E33/SER_hh_num_in!E33)</f>
        <v>8222.4958544769015</v>
      </c>
      <c r="F33" s="68">
        <f>IF(SER_hh_tes_in!F33=0,0,11630*1000*SER_hh_tes_in!F33/SER_hh_num_in!F33)</f>
        <v>8353.2252001662673</v>
      </c>
      <c r="G33" s="68">
        <f>IF(SER_hh_tes_in!G33=0,0,11630*1000*SER_hh_tes_in!G33/SER_hh_num_in!G33)</f>
        <v>8213.7957160256719</v>
      </c>
      <c r="H33" s="68">
        <f>IF(SER_hh_tes_in!H33=0,0,11630*1000*SER_hh_tes_in!H33/SER_hh_num_in!H33)</f>
        <v>8384.9159485174332</v>
      </c>
      <c r="I33" s="68">
        <f>IF(SER_hh_tes_in!I33=0,0,11630*1000*SER_hh_tes_in!I33/SER_hh_num_in!I33)</f>
        <v>8304.6618340422046</v>
      </c>
      <c r="J33" s="68">
        <f>IF(SER_hh_tes_in!J33=0,0,11630*1000*SER_hh_tes_in!J33/SER_hh_num_in!J33)</f>
        <v>8407.5167545130334</v>
      </c>
      <c r="K33" s="68">
        <f>IF(SER_hh_tes_in!K33=0,0,11630*1000*SER_hh_tes_in!K33/SER_hh_num_in!K33)</f>
        <v>8393.1485735677561</v>
      </c>
      <c r="L33" s="68">
        <f>IF(SER_hh_tes_in!L33=0,0,11630*1000*SER_hh_tes_in!L33/SER_hh_num_in!L33)</f>
        <v>8279.6928789309968</v>
      </c>
      <c r="M33" s="68">
        <f>IF(SER_hh_tes_in!M33=0,0,11630*1000*SER_hh_tes_in!M33/SER_hh_num_in!M33)</f>
        <v>8494.5275731541951</v>
      </c>
      <c r="N33" s="68">
        <f>IF(SER_hh_tes_in!N33=0,0,11630*1000*SER_hh_tes_in!N33/SER_hh_num_in!N33)</f>
        <v>8717.3038747782721</v>
      </c>
      <c r="O33" s="68">
        <f>IF(SER_hh_tes_in!O33=0,0,11630*1000*SER_hh_tes_in!O33/SER_hh_num_in!O33)</f>
        <v>8718.2211688408006</v>
      </c>
      <c r="P33" s="68">
        <f>IF(SER_hh_tes_in!P33=0,0,11630*1000*SER_hh_tes_in!P33/SER_hh_num_in!P33)</f>
        <v>8952.0030047602322</v>
      </c>
      <c r="Q33" s="68">
        <f>IF(SER_hh_tes_in!Q33=0,0,11630*1000*SER_hh_tes_in!Q33/SER_hh_num_in!Q33)</f>
        <v>8638.8778198180371</v>
      </c>
      <c r="R33" s="68">
        <f>IF(SER_hh_tes_in!R33=0,0,11630*1000*SER_hh_tes_in!R33/SER_hh_num_in!R33)</f>
        <v>8881.5779900521411</v>
      </c>
      <c r="S33" s="68">
        <f>IF(SER_hh_tes_in!S33=0,0,11630*1000*SER_hh_tes_in!S33/SER_hh_num_in!S33)</f>
        <v>9097.6519186197766</v>
      </c>
      <c r="T33" s="68">
        <f>IF(SER_hh_tes_in!T33=0,0,11630*1000*SER_hh_tes_in!T33/SER_hh_num_in!T33)</f>
        <v>8869.765911522738</v>
      </c>
      <c r="U33" s="68">
        <f>IF(SER_hh_tes_in!U33=0,0,11630*1000*SER_hh_tes_in!U33/SER_hh_num_in!U33)</f>
        <v>8681.7870429727082</v>
      </c>
      <c r="V33" s="68">
        <f>IF(SER_hh_tes_in!V33=0,0,11630*1000*SER_hh_tes_in!V33/SER_hh_num_in!V33)</f>
        <v>8495.3206130036251</v>
      </c>
      <c r="W33" s="68">
        <f>IF(SER_hh_tes_in!W33=0,0,11630*1000*SER_hh_tes_in!W33/SER_hh_num_in!W33)</f>
        <v>8241.1470596237232</v>
      </c>
      <c r="DA33" s="111" t="s">
        <v>783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/>
      <c r="C3" s="126">
        <f>IF(SER_hh_emi_in!C3=0,0,1000000*SER_hh_emi_in!C3/SER_hh_num_in!C3)</f>
        <v>4039.8401661914531</v>
      </c>
      <c r="D3" s="126">
        <f>IF(SER_hh_emi_in!D3=0,0,1000000*SER_hh_emi_in!D3/SER_hh_num_in!D3)</f>
        <v>7122.4808045864056</v>
      </c>
      <c r="E3" s="126">
        <f>IF(SER_hh_emi_in!E3=0,0,1000000*SER_hh_emi_in!E3/SER_hh_num_in!E3)</f>
        <v>8352.3956433934454</v>
      </c>
      <c r="F3" s="126">
        <f>IF(SER_hh_emi_in!F3=0,0,1000000*SER_hh_emi_in!F3/SER_hh_num_in!F3)</f>
        <v>7617.6955344106036</v>
      </c>
      <c r="G3" s="126">
        <f>IF(SER_hh_emi_in!G3=0,0,1000000*SER_hh_emi_in!G3/SER_hh_num_in!G3)</f>
        <v>6276.7714047356631</v>
      </c>
      <c r="H3" s="126">
        <f>IF(SER_hh_emi_in!H3=0,0,1000000*SER_hh_emi_in!H3/SER_hh_num_in!H3)</f>
        <v>5245.5658730894647</v>
      </c>
      <c r="I3" s="126">
        <f>IF(SER_hh_emi_in!I3=0,0,1000000*SER_hh_emi_in!I3/SER_hh_num_in!I3)</f>
        <v>3391.616901679784</v>
      </c>
      <c r="J3" s="126">
        <f>IF(SER_hh_emi_in!J3=0,0,1000000*SER_hh_emi_in!J3/SER_hh_num_in!J3)</f>
        <v>3982.7667489316177</v>
      </c>
      <c r="K3" s="126">
        <f>IF(SER_hh_emi_in!K3=0,0,1000000*SER_hh_emi_in!K3/SER_hh_num_in!K3)</f>
        <v>3093.7135409714433</v>
      </c>
      <c r="L3" s="126">
        <f>IF(SER_hh_emi_in!L3=0,0,1000000*SER_hh_emi_in!L3/SER_hh_num_in!L3)</f>
        <v>2519.3007376662276</v>
      </c>
      <c r="M3" s="126">
        <f>IF(SER_hh_emi_in!M3=0,0,1000000*SER_hh_emi_in!M3/SER_hh_num_in!M3)</f>
        <v>2845.4100356953791</v>
      </c>
      <c r="N3" s="126">
        <f>IF(SER_hh_emi_in!N3=0,0,1000000*SER_hh_emi_in!N3/SER_hh_num_in!N3)</f>
        <v>4727.7625189154451</v>
      </c>
      <c r="O3" s="126">
        <f>IF(SER_hh_emi_in!O3=0,0,1000000*SER_hh_emi_in!O3/SER_hh_num_in!O3)</f>
        <v>4735.9504044799087</v>
      </c>
      <c r="P3" s="126">
        <f>IF(SER_hh_emi_in!P3=0,0,1000000*SER_hh_emi_in!P3/SER_hh_num_in!P3)</f>
        <v>2892.396458747487</v>
      </c>
      <c r="Q3" s="126">
        <f>IF(SER_hh_emi_in!Q3=0,0,1000000*SER_hh_emi_in!Q3/SER_hh_num_in!Q3)</f>
        <v>5140.3888770807489</v>
      </c>
      <c r="R3" s="126">
        <f>IF(SER_hh_emi_in!R3=0,0,1000000*SER_hh_emi_in!R3/SER_hh_num_in!R3)</f>
        <v>4160.4057005272853</v>
      </c>
      <c r="S3" s="126">
        <f>IF(SER_hh_emi_in!S3=0,0,1000000*SER_hh_emi_in!S3/SER_hh_num_in!S3)</f>
        <v>3855.0526295825139</v>
      </c>
      <c r="T3" s="126">
        <f>IF(SER_hh_emi_in!T3=0,0,1000000*SER_hh_emi_in!T3/SER_hh_num_in!T3)</f>
        <v>2867.6247599509925</v>
      </c>
      <c r="U3" s="126">
        <f>IF(SER_hh_emi_in!U3=0,0,1000000*SER_hh_emi_in!U3/SER_hh_num_in!U3)</f>
        <v>3688.0549496664621</v>
      </c>
      <c r="V3" s="126">
        <f>IF(SER_hh_emi_in!V3=0,0,1000000*SER_hh_emi_in!V3/SER_hh_num_in!V3)</f>
        <v>3113.3879203528782</v>
      </c>
      <c r="W3" s="126">
        <f>IF(SER_hh_emi_in!W3=0,0,1000000*SER_hh_emi_in!W3/SER_hh_num_in!W3)</f>
        <v>2862.8984981671156</v>
      </c>
      <c r="DA3" s="155" t="s">
        <v>785</v>
      </c>
    </row>
    <row r="4" spans="1:105" ht="12.95" customHeight="1" x14ac:dyDescent="0.25">
      <c r="A4" s="130" t="s">
        <v>32</v>
      </c>
      <c r="B4" s="131"/>
      <c r="C4" s="131">
        <f>IF(SER_hh_emi_in!C4=0,0,1000000*SER_hh_emi_in!C4/SER_hh_num_in!C4)</f>
        <v>3067.8376354696529</v>
      </c>
      <c r="D4" s="131">
        <f>IF(SER_hh_emi_in!D4=0,0,1000000*SER_hh_emi_in!D4/SER_hh_num_in!D4)</f>
        <v>5890.7175226115123</v>
      </c>
      <c r="E4" s="131">
        <f>IF(SER_hh_emi_in!E4=0,0,1000000*SER_hh_emi_in!E4/SER_hh_num_in!E4)</f>
        <v>6891.7820067213133</v>
      </c>
      <c r="F4" s="131">
        <f>IF(SER_hh_emi_in!F4=0,0,1000000*SER_hh_emi_in!F4/SER_hh_num_in!F4)</f>
        <v>6207.598314298667</v>
      </c>
      <c r="G4" s="131">
        <f>IF(SER_hh_emi_in!G4=0,0,1000000*SER_hh_emi_in!G4/SER_hh_num_in!G4)</f>
        <v>4828.6390769011196</v>
      </c>
      <c r="H4" s="131">
        <f>IF(SER_hh_emi_in!H4=0,0,1000000*SER_hh_emi_in!H4/SER_hh_num_in!H4)</f>
        <v>4094.1021718558286</v>
      </c>
      <c r="I4" s="131">
        <f>IF(SER_hh_emi_in!I4=0,0,1000000*SER_hh_emi_in!I4/SER_hh_num_in!I4)</f>
        <v>2462.7212780177601</v>
      </c>
      <c r="J4" s="131">
        <f>IF(SER_hh_emi_in!J4=0,0,1000000*SER_hh_emi_in!J4/SER_hh_num_in!J4)</f>
        <v>2933.759778805897</v>
      </c>
      <c r="K4" s="131">
        <f>IF(SER_hh_emi_in!K4=0,0,1000000*SER_hh_emi_in!K4/SER_hh_num_in!K4)</f>
        <v>2173.0187842727187</v>
      </c>
      <c r="L4" s="131">
        <f>IF(SER_hh_emi_in!L4=0,0,1000000*SER_hh_emi_in!L4/SER_hh_num_in!L4)</f>
        <v>1689.9334830164682</v>
      </c>
      <c r="M4" s="131">
        <f>IF(SER_hh_emi_in!M4=0,0,1000000*SER_hh_emi_in!M4/SER_hh_num_in!M4)</f>
        <v>2315.7435422611175</v>
      </c>
      <c r="N4" s="131">
        <f>IF(SER_hh_emi_in!N4=0,0,1000000*SER_hh_emi_in!N4/SER_hh_num_in!N4)</f>
        <v>4102.7929576532151</v>
      </c>
      <c r="O4" s="131">
        <f>IF(SER_hh_emi_in!O4=0,0,1000000*SER_hh_emi_in!O4/SER_hh_num_in!O4)</f>
        <v>3822.3086431713677</v>
      </c>
      <c r="P4" s="131">
        <f>IF(SER_hh_emi_in!P4=0,0,1000000*SER_hh_emi_in!P4/SER_hh_num_in!P4)</f>
        <v>1943.0830635811994</v>
      </c>
      <c r="Q4" s="131">
        <f>IF(SER_hh_emi_in!Q4=0,0,1000000*SER_hh_emi_in!Q4/SER_hh_num_in!Q4)</f>
        <v>3567.3256936903144</v>
      </c>
      <c r="R4" s="131">
        <f>IF(SER_hh_emi_in!R4=0,0,1000000*SER_hh_emi_in!R4/SER_hh_num_in!R4)</f>
        <v>2823.3071269595771</v>
      </c>
      <c r="S4" s="131">
        <f>IF(SER_hh_emi_in!S4=0,0,1000000*SER_hh_emi_in!S4/SER_hh_num_in!S4)</f>
        <v>2677.4689998641607</v>
      </c>
      <c r="T4" s="131">
        <f>IF(SER_hh_emi_in!T4=0,0,1000000*SER_hh_emi_in!T4/SER_hh_num_in!T4)</f>
        <v>1929.2421089064669</v>
      </c>
      <c r="U4" s="131">
        <f>IF(SER_hh_emi_in!U4=0,0,1000000*SER_hh_emi_in!U4/SER_hh_num_in!U4)</f>
        <v>2653.4279209721662</v>
      </c>
      <c r="V4" s="131">
        <f>IF(SER_hh_emi_in!V4=0,0,1000000*SER_hh_emi_in!V4/SER_hh_num_in!V4)</f>
        <v>2524.2653151743139</v>
      </c>
      <c r="W4" s="131">
        <f>IF(SER_hh_emi_in!W4=0,0,1000000*SER_hh_emi_in!W4/SER_hh_num_in!W4)</f>
        <v>2047.2537038273458</v>
      </c>
      <c r="DA4" s="156" t="s">
        <v>786</v>
      </c>
    </row>
    <row r="5" spans="1:105" ht="12" customHeight="1" x14ac:dyDescent="0.25">
      <c r="A5" s="132" t="s">
        <v>29</v>
      </c>
      <c r="B5" s="133"/>
      <c r="C5" s="133">
        <f>IF(SER_hh_emi_in!C5=0,0,1000000*SER_hh_emi_in!C5/SER_hh_num_in!C5)</f>
        <v>0</v>
      </c>
      <c r="D5" s="133">
        <f>IF(SER_hh_emi_in!D5=0,0,1000000*SER_hh_emi_in!D5/SER_hh_num_in!D5)</f>
        <v>0</v>
      </c>
      <c r="E5" s="133">
        <f>IF(SER_hh_emi_in!E5=0,0,1000000*SER_hh_emi_in!E5/SER_hh_num_in!E5)</f>
        <v>0</v>
      </c>
      <c r="F5" s="133">
        <f>IF(SER_hh_emi_in!F5=0,0,1000000*SER_hh_emi_in!F5/SER_hh_num_in!F5)</f>
        <v>0</v>
      </c>
      <c r="G5" s="133">
        <f>IF(SER_hh_emi_in!G5=0,0,1000000*SER_hh_emi_in!G5/SER_hh_num_in!G5)</f>
        <v>0</v>
      </c>
      <c r="H5" s="133">
        <f>IF(SER_hh_emi_in!H5=0,0,1000000*SER_hh_emi_in!H5/SER_hh_num_in!H5)</f>
        <v>0</v>
      </c>
      <c r="I5" s="133">
        <f>IF(SER_hh_emi_in!I5=0,0,1000000*SER_hh_emi_in!I5/SER_hh_num_in!I5)</f>
        <v>0</v>
      </c>
      <c r="J5" s="133">
        <f>IF(SER_hh_emi_in!J5=0,0,1000000*SER_hh_emi_in!J5/SER_hh_num_in!J5)</f>
        <v>0</v>
      </c>
      <c r="K5" s="133">
        <f>IF(SER_hh_emi_in!K5=0,0,1000000*SER_hh_emi_in!K5/SER_hh_num_in!K5)</f>
        <v>0</v>
      </c>
      <c r="L5" s="133">
        <f>IF(SER_hh_emi_in!L5=0,0,1000000*SER_hh_emi_in!L5/SER_hh_num_in!L5)</f>
        <v>0</v>
      </c>
      <c r="M5" s="133">
        <f>IF(SER_hh_emi_in!M5=0,0,1000000*SER_hh_emi_in!M5/SER_hh_num_in!M5)</f>
        <v>0</v>
      </c>
      <c r="N5" s="133">
        <f>IF(SER_hh_emi_in!N5=0,0,1000000*SER_hh_emi_in!N5/SER_hh_num_in!N5)</f>
        <v>0</v>
      </c>
      <c r="O5" s="133">
        <f>IF(SER_hh_emi_in!O5=0,0,1000000*SER_hh_emi_in!O5/SER_hh_num_in!O5)</f>
        <v>0</v>
      </c>
      <c r="P5" s="133">
        <f>IF(SER_hh_emi_in!P5=0,0,1000000*SER_hh_emi_in!P5/SER_hh_num_in!P5)</f>
        <v>0</v>
      </c>
      <c r="Q5" s="133">
        <f>IF(SER_hh_emi_in!Q5=0,0,1000000*SER_hh_emi_in!Q5/SER_hh_num_in!Q5)</f>
        <v>0</v>
      </c>
      <c r="R5" s="133">
        <f>IF(SER_hh_emi_in!R5=0,0,1000000*SER_hh_emi_in!R5/SER_hh_num_in!R5)</f>
        <v>0</v>
      </c>
      <c r="S5" s="133">
        <f>IF(SER_hh_emi_in!S5=0,0,1000000*SER_hh_emi_in!S5/SER_hh_num_in!S5)</f>
        <v>0</v>
      </c>
      <c r="T5" s="133">
        <f>IF(SER_hh_emi_in!T5=0,0,1000000*SER_hh_emi_in!T5/SER_hh_num_in!T5)</f>
        <v>0</v>
      </c>
      <c r="U5" s="133">
        <f>IF(SER_hh_emi_in!U5=0,0,1000000*SER_hh_emi_in!U5/SER_hh_num_in!U5)</f>
        <v>0</v>
      </c>
      <c r="V5" s="133">
        <f>IF(SER_hh_emi_in!V5=0,0,1000000*SER_hh_emi_in!V5/SER_hh_num_in!V5)</f>
        <v>0</v>
      </c>
      <c r="W5" s="133">
        <f>IF(SER_hh_emi_in!W5=0,0,1000000*SER_hh_emi_in!W5/SER_hh_num_in!W5)</f>
        <v>0</v>
      </c>
      <c r="DA5" s="157" t="s">
        <v>787</v>
      </c>
    </row>
    <row r="6" spans="1:105" ht="12" customHeight="1" x14ac:dyDescent="0.25">
      <c r="A6" s="132" t="s">
        <v>52</v>
      </c>
      <c r="B6" s="133"/>
      <c r="C6" s="133">
        <f>IF(SER_hh_emi_in!C6=0,0,1000000*SER_hh_emi_in!C6/SER_hh_num_in!C6)</f>
        <v>0</v>
      </c>
      <c r="D6" s="133">
        <f>IF(SER_hh_emi_in!D6=0,0,1000000*SER_hh_emi_in!D6/SER_hh_num_in!D6)</f>
        <v>0</v>
      </c>
      <c r="E6" s="133">
        <f>IF(SER_hh_emi_in!E6=0,0,1000000*SER_hh_emi_in!E6/SER_hh_num_in!E6)</f>
        <v>0</v>
      </c>
      <c r="F6" s="133">
        <f>IF(SER_hh_emi_in!F6=0,0,1000000*SER_hh_emi_in!F6/SER_hh_num_in!F6)</f>
        <v>0</v>
      </c>
      <c r="G6" s="133">
        <f>IF(SER_hh_emi_in!G6=0,0,1000000*SER_hh_emi_in!G6/SER_hh_num_in!G6)</f>
        <v>0</v>
      </c>
      <c r="H6" s="133">
        <f>IF(SER_hh_emi_in!H6=0,0,1000000*SER_hh_emi_in!H6/SER_hh_num_in!H6)</f>
        <v>0</v>
      </c>
      <c r="I6" s="133">
        <f>IF(SER_hh_emi_in!I6=0,0,1000000*SER_hh_emi_in!I6/SER_hh_num_in!I6)</f>
        <v>0</v>
      </c>
      <c r="J6" s="133">
        <f>IF(SER_hh_emi_in!J6=0,0,1000000*SER_hh_emi_in!J6/SER_hh_num_in!J6)</f>
        <v>0</v>
      </c>
      <c r="K6" s="133">
        <f>IF(SER_hh_emi_in!K6=0,0,1000000*SER_hh_emi_in!K6/SER_hh_num_in!K6)</f>
        <v>0</v>
      </c>
      <c r="L6" s="133">
        <f>IF(SER_hh_emi_in!L6=0,0,1000000*SER_hh_emi_in!L6/SER_hh_num_in!L6)</f>
        <v>0</v>
      </c>
      <c r="M6" s="133">
        <f>IF(SER_hh_emi_in!M6=0,0,1000000*SER_hh_emi_in!M6/SER_hh_num_in!M6)</f>
        <v>0</v>
      </c>
      <c r="N6" s="133">
        <f>IF(SER_hh_emi_in!N6=0,0,1000000*SER_hh_emi_in!N6/SER_hh_num_in!N6)</f>
        <v>0</v>
      </c>
      <c r="O6" s="133">
        <f>IF(SER_hh_emi_in!O6=0,0,1000000*SER_hh_emi_in!O6/SER_hh_num_in!O6)</f>
        <v>0</v>
      </c>
      <c r="P6" s="133">
        <f>IF(SER_hh_emi_in!P6=0,0,1000000*SER_hh_emi_in!P6/SER_hh_num_in!P6)</f>
        <v>0</v>
      </c>
      <c r="Q6" s="133">
        <f>IF(SER_hh_emi_in!Q6=0,0,1000000*SER_hh_emi_in!Q6/SER_hh_num_in!Q6)</f>
        <v>0</v>
      </c>
      <c r="R6" s="133">
        <f>IF(SER_hh_emi_in!R6=0,0,1000000*SER_hh_emi_in!R6/SER_hh_num_in!R6)</f>
        <v>0</v>
      </c>
      <c r="S6" s="133">
        <f>IF(SER_hh_emi_in!S6=0,0,1000000*SER_hh_emi_in!S6/SER_hh_num_in!S6)</f>
        <v>0</v>
      </c>
      <c r="T6" s="133">
        <f>IF(SER_hh_emi_in!T6=0,0,1000000*SER_hh_emi_in!T6/SER_hh_num_in!T6)</f>
        <v>0</v>
      </c>
      <c r="U6" s="133">
        <f>IF(SER_hh_emi_in!U6=0,0,1000000*SER_hh_emi_in!U6/SER_hh_num_in!U6)</f>
        <v>0</v>
      </c>
      <c r="V6" s="133">
        <f>IF(SER_hh_emi_in!V6=0,0,1000000*SER_hh_emi_in!V6/SER_hh_num_in!V6)</f>
        <v>0</v>
      </c>
      <c r="W6" s="133">
        <f>IF(SER_hh_emi_in!W6=0,0,1000000*SER_hh_emi_in!W6/SER_hh_num_in!W6)</f>
        <v>0</v>
      </c>
      <c r="DA6" s="157" t="s">
        <v>788</v>
      </c>
    </row>
    <row r="7" spans="1:105" ht="12" customHeight="1" x14ac:dyDescent="0.25">
      <c r="A7" s="132" t="s">
        <v>168</v>
      </c>
      <c r="B7" s="133"/>
      <c r="C7" s="133">
        <f>IF(SER_hh_emi_in!C7=0,0,1000000*SER_hh_emi_in!C7/SER_hh_num_in!C7)</f>
        <v>37845.47347081919</v>
      </c>
      <c r="D7" s="133">
        <f>IF(SER_hh_emi_in!D7=0,0,1000000*SER_hh_emi_in!D7/SER_hh_num_in!D7)</f>
        <v>35770.443605759421</v>
      </c>
      <c r="E7" s="133">
        <f>IF(SER_hh_emi_in!E7=0,0,1000000*SER_hh_emi_in!E7/SER_hh_num_in!E7)</f>
        <v>35783.412241418919</v>
      </c>
      <c r="F7" s="133">
        <f>IF(SER_hh_emi_in!F7=0,0,1000000*SER_hh_emi_in!F7/SER_hh_num_in!F7)</f>
        <v>37109.499677152882</v>
      </c>
      <c r="G7" s="133">
        <f>IF(SER_hh_emi_in!G7=0,0,1000000*SER_hh_emi_in!G7/SER_hh_num_in!G7)</f>
        <v>34101.598415503693</v>
      </c>
      <c r="H7" s="133">
        <f>IF(SER_hh_emi_in!H7=0,0,1000000*SER_hh_emi_in!H7/SER_hh_num_in!H7)</f>
        <v>30339.051273754765</v>
      </c>
      <c r="I7" s="133">
        <f>IF(SER_hh_emi_in!I7=0,0,1000000*SER_hh_emi_in!I7/SER_hh_num_in!I7)</f>
        <v>28212.309352511533</v>
      </c>
      <c r="J7" s="133">
        <f>IF(SER_hh_emi_in!J7=0,0,1000000*SER_hh_emi_in!J7/SER_hh_num_in!J7)</f>
        <v>29331.783398229039</v>
      </c>
      <c r="K7" s="133">
        <f>IF(SER_hh_emi_in!K7=0,0,1000000*SER_hh_emi_in!K7/SER_hh_num_in!K7)</f>
        <v>27487.438945690705</v>
      </c>
      <c r="L7" s="133">
        <f>IF(SER_hh_emi_in!L7=0,0,1000000*SER_hh_emi_in!L7/SER_hh_num_in!L7)</f>
        <v>27044.973415240253</v>
      </c>
      <c r="M7" s="133">
        <f>IF(SER_hh_emi_in!M7=0,0,1000000*SER_hh_emi_in!M7/SER_hh_num_in!M7)</f>
        <v>20772.100047477328</v>
      </c>
      <c r="N7" s="133">
        <f>IF(SER_hh_emi_in!N7=0,0,1000000*SER_hh_emi_in!N7/SER_hh_num_in!N7)</f>
        <v>23622.133009893143</v>
      </c>
      <c r="O7" s="133">
        <f>IF(SER_hh_emi_in!O7=0,0,1000000*SER_hh_emi_in!O7/SER_hh_num_in!O7)</f>
        <v>20244.218575542414</v>
      </c>
      <c r="P7" s="133">
        <f>IF(SER_hh_emi_in!P7=0,0,1000000*SER_hh_emi_in!P7/SER_hh_num_in!P7)</f>
        <v>16620.855848867133</v>
      </c>
      <c r="Q7" s="133">
        <f>IF(SER_hh_emi_in!Q7=0,0,1000000*SER_hh_emi_in!Q7/SER_hh_num_in!Q7)</f>
        <v>16333.676777719395</v>
      </c>
      <c r="R7" s="133">
        <f>IF(SER_hh_emi_in!R7=0,0,1000000*SER_hh_emi_in!R7/SER_hh_num_in!R7)</f>
        <v>15934.358332402513</v>
      </c>
      <c r="S7" s="133">
        <f>IF(SER_hh_emi_in!S7=0,0,1000000*SER_hh_emi_in!S7/SER_hh_num_in!S7)</f>
        <v>0</v>
      </c>
      <c r="T7" s="133">
        <f>IF(SER_hh_emi_in!T7=0,0,1000000*SER_hh_emi_in!T7/SER_hh_num_in!T7)</f>
        <v>16555.864938664927</v>
      </c>
      <c r="U7" s="133">
        <f>IF(SER_hh_emi_in!U7=0,0,1000000*SER_hh_emi_in!U7/SER_hh_num_in!U7)</f>
        <v>0</v>
      </c>
      <c r="V7" s="133">
        <f>IF(SER_hh_emi_in!V7=0,0,1000000*SER_hh_emi_in!V7/SER_hh_num_in!V7)</f>
        <v>0</v>
      </c>
      <c r="W7" s="133">
        <f>IF(SER_hh_emi_in!W7=0,0,1000000*SER_hh_emi_in!W7/SER_hh_num_in!W7)</f>
        <v>0</v>
      </c>
      <c r="DA7" s="157" t="s">
        <v>789</v>
      </c>
    </row>
    <row r="8" spans="1:105" ht="12" customHeight="1" x14ac:dyDescent="0.25">
      <c r="A8" s="132" t="s">
        <v>73</v>
      </c>
      <c r="B8" s="133"/>
      <c r="C8" s="133">
        <f>IF(SER_hh_emi_in!C8=0,0,1000000*SER_hh_emi_in!C8/SER_hh_num_in!C8)</f>
        <v>10803.818493805727</v>
      </c>
      <c r="D8" s="133">
        <f>IF(SER_hh_emi_in!D8=0,0,1000000*SER_hh_emi_in!D8/SER_hh_num_in!D8)</f>
        <v>9775.4594539189511</v>
      </c>
      <c r="E8" s="133">
        <f>IF(SER_hh_emi_in!E8=0,0,1000000*SER_hh_emi_in!E8/SER_hh_num_in!E8)</f>
        <v>10572.467598172343</v>
      </c>
      <c r="F8" s="133">
        <f>IF(SER_hh_emi_in!F8=0,0,1000000*SER_hh_emi_in!F8/SER_hh_num_in!F8)</f>
        <v>9758.154540366626</v>
      </c>
      <c r="G8" s="133">
        <f>IF(SER_hh_emi_in!G8=0,0,1000000*SER_hh_emi_in!G8/SER_hh_num_in!G8)</f>
        <v>7731.6526948920609</v>
      </c>
      <c r="H8" s="133">
        <f>IF(SER_hh_emi_in!H8=0,0,1000000*SER_hh_emi_in!H8/SER_hh_num_in!H8)</f>
        <v>4427.4837105942725</v>
      </c>
      <c r="I8" s="133">
        <f>IF(SER_hh_emi_in!I8=0,0,1000000*SER_hh_emi_in!I8/SER_hh_num_in!I8)</f>
        <v>9057.933780504738</v>
      </c>
      <c r="J8" s="133">
        <f>IF(SER_hh_emi_in!J8=0,0,1000000*SER_hh_emi_in!J8/SER_hh_num_in!J8)</f>
        <v>7270.2619620345358</v>
      </c>
      <c r="K8" s="133">
        <f>IF(SER_hh_emi_in!K8=0,0,1000000*SER_hh_emi_in!K8/SER_hh_num_in!K8)</f>
        <v>6576.5755616764072</v>
      </c>
      <c r="L8" s="133">
        <f>IF(SER_hh_emi_in!L8=0,0,1000000*SER_hh_emi_in!L8/SER_hh_num_in!L8)</f>
        <v>5974.8902994503687</v>
      </c>
      <c r="M8" s="133">
        <f>IF(SER_hh_emi_in!M8=0,0,1000000*SER_hh_emi_in!M8/SER_hh_num_in!M8)</f>
        <v>5324.7497914833812</v>
      </c>
      <c r="N8" s="133">
        <f>IF(SER_hh_emi_in!N8=0,0,1000000*SER_hh_emi_in!N8/SER_hh_num_in!N8)</f>
        <v>4710.6102350622286</v>
      </c>
      <c r="O8" s="133">
        <f>IF(SER_hh_emi_in!O8=0,0,1000000*SER_hh_emi_in!O8/SER_hh_num_in!O8)</f>
        <v>3904.4913971463561</v>
      </c>
      <c r="P8" s="133">
        <f>IF(SER_hh_emi_in!P8=0,0,1000000*SER_hh_emi_in!P8/SER_hh_num_in!P8)</f>
        <v>3938.6470767277865</v>
      </c>
      <c r="Q8" s="133">
        <f>IF(SER_hh_emi_in!Q8=0,0,1000000*SER_hh_emi_in!Q8/SER_hh_num_in!Q8)</f>
        <v>4018.4142905317176</v>
      </c>
      <c r="R8" s="133">
        <f>IF(SER_hh_emi_in!R8=0,0,1000000*SER_hh_emi_in!R8/SER_hh_num_in!R8)</f>
        <v>3715.7706277327484</v>
      </c>
      <c r="S8" s="133">
        <f>IF(SER_hh_emi_in!S8=0,0,1000000*SER_hh_emi_in!S8/SER_hh_num_in!S8)</f>
        <v>3396.4455115542805</v>
      </c>
      <c r="T8" s="133">
        <f>IF(SER_hh_emi_in!T8=0,0,1000000*SER_hh_emi_in!T8/SER_hh_num_in!T8)</f>
        <v>3181.3058289266755</v>
      </c>
      <c r="U8" s="133">
        <f>IF(SER_hh_emi_in!U8=0,0,1000000*SER_hh_emi_in!U8/SER_hh_num_in!U8)</f>
        <v>2894.9395342334169</v>
      </c>
      <c r="V8" s="133">
        <f>IF(SER_hh_emi_in!V8=0,0,1000000*SER_hh_emi_in!V8/SER_hh_num_in!V8)</f>
        <v>2925.0129941493342</v>
      </c>
      <c r="W8" s="133">
        <f>IF(SER_hh_emi_in!W8=0,0,1000000*SER_hh_emi_in!W8/SER_hh_num_in!W8)</f>
        <v>3015.1090460762016</v>
      </c>
      <c r="DA8" s="157" t="s">
        <v>790</v>
      </c>
    </row>
    <row r="9" spans="1:105" ht="12" customHeight="1" x14ac:dyDescent="0.25">
      <c r="A9" s="132" t="s">
        <v>78</v>
      </c>
      <c r="B9" s="133"/>
      <c r="C9" s="133">
        <f>IF(SER_hh_emi_in!C9=0,0,1000000*SER_hh_emi_in!C9/SER_hh_num_in!C9)</f>
        <v>23716.742835413243</v>
      </c>
      <c r="D9" s="133">
        <f>IF(SER_hh_emi_in!D9=0,0,1000000*SER_hh_emi_in!D9/SER_hh_num_in!D9)</f>
        <v>22071.31761987157</v>
      </c>
      <c r="E9" s="133">
        <f>IF(SER_hh_emi_in!E9=0,0,1000000*SER_hh_emi_in!E9/SER_hh_num_in!E9)</f>
        <v>24175.591858615437</v>
      </c>
      <c r="F9" s="133">
        <f>IF(SER_hh_emi_in!F9=0,0,1000000*SER_hh_emi_in!F9/SER_hh_num_in!F9)</f>
        <v>21729.789016589202</v>
      </c>
      <c r="G9" s="133">
        <f>IF(SER_hh_emi_in!G9=0,0,1000000*SER_hh_emi_in!G9/SER_hh_num_in!G9)</f>
        <v>20717.260348575212</v>
      </c>
      <c r="H9" s="133">
        <f>IF(SER_hh_emi_in!H9=0,0,1000000*SER_hh_emi_in!H9/SER_hh_num_in!H9)</f>
        <v>21442.198396855827</v>
      </c>
      <c r="I9" s="133">
        <f>IF(SER_hh_emi_in!I9=0,0,1000000*SER_hh_emi_in!I9/SER_hh_num_in!I9)</f>
        <v>18910.813565127042</v>
      </c>
      <c r="J9" s="133">
        <f>IF(SER_hh_emi_in!J9=0,0,1000000*SER_hh_emi_in!J9/SER_hh_num_in!J9)</f>
        <v>18173.716888431303</v>
      </c>
      <c r="K9" s="133">
        <f>IF(SER_hh_emi_in!K9=0,0,1000000*SER_hh_emi_in!K9/SER_hh_num_in!K9)</f>
        <v>18124.040806025074</v>
      </c>
      <c r="L9" s="133">
        <f>IF(SER_hh_emi_in!L9=0,0,1000000*SER_hh_emi_in!L9/SER_hh_num_in!L9)</f>
        <v>18075.996734011158</v>
      </c>
      <c r="M9" s="133">
        <f>IF(SER_hh_emi_in!M9=0,0,1000000*SER_hh_emi_in!M9/SER_hh_num_in!M9)</f>
        <v>13436.825400956515</v>
      </c>
      <c r="N9" s="133">
        <f>IF(SER_hh_emi_in!N9=0,0,1000000*SER_hh_emi_in!N9/SER_hh_num_in!N9)</f>
        <v>14771.358890523543</v>
      </c>
      <c r="O9" s="133">
        <f>IF(SER_hh_emi_in!O9=0,0,1000000*SER_hh_emi_in!O9/SER_hh_num_in!O9)</f>
        <v>14618.368268557457</v>
      </c>
      <c r="P9" s="133">
        <f>IF(SER_hh_emi_in!P9=0,0,1000000*SER_hh_emi_in!P9/SER_hh_num_in!P9)</f>
        <v>9571.3723029700232</v>
      </c>
      <c r="Q9" s="133">
        <f>IF(SER_hh_emi_in!Q9=0,0,1000000*SER_hh_emi_in!Q9/SER_hh_num_in!Q9)</f>
        <v>11892.224336128895</v>
      </c>
      <c r="R9" s="133">
        <f>IF(SER_hh_emi_in!R9=0,0,1000000*SER_hh_emi_in!R9/SER_hh_num_in!R9)</f>
        <v>11490.523147395612</v>
      </c>
      <c r="S9" s="133">
        <f>IF(SER_hh_emi_in!S9=0,0,1000000*SER_hh_emi_in!S9/SER_hh_num_in!S9)</f>
        <v>12027.395730042466</v>
      </c>
      <c r="T9" s="133">
        <f>IF(SER_hh_emi_in!T9=0,0,1000000*SER_hh_emi_in!T9/SER_hh_num_in!T9)</f>
        <v>8520.5229439168852</v>
      </c>
      <c r="U9" s="133">
        <f>IF(SER_hh_emi_in!U9=0,0,1000000*SER_hh_emi_in!U9/SER_hh_num_in!U9)</f>
        <v>7817.6124598545666</v>
      </c>
      <c r="V9" s="133">
        <f>IF(SER_hh_emi_in!V9=0,0,1000000*SER_hh_emi_in!V9/SER_hh_num_in!V9)</f>
        <v>7585.0718360884684</v>
      </c>
      <c r="W9" s="133">
        <f>IF(SER_hh_emi_in!W9=0,0,1000000*SER_hh_emi_in!W9/SER_hh_num_in!W9)</f>
        <v>10538.402673252333</v>
      </c>
      <c r="DA9" s="157" t="s">
        <v>791</v>
      </c>
    </row>
    <row r="10" spans="1:105" ht="12" customHeight="1" x14ac:dyDescent="0.25">
      <c r="A10" s="132" t="s">
        <v>128</v>
      </c>
      <c r="B10" s="133"/>
      <c r="C10" s="133">
        <f>IF(SER_hh_emi_in!C10=0,0,1000000*SER_hh_emi_in!C10/SER_hh_num_in!C10)</f>
        <v>10220.539035731166</v>
      </c>
      <c r="D10" s="133">
        <f>IF(SER_hh_emi_in!D10=0,0,1000000*SER_hh_emi_in!D10/SER_hh_num_in!D10)</f>
        <v>14032.532848338657</v>
      </c>
      <c r="E10" s="133">
        <f>IF(SER_hh_emi_in!E10=0,0,1000000*SER_hh_emi_in!E10/SER_hh_num_in!E10)</f>
        <v>13824.349403121414</v>
      </c>
      <c r="F10" s="133">
        <f>IF(SER_hh_emi_in!F10=0,0,1000000*SER_hh_emi_in!F10/SER_hh_num_in!F10)</f>
        <v>10736.002178275179</v>
      </c>
      <c r="G10" s="133">
        <f>IF(SER_hh_emi_in!G10=0,0,1000000*SER_hh_emi_in!G10/SER_hh_num_in!G10)</f>
        <v>10538.179019156449</v>
      </c>
      <c r="H10" s="133">
        <f>IF(SER_hh_emi_in!H10=0,0,1000000*SER_hh_emi_in!H10/SER_hh_num_in!H10)</f>
        <v>10798.298152896938</v>
      </c>
      <c r="I10" s="133">
        <f>IF(SER_hh_emi_in!I10=0,0,1000000*SER_hh_emi_in!I10/SER_hh_num_in!I10)</f>
        <v>7718.085490307807</v>
      </c>
      <c r="J10" s="133">
        <f>IF(SER_hh_emi_in!J10=0,0,1000000*SER_hh_emi_in!J10/SER_hh_num_in!J10)</f>
        <v>0</v>
      </c>
      <c r="K10" s="133">
        <f>IF(SER_hh_emi_in!K10=0,0,1000000*SER_hh_emi_in!K10/SER_hh_num_in!K10)</f>
        <v>0</v>
      </c>
      <c r="L10" s="133">
        <f>IF(SER_hh_emi_in!L10=0,0,1000000*SER_hh_emi_in!L10/SER_hh_num_in!L10)</f>
        <v>3858.4207921371631</v>
      </c>
      <c r="M10" s="133">
        <f>IF(SER_hh_emi_in!M10=0,0,1000000*SER_hh_emi_in!M10/SER_hh_num_in!M10)</f>
        <v>5421.4173611073256</v>
      </c>
      <c r="N10" s="133">
        <f>IF(SER_hh_emi_in!N10=0,0,1000000*SER_hh_emi_in!N10/SER_hh_num_in!N10)</f>
        <v>4813.3454428039313</v>
      </c>
      <c r="O10" s="133">
        <f>IF(SER_hh_emi_in!O10=0,0,1000000*SER_hh_emi_in!O10/SER_hh_num_in!O10)</f>
        <v>4368.0604915969816</v>
      </c>
      <c r="P10" s="133">
        <f>IF(SER_hh_emi_in!P10=0,0,1000000*SER_hh_emi_in!P10/SER_hh_num_in!P10)</f>
        <v>5493.2274038305723</v>
      </c>
      <c r="Q10" s="133">
        <f>IF(SER_hh_emi_in!Q10=0,0,1000000*SER_hh_emi_in!Q10/SER_hh_num_in!Q10)</f>
        <v>2093.1588092021884</v>
      </c>
      <c r="R10" s="133">
        <f>IF(SER_hh_emi_in!R10=0,0,1000000*SER_hh_emi_in!R10/SER_hh_num_in!R10)</f>
        <v>2867.7097039496848</v>
      </c>
      <c r="S10" s="133">
        <f>IF(SER_hh_emi_in!S10=0,0,1000000*SER_hh_emi_in!S10/SER_hh_num_in!S10)</f>
        <v>3411.8997370895027</v>
      </c>
      <c r="T10" s="133">
        <f>IF(SER_hh_emi_in!T10=0,0,1000000*SER_hh_emi_in!T10/SER_hh_num_in!T10)</f>
        <v>3590.9253544013432</v>
      </c>
      <c r="U10" s="133">
        <f>IF(SER_hh_emi_in!U10=0,0,1000000*SER_hh_emi_in!U10/SER_hh_num_in!U10)</f>
        <v>3270.6291988624725</v>
      </c>
      <c r="V10" s="133">
        <f>IF(SER_hh_emi_in!V10=0,0,1000000*SER_hh_emi_in!V10/SER_hh_num_in!V10)</f>
        <v>2506.4290347723345</v>
      </c>
      <c r="W10" s="133">
        <f>IF(SER_hh_emi_in!W10=0,0,1000000*SER_hh_emi_in!W10/SER_hh_num_in!W10)</f>
        <v>0</v>
      </c>
      <c r="DA10" s="157" t="s">
        <v>792</v>
      </c>
    </row>
    <row r="11" spans="1:105" ht="12" customHeight="1" x14ac:dyDescent="0.25">
      <c r="A11" s="132" t="s">
        <v>25</v>
      </c>
      <c r="B11" s="133"/>
      <c r="C11" s="133">
        <f>IF(SER_hh_emi_in!C11=0,0,1000000*SER_hh_emi_in!C11/SER_hh_num_in!C11)</f>
        <v>0</v>
      </c>
      <c r="D11" s="133">
        <f>IF(SER_hh_emi_in!D11=0,0,1000000*SER_hh_emi_in!D11/SER_hh_num_in!D11)</f>
        <v>0</v>
      </c>
      <c r="E11" s="133">
        <f>IF(SER_hh_emi_in!E11=0,0,1000000*SER_hh_emi_in!E11/SER_hh_num_in!E11)</f>
        <v>0</v>
      </c>
      <c r="F11" s="133">
        <f>IF(SER_hh_emi_in!F11=0,0,1000000*SER_hh_emi_in!F11/SER_hh_num_in!F11)</f>
        <v>0</v>
      </c>
      <c r="G11" s="133">
        <f>IF(SER_hh_emi_in!G11=0,0,1000000*SER_hh_emi_in!G11/SER_hh_num_in!G11)</f>
        <v>0</v>
      </c>
      <c r="H11" s="133">
        <f>IF(SER_hh_emi_in!H11=0,0,1000000*SER_hh_emi_in!H11/SER_hh_num_in!H11)</f>
        <v>0</v>
      </c>
      <c r="I11" s="133">
        <f>IF(SER_hh_emi_in!I11=0,0,1000000*SER_hh_emi_in!I11/SER_hh_num_in!I11)</f>
        <v>0</v>
      </c>
      <c r="J11" s="133">
        <f>IF(SER_hh_emi_in!J11=0,0,1000000*SER_hh_emi_in!J11/SER_hh_num_in!J11)</f>
        <v>0</v>
      </c>
      <c r="K11" s="133">
        <f>IF(SER_hh_emi_in!K11=0,0,1000000*SER_hh_emi_in!K11/SER_hh_num_in!K11)</f>
        <v>0</v>
      </c>
      <c r="L11" s="133">
        <f>IF(SER_hh_emi_in!L11=0,0,1000000*SER_hh_emi_in!L11/SER_hh_num_in!L11)</f>
        <v>0</v>
      </c>
      <c r="M11" s="133">
        <f>IF(SER_hh_emi_in!M11=0,0,1000000*SER_hh_emi_in!M11/SER_hh_num_in!M11)</f>
        <v>0</v>
      </c>
      <c r="N11" s="133">
        <f>IF(SER_hh_emi_in!N11=0,0,1000000*SER_hh_emi_in!N11/SER_hh_num_in!N11)</f>
        <v>0</v>
      </c>
      <c r="O11" s="133">
        <f>IF(SER_hh_emi_in!O11=0,0,1000000*SER_hh_emi_in!O11/SER_hh_num_in!O11)</f>
        <v>0</v>
      </c>
      <c r="P11" s="133">
        <f>IF(SER_hh_emi_in!P11=0,0,1000000*SER_hh_emi_in!P11/SER_hh_num_in!P11)</f>
        <v>0</v>
      </c>
      <c r="Q11" s="133">
        <f>IF(SER_hh_emi_in!Q11=0,0,1000000*SER_hh_emi_in!Q11/SER_hh_num_in!Q11)</f>
        <v>0</v>
      </c>
      <c r="R11" s="133">
        <f>IF(SER_hh_emi_in!R11=0,0,1000000*SER_hh_emi_in!R11/SER_hh_num_in!R11)</f>
        <v>0</v>
      </c>
      <c r="S11" s="133">
        <f>IF(SER_hh_emi_in!S11=0,0,1000000*SER_hh_emi_in!S11/SER_hh_num_in!S11)</f>
        <v>0</v>
      </c>
      <c r="T11" s="133">
        <f>IF(SER_hh_emi_in!T11=0,0,1000000*SER_hh_emi_in!T11/SER_hh_num_in!T11)</f>
        <v>0</v>
      </c>
      <c r="U11" s="133">
        <f>IF(SER_hh_emi_in!U11=0,0,1000000*SER_hh_emi_in!U11/SER_hh_num_in!U11)</f>
        <v>0</v>
      </c>
      <c r="V11" s="133">
        <f>IF(SER_hh_emi_in!V11=0,0,1000000*SER_hh_emi_in!V11/SER_hh_num_in!V11)</f>
        <v>0</v>
      </c>
      <c r="W11" s="133">
        <f>IF(SER_hh_emi_in!W11=0,0,1000000*SER_hh_emi_in!W11/SER_hh_num_in!W11)</f>
        <v>0</v>
      </c>
      <c r="DA11" s="157" t="s">
        <v>793</v>
      </c>
    </row>
    <row r="12" spans="1:105" ht="12" customHeight="1" x14ac:dyDescent="0.25">
      <c r="A12" s="132" t="s">
        <v>169</v>
      </c>
      <c r="B12" s="133"/>
      <c r="C12" s="133">
        <f>IF(SER_hh_emi_in!C12=0,0,1000000*SER_hh_emi_in!C12/SER_hh_num_in!C12)</f>
        <v>0</v>
      </c>
      <c r="D12" s="133">
        <f>IF(SER_hh_emi_in!D12=0,0,1000000*SER_hh_emi_in!D12/SER_hh_num_in!D12)</f>
        <v>0</v>
      </c>
      <c r="E12" s="133">
        <f>IF(SER_hh_emi_in!E12=0,0,1000000*SER_hh_emi_in!E12/SER_hh_num_in!E12)</f>
        <v>0</v>
      </c>
      <c r="F12" s="133">
        <f>IF(SER_hh_emi_in!F12=0,0,1000000*SER_hh_emi_in!F12/SER_hh_num_in!F12)</f>
        <v>0</v>
      </c>
      <c r="G12" s="133">
        <f>IF(SER_hh_emi_in!G12=0,0,1000000*SER_hh_emi_in!G12/SER_hh_num_in!G12)</f>
        <v>0</v>
      </c>
      <c r="H12" s="133">
        <f>IF(SER_hh_emi_in!H12=0,0,1000000*SER_hh_emi_in!H12/SER_hh_num_in!H12)</f>
        <v>0</v>
      </c>
      <c r="I12" s="133">
        <f>IF(SER_hh_emi_in!I12=0,0,1000000*SER_hh_emi_in!I12/SER_hh_num_in!I12)</f>
        <v>0</v>
      </c>
      <c r="J12" s="133">
        <f>IF(SER_hh_emi_in!J12=0,0,1000000*SER_hh_emi_in!J12/SER_hh_num_in!J12)</f>
        <v>0</v>
      </c>
      <c r="K12" s="133">
        <f>IF(SER_hh_emi_in!K12=0,0,1000000*SER_hh_emi_in!K12/SER_hh_num_in!K12)</f>
        <v>0</v>
      </c>
      <c r="L12" s="133">
        <f>IF(SER_hh_emi_in!L12=0,0,1000000*SER_hh_emi_in!L12/SER_hh_num_in!L12)</f>
        <v>0</v>
      </c>
      <c r="M12" s="133">
        <f>IF(SER_hh_emi_in!M12=0,0,1000000*SER_hh_emi_in!M12/SER_hh_num_in!M12)</f>
        <v>0</v>
      </c>
      <c r="N12" s="133">
        <f>IF(SER_hh_emi_in!N12=0,0,1000000*SER_hh_emi_in!N12/SER_hh_num_in!N12)</f>
        <v>0</v>
      </c>
      <c r="O12" s="133">
        <f>IF(SER_hh_emi_in!O12=0,0,1000000*SER_hh_emi_in!O12/SER_hh_num_in!O12)</f>
        <v>0</v>
      </c>
      <c r="P12" s="133">
        <f>IF(SER_hh_emi_in!P12=0,0,1000000*SER_hh_emi_in!P12/SER_hh_num_in!P12)</f>
        <v>0</v>
      </c>
      <c r="Q12" s="133">
        <f>IF(SER_hh_emi_in!Q12=0,0,1000000*SER_hh_emi_in!Q12/SER_hh_num_in!Q12)</f>
        <v>0</v>
      </c>
      <c r="R12" s="133">
        <f>IF(SER_hh_emi_in!R12=0,0,1000000*SER_hh_emi_in!R12/SER_hh_num_in!R12)</f>
        <v>0</v>
      </c>
      <c r="S12" s="133">
        <f>IF(SER_hh_emi_in!S12=0,0,1000000*SER_hh_emi_in!S12/SER_hh_num_in!S12)</f>
        <v>0</v>
      </c>
      <c r="T12" s="133">
        <f>IF(SER_hh_emi_in!T12=0,0,1000000*SER_hh_emi_in!T12/SER_hh_num_in!T12)</f>
        <v>0</v>
      </c>
      <c r="U12" s="133">
        <f>IF(SER_hh_emi_in!U12=0,0,1000000*SER_hh_emi_in!U12/SER_hh_num_in!U12)</f>
        <v>0</v>
      </c>
      <c r="V12" s="133">
        <f>IF(SER_hh_emi_in!V12=0,0,1000000*SER_hh_emi_in!V12/SER_hh_num_in!V12)</f>
        <v>0</v>
      </c>
      <c r="W12" s="133">
        <f>IF(SER_hh_emi_in!W12=0,0,1000000*SER_hh_emi_in!W12/SER_hh_num_in!W12)</f>
        <v>0</v>
      </c>
      <c r="DA12" s="157" t="s">
        <v>794</v>
      </c>
    </row>
    <row r="13" spans="1:105" ht="12" customHeight="1" x14ac:dyDescent="0.25">
      <c r="A13" s="132" t="s">
        <v>77</v>
      </c>
      <c r="B13" s="133"/>
      <c r="C13" s="133">
        <f>IF(SER_hh_emi_in!C13=0,0,1000000*SER_hh_emi_in!C13/SER_hh_num_in!C13)</f>
        <v>0</v>
      </c>
      <c r="D13" s="133">
        <f>IF(SER_hh_emi_in!D13=0,0,1000000*SER_hh_emi_in!D13/SER_hh_num_in!D13)</f>
        <v>0</v>
      </c>
      <c r="E13" s="133">
        <f>IF(SER_hh_emi_in!E13=0,0,1000000*SER_hh_emi_in!E13/SER_hh_num_in!E13)</f>
        <v>0</v>
      </c>
      <c r="F13" s="133">
        <f>IF(SER_hh_emi_in!F13=0,0,1000000*SER_hh_emi_in!F13/SER_hh_num_in!F13)</f>
        <v>0</v>
      </c>
      <c r="G13" s="133">
        <f>IF(SER_hh_emi_in!G13=0,0,1000000*SER_hh_emi_in!G13/SER_hh_num_in!G13)</f>
        <v>0</v>
      </c>
      <c r="H13" s="133">
        <f>IF(SER_hh_emi_in!H13=0,0,1000000*SER_hh_emi_in!H13/SER_hh_num_in!H13)</f>
        <v>0</v>
      </c>
      <c r="I13" s="133">
        <f>IF(SER_hh_emi_in!I13=0,0,1000000*SER_hh_emi_in!I13/SER_hh_num_in!I13)</f>
        <v>0</v>
      </c>
      <c r="J13" s="133">
        <f>IF(SER_hh_emi_in!J13=0,0,1000000*SER_hh_emi_in!J13/SER_hh_num_in!J13)</f>
        <v>0</v>
      </c>
      <c r="K13" s="133">
        <f>IF(SER_hh_emi_in!K13=0,0,1000000*SER_hh_emi_in!K13/SER_hh_num_in!K13)</f>
        <v>0</v>
      </c>
      <c r="L13" s="133">
        <f>IF(SER_hh_emi_in!L13=0,0,1000000*SER_hh_emi_in!L13/SER_hh_num_in!L13)</f>
        <v>0</v>
      </c>
      <c r="M13" s="133">
        <f>IF(SER_hh_emi_in!M13=0,0,1000000*SER_hh_emi_in!M13/SER_hh_num_in!M13)</f>
        <v>0</v>
      </c>
      <c r="N13" s="133">
        <f>IF(SER_hh_emi_in!N13=0,0,1000000*SER_hh_emi_in!N13/SER_hh_num_in!N13)</f>
        <v>0</v>
      </c>
      <c r="O13" s="133">
        <f>IF(SER_hh_emi_in!O13=0,0,1000000*SER_hh_emi_in!O13/SER_hh_num_in!O13)</f>
        <v>0</v>
      </c>
      <c r="P13" s="133">
        <f>IF(SER_hh_emi_in!P13=0,0,1000000*SER_hh_emi_in!P13/SER_hh_num_in!P13)</f>
        <v>0</v>
      </c>
      <c r="Q13" s="133">
        <f>IF(SER_hh_emi_in!Q13=0,0,1000000*SER_hh_emi_in!Q13/SER_hh_num_in!Q13)</f>
        <v>0</v>
      </c>
      <c r="R13" s="133">
        <f>IF(SER_hh_emi_in!R13=0,0,1000000*SER_hh_emi_in!R13/SER_hh_num_in!R13)</f>
        <v>0</v>
      </c>
      <c r="S13" s="133">
        <f>IF(SER_hh_emi_in!S13=0,0,1000000*SER_hh_emi_in!S13/SER_hh_num_in!S13)</f>
        <v>0</v>
      </c>
      <c r="T13" s="133">
        <f>IF(SER_hh_emi_in!T13=0,0,1000000*SER_hh_emi_in!T13/SER_hh_num_in!T13)</f>
        <v>0</v>
      </c>
      <c r="U13" s="133">
        <f>IF(SER_hh_emi_in!U13=0,0,1000000*SER_hh_emi_in!U13/SER_hh_num_in!U13)</f>
        <v>0</v>
      </c>
      <c r="V13" s="133">
        <f>IF(SER_hh_emi_in!V13=0,0,1000000*SER_hh_emi_in!V13/SER_hh_num_in!V13)</f>
        <v>0</v>
      </c>
      <c r="W13" s="133">
        <f>IF(SER_hh_emi_in!W13=0,0,1000000*SER_hh_emi_in!W13/SER_hh_num_in!W13)</f>
        <v>0</v>
      </c>
      <c r="DA13" s="157" t="s">
        <v>795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DA14" s="109" t="s">
        <v>796</v>
      </c>
    </row>
    <row r="15" spans="1:105" ht="12" customHeight="1" x14ac:dyDescent="0.25">
      <c r="A15" s="134" t="s">
        <v>80</v>
      </c>
      <c r="B15" s="135"/>
      <c r="C15" s="135">
        <f>IF(SER_hh_emi_in!C15=0,0,1000000*SER_hh_emi_in!C15/SER_hh_num_in!C15)</f>
        <v>0</v>
      </c>
      <c r="D15" s="135">
        <f>IF(SER_hh_emi_in!D15=0,0,1000000*SER_hh_emi_in!D15/SER_hh_num_in!D15)</f>
        <v>0</v>
      </c>
      <c r="E15" s="135">
        <f>IF(SER_hh_emi_in!E15=0,0,1000000*SER_hh_emi_in!E15/SER_hh_num_in!E15)</f>
        <v>0</v>
      </c>
      <c r="F15" s="135">
        <f>IF(SER_hh_emi_in!F15=0,0,1000000*SER_hh_emi_in!F15/SER_hh_num_in!F15)</f>
        <v>0</v>
      </c>
      <c r="G15" s="135">
        <f>IF(SER_hh_emi_in!G15=0,0,1000000*SER_hh_emi_in!G15/SER_hh_num_in!G15)</f>
        <v>0</v>
      </c>
      <c r="H15" s="135">
        <f>IF(SER_hh_emi_in!H15=0,0,1000000*SER_hh_emi_in!H15/SER_hh_num_in!H15)</f>
        <v>0</v>
      </c>
      <c r="I15" s="135">
        <f>IF(SER_hh_emi_in!I15=0,0,1000000*SER_hh_emi_in!I15/SER_hh_num_in!I15)</f>
        <v>0</v>
      </c>
      <c r="J15" s="135">
        <f>IF(SER_hh_emi_in!J15=0,0,1000000*SER_hh_emi_in!J15/SER_hh_num_in!J15)</f>
        <v>0</v>
      </c>
      <c r="K15" s="135">
        <f>IF(SER_hh_emi_in!K15=0,0,1000000*SER_hh_emi_in!K15/SER_hh_num_in!K15)</f>
        <v>0</v>
      </c>
      <c r="L15" s="135">
        <f>IF(SER_hh_emi_in!L15=0,0,1000000*SER_hh_emi_in!L15/SER_hh_num_in!L15)</f>
        <v>0</v>
      </c>
      <c r="M15" s="135">
        <f>IF(SER_hh_emi_in!M15=0,0,1000000*SER_hh_emi_in!M15/SER_hh_num_in!M15)</f>
        <v>0</v>
      </c>
      <c r="N15" s="135">
        <f>IF(SER_hh_emi_in!N15=0,0,1000000*SER_hh_emi_in!N15/SER_hh_num_in!N15)</f>
        <v>0</v>
      </c>
      <c r="O15" s="135">
        <f>IF(SER_hh_emi_in!O15=0,0,1000000*SER_hh_emi_in!O15/SER_hh_num_in!O15)</f>
        <v>0</v>
      </c>
      <c r="P15" s="135">
        <f>IF(SER_hh_emi_in!P15=0,0,1000000*SER_hh_emi_in!P15/SER_hh_num_in!P15)</f>
        <v>0</v>
      </c>
      <c r="Q15" s="135">
        <f>IF(SER_hh_emi_in!Q15=0,0,1000000*SER_hh_emi_in!Q15/SER_hh_num_in!Q15)</f>
        <v>0</v>
      </c>
      <c r="R15" s="135">
        <f>IF(SER_hh_emi_in!R15=0,0,1000000*SER_hh_emi_in!R15/SER_hh_num_in!R15)</f>
        <v>0</v>
      </c>
      <c r="S15" s="135">
        <f>IF(SER_hh_emi_in!S15=0,0,1000000*SER_hh_emi_in!S15/SER_hh_num_in!S15)</f>
        <v>0</v>
      </c>
      <c r="T15" s="135">
        <f>IF(SER_hh_emi_in!T15=0,0,1000000*SER_hh_emi_in!T15/SER_hh_num_in!T15)</f>
        <v>0</v>
      </c>
      <c r="U15" s="135">
        <f>IF(SER_hh_emi_in!U15=0,0,1000000*SER_hh_emi_in!U15/SER_hh_num_in!U15)</f>
        <v>0</v>
      </c>
      <c r="V15" s="135">
        <f>IF(SER_hh_emi_in!V15=0,0,1000000*SER_hh_emi_in!V15/SER_hh_num_in!V15)</f>
        <v>0</v>
      </c>
      <c r="W15" s="135">
        <f>IF(SER_hh_emi_in!W15=0,0,1000000*SER_hh_emi_in!W15/SER_hh_num_in!W15)</f>
        <v>0</v>
      </c>
      <c r="DA15" s="158" t="s">
        <v>797</v>
      </c>
    </row>
    <row r="16" spans="1:105" ht="12.95" customHeight="1" x14ac:dyDescent="0.25">
      <c r="A16" s="130" t="s">
        <v>74</v>
      </c>
      <c r="B16" s="131"/>
      <c r="C16" s="131">
        <f>IF(SER_hh_emi_in!C16=0,0,1000000*SER_hh_emi_in!C16/SER_hh_num_in!C16)</f>
        <v>3.3301039303629238</v>
      </c>
      <c r="D16" s="131">
        <f>IF(SER_hh_emi_in!D16=0,0,1000000*SER_hh_emi_in!D16/SER_hh_num_in!D16)</f>
        <v>3.5901367603785745</v>
      </c>
      <c r="E16" s="131">
        <f>IF(SER_hh_emi_in!E16=0,0,1000000*SER_hh_emi_in!E16/SER_hh_num_in!E16)</f>
        <v>2.9166984149782782</v>
      </c>
      <c r="F16" s="131">
        <f>IF(SER_hh_emi_in!F16=0,0,1000000*SER_hh_emi_in!F16/SER_hh_num_in!F16)</f>
        <v>4.0117066145271494</v>
      </c>
      <c r="G16" s="131">
        <f>IF(SER_hh_emi_in!G16=0,0,1000000*SER_hh_emi_in!G16/SER_hh_num_in!G16)</f>
        <v>4.1121411079376191</v>
      </c>
      <c r="H16" s="131">
        <f>IF(SER_hh_emi_in!H16=0,0,1000000*SER_hh_emi_in!H16/SER_hh_num_in!H16)</f>
        <v>3.2314263187146732</v>
      </c>
      <c r="I16" s="131">
        <f>IF(SER_hh_emi_in!I16=0,0,1000000*SER_hh_emi_in!I16/SER_hh_num_in!I16)</f>
        <v>2.8195566339211005</v>
      </c>
      <c r="J16" s="131">
        <f>IF(SER_hh_emi_in!J16=0,0,1000000*SER_hh_emi_in!J16/SER_hh_num_in!J16)</f>
        <v>3.180634311641743</v>
      </c>
      <c r="K16" s="131">
        <f>IF(SER_hh_emi_in!K16=0,0,1000000*SER_hh_emi_in!K16/SER_hh_num_in!K16)</f>
        <v>2.8767809343048119</v>
      </c>
      <c r="L16" s="131">
        <f>IF(SER_hh_emi_in!L16=0,0,1000000*SER_hh_emi_in!L16/SER_hh_num_in!L16)</f>
        <v>4.0685598050962648</v>
      </c>
      <c r="M16" s="131">
        <f>IF(SER_hh_emi_in!M16=0,0,1000000*SER_hh_emi_in!M16/SER_hh_num_in!M16)</f>
        <v>4.8514190485636748</v>
      </c>
      <c r="N16" s="131">
        <f>IF(SER_hh_emi_in!N16=0,0,1000000*SER_hh_emi_in!N16/SER_hh_num_in!N16)</f>
        <v>6.1509310746237036</v>
      </c>
      <c r="O16" s="131">
        <f>IF(SER_hh_emi_in!O16=0,0,1000000*SER_hh_emi_in!O16/SER_hh_num_in!O16)</f>
        <v>7.9861390884809786</v>
      </c>
      <c r="P16" s="131">
        <f>IF(SER_hh_emi_in!P16=0,0,1000000*SER_hh_emi_in!P16/SER_hh_num_in!P16)</f>
        <v>11.193347120754108</v>
      </c>
      <c r="Q16" s="131">
        <f>IF(SER_hh_emi_in!Q16=0,0,1000000*SER_hh_emi_in!Q16/SER_hh_num_in!Q16)</f>
        <v>17.180577791124925</v>
      </c>
      <c r="R16" s="131">
        <f>IF(SER_hh_emi_in!R16=0,0,1000000*SER_hh_emi_in!R16/SER_hh_num_in!R16)</f>
        <v>15.783525979095716</v>
      </c>
      <c r="S16" s="131">
        <f>IF(SER_hh_emi_in!S16=0,0,1000000*SER_hh_emi_in!S16/SER_hh_num_in!S16)</f>
        <v>14.320894534803051</v>
      </c>
      <c r="T16" s="131">
        <f>IF(SER_hh_emi_in!T16=0,0,1000000*SER_hh_emi_in!T16/SER_hh_num_in!T16)</f>
        <v>10.709086960748293</v>
      </c>
      <c r="U16" s="131">
        <f>IF(SER_hh_emi_in!U16=0,0,1000000*SER_hh_emi_in!U16/SER_hh_num_in!U16)</f>
        <v>15.017667698215572</v>
      </c>
      <c r="V16" s="131">
        <f>IF(SER_hh_emi_in!V16=0,0,1000000*SER_hh_emi_in!V16/SER_hh_num_in!V16)</f>
        <v>46.422589702515864</v>
      </c>
      <c r="W16" s="131">
        <f>IF(SER_hh_emi_in!W16=0,0,1000000*SER_hh_emi_in!W16/SER_hh_num_in!W16)</f>
        <v>7.3462276871401491</v>
      </c>
      <c r="DA16" s="156" t="s">
        <v>798</v>
      </c>
    </row>
    <row r="17" spans="1:105" ht="12.95" customHeight="1" x14ac:dyDescent="0.25">
      <c r="A17" s="132" t="s">
        <v>73</v>
      </c>
      <c r="B17" s="133"/>
      <c r="C17" s="133">
        <f>IF(SER_hh_emi_in!C17=0,0,1000000*SER_hh_emi_in!C17/SER_hh_num_in!C17)</f>
        <v>3150.513136495148</v>
      </c>
      <c r="D17" s="133">
        <f>IF(SER_hh_emi_in!D17=0,0,1000000*SER_hh_emi_in!D17/SER_hh_num_in!D17)</f>
        <v>3093.8029416168911</v>
      </c>
      <c r="E17" s="133">
        <f>IF(SER_hh_emi_in!E17=0,0,1000000*SER_hh_emi_in!E17/SER_hh_num_in!E17)</f>
        <v>3118.9573462054886</v>
      </c>
      <c r="F17" s="133">
        <f>IF(SER_hh_emi_in!F17=0,0,1000000*SER_hh_emi_in!F17/SER_hh_num_in!F17)</f>
        <v>3057.7337535423626</v>
      </c>
      <c r="G17" s="133">
        <f>IF(SER_hh_emi_in!G17=0,0,1000000*SER_hh_emi_in!G17/SER_hh_num_in!G17)</f>
        <v>3029.6915558706073</v>
      </c>
      <c r="H17" s="133">
        <f>IF(SER_hh_emi_in!H17=0,0,1000000*SER_hh_emi_in!H17/SER_hh_num_in!H17)</f>
        <v>2996.2187255506433</v>
      </c>
      <c r="I17" s="133">
        <f>IF(SER_hh_emi_in!I17=0,0,1000000*SER_hh_emi_in!I17/SER_hh_num_in!I17)</f>
        <v>3004.9881415786399</v>
      </c>
      <c r="J17" s="133">
        <f>IF(SER_hh_emi_in!J17=0,0,1000000*SER_hh_emi_in!J17/SER_hh_num_in!J17)</f>
        <v>2965.3050879219377</v>
      </c>
      <c r="K17" s="133">
        <f>IF(SER_hh_emi_in!K17=0,0,1000000*SER_hh_emi_in!K17/SER_hh_num_in!K17)</f>
        <v>2949.1298090650744</v>
      </c>
      <c r="L17" s="133">
        <f>IF(SER_hh_emi_in!L17=0,0,1000000*SER_hh_emi_in!L17/SER_hh_num_in!L17)</f>
        <v>2922.9244380186828</v>
      </c>
      <c r="M17" s="133">
        <f>IF(SER_hh_emi_in!M17=0,0,1000000*SER_hh_emi_in!M17/SER_hh_num_in!M17)</f>
        <v>2854.1428460102206</v>
      </c>
      <c r="N17" s="133">
        <f>IF(SER_hh_emi_in!N17=0,0,1000000*SER_hh_emi_in!N17/SER_hh_num_in!N17)</f>
        <v>2770.3696443455869</v>
      </c>
      <c r="O17" s="133">
        <f>IF(SER_hh_emi_in!O17=0,0,1000000*SER_hh_emi_in!O17/SER_hh_num_in!O17)</f>
        <v>2637.9388644341661</v>
      </c>
      <c r="P17" s="133">
        <f>IF(SER_hh_emi_in!P17=0,0,1000000*SER_hh_emi_in!P17/SER_hh_num_in!P17)</f>
        <v>2581.1222161098349</v>
      </c>
      <c r="Q17" s="133">
        <f>IF(SER_hh_emi_in!Q17=0,0,1000000*SER_hh_emi_in!Q17/SER_hh_num_in!Q17)</f>
        <v>2527.5655560753603</v>
      </c>
      <c r="R17" s="133">
        <f>IF(SER_hh_emi_in!R17=0,0,1000000*SER_hh_emi_in!R17/SER_hh_num_in!R17)</f>
        <v>2406.1977740650805</v>
      </c>
      <c r="S17" s="133">
        <f>IF(SER_hh_emi_in!S17=0,0,1000000*SER_hh_emi_in!S17/SER_hh_num_in!S17)</f>
        <v>2348.4380201812578</v>
      </c>
      <c r="T17" s="133">
        <f>IF(SER_hh_emi_in!T17=0,0,1000000*SER_hh_emi_in!T17/SER_hh_num_in!T17)</f>
        <v>2315.6841411131263</v>
      </c>
      <c r="U17" s="133">
        <f>IF(SER_hh_emi_in!U17=0,0,1000000*SER_hh_emi_in!U17/SER_hh_num_in!U17)</f>
        <v>2133.6995129760444</v>
      </c>
      <c r="V17" s="133">
        <f>IF(SER_hh_emi_in!V17=0,0,1000000*SER_hh_emi_in!V17/SER_hh_num_in!V17)</f>
        <v>1529.737726792438</v>
      </c>
      <c r="W17" s="133">
        <f>IF(SER_hh_emi_in!W17=0,0,1000000*SER_hh_emi_in!W17/SER_hh_num_in!W17)</f>
        <v>1423.0662490776942</v>
      </c>
      <c r="DA17" s="157" t="s">
        <v>799</v>
      </c>
    </row>
    <row r="18" spans="1:105" ht="12" customHeight="1" x14ac:dyDescent="0.25">
      <c r="A18" s="132" t="s">
        <v>72</v>
      </c>
      <c r="B18" s="133"/>
      <c r="C18" s="133">
        <f>IF(SER_hh_emi_in!C18=0,0,1000000*SER_hh_emi_in!C18/SER_hh_num_in!C18)</f>
        <v>0</v>
      </c>
      <c r="D18" s="133">
        <f>IF(SER_hh_emi_in!D18=0,0,1000000*SER_hh_emi_in!D18/SER_hh_num_in!D18)</f>
        <v>0</v>
      </c>
      <c r="E18" s="133">
        <f>IF(SER_hh_emi_in!E18=0,0,1000000*SER_hh_emi_in!E18/SER_hh_num_in!E18)</f>
        <v>0</v>
      </c>
      <c r="F18" s="133">
        <f>IF(SER_hh_emi_in!F18=0,0,1000000*SER_hh_emi_in!F18/SER_hh_num_in!F18)</f>
        <v>0</v>
      </c>
      <c r="G18" s="133">
        <f>IF(SER_hh_emi_in!G18=0,0,1000000*SER_hh_emi_in!G18/SER_hh_num_in!G18)</f>
        <v>0</v>
      </c>
      <c r="H18" s="133">
        <f>IF(SER_hh_emi_in!H18=0,0,1000000*SER_hh_emi_in!H18/SER_hh_num_in!H18)</f>
        <v>0</v>
      </c>
      <c r="I18" s="133">
        <f>IF(SER_hh_emi_in!I18=0,0,1000000*SER_hh_emi_in!I18/SER_hh_num_in!I18)</f>
        <v>0</v>
      </c>
      <c r="J18" s="133">
        <f>IF(SER_hh_emi_in!J18=0,0,1000000*SER_hh_emi_in!J18/SER_hh_num_in!J18)</f>
        <v>0</v>
      </c>
      <c r="K18" s="133">
        <f>IF(SER_hh_emi_in!K18=0,0,1000000*SER_hh_emi_in!K18/SER_hh_num_in!K18)</f>
        <v>0</v>
      </c>
      <c r="L18" s="133">
        <f>IF(SER_hh_emi_in!L18=0,0,1000000*SER_hh_emi_in!L18/SER_hh_num_in!L18)</f>
        <v>0</v>
      </c>
      <c r="M18" s="133">
        <f>IF(SER_hh_emi_in!M18=0,0,1000000*SER_hh_emi_in!M18/SER_hh_num_in!M18)</f>
        <v>0</v>
      </c>
      <c r="N18" s="133">
        <f>IF(SER_hh_emi_in!N18=0,0,1000000*SER_hh_emi_in!N18/SER_hh_num_in!N18)</f>
        <v>0</v>
      </c>
      <c r="O18" s="133">
        <f>IF(SER_hh_emi_in!O18=0,0,1000000*SER_hh_emi_in!O18/SER_hh_num_in!O18)</f>
        <v>0</v>
      </c>
      <c r="P18" s="133">
        <f>IF(SER_hh_emi_in!P18=0,0,1000000*SER_hh_emi_in!P18/SER_hh_num_in!P18)</f>
        <v>0</v>
      </c>
      <c r="Q18" s="133">
        <f>IF(SER_hh_emi_in!Q18=0,0,1000000*SER_hh_emi_in!Q18/SER_hh_num_in!Q18)</f>
        <v>0</v>
      </c>
      <c r="R18" s="133">
        <f>IF(SER_hh_emi_in!R18=0,0,1000000*SER_hh_emi_in!R18/SER_hh_num_in!R18)</f>
        <v>0</v>
      </c>
      <c r="S18" s="133">
        <f>IF(SER_hh_emi_in!S18=0,0,1000000*SER_hh_emi_in!S18/SER_hh_num_in!S18)</f>
        <v>0</v>
      </c>
      <c r="T18" s="133">
        <f>IF(SER_hh_emi_in!T18=0,0,1000000*SER_hh_emi_in!T18/SER_hh_num_in!T18)</f>
        <v>0</v>
      </c>
      <c r="U18" s="133">
        <f>IF(SER_hh_emi_in!U18=0,0,1000000*SER_hh_emi_in!U18/SER_hh_num_in!U18)</f>
        <v>0</v>
      </c>
      <c r="V18" s="133">
        <f>IF(SER_hh_emi_in!V18=0,0,1000000*SER_hh_emi_in!V18/SER_hh_num_in!V18)</f>
        <v>0</v>
      </c>
      <c r="W18" s="133">
        <f>IF(SER_hh_emi_in!W18=0,0,1000000*SER_hh_emi_in!W18/SER_hh_num_in!W18)</f>
        <v>0</v>
      </c>
      <c r="DA18" s="157" t="s">
        <v>800</v>
      </c>
    </row>
    <row r="19" spans="1:105" ht="12.95" customHeight="1" x14ac:dyDescent="0.25">
      <c r="A19" s="130" t="s">
        <v>35</v>
      </c>
      <c r="B19" s="131"/>
      <c r="C19" s="131">
        <f>IF(SER_hh_emi_in!C19=0,0,1000000*SER_hh_emi_in!C19/SER_hh_num_in!C19)</f>
        <v>500.93726711564773</v>
      </c>
      <c r="D19" s="131">
        <f>IF(SER_hh_emi_in!D19=0,0,1000000*SER_hh_emi_in!D19/SER_hh_num_in!D19)</f>
        <v>695.73399452660874</v>
      </c>
      <c r="E19" s="131">
        <f>IF(SER_hh_emi_in!E19=0,0,1000000*SER_hh_emi_in!E19/SER_hh_num_in!E19)</f>
        <v>804.58808398384599</v>
      </c>
      <c r="F19" s="131">
        <f>IF(SER_hh_emi_in!F19=0,0,1000000*SER_hh_emi_in!F19/SER_hh_num_in!F19)</f>
        <v>693.41762502156212</v>
      </c>
      <c r="G19" s="131">
        <f>IF(SER_hh_emi_in!G19=0,0,1000000*SER_hh_emi_in!G19/SER_hh_num_in!G19)</f>
        <v>630.82002512505017</v>
      </c>
      <c r="H19" s="131">
        <f>IF(SER_hh_emi_in!H19=0,0,1000000*SER_hh_emi_in!H19/SER_hh_num_in!H19)</f>
        <v>488.93489516111902</v>
      </c>
      <c r="I19" s="131">
        <f>IF(SER_hh_emi_in!I19=0,0,1000000*SER_hh_emi_in!I19/SER_hh_num_in!I19)</f>
        <v>363.39370907224992</v>
      </c>
      <c r="J19" s="131">
        <f>IF(SER_hh_emi_in!J19=0,0,1000000*SER_hh_emi_in!J19/SER_hh_num_in!J19)</f>
        <v>446.1291744142481</v>
      </c>
      <c r="K19" s="131">
        <f>IF(SER_hh_emi_in!K19=0,0,1000000*SER_hh_emi_in!K19/SER_hh_num_in!K19)</f>
        <v>340.70021505790476</v>
      </c>
      <c r="L19" s="131">
        <f>IF(SER_hh_emi_in!L19=0,0,1000000*SER_hh_emi_in!L19/SER_hh_num_in!L19)</f>
        <v>240.53719982616394</v>
      </c>
      <c r="M19" s="131">
        <f>IF(SER_hh_emi_in!M19=0,0,1000000*SER_hh_emi_in!M19/SER_hh_num_in!M19)</f>
        <v>135.9942265451746</v>
      </c>
      <c r="N19" s="131">
        <f>IF(SER_hh_emi_in!N19=0,0,1000000*SER_hh_emi_in!N19/SER_hh_num_in!N19)</f>
        <v>284.75122078769823</v>
      </c>
      <c r="O19" s="131">
        <f>IF(SER_hh_emi_in!O19=0,0,1000000*SER_hh_emi_in!O19/SER_hh_num_in!O19)</f>
        <v>358.02535553288857</v>
      </c>
      <c r="P19" s="131">
        <f>IF(SER_hh_emi_in!P19=0,0,1000000*SER_hh_emi_in!P19/SER_hh_num_in!P19)</f>
        <v>337.74460584353847</v>
      </c>
      <c r="Q19" s="131">
        <f>IF(SER_hh_emi_in!Q19=0,0,1000000*SER_hh_emi_in!Q19/SER_hh_num_in!Q19)</f>
        <v>600.35001095740711</v>
      </c>
      <c r="R19" s="131">
        <f>IF(SER_hh_emi_in!R19=0,0,1000000*SER_hh_emi_in!R19/SER_hh_num_in!R19)</f>
        <v>523.96810606098745</v>
      </c>
      <c r="S19" s="131">
        <f>IF(SER_hh_emi_in!S19=0,0,1000000*SER_hh_emi_in!S19/SER_hh_num_in!S19)</f>
        <v>471.79487102745281</v>
      </c>
      <c r="T19" s="131">
        <f>IF(SER_hh_emi_in!T19=0,0,1000000*SER_hh_emi_in!T19/SER_hh_num_in!T19)</f>
        <v>311.15544356190503</v>
      </c>
      <c r="U19" s="131">
        <f>IF(SER_hh_emi_in!U19=0,0,1000000*SER_hh_emi_in!U19/SER_hh_num_in!U19)</f>
        <v>307.37403923145325</v>
      </c>
      <c r="V19" s="131">
        <f>IF(SER_hh_emi_in!V19=0,0,1000000*SER_hh_emi_in!V19/SER_hh_num_in!V19)</f>
        <v>178.62942919544241</v>
      </c>
      <c r="W19" s="131">
        <f>IF(SER_hh_emi_in!W19=0,0,1000000*SER_hh_emi_in!W19/SER_hh_num_in!W19)</f>
        <v>214.72416266139919</v>
      </c>
      <c r="DA19" s="156" t="s">
        <v>801</v>
      </c>
    </row>
    <row r="20" spans="1:105" ht="12" customHeight="1" x14ac:dyDescent="0.25">
      <c r="A20" s="132" t="s">
        <v>29</v>
      </c>
      <c r="B20" s="133"/>
      <c r="C20" s="133">
        <f>IF(SER_hh_emi_in!C20=0,0,1000000*SER_hh_emi_in!C20/SER_hh_num_in!C20)</f>
        <v>0</v>
      </c>
      <c r="D20" s="133">
        <f>IF(SER_hh_emi_in!D20=0,0,1000000*SER_hh_emi_in!D20/SER_hh_num_in!D20)</f>
        <v>0</v>
      </c>
      <c r="E20" s="133">
        <f>IF(SER_hh_emi_in!E20=0,0,1000000*SER_hh_emi_in!E20/SER_hh_num_in!E20)</f>
        <v>0</v>
      </c>
      <c r="F20" s="133">
        <f>IF(SER_hh_emi_in!F20=0,0,1000000*SER_hh_emi_in!F20/SER_hh_num_in!F20)</f>
        <v>0</v>
      </c>
      <c r="G20" s="133">
        <f>IF(SER_hh_emi_in!G20=0,0,1000000*SER_hh_emi_in!G20/SER_hh_num_in!G20)</f>
        <v>0</v>
      </c>
      <c r="H20" s="133">
        <f>IF(SER_hh_emi_in!H20=0,0,1000000*SER_hh_emi_in!H20/SER_hh_num_in!H20)</f>
        <v>0</v>
      </c>
      <c r="I20" s="133">
        <f>IF(SER_hh_emi_in!I20=0,0,1000000*SER_hh_emi_in!I20/SER_hh_num_in!I20)</f>
        <v>0</v>
      </c>
      <c r="J20" s="133">
        <f>IF(SER_hh_emi_in!J20=0,0,1000000*SER_hh_emi_in!J20/SER_hh_num_in!J20)</f>
        <v>0</v>
      </c>
      <c r="K20" s="133">
        <f>IF(SER_hh_emi_in!K20=0,0,1000000*SER_hh_emi_in!K20/SER_hh_num_in!K20)</f>
        <v>0</v>
      </c>
      <c r="L20" s="133">
        <f>IF(SER_hh_emi_in!L20=0,0,1000000*SER_hh_emi_in!L20/SER_hh_num_in!L20)</f>
        <v>0</v>
      </c>
      <c r="M20" s="133">
        <f>IF(SER_hh_emi_in!M20=0,0,1000000*SER_hh_emi_in!M20/SER_hh_num_in!M20)</f>
        <v>0</v>
      </c>
      <c r="N20" s="133">
        <f>IF(SER_hh_emi_in!N20=0,0,1000000*SER_hh_emi_in!N20/SER_hh_num_in!N20)</f>
        <v>0</v>
      </c>
      <c r="O20" s="133">
        <f>IF(SER_hh_emi_in!O20=0,0,1000000*SER_hh_emi_in!O20/SER_hh_num_in!O20)</f>
        <v>0</v>
      </c>
      <c r="P20" s="133">
        <f>IF(SER_hh_emi_in!P20=0,0,1000000*SER_hh_emi_in!P20/SER_hh_num_in!P20)</f>
        <v>0</v>
      </c>
      <c r="Q20" s="133">
        <f>IF(SER_hh_emi_in!Q20=0,0,1000000*SER_hh_emi_in!Q20/SER_hh_num_in!Q20)</f>
        <v>0</v>
      </c>
      <c r="R20" s="133">
        <f>IF(SER_hh_emi_in!R20=0,0,1000000*SER_hh_emi_in!R20/SER_hh_num_in!R20)</f>
        <v>0</v>
      </c>
      <c r="S20" s="133">
        <f>IF(SER_hh_emi_in!S20=0,0,1000000*SER_hh_emi_in!S20/SER_hh_num_in!S20)</f>
        <v>0</v>
      </c>
      <c r="T20" s="133">
        <f>IF(SER_hh_emi_in!T20=0,0,1000000*SER_hh_emi_in!T20/SER_hh_num_in!T20)</f>
        <v>0</v>
      </c>
      <c r="U20" s="133">
        <f>IF(SER_hh_emi_in!U20=0,0,1000000*SER_hh_emi_in!U20/SER_hh_num_in!U20)</f>
        <v>0</v>
      </c>
      <c r="V20" s="133">
        <f>IF(SER_hh_emi_in!V20=0,0,1000000*SER_hh_emi_in!V20/SER_hh_num_in!V20)</f>
        <v>0</v>
      </c>
      <c r="W20" s="133">
        <f>IF(SER_hh_emi_in!W20=0,0,1000000*SER_hh_emi_in!W20/SER_hh_num_in!W20)</f>
        <v>0</v>
      </c>
      <c r="DA20" s="157" t="s">
        <v>802</v>
      </c>
    </row>
    <row r="21" spans="1:105" s="2" customFormat="1" ht="12" customHeight="1" x14ac:dyDescent="0.25">
      <c r="A21" s="132" t="s">
        <v>52</v>
      </c>
      <c r="B21" s="133"/>
      <c r="C21" s="133">
        <f>IF(SER_hh_emi_in!C21=0,0,1000000*SER_hh_emi_in!C21/SER_hh_num_in!C21)</f>
        <v>0</v>
      </c>
      <c r="D21" s="133">
        <f>IF(SER_hh_emi_in!D21=0,0,1000000*SER_hh_emi_in!D21/SER_hh_num_in!D21)</f>
        <v>0</v>
      </c>
      <c r="E21" s="133">
        <f>IF(SER_hh_emi_in!E21=0,0,1000000*SER_hh_emi_in!E21/SER_hh_num_in!E21)</f>
        <v>0</v>
      </c>
      <c r="F21" s="133">
        <f>IF(SER_hh_emi_in!F21=0,0,1000000*SER_hh_emi_in!F21/SER_hh_num_in!F21)</f>
        <v>0</v>
      </c>
      <c r="G21" s="133">
        <f>IF(SER_hh_emi_in!G21=0,0,1000000*SER_hh_emi_in!G21/SER_hh_num_in!G21)</f>
        <v>0</v>
      </c>
      <c r="H21" s="133">
        <f>IF(SER_hh_emi_in!H21=0,0,1000000*SER_hh_emi_in!H21/SER_hh_num_in!H21)</f>
        <v>0</v>
      </c>
      <c r="I21" s="133">
        <f>IF(SER_hh_emi_in!I21=0,0,1000000*SER_hh_emi_in!I21/SER_hh_num_in!I21)</f>
        <v>0</v>
      </c>
      <c r="J21" s="133">
        <f>IF(SER_hh_emi_in!J21=0,0,1000000*SER_hh_emi_in!J21/SER_hh_num_in!J21)</f>
        <v>0</v>
      </c>
      <c r="K21" s="133">
        <f>IF(SER_hh_emi_in!K21=0,0,1000000*SER_hh_emi_in!K21/SER_hh_num_in!K21)</f>
        <v>0</v>
      </c>
      <c r="L21" s="133">
        <f>IF(SER_hh_emi_in!L21=0,0,1000000*SER_hh_emi_in!L21/SER_hh_num_in!L21)</f>
        <v>0</v>
      </c>
      <c r="M21" s="133">
        <f>IF(SER_hh_emi_in!M21=0,0,1000000*SER_hh_emi_in!M21/SER_hh_num_in!M21)</f>
        <v>0</v>
      </c>
      <c r="N21" s="133">
        <f>IF(SER_hh_emi_in!N21=0,0,1000000*SER_hh_emi_in!N21/SER_hh_num_in!N21)</f>
        <v>0</v>
      </c>
      <c r="O21" s="133">
        <f>IF(SER_hh_emi_in!O21=0,0,1000000*SER_hh_emi_in!O21/SER_hh_num_in!O21)</f>
        <v>0</v>
      </c>
      <c r="P21" s="133">
        <f>IF(SER_hh_emi_in!P21=0,0,1000000*SER_hh_emi_in!P21/SER_hh_num_in!P21)</f>
        <v>0</v>
      </c>
      <c r="Q21" s="133">
        <f>IF(SER_hh_emi_in!Q21=0,0,1000000*SER_hh_emi_in!Q21/SER_hh_num_in!Q21)</f>
        <v>0</v>
      </c>
      <c r="R21" s="133">
        <f>IF(SER_hh_emi_in!R21=0,0,1000000*SER_hh_emi_in!R21/SER_hh_num_in!R21)</f>
        <v>0</v>
      </c>
      <c r="S21" s="133">
        <f>IF(SER_hh_emi_in!S21=0,0,1000000*SER_hh_emi_in!S21/SER_hh_num_in!S21)</f>
        <v>0</v>
      </c>
      <c r="T21" s="133">
        <f>IF(SER_hh_emi_in!T21=0,0,1000000*SER_hh_emi_in!T21/SER_hh_num_in!T21)</f>
        <v>0</v>
      </c>
      <c r="U21" s="133">
        <f>IF(SER_hh_emi_in!U21=0,0,1000000*SER_hh_emi_in!U21/SER_hh_num_in!U21)</f>
        <v>0</v>
      </c>
      <c r="V21" s="133">
        <f>IF(SER_hh_emi_in!V21=0,0,1000000*SER_hh_emi_in!V21/SER_hh_num_in!V21)</f>
        <v>0</v>
      </c>
      <c r="W21" s="133">
        <f>IF(SER_hh_emi_in!W21=0,0,1000000*SER_hh_emi_in!W21/SER_hh_num_in!W21)</f>
        <v>0</v>
      </c>
      <c r="DA21" s="157" t="s">
        <v>803</v>
      </c>
    </row>
    <row r="22" spans="1:105" ht="12" customHeight="1" x14ac:dyDescent="0.25">
      <c r="A22" s="132" t="s">
        <v>168</v>
      </c>
      <c r="B22" s="133"/>
      <c r="C22" s="133">
        <f>IF(SER_hh_emi_in!C22=0,0,1000000*SER_hh_emi_in!C22/SER_hh_num_in!C22)</f>
        <v>4522.9188685864556</v>
      </c>
      <c r="D22" s="133">
        <f>IF(SER_hh_emi_in!D22=0,0,1000000*SER_hh_emi_in!D22/SER_hh_num_in!D22)</f>
        <v>4482.2052226641308</v>
      </c>
      <c r="E22" s="133">
        <f>IF(SER_hh_emi_in!E22=0,0,1000000*SER_hh_emi_in!E22/SER_hh_num_in!E22)</f>
        <v>4425.7341013521072</v>
      </c>
      <c r="F22" s="133">
        <f>IF(SER_hh_emi_in!F22=0,0,1000000*SER_hh_emi_in!F22/SER_hh_num_in!F22)</f>
        <v>4444.1192207436079</v>
      </c>
      <c r="G22" s="133">
        <f>IF(SER_hh_emi_in!G22=0,0,1000000*SER_hh_emi_in!G22/SER_hh_num_in!G22)</f>
        <v>4381.1853116942648</v>
      </c>
      <c r="H22" s="133">
        <f>IF(SER_hh_emi_in!H22=0,0,1000000*SER_hh_emi_in!H22/SER_hh_num_in!H22)</f>
        <v>4289.459048198215</v>
      </c>
      <c r="I22" s="133">
        <f>IF(SER_hh_emi_in!I22=0,0,1000000*SER_hh_emi_in!I22/SER_hh_num_in!I22)</f>
        <v>4095.075848536454</v>
      </c>
      <c r="J22" s="133">
        <f>IF(SER_hh_emi_in!J22=0,0,1000000*SER_hh_emi_in!J22/SER_hh_num_in!J22)</f>
        <v>4195.0091884631456</v>
      </c>
      <c r="K22" s="133">
        <f>IF(SER_hh_emi_in!K22=0,0,1000000*SER_hh_emi_in!K22/SER_hh_num_in!K22)</f>
        <v>4215.5908951291049</v>
      </c>
      <c r="L22" s="133">
        <f>IF(SER_hh_emi_in!L22=0,0,1000000*SER_hh_emi_in!L22/SER_hh_num_in!L22)</f>
        <v>3907.2541317834821</v>
      </c>
      <c r="M22" s="133">
        <f>IF(SER_hh_emi_in!M22=0,0,1000000*SER_hh_emi_in!M22/SER_hh_num_in!M22)</f>
        <v>3853.2444350303508</v>
      </c>
      <c r="N22" s="133">
        <f>IF(SER_hh_emi_in!N22=0,0,1000000*SER_hh_emi_in!N22/SER_hh_num_in!N22)</f>
        <v>3895.029294124487</v>
      </c>
      <c r="O22" s="133">
        <f>IF(SER_hh_emi_in!O22=0,0,1000000*SER_hh_emi_in!O22/SER_hh_num_in!O22)</f>
        <v>3723.1523774760021</v>
      </c>
      <c r="P22" s="133">
        <f>IF(SER_hh_emi_in!P22=0,0,1000000*SER_hh_emi_in!P22/SER_hh_num_in!P22)</f>
        <v>3591.7259591906795</v>
      </c>
      <c r="Q22" s="133">
        <f>IF(SER_hh_emi_in!Q22=0,0,1000000*SER_hh_emi_in!Q22/SER_hh_num_in!Q22)</f>
        <v>3357.7358711754123</v>
      </c>
      <c r="R22" s="133">
        <f>IF(SER_hh_emi_in!R22=0,0,1000000*SER_hh_emi_in!R22/SER_hh_num_in!R22)</f>
        <v>3380.9490468154922</v>
      </c>
      <c r="S22" s="133">
        <f>IF(SER_hh_emi_in!S22=0,0,1000000*SER_hh_emi_in!S22/SER_hh_num_in!S22)</f>
        <v>0</v>
      </c>
      <c r="T22" s="133">
        <f>IF(SER_hh_emi_in!T22=0,0,1000000*SER_hh_emi_in!T22/SER_hh_num_in!T22)</f>
        <v>0</v>
      </c>
      <c r="U22" s="133">
        <f>IF(SER_hh_emi_in!U22=0,0,1000000*SER_hh_emi_in!U22/SER_hh_num_in!U22)</f>
        <v>0</v>
      </c>
      <c r="V22" s="133">
        <f>IF(SER_hh_emi_in!V22=0,0,1000000*SER_hh_emi_in!V22/SER_hh_num_in!V22)</f>
        <v>0</v>
      </c>
      <c r="W22" s="133">
        <f>IF(SER_hh_emi_in!W22=0,0,1000000*SER_hh_emi_in!W22/SER_hh_num_in!W22)</f>
        <v>0</v>
      </c>
      <c r="DA22" s="157" t="s">
        <v>804</v>
      </c>
    </row>
    <row r="23" spans="1:105" ht="12" customHeight="1" x14ac:dyDescent="0.25">
      <c r="A23" s="132" t="s">
        <v>153</v>
      </c>
      <c r="B23" s="133"/>
      <c r="C23" s="133">
        <f>IF(SER_hh_emi_in!C23=0,0,1000000*SER_hh_emi_in!C23/SER_hh_num_in!C23)</f>
        <v>2946.1420449300863</v>
      </c>
      <c r="D23" s="133">
        <f>IF(SER_hh_emi_in!D23=0,0,1000000*SER_hh_emi_in!D23/SER_hh_num_in!D23)</f>
        <v>2796.3436490693962</v>
      </c>
      <c r="E23" s="133">
        <f>IF(SER_hh_emi_in!E23=0,0,1000000*SER_hh_emi_in!E23/SER_hh_num_in!E23)</f>
        <v>3016.5238642639051</v>
      </c>
      <c r="F23" s="133">
        <f>IF(SER_hh_emi_in!F23=0,0,1000000*SER_hh_emi_in!F23/SER_hh_num_in!F23)</f>
        <v>2790.2669080840419</v>
      </c>
      <c r="G23" s="133">
        <f>IF(SER_hh_emi_in!G23=0,0,1000000*SER_hh_emi_in!G23/SER_hh_num_in!G23)</f>
        <v>2792.4665667611434</v>
      </c>
      <c r="H23" s="133">
        <f>IF(SER_hh_emi_in!H23=0,0,1000000*SER_hh_emi_in!H23/SER_hh_num_in!H23)</f>
        <v>2840.0802269243813</v>
      </c>
      <c r="I23" s="133">
        <f>IF(SER_hh_emi_in!I23=0,0,1000000*SER_hh_emi_in!I23/SER_hh_num_in!I23)</f>
        <v>2757.9651865281758</v>
      </c>
      <c r="J23" s="133">
        <f>IF(SER_hh_emi_in!J23=0,0,1000000*SER_hh_emi_in!J23/SER_hh_num_in!J23)</f>
        <v>2673.051783074302</v>
      </c>
      <c r="K23" s="133">
        <f>IF(SER_hh_emi_in!K23=0,0,1000000*SER_hh_emi_in!K23/SER_hh_num_in!K23)</f>
        <v>2687.0852302992812</v>
      </c>
      <c r="L23" s="133">
        <f>IF(SER_hh_emi_in!L23=0,0,1000000*SER_hh_emi_in!L23/SER_hh_num_in!L23)</f>
        <v>2355.226015171701</v>
      </c>
      <c r="M23" s="133">
        <f>IF(SER_hh_emi_in!M23=0,0,1000000*SER_hh_emi_in!M23/SER_hh_num_in!M23)</f>
        <v>2456.6540990298945</v>
      </c>
      <c r="N23" s="133">
        <f>IF(SER_hh_emi_in!N23=0,0,1000000*SER_hh_emi_in!N23/SER_hh_num_in!N23)</f>
        <v>2507.5880849908126</v>
      </c>
      <c r="O23" s="133">
        <f>IF(SER_hh_emi_in!O23=0,0,1000000*SER_hh_emi_in!O23/SER_hh_num_in!O23)</f>
        <v>2433.9331610338268</v>
      </c>
      <c r="P23" s="133">
        <f>IF(SER_hh_emi_in!P23=0,0,1000000*SER_hh_emi_in!P23/SER_hh_num_in!P23)</f>
        <v>2180.2016013108978</v>
      </c>
      <c r="Q23" s="133">
        <f>IF(SER_hh_emi_in!Q23=0,0,1000000*SER_hh_emi_in!Q23/SER_hh_num_in!Q23)</f>
        <v>2351.9634313728093</v>
      </c>
      <c r="R23" s="133">
        <f>IF(SER_hh_emi_in!R23=0,0,1000000*SER_hh_emi_in!R23/SER_hh_num_in!R23)</f>
        <v>2258.7303924089088</v>
      </c>
      <c r="S23" s="133">
        <f>IF(SER_hh_emi_in!S23=0,0,1000000*SER_hh_emi_in!S23/SER_hh_num_in!S23)</f>
        <v>2280.4322736626855</v>
      </c>
      <c r="T23" s="133">
        <f>IF(SER_hh_emi_in!T23=0,0,1000000*SER_hh_emi_in!T23/SER_hh_num_in!T23)</f>
        <v>2107.318112539187</v>
      </c>
      <c r="U23" s="133">
        <f>IF(SER_hh_emi_in!U23=0,0,1000000*SER_hh_emi_in!U23/SER_hh_num_in!U23)</f>
        <v>2153.4376542334744</v>
      </c>
      <c r="V23" s="133">
        <f>IF(SER_hh_emi_in!V23=0,0,1000000*SER_hh_emi_in!V23/SER_hh_num_in!V23)</f>
        <v>1484.5687428673857</v>
      </c>
      <c r="W23" s="133">
        <f>IF(SER_hh_emi_in!W23=0,0,1000000*SER_hh_emi_in!W23/SER_hh_num_in!W23)</f>
        <v>2145.0188616263335</v>
      </c>
      <c r="DA23" s="157" t="s">
        <v>805</v>
      </c>
    </row>
    <row r="24" spans="1:105" ht="12" customHeight="1" x14ac:dyDescent="0.25">
      <c r="A24" s="132" t="s">
        <v>128</v>
      </c>
      <c r="B24" s="133"/>
      <c r="C24" s="133">
        <f>IF(SER_hh_emi_in!C24=0,0,1000000*SER_hh_emi_in!C24/SER_hh_num_in!C24)</f>
        <v>1352.1664888585783</v>
      </c>
      <c r="D24" s="133">
        <f>IF(SER_hh_emi_in!D24=0,0,1000000*SER_hh_emi_in!D24/SER_hh_num_in!D24)</f>
        <v>1478.9151055412312</v>
      </c>
      <c r="E24" s="133">
        <f>IF(SER_hh_emi_in!E24=0,0,1000000*SER_hh_emi_in!E24/SER_hh_num_in!E24)</f>
        <v>1412.5083344464144</v>
      </c>
      <c r="F24" s="133">
        <f>IF(SER_hh_emi_in!F24=0,0,1000000*SER_hh_emi_in!F24/SER_hh_num_in!F24)</f>
        <v>1277.5182233093155</v>
      </c>
      <c r="G24" s="133">
        <f>IF(SER_hh_emi_in!G24=0,0,1000000*SER_hh_emi_in!G24/SER_hh_num_in!G24)</f>
        <v>1175.7024038370257</v>
      </c>
      <c r="H24" s="133">
        <f>IF(SER_hh_emi_in!H24=0,0,1000000*SER_hh_emi_in!H24/SER_hh_num_in!H24)</f>
        <v>1095.5867222427764</v>
      </c>
      <c r="I24" s="133">
        <f>IF(SER_hh_emi_in!I24=0,0,1000000*SER_hh_emi_in!I24/SER_hh_num_in!I24)</f>
        <v>879.49110469169057</v>
      </c>
      <c r="J24" s="133">
        <f>IF(SER_hh_emi_in!J24=0,0,1000000*SER_hh_emi_in!J24/SER_hh_num_in!J24)</f>
        <v>672.54479386064975</v>
      </c>
      <c r="K24" s="133">
        <f>IF(SER_hh_emi_in!K24=0,0,1000000*SER_hh_emi_in!K24/SER_hh_num_in!K24)</f>
        <v>485.94982354879699</v>
      </c>
      <c r="L24" s="133">
        <f>IF(SER_hh_emi_in!L24=0,0,1000000*SER_hh_emi_in!L24/SER_hh_num_in!L24)</f>
        <v>461.22832761914128</v>
      </c>
      <c r="M24" s="133">
        <f>IF(SER_hh_emi_in!M24=0,0,1000000*SER_hh_emi_in!M24/SER_hh_num_in!M24)</f>
        <v>660.31984844642534</v>
      </c>
      <c r="N24" s="133">
        <f>IF(SER_hh_emi_in!N24=0,0,1000000*SER_hh_emi_in!N24/SER_hh_num_in!N24)</f>
        <v>690.82892200269168</v>
      </c>
      <c r="O24" s="133">
        <f>IF(SER_hh_emi_in!O24=0,0,1000000*SER_hh_emi_in!O24/SER_hh_num_in!O24)</f>
        <v>615.58393993554716</v>
      </c>
      <c r="P24" s="133">
        <f>IF(SER_hh_emi_in!P24=0,0,1000000*SER_hh_emi_in!P24/SER_hh_num_in!P24)</f>
        <v>731.76076792443541</v>
      </c>
      <c r="Q24" s="133">
        <f>IF(SER_hh_emi_in!Q24=0,0,1000000*SER_hh_emi_in!Q24/SER_hh_num_in!Q24)</f>
        <v>340.18264066013933</v>
      </c>
      <c r="R24" s="133">
        <f>IF(SER_hh_emi_in!R24=0,0,1000000*SER_hh_emi_in!R24/SER_hh_num_in!R24)</f>
        <v>449.1029637181316</v>
      </c>
      <c r="S24" s="133">
        <f>IF(SER_hh_emi_in!S24=0,0,1000000*SER_hh_emi_in!S24/SER_hh_num_in!S24)</f>
        <v>528.49289261345223</v>
      </c>
      <c r="T24" s="133">
        <f>IF(SER_hh_emi_in!T24=0,0,1000000*SER_hh_emi_in!T24/SER_hh_num_in!T24)</f>
        <v>508.56999431774898</v>
      </c>
      <c r="U24" s="133">
        <f>IF(SER_hh_emi_in!U24=0,0,1000000*SER_hh_emi_in!U24/SER_hh_num_in!U24)</f>
        <v>522.57742282512118</v>
      </c>
      <c r="V24" s="133">
        <f>IF(SER_hh_emi_in!V24=0,0,1000000*SER_hh_emi_in!V24/SER_hh_num_in!V24)</f>
        <v>370.12123545202564</v>
      </c>
      <c r="W24" s="133">
        <f>IF(SER_hh_emi_in!W24=0,0,1000000*SER_hh_emi_in!W24/SER_hh_num_in!W24)</f>
        <v>384.35926533443694</v>
      </c>
      <c r="DA24" s="157" t="s">
        <v>806</v>
      </c>
    </row>
    <row r="25" spans="1:105" ht="12" customHeight="1" x14ac:dyDescent="0.25">
      <c r="A25" s="132" t="s">
        <v>169</v>
      </c>
      <c r="B25" s="133"/>
      <c r="C25" s="133">
        <f>IF(SER_hh_emi_in!C25=0,0,1000000*SER_hh_emi_in!C25/SER_hh_num_in!C25)</f>
        <v>0</v>
      </c>
      <c r="D25" s="133">
        <f>IF(SER_hh_emi_in!D25=0,0,1000000*SER_hh_emi_in!D25/SER_hh_num_in!D25)</f>
        <v>0</v>
      </c>
      <c r="E25" s="133">
        <f>IF(SER_hh_emi_in!E25=0,0,1000000*SER_hh_emi_in!E25/SER_hh_num_in!E25)</f>
        <v>0</v>
      </c>
      <c r="F25" s="133">
        <f>IF(SER_hh_emi_in!F25=0,0,1000000*SER_hh_emi_in!F25/SER_hh_num_in!F25)</f>
        <v>0</v>
      </c>
      <c r="G25" s="133">
        <f>IF(SER_hh_emi_in!G25=0,0,1000000*SER_hh_emi_in!G25/SER_hh_num_in!G25)</f>
        <v>0</v>
      </c>
      <c r="H25" s="133">
        <f>IF(SER_hh_emi_in!H25=0,0,1000000*SER_hh_emi_in!H25/SER_hh_num_in!H25)</f>
        <v>0</v>
      </c>
      <c r="I25" s="133">
        <f>IF(SER_hh_emi_in!I25=0,0,1000000*SER_hh_emi_in!I25/SER_hh_num_in!I25)</f>
        <v>0</v>
      </c>
      <c r="J25" s="133">
        <f>IF(SER_hh_emi_in!J25=0,0,1000000*SER_hh_emi_in!J25/SER_hh_num_in!J25)</f>
        <v>0</v>
      </c>
      <c r="K25" s="133">
        <f>IF(SER_hh_emi_in!K25=0,0,1000000*SER_hh_emi_in!K25/SER_hh_num_in!K25)</f>
        <v>0</v>
      </c>
      <c r="L25" s="133">
        <f>IF(SER_hh_emi_in!L25=0,0,1000000*SER_hh_emi_in!L25/SER_hh_num_in!L25)</f>
        <v>0</v>
      </c>
      <c r="M25" s="133">
        <f>IF(SER_hh_emi_in!M25=0,0,1000000*SER_hh_emi_in!M25/SER_hh_num_in!M25)</f>
        <v>0</v>
      </c>
      <c r="N25" s="133">
        <f>IF(SER_hh_emi_in!N25=0,0,1000000*SER_hh_emi_in!N25/SER_hh_num_in!N25)</f>
        <v>0</v>
      </c>
      <c r="O25" s="133">
        <f>IF(SER_hh_emi_in!O25=0,0,1000000*SER_hh_emi_in!O25/SER_hh_num_in!O25)</f>
        <v>0</v>
      </c>
      <c r="P25" s="133">
        <f>IF(SER_hh_emi_in!P25=0,0,1000000*SER_hh_emi_in!P25/SER_hh_num_in!P25)</f>
        <v>0</v>
      </c>
      <c r="Q25" s="133">
        <f>IF(SER_hh_emi_in!Q25=0,0,1000000*SER_hh_emi_in!Q25/SER_hh_num_in!Q25)</f>
        <v>0</v>
      </c>
      <c r="R25" s="133">
        <f>IF(SER_hh_emi_in!R25=0,0,1000000*SER_hh_emi_in!R25/SER_hh_num_in!R25)</f>
        <v>0</v>
      </c>
      <c r="S25" s="133">
        <f>IF(SER_hh_emi_in!S25=0,0,1000000*SER_hh_emi_in!S25/SER_hh_num_in!S25)</f>
        <v>0</v>
      </c>
      <c r="T25" s="133">
        <f>IF(SER_hh_emi_in!T25=0,0,1000000*SER_hh_emi_in!T25/SER_hh_num_in!T25)</f>
        <v>0</v>
      </c>
      <c r="U25" s="133">
        <f>IF(SER_hh_emi_in!U25=0,0,1000000*SER_hh_emi_in!U25/SER_hh_num_in!U25)</f>
        <v>0</v>
      </c>
      <c r="V25" s="133">
        <f>IF(SER_hh_emi_in!V25=0,0,1000000*SER_hh_emi_in!V25/SER_hh_num_in!V25)</f>
        <v>0</v>
      </c>
      <c r="W25" s="133">
        <f>IF(SER_hh_emi_in!W25=0,0,1000000*SER_hh_emi_in!W25/SER_hh_num_in!W25)</f>
        <v>0</v>
      </c>
      <c r="DA25" s="157" t="s">
        <v>807</v>
      </c>
    </row>
    <row r="26" spans="1:105" ht="12" customHeight="1" x14ac:dyDescent="0.25">
      <c r="A26" s="132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DA26" s="109" t="s">
        <v>808</v>
      </c>
    </row>
    <row r="27" spans="1:105" ht="12" customHeight="1" x14ac:dyDescent="0.25">
      <c r="A27" s="145" t="s">
        <v>86</v>
      </c>
      <c r="B27" s="148"/>
      <c r="C27" s="146">
        <f>IF(SER_hh_emi_in!C27=0,0,1000000*SER_hh_emi_in!C27/SER_hh_num_in!C19)</f>
        <v>0</v>
      </c>
      <c r="D27" s="146">
        <f>IF(SER_hh_emi_in!D27=0,0,1000000*SER_hh_emi_in!D27/SER_hh_num_in!D19)</f>
        <v>0</v>
      </c>
      <c r="E27" s="146">
        <f>IF(SER_hh_emi_in!E27=0,0,1000000*SER_hh_emi_in!E27/SER_hh_num_in!E19)</f>
        <v>0</v>
      </c>
      <c r="F27" s="146">
        <f>IF(SER_hh_emi_in!F27=0,0,1000000*SER_hh_emi_in!F27/SER_hh_num_in!F19)</f>
        <v>0</v>
      </c>
      <c r="G27" s="146">
        <f>IF(SER_hh_emi_in!G27=0,0,1000000*SER_hh_emi_in!G27/SER_hh_num_in!G19)</f>
        <v>0</v>
      </c>
      <c r="H27" s="146">
        <f>IF(SER_hh_emi_in!H27=0,0,1000000*SER_hh_emi_in!H27/SER_hh_num_in!H19)</f>
        <v>0</v>
      </c>
      <c r="I27" s="146">
        <f>IF(SER_hh_emi_in!I27=0,0,1000000*SER_hh_emi_in!I27/SER_hh_num_in!I19)</f>
        <v>0</v>
      </c>
      <c r="J27" s="146">
        <f>IF(SER_hh_emi_in!J27=0,0,1000000*SER_hh_emi_in!J27/SER_hh_num_in!J19)</f>
        <v>0</v>
      </c>
      <c r="K27" s="146">
        <f>IF(SER_hh_emi_in!K27=0,0,1000000*SER_hh_emi_in!K27/SER_hh_num_in!K19)</f>
        <v>0</v>
      </c>
      <c r="L27" s="146">
        <f>IF(SER_hh_emi_in!L27=0,0,1000000*SER_hh_emi_in!L27/SER_hh_num_in!L19)</f>
        <v>0</v>
      </c>
      <c r="M27" s="146">
        <f>IF(SER_hh_emi_in!M27=0,0,1000000*SER_hh_emi_in!M27/SER_hh_num_in!M19)</f>
        <v>0</v>
      </c>
      <c r="N27" s="146">
        <f>IF(SER_hh_emi_in!N27=0,0,1000000*SER_hh_emi_in!N27/SER_hh_num_in!N19)</f>
        <v>0</v>
      </c>
      <c r="O27" s="146">
        <f>IF(SER_hh_emi_in!O27=0,0,1000000*SER_hh_emi_in!O27/SER_hh_num_in!O19)</f>
        <v>0</v>
      </c>
      <c r="P27" s="146">
        <f>IF(SER_hh_emi_in!P27=0,0,1000000*SER_hh_emi_in!P27/SER_hh_num_in!P19)</f>
        <v>0</v>
      </c>
      <c r="Q27" s="146">
        <f>IF(SER_hh_emi_in!Q27=0,0,1000000*SER_hh_emi_in!Q27/SER_hh_num_in!Q19)</f>
        <v>0</v>
      </c>
      <c r="R27" s="146">
        <f>IF(SER_hh_emi_in!R27=0,0,1000000*SER_hh_emi_in!R27/SER_hh_num_in!R19)</f>
        <v>0</v>
      </c>
      <c r="S27" s="146">
        <f>IF(SER_hh_emi_in!S27=0,0,1000000*SER_hh_emi_in!S27/SER_hh_num_in!S19)</f>
        <v>0</v>
      </c>
      <c r="T27" s="146">
        <f>IF(SER_hh_emi_in!T27=0,0,1000000*SER_hh_emi_in!T27/SER_hh_num_in!T19)</f>
        <v>0</v>
      </c>
      <c r="U27" s="146">
        <f>IF(SER_hh_emi_in!U27=0,0,1000000*SER_hh_emi_in!U27/SER_hh_num_in!U19)</f>
        <v>0</v>
      </c>
      <c r="V27" s="146">
        <f>IF(SER_hh_emi_in!V27=0,0,1000000*SER_hh_emi_in!V27/SER_hh_num_in!V19)</f>
        <v>0</v>
      </c>
      <c r="W27" s="146">
        <f>IF(SER_hh_emi_in!W27=0,0,1000000*SER_hh_emi_in!W27/SER_hh_num_in!W19)</f>
        <v>0</v>
      </c>
      <c r="DA27" s="159" t="s">
        <v>809</v>
      </c>
    </row>
    <row r="28" spans="1:105" ht="12" customHeight="1" x14ac:dyDescent="0.25">
      <c r="A28" s="78" t="s">
        <v>85</v>
      </c>
      <c r="B28" s="68"/>
      <c r="C28" s="147">
        <f>IF(SER_hh_emi_in!C27=0,0,1000000*SER_hh_emi_in!C27/SER_hh_num_in!C27)</f>
        <v>0</v>
      </c>
      <c r="D28" s="147">
        <f>IF(SER_hh_emi_in!D27=0,0,1000000*SER_hh_emi_in!D27/SER_hh_num_in!D27)</f>
        <v>0</v>
      </c>
      <c r="E28" s="147">
        <f>IF(SER_hh_emi_in!E27=0,0,1000000*SER_hh_emi_in!E27/SER_hh_num_in!E27)</f>
        <v>0</v>
      </c>
      <c r="F28" s="147">
        <f>IF(SER_hh_emi_in!F27=0,0,1000000*SER_hh_emi_in!F27/SER_hh_num_in!F27)</f>
        <v>0</v>
      </c>
      <c r="G28" s="147">
        <f>IF(SER_hh_emi_in!G27=0,0,1000000*SER_hh_emi_in!G27/SER_hh_num_in!G27)</f>
        <v>0</v>
      </c>
      <c r="H28" s="147">
        <f>IF(SER_hh_emi_in!H27=0,0,1000000*SER_hh_emi_in!H27/SER_hh_num_in!H27)</f>
        <v>0</v>
      </c>
      <c r="I28" s="147">
        <f>IF(SER_hh_emi_in!I27=0,0,1000000*SER_hh_emi_in!I27/SER_hh_num_in!I27)</f>
        <v>0</v>
      </c>
      <c r="J28" s="147">
        <f>IF(SER_hh_emi_in!J27=0,0,1000000*SER_hh_emi_in!J27/SER_hh_num_in!J27)</f>
        <v>0</v>
      </c>
      <c r="K28" s="147">
        <f>IF(SER_hh_emi_in!K27=0,0,1000000*SER_hh_emi_in!K27/SER_hh_num_in!K27)</f>
        <v>0</v>
      </c>
      <c r="L28" s="147">
        <f>IF(SER_hh_emi_in!L27=0,0,1000000*SER_hh_emi_in!L27/SER_hh_num_in!L27)</f>
        <v>0</v>
      </c>
      <c r="M28" s="147">
        <f>IF(SER_hh_emi_in!M27=0,0,1000000*SER_hh_emi_in!M27/SER_hh_num_in!M27)</f>
        <v>0</v>
      </c>
      <c r="N28" s="147">
        <f>IF(SER_hh_emi_in!N27=0,0,1000000*SER_hh_emi_in!N27/SER_hh_num_in!N27)</f>
        <v>0</v>
      </c>
      <c r="O28" s="147">
        <f>IF(SER_hh_emi_in!O27=0,0,1000000*SER_hh_emi_in!O27/SER_hh_num_in!O27)</f>
        <v>0</v>
      </c>
      <c r="P28" s="147">
        <f>IF(SER_hh_emi_in!P27=0,0,1000000*SER_hh_emi_in!P27/SER_hh_num_in!P27)</f>
        <v>0</v>
      </c>
      <c r="Q28" s="147">
        <f>IF(SER_hh_emi_in!Q27=0,0,1000000*SER_hh_emi_in!Q27/SER_hh_num_in!Q27)</f>
        <v>0</v>
      </c>
      <c r="R28" s="147">
        <f>IF(SER_hh_emi_in!R27=0,0,1000000*SER_hh_emi_in!R27/SER_hh_num_in!R27)</f>
        <v>0</v>
      </c>
      <c r="S28" s="147">
        <f>IF(SER_hh_emi_in!S27=0,0,1000000*SER_hh_emi_in!S27/SER_hh_num_in!S27)</f>
        <v>0</v>
      </c>
      <c r="T28" s="147">
        <f>IF(SER_hh_emi_in!T27=0,0,1000000*SER_hh_emi_in!T27/SER_hh_num_in!T27)</f>
        <v>0</v>
      </c>
      <c r="U28" s="147">
        <f>IF(SER_hh_emi_in!U27=0,0,1000000*SER_hh_emi_in!U27/SER_hh_num_in!U27)</f>
        <v>0</v>
      </c>
      <c r="V28" s="147">
        <f>IF(SER_hh_emi_in!V27=0,0,1000000*SER_hh_emi_in!V27/SER_hh_num_in!V27)</f>
        <v>0</v>
      </c>
      <c r="W28" s="147">
        <f>IF(SER_hh_emi_in!W27=0,0,1000000*SER_hh_emi_in!W27/SER_hh_num_in!W27)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IF(SER_hh_emi_in!C29=0,0,1000000*SER_hh_emi_in!C29/SER_hh_num_in!C29)</f>
        <v>467.7351596757897</v>
      </c>
      <c r="D29" s="131">
        <f>IF(SER_hh_emi_in!D29=0,0,1000000*SER_hh_emi_in!D29/SER_hh_num_in!D29)</f>
        <v>532.43915068790568</v>
      </c>
      <c r="E29" s="131">
        <f>IF(SER_hh_emi_in!E29=0,0,1000000*SER_hh_emi_in!E29/SER_hh_num_in!E29)</f>
        <v>653.10885427330629</v>
      </c>
      <c r="F29" s="131">
        <f>IF(SER_hh_emi_in!F29=0,0,1000000*SER_hh_emi_in!F29/SER_hh_num_in!F29)</f>
        <v>712.66788847584701</v>
      </c>
      <c r="G29" s="131">
        <f>IF(SER_hh_emi_in!G29=0,0,1000000*SER_hh_emi_in!G29/SER_hh_num_in!G29)</f>
        <v>813.20016160155421</v>
      </c>
      <c r="H29" s="131">
        <f>IF(SER_hh_emi_in!H29=0,0,1000000*SER_hh_emi_in!H29/SER_hh_num_in!H29)</f>
        <v>659.29737975380249</v>
      </c>
      <c r="I29" s="131">
        <f>IF(SER_hh_emi_in!I29=0,0,1000000*SER_hh_emi_in!I29/SER_hh_num_in!I29)</f>
        <v>562.68235795585281</v>
      </c>
      <c r="J29" s="131">
        <f>IF(SER_hh_emi_in!J29=0,0,1000000*SER_hh_emi_in!J29/SER_hh_num_in!J29)</f>
        <v>599.69716139983166</v>
      </c>
      <c r="K29" s="131">
        <f>IF(SER_hh_emi_in!K29=0,0,1000000*SER_hh_emi_in!K29/SER_hh_num_in!K29)</f>
        <v>577.11776070651501</v>
      </c>
      <c r="L29" s="131">
        <f>IF(SER_hh_emi_in!L29=0,0,1000000*SER_hh_emi_in!L29/SER_hh_num_in!L29)</f>
        <v>584.76149501849898</v>
      </c>
      <c r="M29" s="131">
        <f>IF(SER_hh_emi_in!M29=0,0,1000000*SER_hh_emi_in!M29/SER_hh_num_in!M29)</f>
        <v>388.82084784052302</v>
      </c>
      <c r="N29" s="131">
        <f>IF(SER_hh_emi_in!N29=0,0,1000000*SER_hh_emi_in!N29/SER_hh_num_in!N29)</f>
        <v>334.0674093999076</v>
      </c>
      <c r="O29" s="131">
        <f>IF(SER_hh_emi_in!O29=0,0,1000000*SER_hh_emi_in!O29/SER_hh_num_in!O29)</f>
        <v>547.63026668717168</v>
      </c>
      <c r="P29" s="131">
        <f>IF(SER_hh_emi_in!P29=0,0,1000000*SER_hh_emi_in!P29/SER_hh_num_in!P29)</f>
        <v>600.37544220199504</v>
      </c>
      <c r="Q29" s="131">
        <f>IF(SER_hh_emi_in!Q29=0,0,1000000*SER_hh_emi_in!Q29/SER_hh_num_in!Q29)</f>
        <v>955.53259464190353</v>
      </c>
      <c r="R29" s="131">
        <f>IF(SER_hh_emi_in!R29=0,0,1000000*SER_hh_emi_in!R29/SER_hh_num_in!R29)</f>
        <v>797.34694152762609</v>
      </c>
      <c r="S29" s="131">
        <f>IF(SER_hh_emi_in!S29=0,0,1000000*SER_hh_emi_in!S29/SER_hh_num_in!S29)</f>
        <v>691.46786415609665</v>
      </c>
      <c r="T29" s="131">
        <f>IF(SER_hh_emi_in!T29=0,0,1000000*SER_hh_emi_in!T29/SER_hh_num_in!T29)</f>
        <v>616.51812052187222</v>
      </c>
      <c r="U29" s="131">
        <f>IF(SER_hh_emi_in!U29=0,0,1000000*SER_hh_emi_in!U29/SER_hh_num_in!U29)</f>
        <v>712.23532176462732</v>
      </c>
      <c r="V29" s="131">
        <f>IF(SER_hh_emi_in!V29=0,0,1000000*SER_hh_emi_in!V29/SER_hh_num_in!V29)</f>
        <v>364.07058628060622</v>
      </c>
      <c r="W29" s="131">
        <f>IF(SER_hh_emi_in!W29=0,0,1000000*SER_hh_emi_in!W29/SER_hh_num_in!W29)</f>
        <v>593.57440399123084</v>
      </c>
      <c r="DA29" s="156" t="s">
        <v>810</v>
      </c>
    </row>
    <row r="30" spans="1:105" s="2" customFormat="1" ht="12" customHeight="1" x14ac:dyDescent="0.25">
      <c r="A30" s="132" t="s">
        <v>52</v>
      </c>
      <c r="B30" s="133"/>
      <c r="C30" s="133">
        <f>IF(SER_hh_emi_in!C30=0,0,1000000*SER_hh_emi_in!C30/SER_hh_num_in!C30)</f>
        <v>3262.5834612562039</v>
      </c>
      <c r="D30" s="133">
        <f>IF(SER_hh_emi_in!D30=0,0,1000000*SER_hh_emi_in!D30/SER_hh_num_in!D30)</f>
        <v>2911.8704888943116</v>
      </c>
      <c r="E30" s="133">
        <f>IF(SER_hh_emi_in!E30=0,0,1000000*SER_hh_emi_in!E30/SER_hh_num_in!E30)</f>
        <v>3256.8489495680351</v>
      </c>
      <c r="F30" s="133">
        <f>IF(SER_hh_emi_in!F30=0,0,1000000*SER_hh_emi_in!F30/SER_hh_num_in!F30)</f>
        <v>3434.3546654650086</v>
      </c>
      <c r="G30" s="133">
        <f>IF(SER_hh_emi_in!G30=0,0,1000000*SER_hh_emi_in!G30/SER_hh_num_in!G30)</f>
        <v>3613.414379270373</v>
      </c>
      <c r="H30" s="133">
        <f>IF(SER_hh_emi_in!H30=0,0,1000000*SER_hh_emi_in!H30/SER_hh_num_in!H30)</f>
        <v>3438.2627820381867</v>
      </c>
      <c r="I30" s="133">
        <f>IF(SER_hh_emi_in!I30=0,0,1000000*SER_hh_emi_in!I30/SER_hh_num_in!I30)</f>
        <v>3372.9868419533459</v>
      </c>
      <c r="J30" s="133">
        <f>IF(SER_hh_emi_in!J30=0,0,1000000*SER_hh_emi_in!J30/SER_hh_num_in!J30)</f>
        <v>3265.3038763150357</v>
      </c>
      <c r="K30" s="133">
        <f>IF(SER_hh_emi_in!K30=0,0,1000000*SER_hh_emi_in!K30/SER_hh_num_in!K30)</f>
        <v>3115.2298200180862</v>
      </c>
      <c r="L30" s="133">
        <f>IF(SER_hh_emi_in!L30=0,0,1000000*SER_hh_emi_in!L30/SER_hh_num_in!L30)</f>
        <v>3870.1443113342734</v>
      </c>
      <c r="M30" s="133">
        <f>IF(SER_hh_emi_in!M30=0,0,1000000*SER_hh_emi_in!M30/SER_hh_num_in!M30)</f>
        <v>3466.1685215387442</v>
      </c>
      <c r="N30" s="133">
        <f>IF(SER_hh_emi_in!N30=0,0,1000000*SER_hh_emi_in!N30/SER_hh_num_in!N30)</f>
        <v>0</v>
      </c>
      <c r="O30" s="133">
        <f>IF(SER_hh_emi_in!O30=0,0,1000000*SER_hh_emi_in!O30/SER_hh_num_in!O30)</f>
        <v>3860.0308214940646</v>
      </c>
      <c r="P30" s="133">
        <f>IF(SER_hh_emi_in!P30=0,0,1000000*SER_hh_emi_in!P30/SER_hh_num_in!P30)</f>
        <v>2085.2134328913344</v>
      </c>
      <c r="Q30" s="133">
        <f>IF(SER_hh_emi_in!Q30=0,0,1000000*SER_hh_emi_in!Q30/SER_hh_num_in!Q30)</f>
        <v>3946.2711921815444</v>
      </c>
      <c r="R30" s="133">
        <f>IF(SER_hh_emi_in!R30=0,0,1000000*SER_hh_emi_in!R30/SER_hh_num_in!R30)</f>
        <v>3790.4663334951233</v>
      </c>
      <c r="S30" s="133">
        <f>IF(SER_hh_emi_in!S30=0,0,1000000*SER_hh_emi_in!S30/SER_hh_num_in!S30)</f>
        <v>3510.0193397276885</v>
      </c>
      <c r="T30" s="133">
        <f>IF(SER_hh_emi_in!T30=0,0,1000000*SER_hh_emi_in!T30/SER_hh_num_in!T30)</f>
        <v>3542.6495782514617</v>
      </c>
      <c r="U30" s="133">
        <f>IF(SER_hh_emi_in!U30=0,0,1000000*SER_hh_emi_in!U30/SER_hh_num_in!U30)</f>
        <v>3478.6571488157019</v>
      </c>
      <c r="V30" s="133">
        <f>IF(SER_hh_emi_in!V30=0,0,1000000*SER_hh_emi_in!V30/SER_hh_num_in!V30)</f>
        <v>2993.8807766457508</v>
      </c>
      <c r="W30" s="133">
        <f>IF(SER_hh_emi_in!W30=0,0,1000000*SER_hh_emi_in!W30/SER_hh_num_in!W30)</f>
        <v>3218.2385276590267</v>
      </c>
      <c r="DA30" s="157" t="s">
        <v>811</v>
      </c>
    </row>
    <row r="31" spans="1:105" ht="12" customHeight="1" x14ac:dyDescent="0.25">
      <c r="A31" s="132" t="s">
        <v>153</v>
      </c>
      <c r="B31" s="133"/>
      <c r="C31" s="133">
        <f>IF(SER_hh_emi_in!C31=0,0,1000000*SER_hh_emi_in!C31/SER_hh_num_in!C31)</f>
        <v>2742.1617154506448</v>
      </c>
      <c r="D31" s="133">
        <f>IF(SER_hh_emi_in!D31=0,0,1000000*SER_hh_emi_in!D31/SER_hh_num_in!D31)</f>
        <v>2743.0778398406869</v>
      </c>
      <c r="E31" s="133">
        <f>IF(SER_hh_emi_in!E31=0,0,1000000*SER_hh_emi_in!E31/SER_hh_num_in!E31)</f>
        <v>2832.1268052952332</v>
      </c>
      <c r="F31" s="133">
        <f>IF(SER_hh_emi_in!F31=0,0,1000000*SER_hh_emi_in!F31/SER_hh_num_in!F31)</f>
        <v>2767.9416234755072</v>
      </c>
      <c r="G31" s="133">
        <f>IF(SER_hh_emi_in!G31=0,0,1000000*SER_hh_emi_in!G31/SER_hh_num_in!G31)</f>
        <v>2897.1266067860774</v>
      </c>
      <c r="H31" s="133">
        <f>IF(SER_hh_emi_in!H31=0,0,1000000*SER_hh_emi_in!H31/SER_hh_num_in!H31)</f>
        <v>2883.2484318135912</v>
      </c>
      <c r="I31" s="133">
        <f>IF(SER_hh_emi_in!I31=0,0,1000000*SER_hh_emi_in!I31/SER_hh_num_in!I31)</f>
        <v>2875.7648798861555</v>
      </c>
      <c r="J31" s="133">
        <f>IF(SER_hh_emi_in!J31=0,0,1000000*SER_hh_emi_in!J31/SER_hh_num_in!J31)</f>
        <v>2865.7254732126416</v>
      </c>
      <c r="K31" s="133">
        <f>IF(SER_hh_emi_in!K31=0,0,1000000*SER_hh_emi_in!K31/SER_hh_num_in!K31)</f>
        <v>2918.3425886795635</v>
      </c>
      <c r="L31" s="133">
        <f>IF(SER_hh_emi_in!L31=0,0,1000000*SER_hh_emi_in!L31/SER_hh_num_in!L31)</f>
        <v>2916.4032286398797</v>
      </c>
      <c r="M31" s="133">
        <f>IF(SER_hh_emi_in!M31=0,0,1000000*SER_hh_emi_in!M31/SER_hh_num_in!M31)</f>
        <v>2908.125150328543</v>
      </c>
      <c r="N31" s="133">
        <f>IF(SER_hh_emi_in!N31=0,0,1000000*SER_hh_emi_in!N31/SER_hh_num_in!N31)</f>
        <v>2948.393085834728</v>
      </c>
      <c r="O31" s="133">
        <f>IF(SER_hh_emi_in!O31=0,0,1000000*SER_hh_emi_in!O31/SER_hh_num_in!O31)</f>
        <v>2911.2819024861556</v>
      </c>
      <c r="P31" s="133">
        <f>IF(SER_hh_emi_in!P31=0,0,1000000*SER_hh_emi_in!P31/SER_hh_num_in!P31)</f>
        <v>2840.006416002213</v>
      </c>
      <c r="Q31" s="133">
        <f>IF(SER_hh_emi_in!Q31=0,0,1000000*SER_hh_emi_in!Q31/SER_hh_num_in!Q31)</f>
        <v>3212.5425079216357</v>
      </c>
      <c r="R31" s="133">
        <f>IF(SER_hh_emi_in!R31=0,0,1000000*SER_hh_emi_in!R31/SER_hh_num_in!R31)</f>
        <v>3083.4623326619171</v>
      </c>
      <c r="S31" s="133">
        <f>IF(SER_hh_emi_in!S31=0,0,1000000*SER_hh_emi_in!S31/SER_hh_num_in!S31)</f>
        <v>2846.9594257482759</v>
      </c>
      <c r="T31" s="133">
        <f>IF(SER_hh_emi_in!T31=0,0,1000000*SER_hh_emi_in!T31/SER_hh_num_in!T31)</f>
        <v>3041.3531709964072</v>
      </c>
      <c r="U31" s="133">
        <f>IF(SER_hh_emi_in!U31=0,0,1000000*SER_hh_emi_in!U31/SER_hh_num_in!U31)</f>
        <v>3304.2653695574463</v>
      </c>
      <c r="V31" s="133">
        <f>IF(SER_hh_emi_in!V31=0,0,1000000*SER_hh_emi_in!V31/SER_hh_num_in!V31)</f>
        <v>2036.8949674519531</v>
      </c>
      <c r="W31" s="133">
        <f>IF(SER_hh_emi_in!W31=0,0,1000000*SER_hh_emi_in!W31/SER_hh_num_in!W31)</f>
        <v>3088.8782676792384</v>
      </c>
      <c r="DA31" s="157" t="s">
        <v>812</v>
      </c>
    </row>
    <row r="32" spans="1:105" ht="12" customHeight="1" x14ac:dyDescent="0.25">
      <c r="A32" s="132" t="s">
        <v>128</v>
      </c>
      <c r="B32" s="133"/>
      <c r="C32" s="133">
        <f>IF(SER_hh_emi_in!C32=0,0,1000000*SER_hh_emi_in!C32/SER_hh_num_in!C32)</f>
        <v>0</v>
      </c>
      <c r="D32" s="133">
        <f>IF(SER_hh_emi_in!D32=0,0,1000000*SER_hh_emi_in!D32/SER_hh_num_in!D32)</f>
        <v>0</v>
      </c>
      <c r="E32" s="133">
        <f>IF(SER_hh_emi_in!E32=0,0,1000000*SER_hh_emi_in!E32/SER_hh_num_in!E32)</f>
        <v>0</v>
      </c>
      <c r="F32" s="133">
        <f>IF(SER_hh_emi_in!F32=0,0,1000000*SER_hh_emi_in!F32/SER_hh_num_in!F32)</f>
        <v>0</v>
      </c>
      <c r="G32" s="133">
        <f>IF(SER_hh_emi_in!G32=0,0,1000000*SER_hh_emi_in!G32/SER_hh_num_in!G32)</f>
        <v>0</v>
      </c>
      <c r="H32" s="133">
        <f>IF(SER_hh_emi_in!H32=0,0,1000000*SER_hh_emi_in!H32/SER_hh_num_in!H32)</f>
        <v>0</v>
      </c>
      <c r="I32" s="133">
        <f>IF(SER_hh_emi_in!I32=0,0,1000000*SER_hh_emi_in!I32/SER_hh_num_in!I32)</f>
        <v>0</v>
      </c>
      <c r="J32" s="133">
        <f>IF(SER_hh_emi_in!J32=0,0,1000000*SER_hh_emi_in!J32/SER_hh_num_in!J32)</f>
        <v>0</v>
      </c>
      <c r="K32" s="133">
        <f>IF(SER_hh_emi_in!K32=0,0,1000000*SER_hh_emi_in!K32/SER_hh_num_in!K32)</f>
        <v>0</v>
      </c>
      <c r="L32" s="133">
        <f>IF(SER_hh_emi_in!L32=0,0,1000000*SER_hh_emi_in!L32/SER_hh_num_in!L32)</f>
        <v>0</v>
      </c>
      <c r="M32" s="133">
        <f>IF(SER_hh_emi_in!M32=0,0,1000000*SER_hh_emi_in!M32/SER_hh_num_in!M32)</f>
        <v>0</v>
      </c>
      <c r="N32" s="133">
        <f>IF(SER_hh_emi_in!N32=0,0,1000000*SER_hh_emi_in!N32/SER_hh_num_in!N32)</f>
        <v>0</v>
      </c>
      <c r="O32" s="133">
        <f>IF(SER_hh_emi_in!O32=0,0,1000000*SER_hh_emi_in!O32/SER_hh_num_in!O32)</f>
        <v>0</v>
      </c>
      <c r="P32" s="133">
        <f>IF(SER_hh_emi_in!P32=0,0,1000000*SER_hh_emi_in!P32/SER_hh_num_in!P32)</f>
        <v>0</v>
      </c>
      <c r="Q32" s="133">
        <f>IF(SER_hh_emi_in!Q32=0,0,1000000*SER_hh_emi_in!Q32/SER_hh_num_in!Q32)</f>
        <v>0</v>
      </c>
      <c r="R32" s="133">
        <f>IF(SER_hh_emi_in!R32=0,0,1000000*SER_hh_emi_in!R32/SER_hh_num_in!R32)</f>
        <v>0</v>
      </c>
      <c r="S32" s="133">
        <f>IF(SER_hh_emi_in!S32=0,0,1000000*SER_hh_emi_in!S32/SER_hh_num_in!S32)</f>
        <v>0</v>
      </c>
      <c r="T32" s="133">
        <f>IF(SER_hh_emi_in!T32=0,0,1000000*SER_hh_emi_in!T32/SER_hh_num_in!T32)</f>
        <v>0</v>
      </c>
      <c r="U32" s="133">
        <f>IF(SER_hh_emi_in!U32=0,0,1000000*SER_hh_emi_in!U32/SER_hh_num_in!U32)</f>
        <v>0</v>
      </c>
      <c r="V32" s="133">
        <f>IF(SER_hh_emi_in!V32=0,0,1000000*SER_hh_emi_in!V32/SER_hh_num_in!V32)</f>
        <v>0</v>
      </c>
      <c r="W32" s="133">
        <f>IF(SER_hh_emi_in!W32=0,0,1000000*SER_hh_emi_in!W32/SER_hh_num_in!W32)</f>
        <v>0</v>
      </c>
      <c r="DA32" s="157" t="s">
        <v>813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DA33" s="111" t="s">
        <v>814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/>
      <c r="C3" s="126">
        <f>IF(SER_hh_fech_in!C3=0,0,SER_hh_fech_in!C3/SER_summary!C$27)</f>
        <v>147.9826230516517</v>
      </c>
      <c r="D3" s="126">
        <f>IF(SER_hh_fech_in!D3=0,0,SER_hh_fech_in!D3/SER_summary!D$27)</f>
        <v>147.97913727547379</v>
      </c>
      <c r="E3" s="126">
        <f>IF(SER_hh_fech_in!E3=0,0,SER_hh_fech_in!E3/SER_summary!E$27)</f>
        <v>149.3837996548892</v>
      </c>
      <c r="F3" s="126">
        <f>IF(SER_hh_fech_in!F3=0,0,SER_hh_fech_in!F3/SER_summary!F$27)</f>
        <v>143.85434458061005</v>
      </c>
      <c r="G3" s="126">
        <f>IF(SER_hh_fech_in!G3=0,0,SER_hh_fech_in!G3/SER_summary!G$27)</f>
        <v>136.48692852643825</v>
      </c>
      <c r="H3" s="126">
        <f>IF(SER_hh_fech_in!H3=0,0,SER_hh_fech_in!H3/SER_summary!H$27)</f>
        <v>132.76360496110465</v>
      </c>
      <c r="I3" s="126">
        <f>IF(SER_hh_fech_in!I3=0,0,SER_hh_fech_in!I3/SER_summary!I$27)</f>
        <v>120.96974376874067</v>
      </c>
      <c r="J3" s="126">
        <f>IF(SER_hh_fech_in!J3=0,0,SER_hh_fech_in!J3/SER_summary!J$27)</f>
        <v>118.87041613641847</v>
      </c>
      <c r="K3" s="126">
        <f>IF(SER_hh_fech_in!K3=0,0,SER_hh_fech_in!K3/SER_summary!K$27)</f>
        <v>113.00323667763868</v>
      </c>
      <c r="L3" s="126">
        <f>IF(SER_hh_fech_in!L3=0,0,SER_hh_fech_in!L3/SER_summary!L$27)</f>
        <v>119.25921179411166</v>
      </c>
      <c r="M3" s="126">
        <f>IF(SER_hh_fech_in!M3=0,0,SER_hh_fech_in!M3/SER_summary!M$27)</f>
        <v>104.61650604605299</v>
      </c>
      <c r="N3" s="126">
        <f>IF(SER_hh_fech_in!N3=0,0,SER_hh_fech_in!N3/SER_summary!N$27)</f>
        <v>105.72525976362046</v>
      </c>
      <c r="O3" s="126">
        <f>IF(SER_hh_fech_in!O3=0,0,SER_hh_fech_in!O3/SER_summary!O$27)</f>
        <v>101.29212338738512</v>
      </c>
      <c r="P3" s="126">
        <f>IF(SER_hh_fech_in!P3=0,0,SER_hh_fech_in!P3/SER_summary!P$27)</f>
        <v>88.239240697828507</v>
      </c>
      <c r="Q3" s="126">
        <f>IF(SER_hh_fech_in!Q3=0,0,SER_hh_fech_in!Q3/SER_summary!Q$27)</f>
        <v>90.533719321433921</v>
      </c>
      <c r="R3" s="126">
        <f>IF(SER_hh_fech_in!R3=0,0,SER_hh_fech_in!R3/SER_summary!R$27)</f>
        <v>89.553491310565676</v>
      </c>
      <c r="S3" s="126">
        <f>IF(SER_hh_fech_in!S3=0,0,SER_hh_fech_in!S3/SER_summary!S$27)</f>
        <v>87.345010563050053</v>
      </c>
      <c r="T3" s="126">
        <f>IF(SER_hh_fech_in!T3=0,0,SER_hh_fech_in!T3/SER_summary!T$27)</f>
        <v>78.66858943155006</v>
      </c>
      <c r="U3" s="126">
        <f>IF(SER_hh_fech_in!U3=0,0,SER_hh_fech_in!U3/SER_summary!U$27)</f>
        <v>72.529174827376409</v>
      </c>
      <c r="V3" s="126">
        <f>IF(SER_hh_fech_in!V3=0,0,SER_hh_fech_in!V3/SER_summary!V$27)</f>
        <v>65.545387703957928</v>
      </c>
      <c r="W3" s="126">
        <f>IF(SER_hh_fech_in!W3=0,0,SER_hh_fech_in!W3/SER_summary!W$27)</f>
        <v>71.628700008585611</v>
      </c>
      <c r="DA3" s="155" t="s">
        <v>816</v>
      </c>
    </row>
    <row r="4" spans="1:105" ht="12.95" customHeight="1" x14ac:dyDescent="0.25">
      <c r="A4" s="130" t="s">
        <v>32</v>
      </c>
      <c r="B4" s="131"/>
      <c r="C4" s="131">
        <f>IF(SER_hh_fech_in!C4=0,0,SER_hh_fech_in!C4/SER_summary!C$27)</f>
        <v>112.40738794426599</v>
      </c>
      <c r="D4" s="131">
        <f>IF(SER_hh_fech_in!D4=0,0,SER_hh_fech_in!D4/SER_summary!D$27)</f>
        <v>112.63330056632661</v>
      </c>
      <c r="E4" s="131">
        <f>IF(SER_hh_fech_in!E4=0,0,SER_hh_fech_in!E4/SER_summary!E$27)</f>
        <v>113.89437638591113</v>
      </c>
      <c r="F4" s="131">
        <f>IF(SER_hh_fech_in!F4=0,0,SER_hh_fech_in!F4/SER_summary!F$27)</f>
        <v>108.76919322182387</v>
      </c>
      <c r="G4" s="131">
        <f>IF(SER_hh_fech_in!G4=0,0,SER_hh_fech_in!G4/SER_summary!G$27)</f>
        <v>101.8051740278505</v>
      </c>
      <c r="H4" s="131">
        <f>IF(SER_hh_fech_in!H4=0,0,SER_hh_fech_in!H4/SER_summary!H$27)</f>
        <v>98.537084544158844</v>
      </c>
      <c r="I4" s="131">
        <f>IF(SER_hh_fech_in!I4=0,0,SER_hh_fech_in!I4/SER_summary!I$27)</f>
        <v>87.799532700636789</v>
      </c>
      <c r="J4" s="131">
        <f>IF(SER_hh_fech_in!J4=0,0,SER_hh_fech_in!J4/SER_summary!J$27)</f>
        <v>86.023485382538695</v>
      </c>
      <c r="K4" s="131">
        <f>IF(SER_hh_fech_in!K4=0,0,SER_hh_fech_in!K4/SER_summary!K$27)</f>
        <v>80.747836421562141</v>
      </c>
      <c r="L4" s="131">
        <f>IF(SER_hh_fech_in!L4=0,0,SER_hh_fech_in!L4/SER_summary!L$27)</f>
        <v>87.767055125304722</v>
      </c>
      <c r="M4" s="131">
        <f>IF(SER_hh_fech_in!M4=0,0,SER_hh_fech_in!M4/SER_summary!M$27)</f>
        <v>73.352520945995565</v>
      </c>
      <c r="N4" s="131">
        <f>IF(SER_hh_fech_in!N4=0,0,SER_hh_fech_in!N4/SER_summary!N$27)</f>
        <v>74.32334334047394</v>
      </c>
      <c r="O4" s="131">
        <f>IF(SER_hh_fech_in!O4=0,0,SER_hh_fech_in!O4/SER_summary!O$27)</f>
        <v>70.335275087712034</v>
      </c>
      <c r="P4" s="131">
        <f>IF(SER_hh_fech_in!P4=0,0,SER_hh_fech_in!P4/SER_summary!P$27)</f>
        <v>57.773518521473036</v>
      </c>
      <c r="Q4" s="131">
        <f>IF(SER_hh_fech_in!Q4=0,0,SER_hh_fech_in!Q4/SER_summary!Q$27)</f>
        <v>59.687853918943262</v>
      </c>
      <c r="R4" s="131">
        <f>IF(SER_hh_fech_in!R4=0,0,SER_hh_fech_in!R4/SER_summary!R$27)</f>
        <v>59.303580398537669</v>
      </c>
      <c r="S4" s="131">
        <f>IF(SER_hh_fech_in!S4=0,0,SER_hh_fech_in!S4/SER_summary!S$27)</f>
        <v>57.773624061992727</v>
      </c>
      <c r="T4" s="131">
        <f>IF(SER_hh_fech_in!T4=0,0,SER_hh_fech_in!T4/SER_summary!T$27)</f>
        <v>49.89498763128524</v>
      </c>
      <c r="U4" s="131">
        <f>IF(SER_hh_fech_in!U4=0,0,SER_hh_fech_in!U4/SER_summary!U$27)</f>
        <v>44.37358775200218</v>
      </c>
      <c r="V4" s="131">
        <f>IF(SER_hh_fech_in!V4=0,0,SER_hh_fech_in!V4/SER_summary!V$27)</f>
        <v>40.764815166996051</v>
      </c>
      <c r="W4" s="131">
        <f>IF(SER_hh_fech_in!W4=0,0,SER_hh_fech_in!W4/SER_summary!W$27)</f>
        <v>45.667267178514464</v>
      </c>
      <c r="DA4" s="156" t="s">
        <v>817</v>
      </c>
    </row>
    <row r="5" spans="1:105" ht="12" customHeight="1" x14ac:dyDescent="0.25">
      <c r="A5" s="132" t="s">
        <v>29</v>
      </c>
      <c r="B5" s="133"/>
      <c r="C5" s="133">
        <f>IF(SER_hh_fech_in!C5=0,0,SER_hh_fech_in!C5/SER_summary!C$27)</f>
        <v>0</v>
      </c>
      <c r="D5" s="133">
        <f>IF(SER_hh_fech_in!D5=0,0,SER_hh_fech_in!D5/SER_summary!D$27)</f>
        <v>0</v>
      </c>
      <c r="E5" s="133">
        <f>IF(SER_hh_fech_in!E5=0,0,SER_hh_fech_in!E5/SER_summary!E$27)</f>
        <v>0</v>
      </c>
      <c r="F5" s="133">
        <f>IF(SER_hh_fech_in!F5=0,0,SER_hh_fech_in!F5/SER_summary!F$27)</f>
        <v>0</v>
      </c>
      <c r="G5" s="133">
        <f>IF(SER_hh_fech_in!G5=0,0,SER_hh_fech_in!G5/SER_summary!G$27)</f>
        <v>0</v>
      </c>
      <c r="H5" s="133">
        <f>IF(SER_hh_fech_in!H5=0,0,SER_hh_fech_in!H5/SER_summary!H$27)</f>
        <v>0</v>
      </c>
      <c r="I5" s="133">
        <f>IF(SER_hh_fech_in!I5=0,0,SER_hh_fech_in!I5/SER_summary!I$27)</f>
        <v>0</v>
      </c>
      <c r="J5" s="133">
        <f>IF(SER_hh_fech_in!J5=0,0,SER_hh_fech_in!J5/SER_summary!J$27)</f>
        <v>0</v>
      </c>
      <c r="K5" s="133">
        <f>IF(SER_hh_fech_in!K5=0,0,SER_hh_fech_in!K5/SER_summary!K$27)</f>
        <v>0</v>
      </c>
      <c r="L5" s="133">
        <f>IF(SER_hh_fech_in!L5=0,0,SER_hh_fech_in!L5/SER_summary!L$27)</f>
        <v>0</v>
      </c>
      <c r="M5" s="133">
        <f>IF(SER_hh_fech_in!M5=0,0,SER_hh_fech_in!M5/SER_summary!M$27)</f>
        <v>0</v>
      </c>
      <c r="N5" s="133">
        <f>IF(SER_hh_fech_in!N5=0,0,SER_hh_fech_in!N5/SER_summary!N$27)</f>
        <v>0</v>
      </c>
      <c r="O5" s="133">
        <f>IF(SER_hh_fech_in!O5=0,0,SER_hh_fech_in!O5/SER_summary!O$27)</f>
        <v>0</v>
      </c>
      <c r="P5" s="133">
        <f>IF(SER_hh_fech_in!P5=0,0,SER_hh_fech_in!P5/SER_summary!P$27)</f>
        <v>0</v>
      </c>
      <c r="Q5" s="133">
        <f>IF(SER_hh_fech_in!Q5=0,0,SER_hh_fech_in!Q5/SER_summary!Q$27)</f>
        <v>0</v>
      </c>
      <c r="R5" s="133">
        <f>IF(SER_hh_fech_in!R5=0,0,SER_hh_fech_in!R5/SER_summary!R$27)</f>
        <v>0</v>
      </c>
      <c r="S5" s="133">
        <f>IF(SER_hh_fech_in!S5=0,0,SER_hh_fech_in!S5/SER_summary!S$27)</f>
        <v>0</v>
      </c>
      <c r="T5" s="133">
        <f>IF(SER_hh_fech_in!T5=0,0,SER_hh_fech_in!T5/SER_summary!T$27)</f>
        <v>0</v>
      </c>
      <c r="U5" s="133">
        <f>IF(SER_hh_fech_in!U5=0,0,SER_hh_fech_in!U5/SER_summary!U$27)</f>
        <v>0</v>
      </c>
      <c r="V5" s="133">
        <f>IF(SER_hh_fech_in!V5=0,0,SER_hh_fech_in!V5/SER_summary!V$27)</f>
        <v>0</v>
      </c>
      <c r="W5" s="133">
        <f>IF(SER_hh_fech_in!W5=0,0,SER_hh_fech_in!W5/SER_summary!W$27)</f>
        <v>0</v>
      </c>
      <c r="DA5" s="157" t="s">
        <v>818</v>
      </c>
    </row>
    <row r="6" spans="1:105" ht="12" customHeight="1" x14ac:dyDescent="0.25">
      <c r="A6" s="132" t="s">
        <v>52</v>
      </c>
      <c r="B6" s="133"/>
      <c r="C6" s="133">
        <f>IF(SER_hh_fech_in!C6=0,0,SER_hh_fech_in!C6/SER_summary!C$27)</f>
        <v>0</v>
      </c>
      <c r="D6" s="133">
        <f>IF(SER_hh_fech_in!D6=0,0,SER_hh_fech_in!D6/SER_summary!D$27)</f>
        <v>0</v>
      </c>
      <c r="E6" s="133">
        <f>IF(SER_hh_fech_in!E6=0,0,SER_hh_fech_in!E6/SER_summary!E$27)</f>
        <v>0</v>
      </c>
      <c r="F6" s="133">
        <f>IF(SER_hh_fech_in!F6=0,0,SER_hh_fech_in!F6/SER_summary!F$27)</f>
        <v>0</v>
      </c>
      <c r="G6" s="133">
        <f>IF(SER_hh_fech_in!G6=0,0,SER_hh_fech_in!G6/SER_summary!G$27)</f>
        <v>0</v>
      </c>
      <c r="H6" s="133">
        <f>IF(SER_hh_fech_in!H6=0,0,SER_hh_fech_in!H6/SER_summary!H$27)</f>
        <v>0</v>
      </c>
      <c r="I6" s="133">
        <f>IF(SER_hh_fech_in!I6=0,0,SER_hh_fech_in!I6/SER_summary!I$27)</f>
        <v>0</v>
      </c>
      <c r="J6" s="133">
        <f>IF(SER_hh_fech_in!J6=0,0,SER_hh_fech_in!J6/SER_summary!J$27)</f>
        <v>0</v>
      </c>
      <c r="K6" s="133">
        <f>IF(SER_hh_fech_in!K6=0,0,SER_hh_fech_in!K6/SER_summary!K$27)</f>
        <v>0</v>
      </c>
      <c r="L6" s="133">
        <f>IF(SER_hh_fech_in!L6=0,0,SER_hh_fech_in!L6/SER_summary!L$27)</f>
        <v>0</v>
      </c>
      <c r="M6" s="133">
        <f>IF(SER_hh_fech_in!M6=0,0,SER_hh_fech_in!M6/SER_summary!M$27)</f>
        <v>0</v>
      </c>
      <c r="N6" s="133">
        <f>IF(SER_hh_fech_in!N6=0,0,SER_hh_fech_in!N6/SER_summary!N$27)</f>
        <v>0</v>
      </c>
      <c r="O6" s="133">
        <f>IF(SER_hh_fech_in!O6=0,0,SER_hh_fech_in!O6/SER_summary!O$27)</f>
        <v>0</v>
      </c>
      <c r="P6" s="133">
        <f>IF(SER_hh_fech_in!P6=0,0,SER_hh_fech_in!P6/SER_summary!P$27)</f>
        <v>0</v>
      </c>
      <c r="Q6" s="133">
        <f>IF(SER_hh_fech_in!Q6=0,0,SER_hh_fech_in!Q6/SER_summary!Q$27)</f>
        <v>0</v>
      </c>
      <c r="R6" s="133">
        <f>IF(SER_hh_fech_in!R6=0,0,SER_hh_fech_in!R6/SER_summary!R$27)</f>
        <v>0</v>
      </c>
      <c r="S6" s="133">
        <f>IF(SER_hh_fech_in!S6=0,0,SER_hh_fech_in!S6/SER_summary!S$27)</f>
        <v>0</v>
      </c>
      <c r="T6" s="133">
        <f>IF(SER_hh_fech_in!T6=0,0,SER_hh_fech_in!T6/SER_summary!T$27)</f>
        <v>0</v>
      </c>
      <c r="U6" s="133">
        <f>IF(SER_hh_fech_in!U6=0,0,SER_hh_fech_in!U6/SER_summary!U$27)</f>
        <v>0</v>
      </c>
      <c r="V6" s="133">
        <f>IF(SER_hh_fech_in!V6=0,0,SER_hh_fech_in!V6/SER_summary!V$27)</f>
        <v>0</v>
      </c>
      <c r="W6" s="133">
        <f>IF(SER_hh_fech_in!W6=0,0,SER_hh_fech_in!W6/SER_summary!W$27)</f>
        <v>0</v>
      </c>
      <c r="DA6" s="157" t="s">
        <v>819</v>
      </c>
    </row>
    <row r="7" spans="1:105" ht="12" customHeight="1" x14ac:dyDescent="0.25">
      <c r="A7" s="132" t="s">
        <v>168</v>
      </c>
      <c r="B7" s="133"/>
      <c r="C7" s="133">
        <f>IF(SER_hh_fech_in!C7=0,0,SER_hh_fech_in!C7/SER_summary!C$27)</f>
        <v>157.39348334916735</v>
      </c>
      <c r="D7" s="133">
        <f>IF(SER_hh_fech_in!D7=0,0,SER_hh_fech_in!D7/SER_summary!D$27)</f>
        <v>148.34862275427844</v>
      </c>
      <c r="E7" s="133">
        <f>IF(SER_hh_fech_in!E7=0,0,SER_hh_fech_in!E7/SER_summary!E$27)</f>
        <v>148.85652482990477</v>
      </c>
      <c r="F7" s="133">
        <f>IF(SER_hh_fech_in!F7=0,0,SER_hh_fech_in!F7/SER_summary!F$27)</f>
        <v>154.47755223000223</v>
      </c>
      <c r="G7" s="133">
        <f>IF(SER_hh_fech_in!G7=0,0,SER_hh_fech_in!G7/SER_summary!G$27)</f>
        <v>141.28507762474911</v>
      </c>
      <c r="H7" s="133">
        <f>IF(SER_hh_fech_in!H7=0,0,SER_hh_fech_in!H7/SER_summary!H$27)</f>
        <v>125.96243995631465</v>
      </c>
      <c r="I7" s="133">
        <f>IF(SER_hh_fech_in!I7=0,0,SER_hh_fech_in!I7/SER_summary!I$27)</f>
        <v>116.65779341538784</v>
      </c>
      <c r="J7" s="133">
        <f>IF(SER_hh_fech_in!J7=0,0,SER_hh_fech_in!J7/SER_summary!J$27)</f>
        <v>121.19622116603239</v>
      </c>
      <c r="K7" s="133">
        <f>IF(SER_hh_fech_in!K7=0,0,SER_hh_fech_in!K7/SER_summary!K$27)</f>
        <v>114.41996959376775</v>
      </c>
      <c r="L7" s="133">
        <f>IF(SER_hh_fech_in!L7=0,0,SER_hh_fech_in!L7/SER_summary!L$27)</f>
        <v>112.57492775665118</v>
      </c>
      <c r="M7" s="133">
        <f>IF(SER_hh_fech_in!M7=0,0,SER_hh_fech_in!M7/SER_summary!M$27)</f>
        <v>86.448637891606936</v>
      </c>
      <c r="N7" s="133">
        <f>IF(SER_hh_fech_in!N7=0,0,SER_hh_fech_in!N7/SER_summary!N$27)</f>
        <v>98.119053607718882</v>
      </c>
      <c r="O7" s="133">
        <f>IF(SER_hh_fech_in!O7=0,0,SER_hh_fech_in!O7/SER_summary!O$27)</f>
        <v>84.194457027835114</v>
      </c>
      <c r="P7" s="133">
        <f>IF(SER_hh_fech_in!P7=0,0,SER_hh_fech_in!P7/SER_summary!P$27)</f>
        <v>69.000338639576313</v>
      </c>
      <c r="Q7" s="133">
        <f>IF(SER_hh_fech_in!Q7=0,0,SER_hh_fech_in!Q7/SER_summary!Q$27)</f>
        <v>68.007738290207087</v>
      </c>
      <c r="R7" s="133">
        <f>IF(SER_hh_fech_in!R7=0,0,SER_hh_fech_in!R7/SER_summary!R$27)</f>
        <v>66.347298900961221</v>
      </c>
      <c r="S7" s="133">
        <f>IF(SER_hh_fech_in!S7=0,0,SER_hh_fech_in!S7/SER_summary!S$27)</f>
        <v>0</v>
      </c>
      <c r="T7" s="133">
        <f>IF(SER_hh_fech_in!T7=0,0,SER_hh_fech_in!T7/SER_summary!T$27)</f>
        <v>68.963356529118087</v>
      </c>
      <c r="U7" s="133">
        <f>IF(SER_hh_fech_in!U7=0,0,SER_hh_fech_in!U7/SER_summary!U$27)</f>
        <v>0</v>
      </c>
      <c r="V7" s="133">
        <f>IF(SER_hh_fech_in!V7=0,0,SER_hh_fech_in!V7/SER_summary!V$27)</f>
        <v>0</v>
      </c>
      <c r="W7" s="133">
        <f>IF(SER_hh_fech_in!W7=0,0,SER_hh_fech_in!W7/SER_summary!W$27)</f>
        <v>0</v>
      </c>
      <c r="DA7" s="157" t="s">
        <v>820</v>
      </c>
    </row>
    <row r="8" spans="1:105" ht="12" customHeight="1" x14ac:dyDescent="0.25">
      <c r="A8" s="132" t="s">
        <v>73</v>
      </c>
      <c r="B8" s="133"/>
      <c r="C8" s="133">
        <f>IF(SER_hh_fech_in!C8=0,0,SER_hh_fech_in!C8/SER_summary!C$27)</f>
        <v>62.362309221838061</v>
      </c>
      <c r="D8" s="133">
        <f>IF(SER_hh_fech_in!D8=0,0,SER_hh_fech_in!D8/SER_summary!D$27)</f>
        <v>56.850140773195825</v>
      </c>
      <c r="E8" s="133">
        <f>IF(SER_hh_fech_in!E8=0,0,SER_hh_fech_in!E8/SER_summary!E$27)</f>
        <v>60.309970032783013</v>
      </c>
      <c r="F8" s="133">
        <f>IF(SER_hh_fech_in!F8=0,0,SER_hh_fech_in!F8/SER_summary!F$27)</f>
        <v>56.259957473224667</v>
      </c>
      <c r="G8" s="133">
        <f>IF(SER_hh_fech_in!G8=0,0,SER_hh_fech_in!G8/SER_summary!G$27)</f>
        <v>44.59411858423357</v>
      </c>
      <c r="H8" s="133">
        <f>IF(SER_hh_fech_in!H8=0,0,SER_hh_fech_in!H8/SER_summary!H$27)</f>
        <v>25.576070359564977</v>
      </c>
      <c r="I8" s="133">
        <f>IF(SER_hh_fech_in!I8=0,0,SER_hh_fech_in!I8/SER_summary!I$27)</f>
        <v>51.739781306362467</v>
      </c>
      <c r="J8" s="133">
        <f>IF(SER_hh_fech_in!J8=0,0,SER_hh_fech_in!J8/SER_summary!J$27)</f>
        <v>41.564338218627896</v>
      </c>
      <c r="K8" s="133">
        <f>IF(SER_hh_fech_in!K8=0,0,SER_hh_fech_in!K8/SER_summary!K$27)</f>
        <v>37.386089101112375</v>
      </c>
      <c r="L8" s="133">
        <f>IF(SER_hh_fech_in!L8=0,0,SER_hh_fech_in!L8/SER_summary!L$27)</f>
        <v>34.119383321377299</v>
      </c>
      <c r="M8" s="133">
        <f>IF(SER_hh_fech_in!M8=0,0,SER_hh_fech_in!M8/SER_summary!M$27)</f>
        <v>30.433911590443078</v>
      </c>
      <c r="N8" s="133">
        <f>IF(SER_hh_fech_in!N8=0,0,SER_hh_fech_in!N8/SER_summary!N$27)</f>
        <v>26.966239835522185</v>
      </c>
      <c r="O8" s="133">
        <f>IF(SER_hh_fech_in!O8=0,0,SER_hh_fech_in!O8/SER_summary!O$27)</f>
        <v>22.62467576174819</v>
      </c>
      <c r="P8" s="133">
        <f>IF(SER_hh_fech_in!P8=0,0,SER_hh_fech_in!P8/SER_summary!P$27)</f>
        <v>22.498227742509911</v>
      </c>
      <c r="Q8" s="133">
        <f>IF(SER_hh_fech_in!Q8=0,0,SER_hh_fech_in!Q8/SER_summary!Q$27)</f>
        <v>22.528120662472308</v>
      </c>
      <c r="R8" s="133">
        <f>IF(SER_hh_fech_in!R8=0,0,SER_hh_fech_in!R8/SER_summary!R$27)</f>
        <v>21.280399725324639</v>
      </c>
      <c r="S8" s="133">
        <f>IF(SER_hh_fech_in!S8=0,0,SER_hh_fech_in!S8/SER_summary!S$27)</f>
        <v>19.154994199047138</v>
      </c>
      <c r="T8" s="133">
        <f>IF(SER_hh_fech_in!T8=0,0,SER_hh_fech_in!T8/SER_summary!T$27)</f>
        <v>17.967265233960983</v>
      </c>
      <c r="U8" s="133">
        <f>IF(SER_hh_fech_in!U8=0,0,SER_hh_fech_in!U8/SER_summary!U$27)</f>
        <v>16.352174017703803</v>
      </c>
      <c r="V8" s="133">
        <f>IF(SER_hh_fech_in!V8=0,0,SER_hh_fech_in!V8/SER_summary!V$27)</f>
        <v>16.233736322367307</v>
      </c>
      <c r="W8" s="133">
        <f>IF(SER_hh_fech_in!W8=0,0,SER_hh_fech_in!W8/SER_summary!W$27)</f>
        <v>17.07176026361682</v>
      </c>
      <c r="DA8" s="157" t="s">
        <v>821</v>
      </c>
    </row>
    <row r="9" spans="1:105" ht="12" customHeight="1" x14ac:dyDescent="0.25">
      <c r="A9" s="132" t="s">
        <v>78</v>
      </c>
      <c r="B9" s="133"/>
      <c r="C9" s="133">
        <f>IF(SER_hh_fech_in!C9=0,0,SER_hh_fech_in!C9/SER_summary!C$27)</f>
        <v>136.89889841122769</v>
      </c>
      <c r="D9" s="133">
        <f>IF(SER_hh_fech_in!D9=0,0,SER_hh_fech_in!D9/SER_summary!D$27)</f>
        <v>128.35790682315067</v>
      </c>
      <c r="E9" s="133">
        <f>IF(SER_hh_fech_in!E9=0,0,SER_hh_fech_in!E9/SER_summary!E$27)</f>
        <v>137.90812854039285</v>
      </c>
      <c r="F9" s="133">
        <f>IF(SER_hh_fech_in!F9=0,0,SER_hh_fech_in!F9/SER_summary!F$27)</f>
        <v>125.28157869587515</v>
      </c>
      <c r="G9" s="133">
        <f>IF(SER_hh_fech_in!G9=0,0,SER_hh_fech_in!G9/SER_summary!G$27)</f>
        <v>119.49165349022455</v>
      </c>
      <c r="H9" s="133">
        <f>IF(SER_hh_fech_in!H9=0,0,SER_hh_fech_in!H9/SER_summary!H$27)</f>
        <v>123.86430096839972</v>
      </c>
      <c r="I9" s="133">
        <f>IF(SER_hh_fech_in!I9=0,0,SER_hh_fech_in!I9/SER_summary!I$27)</f>
        <v>108.02036997565069</v>
      </c>
      <c r="J9" s="133">
        <f>IF(SER_hh_fech_in!J9=0,0,SER_hh_fech_in!J9/SER_summary!J$27)</f>
        <v>103.89976583855595</v>
      </c>
      <c r="K9" s="133">
        <f>IF(SER_hh_fech_in!K9=0,0,SER_hh_fech_in!K9/SER_summary!K$27)</f>
        <v>103.03036863055964</v>
      </c>
      <c r="L9" s="133">
        <f>IF(SER_hh_fech_in!L9=0,0,SER_hh_fech_in!L9/SER_summary!L$27)</f>
        <v>103.22229038086692</v>
      </c>
      <c r="M9" s="133">
        <f>IF(SER_hh_fech_in!M9=0,0,SER_hh_fech_in!M9/SER_summary!M$27)</f>
        <v>76.798943109589445</v>
      </c>
      <c r="N9" s="133">
        <f>IF(SER_hh_fech_in!N9=0,0,SER_hh_fech_in!N9/SER_summary!N$27)</f>
        <v>84.559746330438784</v>
      </c>
      <c r="O9" s="133">
        <f>IF(SER_hh_fech_in!O9=0,0,SER_hh_fech_in!O9/SER_summary!O$27)</f>
        <v>84.706510682457377</v>
      </c>
      <c r="P9" s="133">
        <f>IF(SER_hh_fech_in!P9=0,0,SER_hh_fech_in!P9/SER_summary!P$27)</f>
        <v>54.673320479242811</v>
      </c>
      <c r="Q9" s="133">
        <f>IF(SER_hh_fech_in!Q9=0,0,SER_hh_fech_in!Q9/SER_summary!Q$27)</f>
        <v>66.670443966107726</v>
      </c>
      <c r="R9" s="133">
        <f>IF(SER_hh_fech_in!R9=0,0,SER_hh_fech_in!R9/SER_summary!R$27)</f>
        <v>65.806786835729554</v>
      </c>
      <c r="S9" s="133">
        <f>IF(SER_hh_fech_in!S9=0,0,SER_hh_fech_in!S9/SER_summary!S$27)</f>
        <v>67.831117753801152</v>
      </c>
      <c r="T9" s="133">
        <f>IF(SER_hh_fech_in!T9=0,0,SER_hh_fech_in!T9/SER_summary!T$27)</f>
        <v>48.121904619605587</v>
      </c>
      <c r="U9" s="133">
        <f>IF(SER_hh_fech_in!U9=0,0,SER_hh_fech_in!U9/SER_summary!U$27)</f>
        <v>44.158075785290009</v>
      </c>
      <c r="V9" s="133">
        <f>IF(SER_hh_fech_in!V9=0,0,SER_hh_fech_in!V9/SER_summary!V$27)</f>
        <v>42.096926208385987</v>
      </c>
      <c r="W9" s="133">
        <f>IF(SER_hh_fech_in!W9=0,0,SER_hh_fech_in!W9/SER_summary!W$27)</f>
        <v>59.66917987041041</v>
      </c>
      <c r="DA9" s="157" t="s">
        <v>822</v>
      </c>
    </row>
    <row r="10" spans="1:105" ht="12" customHeight="1" x14ac:dyDescent="0.25">
      <c r="A10" s="132" t="s">
        <v>128</v>
      </c>
      <c r="B10" s="133"/>
      <c r="C10" s="133">
        <f>IF(SER_hh_fech_in!C10=0,0,SER_hh_fech_in!C10/SER_summary!C$27)</f>
        <v>132.14932855110237</v>
      </c>
      <c r="D10" s="133">
        <f>IF(SER_hh_fech_in!D10=0,0,SER_hh_fech_in!D10/SER_summary!D$27)</f>
        <v>160.62690066414726</v>
      </c>
      <c r="E10" s="133">
        <f>IF(SER_hh_fech_in!E10=0,0,SER_hh_fech_in!E10/SER_summary!E$27)</f>
        <v>158.57245460335736</v>
      </c>
      <c r="F10" s="133">
        <f>IF(SER_hh_fech_in!F10=0,0,SER_hh_fech_in!F10/SER_summary!F$27)</f>
        <v>131.93000421236155</v>
      </c>
      <c r="G10" s="133">
        <f>IF(SER_hh_fech_in!G10=0,0,SER_hh_fech_in!G10/SER_summary!G$27)</f>
        <v>137.86982170053159</v>
      </c>
      <c r="H10" s="133">
        <f>IF(SER_hh_fech_in!H10=0,0,SER_hh_fech_in!H10/SER_summary!H$27)</f>
        <v>148.8765010245433</v>
      </c>
      <c r="I10" s="133">
        <f>IF(SER_hh_fech_in!I10=0,0,SER_hh_fech_in!I10/SER_summary!I$27)</f>
        <v>129.48608460307156</v>
      </c>
      <c r="J10" s="133">
        <f>IF(SER_hh_fech_in!J10=0,0,SER_hh_fech_in!J10/SER_summary!J$27)</f>
        <v>0</v>
      </c>
      <c r="K10" s="133">
        <f>IF(SER_hh_fech_in!K10=0,0,SER_hh_fech_in!K10/SER_summary!K$27)</f>
        <v>0</v>
      </c>
      <c r="L10" s="133">
        <f>IF(SER_hh_fech_in!L10=0,0,SER_hh_fech_in!L10/SER_summary!L$27)</f>
        <v>109.73580039463961</v>
      </c>
      <c r="M10" s="133">
        <f>IF(SER_hh_fech_in!M10=0,0,SER_hh_fech_in!M10/SER_summary!M$27)</f>
        <v>114.08433069053952</v>
      </c>
      <c r="N10" s="133">
        <f>IF(SER_hh_fech_in!N10=0,0,SER_hh_fech_in!N10/SER_summary!N$27)</f>
        <v>97.517116758748159</v>
      </c>
      <c r="O10" s="133">
        <f>IF(SER_hh_fech_in!O10=0,0,SER_hh_fech_in!O10/SER_summary!O$27)</f>
        <v>92.48718811471916</v>
      </c>
      <c r="P10" s="133">
        <f>IF(SER_hh_fech_in!P10=0,0,SER_hh_fech_in!P10/SER_summary!P$27)</f>
        <v>100.53927019575212</v>
      </c>
      <c r="Q10" s="133">
        <f>IF(SER_hh_fech_in!Q10=0,0,SER_hh_fech_in!Q10/SER_summary!Q$27)</f>
        <v>79.080165205297973</v>
      </c>
      <c r="R10" s="133">
        <f>IF(SER_hh_fech_in!R10=0,0,SER_hh_fech_in!R10/SER_summary!R$27)</f>
        <v>85.838352634037648</v>
      </c>
      <c r="S10" s="133">
        <f>IF(SER_hh_fech_in!S10=0,0,SER_hh_fech_in!S10/SER_summary!S$27)</f>
        <v>87.13471392091391</v>
      </c>
      <c r="T10" s="133">
        <f>IF(SER_hh_fech_in!T10=0,0,SER_hh_fech_in!T10/SER_summary!T$27)</f>
        <v>91.17923721654239</v>
      </c>
      <c r="U10" s="133">
        <f>IF(SER_hh_fech_in!U10=0,0,SER_hh_fech_in!U10/SER_summary!U$27)</f>
        <v>77.317735425925434</v>
      </c>
      <c r="V10" s="133">
        <f>IF(SER_hh_fech_in!V10=0,0,SER_hh_fech_in!V10/SER_summary!V$27)</f>
        <v>67.090711428879459</v>
      </c>
      <c r="W10" s="133">
        <f>IF(SER_hh_fech_in!W10=0,0,SER_hh_fech_in!W10/SER_summary!W$27)</f>
        <v>0</v>
      </c>
      <c r="DA10" s="157" t="s">
        <v>823</v>
      </c>
    </row>
    <row r="11" spans="1:105" ht="12" customHeight="1" x14ac:dyDescent="0.25">
      <c r="A11" s="132" t="s">
        <v>25</v>
      </c>
      <c r="B11" s="133"/>
      <c r="C11" s="133">
        <f>IF(SER_hh_fech_in!C11=0,0,SER_hh_fech_in!C11/SER_summary!C$27)</f>
        <v>0</v>
      </c>
      <c r="D11" s="133">
        <f>IF(SER_hh_fech_in!D11=0,0,SER_hh_fech_in!D11/SER_summary!D$27)</f>
        <v>0</v>
      </c>
      <c r="E11" s="133">
        <f>IF(SER_hh_fech_in!E11=0,0,SER_hh_fech_in!E11/SER_summary!E$27)</f>
        <v>0</v>
      </c>
      <c r="F11" s="133">
        <f>IF(SER_hh_fech_in!F11=0,0,SER_hh_fech_in!F11/SER_summary!F$27)</f>
        <v>0</v>
      </c>
      <c r="G11" s="133">
        <f>IF(SER_hh_fech_in!G11=0,0,SER_hh_fech_in!G11/SER_summary!G$27)</f>
        <v>0</v>
      </c>
      <c r="H11" s="133">
        <f>IF(SER_hh_fech_in!H11=0,0,SER_hh_fech_in!H11/SER_summary!H$27)</f>
        <v>0</v>
      </c>
      <c r="I11" s="133">
        <f>IF(SER_hh_fech_in!I11=0,0,SER_hh_fech_in!I11/SER_summary!I$27)</f>
        <v>0</v>
      </c>
      <c r="J11" s="133">
        <f>IF(SER_hh_fech_in!J11=0,0,SER_hh_fech_in!J11/SER_summary!J$27)</f>
        <v>0</v>
      </c>
      <c r="K11" s="133">
        <f>IF(SER_hh_fech_in!K11=0,0,SER_hh_fech_in!K11/SER_summary!K$27)</f>
        <v>0</v>
      </c>
      <c r="L11" s="133">
        <f>IF(SER_hh_fech_in!L11=0,0,SER_hh_fech_in!L11/SER_summary!L$27)</f>
        <v>0</v>
      </c>
      <c r="M11" s="133">
        <f>IF(SER_hh_fech_in!M11=0,0,SER_hh_fech_in!M11/SER_summary!M$27)</f>
        <v>0</v>
      </c>
      <c r="N11" s="133">
        <f>IF(SER_hh_fech_in!N11=0,0,SER_hh_fech_in!N11/SER_summary!N$27)</f>
        <v>0</v>
      </c>
      <c r="O11" s="133">
        <f>IF(SER_hh_fech_in!O11=0,0,SER_hh_fech_in!O11/SER_summary!O$27)</f>
        <v>0</v>
      </c>
      <c r="P11" s="133">
        <f>IF(SER_hh_fech_in!P11=0,0,SER_hh_fech_in!P11/SER_summary!P$27)</f>
        <v>0</v>
      </c>
      <c r="Q11" s="133">
        <f>IF(SER_hh_fech_in!Q11=0,0,SER_hh_fech_in!Q11/SER_summary!Q$27)</f>
        <v>0</v>
      </c>
      <c r="R11" s="133">
        <f>IF(SER_hh_fech_in!R11=0,0,SER_hh_fech_in!R11/SER_summary!R$27)</f>
        <v>0</v>
      </c>
      <c r="S11" s="133">
        <f>IF(SER_hh_fech_in!S11=0,0,SER_hh_fech_in!S11/SER_summary!S$27)</f>
        <v>0</v>
      </c>
      <c r="T11" s="133">
        <f>IF(SER_hh_fech_in!T11=0,0,SER_hh_fech_in!T11/SER_summary!T$27)</f>
        <v>0</v>
      </c>
      <c r="U11" s="133">
        <f>IF(SER_hh_fech_in!U11=0,0,SER_hh_fech_in!U11/SER_summary!U$27)</f>
        <v>0</v>
      </c>
      <c r="V11" s="133">
        <f>IF(SER_hh_fech_in!V11=0,0,SER_hh_fech_in!V11/SER_summary!V$27)</f>
        <v>0</v>
      </c>
      <c r="W11" s="133">
        <f>IF(SER_hh_fech_in!W11=0,0,SER_hh_fech_in!W11/SER_summary!W$27)</f>
        <v>0</v>
      </c>
      <c r="DA11" s="157" t="s">
        <v>824</v>
      </c>
    </row>
    <row r="12" spans="1:105" ht="12" customHeight="1" x14ac:dyDescent="0.25">
      <c r="A12" s="132" t="s">
        <v>169</v>
      </c>
      <c r="B12" s="133"/>
      <c r="C12" s="133">
        <f>IF(SER_hh_fech_in!C12=0,0,SER_hh_fech_in!C12/SER_summary!C$27)</f>
        <v>106.18134929482346</v>
      </c>
      <c r="D12" s="133">
        <f>IF(SER_hh_fech_in!D12=0,0,SER_hh_fech_in!D12/SER_summary!D$27)</f>
        <v>101.87151824863409</v>
      </c>
      <c r="E12" s="133">
        <f>IF(SER_hh_fech_in!E12=0,0,SER_hh_fech_in!E12/SER_summary!E$27)</f>
        <v>101.77563684379064</v>
      </c>
      <c r="F12" s="133">
        <f>IF(SER_hh_fech_in!F12=0,0,SER_hh_fech_in!F12/SER_summary!F$27)</f>
        <v>98.499861801879533</v>
      </c>
      <c r="G12" s="133">
        <f>IF(SER_hh_fech_in!G12=0,0,SER_hh_fech_in!G12/SER_summary!G$27)</f>
        <v>94.432539503964804</v>
      </c>
      <c r="H12" s="133">
        <f>IF(SER_hh_fech_in!H12=0,0,SER_hh_fech_in!H12/SER_summary!H$27)</f>
        <v>91.630383361435548</v>
      </c>
      <c r="I12" s="133">
        <f>IF(SER_hh_fech_in!I12=0,0,SER_hh_fech_in!I12/SER_summary!I$27)</f>
        <v>85.100924851803256</v>
      </c>
      <c r="J12" s="133">
        <f>IF(SER_hh_fech_in!J12=0,0,SER_hh_fech_in!J12/SER_summary!J$27)</f>
        <v>83.082820063780886</v>
      </c>
      <c r="K12" s="133">
        <f>IF(SER_hh_fech_in!K12=0,0,SER_hh_fech_in!K12/SER_summary!K$27)</f>
        <v>79.063345284200224</v>
      </c>
      <c r="L12" s="133">
        <f>IF(SER_hh_fech_in!L12=0,0,SER_hh_fech_in!L12/SER_summary!L$27)</f>
        <v>86.497731256858614</v>
      </c>
      <c r="M12" s="133">
        <f>IF(SER_hh_fech_in!M12=0,0,SER_hh_fech_in!M12/SER_summary!M$27)</f>
        <v>71.19929457323191</v>
      </c>
      <c r="N12" s="133">
        <f>IF(SER_hh_fech_in!N12=0,0,SER_hh_fech_in!N12/SER_summary!N$27)</f>
        <v>69.880346151308103</v>
      </c>
      <c r="O12" s="133">
        <f>IF(SER_hh_fech_in!O12=0,0,SER_hh_fech_in!O12/SER_summary!O$27)</f>
        <v>66.216670917340082</v>
      </c>
      <c r="P12" s="133">
        <f>IF(SER_hh_fech_in!P12=0,0,SER_hh_fech_in!P12/SER_summary!P$27)</f>
        <v>56.413134420628396</v>
      </c>
      <c r="Q12" s="133">
        <f>IF(SER_hh_fech_in!Q12=0,0,SER_hh_fech_in!Q12/SER_summary!Q$27)</f>
        <v>57.91883313717468</v>
      </c>
      <c r="R12" s="133">
        <f>IF(SER_hh_fech_in!R12=0,0,SER_hh_fech_in!R12/SER_summary!R$27)</f>
        <v>57.065599350529681</v>
      </c>
      <c r="S12" s="133">
        <f>IF(SER_hh_fech_in!S12=0,0,SER_hh_fech_in!S12/SER_summary!S$27)</f>
        <v>54.69576040928591</v>
      </c>
      <c r="T12" s="133">
        <f>IF(SER_hh_fech_in!T12=0,0,SER_hh_fech_in!T12/SER_summary!T$27)</f>
        <v>51.160264240939526</v>
      </c>
      <c r="U12" s="133">
        <f>IF(SER_hh_fech_in!U12=0,0,SER_hh_fech_in!U12/SER_summary!U$27)</f>
        <v>47.328116526186022</v>
      </c>
      <c r="V12" s="133">
        <f>IF(SER_hh_fech_in!V12=0,0,SER_hh_fech_in!V12/SER_summary!V$27)</f>
        <v>43.32293503902234</v>
      </c>
      <c r="W12" s="133">
        <f>IF(SER_hh_fech_in!W12=0,0,SER_hh_fech_in!W12/SER_summary!W$27)</f>
        <v>44.334024902933464</v>
      </c>
      <c r="DA12" s="157" t="s">
        <v>825</v>
      </c>
    </row>
    <row r="13" spans="1:105" ht="12" customHeight="1" x14ac:dyDescent="0.25">
      <c r="A13" s="132" t="s">
        <v>77</v>
      </c>
      <c r="B13" s="133"/>
      <c r="C13" s="133">
        <f>IF(SER_hh_fech_in!C13=0,0,SER_hh_fech_in!C13/SER_summary!C$27)</f>
        <v>47.448787481101412</v>
      </c>
      <c r="D13" s="133">
        <f>IF(SER_hh_fech_in!D13=0,0,SER_hh_fech_in!D13/SER_summary!D$27)</f>
        <v>44.726313606311045</v>
      </c>
      <c r="E13" s="133">
        <f>IF(SER_hh_fech_in!E13=0,0,SER_hh_fech_in!E13/SER_summary!E$27)</f>
        <v>41.92682952648849</v>
      </c>
      <c r="F13" s="133">
        <f>IF(SER_hh_fech_in!F13=0,0,SER_hh_fech_in!F13/SER_summary!F$27)</f>
        <v>39.839880652558513</v>
      </c>
      <c r="G13" s="133">
        <f>IF(SER_hh_fech_in!G13=0,0,SER_hh_fech_in!G13/SER_summary!G$27)</f>
        <v>28.061811495621942</v>
      </c>
      <c r="H13" s="133">
        <f>IF(SER_hh_fech_in!H13=0,0,SER_hh_fech_in!H13/SER_summary!H$27)</f>
        <v>17.694651642662819</v>
      </c>
      <c r="I13" s="133">
        <f>IF(SER_hh_fech_in!I13=0,0,SER_hh_fech_in!I13/SER_summary!I$27)</f>
        <v>38.7737229217757</v>
      </c>
      <c r="J13" s="133">
        <f>IF(SER_hh_fech_in!J13=0,0,SER_hh_fech_in!J13/SER_summary!J$27)</f>
        <v>30.959598951281315</v>
      </c>
      <c r="K13" s="133">
        <f>IF(SER_hh_fech_in!K13=0,0,SER_hh_fech_in!K13/SER_summary!K$27)</f>
        <v>26.784395209416513</v>
      </c>
      <c r="L13" s="133">
        <f>IF(SER_hh_fech_in!L13=0,0,SER_hh_fech_in!L13/SER_summary!L$27)</f>
        <v>25.237463700449645</v>
      </c>
      <c r="M13" s="133">
        <f>IF(SER_hh_fech_in!M13=0,0,SER_hh_fech_in!M13/SER_summary!M$27)</f>
        <v>22.48884186147405</v>
      </c>
      <c r="N13" s="133">
        <f>IF(SER_hh_fech_in!N13=0,0,SER_hh_fech_in!N13/SER_summary!N$27)</f>
        <v>20.281291566524075</v>
      </c>
      <c r="O13" s="133">
        <f>IF(SER_hh_fech_in!O13=0,0,SER_hh_fech_in!O13/SER_summary!O$27)</f>
        <v>17.945146455074138</v>
      </c>
      <c r="P13" s="133">
        <f>IF(SER_hh_fech_in!P13=0,0,SER_hh_fech_in!P13/SER_summary!P$27)</f>
        <v>15.560339976168688</v>
      </c>
      <c r="Q13" s="133">
        <f>IF(SER_hh_fech_in!Q13=0,0,SER_hh_fech_in!Q13/SER_summary!Q$27)</f>
        <v>15.090889343825911</v>
      </c>
      <c r="R13" s="133">
        <f>IF(SER_hh_fech_in!R13=0,0,SER_hh_fech_in!R13/SER_summary!R$27)</f>
        <v>14.960624597308552</v>
      </c>
      <c r="S13" s="133">
        <f>IF(SER_hh_fech_in!S13=0,0,SER_hh_fech_in!S13/SER_summary!S$27)</f>
        <v>13.465166470467441</v>
      </c>
      <c r="T13" s="133">
        <f>IF(SER_hh_fech_in!T13=0,0,SER_hh_fech_in!T13/SER_summary!T$27)</f>
        <v>12.763626954517711</v>
      </c>
      <c r="U13" s="133">
        <f>IF(SER_hh_fech_in!U13=0,0,SER_hh_fech_in!U13/SER_summary!U$27)</f>
        <v>12.074170596846331</v>
      </c>
      <c r="V13" s="133">
        <f>IF(SER_hh_fech_in!V13=0,0,SER_hh_fech_in!V13/SER_summary!V$27)</f>
        <v>11.437285410774303</v>
      </c>
      <c r="W13" s="133">
        <f>IF(SER_hh_fech_in!W13=0,0,SER_hh_fech_in!W13/SER_summary!W$27)</f>
        <v>11.060542867032632</v>
      </c>
      <c r="DA13" s="157" t="s">
        <v>826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117.39923796424165</v>
      </c>
      <c r="D14" s="65">
        <f>IF(SER_hh_fech_in!D14=0,0,SER_hh_fech_in!D14/SER_summary!D$27)</f>
        <v>114.58776708723795</v>
      </c>
      <c r="E14" s="65">
        <f>IF(SER_hh_fech_in!E14=0,0,SER_hh_fech_in!E14/SER_summary!E$27)</f>
        <v>107.09477165011786</v>
      </c>
      <c r="F14" s="65">
        <f>IF(SER_hh_fech_in!F14=0,0,SER_hh_fech_in!F14/SER_summary!F$27)</f>
        <v>107.03811713893685</v>
      </c>
      <c r="G14" s="65">
        <f>IF(SER_hh_fech_in!G14=0,0,SER_hh_fech_in!G14/SER_summary!G$27)</f>
        <v>101.48313465948644</v>
      </c>
      <c r="H14" s="65">
        <f>IF(SER_hh_fech_in!H14=0,0,SER_hh_fech_in!H14/SER_summary!H$27)</f>
        <v>100.85264954907058</v>
      </c>
      <c r="I14" s="65">
        <f>IF(SER_hh_fech_in!I14=0,0,SER_hh_fech_in!I14/SER_summary!I$27)</f>
        <v>98.981254541948672</v>
      </c>
      <c r="J14" s="65">
        <f>IF(SER_hh_fech_in!J14=0,0,SER_hh_fech_in!J14/SER_summary!J$27)</f>
        <v>95.455374701232657</v>
      </c>
      <c r="K14" s="65">
        <f>IF(SER_hh_fech_in!K14=0,0,SER_hh_fech_in!K14/SER_summary!K$27)</f>
        <v>83.12705838910162</v>
      </c>
      <c r="L14" s="65">
        <f>IF(SER_hh_fech_in!L14=0,0,SER_hh_fech_in!L14/SER_summary!L$27)</f>
        <v>91.196925753153124</v>
      </c>
      <c r="M14" s="65">
        <f>IF(SER_hh_fech_in!M14=0,0,SER_hh_fech_in!M14/SER_summary!M$27)</f>
        <v>81.745855772519846</v>
      </c>
      <c r="N14" s="65">
        <f>IF(SER_hh_fech_in!N14=0,0,SER_hh_fech_in!N14/SER_summary!N$27)</f>
        <v>75.008235652163748</v>
      </c>
      <c r="O14" s="65">
        <f>IF(SER_hh_fech_in!O14=0,0,SER_hh_fech_in!O14/SER_summary!O$27)</f>
        <v>0</v>
      </c>
      <c r="P14" s="65">
        <f>IF(SER_hh_fech_in!P14=0,0,SER_hh_fech_in!P14/SER_summary!P$27)</f>
        <v>0</v>
      </c>
      <c r="Q14" s="65">
        <f>IF(SER_hh_fech_in!Q14=0,0,SER_hh_fech_in!Q14/SER_summary!Q$27)</f>
        <v>0</v>
      </c>
      <c r="R14" s="65">
        <f>IF(SER_hh_fech_in!R14=0,0,SER_hh_fech_in!R14/SER_summary!R$27)</f>
        <v>0</v>
      </c>
      <c r="S14" s="65">
        <f>IF(SER_hh_fech_in!S14=0,0,SER_hh_fech_in!S14/SER_summary!S$27)</f>
        <v>0</v>
      </c>
      <c r="T14" s="65">
        <f>IF(SER_hh_fech_in!T14=0,0,SER_hh_fech_in!T14/SER_summary!T$27)</f>
        <v>0</v>
      </c>
      <c r="U14" s="65">
        <f>IF(SER_hh_fech_in!U14=0,0,SER_hh_fech_in!U14/SER_summary!U$27)</f>
        <v>0</v>
      </c>
      <c r="V14" s="65">
        <f>IF(SER_hh_fech_in!V14=0,0,SER_hh_fech_in!V14/SER_summary!V$27)</f>
        <v>0</v>
      </c>
      <c r="W14" s="65">
        <f>IF(SER_hh_fech_in!W14=0,0,SER_hh_fech_in!W14/SER_summary!W$27)</f>
        <v>57.624891650701286</v>
      </c>
      <c r="DA14" s="109" t="s">
        <v>827</v>
      </c>
    </row>
    <row r="15" spans="1:105" ht="12" customHeight="1" x14ac:dyDescent="0.25">
      <c r="A15" s="134" t="s">
        <v>80</v>
      </c>
      <c r="B15" s="135"/>
      <c r="C15" s="135">
        <f>IF(SER_hh_fech_in!C15=0,0,SER_hh_fech_in!C15/SER_summary!C$27)</f>
        <v>0.59170502375599721</v>
      </c>
      <c r="D15" s="135">
        <f>IF(SER_hh_fech_in!D15=0,0,SER_hh_fech_in!D15/SER_summary!D$27)</f>
        <v>0.69126043679055371</v>
      </c>
      <c r="E15" s="135">
        <f>IF(SER_hh_fech_in!E15=0,0,SER_hh_fech_in!E15/SER_summary!E$27)</f>
        <v>0.73881308476454066</v>
      </c>
      <c r="F15" s="135">
        <f>IF(SER_hh_fech_in!F15=0,0,SER_hh_fech_in!F15/SER_summary!F$27)</f>
        <v>0.69977531918383462</v>
      </c>
      <c r="G15" s="135">
        <f>IF(SER_hh_fech_in!G15=0,0,SER_hh_fech_in!G15/SER_summary!G$27)</f>
        <v>0.63692654696251916</v>
      </c>
      <c r="H15" s="135">
        <f>IF(SER_hh_fech_in!H15=0,0,SER_hh_fech_in!H15/SER_summary!H$27)</f>
        <v>0.61235227039418905</v>
      </c>
      <c r="I15" s="135">
        <f>IF(SER_hh_fech_in!I15=0,0,SER_hh_fech_in!I15/SER_summary!I$27)</f>
        <v>0.45505145567738631</v>
      </c>
      <c r="J15" s="135">
        <f>IF(SER_hh_fech_in!J15=0,0,SER_hh_fech_in!J15/SER_summary!J$27)</f>
        <v>0.44498615810777342</v>
      </c>
      <c r="K15" s="135">
        <f>IF(SER_hh_fech_in!K15=0,0,SER_hh_fech_in!K15/SER_summary!K$27)</f>
        <v>0.37903259993075483</v>
      </c>
      <c r="L15" s="135">
        <f>IF(SER_hh_fech_in!L15=0,0,SER_hh_fech_in!L15/SER_summary!L$27)</f>
        <v>0.37492677903645971</v>
      </c>
      <c r="M15" s="135">
        <f>IF(SER_hh_fech_in!M15=0,0,SER_hh_fech_in!M15/SER_summary!M$27)</f>
        <v>0.35080288143888438</v>
      </c>
      <c r="N15" s="135">
        <f>IF(SER_hh_fech_in!N15=0,0,SER_hh_fech_in!N15/SER_summary!N$27)</f>
        <v>0.42572142570444166</v>
      </c>
      <c r="O15" s="135">
        <f>IF(SER_hh_fech_in!O15=0,0,SER_hh_fech_in!O15/SER_summary!O$27)</f>
        <v>0.41742947079598808</v>
      </c>
      <c r="P15" s="135">
        <f>IF(SER_hh_fech_in!P15=0,0,SER_hh_fech_in!P15/SER_summary!P$27)</f>
        <v>0.29041377220266895</v>
      </c>
      <c r="Q15" s="135">
        <f>IF(SER_hh_fech_in!Q15=0,0,SER_hh_fech_in!Q15/SER_summary!Q$27)</f>
        <v>0.39598377993954614</v>
      </c>
      <c r="R15" s="135">
        <f>IF(SER_hh_fech_in!R15=0,0,SER_hh_fech_in!R15/SER_summary!R$27)</f>
        <v>0.35598717161354065</v>
      </c>
      <c r="S15" s="135">
        <f>IF(SER_hh_fech_in!S15=0,0,SER_hh_fech_in!S15/SER_summary!S$27)</f>
        <v>0.34424244510341856</v>
      </c>
      <c r="T15" s="135">
        <f>IF(SER_hh_fech_in!T15=0,0,SER_hh_fech_in!T15/SER_summary!T$27)</f>
        <v>0.28163205235603267</v>
      </c>
      <c r="U15" s="135">
        <f>IF(SER_hh_fech_in!U15=0,0,SER_hh_fech_in!U15/SER_summary!U$27)</f>
        <v>0.30529907779293852</v>
      </c>
      <c r="V15" s="135">
        <f>IF(SER_hh_fech_in!V15=0,0,SER_hh_fech_in!V15/SER_summary!V$27)</f>
        <v>0.28299111798441823</v>
      </c>
      <c r="W15" s="135">
        <f>IF(SER_hh_fech_in!W15=0,0,SER_hh_fech_in!W15/SER_summary!W$27)</f>
        <v>0.29506991442739255</v>
      </c>
      <c r="DA15" s="158" t="s">
        <v>828</v>
      </c>
    </row>
    <row r="16" spans="1:105" ht="12.95" customHeight="1" x14ac:dyDescent="0.25">
      <c r="A16" s="130" t="s">
        <v>74</v>
      </c>
      <c r="B16" s="131"/>
      <c r="C16" s="131">
        <f>IF(SER_hh_fech_in!C16=0,0,SER_hh_fech_in!C16/SER_summary!C$27)</f>
        <v>8.9785021756323928</v>
      </c>
      <c r="D16" s="131">
        <f>IF(SER_hh_fech_in!D16=0,0,SER_hh_fech_in!D16/SER_summary!D$27)</f>
        <v>8.5990671210594414</v>
      </c>
      <c r="E16" s="131">
        <f>IF(SER_hh_fech_in!E16=0,0,SER_hh_fech_in!E16/SER_summary!E$27)</f>
        <v>8.2352000719825469</v>
      </c>
      <c r="F16" s="131">
        <f>IF(SER_hh_fech_in!F16=0,0,SER_hh_fech_in!F16/SER_summary!F$27)</f>
        <v>7.9058099041508232</v>
      </c>
      <c r="G16" s="131">
        <f>IF(SER_hh_fech_in!G16=0,0,SER_hh_fech_in!G16/SER_summary!G$27)</f>
        <v>7.5934670624481733</v>
      </c>
      <c r="H16" s="131">
        <f>IF(SER_hh_fech_in!H16=0,0,SER_hh_fech_in!H16/SER_summary!H$27)</f>
        <v>7.2967976536746235</v>
      </c>
      <c r="I16" s="131">
        <f>IF(SER_hh_fech_in!I16=0,0,SER_hh_fech_in!I16/SER_summary!I$27)</f>
        <v>7.0310237499138699</v>
      </c>
      <c r="J16" s="131">
        <f>IF(SER_hh_fech_in!J16=0,0,SER_hh_fech_in!J16/SER_summary!J$27)</f>
        <v>6.7466446356367982</v>
      </c>
      <c r="K16" s="131">
        <f>IF(SER_hh_fech_in!K16=0,0,SER_hh_fech_in!K16/SER_summary!K$27)</f>
        <v>6.4837977018306843</v>
      </c>
      <c r="L16" s="131">
        <f>IF(SER_hh_fech_in!L16=0,0,SER_hh_fech_in!L16/SER_summary!L$27)</f>
        <v>6.2656304559967895</v>
      </c>
      <c r="M16" s="131">
        <f>IF(SER_hh_fech_in!M16=0,0,SER_hh_fech_in!M16/SER_summary!M$27)</f>
        <v>5.9399669112082174</v>
      </c>
      <c r="N16" s="131">
        <f>IF(SER_hh_fech_in!N16=0,0,SER_hh_fech_in!N16/SER_summary!N$27)</f>
        <v>5.6097919519298483</v>
      </c>
      <c r="O16" s="131">
        <f>IF(SER_hh_fech_in!O16=0,0,SER_hh_fech_in!O16/SER_summary!O$27)</f>
        <v>5.2573843989398936</v>
      </c>
      <c r="P16" s="131">
        <f>IF(SER_hh_fech_in!P16=0,0,SER_hh_fech_in!P16/SER_summary!P$27)</f>
        <v>4.9482676022232095</v>
      </c>
      <c r="Q16" s="131">
        <f>IF(SER_hh_fech_in!Q16=0,0,SER_hh_fech_in!Q16/SER_summary!Q$27)</f>
        <v>4.6857738313946813</v>
      </c>
      <c r="R16" s="131">
        <f>IF(SER_hh_fech_in!R16=0,0,SER_hh_fech_in!R16/SER_summary!R$27)</f>
        <v>4.5192681450921439</v>
      </c>
      <c r="S16" s="131">
        <f>IF(SER_hh_fech_in!S16=0,0,SER_hh_fech_in!S16/SER_summary!S$27)</f>
        <v>4.3402850415277632</v>
      </c>
      <c r="T16" s="131">
        <f>IF(SER_hh_fech_in!T16=0,0,SER_hh_fech_in!T16/SER_summary!T$27)</f>
        <v>4.3138959401672619</v>
      </c>
      <c r="U16" s="131">
        <f>IF(SER_hh_fech_in!U16=0,0,SER_hh_fech_in!U16/SER_summary!U$27)</f>
        <v>4.0258670659933538</v>
      </c>
      <c r="V16" s="131">
        <f>IF(SER_hh_fech_in!V16=0,0,SER_hh_fech_in!V16/SER_summary!V$27)</f>
        <v>3.9509995926328565</v>
      </c>
      <c r="W16" s="131">
        <f>IF(SER_hh_fech_in!W16=0,0,SER_hh_fech_in!W16/SER_summary!W$27)</f>
        <v>3.6188252470552134</v>
      </c>
      <c r="DA16" s="156" t="s">
        <v>829</v>
      </c>
    </row>
    <row r="17" spans="1:105" ht="12.95" customHeight="1" x14ac:dyDescent="0.25">
      <c r="A17" s="132" t="s">
        <v>73</v>
      </c>
      <c r="B17" s="133"/>
      <c r="C17" s="133">
        <f>IF(SER_hh_fech_in!C17=0,0,SER_hh_fech_in!C17/SER_summary!C$27)</f>
        <v>18.18554009753306</v>
      </c>
      <c r="D17" s="133">
        <f>IF(SER_hh_fech_in!D17=0,0,SER_hh_fech_in!D17/SER_summary!D$27)</f>
        <v>17.992313669199103</v>
      </c>
      <c r="E17" s="133">
        <f>IF(SER_hh_fech_in!E17=0,0,SER_hh_fech_in!E17/SER_summary!E$27)</f>
        <v>17.79189411899441</v>
      </c>
      <c r="F17" s="133">
        <f>IF(SER_hh_fech_in!F17=0,0,SER_hh_fech_in!F17/SER_summary!F$27)</f>
        <v>17.629150084384055</v>
      </c>
      <c r="G17" s="133">
        <f>IF(SER_hh_fech_in!G17=0,0,SER_hh_fech_in!G17/SER_summary!G$27)</f>
        <v>17.474455960160164</v>
      </c>
      <c r="H17" s="133">
        <f>IF(SER_hh_fech_in!H17=0,0,SER_hh_fech_in!H17/SER_summary!H$27)</f>
        <v>17.308138424984431</v>
      </c>
      <c r="I17" s="133">
        <f>IF(SER_hh_fech_in!I17=0,0,SER_hh_fech_in!I17/SER_summary!I$27)</f>
        <v>17.164778749887006</v>
      </c>
      <c r="J17" s="133">
        <f>IF(SER_hh_fech_in!J17=0,0,SER_hh_fech_in!J17/SER_summary!J$27)</f>
        <v>16.952751391823931</v>
      </c>
      <c r="K17" s="133">
        <f>IF(SER_hh_fech_in!K17=0,0,SER_hh_fech_in!K17/SER_summary!K$27)</f>
        <v>16.765021366887236</v>
      </c>
      <c r="L17" s="133">
        <f>IF(SER_hh_fech_in!L17=0,0,SER_hh_fech_in!L17/SER_summary!L$27)</f>
        <v>16.691248595703051</v>
      </c>
      <c r="M17" s="133">
        <f>IF(SER_hh_fech_in!M17=0,0,SER_hh_fech_in!M17/SER_summary!M$27)</f>
        <v>16.313016469037173</v>
      </c>
      <c r="N17" s="133">
        <f>IF(SER_hh_fech_in!N17=0,0,SER_hh_fech_in!N17/SER_summary!N$27)</f>
        <v>15.859187777077144</v>
      </c>
      <c r="O17" s="133">
        <f>IF(SER_hh_fech_in!O17=0,0,SER_hh_fech_in!O17/SER_summary!O$27)</f>
        <v>15.285604555501619</v>
      </c>
      <c r="P17" s="133">
        <f>IF(SER_hh_fech_in!P17=0,0,SER_hh_fech_in!P17/SER_summary!P$27)</f>
        <v>14.743812867218313</v>
      </c>
      <c r="Q17" s="133">
        <f>IF(SER_hh_fech_in!Q17=0,0,SER_hh_fech_in!Q17/SER_summary!Q$27)</f>
        <v>14.170092407779126</v>
      </c>
      <c r="R17" s="133">
        <f>IF(SER_hh_fech_in!R17=0,0,SER_hh_fech_in!R17/SER_summary!R$27)</f>
        <v>13.780412081446203</v>
      </c>
      <c r="S17" s="133">
        <f>IF(SER_hh_fech_in!S17=0,0,SER_hh_fech_in!S17/SER_summary!S$27)</f>
        <v>13.244527698254766</v>
      </c>
      <c r="T17" s="133">
        <f>IF(SER_hh_fech_in!T17=0,0,SER_hh_fech_in!T17/SER_summary!T$27)</f>
        <v>13.078438037343329</v>
      </c>
      <c r="U17" s="133">
        <f>IF(SER_hh_fech_in!U17=0,0,SER_hh_fech_in!U17/SER_summary!U$27)</f>
        <v>12.052281343041319</v>
      </c>
      <c r="V17" s="133">
        <f>IF(SER_hh_fech_in!V17=0,0,SER_hh_fech_in!V17/SER_summary!V$27)</f>
        <v>8.4899995141211857</v>
      </c>
      <c r="W17" s="133">
        <f>IF(SER_hh_fech_in!W17=0,0,SER_hh_fech_in!W17/SER_summary!W$27)</f>
        <v>8.0575015603879514</v>
      </c>
      <c r="DA17" s="157" t="s">
        <v>830</v>
      </c>
    </row>
    <row r="18" spans="1:105" ht="12" customHeight="1" x14ac:dyDescent="0.25">
      <c r="A18" s="132" t="s">
        <v>72</v>
      </c>
      <c r="B18" s="133"/>
      <c r="C18" s="133">
        <f>IF(SER_hh_fech_in!C18=0,0,SER_hh_fech_in!C18/SER_summary!C$27)</f>
        <v>8.9687600052999183</v>
      </c>
      <c r="D18" s="133">
        <f>IF(SER_hh_fech_in!D18=0,0,SER_hh_fech_in!D18/SER_summary!D$27)</f>
        <v>8.5881542675243132</v>
      </c>
      <c r="E18" s="133">
        <f>IF(SER_hh_fech_in!E18=0,0,SER_hh_fech_in!E18/SER_summary!E$27)</f>
        <v>8.2262547476013914</v>
      </c>
      <c r="F18" s="133">
        <f>IF(SER_hh_fech_in!F18=0,0,SER_hh_fech_in!F18/SER_summary!F$27)</f>
        <v>7.8930362503876781</v>
      </c>
      <c r="G18" s="133">
        <f>IF(SER_hh_fech_in!G18=0,0,SER_hh_fech_in!G18/SER_summary!G$27)</f>
        <v>7.5800375618258791</v>
      </c>
      <c r="H18" s="133">
        <f>IF(SER_hh_fech_in!H18=0,0,SER_hh_fech_in!H18/SER_summary!H$27)</f>
        <v>7.28598875045531</v>
      </c>
      <c r="I18" s="133">
        <f>IF(SER_hh_fech_in!I18=0,0,SER_hh_fech_in!I18/SER_summary!I$27)</f>
        <v>7.0215063975972836</v>
      </c>
      <c r="J18" s="133">
        <f>IF(SER_hh_fech_in!J18=0,0,SER_hh_fech_in!J18/SER_summary!J$27)</f>
        <v>6.7356856452751872</v>
      </c>
      <c r="K18" s="133">
        <f>IF(SER_hh_fech_in!K18=0,0,SER_hh_fech_in!K18/SER_summary!K$27)</f>
        <v>6.4737589074913791</v>
      </c>
      <c r="L18" s="133">
        <f>IF(SER_hh_fech_in!L18=0,0,SER_hh_fech_in!L18/SER_summary!L$27)</f>
        <v>6.2510983061831942</v>
      </c>
      <c r="M18" s="133">
        <f>IF(SER_hh_fech_in!M18=0,0,SER_hh_fech_in!M18/SER_summary!M$27)</f>
        <v>5.9223049726152217</v>
      </c>
      <c r="N18" s="133">
        <f>IF(SER_hh_fech_in!N18=0,0,SER_hh_fech_in!N18/SER_summary!N$27)</f>
        <v>5.5869850275087272</v>
      </c>
      <c r="O18" s="133">
        <f>IF(SER_hh_fech_in!O18=0,0,SER_hh_fech_in!O18/SER_summary!O$27)</f>
        <v>5.2269326116479062</v>
      </c>
      <c r="P18" s="133">
        <f>IF(SER_hh_fech_in!P18=0,0,SER_hh_fech_in!P18/SER_summary!P$27)</f>
        <v>4.9056030212259625</v>
      </c>
      <c r="Q18" s="133">
        <f>IF(SER_hh_fech_in!Q18=0,0,SER_hh_fech_in!Q18/SER_summary!Q$27)</f>
        <v>4.6208650327415146</v>
      </c>
      <c r="R18" s="133">
        <f>IF(SER_hh_fech_in!R18=0,0,SER_hh_fech_in!R18/SER_summary!R$27)</f>
        <v>4.4581182812002984</v>
      </c>
      <c r="S18" s="133">
        <f>IF(SER_hh_fech_in!S18=0,0,SER_hh_fech_in!S18/SER_summary!S$27)</f>
        <v>4.285653370049852</v>
      </c>
      <c r="T18" s="133">
        <f>IF(SER_hh_fech_in!T18=0,0,SER_hh_fech_in!T18/SER_summary!T$27)</f>
        <v>4.2731752202962552</v>
      </c>
      <c r="U18" s="133">
        <f>IF(SER_hh_fech_in!U18=0,0,SER_hh_fech_in!U18/SER_summary!U$27)</f>
        <v>3.9689741338669098</v>
      </c>
      <c r="V18" s="133">
        <f>IF(SER_hh_fech_in!V18=0,0,SER_hh_fech_in!V18/SER_summary!V$27)</f>
        <v>3.8089447279947226</v>
      </c>
      <c r="W18" s="133">
        <f>IF(SER_hh_fech_in!W18=0,0,SER_hh_fech_in!W18/SER_summary!W$27)</f>
        <v>3.5957927785341917</v>
      </c>
      <c r="DA18" s="157" t="s">
        <v>831</v>
      </c>
    </row>
    <row r="19" spans="1:105" ht="12.95" customHeight="1" x14ac:dyDescent="0.25">
      <c r="A19" s="130" t="s">
        <v>35</v>
      </c>
      <c r="B19" s="131"/>
      <c r="C19" s="131">
        <f>IF(SER_hh_fech_in!C19=0,0,SER_hh_fech_in!C19/SER_summary!C$27)</f>
        <v>13.876657091291253</v>
      </c>
      <c r="D19" s="131">
        <f>IF(SER_hh_fech_in!D19=0,0,SER_hh_fech_in!D19/SER_summary!D$27)</f>
        <v>13.921716783208756</v>
      </c>
      <c r="E19" s="131">
        <f>IF(SER_hh_fech_in!E19=0,0,SER_hh_fech_in!E19/SER_summary!E$27)</f>
        <v>14.015645816619092</v>
      </c>
      <c r="F19" s="131">
        <f>IF(SER_hh_fech_in!F19=0,0,SER_hh_fech_in!F19/SER_summary!F$27)</f>
        <v>13.720259246599202</v>
      </c>
      <c r="G19" s="131">
        <f>IF(SER_hh_fech_in!G19=0,0,SER_hh_fech_in!G19/SER_summary!G$27)</f>
        <v>13.519694133392212</v>
      </c>
      <c r="H19" s="131">
        <f>IF(SER_hh_fech_in!H19=0,0,SER_hh_fech_in!H19/SER_summary!H$27)</f>
        <v>13.439351764548626</v>
      </c>
      <c r="I19" s="131">
        <f>IF(SER_hh_fech_in!I19=0,0,SER_hh_fech_in!I19/SER_summary!I$27)</f>
        <v>12.94281718797752</v>
      </c>
      <c r="J19" s="131">
        <f>IF(SER_hh_fech_in!J19=0,0,SER_hh_fech_in!J19/SER_summary!J$27)</f>
        <v>12.777827417664327</v>
      </c>
      <c r="K19" s="131">
        <f>IF(SER_hh_fech_in!K19=0,0,SER_hh_fech_in!K19/SER_summary!K$27)</f>
        <v>12.524480315739266</v>
      </c>
      <c r="L19" s="131">
        <f>IF(SER_hh_fech_in!L19=0,0,SER_hh_fech_in!L19/SER_summary!L$27)</f>
        <v>12.020715062095725</v>
      </c>
      <c r="M19" s="131">
        <f>IF(SER_hh_fech_in!M19=0,0,SER_hh_fech_in!M19/SER_summary!M$27)</f>
        <v>12.231855016635359</v>
      </c>
      <c r="N19" s="131">
        <f>IF(SER_hh_fech_in!N19=0,0,SER_hh_fech_in!N19/SER_summary!N$27)</f>
        <v>12.512166955250798</v>
      </c>
      <c r="O19" s="131">
        <f>IF(SER_hh_fech_in!O19=0,0,SER_hh_fech_in!O19/SER_summary!O$27)</f>
        <v>12.169399798220487</v>
      </c>
      <c r="P19" s="131">
        <f>IF(SER_hh_fech_in!P19=0,0,SER_hh_fech_in!P19/SER_summary!P$27)</f>
        <v>12.184995308271374</v>
      </c>
      <c r="Q19" s="131">
        <f>IF(SER_hh_fech_in!Q19=0,0,SER_hh_fech_in!Q19/SER_summary!Q$27)</f>
        <v>12.123748021312815</v>
      </c>
      <c r="R19" s="131">
        <f>IF(SER_hh_fech_in!R19=0,0,SER_hh_fech_in!R19/SER_summary!R$27)</f>
        <v>11.916131528098656</v>
      </c>
      <c r="S19" s="131">
        <f>IF(SER_hh_fech_in!S19=0,0,SER_hh_fech_in!S19/SER_summary!S$27)</f>
        <v>11.803095036782477</v>
      </c>
      <c r="T19" s="131">
        <f>IF(SER_hh_fech_in!T19=0,0,SER_hh_fech_in!T19/SER_summary!T$27)</f>
        <v>11.432350029649058</v>
      </c>
      <c r="U19" s="131">
        <f>IF(SER_hh_fech_in!U19=0,0,SER_hh_fech_in!U19/SER_summary!U$27)</f>
        <v>11.119233401676578</v>
      </c>
      <c r="V19" s="131">
        <f>IF(SER_hh_fech_in!V19=0,0,SER_hh_fech_in!V19/SER_summary!V$27)</f>
        <v>9.6143351515229387</v>
      </c>
      <c r="W19" s="131">
        <f>IF(SER_hh_fech_in!W19=0,0,SER_hh_fech_in!W19/SER_summary!W$27)</f>
        <v>10.449708730236368</v>
      </c>
      <c r="DA19" s="156" t="s">
        <v>832</v>
      </c>
    </row>
    <row r="20" spans="1:105" ht="12" customHeight="1" x14ac:dyDescent="0.25">
      <c r="A20" s="132" t="s">
        <v>29</v>
      </c>
      <c r="B20" s="133"/>
      <c r="C20" s="133">
        <f>IF(SER_hh_fech_in!C20=0,0,SER_hh_fech_in!C20/SER_summary!C$27)</f>
        <v>0</v>
      </c>
      <c r="D20" s="133">
        <f>IF(SER_hh_fech_in!D20=0,0,SER_hh_fech_in!D20/SER_summary!D$27)</f>
        <v>0</v>
      </c>
      <c r="E20" s="133">
        <f>IF(SER_hh_fech_in!E20=0,0,SER_hh_fech_in!E20/SER_summary!E$27)</f>
        <v>0</v>
      </c>
      <c r="F20" s="133">
        <f>IF(SER_hh_fech_in!F20=0,0,SER_hh_fech_in!F20/SER_summary!F$27)</f>
        <v>0</v>
      </c>
      <c r="G20" s="133">
        <f>IF(SER_hh_fech_in!G20=0,0,SER_hh_fech_in!G20/SER_summary!G$27)</f>
        <v>0</v>
      </c>
      <c r="H20" s="133">
        <f>IF(SER_hh_fech_in!H20=0,0,SER_hh_fech_in!H20/SER_summary!H$27)</f>
        <v>0</v>
      </c>
      <c r="I20" s="133">
        <f>IF(SER_hh_fech_in!I20=0,0,SER_hh_fech_in!I20/SER_summary!I$27)</f>
        <v>0</v>
      </c>
      <c r="J20" s="133">
        <f>IF(SER_hh_fech_in!J20=0,0,SER_hh_fech_in!J20/SER_summary!J$27)</f>
        <v>0</v>
      </c>
      <c r="K20" s="133">
        <f>IF(SER_hh_fech_in!K20=0,0,SER_hh_fech_in!K20/SER_summary!K$27)</f>
        <v>0</v>
      </c>
      <c r="L20" s="133">
        <f>IF(SER_hh_fech_in!L20=0,0,SER_hh_fech_in!L20/SER_summary!L$27)</f>
        <v>0</v>
      </c>
      <c r="M20" s="133">
        <f>IF(SER_hh_fech_in!M20=0,0,SER_hh_fech_in!M20/SER_summary!M$27)</f>
        <v>0</v>
      </c>
      <c r="N20" s="133">
        <f>IF(SER_hh_fech_in!N20=0,0,SER_hh_fech_in!N20/SER_summary!N$27)</f>
        <v>0</v>
      </c>
      <c r="O20" s="133">
        <f>IF(SER_hh_fech_in!O20=0,0,SER_hh_fech_in!O20/SER_summary!O$27)</f>
        <v>0</v>
      </c>
      <c r="P20" s="133">
        <f>IF(SER_hh_fech_in!P20=0,0,SER_hh_fech_in!P20/SER_summary!P$27)</f>
        <v>0</v>
      </c>
      <c r="Q20" s="133">
        <f>IF(SER_hh_fech_in!Q20=0,0,SER_hh_fech_in!Q20/SER_summary!Q$27)</f>
        <v>0</v>
      </c>
      <c r="R20" s="133">
        <f>IF(SER_hh_fech_in!R20=0,0,SER_hh_fech_in!R20/SER_summary!R$27)</f>
        <v>0</v>
      </c>
      <c r="S20" s="133">
        <f>IF(SER_hh_fech_in!S20=0,0,SER_hh_fech_in!S20/SER_summary!S$27)</f>
        <v>0</v>
      </c>
      <c r="T20" s="133">
        <f>IF(SER_hh_fech_in!T20=0,0,SER_hh_fech_in!T20/SER_summary!T$27)</f>
        <v>0</v>
      </c>
      <c r="U20" s="133">
        <f>IF(SER_hh_fech_in!U20=0,0,SER_hh_fech_in!U20/SER_summary!U$27)</f>
        <v>0</v>
      </c>
      <c r="V20" s="133">
        <f>IF(SER_hh_fech_in!V20=0,0,SER_hh_fech_in!V20/SER_summary!V$27)</f>
        <v>0</v>
      </c>
      <c r="W20" s="133">
        <f>IF(SER_hh_fech_in!W20=0,0,SER_hh_fech_in!W20/SER_summary!W$27)</f>
        <v>0</v>
      </c>
      <c r="DA20" s="157" t="s">
        <v>833</v>
      </c>
    </row>
    <row r="21" spans="1:105" s="2" customFormat="1" ht="12" customHeight="1" x14ac:dyDescent="0.25">
      <c r="A21" s="132" t="s">
        <v>52</v>
      </c>
      <c r="B21" s="133"/>
      <c r="C21" s="133">
        <f>IF(SER_hh_fech_in!C21=0,0,SER_hh_fech_in!C21/SER_summary!C$27)</f>
        <v>0</v>
      </c>
      <c r="D21" s="133">
        <f>IF(SER_hh_fech_in!D21=0,0,SER_hh_fech_in!D21/SER_summary!D$27)</f>
        <v>0</v>
      </c>
      <c r="E21" s="133">
        <f>IF(SER_hh_fech_in!E21=0,0,SER_hh_fech_in!E21/SER_summary!E$27)</f>
        <v>0</v>
      </c>
      <c r="F21" s="133">
        <f>IF(SER_hh_fech_in!F21=0,0,SER_hh_fech_in!F21/SER_summary!F$27)</f>
        <v>0</v>
      </c>
      <c r="G21" s="133">
        <f>IF(SER_hh_fech_in!G21=0,0,SER_hh_fech_in!G21/SER_summary!G$27)</f>
        <v>0</v>
      </c>
      <c r="H21" s="133">
        <f>IF(SER_hh_fech_in!H21=0,0,SER_hh_fech_in!H21/SER_summary!H$27)</f>
        <v>0</v>
      </c>
      <c r="I21" s="133">
        <f>IF(SER_hh_fech_in!I21=0,0,SER_hh_fech_in!I21/SER_summary!I$27)</f>
        <v>0</v>
      </c>
      <c r="J21" s="133">
        <f>IF(SER_hh_fech_in!J21=0,0,SER_hh_fech_in!J21/SER_summary!J$27)</f>
        <v>0</v>
      </c>
      <c r="K21" s="133">
        <f>IF(SER_hh_fech_in!K21=0,0,SER_hh_fech_in!K21/SER_summary!K$27)</f>
        <v>0</v>
      </c>
      <c r="L21" s="133">
        <f>IF(SER_hh_fech_in!L21=0,0,SER_hh_fech_in!L21/SER_summary!L$27)</f>
        <v>0</v>
      </c>
      <c r="M21" s="133">
        <f>IF(SER_hh_fech_in!M21=0,0,SER_hh_fech_in!M21/SER_summary!M$27)</f>
        <v>0</v>
      </c>
      <c r="N21" s="133">
        <f>IF(SER_hh_fech_in!N21=0,0,SER_hh_fech_in!N21/SER_summary!N$27)</f>
        <v>0</v>
      </c>
      <c r="O21" s="133">
        <f>IF(SER_hh_fech_in!O21=0,0,SER_hh_fech_in!O21/SER_summary!O$27)</f>
        <v>0</v>
      </c>
      <c r="P21" s="133">
        <f>IF(SER_hh_fech_in!P21=0,0,SER_hh_fech_in!P21/SER_summary!P$27)</f>
        <v>0</v>
      </c>
      <c r="Q21" s="133">
        <f>IF(SER_hh_fech_in!Q21=0,0,SER_hh_fech_in!Q21/SER_summary!Q$27)</f>
        <v>0</v>
      </c>
      <c r="R21" s="133">
        <f>IF(SER_hh_fech_in!R21=0,0,SER_hh_fech_in!R21/SER_summary!R$27)</f>
        <v>0</v>
      </c>
      <c r="S21" s="133">
        <f>IF(SER_hh_fech_in!S21=0,0,SER_hh_fech_in!S21/SER_summary!S$27)</f>
        <v>0</v>
      </c>
      <c r="T21" s="133">
        <f>IF(SER_hh_fech_in!T21=0,0,SER_hh_fech_in!T21/SER_summary!T$27)</f>
        <v>0</v>
      </c>
      <c r="U21" s="133">
        <f>IF(SER_hh_fech_in!U21=0,0,SER_hh_fech_in!U21/SER_summary!U$27)</f>
        <v>0</v>
      </c>
      <c r="V21" s="133">
        <f>IF(SER_hh_fech_in!V21=0,0,SER_hh_fech_in!V21/SER_summary!V$27)</f>
        <v>0</v>
      </c>
      <c r="W21" s="133">
        <f>IF(SER_hh_fech_in!W21=0,0,SER_hh_fech_in!W21/SER_summary!W$27)</f>
        <v>0</v>
      </c>
      <c r="DA21" s="157" t="s">
        <v>834</v>
      </c>
    </row>
    <row r="22" spans="1:105" ht="12" customHeight="1" x14ac:dyDescent="0.25">
      <c r="A22" s="132" t="s">
        <v>168</v>
      </c>
      <c r="B22" s="133"/>
      <c r="C22" s="133">
        <f>IF(SER_hh_fech_in!C22=0,0,SER_hh_fech_in!C22/SER_summary!C$27)</f>
        <v>18.810121537556967</v>
      </c>
      <c r="D22" s="133">
        <f>IF(SER_hh_fech_in!D22=0,0,SER_hh_fech_in!D22/SER_summary!D$27)</f>
        <v>18.588781816985829</v>
      </c>
      <c r="E22" s="133">
        <f>IF(SER_hh_fech_in!E22=0,0,SER_hh_fech_in!E22/SER_summary!E$27)</f>
        <v>18.410748357472823</v>
      </c>
      <c r="F22" s="133">
        <f>IF(SER_hh_fech_in!F22=0,0,SER_hh_fech_in!F22/SER_summary!F$27)</f>
        <v>18.499755184288933</v>
      </c>
      <c r="G22" s="133">
        <f>IF(SER_hh_fech_in!G22=0,0,SER_hh_fech_in!G22/SER_summary!G$27)</f>
        <v>18.151527658882966</v>
      </c>
      <c r="H22" s="133">
        <f>IF(SER_hh_fech_in!H22=0,0,SER_hh_fech_in!H22/SER_summary!H$27)</f>
        <v>17.809084500646268</v>
      </c>
      <c r="I22" s="133">
        <f>IF(SER_hh_fech_in!I22=0,0,SER_hh_fech_in!I22/SER_summary!I$27)</f>
        <v>16.933123282812069</v>
      </c>
      <c r="J22" s="133">
        <f>IF(SER_hh_fech_in!J22=0,0,SER_hh_fech_in!J22/SER_summary!J$27)</f>
        <v>17.33339069417832</v>
      </c>
      <c r="K22" s="133">
        <f>IF(SER_hh_fech_in!K22=0,0,SER_hh_fech_in!K22/SER_summary!K$27)</f>
        <v>17.54793464001693</v>
      </c>
      <c r="L22" s="133">
        <f>IF(SER_hh_fech_in!L22=0,0,SER_hh_fech_in!L22/SER_summary!L$27)</f>
        <v>16.263977962150086</v>
      </c>
      <c r="M22" s="133">
        <f>IF(SER_hh_fech_in!M22=0,0,SER_hh_fech_in!M22/SER_summary!M$27)</f>
        <v>16.036305049100836</v>
      </c>
      <c r="N22" s="133">
        <f>IF(SER_hh_fech_in!N22=0,0,SER_hh_fech_in!N22/SER_summary!N$27)</f>
        <v>16.178750155787256</v>
      </c>
      <c r="O22" s="133">
        <f>IF(SER_hh_fech_in!O22=0,0,SER_hh_fech_in!O22/SER_summary!O$27)</f>
        <v>15.48436121077034</v>
      </c>
      <c r="P22" s="133">
        <f>IF(SER_hh_fech_in!P22=0,0,SER_hh_fech_in!P22/SER_summary!P$27)</f>
        <v>14.910803013889678</v>
      </c>
      <c r="Q22" s="133">
        <f>IF(SER_hh_fech_in!Q22=0,0,SER_hh_fech_in!Q22/SER_summary!Q$27)</f>
        <v>13.980442094093027</v>
      </c>
      <c r="R22" s="133">
        <f>IF(SER_hh_fech_in!R22=0,0,SER_hh_fech_in!R22/SER_summary!R$27)</f>
        <v>14.07755695576641</v>
      </c>
      <c r="S22" s="133">
        <f>IF(SER_hh_fech_in!S22=0,0,SER_hh_fech_in!S22/SER_summary!S$27)</f>
        <v>0</v>
      </c>
      <c r="T22" s="133">
        <f>IF(SER_hh_fech_in!T22=0,0,SER_hh_fech_in!T22/SER_summary!T$27)</f>
        <v>0</v>
      </c>
      <c r="U22" s="133">
        <f>IF(SER_hh_fech_in!U22=0,0,SER_hh_fech_in!U22/SER_summary!U$27)</f>
        <v>0</v>
      </c>
      <c r="V22" s="133">
        <f>IF(SER_hh_fech_in!V22=0,0,SER_hh_fech_in!V22/SER_summary!V$27)</f>
        <v>0</v>
      </c>
      <c r="W22" s="133">
        <f>IF(SER_hh_fech_in!W22=0,0,SER_hh_fech_in!W22/SER_summary!W$27)</f>
        <v>0</v>
      </c>
      <c r="DA22" s="157" t="s">
        <v>835</v>
      </c>
    </row>
    <row r="23" spans="1:105" ht="12" customHeight="1" x14ac:dyDescent="0.25">
      <c r="A23" s="132" t="s">
        <v>153</v>
      </c>
      <c r="B23" s="133"/>
      <c r="C23" s="133">
        <f>IF(SER_hh_fech_in!C23=0,0,SER_hh_fech_in!C23/SER_summary!C$27)</f>
        <v>17.005859671071597</v>
      </c>
      <c r="D23" s="133">
        <f>IF(SER_hh_fech_in!D23=0,0,SER_hh_fech_in!D23/SER_summary!D$27)</f>
        <v>16.26241005338073</v>
      </c>
      <c r="E23" s="133">
        <f>IF(SER_hh_fech_in!E23=0,0,SER_hh_fech_in!E23/SER_summary!E$27)</f>
        <v>17.207568826068616</v>
      </c>
      <c r="F23" s="133">
        <f>IF(SER_hh_fech_in!F23=0,0,SER_hh_fech_in!F23/SER_summary!F$27)</f>
        <v>16.087088694729399</v>
      </c>
      <c r="G23" s="133">
        <f>IF(SER_hh_fech_in!G23=0,0,SER_hh_fech_in!G23/SER_summary!G$27)</f>
        <v>16.106205249354193</v>
      </c>
      <c r="H23" s="133">
        <f>IF(SER_hh_fech_in!H23=0,0,SER_hh_fech_in!H23/SER_summary!H$27)</f>
        <v>16.406179324119414</v>
      </c>
      <c r="I23" s="133">
        <f>IF(SER_hh_fech_in!I23=0,0,SER_hh_fech_in!I23/SER_summary!I$27)</f>
        <v>15.753760080323472</v>
      </c>
      <c r="J23" s="133">
        <f>IF(SER_hh_fech_in!J23=0,0,SER_hh_fech_in!J23/SER_summary!J$27)</f>
        <v>15.281929175013529</v>
      </c>
      <c r="K23" s="133">
        <f>IF(SER_hh_fech_in!K23=0,0,SER_hh_fech_in!K23/SER_summary!K$27)</f>
        <v>15.275367385369821</v>
      </c>
      <c r="L23" s="133">
        <f>IF(SER_hh_fech_in!L23=0,0,SER_hh_fech_in!L23/SER_summary!L$27)</f>
        <v>13.449428389926336</v>
      </c>
      <c r="M23" s="133">
        <f>IF(SER_hh_fech_in!M23=0,0,SER_hh_fech_in!M23/SER_summary!M$27)</f>
        <v>14.041146830553144</v>
      </c>
      <c r="N23" s="133">
        <f>IF(SER_hh_fech_in!N23=0,0,SER_hh_fech_in!N23/SER_summary!N$27)</f>
        <v>14.354875129605528</v>
      </c>
      <c r="O23" s="133">
        <f>IF(SER_hh_fech_in!O23=0,0,SER_hh_fech_in!O23/SER_summary!O$27)</f>
        <v>14.103488263389057</v>
      </c>
      <c r="P23" s="133">
        <f>IF(SER_hh_fech_in!P23=0,0,SER_hh_fech_in!P23/SER_summary!P$27)</f>
        <v>12.45368554108394</v>
      </c>
      <c r="Q23" s="133">
        <f>IF(SER_hh_fech_in!Q23=0,0,SER_hh_fech_in!Q23/SER_summary!Q$27)</f>
        <v>13.185627997723957</v>
      </c>
      <c r="R23" s="133">
        <f>IF(SER_hh_fech_in!R23=0,0,SER_hh_fech_in!R23/SER_summary!R$27)</f>
        <v>12.935859189868724</v>
      </c>
      <c r="S23" s="133">
        <f>IF(SER_hh_fech_in!S23=0,0,SER_hh_fech_in!S23/SER_summary!S$27)</f>
        <v>12.860994479295806</v>
      </c>
      <c r="T23" s="133">
        <f>IF(SER_hh_fech_in!T23=0,0,SER_hh_fech_in!T23/SER_summary!T$27)</f>
        <v>11.901635836469056</v>
      </c>
      <c r="U23" s="133">
        <f>IF(SER_hh_fech_in!U23=0,0,SER_hh_fech_in!U23/SER_summary!U$27)</f>
        <v>12.163772970693904</v>
      </c>
      <c r="V23" s="133">
        <f>IF(SER_hh_fech_in!V23=0,0,SER_hh_fech_in!V23/SER_summary!V$27)</f>
        <v>8.2393129782134036</v>
      </c>
      <c r="W23" s="133">
        <f>IF(SER_hh_fech_in!W23=0,0,SER_hh_fech_in!W23/SER_summary!W$27)</f>
        <v>12.145248217233316</v>
      </c>
      <c r="DA23" s="157" t="s">
        <v>836</v>
      </c>
    </row>
    <row r="24" spans="1:105" ht="12" customHeight="1" x14ac:dyDescent="0.25">
      <c r="A24" s="132" t="s">
        <v>128</v>
      </c>
      <c r="B24" s="133"/>
      <c r="C24" s="133">
        <f>IF(SER_hh_fech_in!C24=0,0,SER_hh_fech_in!C24/SER_summary!C$27)</f>
        <v>17.483216195081987</v>
      </c>
      <c r="D24" s="133">
        <f>IF(SER_hh_fech_in!D24=0,0,SER_hh_fech_in!D24/SER_summary!D$27)</f>
        <v>16.928772041079007</v>
      </c>
      <c r="E24" s="133">
        <f>IF(SER_hh_fech_in!E24=0,0,SER_hh_fech_in!E24/SER_summary!E$27)</f>
        <v>16.202202881988367</v>
      </c>
      <c r="F24" s="133">
        <f>IF(SER_hh_fech_in!F24=0,0,SER_hh_fech_in!F24/SER_summary!F$27)</f>
        <v>15.698859015101688</v>
      </c>
      <c r="G24" s="133">
        <f>IF(SER_hh_fech_in!G24=0,0,SER_hh_fech_in!G24/SER_summary!G$27)</f>
        <v>15.38158352550669</v>
      </c>
      <c r="H24" s="133">
        <f>IF(SER_hh_fech_in!H24=0,0,SER_hh_fech_in!H24/SER_summary!H$27)</f>
        <v>15.104891110336196</v>
      </c>
      <c r="I24" s="133">
        <f>IF(SER_hh_fech_in!I24=0,0,SER_hh_fech_in!I24/SER_summary!I$27)</f>
        <v>14.75519540859807</v>
      </c>
      <c r="J24" s="133">
        <f>IF(SER_hh_fech_in!J24=0,0,SER_hh_fech_in!J24/SER_summary!J$27)</f>
        <v>14.308091073300558</v>
      </c>
      <c r="K24" s="133">
        <f>IF(SER_hh_fech_in!K24=0,0,SER_hh_fech_in!K24/SER_summary!K$27)</f>
        <v>14.083975000926326</v>
      </c>
      <c r="L24" s="133">
        <f>IF(SER_hh_fech_in!L24=0,0,SER_hh_fech_in!L24/SER_summary!L$27)</f>
        <v>13.117610137056376</v>
      </c>
      <c r="M24" s="133">
        <f>IF(SER_hh_fech_in!M24=0,0,SER_hh_fech_in!M24/SER_summary!M$27)</f>
        <v>13.895286589096381</v>
      </c>
      <c r="N24" s="133">
        <f>IF(SER_hh_fech_in!N24=0,0,SER_hh_fech_in!N24/SER_summary!N$27)</f>
        <v>13.996012845488343</v>
      </c>
      <c r="O24" s="133">
        <f>IF(SER_hh_fech_in!O24=0,0,SER_hh_fech_in!O24/SER_summary!O$27)</f>
        <v>13.034074908702504</v>
      </c>
      <c r="P24" s="133">
        <f>IF(SER_hh_fech_in!P24=0,0,SER_hh_fech_in!P24/SER_summary!P$27)</f>
        <v>13.392981603802363</v>
      </c>
      <c r="Q24" s="133">
        <f>IF(SER_hh_fech_in!Q24=0,0,SER_hh_fech_in!Q24/SER_summary!Q$27)</f>
        <v>12.852201803852607</v>
      </c>
      <c r="R24" s="133">
        <f>IF(SER_hh_fech_in!R24=0,0,SER_hh_fech_in!R24/SER_summary!R$27)</f>
        <v>13.442873424577556</v>
      </c>
      <c r="S24" s="133">
        <f>IF(SER_hh_fech_in!S24=0,0,SER_hh_fech_in!S24/SER_summary!S$27)</f>
        <v>13.496902182240602</v>
      </c>
      <c r="T24" s="133">
        <f>IF(SER_hh_fech_in!T24=0,0,SER_hh_fech_in!T24/SER_summary!T$27)</f>
        <v>12.913391278456226</v>
      </c>
      <c r="U24" s="133">
        <f>IF(SER_hh_fech_in!U24=0,0,SER_hh_fech_in!U24/SER_summary!U$27)</f>
        <v>12.353740048430863</v>
      </c>
      <c r="V24" s="133">
        <f>IF(SER_hh_fech_in!V24=0,0,SER_hh_fech_in!V24/SER_summary!V$27)</f>
        <v>9.9072013038931814</v>
      </c>
      <c r="W24" s="133">
        <f>IF(SER_hh_fech_in!W24=0,0,SER_hh_fech_in!W24/SER_summary!W$27)</f>
        <v>11.341158623912113</v>
      </c>
      <c r="DA24" s="157" t="s">
        <v>837</v>
      </c>
    </row>
    <row r="25" spans="1:105" ht="12" customHeight="1" x14ac:dyDescent="0.25">
      <c r="A25" s="132" t="s">
        <v>169</v>
      </c>
      <c r="B25" s="133"/>
      <c r="C25" s="133">
        <f>IF(SER_hh_fech_in!C25=0,0,SER_hh_fech_in!C25/SER_summary!C$27)</f>
        <v>12.529940925245906</v>
      </c>
      <c r="D25" s="133">
        <f>IF(SER_hh_fech_in!D25=0,0,SER_hh_fech_in!D25/SER_summary!D$27)</f>
        <v>12.300069984506116</v>
      </c>
      <c r="E25" s="133">
        <f>IF(SER_hh_fech_in!E25=0,0,SER_hh_fech_in!E25/SER_summary!E$27)</f>
        <v>12.11673205630651</v>
      </c>
      <c r="F25" s="133">
        <f>IF(SER_hh_fech_in!F25=0,0,SER_hh_fech_in!F25/SER_summary!F$27)</f>
        <v>12.010491738045072</v>
      </c>
      <c r="G25" s="133">
        <f>IF(SER_hh_fech_in!G25=0,0,SER_hh_fech_in!G25/SER_summary!G$27)</f>
        <v>11.87862103691433</v>
      </c>
      <c r="H25" s="133">
        <f>IF(SER_hh_fech_in!H25=0,0,SER_hh_fech_in!H25/SER_summary!H$27)</f>
        <v>11.776599817553354</v>
      </c>
      <c r="I25" s="133">
        <f>IF(SER_hh_fech_in!I25=0,0,SER_hh_fech_in!I25/SER_summary!I$27)</f>
        <v>11.580416400546811</v>
      </c>
      <c r="J25" s="133">
        <f>IF(SER_hh_fech_in!J25=0,0,SER_hh_fech_in!J25/SER_summary!J$27)</f>
        <v>11.452794683955723</v>
      </c>
      <c r="K25" s="133">
        <f>IF(SER_hh_fech_in!K25=0,0,SER_hh_fech_in!K25/SER_summary!K$27)</f>
        <v>11.52188635060457</v>
      </c>
      <c r="L25" s="133">
        <f>IF(SER_hh_fech_in!L25=0,0,SER_hh_fech_in!L25/SER_summary!L$27)</f>
        <v>11.170102840867278</v>
      </c>
      <c r="M25" s="133">
        <f>IF(SER_hh_fech_in!M25=0,0,SER_hh_fech_in!M25/SER_summary!M$27)</f>
        <v>11.810737064265842</v>
      </c>
      <c r="N25" s="133">
        <f>IF(SER_hh_fech_in!N25=0,0,SER_hh_fech_in!N25/SER_summary!N$27)</f>
        <v>11.675834379743121</v>
      </c>
      <c r="O25" s="133">
        <f>IF(SER_hh_fech_in!O25=0,0,SER_hh_fech_in!O25/SER_summary!O$27)</f>
        <v>11.40824642246762</v>
      </c>
      <c r="P25" s="133">
        <f>IF(SER_hh_fech_in!P25=0,0,SER_hh_fech_in!P25/SER_summary!P$27)</f>
        <v>11.801465741344062</v>
      </c>
      <c r="Q25" s="133">
        <f>IF(SER_hh_fech_in!Q25=0,0,SER_hh_fech_in!Q25/SER_summary!Q$27)</f>
        <v>11.558048632426317</v>
      </c>
      <c r="R25" s="133">
        <f>IF(SER_hh_fech_in!R25=0,0,SER_hh_fech_in!R25/SER_summary!R$27)</f>
        <v>11.496686536375693</v>
      </c>
      <c r="S25" s="133">
        <f>IF(SER_hh_fech_in!S25=0,0,SER_hh_fech_in!S25/SER_summary!S$27)</f>
        <v>11.283860148805809</v>
      </c>
      <c r="T25" s="133">
        <f>IF(SER_hh_fech_in!T25=0,0,SER_hh_fech_in!T25/SER_summary!T$27)</f>
        <v>10.766895691351996</v>
      </c>
      <c r="U25" s="133">
        <f>IF(SER_hh_fech_in!U25=0,0,SER_hh_fech_in!U25/SER_summary!U$27)</f>
        <v>10.654167144137164</v>
      </c>
      <c r="V25" s="133">
        <f>IF(SER_hh_fech_in!V25=0,0,SER_hh_fech_in!V25/SER_summary!V$27)</f>
        <v>8.8304541905158835</v>
      </c>
      <c r="W25" s="133">
        <f>IF(SER_hh_fech_in!W25=0,0,SER_hh_fech_in!W25/SER_summary!W$27)</f>
        <v>10.208551310553455</v>
      </c>
      <c r="DA25" s="157" t="s">
        <v>838</v>
      </c>
    </row>
    <row r="26" spans="1:105" ht="12" customHeight="1" x14ac:dyDescent="0.25">
      <c r="A26" s="132" t="s">
        <v>24</v>
      </c>
      <c r="B26" s="65"/>
      <c r="C26" s="65">
        <f>IF(SER_hh_fech_in!C26=0,0,SER_hh_fech_in!C26/SER_summary!C$27)</f>
        <v>13.384643089862337</v>
      </c>
      <c r="D26" s="65">
        <f>IF(SER_hh_fech_in!D26=0,0,SER_hh_fech_in!D26/SER_summary!D$27)</f>
        <v>12.878950260937645</v>
      </c>
      <c r="E26" s="65">
        <f>IF(SER_hh_fech_in!E26=0,0,SER_hh_fech_in!E26/SER_summary!E$27)</f>
        <v>13.025207754333486</v>
      </c>
      <c r="F26" s="65">
        <f>IF(SER_hh_fech_in!F26=0,0,SER_hh_fech_in!F26/SER_summary!F$27)</f>
        <v>12.525294499931654</v>
      </c>
      <c r="G26" s="65">
        <f>IF(SER_hh_fech_in!G26=0,0,SER_hh_fech_in!G26/SER_summary!G$27)</f>
        <v>11.793328615814801</v>
      </c>
      <c r="H26" s="65">
        <f>IF(SER_hh_fech_in!H26=0,0,SER_hh_fech_in!H26/SER_summary!H$27)</f>
        <v>12.459009712597705</v>
      </c>
      <c r="I26" s="65">
        <f>IF(SER_hh_fech_in!I26=0,0,SER_hh_fech_in!I26/SER_summary!I$27)</f>
        <v>12.574864919289663</v>
      </c>
      <c r="J26" s="65">
        <f>IF(SER_hh_fech_in!J26=0,0,SER_hh_fech_in!J26/SER_summary!J$27)</f>
        <v>11.564277886229654</v>
      </c>
      <c r="K26" s="65">
        <f>IF(SER_hh_fech_in!K26=0,0,SER_hh_fech_in!K26/SER_summary!K$27)</f>
        <v>13.170927134581831</v>
      </c>
      <c r="L26" s="65">
        <f>IF(SER_hh_fech_in!L26=0,0,SER_hh_fech_in!L26/SER_summary!L$27)</f>
        <v>6.9842190616586413</v>
      </c>
      <c r="M26" s="65">
        <f>IF(SER_hh_fech_in!M26=0,0,SER_hh_fech_in!M26/SER_summary!M$27)</f>
        <v>9.1353932056638119</v>
      </c>
      <c r="N26" s="65">
        <f>IF(SER_hh_fech_in!N26=0,0,SER_hh_fech_in!N26/SER_summary!N$27)</f>
        <v>10.290612060001648</v>
      </c>
      <c r="O26" s="65">
        <f>IF(SER_hh_fech_in!O26=0,0,SER_hh_fech_in!O26/SER_summary!O$27)</f>
        <v>7.7293840017616535</v>
      </c>
      <c r="P26" s="65">
        <f>IF(SER_hh_fech_in!P26=0,0,SER_hh_fech_in!P26/SER_summary!P$27)</f>
        <v>13.078101949198969</v>
      </c>
      <c r="Q26" s="65">
        <f>IF(SER_hh_fech_in!Q26=0,0,SER_hh_fech_in!Q26/SER_summary!Q$27)</f>
        <v>6.8558977680584414</v>
      </c>
      <c r="R26" s="65">
        <f>IF(SER_hh_fech_in!R26=0,0,SER_hh_fech_in!R26/SER_summary!R$27)</f>
        <v>6.9424655995194087</v>
      </c>
      <c r="S26" s="65">
        <f>IF(SER_hh_fech_in!S26=0,0,SER_hh_fech_in!S26/SER_summary!S$27)</f>
        <v>10.762806633874471</v>
      </c>
      <c r="T26" s="65">
        <f>IF(SER_hh_fech_in!T26=0,0,SER_hh_fech_in!T26/SER_summary!T$27)</f>
        <v>5.7758517844517945</v>
      </c>
      <c r="U26" s="65">
        <f>IF(SER_hh_fech_in!U26=0,0,SER_hh_fech_in!U26/SER_summary!U$27)</f>
        <v>6.3346691626355955</v>
      </c>
      <c r="V26" s="65">
        <f>IF(SER_hh_fech_in!V26=0,0,SER_hh_fech_in!V26/SER_summary!V$27)</f>
        <v>5.0472227791242616</v>
      </c>
      <c r="W26" s="65">
        <f>IF(SER_hh_fech_in!W26=0,0,SER_hh_fech_in!W26/SER_summary!W$27)</f>
        <v>10.309808859957974</v>
      </c>
      <c r="DA26" s="109" t="s">
        <v>839</v>
      </c>
    </row>
    <row r="27" spans="1:105" ht="12" customHeight="1" x14ac:dyDescent="0.25">
      <c r="A27" s="145" t="s">
        <v>86</v>
      </c>
      <c r="B27" s="148"/>
      <c r="C27" s="146">
        <f>IF(SER_hh_fech_in!C27=0,0,SER_hh_fech_in!C27/SER_summary!C$27)</f>
        <v>0.35643631529485093</v>
      </c>
      <c r="D27" s="146">
        <f>IF(SER_hh_fech_in!D27=0,0,SER_hh_fech_in!D27/SER_summary!D$27)</f>
        <v>0.45132084201828965</v>
      </c>
      <c r="E27" s="146">
        <f>IF(SER_hh_fech_in!E27=0,0,SER_hh_fech_in!E27/SER_summary!E$27)</f>
        <v>0.35597183516827857</v>
      </c>
      <c r="F27" s="146">
        <f>IF(SER_hh_fech_in!F27=0,0,SER_hh_fech_in!F27/SER_summary!F$27)</f>
        <v>0.50981550459229152</v>
      </c>
      <c r="G27" s="146">
        <f>IF(SER_hh_fech_in!G27=0,0,SER_hh_fech_in!G27/SER_summary!G$27)</f>
        <v>0.68628011390544508</v>
      </c>
      <c r="H27" s="146">
        <f>IF(SER_hh_fech_in!H27=0,0,SER_hh_fech_in!H27/SER_summary!H$27)</f>
        <v>0.59047649829424431</v>
      </c>
      <c r="I27" s="146">
        <f>IF(SER_hh_fech_in!I27=0,0,SER_hh_fech_in!I27/SER_summary!I$27)</f>
        <v>0.50194914722944295</v>
      </c>
      <c r="J27" s="146">
        <f>IF(SER_hh_fech_in!J27=0,0,SER_hh_fech_in!J27/SER_summary!J$27)</f>
        <v>0.62452720086217028</v>
      </c>
      <c r="K27" s="146">
        <f>IF(SER_hh_fech_in!K27=0,0,SER_hh_fech_in!K27/SER_summary!K$27)</f>
        <v>0.23890419247804132</v>
      </c>
      <c r="L27" s="146">
        <f>IF(SER_hh_fech_in!L27=0,0,SER_hh_fech_in!L27/SER_summary!L$27)</f>
        <v>1.2210422055509045</v>
      </c>
      <c r="M27" s="146">
        <f>IF(SER_hh_fech_in!M27=0,0,SER_hh_fech_in!M27/SER_summary!M$27)</f>
        <v>1.1420424140148744</v>
      </c>
      <c r="N27" s="146">
        <f>IF(SER_hh_fech_in!N27=0,0,SER_hh_fech_in!N27/SER_summary!N$27)</f>
        <v>0.98658508542281009</v>
      </c>
      <c r="O27" s="146">
        <f>IF(SER_hh_fech_in!O27=0,0,SER_hh_fech_in!O27/SER_summary!O$27)</f>
        <v>1.4915014948823975</v>
      </c>
      <c r="P27" s="146">
        <f>IF(SER_hh_fech_in!P27=0,0,SER_hh_fech_in!P27/SER_summary!P$27)</f>
        <v>0</v>
      </c>
      <c r="Q27" s="146">
        <f>IF(SER_hh_fech_in!Q27=0,0,SER_hh_fech_in!Q27/SER_summary!Q$27)</f>
        <v>0.67780365804884857</v>
      </c>
      <c r="R27" s="146">
        <f>IF(SER_hh_fech_in!R27=0,0,SER_hh_fech_in!R27/SER_summary!R$27)</f>
        <v>0.67779926645609068</v>
      </c>
      <c r="S27" s="146">
        <f>IF(SER_hh_fech_in!S27=0,0,SER_hh_fech_in!S27/SER_summary!S$27)</f>
        <v>0.22948428736816531</v>
      </c>
      <c r="T27" s="146">
        <f>IF(SER_hh_fech_in!T27=0,0,SER_hh_fech_in!T27/SER_summary!T$27)</f>
        <v>1.0204763034968234</v>
      </c>
      <c r="U27" s="146">
        <f>IF(SER_hh_fech_in!U27=0,0,SER_hh_fech_in!U27/SER_summary!U$27)</f>
        <v>1.028897780159413</v>
      </c>
      <c r="V27" s="146">
        <f>IF(SER_hh_fech_in!V27=0,0,SER_hh_fech_in!V27/SER_summary!V$27)</f>
        <v>1.1820522241892479</v>
      </c>
      <c r="W27" s="146">
        <f>IF(SER_hh_fech_in!W27=0,0,SER_hh_fech_in!W27/SER_summary!W$27)</f>
        <v>1.0343274438402722E-4</v>
      </c>
      <c r="DA27" s="159" t="s">
        <v>840</v>
      </c>
    </row>
    <row r="28" spans="1:105" ht="12" customHeight="1" x14ac:dyDescent="0.25">
      <c r="A28" s="78" t="s">
        <v>85</v>
      </c>
      <c r="B28" s="68"/>
      <c r="C28" s="147">
        <f>IF(SER_hh_fech_in!C28=0,0,SER_hh_fech_in!C28/SER_summary!C$27)</f>
        <v>4.5964948216735415</v>
      </c>
      <c r="D28" s="147">
        <f>IF(SER_hh_fech_in!D28=0,0,SER_hh_fech_in!D28/SER_summary!D$27)</f>
        <v>4.4687810913795465</v>
      </c>
      <c r="E28" s="147">
        <f>IF(SER_hh_fech_in!E28=0,0,SER_hh_fech_in!E28/SER_summary!E$27)</f>
        <v>4.5314526588695108</v>
      </c>
      <c r="F28" s="147">
        <f>IF(SER_hh_fech_in!F28=0,0,SER_hh_fech_in!F28/SER_summary!F$27)</f>
        <v>4.5010910784461586</v>
      </c>
      <c r="G28" s="147">
        <f>IF(SER_hh_fech_in!G28=0,0,SER_hh_fech_in!G28/SER_summary!G$27)</f>
        <v>4.4049336330836537</v>
      </c>
      <c r="H28" s="147">
        <f>IF(SER_hh_fech_in!H28=0,0,SER_hh_fech_in!H28/SER_summary!H$27)</f>
        <v>4.3964462233232471</v>
      </c>
      <c r="I28" s="147">
        <f>IF(SER_hh_fech_in!I28=0,0,SER_hh_fech_in!I28/SER_summary!I$27)</f>
        <v>4.4576722427597968</v>
      </c>
      <c r="J28" s="147">
        <f>IF(SER_hh_fech_in!J28=0,0,SER_hh_fech_in!J28/SER_summary!J$27)</f>
        <v>4.6205071175273966</v>
      </c>
      <c r="K28" s="147">
        <f>IF(SER_hh_fech_in!K28=0,0,SER_hh_fech_in!K28/SER_summary!K$27)</f>
        <v>5.0998448544367321</v>
      </c>
      <c r="L28" s="147">
        <f>IF(SER_hh_fech_in!L28=0,0,SER_hh_fech_in!L28/SER_summary!L$27)</f>
        <v>4.3737776732046285</v>
      </c>
      <c r="M28" s="147">
        <f>IF(SER_hh_fech_in!M28=0,0,SER_hh_fech_in!M28/SER_summary!M$27)</f>
        <v>4.4443624125963961</v>
      </c>
      <c r="N28" s="147">
        <f>IF(SER_hh_fech_in!N28=0,0,SER_hh_fech_in!N28/SER_summary!N$27)</f>
        <v>4.6594021323380765</v>
      </c>
      <c r="O28" s="147">
        <f>IF(SER_hh_fech_in!O28=0,0,SER_hh_fech_in!O28/SER_summary!O$27)</f>
        <v>4.3568162350575559</v>
      </c>
      <c r="P28" s="147">
        <f>IF(SER_hh_fech_in!P28=0,0,SER_hh_fech_in!P28/SER_summary!P$27)</f>
        <v>0</v>
      </c>
      <c r="Q28" s="147">
        <f>IF(SER_hh_fech_in!Q28=0,0,SER_hh_fech_in!Q28/SER_summary!Q$27)</f>
        <v>4.5062490262834372</v>
      </c>
      <c r="R28" s="147">
        <f>IF(SER_hh_fech_in!R28=0,0,SER_hh_fech_in!R28/SER_summary!R$27)</f>
        <v>4.5238788508652368</v>
      </c>
      <c r="S28" s="147">
        <f>IF(SER_hh_fech_in!S28=0,0,SER_hh_fech_in!S28/SER_summary!S$27)</f>
        <v>4.8377176425035833</v>
      </c>
      <c r="T28" s="147">
        <f>IF(SER_hh_fech_in!T28=0,0,SER_hh_fech_in!T28/SER_summary!T$27)</f>
        <v>4.7348225589715041</v>
      </c>
      <c r="U28" s="147">
        <f>IF(SER_hh_fech_in!U28=0,0,SER_hh_fech_in!U28/SER_summary!U$27)</f>
        <v>4.569285977021952</v>
      </c>
      <c r="V28" s="147">
        <f>IF(SER_hh_fech_in!V28=0,0,SER_hh_fech_in!V28/SER_summary!V$27)</f>
        <v>3.950201768016655</v>
      </c>
      <c r="W28" s="147">
        <f>IF(SER_hh_fech_in!W28=0,0,SER_hh_fech_in!W28/SER_summary!W$27)</f>
        <v>4.425433030052031</v>
      </c>
      <c r="DA28" s="160"/>
    </row>
    <row r="29" spans="1:105" ht="12.95" customHeight="1" x14ac:dyDescent="0.25">
      <c r="A29" s="130" t="s">
        <v>34</v>
      </c>
      <c r="B29" s="131"/>
      <c r="C29" s="131">
        <f>IF(SER_hh_fech_in!C29=0,0,SER_hh_fech_in!C29/SER_summary!C$27)</f>
        <v>12.720075840462073</v>
      </c>
      <c r="D29" s="131">
        <f>IF(SER_hh_fech_in!D29=0,0,SER_hh_fech_in!D29/SER_summary!D$27)</f>
        <v>12.825052804878965</v>
      </c>
      <c r="E29" s="131">
        <f>IF(SER_hh_fech_in!E29=0,0,SER_hh_fech_in!E29/SER_summary!E$27)</f>
        <v>13.238577380376418</v>
      </c>
      <c r="F29" s="131">
        <f>IF(SER_hh_fech_in!F29=0,0,SER_hh_fech_in!F29/SER_summary!F$27)</f>
        <v>13.459082208036113</v>
      </c>
      <c r="G29" s="131">
        <f>IF(SER_hh_fech_in!G29=0,0,SER_hh_fech_in!G29/SER_summary!G$27)</f>
        <v>13.568593302747381</v>
      </c>
      <c r="H29" s="131">
        <f>IF(SER_hh_fech_in!H29=0,0,SER_hh_fech_in!H29/SER_summary!H$27)</f>
        <v>13.490370998722561</v>
      </c>
      <c r="I29" s="131">
        <f>IF(SER_hh_fech_in!I29=0,0,SER_hh_fech_in!I29/SER_summary!I$27)</f>
        <v>13.196370130212493</v>
      </c>
      <c r="J29" s="131">
        <f>IF(SER_hh_fech_in!J29=0,0,SER_hh_fech_in!J29/SER_summary!J$27)</f>
        <v>13.322458700578652</v>
      </c>
      <c r="K29" s="131">
        <f>IF(SER_hh_fech_in!K29=0,0,SER_hh_fech_in!K29/SER_summary!K$27)</f>
        <v>13.247122238506609</v>
      </c>
      <c r="L29" s="131">
        <f>IF(SER_hh_fech_in!L29=0,0,SER_hh_fech_in!L29/SER_summary!L$27)</f>
        <v>13.205811150714439</v>
      </c>
      <c r="M29" s="131">
        <f>IF(SER_hh_fech_in!M29=0,0,SER_hh_fech_in!M29/SER_summary!M$27)</f>
        <v>13.09216317221388</v>
      </c>
      <c r="N29" s="131">
        <f>IF(SER_hh_fech_in!N29=0,0,SER_hh_fech_in!N29/SER_summary!N$27)</f>
        <v>13.279957515965872</v>
      </c>
      <c r="O29" s="131">
        <f>IF(SER_hh_fech_in!O29=0,0,SER_hh_fech_in!O29/SER_summary!O$27)</f>
        <v>13.530064102512718</v>
      </c>
      <c r="P29" s="131">
        <f>IF(SER_hh_fech_in!P29=0,0,SER_hh_fech_in!P29/SER_summary!P$27)</f>
        <v>13.332459265860871</v>
      </c>
      <c r="Q29" s="131">
        <f>IF(SER_hh_fech_in!Q29=0,0,SER_hh_fech_in!Q29/SER_summary!Q$27)</f>
        <v>14.036343549783163</v>
      </c>
      <c r="R29" s="131">
        <f>IF(SER_hh_fech_in!R29=0,0,SER_hh_fech_in!R29/SER_summary!R$27)</f>
        <v>13.814511238837206</v>
      </c>
      <c r="S29" s="131">
        <f>IF(SER_hh_fech_in!S29=0,0,SER_hh_fech_in!S29/SER_summary!S$27)</f>
        <v>13.428006422747092</v>
      </c>
      <c r="T29" s="131">
        <f>IF(SER_hh_fech_in!T29=0,0,SER_hh_fech_in!T29/SER_summary!T$27)</f>
        <v>13.027355830448496</v>
      </c>
      <c r="U29" s="131">
        <f>IF(SER_hh_fech_in!U29=0,0,SER_hh_fech_in!U29/SER_summary!U$27)</f>
        <v>13.010486607704305</v>
      </c>
      <c r="V29" s="131">
        <f>IF(SER_hh_fech_in!V29=0,0,SER_hh_fech_in!V29/SER_summary!V$27)</f>
        <v>11.21523779280608</v>
      </c>
      <c r="W29" s="131">
        <f>IF(SER_hh_fech_in!W29=0,0,SER_hh_fech_in!W29/SER_summary!W$27)</f>
        <v>11.892898852779579</v>
      </c>
      <c r="DA29" s="156" t="s">
        <v>841</v>
      </c>
    </row>
    <row r="30" spans="1:105" s="2" customFormat="1" ht="12" customHeight="1" x14ac:dyDescent="0.25">
      <c r="A30" s="132" t="s">
        <v>52</v>
      </c>
      <c r="B30" s="133"/>
      <c r="C30" s="133">
        <f>IF(SER_hh_fech_in!C30=0,0,SER_hh_fech_in!C30/SER_summary!C$27)</f>
        <v>15.958323361195259</v>
      </c>
      <c r="D30" s="133">
        <f>IF(SER_hh_fech_in!D30=0,0,SER_hh_fech_in!D30/SER_summary!D$27)</f>
        <v>14.242875745408577</v>
      </c>
      <c r="E30" s="133">
        <f>IF(SER_hh_fech_in!E30=0,0,SER_hh_fech_in!E30/SER_summary!E$27)</f>
        <v>15.930274058265514</v>
      </c>
      <c r="F30" s="133">
        <f>IF(SER_hh_fech_in!F30=0,0,SER_hh_fech_in!F30/SER_summary!F$27)</f>
        <v>16.798510425666727</v>
      </c>
      <c r="G30" s="133">
        <f>IF(SER_hh_fech_in!G30=0,0,SER_hh_fech_in!G30/SER_summary!G$27)</f>
        <v>17.674347886317879</v>
      </c>
      <c r="H30" s="133">
        <f>IF(SER_hh_fech_in!H30=0,0,SER_hh_fech_in!H30/SER_summary!H$27)</f>
        <v>16.817626254809078</v>
      </c>
      <c r="I30" s="133">
        <f>IF(SER_hh_fech_in!I30=0,0,SER_hh_fech_in!I30/SER_summary!I$27)</f>
        <v>16.498341071165431</v>
      </c>
      <c r="J30" s="133">
        <f>IF(SER_hh_fech_in!J30=0,0,SER_hh_fech_in!J30/SER_summary!J$27)</f>
        <v>15.971629768127382</v>
      </c>
      <c r="K30" s="133">
        <f>IF(SER_hh_fech_in!K30=0,0,SER_hh_fech_in!K30/SER_summary!K$27)</f>
        <v>15.237570288284743</v>
      </c>
      <c r="L30" s="133">
        <f>IF(SER_hh_fech_in!L30=0,0,SER_hh_fech_in!L30/SER_summary!L$27)</f>
        <v>18.930094849123829</v>
      </c>
      <c r="M30" s="133">
        <f>IF(SER_hh_fech_in!M30=0,0,SER_hh_fech_in!M30/SER_summary!M$27)</f>
        <v>16.954122016487368</v>
      </c>
      <c r="N30" s="133">
        <f>IF(SER_hh_fech_in!N30=0,0,SER_hh_fech_in!N30/SER_summary!N$27)</f>
        <v>0</v>
      </c>
      <c r="O30" s="133">
        <f>IF(SER_hh_fech_in!O30=0,0,SER_hh_fech_in!O30/SER_summary!O$27)</f>
        <v>18.880626584757017</v>
      </c>
      <c r="P30" s="133">
        <f>IF(SER_hh_fech_in!P30=0,0,SER_hh_fech_in!P30/SER_summary!P$27)</f>
        <v>10.199435703133053</v>
      </c>
      <c r="Q30" s="133">
        <f>IF(SER_hh_fech_in!Q30=0,0,SER_hh_fech_in!Q30/SER_summary!Q$27)</f>
        <v>19.302455401877989</v>
      </c>
      <c r="R30" s="133">
        <f>IF(SER_hh_fech_in!R30=0,0,SER_hh_fech_in!R30/SER_summary!R$27)</f>
        <v>18.540364762453887</v>
      </c>
      <c r="S30" s="133">
        <f>IF(SER_hh_fech_in!S30=0,0,SER_hh_fech_in!S30/SER_summary!S$27)</f>
        <v>17.168610180429301</v>
      </c>
      <c r="T30" s="133">
        <f>IF(SER_hh_fech_in!T30=0,0,SER_hh_fech_in!T30/SER_summary!T$27)</f>
        <v>17.328214954958131</v>
      </c>
      <c r="U30" s="133">
        <f>IF(SER_hh_fech_in!U30=0,0,SER_hh_fech_in!U30/SER_summary!U$27)</f>
        <v>17.015207826180774</v>
      </c>
      <c r="V30" s="133">
        <f>IF(SER_hh_fech_in!V30=0,0,SER_hh_fech_in!V30/SER_summary!V$27)</f>
        <v>14.644013894493114</v>
      </c>
      <c r="W30" s="133">
        <f>IF(SER_hh_fech_in!W30=0,0,SER_hh_fech_in!W30/SER_summary!W$27)</f>
        <v>15.741418323154633</v>
      </c>
      <c r="DA30" s="157" t="s">
        <v>842</v>
      </c>
    </row>
    <row r="31" spans="1:105" ht="12" customHeight="1" x14ac:dyDescent="0.25">
      <c r="A31" s="132" t="s">
        <v>153</v>
      </c>
      <c r="B31" s="133"/>
      <c r="C31" s="133">
        <f>IF(SER_hh_fech_in!C31=0,0,SER_hh_fech_in!C31/SER_summary!C$27)</f>
        <v>15.828434819898598</v>
      </c>
      <c r="D31" s="133">
        <f>IF(SER_hh_fech_in!D31=0,0,SER_hh_fech_in!D31/SER_summary!D$27)</f>
        <v>15.952637528894801</v>
      </c>
      <c r="E31" s="133">
        <f>IF(SER_hh_fech_in!E31=0,0,SER_hh_fech_in!E31/SER_summary!E$27)</f>
        <v>16.155687512906077</v>
      </c>
      <c r="F31" s="133">
        <f>IF(SER_hh_fech_in!F31=0,0,SER_hh_fech_in!F31/SER_summary!F$27)</f>
        <v>15.958373827849801</v>
      </c>
      <c r="G31" s="133">
        <f>IF(SER_hh_fech_in!G31=0,0,SER_hh_fech_in!G31/SER_summary!G$27)</f>
        <v>16.709856553943442</v>
      </c>
      <c r="H31" s="133">
        <f>IF(SER_hh_fech_in!H31=0,0,SER_hh_fech_in!H31/SER_summary!H$27)</f>
        <v>16.6555473890771</v>
      </c>
      <c r="I31" s="133">
        <f>IF(SER_hh_fech_in!I31=0,0,SER_hh_fech_in!I31/SER_summary!I$27)</f>
        <v>16.426643159400125</v>
      </c>
      <c r="J31" s="133">
        <f>IF(SER_hh_fech_in!J31=0,0,SER_hh_fech_in!J31/SER_summary!J$27)</f>
        <v>16.383451302353762</v>
      </c>
      <c r="K31" s="133">
        <f>IF(SER_hh_fech_in!K31=0,0,SER_hh_fech_in!K31/SER_summary!K$27)</f>
        <v>16.590004178425875</v>
      </c>
      <c r="L31" s="133">
        <f>IF(SER_hh_fech_in!L31=0,0,SER_hh_fech_in!L31/SER_summary!L$27)</f>
        <v>16.654009478102047</v>
      </c>
      <c r="M31" s="133">
        <f>IF(SER_hh_fech_in!M31=0,0,SER_hh_fech_in!M31/SER_summary!M$27)</f>
        <v>16.621555412913921</v>
      </c>
      <c r="N31" s="133">
        <f>IF(SER_hh_fech_in!N31=0,0,SER_hh_fech_in!N31/SER_summary!N$27)</f>
        <v>16.878296253471351</v>
      </c>
      <c r="O31" s="133">
        <f>IF(SER_hh_fech_in!O31=0,0,SER_hh_fech_in!O31/SER_summary!O$27)</f>
        <v>16.869497815498896</v>
      </c>
      <c r="P31" s="133">
        <f>IF(SER_hh_fech_in!P31=0,0,SER_hh_fech_in!P31/SER_summary!P$27)</f>
        <v>16.222603826309555</v>
      </c>
      <c r="Q31" s="133">
        <f>IF(SER_hh_fech_in!Q31=0,0,SER_hh_fech_in!Q31/SER_summary!Q$27)</f>
        <v>18.010224934324444</v>
      </c>
      <c r="R31" s="133">
        <f>IF(SER_hh_fech_in!R31=0,0,SER_hh_fech_in!R31/SER_summary!R$27)</f>
        <v>17.659139260989651</v>
      </c>
      <c r="S31" s="133">
        <f>IF(SER_hh_fech_in!S31=0,0,SER_hh_fech_in!S31/SER_summary!S$27)</f>
        <v>16.056047741562384</v>
      </c>
      <c r="T31" s="133">
        <f>IF(SER_hh_fech_in!T31=0,0,SER_hh_fech_in!T31/SER_summary!T$27)</f>
        <v>17.176845619987777</v>
      </c>
      <c r="U31" s="133">
        <f>IF(SER_hh_fech_in!U31=0,0,SER_hh_fech_in!U31/SER_summary!U$27)</f>
        <v>18.664266277320863</v>
      </c>
      <c r="V31" s="133">
        <f>IF(SER_hh_fech_in!V31=0,0,SER_hh_fech_in!V31/SER_summary!V$27)</f>
        <v>11.304707324074119</v>
      </c>
      <c r="W31" s="133">
        <f>IF(SER_hh_fech_in!W31=0,0,SER_hh_fech_in!W31/SER_summary!W$27)</f>
        <v>17.489446803902847</v>
      </c>
      <c r="DA31" s="157" t="s">
        <v>843</v>
      </c>
    </row>
    <row r="32" spans="1:105" ht="12" customHeight="1" x14ac:dyDescent="0.25">
      <c r="A32" s="132" t="s">
        <v>128</v>
      </c>
      <c r="B32" s="133"/>
      <c r="C32" s="133">
        <f>IF(SER_hh_fech_in!C32=0,0,SER_hh_fech_in!C32/SER_summary!C$27)</f>
        <v>0</v>
      </c>
      <c r="D32" s="133">
        <f>IF(SER_hh_fech_in!D32=0,0,SER_hh_fech_in!D32/SER_summary!D$27)</f>
        <v>0</v>
      </c>
      <c r="E32" s="133">
        <f>IF(SER_hh_fech_in!E32=0,0,SER_hh_fech_in!E32/SER_summary!E$27)</f>
        <v>0</v>
      </c>
      <c r="F32" s="133">
        <f>IF(SER_hh_fech_in!F32=0,0,SER_hh_fech_in!F32/SER_summary!F$27)</f>
        <v>0</v>
      </c>
      <c r="G32" s="133">
        <f>IF(SER_hh_fech_in!G32=0,0,SER_hh_fech_in!G32/SER_summary!G$27)</f>
        <v>0</v>
      </c>
      <c r="H32" s="133">
        <f>IF(SER_hh_fech_in!H32=0,0,SER_hh_fech_in!H32/SER_summary!H$27)</f>
        <v>0</v>
      </c>
      <c r="I32" s="133">
        <f>IF(SER_hh_fech_in!I32=0,0,SER_hh_fech_in!I32/SER_summary!I$27)</f>
        <v>0</v>
      </c>
      <c r="J32" s="133">
        <f>IF(SER_hh_fech_in!J32=0,0,SER_hh_fech_in!J32/SER_summary!J$27)</f>
        <v>0</v>
      </c>
      <c r="K32" s="133">
        <f>IF(SER_hh_fech_in!K32=0,0,SER_hh_fech_in!K32/SER_summary!K$27)</f>
        <v>0</v>
      </c>
      <c r="L32" s="133">
        <f>IF(SER_hh_fech_in!L32=0,0,SER_hh_fech_in!L32/SER_summary!L$27)</f>
        <v>0</v>
      </c>
      <c r="M32" s="133">
        <f>IF(SER_hh_fech_in!M32=0,0,SER_hh_fech_in!M32/SER_summary!M$27)</f>
        <v>0</v>
      </c>
      <c r="N32" s="133">
        <f>IF(SER_hh_fech_in!N32=0,0,SER_hh_fech_in!N32/SER_summary!N$27)</f>
        <v>0</v>
      </c>
      <c r="O32" s="133">
        <f>IF(SER_hh_fech_in!O32=0,0,SER_hh_fech_in!O32/SER_summary!O$27)</f>
        <v>0</v>
      </c>
      <c r="P32" s="133">
        <f>IF(SER_hh_fech_in!P32=0,0,SER_hh_fech_in!P32/SER_summary!P$27)</f>
        <v>0</v>
      </c>
      <c r="Q32" s="133">
        <f>IF(SER_hh_fech_in!Q32=0,0,SER_hh_fech_in!Q32/SER_summary!Q$27)</f>
        <v>0</v>
      </c>
      <c r="R32" s="133">
        <f>IF(SER_hh_fech_in!R32=0,0,SER_hh_fech_in!R32/SER_summary!R$27)</f>
        <v>0</v>
      </c>
      <c r="S32" s="133">
        <f>IF(SER_hh_fech_in!S32=0,0,SER_hh_fech_in!S32/SER_summary!S$27)</f>
        <v>0</v>
      </c>
      <c r="T32" s="133">
        <f>IF(SER_hh_fech_in!T32=0,0,SER_hh_fech_in!T32/SER_summary!T$27)</f>
        <v>0</v>
      </c>
      <c r="U32" s="133">
        <f>IF(SER_hh_fech_in!U32=0,0,SER_hh_fech_in!U32/SER_summary!U$27)</f>
        <v>0</v>
      </c>
      <c r="V32" s="133">
        <f>IF(SER_hh_fech_in!V32=0,0,SER_hh_fech_in!V32/SER_summary!V$27)</f>
        <v>0</v>
      </c>
      <c r="W32" s="133">
        <f>IF(SER_hh_fech_in!W32=0,0,SER_hh_fech_in!W32/SER_summary!W$27)</f>
        <v>0</v>
      </c>
      <c r="DA32" s="157" t="s">
        <v>844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12.093292498227964</v>
      </c>
      <c r="D33" s="68">
        <f>IF(SER_hh_fech_in!D33=0,0,SER_hh_fech_in!D33/SER_summary!D$27)</f>
        <v>12.163731927701575</v>
      </c>
      <c r="E33" s="68">
        <f>IF(SER_hh_fech_in!E33=0,0,SER_hh_fech_in!E33/SER_summary!E$27)</f>
        <v>12.420565375273833</v>
      </c>
      <c r="F33" s="68">
        <f>IF(SER_hh_fech_in!F33=0,0,SER_hh_fech_in!F33/SER_summary!F$27)</f>
        <v>12.590052527294899</v>
      </c>
      <c r="G33" s="68">
        <f>IF(SER_hh_fech_in!G33=0,0,SER_hh_fech_in!G33/SER_summary!G$27)</f>
        <v>12.351611584068451</v>
      </c>
      <c r="H33" s="68">
        <f>IF(SER_hh_fech_in!H33=0,0,SER_hh_fech_in!H33/SER_summary!H$27)</f>
        <v>12.579373672190874</v>
      </c>
      <c r="I33" s="68">
        <f>IF(SER_hh_fech_in!I33=0,0,SER_hh_fech_in!I33/SER_summary!I$27)</f>
        <v>12.428841706420169</v>
      </c>
      <c r="J33" s="68">
        <f>IF(SER_hh_fech_in!J33=0,0,SER_hh_fech_in!J33/SER_summary!J$27)</f>
        <v>12.550646410867257</v>
      </c>
      <c r="K33" s="68">
        <f>IF(SER_hh_fech_in!K33=0,0,SER_hh_fech_in!K33/SER_summary!K$27)</f>
        <v>12.494874015280395</v>
      </c>
      <c r="L33" s="68">
        <f>IF(SER_hh_fech_in!L33=0,0,SER_hh_fech_in!L33/SER_summary!L$27)</f>
        <v>12.289759746846652</v>
      </c>
      <c r="M33" s="68">
        <f>IF(SER_hh_fech_in!M33=0,0,SER_hh_fech_in!M33/SER_summary!M$27)</f>
        <v>12.558446376136162</v>
      </c>
      <c r="N33" s="68">
        <f>IF(SER_hh_fech_in!N33=0,0,SER_hh_fech_in!N33/SER_summary!N$27)</f>
        <v>12.820149577338618</v>
      </c>
      <c r="O33" s="68">
        <f>IF(SER_hh_fech_in!O33=0,0,SER_hh_fech_in!O33/SER_summary!O$27)</f>
        <v>12.730843319677614</v>
      </c>
      <c r="P33" s="68">
        <f>IF(SER_hh_fech_in!P33=0,0,SER_hh_fech_in!P33/SER_summary!P$27)</f>
        <v>12.952637615820056</v>
      </c>
      <c r="Q33" s="68">
        <f>IF(SER_hh_fech_in!Q33=0,0,SER_hh_fech_in!Q33/SER_summary!Q$27)</f>
        <v>12.353914736069006</v>
      </c>
      <c r="R33" s="68">
        <f>IF(SER_hh_fech_in!R33=0,0,SER_hh_fech_in!R33/SER_summary!R$27)</f>
        <v>12.502782644192989</v>
      </c>
      <c r="S33" s="68">
        <f>IF(SER_hh_fech_in!S33=0,0,SER_hh_fech_in!S33/SER_summary!S$27)</f>
        <v>12.562280916567108</v>
      </c>
      <c r="T33" s="68">
        <f>IF(SER_hh_fech_in!T33=0,0,SER_hh_fech_in!T33/SER_summary!T$27)</f>
        <v>12.001098956087951</v>
      </c>
      <c r="U33" s="68">
        <f>IF(SER_hh_fech_in!U33=0,0,SER_hh_fech_in!U33/SER_summary!U$27)</f>
        <v>11.525239641946712</v>
      </c>
      <c r="V33" s="68">
        <f>IF(SER_hh_fech_in!V33=0,0,SER_hh_fech_in!V33/SER_summary!V$27)</f>
        <v>11.103408119286209</v>
      </c>
      <c r="W33" s="68">
        <f>IF(SER_hh_fech_in!W33=0,0,SER_hh_fech_in!W33/SER_summary!W$27)</f>
        <v>10.64813236577657</v>
      </c>
      <c r="DA33" s="111" t="s">
        <v>845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/>
      <c r="C3" s="126">
        <f>IF(SER_hh_tesh_in!C3=0,0,SER_hh_tesh_in!C3/SER_summary!C$27)</f>
        <v>131.4808421368646</v>
      </c>
      <c r="D3" s="126">
        <f>IF(SER_hh_tesh_in!D3=0,0,SER_hh_tesh_in!D3/SER_summary!D$27)</f>
        <v>128.23365156673751</v>
      </c>
      <c r="E3" s="126">
        <f>IF(SER_hh_tesh_in!E3=0,0,SER_hh_tesh_in!E3/SER_summary!E$27)</f>
        <v>129.22590682316013</v>
      </c>
      <c r="F3" s="126">
        <f>IF(SER_hh_tesh_in!F3=0,0,SER_hh_tesh_in!F3/SER_summary!F$27)</f>
        <v>125.77176772096112</v>
      </c>
      <c r="G3" s="126">
        <f>IF(SER_hh_tesh_in!G3=0,0,SER_hh_tesh_in!G3/SER_summary!G$27)</f>
        <v>122.03903467690546</v>
      </c>
      <c r="H3" s="126">
        <f>IF(SER_hh_tesh_in!H3=0,0,SER_hh_tesh_in!H3/SER_summary!H$27)</f>
        <v>120.58103320146085</v>
      </c>
      <c r="I3" s="126">
        <f>IF(SER_hh_tesh_in!I3=0,0,SER_hh_tesh_in!I3/SER_summary!I$27)</f>
        <v>117.36355948635081</v>
      </c>
      <c r="J3" s="126">
        <f>IF(SER_hh_tesh_in!J3=0,0,SER_hh_tesh_in!J3/SER_summary!J$27)</f>
        <v>114.44200937359929</v>
      </c>
      <c r="K3" s="126">
        <f>IF(SER_hh_tesh_in!K3=0,0,SER_hh_tesh_in!K3/SER_summary!K$27)</f>
        <v>110.58249696871934</v>
      </c>
      <c r="L3" s="126">
        <f>IF(SER_hh_tesh_in!L3=0,0,SER_hh_tesh_in!L3/SER_summary!L$27)</f>
        <v>116.20173614755679</v>
      </c>
      <c r="M3" s="126">
        <f>IF(SER_hh_tesh_in!M3=0,0,SER_hh_tesh_in!M3/SER_summary!M$27)</f>
        <v>103.52387211546329</v>
      </c>
      <c r="N3" s="126">
        <f>IF(SER_hh_tesh_in!N3=0,0,SER_hh_tesh_in!N3/SER_summary!N$27)</f>
        <v>103.42704080393105</v>
      </c>
      <c r="O3" s="126">
        <f>IF(SER_hh_tesh_in!O3=0,0,SER_hh_tesh_in!O3/SER_summary!O$27)</f>
        <v>100.75594740055668</v>
      </c>
      <c r="P3" s="126">
        <f>IF(SER_hh_tesh_in!P3=0,0,SER_hh_tesh_in!P3/SER_summary!P$27)</f>
        <v>91.785099675429962</v>
      </c>
      <c r="Q3" s="126">
        <f>IF(SER_hh_tesh_in!Q3=0,0,SER_hh_tesh_in!Q3/SER_summary!Q$27)</f>
        <v>93.652168356674707</v>
      </c>
      <c r="R3" s="126">
        <f>IF(SER_hh_tesh_in!R3=0,0,SER_hh_tesh_in!R3/SER_summary!R$27)</f>
        <v>93.19471703143067</v>
      </c>
      <c r="S3" s="126">
        <f>IF(SER_hh_tesh_in!S3=0,0,SER_hh_tesh_in!S3/SER_summary!S$27)</f>
        <v>91.796222451981791</v>
      </c>
      <c r="T3" s="126">
        <f>IF(SER_hh_tesh_in!T3=0,0,SER_hh_tesh_in!T3/SER_summary!T$27)</f>
        <v>86.834802815441734</v>
      </c>
      <c r="U3" s="126">
        <f>IF(SER_hh_tesh_in!U3=0,0,SER_hh_tesh_in!U3/SER_summary!U$27)</f>
        <v>81.14545699862181</v>
      </c>
      <c r="V3" s="126">
        <f>IF(SER_hh_tesh_in!V3=0,0,SER_hh_tesh_in!V3/SER_summary!V$27)</f>
        <v>75.691849534795992</v>
      </c>
      <c r="W3" s="126">
        <f>IF(SER_hh_tesh_in!W3=0,0,SER_hh_tesh_in!W3/SER_summary!W$27)</f>
        <v>81.088529684532617</v>
      </c>
      <c r="DA3" s="155" t="s">
        <v>847</v>
      </c>
    </row>
    <row r="4" spans="1:105" ht="12.95" customHeight="1" x14ac:dyDescent="0.25">
      <c r="A4" s="130" t="s">
        <v>32</v>
      </c>
      <c r="B4" s="131"/>
      <c r="C4" s="131">
        <f>IF(SER_hh_tesh_in!C4=0,0,SER_hh_tesh_in!C4/SER_summary!C$27)</f>
        <v>86.211755292935493</v>
      </c>
      <c r="D4" s="131">
        <f>IF(SER_hh_tesh_in!D4=0,0,SER_hh_tesh_in!D4/SER_summary!D$27)</f>
        <v>83.22425319255504</v>
      </c>
      <c r="E4" s="131">
        <f>IF(SER_hh_tesh_in!E4=0,0,SER_hh_tesh_in!E4/SER_summary!E$27)</f>
        <v>84.143327400835403</v>
      </c>
      <c r="F4" s="131">
        <f>IF(SER_hh_tesh_in!F4=0,0,SER_hh_tesh_in!F4/SER_summary!F$27)</f>
        <v>80.846537674525806</v>
      </c>
      <c r="G4" s="131">
        <f>IF(SER_hh_tesh_in!G4=0,0,SER_hh_tesh_in!G4/SER_summary!G$27)</f>
        <v>77.269167387062012</v>
      </c>
      <c r="H4" s="131">
        <f>IF(SER_hh_tesh_in!H4=0,0,SER_hh_tesh_in!H4/SER_summary!H$27)</f>
        <v>75.808417612443776</v>
      </c>
      <c r="I4" s="131">
        <f>IF(SER_hh_tesh_in!I4=0,0,SER_hh_tesh_in!I4/SER_summary!I$27)</f>
        <v>72.873723141711594</v>
      </c>
      <c r="J4" s="131">
        <f>IF(SER_hh_tesh_in!J4=0,0,SER_hh_tesh_in!J4/SER_summary!J$27)</f>
        <v>70.117021666340662</v>
      </c>
      <c r="K4" s="131">
        <f>IF(SER_hh_tesh_in!K4=0,0,SER_hh_tesh_in!K4/SER_summary!K$27)</f>
        <v>66.460267405041435</v>
      </c>
      <c r="L4" s="131">
        <f>IF(SER_hh_tesh_in!L4=0,0,SER_hh_tesh_in!L4/SER_summary!L$27)</f>
        <v>72.156093454231666</v>
      </c>
      <c r="M4" s="131">
        <f>IF(SER_hh_tesh_in!M4=0,0,SER_hh_tesh_in!M4/SER_summary!M$27)</f>
        <v>59.659471172231257</v>
      </c>
      <c r="N4" s="131">
        <f>IF(SER_hh_tesh_in!N4=0,0,SER_hh_tesh_in!N4/SER_summary!N$27)</f>
        <v>59.587713108087627</v>
      </c>
      <c r="O4" s="131">
        <f>IF(SER_hh_tesh_in!O4=0,0,SER_hh_tesh_in!O4/SER_summary!O$27)</f>
        <v>57.272128662132943</v>
      </c>
      <c r="P4" s="131">
        <f>IF(SER_hh_tesh_in!P4=0,0,SER_hh_tesh_in!P4/SER_summary!P$27)</f>
        <v>48.666173246812654</v>
      </c>
      <c r="Q4" s="131">
        <f>IF(SER_hh_tesh_in!Q4=0,0,SER_hh_tesh_in!Q4/SER_summary!Q$27)</f>
        <v>50.5586376000131</v>
      </c>
      <c r="R4" s="131">
        <f>IF(SER_hh_tesh_in!R4=0,0,SER_hh_tesh_in!R4/SER_summary!R$27)</f>
        <v>50.258091026414114</v>
      </c>
      <c r="S4" s="131">
        <f>IF(SER_hh_tesh_in!S4=0,0,SER_hh_tesh_in!S4/SER_summary!S$27)</f>
        <v>49.309045278799829</v>
      </c>
      <c r="T4" s="131">
        <f>IF(SER_hh_tesh_in!T4=0,0,SER_hh_tesh_in!T4/SER_summary!T$27)</f>
        <v>44.159363877724275</v>
      </c>
      <c r="U4" s="131">
        <f>IF(SER_hh_tesh_in!U4=0,0,SER_hh_tesh_in!U4/SER_summary!U$27)</f>
        <v>39.930787837631549</v>
      </c>
      <c r="V4" s="131">
        <f>IF(SER_hh_tesh_in!V4=0,0,SER_hh_tesh_in!V4/SER_summary!V$27)</f>
        <v>37.323646228033098</v>
      </c>
      <c r="W4" s="131">
        <f>IF(SER_hh_tesh_in!W4=0,0,SER_hh_tesh_in!W4/SER_summary!W$27)</f>
        <v>42.354962437990153</v>
      </c>
      <c r="DA4" s="156" t="s">
        <v>848</v>
      </c>
    </row>
    <row r="5" spans="1:105" ht="12" customHeight="1" x14ac:dyDescent="0.25">
      <c r="A5" s="132" t="s">
        <v>29</v>
      </c>
      <c r="B5" s="133"/>
      <c r="C5" s="133">
        <f>IF(SER_hh_tesh_in!C5=0,0,SER_hh_tesh_in!C5/SER_summary!C$27)</f>
        <v>0</v>
      </c>
      <c r="D5" s="133">
        <f>IF(SER_hh_tesh_in!D5=0,0,SER_hh_tesh_in!D5/SER_summary!D$27)</f>
        <v>0</v>
      </c>
      <c r="E5" s="133">
        <f>IF(SER_hh_tesh_in!E5=0,0,SER_hh_tesh_in!E5/SER_summary!E$27)</f>
        <v>0</v>
      </c>
      <c r="F5" s="133">
        <f>IF(SER_hh_tesh_in!F5=0,0,SER_hh_tesh_in!F5/SER_summary!F$27)</f>
        <v>0</v>
      </c>
      <c r="G5" s="133">
        <f>IF(SER_hh_tesh_in!G5=0,0,SER_hh_tesh_in!G5/SER_summary!G$27)</f>
        <v>0</v>
      </c>
      <c r="H5" s="133">
        <f>IF(SER_hh_tesh_in!H5=0,0,SER_hh_tesh_in!H5/SER_summary!H$27)</f>
        <v>0</v>
      </c>
      <c r="I5" s="133">
        <f>IF(SER_hh_tesh_in!I5=0,0,SER_hh_tesh_in!I5/SER_summary!I$27)</f>
        <v>0</v>
      </c>
      <c r="J5" s="133">
        <f>IF(SER_hh_tesh_in!J5=0,0,SER_hh_tesh_in!J5/SER_summary!J$27)</f>
        <v>0</v>
      </c>
      <c r="K5" s="133">
        <f>IF(SER_hh_tesh_in!K5=0,0,SER_hh_tesh_in!K5/SER_summary!K$27)</f>
        <v>0</v>
      </c>
      <c r="L5" s="133">
        <f>IF(SER_hh_tesh_in!L5=0,0,SER_hh_tesh_in!L5/SER_summary!L$27)</f>
        <v>0</v>
      </c>
      <c r="M5" s="133">
        <f>IF(SER_hh_tesh_in!M5=0,0,SER_hh_tesh_in!M5/SER_summary!M$27)</f>
        <v>0</v>
      </c>
      <c r="N5" s="133">
        <f>IF(SER_hh_tesh_in!N5=0,0,SER_hh_tesh_in!N5/SER_summary!N$27)</f>
        <v>0</v>
      </c>
      <c r="O5" s="133">
        <f>IF(SER_hh_tesh_in!O5=0,0,SER_hh_tesh_in!O5/SER_summary!O$27)</f>
        <v>0</v>
      </c>
      <c r="P5" s="133">
        <f>IF(SER_hh_tesh_in!P5=0,0,SER_hh_tesh_in!P5/SER_summary!P$27)</f>
        <v>0</v>
      </c>
      <c r="Q5" s="133">
        <f>IF(SER_hh_tesh_in!Q5=0,0,SER_hh_tesh_in!Q5/SER_summary!Q$27)</f>
        <v>0</v>
      </c>
      <c r="R5" s="133">
        <f>IF(SER_hh_tesh_in!R5=0,0,SER_hh_tesh_in!R5/SER_summary!R$27)</f>
        <v>0</v>
      </c>
      <c r="S5" s="133">
        <f>IF(SER_hh_tesh_in!S5=0,0,SER_hh_tesh_in!S5/SER_summary!S$27)</f>
        <v>0</v>
      </c>
      <c r="T5" s="133">
        <f>IF(SER_hh_tesh_in!T5=0,0,SER_hh_tesh_in!T5/SER_summary!T$27)</f>
        <v>0</v>
      </c>
      <c r="U5" s="133">
        <f>IF(SER_hh_tesh_in!U5=0,0,SER_hh_tesh_in!U5/SER_summary!U$27)</f>
        <v>0</v>
      </c>
      <c r="V5" s="133">
        <f>IF(SER_hh_tesh_in!V5=0,0,SER_hh_tesh_in!V5/SER_summary!V$27)</f>
        <v>0</v>
      </c>
      <c r="W5" s="133">
        <f>IF(SER_hh_tesh_in!W5=0,0,SER_hh_tesh_in!W5/SER_summary!W$27)</f>
        <v>0</v>
      </c>
      <c r="DA5" s="157" t="s">
        <v>849</v>
      </c>
    </row>
    <row r="6" spans="1:105" ht="12" customHeight="1" x14ac:dyDescent="0.25">
      <c r="A6" s="132" t="s">
        <v>52</v>
      </c>
      <c r="B6" s="133"/>
      <c r="C6" s="133">
        <f>IF(SER_hh_tesh_in!C6=0,0,SER_hh_tesh_in!C6/SER_summary!C$27)</f>
        <v>0</v>
      </c>
      <c r="D6" s="133">
        <f>IF(SER_hh_tesh_in!D6=0,0,SER_hh_tesh_in!D6/SER_summary!D$27)</f>
        <v>0</v>
      </c>
      <c r="E6" s="133">
        <f>IF(SER_hh_tesh_in!E6=0,0,SER_hh_tesh_in!E6/SER_summary!E$27)</f>
        <v>0</v>
      </c>
      <c r="F6" s="133">
        <f>IF(SER_hh_tesh_in!F6=0,0,SER_hh_tesh_in!F6/SER_summary!F$27)</f>
        <v>0</v>
      </c>
      <c r="G6" s="133">
        <f>IF(SER_hh_tesh_in!G6=0,0,SER_hh_tesh_in!G6/SER_summary!G$27)</f>
        <v>0</v>
      </c>
      <c r="H6" s="133">
        <f>IF(SER_hh_tesh_in!H6=0,0,SER_hh_tesh_in!H6/SER_summary!H$27)</f>
        <v>0</v>
      </c>
      <c r="I6" s="133">
        <f>IF(SER_hh_tesh_in!I6=0,0,SER_hh_tesh_in!I6/SER_summary!I$27)</f>
        <v>0</v>
      </c>
      <c r="J6" s="133">
        <f>IF(SER_hh_tesh_in!J6=0,0,SER_hh_tesh_in!J6/SER_summary!J$27)</f>
        <v>0</v>
      </c>
      <c r="K6" s="133">
        <f>IF(SER_hh_tesh_in!K6=0,0,SER_hh_tesh_in!K6/SER_summary!K$27)</f>
        <v>0</v>
      </c>
      <c r="L6" s="133">
        <f>IF(SER_hh_tesh_in!L6=0,0,SER_hh_tesh_in!L6/SER_summary!L$27)</f>
        <v>0</v>
      </c>
      <c r="M6" s="133">
        <f>IF(SER_hh_tesh_in!M6=0,0,SER_hh_tesh_in!M6/SER_summary!M$27)</f>
        <v>0</v>
      </c>
      <c r="N6" s="133">
        <f>IF(SER_hh_tesh_in!N6=0,0,SER_hh_tesh_in!N6/SER_summary!N$27)</f>
        <v>0</v>
      </c>
      <c r="O6" s="133">
        <f>IF(SER_hh_tesh_in!O6=0,0,SER_hh_tesh_in!O6/SER_summary!O$27)</f>
        <v>0</v>
      </c>
      <c r="P6" s="133">
        <f>IF(SER_hh_tesh_in!P6=0,0,SER_hh_tesh_in!P6/SER_summary!P$27)</f>
        <v>0</v>
      </c>
      <c r="Q6" s="133">
        <f>IF(SER_hh_tesh_in!Q6=0,0,SER_hh_tesh_in!Q6/SER_summary!Q$27)</f>
        <v>0</v>
      </c>
      <c r="R6" s="133">
        <f>IF(SER_hh_tesh_in!R6=0,0,SER_hh_tesh_in!R6/SER_summary!R$27)</f>
        <v>0</v>
      </c>
      <c r="S6" s="133">
        <f>IF(SER_hh_tesh_in!S6=0,0,SER_hh_tesh_in!S6/SER_summary!S$27)</f>
        <v>0</v>
      </c>
      <c r="T6" s="133">
        <f>IF(SER_hh_tesh_in!T6=0,0,SER_hh_tesh_in!T6/SER_summary!T$27)</f>
        <v>0</v>
      </c>
      <c r="U6" s="133">
        <f>IF(SER_hh_tesh_in!U6=0,0,SER_hh_tesh_in!U6/SER_summary!U$27)</f>
        <v>0</v>
      </c>
      <c r="V6" s="133">
        <f>IF(SER_hh_tesh_in!V6=0,0,SER_hh_tesh_in!V6/SER_summary!V$27)</f>
        <v>0</v>
      </c>
      <c r="W6" s="133">
        <f>IF(SER_hh_tesh_in!W6=0,0,SER_hh_tesh_in!W6/SER_summary!W$27)</f>
        <v>0</v>
      </c>
      <c r="DA6" s="157" t="s">
        <v>850</v>
      </c>
    </row>
    <row r="7" spans="1:105" ht="12" customHeight="1" x14ac:dyDescent="0.25">
      <c r="A7" s="132" t="s">
        <v>168</v>
      </c>
      <c r="B7" s="133"/>
      <c r="C7" s="133">
        <f>IF(SER_hh_tesh_in!C7=0,0,SER_hh_tesh_in!C7/SER_summary!C$27)</f>
        <v>82.897769016598787</v>
      </c>
      <c r="D7" s="133">
        <f>IF(SER_hh_tesh_in!D7=0,0,SER_hh_tesh_in!D7/SER_summary!D$27)</f>
        <v>79.169313942143376</v>
      </c>
      <c r="E7" s="133">
        <f>IF(SER_hh_tesh_in!E7=0,0,SER_hh_tesh_in!E7/SER_summary!E$27)</f>
        <v>80.516185172296346</v>
      </c>
      <c r="F7" s="133">
        <f>IF(SER_hh_tesh_in!F7=0,0,SER_hh_tesh_in!F7/SER_summary!F$27)</f>
        <v>84.667709488322529</v>
      </c>
      <c r="G7" s="133">
        <f>IF(SER_hh_tesh_in!G7=0,0,SER_hh_tesh_in!G7/SER_summary!G$27)</f>
        <v>78.483106710913617</v>
      </c>
      <c r="H7" s="133">
        <f>IF(SER_hh_tesh_in!H7=0,0,SER_hh_tesh_in!H7/SER_summary!H$27)</f>
        <v>70.925968183323135</v>
      </c>
      <c r="I7" s="133">
        <f>IF(SER_hh_tesh_in!I7=0,0,SER_hh_tesh_in!I7/SER_summary!I$27)</f>
        <v>66.597232107112404</v>
      </c>
      <c r="J7" s="133">
        <f>IF(SER_hh_tesh_in!J7=0,0,SER_hh_tesh_in!J7/SER_summary!J$27)</f>
        <v>70.189890653186865</v>
      </c>
      <c r="K7" s="133">
        <f>IF(SER_hh_tesh_in!K7=0,0,SER_hh_tesh_in!K7/SER_summary!K$27)</f>
        <v>67.285770546776348</v>
      </c>
      <c r="L7" s="133">
        <f>IF(SER_hh_tesh_in!L7=0,0,SER_hh_tesh_in!L7/SER_summary!L$27)</f>
        <v>67.281858889613275</v>
      </c>
      <c r="M7" s="133">
        <f>IF(SER_hh_tesh_in!M7=0,0,SER_hh_tesh_in!M7/SER_summary!M$27)</f>
        <v>52.997941423541519</v>
      </c>
      <c r="N7" s="133">
        <f>IF(SER_hh_tesh_in!N7=0,0,SER_hh_tesh_in!N7/SER_summary!N$27)</f>
        <v>62.377259612756994</v>
      </c>
      <c r="O7" s="133">
        <f>IF(SER_hh_tesh_in!O7=0,0,SER_hh_tesh_in!O7/SER_summary!O$27)</f>
        <v>56.117737834080053</v>
      </c>
      <c r="P7" s="133">
        <f>IF(SER_hh_tesh_in!P7=0,0,SER_hh_tesh_in!P7/SER_summary!P$27)</f>
        <v>48.426337576518669</v>
      </c>
      <c r="Q7" s="133">
        <f>IF(SER_hh_tesh_in!Q7=0,0,SER_hh_tesh_in!Q7/SER_summary!Q$27)</f>
        <v>49.71663385953493</v>
      </c>
      <c r="R7" s="133">
        <f>IF(SER_hh_tesh_in!R7=0,0,SER_hh_tesh_in!R7/SER_summary!R$27)</f>
        <v>49.450916163046884</v>
      </c>
      <c r="S7" s="133">
        <f>IF(SER_hh_tesh_in!S7=0,0,SER_hh_tesh_in!S7/SER_summary!S$27)</f>
        <v>0</v>
      </c>
      <c r="T7" s="133">
        <f>IF(SER_hh_tesh_in!T7=0,0,SER_hh_tesh_in!T7/SER_summary!T$27)</f>
        <v>52.622451369880835</v>
      </c>
      <c r="U7" s="133">
        <f>IF(SER_hh_tesh_in!U7=0,0,SER_hh_tesh_in!U7/SER_summary!U$27)</f>
        <v>0</v>
      </c>
      <c r="V7" s="133">
        <f>IF(SER_hh_tesh_in!V7=0,0,SER_hh_tesh_in!V7/SER_summary!V$27)</f>
        <v>0</v>
      </c>
      <c r="W7" s="133">
        <f>IF(SER_hh_tesh_in!W7=0,0,SER_hh_tesh_in!W7/SER_summary!W$27)</f>
        <v>0</v>
      </c>
      <c r="DA7" s="157" t="s">
        <v>851</v>
      </c>
    </row>
    <row r="8" spans="1:105" ht="12" customHeight="1" x14ac:dyDescent="0.25">
      <c r="A8" s="132" t="s">
        <v>73</v>
      </c>
      <c r="B8" s="133"/>
      <c r="C8" s="133">
        <f>IF(SER_hh_tesh_in!C8=0,0,SER_hh_tesh_in!C8/SER_summary!C$27)</f>
        <v>81.942171401894356</v>
      </c>
      <c r="D8" s="133">
        <f>IF(SER_hh_tesh_in!D8=0,0,SER_hh_tesh_in!D8/SER_summary!D$27)</f>
        <v>78.111738968378376</v>
      </c>
      <c r="E8" s="133">
        <f>IF(SER_hh_tesh_in!E8=0,0,SER_hh_tesh_in!E8/SER_summary!E$27)</f>
        <v>86.577464138095138</v>
      </c>
      <c r="F8" s="133">
        <f>IF(SER_hh_tesh_in!F8=0,0,SER_hh_tesh_in!F8/SER_summary!F$27)</f>
        <v>84.296274293286672</v>
      </c>
      <c r="G8" s="133">
        <f>IF(SER_hh_tesh_in!G8=0,0,SER_hh_tesh_in!G8/SER_summary!G$27)</f>
        <v>69.682671426515327</v>
      </c>
      <c r="H8" s="133">
        <f>IF(SER_hh_tesh_in!H8=0,0,SER_hh_tesh_in!H8/SER_summary!H$27)</f>
        <v>41.645082163956459</v>
      </c>
      <c r="I8" s="133">
        <f>IF(SER_hh_tesh_in!I8=0,0,SER_hh_tesh_in!I8/SER_summary!I$27)</f>
        <v>87.721110919860479</v>
      </c>
      <c r="J8" s="133">
        <f>IF(SER_hh_tesh_in!J8=0,0,SER_hh_tesh_in!J8/SER_summary!J$27)</f>
        <v>73.329266505785981</v>
      </c>
      <c r="K8" s="133">
        <f>IF(SER_hh_tesh_in!K8=0,0,SER_hh_tesh_in!K8/SER_summary!K$27)</f>
        <v>68.598005053005565</v>
      </c>
      <c r="L8" s="133">
        <f>IF(SER_hh_tesh_in!L8=0,0,SER_hh_tesh_in!L8/SER_summary!L$27)</f>
        <v>65.075507716196981</v>
      </c>
      <c r="M8" s="133">
        <f>IF(SER_hh_tesh_in!M8=0,0,SER_hh_tesh_in!M8/SER_summary!M$27)</f>
        <v>60.479257762059888</v>
      </c>
      <c r="N8" s="133">
        <f>IF(SER_hh_tesh_in!N8=0,0,SER_hh_tesh_in!N8/SER_summary!N$27)</f>
        <v>55.98694998742095</v>
      </c>
      <c r="O8" s="133">
        <f>IF(SER_hh_tesh_in!O8=0,0,SER_hh_tesh_in!O8/SER_summary!O$27)</f>
        <v>49.173245920832699</v>
      </c>
      <c r="P8" s="133">
        <f>IF(SER_hh_tesh_in!P8=0,0,SER_hh_tesh_in!P8/SER_summary!P$27)</f>
        <v>51.105443599549886</v>
      </c>
      <c r="Q8" s="133">
        <f>IF(SER_hh_tesh_in!Q8=0,0,SER_hh_tesh_in!Q8/SER_summary!Q$27)</f>
        <v>52.98759326165802</v>
      </c>
      <c r="R8" s="133">
        <f>IF(SER_hh_tesh_in!R8=0,0,SER_hh_tesh_in!R8/SER_summary!R$27)</f>
        <v>50.898034236858926</v>
      </c>
      <c r="S8" s="133">
        <f>IF(SER_hh_tesh_in!S8=0,0,SER_hh_tesh_in!S8/SER_summary!S$27)</f>
        <v>46.304020649503173</v>
      </c>
      <c r="T8" s="133">
        <f>IF(SER_hh_tesh_in!T8=0,0,SER_hh_tesh_in!T8/SER_summary!T$27)</f>
        <v>43.733857024852391</v>
      </c>
      <c r="U8" s="133">
        <f>IF(SER_hh_tesh_in!U8=0,0,SER_hh_tesh_in!U8/SER_summary!U$27)</f>
        <v>40.021701707555216</v>
      </c>
      <c r="V8" s="133">
        <f>IF(SER_hh_tesh_in!V8=0,0,SER_hh_tesh_in!V8/SER_summary!V$27)</f>
        <v>39.985923828706312</v>
      </c>
      <c r="W8" s="133">
        <f>IF(SER_hh_tesh_in!W8=0,0,SER_hh_tesh_in!W8/SER_summary!W$27)</f>
        <v>42.345246189347478</v>
      </c>
      <c r="DA8" s="157" t="s">
        <v>852</v>
      </c>
    </row>
    <row r="9" spans="1:105" ht="12" customHeight="1" x14ac:dyDescent="0.25">
      <c r="A9" s="132" t="s">
        <v>78</v>
      </c>
      <c r="B9" s="133"/>
      <c r="C9" s="133">
        <f>IF(SER_hh_tesh_in!C9=0,0,SER_hh_tesh_in!C9/SER_summary!C$27)</f>
        <v>82.347639025108109</v>
      </c>
      <c r="D9" s="133">
        <f>IF(SER_hh_tesh_in!D9=0,0,SER_hh_tesh_in!D9/SER_summary!D$27)</f>
        <v>78.287178414405091</v>
      </c>
      <c r="E9" s="133">
        <f>IF(SER_hh_tesh_in!E9=0,0,SER_hh_tesh_in!E9/SER_summary!E$27)</f>
        <v>85.269632337342941</v>
      </c>
      <c r="F9" s="133">
        <f>IF(SER_hh_tesh_in!F9=0,0,SER_hh_tesh_in!F9/SER_summary!F$27)</f>
        <v>78.501220374651666</v>
      </c>
      <c r="G9" s="133">
        <f>IF(SER_hh_tesh_in!G9=0,0,SER_hh_tesh_in!G9/SER_summary!G$27)</f>
        <v>75.863277992379011</v>
      </c>
      <c r="H9" s="133">
        <f>IF(SER_hh_tesh_in!H9=0,0,SER_hh_tesh_in!H9/SER_summary!H$27)</f>
        <v>79.663596909979518</v>
      </c>
      <c r="I9" s="133">
        <f>IF(SER_hh_tesh_in!I9=0,0,SER_hh_tesh_in!I9/SER_summary!I$27)</f>
        <v>70.367663171674849</v>
      </c>
      <c r="J9" s="133">
        <f>IF(SER_hh_tesh_in!J9=0,0,SER_hh_tesh_in!J9/SER_summary!J$27)</f>
        <v>68.554775323295473</v>
      </c>
      <c r="K9" s="133">
        <f>IF(SER_hh_tesh_in!K9=0,0,SER_hh_tesh_in!K9/SER_summary!K$27)</f>
        <v>68.865485418361871</v>
      </c>
      <c r="L9" s="133">
        <f>IF(SER_hh_tesh_in!L9=0,0,SER_hh_tesh_in!L9/SER_summary!L$27)</f>
        <v>69.902687399819101</v>
      </c>
      <c r="M9" s="133">
        <f>IF(SER_hh_tesh_in!M9=0,0,SER_hh_tesh_in!M9/SER_summary!M$27)</f>
        <v>52.873068902918611</v>
      </c>
      <c r="N9" s="133">
        <f>IF(SER_hh_tesh_in!N9=0,0,SER_hh_tesh_in!N9/SER_summary!N$27)</f>
        <v>59.437400911803735</v>
      </c>
      <c r="O9" s="133">
        <f>IF(SER_hh_tesh_in!O9=0,0,SER_hh_tesh_in!O9/SER_summary!O$27)</f>
        <v>61.070151397609692</v>
      </c>
      <c r="P9" s="133">
        <f>IF(SER_hh_tesh_in!P9=0,0,SER_hh_tesh_in!P9/SER_summary!P$27)</f>
        <v>40.513839900397237</v>
      </c>
      <c r="Q9" s="133">
        <f>IF(SER_hh_tesh_in!Q9=0,0,SER_hh_tesh_in!Q9/SER_summary!Q$27)</f>
        <v>50.537662719031538</v>
      </c>
      <c r="R9" s="133">
        <f>IF(SER_hh_tesh_in!R9=0,0,SER_hh_tesh_in!R9/SER_summary!R$27)</f>
        <v>50.519037601489899</v>
      </c>
      <c r="S9" s="133">
        <f>IF(SER_hh_tesh_in!S9=0,0,SER_hh_tesh_in!S9/SER_summary!S$27)</f>
        <v>52.579186104661936</v>
      </c>
      <c r="T9" s="133">
        <f>IF(SER_hh_tesh_in!T9=0,0,SER_hh_tesh_in!T9/SER_summary!T$27)</f>
        <v>37.587737040816123</v>
      </c>
      <c r="U9" s="133">
        <f>IF(SER_hh_tesh_in!U9=0,0,SER_hh_tesh_in!U9/SER_summary!U$27)</f>
        <v>34.710222531967148</v>
      </c>
      <c r="V9" s="133">
        <f>IF(SER_hh_tesh_in!V9=0,0,SER_hh_tesh_in!V9/SER_summary!V$27)</f>
        <v>33.270989694758853</v>
      </c>
      <c r="W9" s="133">
        <f>IF(SER_hh_tesh_in!W9=0,0,SER_hh_tesh_in!W9/SER_summary!W$27)</f>
        <v>47.336505293319064</v>
      </c>
      <c r="DA9" s="157" t="s">
        <v>853</v>
      </c>
    </row>
    <row r="10" spans="1:105" ht="12" customHeight="1" x14ac:dyDescent="0.25">
      <c r="A10" s="132" t="s">
        <v>128</v>
      </c>
      <c r="B10" s="133"/>
      <c r="C10" s="133">
        <f>IF(SER_hh_tesh_in!C10=0,0,SER_hh_tesh_in!C10/SER_summary!C$27)</f>
        <v>73.598562411730242</v>
      </c>
      <c r="D10" s="133">
        <f>IF(SER_hh_tesh_in!D10=0,0,SER_hh_tesh_in!D10/SER_summary!D$27)</f>
        <v>89.503571900527177</v>
      </c>
      <c r="E10" s="133">
        <f>IF(SER_hh_tesh_in!E10=0,0,SER_hh_tesh_in!E10/SER_summary!E$27)</f>
        <v>88.403510869874935</v>
      </c>
      <c r="F10" s="133">
        <f>IF(SER_hh_tesh_in!F10=0,0,SER_hh_tesh_in!F10/SER_summary!F$27)</f>
        <v>73.587959690069951</v>
      </c>
      <c r="G10" s="133">
        <f>IF(SER_hh_tesh_in!G10=0,0,SER_hh_tesh_in!G10/SER_summary!G$27)</f>
        <v>76.940561858971847</v>
      </c>
      <c r="H10" s="133">
        <f>IF(SER_hh_tesh_in!H10=0,0,SER_hh_tesh_in!H10/SER_summary!H$27)</f>
        <v>83.125931938585111</v>
      </c>
      <c r="I10" s="133">
        <f>IF(SER_hh_tesh_in!I10=0,0,SER_hh_tesh_in!I10/SER_summary!I$27)</f>
        <v>72.336694270577198</v>
      </c>
      <c r="J10" s="133">
        <f>IF(SER_hh_tesh_in!J10=0,0,SER_hh_tesh_in!J10/SER_summary!J$27)</f>
        <v>0</v>
      </c>
      <c r="K10" s="133">
        <f>IF(SER_hh_tesh_in!K10=0,0,SER_hh_tesh_in!K10/SER_summary!K$27)</f>
        <v>0</v>
      </c>
      <c r="L10" s="133">
        <f>IF(SER_hh_tesh_in!L10=0,0,SER_hh_tesh_in!L10/SER_summary!L$27)</f>
        <v>61.39843005212817</v>
      </c>
      <c r="M10" s="133">
        <f>IF(SER_hh_tesh_in!M10=0,0,SER_hh_tesh_in!M10/SER_summary!M$27)</f>
        <v>63.861688510374535</v>
      </c>
      <c r="N10" s="133">
        <f>IF(SER_hh_tesh_in!N10=0,0,SER_hh_tesh_in!N10/SER_summary!N$27)</f>
        <v>54.610266143642761</v>
      </c>
      <c r="O10" s="133">
        <f>IF(SER_hh_tesh_in!O10=0,0,SER_hh_tesh_in!O10/SER_summary!O$27)</f>
        <v>51.811117374408148</v>
      </c>
      <c r="P10" s="133">
        <f>IF(SER_hh_tesh_in!P10=0,0,SER_hh_tesh_in!P10/SER_summary!P$27)</f>
        <v>56.338678166134891</v>
      </c>
      <c r="Q10" s="133">
        <f>IF(SER_hh_tesh_in!Q10=0,0,SER_hh_tesh_in!Q10/SER_summary!Q$27)</f>
        <v>44.329482879123248</v>
      </c>
      <c r="R10" s="133">
        <f>IF(SER_hh_tesh_in!R10=0,0,SER_hh_tesh_in!R10/SER_summary!R$27)</f>
        <v>48.143060348201253</v>
      </c>
      <c r="S10" s="133">
        <f>IF(SER_hh_tesh_in!S10=0,0,SER_hh_tesh_in!S10/SER_summary!S$27)</f>
        <v>48.89878323449085</v>
      </c>
      <c r="T10" s="133">
        <f>IF(SER_hh_tesh_in!T10=0,0,SER_hh_tesh_in!T10/SER_summary!T$27)</f>
        <v>51.198637679725486</v>
      </c>
      <c r="U10" s="133">
        <f>IF(SER_hh_tesh_in!U10=0,0,SER_hh_tesh_in!U10/SER_summary!U$27)</f>
        <v>43.438707234064758</v>
      </c>
      <c r="V10" s="133">
        <f>IF(SER_hh_tesh_in!V10=0,0,SER_hh_tesh_in!V10/SER_summary!V$27)</f>
        <v>37.710067823613336</v>
      </c>
      <c r="W10" s="133">
        <f>IF(SER_hh_tesh_in!W10=0,0,SER_hh_tesh_in!W10/SER_summary!W$27)</f>
        <v>0</v>
      </c>
      <c r="DA10" s="157" t="s">
        <v>854</v>
      </c>
    </row>
    <row r="11" spans="1:105" ht="12" customHeight="1" x14ac:dyDescent="0.25">
      <c r="A11" s="132" t="s">
        <v>25</v>
      </c>
      <c r="B11" s="133"/>
      <c r="C11" s="133">
        <f>IF(SER_hh_tesh_in!C11=0,0,SER_hh_tesh_in!C11/SER_summary!C$27)</f>
        <v>0</v>
      </c>
      <c r="D11" s="133">
        <f>IF(SER_hh_tesh_in!D11=0,0,SER_hh_tesh_in!D11/SER_summary!D$27)</f>
        <v>0</v>
      </c>
      <c r="E11" s="133">
        <f>IF(SER_hh_tesh_in!E11=0,0,SER_hh_tesh_in!E11/SER_summary!E$27)</f>
        <v>0</v>
      </c>
      <c r="F11" s="133">
        <f>IF(SER_hh_tesh_in!F11=0,0,SER_hh_tesh_in!F11/SER_summary!F$27)</f>
        <v>0</v>
      </c>
      <c r="G11" s="133">
        <f>IF(SER_hh_tesh_in!G11=0,0,SER_hh_tesh_in!G11/SER_summary!G$27)</f>
        <v>0</v>
      </c>
      <c r="H11" s="133">
        <f>IF(SER_hh_tesh_in!H11=0,0,SER_hh_tesh_in!H11/SER_summary!H$27)</f>
        <v>0</v>
      </c>
      <c r="I11" s="133">
        <f>IF(SER_hh_tesh_in!I11=0,0,SER_hh_tesh_in!I11/SER_summary!I$27)</f>
        <v>0</v>
      </c>
      <c r="J11" s="133">
        <f>IF(SER_hh_tesh_in!J11=0,0,SER_hh_tesh_in!J11/SER_summary!J$27)</f>
        <v>0</v>
      </c>
      <c r="K11" s="133">
        <f>IF(SER_hh_tesh_in!K11=0,0,SER_hh_tesh_in!K11/SER_summary!K$27)</f>
        <v>0</v>
      </c>
      <c r="L11" s="133">
        <f>IF(SER_hh_tesh_in!L11=0,0,SER_hh_tesh_in!L11/SER_summary!L$27)</f>
        <v>0</v>
      </c>
      <c r="M11" s="133">
        <f>IF(SER_hh_tesh_in!M11=0,0,SER_hh_tesh_in!M11/SER_summary!M$27)</f>
        <v>0</v>
      </c>
      <c r="N11" s="133">
        <f>IF(SER_hh_tesh_in!N11=0,0,SER_hh_tesh_in!N11/SER_summary!N$27)</f>
        <v>0</v>
      </c>
      <c r="O11" s="133">
        <f>IF(SER_hh_tesh_in!O11=0,0,SER_hh_tesh_in!O11/SER_summary!O$27)</f>
        <v>0</v>
      </c>
      <c r="P11" s="133">
        <f>IF(SER_hh_tesh_in!P11=0,0,SER_hh_tesh_in!P11/SER_summary!P$27)</f>
        <v>0</v>
      </c>
      <c r="Q11" s="133">
        <f>IF(SER_hh_tesh_in!Q11=0,0,SER_hh_tesh_in!Q11/SER_summary!Q$27)</f>
        <v>0</v>
      </c>
      <c r="R11" s="133">
        <f>IF(SER_hh_tesh_in!R11=0,0,SER_hh_tesh_in!R11/SER_summary!R$27)</f>
        <v>0</v>
      </c>
      <c r="S11" s="133">
        <f>IF(SER_hh_tesh_in!S11=0,0,SER_hh_tesh_in!S11/SER_summary!S$27)</f>
        <v>0</v>
      </c>
      <c r="T11" s="133">
        <f>IF(SER_hh_tesh_in!T11=0,0,SER_hh_tesh_in!T11/SER_summary!T$27)</f>
        <v>0</v>
      </c>
      <c r="U11" s="133">
        <f>IF(SER_hh_tesh_in!U11=0,0,SER_hh_tesh_in!U11/SER_summary!U$27)</f>
        <v>0</v>
      </c>
      <c r="V11" s="133">
        <f>IF(SER_hh_tesh_in!V11=0,0,SER_hh_tesh_in!V11/SER_summary!V$27)</f>
        <v>0</v>
      </c>
      <c r="W11" s="133">
        <f>IF(SER_hh_tesh_in!W11=0,0,SER_hh_tesh_in!W11/SER_summary!W$27)</f>
        <v>0</v>
      </c>
      <c r="DA11" s="157" t="s">
        <v>855</v>
      </c>
    </row>
    <row r="12" spans="1:105" ht="12" customHeight="1" x14ac:dyDescent="0.25">
      <c r="A12" s="132" t="s">
        <v>169</v>
      </c>
      <c r="B12" s="133"/>
      <c r="C12" s="133">
        <f>IF(SER_hh_tesh_in!C12=0,0,SER_hh_tesh_in!C12/SER_summary!C$27)</f>
        <v>86.430985869861274</v>
      </c>
      <c r="D12" s="133">
        <f>IF(SER_hh_tesh_in!D12=0,0,SER_hh_tesh_in!D12/SER_summary!D$27)</f>
        <v>83.146621549320542</v>
      </c>
      <c r="E12" s="133">
        <f>IF(SER_hh_tesh_in!E12=0,0,SER_hh_tesh_in!E12/SER_summary!E$27)</f>
        <v>83.298002498646312</v>
      </c>
      <c r="F12" s="133">
        <f>IF(SER_hh_tesh_in!F12=0,0,SER_hh_tesh_in!F12/SER_summary!F$27)</f>
        <v>80.839997005560249</v>
      </c>
      <c r="G12" s="133">
        <f>IF(SER_hh_tesh_in!G12=0,0,SER_hh_tesh_in!G12/SER_summary!G$27)</f>
        <v>77.720889881398989</v>
      </c>
      <c r="H12" s="133">
        <f>IF(SER_hh_tesh_in!H12=0,0,SER_hh_tesh_in!H12/SER_summary!H$27)</f>
        <v>75.631606303765111</v>
      </c>
      <c r="I12" s="133">
        <f>IF(SER_hh_tesh_in!I12=0,0,SER_hh_tesh_in!I12/SER_summary!I$27)</f>
        <v>70.448854697243576</v>
      </c>
      <c r="J12" s="133">
        <f>IF(SER_hh_tesh_in!J12=0,0,SER_hh_tesh_in!J12/SER_summary!J$27)</f>
        <v>68.988888123717729</v>
      </c>
      <c r="K12" s="133">
        <f>IF(SER_hh_tesh_in!K12=0,0,SER_hh_tesh_in!K12/SER_summary!K$27)</f>
        <v>65.863395386519315</v>
      </c>
      <c r="L12" s="133">
        <f>IF(SER_hh_tesh_in!L12=0,0,SER_hh_tesh_in!L12/SER_summary!L$27)</f>
        <v>72.302322927900718</v>
      </c>
      <c r="M12" s="133">
        <f>IF(SER_hh_tesh_in!M12=0,0,SER_hh_tesh_in!M12/SER_summary!M$27)</f>
        <v>59.794640844561336</v>
      </c>
      <c r="N12" s="133">
        <f>IF(SER_hh_tesh_in!N12=0,0,SER_hh_tesh_in!N12/SER_summary!N$27)</f>
        <v>59.058866302385937</v>
      </c>
      <c r="O12" s="133">
        <f>IF(SER_hh_tesh_in!O12=0,0,SER_hh_tesh_in!O12/SER_summary!O$27)</f>
        <v>56.424027172603061</v>
      </c>
      <c r="P12" s="133">
        <f>IF(SER_hh_tesh_in!P12=0,0,SER_hh_tesh_in!P12/SER_summary!P$27)</f>
        <v>48.528605085992886</v>
      </c>
      <c r="Q12" s="133">
        <f>IF(SER_hh_tesh_in!Q12=0,0,SER_hh_tesh_in!Q12/SER_summary!Q$27)</f>
        <v>50.267788031852803</v>
      </c>
      <c r="R12" s="133">
        <f>IF(SER_hh_tesh_in!R12=0,0,SER_hh_tesh_in!R12/SER_summary!R$27)</f>
        <v>49.862421070955001</v>
      </c>
      <c r="S12" s="133">
        <f>IF(SER_hh_tesh_in!S12=0,0,SER_hh_tesh_in!S12/SER_summary!S$27)</f>
        <v>48.104227683374496</v>
      </c>
      <c r="T12" s="133">
        <f>IF(SER_hh_tesh_in!T12=0,0,SER_hh_tesh_in!T12/SER_summary!T$27)</f>
        <v>45.276996770954831</v>
      </c>
      <c r="U12" s="133">
        <f>IF(SER_hh_tesh_in!U12=0,0,SER_hh_tesh_in!U12/SER_summary!U$27)</f>
        <v>42.135424252044523</v>
      </c>
      <c r="V12" s="133">
        <f>IF(SER_hh_tesh_in!V12=0,0,SER_hh_tesh_in!V12/SER_summary!V$27)</f>
        <v>38.786547780528977</v>
      </c>
      <c r="W12" s="133">
        <f>IF(SER_hh_tesh_in!W12=0,0,SER_hh_tesh_in!W12/SER_summary!W$27)</f>
        <v>39.89620616745659</v>
      </c>
      <c r="DA12" s="157" t="s">
        <v>856</v>
      </c>
    </row>
    <row r="13" spans="1:105" ht="12" customHeight="1" x14ac:dyDescent="0.25">
      <c r="A13" s="132" t="s">
        <v>77</v>
      </c>
      <c r="B13" s="133"/>
      <c r="C13" s="133">
        <f>IF(SER_hh_tesh_in!C13=0,0,SER_hh_tesh_in!C13/SER_summary!C$27)</f>
        <v>84.484664355148794</v>
      </c>
      <c r="D13" s="133">
        <f>IF(SER_hh_tesh_in!D13=0,0,SER_hh_tesh_in!D13/SER_summary!D$27)</f>
        <v>83.555910147937169</v>
      </c>
      <c r="E13" s="133">
        <f>IF(SER_hh_tesh_in!E13=0,0,SER_hh_tesh_in!E13/SER_summary!E$27)</f>
        <v>82.104686170159582</v>
      </c>
      <c r="F13" s="133">
        <f>IF(SER_hh_tesh_in!F13=0,0,SER_hh_tesh_in!F13/SER_summary!F$27)</f>
        <v>81.693464927180159</v>
      </c>
      <c r="G13" s="133">
        <f>IF(SER_hh_tesh_in!G13=0,0,SER_hh_tesh_in!G13/SER_summary!G$27)</f>
        <v>60.199619781037342</v>
      </c>
      <c r="H13" s="133">
        <f>IF(SER_hh_tesh_in!H13=0,0,SER_hh_tesh_in!H13/SER_summary!H$27)</f>
        <v>39.677489201738517</v>
      </c>
      <c r="I13" s="133">
        <f>IF(SER_hh_tesh_in!I13=0,0,SER_hh_tesh_in!I13/SER_summary!I$27)</f>
        <v>90.80336661125564</v>
      </c>
      <c r="J13" s="133">
        <f>IF(SER_hh_tesh_in!J13=0,0,SER_hh_tesh_in!J13/SER_summary!J$27)</f>
        <v>75.669307291858203</v>
      </c>
      <c r="K13" s="133">
        <f>IF(SER_hh_tesh_in!K13=0,0,SER_hh_tesh_in!K13/SER_summary!K$27)</f>
        <v>68.281503157028752</v>
      </c>
      <c r="L13" s="133">
        <f>IF(SER_hh_tesh_in!L13=0,0,SER_hh_tesh_in!L13/SER_summary!L$27)</f>
        <v>67.065817063375732</v>
      </c>
      <c r="M13" s="133">
        <f>IF(SER_hh_tesh_in!M13=0,0,SER_hh_tesh_in!M13/SER_summary!M$27)</f>
        <v>62.434521843936494</v>
      </c>
      <c r="N13" s="133">
        <f>IF(SER_hh_tesh_in!N13=0,0,SER_hh_tesh_in!N13/SER_summary!N$27)</f>
        <v>58.975030061682361</v>
      </c>
      <c r="O13" s="133">
        <f>IF(SER_hh_tesh_in!O13=0,0,SER_hh_tesh_in!O13/SER_summary!O$27)</f>
        <v>54.748658614871715</v>
      </c>
      <c r="P13" s="133">
        <f>IF(SER_hh_tesh_in!P13=0,0,SER_hh_tesh_in!P13/SER_summary!P$27)</f>
        <v>49.706908357127794</v>
      </c>
      <c r="Q13" s="133">
        <f>IF(SER_hh_tesh_in!Q13=0,0,SER_hh_tesh_in!Q13/SER_summary!Q$27)</f>
        <v>49.983334415321089</v>
      </c>
      <c r="R13" s="133">
        <f>IF(SER_hh_tesh_in!R13=0,0,SER_hh_tesh_in!R13/SER_summary!R$27)</f>
        <v>50.411343449431463</v>
      </c>
      <c r="S13" s="133">
        <f>IF(SER_hh_tesh_in!S13=0,0,SER_hh_tesh_in!S13/SER_summary!S$27)</f>
        <v>45.861874750163615</v>
      </c>
      <c r="T13" s="133">
        <f>IF(SER_hh_tesh_in!T13=0,0,SER_hh_tesh_in!T13/SER_summary!T$27)</f>
        <v>43.770126697245352</v>
      </c>
      <c r="U13" s="133">
        <f>IF(SER_hh_tesh_in!U13=0,0,SER_hh_tesh_in!U13/SER_summary!U$27)</f>
        <v>41.629891559218805</v>
      </c>
      <c r="V13" s="133">
        <f>IF(SER_hh_tesh_in!V13=0,0,SER_hh_tesh_in!V13/SER_summary!V$27)</f>
        <v>39.690265703831216</v>
      </c>
      <c r="W13" s="133">
        <f>IF(SER_hh_tesh_in!W13=0,0,SER_hh_tesh_in!W13/SER_summary!W$27)</f>
        <v>38.666178054023085</v>
      </c>
      <c r="DA13" s="157" t="s">
        <v>857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86.586981654196663</v>
      </c>
      <c r="D14" s="65">
        <f>IF(SER_hh_tesh_in!D14=0,0,SER_hh_tesh_in!D14/SER_summary!D$27)</f>
        <v>84.939871364768976</v>
      </c>
      <c r="E14" s="65">
        <f>IF(SER_hh_tesh_in!E14=0,0,SER_hh_tesh_in!E14/SER_summary!E$27)</f>
        <v>79.794386941698193</v>
      </c>
      <c r="F14" s="65">
        <f>IF(SER_hh_tesh_in!F14=0,0,SER_hh_tesh_in!F14/SER_summary!F$27)</f>
        <v>80.162147719419934</v>
      </c>
      <c r="G14" s="65">
        <f>IF(SER_hh_tesh_in!G14=0,0,SER_hh_tesh_in!G14/SER_summary!G$27)</f>
        <v>76.399568292531683</v>
      </c>
      <c r="H14" s="65">
        <f>IF(SER_hh_tesh_in!H14=0,0,SER_hh_tesh_in!H14/SER_summary!H$27)</f>
        <v>76.327996003745412</v>
      </c>
      <c r="I14" s="65">
        <f>IF(SER_hh_tesh_in!I14=0,0,SER_hh_tesh_in!I14/SER_summary!I$27)</f>
        <v>75.316876146151372</v>
      </c>
      <c r="J14" s="65">
        <f>IF(SER_hh_tesh_in!J14=0,0,SER_hh_tesh_in!J14/SER_summary!J$27)</f>
        <v>73.041199925891661</v>
      </c>
      <c r="K14" s="65">
        <f>IF(SER_hh_tesh_in!K14=0,0,SER_hh_tesh_in!K14/SER_summary!K$27)</f>
        <v>63.982037491744059</v>
      </c>
      <c r="L14" s="65">
        <f>IF(SER_hh_tesh_in!L14=0,0,SER_hh_tesh_in!L14/SER_summary!L$27)</f>
        <v>70.627060444064327</v>
      </c>
      <c r="M14" s="65">
        <f>IF(SER_hh_tesh_in!M14=0,0,SER_hh_tesh_in!M14/SER_summary!M$27)</f>
        <v>63.824641766286142</v>
      </c>
      <c r="N14" s="65">
        <f>IF(SER_hh_tesh_in!N14=0,0,SER_hh_tesh_in!N14/SER_summary!N$27)</f>
        <v>59.185270521355505</v>
      </c>
      <c r="O14" s="65">
        <f>IF(SER_hh_tesh_in!O14=0,0,SER_hh_tesh_in!O14/SER_summary!O$27)</f>
        <v>0</v>
      </c>
      <c r="P14" s="65">
        <f>IF(SER_hh_tesh_in!P14=0,0,SER_hh_tesh_in!P14/SER_summary!P$27)</f>
        <v>0</v>
      </c>
      <c r="Q14" s="65">
        <f>IF(SER_hh_tesh_in!Q14=0,0,SER_hh_tesh_in!Q14/SER_summary!Q$27)</f>
        <v>0</v>
      </c>
      <c r="R14" s="65">
        <f>IF(SER_hh_tesh_in!R14=0,0,SER_hh_tesh_in!R14/SER_summary!R$27)</f>
        <v>0</v>
      </c>
      <c r="S14" s="65">
        <f>IF(SER_hh_tesh_in!S14=0,0,SER_hh_tesh_in!S14/SER_summary!S$27)</f>
        <v>0</v>
      </c>
      <c r="T14" s="65">
        <f>IF(SER_hh_tesh_in!T14=0,0,SER_hh_tesh_in!T14/SER_summary!T$27)</f>
        <v>0</v>
      </c>
      <c r="U14" s="65">
        <f>IF(SER_hh_tesh_in!U14=0,0,SER_hh_tesh_in!U14/SER_summary!U$27)</f>
        <v>0</v>
      </c>
      <c r="V14" s="65">
        <f>IF(SER_hh_tesh_in!V14=0,0,SER_hh_tesh_in!V14/SER_summary!V$27)</f>
        <v>0</v>
      </c>
      <c r="W14" s="65">
        <f>IF(SER_hh_tesh_in!W14=0,0,SER_hh_tesh_in!W14/SER_summary!W$27)</f>
        <v>52.290031005745774</v>
      </c>
      <c r="DA14" s="109" t="s">
        <v>858</v>
      </c>
    </row>
    <row r="15" spans="1:105" ht="12" customHeight="1" x14ac:dyDescent="0.25">
      <c r="A15" s="134" t="s">
        <v>80</v>
      </c>
      <c r="B15" s="135"/>
      <c r="C15" s="135">
        <f>IF(SER_hh_tesh_in!C15=0,0,SER_hh_tesh_in!C15/SER_summary!C$27)</f>
        <v>0.59170502375599721</v>
      </c>
      <c r="D15" s="135">
        <f>IF(SER_hh_tesh_in!D15=0,0,SER_hh_tesh_in!D15/SER_summary!D$27)</f>
        <v>0.69126043679055371</v>
      </c>
      <c r="E15" s="135">
        <f>IF(SER_hh_tesh_in!E15=0,0,SER_hh_tesh_in!E15/SER_summary!E$27)</f>
        <v>0.73881308476454066</v>
      </c>
      <c r="F15" s="135">
        <f>IF(SER_hh_tesh_in!F15=0,0,SER_hh_tesh_in!F15/SER_summary!F$27)</f>
        <v>0.69977531918383462</v>
      </c>
      <c r="G15" s="135">
        <f>IF(SER_hh_tesh_in!G15=0,0,SER_hh_tesh_in!G15/SER_summary!G$27)</f>
        <v>0.63692654696251916</v>
      </c>
      <c r="H15" s="135">
        <f>IF(SER_hh_tesh_in!H15=0,0,SER_hh_tesh_in!H15/SER_summary!H$27)</f>
        <v>0.61235227039418905</v>
      </c>
      <c r="I15" s="135">
        <f>IF(SER_hh_tesh_in!I15=0,0,SER_hh_tesh_in!I15/SER_summary!I$27)</f>
        <v>0.45505145567738631</v>
      </c>
      <c r="J15" s="135">
        <f>IF(SER_hh_tesh_in!J15=0,0,SER_hh_tesh_in!J15/SER_summary!J$27)</f>
        <v>0.44498615810777342</v>
      </c>
      <c r="K15" s="135">
        <f>IF(SER_hh_tesh_in!K15=0,0,SER_hh_tesh_in!K15/SER_summary!K$27)</f>
        <v>0.37903259993075483</v>
      </c>
      <c r="L15" s="135">
        <f>IF(SER_hh_tesh_in!L15=0,0,SER_hh_tesh_in!L15/SER_summary!L$27)</f>
        <v>0.37492677903645971</v>
      </c>
      <c r="M15" s="135">
        <f>IF(SER_hh_tesh_in!M15=0,0,SER_hh_tesh_in!M15/SER_summary!M$27)</f>
        <v>0.35080288143888438</v>
      </c>
      <c r="N15" s="135">
        <f>IF(SER_hh_tesh_in!N15=0,0,SER_hh_tesh_in!N15/SER_summary!N$27)</f>
        <v>0.42572142570444166</v>
      </c>
      <c r="O15" s="135">
        <f>IF(SER_hh_tesh_in!O15=0,0,SER_hh_tesh_in!O15/SER_summary!O$27)</f>
        <v>0.41742947079598808</v>
      </c>
      <c r="P15" s="135">
        <f>IF(SER_hh_tesh_in!P15=0,0,SER_hh_tesh_in!P15/SER_summary!P$27)</f>
        <v>0.29041377220266895</v>
      </c>
      <c r="Q15" s="135">
        <f>IF(SER_hh_tesh_in!Q15=0,0,SER_hh_tesh_in!Q15/SER_summary!Q$27)</f>
        <v>0.39598377993954614</v>
      </c>
      <c r="R15" s="135">
        <f>IF(SER_hh_tesh_in!R15=0,0,SER_hh_tesh_in!R15/SER_summary!R$27)</f>
        <v>0.35598717161354065</v>
      </c>
      <c r="S15" s="135">
        <f>IF(SER_hh_tesh_in!S15=0,0,SER_hh_tesh_in!S15/SER_summary!S$27)</f>
        <v>0.34424244510341856</v>
      </c>
      <c r="T15" s="135">
        <f>IF(SER_hh_tesh_in!T15=0,0,SER_hh_tesh_in!T15/SER_summary!T$27)</f>
        <v>0.28163205235603267</v>
      </c>
      <c r="U15" s="135">
        <f>IF(SER_hh_tesh_in!U15=0,0,SER_hh_tesh_in!U15/SER_summary!U$27)</f>
        <v>0.30529907779293852</v>
      </c>
      <c r="V15" s="135">
        <f>IF(SER_hh_tesh_in!V15=0,0,SER_hh_tesh_in!V15/SER_summary!V$27)</f>
        <v>0.28299111798441823</v>
      </c>
      <c r="W15" s="135">
        <f>IF(SER_hh_tesh_in!W15=0,0,SER_hh_tesh_in!W15/SER_summary!W$27)</f>
        <v>0.29506991442739255</v>
      </c>
      <c r="DA15" s="158" t="s">
        <v>859</v>
      </c>
    </row>
    <row r="16" spans="1:105" ht="12.95" customHeight="1" x14ac:dyDescent="0.25">
      <c r="A16" s="130" t="s">
        <v>74</v>
      </c>
      <c r="B16" s="131"/>
      <c r="C16" s="131">
        <f>IF(SER_hh_tesh_in!C16=0,0,SER_hh_tesh_in!C16/SER_summary!C$27)</f>
        <v>25.99591734986215</v>
      </c>
      <c r="D16" s="131">
        <f>IF(SER_hh_tesh_in!D16=0,0,SER_hh_tesh_in!D16/SER_summary!D$27)</f>
        <v>25.86711113226718</v>
      </c>
      <c r="E16" s="131">
        <f>IF(SER_hh_tesh_in!E16=0,0,SER_hh_tesh_in!E16/SER_summary!E$27)</f>
        <v>25.7202406103819</v>
      </c>
      <c r="F16" s="131">
        <f>IF(SER_hh_tesh_in!F16=0,0,SER_hh_tesh_in!F16/SER_summary!F$27)</f>
        <v>25.584357512560072</v>
      </c>
      <c r="G16" s="131">
        <f>IF(SER_hh_tesh_in!G16=0,0,SER_hh_tesh_in!G16/SER_summary!G$27)</f>
        <v>25.448102625638406</v>
      </c>
      <c r="H16" s="131">
        <f>IF(SER_hh_tesh_in!H16=0,0,SER_hh_tesh_in!H16/SER_summary!H$27)</f>
        <v>25.312117960820139</v>
      </c>
      <c r="I16" s="131">
        <f>IF(SER_hh_tesh_in!I16=0,0,SER_hh_tesh_in!I16/SER_summary!I$27)</f>
        <v>25.221995201410412</v>
      </c>
      <c r="J16" s="131">
        <f>IF(SER_hh_tesh_in!J16=0,0,SER_hh_tesh_in!J16/SER_summary!J$27)</f>
        <v>25.004857540913534</v>
      </c>
      <c r="K16" s="131">
        <f>IF(SER_hh_tesh_in!K16=0,0,SER_hh_tesh_in!K16/SER_summary!K$27)</f>
        <v>24.829833862221946</v>
      </c>
      <c r="L16" s="131">
        <f>IF(SER_hh_tesh_in!L16=0,0,SER_hh_tesh_in!L16/SER_summary!L$27)</f>
        <v>24.765636437017395</v>
      </c>
      <c r="M16" s="131">
        <f>IF(SER_hh_tesh_in!M16=0,0,SER_hh_tesh_in!M16/SER_summary!M$27)</f>
        <v>24.356721541521001</v>
      </c>
      <c r="N16" s="131">
        <f>IF(SER_hh_tesh_in!N16=0,0,SER_hh_tesh_in!N16/SER_summary!N$27)</f>
        <v>23.997045216690744</v>
      </c>
      <c r="O16" s="131">
        <f>IF(SER_hh_tesh_in!O16=0,0,SER_hh_tesh_in!O16/SER_summary!O$27)</f>
        <v>23.589497985779481</v>
      </c>
      <c r="P16" s="131">
        <f>IF(SER_hh_tesh_in!P16=0,0,SER_hh_tesh_in!P16/SER_summary!P$27)</f>
        <v>23.298796154538433</v>
      </c>
      <c r="Q16" s="131">
        <f>IF(SER_hh_tesh_in!Q16=0,0,SER_hh_tesh_in!Q16/SER_summary!Q$27)</f>
        <v>22.885814797282386</v>
      </c>
      <c r="R16" s="131">
        <f>IF(SER_hh_tesh_in!R16=0,0,SER_hh_tesh_in!R16/SER_summary!R$27)</f>
        <v>22.648278320312166</v>
      </c>
      <c r="S16" s="131">
        <f>IF(SER_hh_tesh_in!S16=0,0,SER_hh_tesh_in!S16/SER_summary!S$27)</f>
        <v>22.206644843197363</v>
      </c>
      <c r="T16" s="131">
        <f>IF(SER_hh_tesh_in!T16=0,0,SER_hh_tesh_in!T16/SER_summary!T$27)</f>
        <v>22.50332621744667</v>
      </c>
      <c r="U16" s="131">
        <f>IF(SER_hh_tesh_in!U16=0,0,SER_hh_tesh_in!U16/SER_summary!U$27)</f>
        <v>21.208188607554114</v>
      </c>
      <c r="V16" s="131">
        <f>IF(SER_hh_tesh_in!V16=0,0,SER_hh_tesh_in!V16/SER_summary!V$27)</f>
        <v>20.493108434825267</v>
      </c>
      <c r="W16" s="131">
        <f>IF(SER_hh_tesh_in!W16=0,0,SER_hh_tesh_in!W16/SER_summary!W$27)</f>
        <v>19.747226221258874</v>
      </c>
      <c r="DA16" s="156" t="s">
        <v>860</v>
      </c>
    </row>
    <row r="17" spans="1:105" ht="12.95" customHeight="1" x14ac:dyDescent="0.25">
      <c r="A17" s="132" t="s">
        <v>73</v>
      </c>
      <c r="B17" s="133"/>
      <c r="C17" s="133">
        <f>IF(SER_hh_tesh_in!C17=0,0,SER_hh_tesh_in!C17/SER_summary!C$27)</f>
        <v>25.999725318249684</v>
      </c>
      <c r="D17" s="133">
        <f>IF(SER_hh_tesh_in!D17=0,0,SER_hh_tesh_in!D17/SER_summary!D$27)</f>
        <v>25.882418018989252</v>
      </c>
      <c r="E17" s="133">
        <f>IF(SER_hh_tesh_in!E17=0,0,SER_hh_tesh_in!E17/SER_summary!E$27)</f>
        <v>25.732132878538369</v>
      </c>
      <c r="F17" s="133">
        <f>IF(SER_hh_tesh_in!F17=0,0,SER_hh_tesh_in!F17/SER_summary!F$27)</f>
        <v>25.616910567838637</v>
      </c>
      <c r="G17" s="133">
        <f>IF(SER_hh_tesh_in!G17=0,0,SER_hh_tesh_in!G17/SER_summary!G$27)</f>
        <v>25.496134506353034</v>
      </c>
      <c r="H17" s="133">
        <f>IF(SER_hh_tesh_in!H17=0,0,SER_hh_tesh_in!H17/SER_summary!H$27)</f>
        <v>25.346379578947762</v>
      </c>
      <c r="I17" s="133">
        <f>IF(SER_hh_tesh_in!I17=0,0,SER_hh_tesh_in!I17/SER_summary!I$27)</f>
        <v>25.220278649923717</v>
      </c>
      <c r="J17" s="133">
        <f>IF(SER_hh_tesh_in!J17=0,0,SER_hh_tesh_in!J17/SER_summary!J$27)</f>
        <v>24.988719597282813</v>
      </c>
      <c r="K17" s="133">
        <f>IF(SER_hh_tesh_in!K17=0,0,SER_hh_tesh_in!K17/SER_summary!K$27)</f>
        <v>24.795628150269717</v>
      </c>
      <c r="L17" s="133">
        <f>IF(SER_hh_tesh_in!L17=0,0,SER_hh_tesh_in!L17/SER_summary!L$27)</f>
        <v>24.778848826408122</v>
      </c>
      <c r="M17" s="133">
        <f>IF(SER_hh_tesh_in!M17=0,0,SER_hh_tesh_in!M17/SER_summary!M$27)</f>
        <v>24.381352614091163</v>
      </c>
      <c r="N17" s="133">
        <f>IF(SER_hh_tesh_in!N17=0,0,SER_hh_tesh_in!N17/SER_summary!N$27)</f>
        <v>24.012351794733487</v>
      </c>
      <c r="O17" s="133">
        <f>IF(SER_hh_tesh_in!O17=0,0,SER_hh_tesh_in!O17/SER_summary!O$27)</f>
        <v>23.61389860278717</v>
      </c>
      <c r="P17" s="133">
        <f>IF(SER_hh_tesh_in!P17=0,0,SER_hh_tesh_in!P17/SER_summary!P$27)</f>
        <v>23.383792429450285</v>
      </c>
      <c r="Q17" s="133">
        <f>IF(SER_hh_tesh_in!Q17=0,0,SER_hh_tesh_in!Q17/SER_summary!Q$27)</f>
        <v>23.083226847546449</v>
      </c>
      <c r="R17" s="133">
        <f>IF(SER_hh_tesh_in!R17=0,0,SER_hh_tesh_in!R17/SER_summary!R$27)</f>
        <v>22.928708514279151</v>
      </c>
      <c r="S17" s="133">
        <f>IF(SER_hh_tesh_in!S17=0,0,SER_hh_tesh_in!S17/SER_summary!S$27)</f>
        <v>22.489244536370709</v>
      </c>
      <c r="T17" s="133">
        <f>IF(SER_hh_tesh_in!T17=0,0,SER_hh_tesh_in!T17/SER_summary!T$27)</f>
        <v>22.723068965962884</v>
      </c>
      <c r="U17" s="133">
        <f>IF(SER_hh_tesh_in!U17=0,0,SER_hh_tesh_in!U17/SER_summary!U$27)</f>
        <v>21.441851321375125</v>
      </c>
      <c r="V17" s="133">
        <f>IF(SER_hh_tesh_in!V17=0,0,SER_hh_tesh_in!V17/SER_summary!V$27)</f>
        <v>15.447002018573274</v>
      </c>
      <c r="W17" s="133">
        <f>IF(SER_hh_tesh_in!W17=0,0,SER_hh_tesh_in!W17/SER_summary!W$27)</f>
        <v>14.92732427411536</v>
      </c>
      <c r="DA17" s="157" t="s">
        <v>861</v>
      </c>
    </row>
    <row r="18" spans="1:105" ht="12" customHeight="1" x14ac:dyDescent="0.25">
      <c r="A18" s="132" t="s">
        <v>72</v>
      </c>
      <c r="B18" s="133"/>
      <c r="C18" s="133">
        <f>IF(SER_hh_tesh_in!C18=0,0,SER_hh_tesh_in!C18/SER_summary!C$27)</f>
        <v>25.995913320566633</v>
      </c>
      <c r="D18" s="133">
        <f>IF(SER_hh_tesh_in!D18=0,0,SER_hh_tesh_in!D18/SER_summary!D$27)</f>
        <v>25.867093349085188</v>
      </c>
      <c r="E18" s="133">
        <f>IF(SER_hh_tesh_in!E18=0,0,SER_hh_tesh_in!E18/SER_summary!E$27)</f>
        <v>25.720229478896915</v>
      </c>
      <c r="F18" s="133">
        <f>IF(SER_hh_tesh_in!F18=0,0,SER_hh_tesh_in!F18/SER_summary!F$27)</f>
        <v>25.584314747270636</v>
      </c>
      <c r="G18" s="133">
        <f>IF(SER_hh_tesh_in!G18=0,0,SER_hh_tesh_in!G18/SER_summary!G$27)</f>
        <v>25.448037344300822</v>
      </c>
      <c r="H18" s="133">
        <f>IF(SER_hh_tesh_in!H18=0,0,SER_hh_tesh_in!H18/SER_summary!H$27)</f>
        <v>25.312080969719453</v>
      </c>
      <c r="I18" s="133">
        <f>IF(SER_hh_tesh_in!I18=0,0,SER_hh_tesh_in!I18/SER_summary!I$27)</f>
        <v>25.221996813549765</v>
      </c>
      <c r="J18" s="133">
        <f>IF(SER_hh_tesh_in!J18=0,0,SER_hh_tesh_in!J18/SER_summary!J$27)</f>
        <v>25.004874869320233</v>
      </c>
      <c r="K18" s="133">
        <f>IF(SER_hh_tesh_in!K18=0,0,SER_hh_tesh_in!K18/SER_summary!K$27)</f>
        <v>24.829867261369625</v>
      </c>
      <c r="L18" s="133">
        <f>IF(SER_hh_tesh_in!L18=0,0,SER_hh_tesh_in!L18/SER_summary!L$27)</f>
        <v>24.76561802041903</v>
      </c>
      <c r="M18" s="133">
        <f>IF(SER_hh_tesh_in!M18=0,0,SER_hh_tesh_in!M18/SER_summary!M$27)</f>
        <v>24.35667960279423</v>
      </c>
      <c r="N18" s="133">
        <f>IF(SER_hh_tesh_in!N18=0,0,SER_hh_tesh_in!N18/SER_summary!N$27)</f>
        <v>23.997011156539831</v>
      </c>
      <c r="O18" s="133">
        <f>IF(SER_hh_tesh_in!O18=0,0,SER_hh_tesh_in!O18/SER_summary!O$27)</f>
        <v>23.589423890637239</v>
      </c>
      <c r="P18" s="133">
        <f>IF(SER_hh_tesh_in!P18=0,0,SER_hh_tesh_in!P18/SER_summary!P$27)</f>
        <v>23.298425952537688</v>
      </c>
      <c r="Q18" s="133">
        <f>IF(SER_hh_tesh_in!Q18=0,0,SER_hh_tesh_in!Q18/SER_summary!Q$27)</f>
        <v>22.884463748293566</v>
      </c>
      <c r="R18" s="133">
        <f>IF(SER_hh_tesh_in!R18=0,0,SER_hh_tesh_in!R18/SER_summary!R$27)</f>
        <v>22.646426684238904</v>
      </c>
      <c r="S18" s="133">
        <f>IF(SER_hh_tesh_in!S18=0,0,SER_hh_tesh_in!S18/SER_summary!S$27)</f>
        <v>22.204910962597701</v>
      </c>
      <c r="T18" s="133">
        <f>IF(SER_hh_tesh_in!T18=0,0,SER_hh_tesh_in!T18/SER_summary!T$27)</f>
        <v>22.502305276157685</v>
      </c>
      <c r="U18" s="133">
        <f>IF(SER_hh_tesh_in!U18=0,0,SER_hh_tesh_in!U18/SER_summary!U$27)</f>
        <v>21.206532356523578</v>
      </c>
      <c r="V18" s="133">
        <f>IF(SER_hh_tesh_in!V18=0,0,SER_hh_tesh_in!V18/SER_summary!V$27)</f>
        <v>20.651033963864545</v>
      </c>
      <c r="W18" s="133">
        <f>IF(SER_hh_tesh_in!W18=0,0,SER_hh_tesh_in!W18/SER_summary!W$27)</f>
        <v>19.772236884807043</v>
      </c>
      <c r="DA18" s="157" t="s">
        <v>862</v>
      </c>
    </row>
    <row r="19" spans="1:105" ht="12.95" customHeight="1" x14ac:dyDescent="0.25">
      <c r="A19" s="130" t="s">
        <v>35</v>
      </c>
      <c r="B19" s="131"/>
      <c r="C19" s="131">
        <f>IF(SER_hh_tesh_in!C19=0,0,SER_hh_tesh_in!C19/SER_summary!C$27)</f>
        <v>10.421517086384515</v>
      </c>
      <c r="D19" s="131">
        <f>IF(SER_hh_tesh_in!D19=0,0,SER_hh_tesh_in!D19/SER_summary!D$27)</f>
        <v>10.255578174846372</v>
      </c>
      <c r="E19" s="131">
        <f>IF(SER_hh_tesh_in!E19=0,0,SER_hh_tesh_in!E19/SER_summary!E$27)</f>
        <v>10.255430520849044</v>
      </c>
      <c r="F19" s="131">
        <f>IF(SER_hh_tesh_in!F19=0,0,SER_hh_tesh_in!F19/SER_summary!F$27)</f>
        <v>10.112352774261486</v>
      </c>
      <c r="G19" s="131">
        <f>IF(SER_hh_tesh_in!G19=0,0,SER_hh_tesh_in!G19/SER_summary!G$27)</f>
        <v>10.094724194629059</v>
      </c>
      <c r="H19" s="131">
        <f>IF(SER_hh_tesh_in!H19=0,0,SER_hh_tesh_in!H19/SER_summary!H$27)</f>
        <v>10.126128685373128</v>
      </c>
      <c r="I19" s="131">
        <f>IF(SER_hh_tesh_in!I19=0,0,SER_hh_tesh_in!I19/SER_summary!I$27)</f>
        <v>10.030317151186276</v>
      </c>
      <c r="J19" s="131">
        <f>IF(SER_hh_tesh_in!J19=0,0,SER_hh_tesh_in!J19/SER_summary!J$27)</f>
        <v>10.000781566530174</v>
      </c>
      <c r="K19" s="131">
        <f>IF(SER_hh_tesh_in!K19=0,0,SER_hh_tesh_in!K19/SER_summary!K$27)</f>
        <v>9.978467686742249</v>
      </c>
      <c r="L19" s="131">
        <f>IF(SER_hh_tesh_in!L19=0,0,SER_hh_tesh_in!L19/SER_summary!L$27)</f>
        <v>9.9711343131425689</v>
      </c>
      <c r="M19" s="131">
        <f>IF(SER_hh_tesh_in!M19=0,0,SER_hh_tesh_in!M19/SER_summary!M$27)</f>
        <v>10.063772157582694</v>
      </c>
      <c r="N19" s="131">
        <f>IF(SER_hh_tesh_in!N19=0,0,SER_hh_tesh_in!N19/SER_summary!N$27)</f>
        <v>10.165695924147883</v>
      </c>
      <c r="O19" s="131">
        <f>IF(SER_hh_tesh_in!O19=0,0,SER_hh_tesh_in!O19/SER_summary!O$27)</f>
        <v>10.188928909413246</v>
      </c>
      <c r="P19" s="131">
        <f>IF(SER_hh_tesh_in!P19=0,0,SER_hh_tesh_in!P19/SER_summary!P$27)</f>
        <v>10.245107305491659</v>
      </c>
      <c r="Q19" s="131">
        <f>IF(SER_hh_tesh_in!Q19=0,0,SER_hh_tesh_in!Q19/SER_summary!Q$27)</f>
        <v>10.376220803879026</v>
      </c>
      <c r="R19" s="131">
        <f>IF(SER_hh_tesh_in!R19=0,0,SER_hh_tesh_in!R19/SER_summary!R$27)</f>
        <v>10.327866229915424</v>
      </c>
      <c r="S19" s="131">
        <f>IF(SER_hh_tesh_in!S19=0,0,SER_hh_tesh_in!S19/SER_summary!S$27)</f>
        <v>10.324782002802062</v>
      </c>
      <c r="T19" s="131">
        <f>IF(SER_hh_tesh_in!T19=0,0,SER_hh_tesh_in!T19/SER_summary!T$27)</f>
        <v>10.274271532639373</v>
      </c>
      <c r="U19" s="131">
        <f>IF(SER_hh_tesh_in!U19=0,0,SER_hh_tesh_in!U19/SER_summary!U$27)</f>
        <v>10.081748521133232</v>
      </c>
      <c r="V19" s="131">
        <f>IF(SER_hh_tesh_in!V19=0,0,SER_hh_tesh_in!V19/SER_summary!V$27)</f>
        <v>8.8353527607337448</v>
      </c>
      <c r="W19" s="131">
        <f>IF(SER_hh_tesh_in!W19=0,0,SER_hh_tesh_in!W19/SER_summary!W$27)</f>
        <v>9.5909202683889223</v>
      </c>
      <c r="DA19" s="156" t="s">
        <v>863</v>
      </c>
    </row>
    <row r="20" spans="1:105" ht="12" customHeight="1" x14ac:dyDescent="0.25">
      <c r="A20" s="132" t="s">
        <v>29</v>
      </c>
      <c r="B20" s="133"/>
      <c r="C20" s="133">
        <f>IF(SER_hh_tesh_in!C20=0,0,SER_hh_tesh_in!C20/SER_summary!C$27)</f>
        <v>0</v>
      </c>
      <c r="D20" s="133">
        <f>IF(SER_hh_tesh_in!D20=0,0,SER_hh_tesh_in!D20/SER_summary!D$27)</f>
        <v>0</v>
      </c>
      <c r="E20" s="133">
        <f>IF(SER_hh_tesh_in!E20=0,0,SER_hh_tesh_in!E20/SER_summary!E$27)</f>
        <v>0</v>
      </c>
      <c r="F20" s="133">
        <f>IF(SER_hh_tesh_in!F20=0,0,SER_hh_tesh_in!F20/SER_summary!F$27)</f>
        <v>0</v>
      </c>
      <c r="G20" s="133">
        <f>IF(SER_hh_tesh_in!G20=0,0,SER_hh_tesh_in!G20/SER_summary!G$27)</f>
        <v>0</v>
      </c>
      <c r="H20" s="133">
        <f>IF(SER_hh_tesh_in!H20=0,0,SER_hh_tesh_in!H20/SER_summary!H$27)</f>
        <v>0</v>
      </c>
      <c r="I20" s="133">
        <f>IF(SER_hh_tesh_in!I20=0,0,SER_hh_tesh_in!I20/SER_summary!I$27)</f>
        <v>0</v>
      </c>
      <c r="J20" s="133">
        <f>IF(SER_hh_tesh_in!J20=0,0,SER_hh_tesh_in!J20/SER_summary!J$27)</f>
        <v>0</v>
      </c>
      <c r="K20" s="133">
        <f>IF(SER_hh_tesh_in!K20=0,0,SER_hh_tesh_in!K20/SER_summary!K$27)</f>
        <v>0</v>
      </c>
      <c r="L20" s="133">
        <f>IF(SER_hh_tesh_in!L20=0,0,SER_hh_tesh_in!L20/SER_summary!L$27)</f>
        <v>0</v>
      </c>
      <c r="M20" s="133">
        <f>IF(SER_hh_tesh_in!M20=0,0,SER_hh_tesh_in!M20/SER_summary!M$27)</f>
        <v>0</v>
      </c>
      <c r="N20" s="133">
        <f>IF(SER_hh_tesh_in!N20=0,0,SER_hh_tesh_in!N20/SER_summary!N$27)</f>
        <v>0</v>
      </c>
      <c r="O20" s="133">
        <f>IF(SER_hh_tesh_in!O20=0,0,SER_hh_tesh_in!O20/SER_summary!O$27)</f>
        <v>0</v>
      </c>
      <c r="P20" s="133">
        <f>IF(SER_hh_tesh_in!P20=0,0,SER_hh_tesh_in!P20/SER_summary!P$27)</f>
        <v>0</v>
      </c>
      <c r="Q20" s="133">
        <f>IF(SER_hh_tesh_in!Q20=0,0,SER_hh_tesh_in!Q20/SER_summary!Q$27)</f>
        <v>0</v>
      </c>
      <c r="R20" s="133">
        <f>IF(SER_hh_tesh_in!R20=0,0,SER_hh_tesh_in!R20/SER_summary!R$27)</f>
        <v>0</v>
      </c>
      <c r="S20" s="133">
        <f>IF(SER_hh_tesh_in!S20=0,0,SER_hh_tesh_in!S20/SER_summary!S$27)</f>
        <v>0</v>
      </c>
      <c r="T20" s="133">
        <f>IF(SER_hh_tesh_in!T20=0,0,SER_hh_tesh_in!T20/SER_summary!T$27)</f>
        <v>0</v>
      </c>
      <c r="U20" s="133">
        <f>IF(SER_hh_tesh_in!U20=0,0,SER_hh_tesh_in!U20/SER_summary!U$27)</f>
        <v>0</v>
      </c>
      <c r="V20" s="133">
        <f>IF(SER_hh_tesh_in!V20=0,0,SER_hh_tesh_in!V20/SER_summary!V$27)</f>
        <v>0</v>
      </c>
      <c r="W20" s="133">
        <f>IF(SER_hh_tesh_in!W20=0,0,SER_hh_tesh_in!W20/SER_summary!W$27)</f>
        <v>0</v>
      </c>
      <c r="DA20" s="157" t="s">
        <v>864</v>
      </c>
    </row>
    <row r="21" spans="1:105" s="2" customFormat="1" ht="12" customHeight="1" x14ac:dyDescent="0.25">
      <c r="A21" s="132" t="s">
        <v>52</v>
      </c>
      <c r="B21" s="133"/>
      <c r="C21" s="133">
        <f>IF(SER_hh_tesh_in!C21=0,0,SER_hh_tesh_in!C21/SER_summary!C$27)</f>
        <v>0</v>
      </c>
      <c r="D21" s="133">
        <f>IF(SER_hh_tesh_in!D21=0,0,SER_hh_tesh_in!D21/SER_summary!D$27)</f>
        <v>0</v>
      </c>
      <c r="E21" s="133">
        <f>IF(SER_hh_tesh_in!E21=0,0,SER_hh_tesh_in!E21/SER_summary!E$27)</f>
        <v>0</v>
      </c>
      <c r="F21" s="133">
        <f>IF(SER_hh_tesh_in!F21=0,0,SER_hh_tesh_in!F21/SER_summary!F$27)</f>
        <v>0</v>
      </c>
      <c r="G21" s="133">
        <f>IF(SER_hh_tesh_in!G21=0,0,SER_hh_tesh_in!G21/SER_summary!G$27)</f>
        <v>0</v>
      </c>
      <c r="H21" s="133">
        <f>IF(SER_hh_tesh_in!H21=0,0,SER_hh_tesh_in!H21/SER_summary!H$27)</f>
        <v>0</v>
      </c>
      <c r="I21" s="133">
        <f>IF(SER_hh_tesh_in!I21=0,0,SER_hh_tesh_in!I21/SER_summary!I$27)</f>
        <v>0</v>
      </c>
      <c r="J21" s="133">
        <f>IF(SER_hh_tesh_in!J21=0,0,SER_hh_tesh_in!J21/SER_summary!J$27)</f>
        <v>0</v>
      </c>
      <c r="K21" s="133">
        <f>IF(SER_hh_tesh_in!K21=0,0,SER_hh_tesh_in!K21/SER_summary!K$27)</f>
        <v>0</v>
      </c>
      <c r="L21" s="133">
        <f>IF(SER_hh_tesh_in!L21=0,0,SER_hh_tesh_in!L21/SER_summary!L$27)</f>
        <v>0</v>
      </c>
      <c r="M21" s="133">
        <f>IF(SER_hh_tesh_in!M21=0,0,SER_hh_tesh_in!M21/SER_summary!M$27)</f>
        <v>0</v>
      </c>
      <c r="N21" s="133">
        <f>IF(SER_hh_tesh_in!N21=0,0,SER_hh_tesh_in!N21/SER_summary!N$27)</f>
        <v>0</v>
      </c>
      <c r="O21" s="133">
        <f>IF(SER_hh_tesh_in!O21=0,0,SER_hh_tesh_in!O21/SER_summary!O$27)</f>
        <v>0</v>
      </c>
      <c r="P21" s="133">
        <f>IF(SER_hh_tesh_in!P21=0,0,SER_hh_tesh_in!P21/SER_summary!P$27)</f>
        <v>0</v>
      </c>
      <c r="Q21" s="133">
        <f>IF(SER_hh_tesh_in!Q21=0,0,SER_hh_tesh_in!Q21/SER_summary!Q$27)</f>
        <v>0</v>
      </c>
      <c r="R21" s="133">
        <f>IF(SER_hh_tesh_in!R21=0,0,SER_hh_tesh_in!R21/SER_summary!R$27)</f>
        <v>0</v>
      </c>
      <c r="S21" s="133">
        <f>IF(SER_hh_tesh_in!S21=0,0,SER_hh_tesh_in!S21/SER_summary!S$27)</f>
        <v>0</v>
      </c>
      <c r="T21" s="133">
        <f>IF(SER_hh_tesh_in!T21=0,0,SER_hh_tesh_in!T21/SER_summary!T$27)</f>
        <v>0</v>
      </c>
      <c r="U21" s="133">
        <f>IF(SER_hh_tesh_in!U21=0,0,SER_hh_tesh_in!U21/SER_summary!U$27)</f>
        <v>0</v>
      </c>
      <c r="V21" s="133">
        <f>IF(SER_hh_tesh_in!V21=0,0,SER_hh_tesh_in!V21/SER_summary!V$27)</f>
        <v>0</v>
      </c>
      <c r="W21" s="133">
        <f>IF(SER_hh_tesh_in!W21=0,0,SER_hh_tesh_in!W21/SER_summary!W$27)</f>
        <v>0</v>
      </c>
      <c r="DA21" s="157" t="s">
        <v>865</v>
      </c>
    </row>
    <row r="22" spans="1:105" ht="12" customHeight="1" x14ac:dyDescent="0.25">
      <c r="A22" s="132" t="s">
        <v>168</v>
      </c>
      <c r="B22" s="133"/>
      <c r="C22" s="133">
        <f>IF(SER_hh_tesh_in!C22=0,0,SER_hh_tesh_in!C22/SER_summary!C$27)</f>
        <v>10.202831167493084</v>
      </c>
      <c r="D22" s="133">
        <f>IF(SER_hh_tesh_in!D22=0,0,SER_hh_tesh_in!D22/SER_summary!D$27)</f>
        <v>10.127281351661154</v>
      </c>
      <c r="E22" s="133">
        <f>IF(SER_hh_tesh_in!E22=0,0,SER_hh_tesh_in!E22/SER_summary!E$27)</f>
        <v>10.081666196133542</v>
      </c>
      <c r="F22" s="133">
        <f>IF(SER_hh_tesh_in!F22=0,0,SER_hh_tesh_in!F22/SER_summary!F$27)</f>
        <v>10.183032898805706</v>
      </c>
      <c r="G22" s="133">
        <f>IF(SER_hh_tesh_in!G22=0,0,SER_hh_tesh_in!G22/SER_summary!G$27)</f>
        <v>10.049616085203349</v>
      </c>
      <c r="H22" s="133">
        <f>IF(SER_hh_tesh_in!H22=0,0,SER_hh_tesh_in!H22/SER_summary!H$27)</f>
        <v>9.92300792078108</v>
      </c>
      <c r="I22" s="133">
        <f>IF(SER_hh_tesh_in!I22=0,0,SER_hh_tesh_in!I22/SER_summary!I$27)</f>
        <v>9.5016548433474064</v>
      </c>
      <c r="J22" s="133">
        <f>IF(SER_hh_tesh_in!J22=0,0,SER_hh_tesh_in!J22/SER_summary!J$27)</f>
        <v>9.8069921073101387</v>
      </c>
      <c r="K22" s="133">
        <f>IF(SER_hh_tesh_in!K22=0,0,SER_hh_tesh_in!K22/SER_summary!K$27)</f>
        <v>10.027387541366767</v>
      </c>
      <c r="L22" s="133">
        <f>IF(SER_hh_tesh_in!L22=0,0,SER_hh_tesh_in!L22/SER_summary!L$27)</f>
        <v>9.4026350359208148</v>
      </c>
      <c r="M22" s="133">
        <f>IF(SER_hh_tesh_in!M22=0,0,SER_hh_tesh_in!M22/SER_summary!M$27)</f>
        <v>9.4969234823686755</v>
      </c>
      <c r="N22" s="133">
        <f>IF(SER_hh_tesh_in!N22=0,0,SER_hh_tesh_in!N22/SER_summary!N$27)</f>
        <v>9.9612776157655318</v>
      </c>
      <c r="O22" s="133">
        <f>IF(SER_hh_tesh_in!O22=0,0,SER_hh_tesh_in!O22/SER_summary!O$27)</f>
        <v>10.068963518053206</v>
      </c>
      <c r="P22" s="133">
        <f>IF(SER_hh_tesh_in!P22=0,0,SER_hh_tesh_in!P22/SER_summary!P$27)</f>
        <v>10.323985527385439</v>
      </c>
      <c r="Q22" s="133">
        <f>IF(SER_hh_tesh_in!Q22=0,0,SER_hh_tesh_in!Q22/SER_summary!Q$27)</f>
        <v>10.214425627222795</v>
      </c>
      <c r="R22" s="133">
        <f>IF(SER_hh_tesh_in!R22=0,0,SER_hh_tesh_in!R22/SER_summary!R$27)</f>
        <v>10.648679909398979</v>
      </c>
      <c r="S22" s="133">
        <f>IF(SER_hh_tesh_in!S22=0,0,SER_hh_tesh_in!S22/SER_summary!S$27)</f>
        <v>0</v>
      </c>
      <c r="T22" s="133">
        <f>IF(SER_hh_tesh_in!T22=0,0,SER_hh_tesh_in!T22/SER_summary!T$27)</f>
        <v>0</v>
      </c>
      <c r="U22" s="133">
        <f>IF(SER_hh_tesh_in!U22=0,0,SER_hh_tesh_in!U22/SER_summary!U$27)</f>
        <v>0</v>
      </c>
      <c r="V22" s="133">
        <f>IF(SER_hh_tesh_in!V22=0,0,SER_hh_tesh_in!V22/SER_summary!V$27)</f>
        <v>0</v>
      </c>
      <c r="W22" s="133">
        <f>IF(SER_hh_tesh_in!W22=0,0,SER_hh_tesh_in!W22/SER_summary!W$27)</f>
        <v>0</v>
      </c>
      <c r="DA22" s="157" t="s">
        <v>866</v>
      </c>
    </row>
    <row r="23" spans="1:105" ht="12" customHeight="1" x14ac:dyDescent="0.25">
      <c r="A23" s="132" t="s">
        <v>153</v>
      </c>
      <c r="B23" s="133"/>
      <c r="C23" s="133">
        <f>IF(SER_hh_tesh_in!C23=0,0,SER_hh_tesh_in!C23/SER_summary!C$27)</f>
        <v>10.069090274688966</v>
      </c>
      <c r="D23" s="133">
        <f>IF(SER_hh_tesh_in!D23=0,0,SER_hh_tesh_in!D23/SER_summary!D$27)</f>
        <v>9.7351129697167647</v>
      </c>
      <c r="E23" s="133">
        <f>IF(SER_hh_tesh_in!E23=0,0,SER_hh_tesh_in!E23/SER_summary!E$27)</f>
        <v>10.418158503465788</v>
      </c>
      <c r="F23" s="133">
        <f>IF(SER_hh_tesh_in!F23=0,0,SER_hh_tesh_in!F23/SER_summary!F$27)</f>
        <v>9.8502740577882406</v>
      </c>
      <c r="G23" s="133">
        <f>IF(SER_hh_tesh_in!G23=0,0,SER_hh_tesh_in!G23/SER_summary!G$27)</f>
        <v>9.9767617459439215</v>
      </c>
      <c r="H23" s="133">
        <f>IF(SER_hh_tesh_in!H23=0,0,SER_hh_tesh_in!H23/SER_summary!H$27)</f>
        <v>10.283275382875443</v>
      </c>
      <c r="I23" s="133">
        <f>IF(SER_hh_tesh_in!I23=0,0,SER_hh_tesh_in!I23/SER_summary!I$27)</f>
        <v>9.9946161202114308</v>
      </c>
      <c r="J23" s="133">
        <f>IF(SER_hh_tesh_in!J23=0,0,SER_hh_tesh_in!J23/SER_summary!J$27)</f>
        <v>9.8192395645734507</v>
      </c>
      <c r="K23" s="133">
        <f>IF(SER_hh_tesh_in!K23=0,0,SER_hh_tesh_in!K23/SER_summary!K$27)</f>
        <v>9.9487734190990871</v>
      </c>
      <c r="L23" s="133">
        <f>IF(SER_hh_tesh_in!L23=0,0,SER_hh_tesh_in!L23/SER_summary!L$27)</f>
        <v>8.886494345653146</v>
      </c>
      <c r="M23" s="133">
        <f>IF(SER_hh_tesh_in!M23=0,0,SER_hh_tesh_in!M23/SER_summary!M$27)</f>
        <v>9.477884219335909</v>
      </c>
      <c r="N23" s="133">
        <f>IF(SER_hh_tesh_in!N23=0,0,SER_hh_tesh_in!N23/SER_summary!N$27)</f>
        <v>9.9823066719295195</v>
      </c>
      <c r="O23" s="133">
        <f>IF(SER_hh_tesh_in!O23=0,0,SER_hh_tesh_in!O23/SER_summary!O$27)</f>
        <v>10.194548722450389</v>
      </c>
      <c r="P23" s="133">
        <f>IF(SER_hh_tesh_in!P23=0,0,SER_hh_tesh_in!P23/SER_summary!P$27)</f>
        <v>9.3997206937605249</v>
      </c>
      <c r="Q23" s="133">
        <f>IF(SER_hh_tesh_in!Q23=0,0,SER_hh_tesh_in!Q23/SER_summary!Q$27)</f>
        <v>10.32636176541517</v>
      </c>
      <c r="R23" s="133">
        <f>IF(SER_hh_tesh_in!R23=0,0,SER_hh_tesh_in!R23/SER_summary!R$27)</f>
        <v>10.372133264411486</v>
      </c>
      <c r="S23" s="133">
        <f>IF(SER_hh_tesh_in!S23=0,0,SER_hh_tesh_in!S23/SER_summary!S$27)</f>
        <v>10.531073648381037</v>
      </c>
      <c r="T23" s="133">
        <f>IF(SER_hh_tesh_in!T23=0,0,SER_hh_tesh_in!T23/SER_summary!T$27)</f>
        <v>9.9234415029876715</v>
      </c>
      <c r="U23" s="133">
        <f>IF(SER_hh_tesh_in!U23=0,0,SER_hh_tesh_in!U23/SER_summary!U$27)</f>
        <v>10.292613662999267</v>
      </c>
      <c r="V23" s="133">
        <f>IF(SER_hh_tesh_in!V23=0,0,SER_hh_tesh_in!V23/SER_summary!V$27)</f>
        <v>7.0482561872318863</v>
      </c>
      <c r="W23" s="133">
        <f>IF(SER_hh_tesh_in!W23=0,0,SER_hh_tesh_in!W23/SER_summary!W$27)</f>
        <v>10.447682700736314</v>
      </c>
      <c r="DA23" s="157" t="s">
        <v>867</v>
      </c>
    </row>
    <row r="24" spans="1:105" ht="12" customHeight="1" x14ac:dyDescent="0.25">
      <c r="A24" s="132" t="s">
        <v>128</v>
      </c>
      <c r="B24" s="133"/>
      <c r="C24" s="133">
        <f>IF(SER_hh_tesh_in!C24=0,0,SER_hh_tesh_in!C24/SER_summary!C$27)</f>
        <v>10.410733543870528</v>
      </c>
      <c r="D24" s="133">
        <f>IF(SER_hh_tesh_in!D24=0,0,SER_hh_tesh_in!D24/SER_summary!D$27)</f>
        <v>10.291580117742546</v>
      </c>
      <c r="E24" s="133">
        <f>IF(SER_hh_tesh_in!E24=0,0,SER_hh_tesh_in!E24/SER_summary!E$27)</f>
        <v>10.053739149194534</v>
      </c>
      <c r="F24" s="133">
        <f>IF(SER_hh_tesh_in!F24=0,0,SER_hh_tesh_in!F24/SER_summary!F$27)</f>
        <v>9.9406080247943436</v>
      </c>
      <c r="G24" s="133">
        <f>IF(SER_hh_tesh_in!G24=0,0,SER_hh_tesh_in!G24/SER_summary!G$27)</f>
        <v>9.9363352245929626</v>
      </c>
      <c r="H24" s="133">
        <f>IF(SER_hh_tesh_in!H24=0,0,SER_hh_tesh_in!H24/SER_summary!H$27)</f>
        <v>9.9518948272820058</v>
      </c>
      <c r="I24" s="133">
        <f>IF(SER_hh_tesh_in!I24=0,0,SER_hh_tesh_in!I24/SER_summary!I$27)</f>
        <v>9.912201704080255</v>
      </c>
      <c r="J24" s="133">
        <f>IF(SER_hh_tesh_in!J24=0,0,SER_hh_tesh_in!J24/SER_summary!J$27)</f>
        <v>9.7970680324579664</v>
      </c>
      <c r="K24" s="133">
        <f>IF(SER_hh_tesh_in!K24=0,0,SER_hh_tesh_in!K24/SER_summary!K$27)</f>
        <v>9.8254636572028264</v>
      </c>
      <c r="L24" s="133">
        <f>IF(SER_hh_tesh_in!L24=0,0,SER_hh_tesh_in!L24/SER_summary!L$27)</f>
        <v>9.3196093843091958</v>
      </c>
      <c r="M24" s="133">
        <f>IF(SER_hh_tesh_in!M24=0,0,SER_hh_tesh_in!M24/SER_summary!M$27)</f>
        <v>10.036322933402182</v>
      </c>
      <c r="N24" s="133">
        <f>IF(SER_hh_tesh_in!N24=0,0,SER_hh_tesh_in!N24/SER_summary!N$27)</f>
        <v>10.253260239979932</v>
      </c>
      <c r="O24" s="133">
        <f>IF(SER_hh_tesh_in!O24=0,0,SER_hh_tesh_in!O24/SER_summary!O$27)</f>
        <v>9.6595518262899702</v>
      </c>
      <c r="P24" s="133">
        <f>IF(SER_hh_tesh_in!P24=0,0,SER_hh_tesh_in!P24/SER_summary!P$27)</f>
        <v>10.025433639664183</v>
      </c>
      <c r="Q24" s="133">
        <f>IF(SER_hh_tesh_in!Q24=0,0,SER_hh_tesh_in!Q24/SER_summary!Q$27)</f>
        <v>9.7347545999983982</v>
      </c>
      <c r="R24" s="133">
        <f>IF(SER_hh_tesh_in!R24=0,0,SER_hh_tesh_in!R24/SER_summary!R$27)</f>
        <v>10.358161670584005</v>
      </c>
      <c r="S24" s="133">
        <f>IF(SER_hh_tesh_in!S24=0,0,SER_hh_tesh_in!S24/SER_summary!S$27)</f>
        <v>10.597851814266848</v>
      </c>
      <c r="T24" s="133">
        <f>IF(SER_hh_tesh_in!T24=0,0,SER_hh_tesh_in!T24/SER_summary!T$27)</f>
        <v>10.330091156274078</v>
      </c>
      <c r="U24" s="133">
        <f>IF(SER_hh_tesh_in!U24=0,0,SER_hh_tesh_in!U24/SER_summary!U$27)</f>
        <v>10.05019405597433</v>
      </c>
      <c r="V24" s="133">
        <f>IF(SER_hh_tesh_in!V24=0,0,SER_hh_tesh_in!V24/SER_summary!V$27)</f>
        <v>8.1726474270612535</v>
      </c>
      <c r="W24" s="133">
        <f>IF(SER_hh_tesh_in!W24=0,0,SER_hh_tesh_in!W24/SER_summary!W$27)</f>
        <v>9.4594091109066269</v>
      </c>
      <c r="DA24" s="157" t="s">
        <v>868</v>
      </c>
    </row>
    <row r="25" spans="1:105" ht="12" customHeight="1" x14ac:dyDescent="0.25">
      <c r="A25" s="132" t="s">
        <v>169</v>
      </c>
      <c r="B25" s="133"/>
      <c r="C25" s="133">
        <f>IF(SER_hh_tesh_in!C25=0,0,SER_hh_tesh_in!C25/SER_summary!C$27)</f>
        <v>10.371221142031972</v>
      </c>
      <c r="D25" s="133">
        <f>IF(SER_hh_tesh_in!D25=0,0,SER_hh_tesh_in!D25/SER_summary!D$27)</f>
        <v>10.210247002896315</v>
      </c>
      <c r="E25" s="133">
        <f>IF(SER_hh_tesh_in!E25=0,0,SER_hh_tesh_in!E25/SER_summary!E$27)</f>
        <v>10.087694735512921</v>
      </c>
      <c r="F25" s="133">
        <f>IF(SER_hh_tesh_in!F25=0,0,SER_hh_tesh_in!F25/SER_summary!F$27)</f>
        <v>10.028726540879498</v>
      </c>
      <c r="G25" s="133">
        <f>IF(SER_hh_tesh_in!G25=0,0,SER_hh_tesh_in!G25/SER_summary!G$27)</f>
        <v>9.9484759427376162</v>
      </c>
      <c r="H25" s="133">
        <f>IF(SER_hh_tesh_in!H25=0,0,SER_hh_tesh_in!H25/SER_summary!H$27)</f>
        <v>9.8932612665029946</v>
      </c>
      <c r="I25" s="133">
        <f>IF(SER_hh_tesh_in!I25=0,0,SER_hh_tesh_in!I25/SER_summary!I$27)</f>
        <v>9.7589357082138175</v>
      </c>
      <c r="J25" s="133">
        <f>IF(SER_hh_tesh_in!J25=0,0,SER_hh_tesh_in!J25/SER_summary!J$27)</f>
        <v>9.6828684090646959</v>
      </c>
      <c r="K25" s="133">
        <f>IF(SER_hh_tesh_in!K25=0,0,SER_hh_tesh_in!K25/SER_summary!K$27)</f>
        <v>9.774793197577953</v>
      </c>
      <c r="L25" s="133">
        <f>IF(SER_hh_tesh_in!L25=0,0,SER_hh_tesh_in!L25/SER_summary!L$27)</f>
        <v>9.5107520846434657</v>
      </c>
      <c r="M25" s="133">
        <f>IF(SER_hh_tesh_in!M25=0,0,SER_hh_tesh_in!M25/SER_summary!M$27)</f>
        <v>10.106581943206171</v>
      </c>
      <c r="N25" s="133">
        <f>IF(SER_hh_tesh_in!N25=0,0,SER_hh_tesh_in!N25/SER_summary!N$27)</f>
        <v>10.058503533866043</v>
      </c>
      <c r="O25" s="133">
        <f>IF(SER_hh_tesh_in!O25=0,0,SER_hh_tesh_in!O25/SER_summary!O$27)</f>
        <v>9.9141694685559774</v>
      </c>
      <c r="P25" s="133">
        <f>IF(SER_hh_tesh_in!P25=0,0,SER_hh_tesh_in!P25/SER_summary!P$27)</f>
        <v>10.359817969643247</v>
      </c>
      <c r="Q25" s="133">
        <f>IF(SER_hh_tesh_in!Q25=0,0,SER_hh_tesh_in!Q25/SER_summary!Q$27)</f>
        <v>10.242166610805883</v>
      </c>
      <c r="R25" s="133">
        <f>IF(SER_hh_tesh_in!R25=0,0,SER_hh_tesh_in!R25/SER_summary!R$27)</f>
        <v>10.260984739637145</v>
      </c>
      <c r="S25" s="133">
        <f>IF(SER_hh_tesh_in!S25=0,0,SER_hh_tesh_in!S25/SER_summary!S$27)</f>
        <v>10.140921158257495</v>
      </c>
      <c r="T25" s="133">
        <f>IF(SER_hh_tesh_in!T25=0,0,SER_hh_tesh_in!T25/SER_summary!T$27)</f>
        <v>9.7406977278682749</v>
      </c>
      <c r="U25" s="133">
        <f>IF(SER_hh_tesh_in!U25=0,0,SER_hh_tesh_in!U25/SER_summary!U$27)</f>
        <v>9.6996926502442431</v>
      </c>
      <c r="V25" s="133">
        <f>IF(SER_hh_tesh_in!V25=0,0,SER_hh_tesh_in!V25/SER_summary!V$27)</f>
        <v>8.0872782061096533</v>
      </c>
      <c r="W25" s="133">
        <f>IF(SER_hh_tesh_in!W25=0,0,SER_hh_tesh_in!W25/SER_summary!W$27)</f>
        <v>9.4004240264778396</v>
      </c>
      <c r="DA25" s="157" t="s">
        <v>869</v>
      </c>
    </row>
    <row r="26" spans="1:105" ht="12" customHeight="1" x14ac:dyDescent="0.25">
      <c r="A26" s="132" t="s">
        <v>24</v>
      </c>
      <c r="B26" s="65"/>
      <c r="C26" s="65">
        <f>IF(SER_hh_tesh_in!C26=0,0,SER_hh_tesh_in!C26/SER_summary!C$27)</f>
        <v>9.168736403090131</v>
      </c>
      <c r="D26" s="65">
        <f>IF(SER_hh_tesh_in!D26=0,0,SER_hh_tesh_in!D26/SER_summary!D$27)</f>
        <v>8.8584954866815302</v>
      </c>
      <c r="E26" s="65">
        <f>IF(SER_hh_tesh_in!E26=0,0,SER_hh_tesh_in!E26/SER_summary!E$27)</f>
        <v>8.9984879319813889</v>
      </c>
      <c r="F26" s="65">
        <f>IF(SER_hh_tesh_in!F26=0,0,SER_hh_tesh_in!F26/SER_summary!F$27)</f>
        <v>8.6913664737279088</v>
      </c>
      <c r="G26" s="65">
        <f>IF(SER_hh_tesh_in!G26=0,0,SER_hh_tesh_in!G26/SER_summary!G$27)</f>
        <v>8.2218274912516165</v>
      </c>
      <c r="H26" s="65">
        <f>IF(SER_hh_tesh_in!H26=0,0,SER_hh_tesh_in!H26/SER_summary!H$27)</f>
        <v>8.7287155803602783</v>
      </c>
      <c r="I26" s="65">
        <f>IF(SER_hh_tesh_in!I26=0,0,SER_hh_tesh_in!I26/SER_summary!I$27)</f>
        <v>8.8559268732185306</v>
      </c>
      <c r="J26" s="65">
        <f>IF(SER_hh_tesh_in!J26=0,0,SER_hh_tesh_in!J26/SER_summary!J$27)</f>
        <v>8.1912417669476785</v>
      </c>
      <c r="K26" s="65">
        <f>IF(SER_hh_tesh_in!K26=0,0,SER_hh_tesh_in!K26/SER_summary!K$27)</f>
        <v>9.3902512678647003</v>
      </c>
      <c r="L26" s="65">
        <f>IF(SER_hh_tesh_in!L26=0,0,SER_hh_tesh_in!L26/SER_summary!L$27)</f>
        <v>5.0160809441025584</v>
      </c>
      <c r="M26" s="65">
        <f>IF(SER_hh_tesh_in!M26=0,0,SER_hh_tesh_in!M26/SER_summary!M$27)</f>
        <v>6.6478946682473108</v>
      </c>
      <c r="N26" s="65">
        <f>IF(SER_hh_tesh_in!N26=0,0,SER_hh_tesh_in!N26/SER_summary!N$27)</f>
        <v>7.646618229864651</v>
      </c>
      <c r="O26" s="65">
        <f>IF(SER_hh_tesh_in!O26=0,0,SER_hh_tesh_in!O26/SER_summary!O$27)</f>
        <v>5.9232669049926301</v>
      </c>
      <c r="P26" s="65">
        <f>IF(SER_hh_tesh_in!P26=0,0,SER_hh_tesh_in!P26/SER_summary!P$27)</f>
        <v>10.417938478471479</v>
      </c>
      <c r="Q26" s="65">
        <f>IF(SER_hh_tesh_in!Q26=0,0,SER_hh_tesh_in!Q26/SER_summary!Q$27)</f>
        <v>5.6649555195984789</v>
      </c>
      <c r="R26" s="65">
        <f>IF(SER_hh_tesh_in!R26=0,0,SER_hh_tesh_in!R26/SER_summary!R$27)</f>
        <v>5.8842716062716844</v>
      </c>
      <c r="S26" s="65">
        <f>IF(SER_hh_tesh_in!S26=0,0,SER_hh_tesh_in!S26/SER_summary!S$27)</f>
        <v>9.3491552734698615</v>
      </c>
      <c r="T26" s="65">
        <f>IF(SER_hh_tesh_in!T26=0,0,SER_hh_tesh_in!T26/SER_summary!T$27)</f>
        <v>5.135191991135148</v>
      </c>
      <c r="U26" s="65">
        <f>IF(SER_hh_tesh_in!U26=0,0,SER_hh_tesh_in!U26/SER_summary!U$27)</f>
        <v>5.7535697426697121</v>
      </c>
      <c r="V26" s="65">
        <f>IF(SER_hh_tesh_in!V26=0,0,SER_hh_tesh_in!V26/SER_summary!V$27)</f>
        <v>4.6702747663101238</v>
      </c>
      <c r="W26" s="65">
        <f>IF(SER_hh_tesh_in!W26=0,0,SER_hh_tesh_in!W26/SER_summary!W$27)</f>
        <v>9.6781946621697124</v>
      </c>
      <c r="DA26" s="109" t="s">
        <v>870</v>
      </c>
    </row>
    <row r="27" spans="1:105" ht="12" customHeight="1" x14ac:dyDescent="0.25">
      <c r="A27" s="145" t="s">
        <v>86</v>
      </c>
      <c r="B27" s="148"/>
      <c r="C27" s="146">
        <f>IF(SER_hh_tesh_in!C27=0,0,SER_hh_tesh_in!C27/SER_summary!C$27)</f>
        <v>0.35643631529485093</v>
      </c>
      <c r="D27" s="146">
        <f>IF(SER_hh_tesh_in!D27=0,0,SER_hh_tesh_in!D27/SER_summary!D$27)</f>
        <v>0.45132084201828965</v>
      </c>
      <c r="E27" s="146">
        <f>IF(SER_hh_tesh_in!E27=0,0,SER_hh_tesh_in!E27/SER_summary!E$27)</f>
        <v>0.35597183516827857</v>
      </c>
      <c r="F27" s="146">
        <f>IF(SER_hh_tesh_in!F27=0,0,SER_hh_tesh_in!F27/SER_summary!F$27)</f>
        <v>0.50981550459229152</v>
      </c>
      <c r="G27" s="146">
        <f>IF(SER_hh_tesh_in!G27=0,0,SER_hh_tesh_in!G27/SER_summary!G$27)</f>
        <v>0.68628011390544508</v>
      </c>
      <c r="H27" s="146">
        <f>IF(SER_hh_tesh_in!H27=0,0,SER_hh_tesh_in!H27/SER_summary!H$27)</f>
        <v>0.59047649829424431</v>
      </c>
      <c r="I27" s="146">
        <f>IF(SER_hh_tesh_in!I27=0,0,SER_hh_tesh_in!I27/SER_summary!I$27)</f>
        <v>0.50194914722944295</v>
      </c>
      <c r="J27" s="146">
        <f>IF(SER_hh_tesh_in!J27=0,0,SER_hh_tesh_in!J27/SER_summary!J$27)</f>
        <v>0.62452720086217028</v>
      </c>
      <c r="K27" s="146">
        <f>IF(SER_hh_tesh_in!K27=0,0,SER_hh_tesh_in!K27/SER_summary!K$27)</f>
        <v>0.23890419247804132</v>
      </c>
      <c r="L27" s="146">
        <f>IF(SER_hh_tesh_in!L27=0,0,SER_hh_tesh_in!L27/SER_summary!L$27)</f>
        <v>1.2210422055509045</v>
      </c>
      <c r="M27" s="146">
        <f>IF(SER_hh_tesh_in!M27=0,0,SER_hh_tesh_in!M27/SER_summary!M$27)</f>
        <v>1.1420424140148744</v>
      </c>
      <c r="N27" s="146">
        <f>IF(SER_hh_tesh_in!N27=0,0,SER_hh_tesh_in!N27/SER_summary!N$27)</f>
        <v>0.98658508542281009</v>
      </c>
      <c r="O27" s="146">
        <f>IF(SER_hh_tesh_in!O27=0,0,SER_hh_tesh_in!O27/SER_summary!O$27)</f>
        <v>1.4915014948823975</v>
      </c>
      <c r="P27" s="146">
        <f>IF(SER_hh_tesh_in!P27=0,0,SER_hh_tesh_in!P27/SER_summary!P$27)</f>
        <v>0</v>
      </c>
      <c r="Q27" s="146">
        <f>IF(SER_hh_tesh_in!Q27=0,0,SER_hh_tesh_in!Q27/SER_summary!Q$27)</f>
        <v>0.67780365804884857</v>
      </c>
      <c r="R27" s="146">
        <f>IF(SER_hh_tesh_in!R27=0,0,SER_hh_tesh_in!R27/SER_summary!R$27)</f>
        <v>0.67779926645609068</v>
      </c>
      <c r="S27" s="146">
        <f>IF(SER_hh_tesh_in!S27=0,0,SER_hh_tesh_in!S27/SER_summary!S$27)</f>
        <v>0.22948428736816531</v>
      </c>
      <c r="T27" s="146">
        <f>IF(SER_hh_tesh_in!T27=0,0,SER_hh_tesh_in!T27/SER_summary!T$27)</f>
        <v>1.0204763034968234</v>
      </c>
      <c r="U27" s="146">
        <f>IF(SER_hh_tesh_in!U27=0,0,SER_hh_tesh_in!U27/SER_summary!U$27)</f>
        <v>1.028897780159413</v>
      </c>
      <c r="V27" s="146">
        <f>IF(SER_hh_tesh_in!V27=0,0,SER_hh_tesh_in!V27/SER_summary!V$27)</f>
        <v>1.1820522241892479</v>
      </c>
      <c r="W27" s="146">
        <f>IF(SER_hh_tesh_in!W27=0,0,SER_hh_tesh_in!W27/SER_summary!W$27)</f>
        <v>1.0343274438402722E-4</v>
      </c>
      <c r="DA27" s="159" t="s">
        <v>871</v>
      </c>
    </row>
    <row r="28" spans="1:105" ht="12" customHeight="1" x14ac:dyDescent="0.25">
      <c r="A28" s="78" t="s">
        <v>85</v>
      </c>
      <c r="B28" s="68"/>
      <c r="C28" s="147">
        <f>IF(SER_hh_tesh_in!C28=0,0,SER_hh_tesh_in!C28/SER_summary!C$27)</f>
        <v>4.5964948216735415</v>
      </c>
      <c r="D28" s="147">
        <f>IF(SER_hh_tesh_in!D28=0,0,SER_hh_tesh_in!D28/SER_summary!D$27)</f>
        <v>4.4687810913795465</v>
      </c>
      <c r="E28" s="147">
        <f>IF(SER_hh_tesh_in!E28=0,0,SER_hh_tesh_in!E28/SER_summary!E$27)</f>
        <v>4.5314526588695108</v>
      </c>
      <c r="F28" s="147">
        <f>IF(SER_hh_tesh_in!F28=0,0,SER_hh_tesh_in!F28/SER_summary!F$27)</f>
        <v>4.5010910784461586</v>
      </c>
      <c r="G28" s="147">
        <f>IF(SER_hh_tesh_in!G28=0,0,SER_hh_tesh_in!G28/SER_summary!G$27)</f>
        <v>4.4049336330836537</v>
      </c>
      <c r="H28" s="147">
        <f>IF(SER_hh_tesh_in!H28=0,0,SER_hh_tesh_in!H28/SER_summary!H$27)</f>
        <v>4.3964462233232471</v>
      </c>
      <c r="I28" s="147">
        <f>IF(SER_hh_tesh_in!I28=0,0,SER_hh_tesh_in!I28/SER_summary!I$27)</f>
        <v>4.4576722427597968</v>
      </c>
      <c r="J28" s="147">
        <f>IF(SER_hh_tesh_in!J28=0,0,SER_hh_tesh_in!J28/SER_summary!J$27)</f>
        <v>4.6205071175273966</v>
      </c>
      <c r="K28" s="147">
        <f>IF(SER_hh_tesh_in!K28=0,0,SER_hh_tesh_in!K28/SER_summary!K$27)</f>
        <v>5.0998448544367321</v>
      </c>
      <c r="L28" s="147">
        <f>IF(SER_hh_tesh_in!L28=0,0,SER_hh_tesh_in!L28/SER_summary!L$27)</f>
        <v>4.3737776732046285</v>
      </c>
      <c r="M28" s="147">
        <f>IF(SER_hh_tesh_in!M28=0,0,SER_hh_tesh_in!M28/SER_summary!M$27)</f>
        <v>4.4443624125963961</v>
      </c>
      <c r="N28" s="147">
        <f>IF(SER_hh_tesh_in!N28=0,0,SER_hh_tesh_in!N28/SER_summary!N$27)</f>
        <v>4.6594021323380765</v>
      </c>
      <c r="O28" s="147">
        <f>IF(SER_hh_tesh_in!O28=0,0,SER_hh_tesh_in!O28/SER_summary!O$27)</f>
        <v>4.3568162350575559</v>
      </c>
      <c r="P28" s="147">
        <f>IF(SER_hh_tesh_in!P28=0,0,SER_hh_tesh_in!P28/SER_summary!P$27)</f>
        <v>0</v>
      </c>
      <c r="Q28" s="147">
        <f>IF(SER_hh_tesh_in!Q28=0,0,SER_hh_tesh_in!Q28/SER_summary!Q$27)</f>
        <v>4.5062490262834372</v>
      </c>
      <c r="R28" s="147">
        <f>IF(SER_hh_tesh_in!R28=0,0,SER_hh_tesh_in!R28/SER_summary!R$27)</f>
        <v>4.5238788508652368</v>
      </c>
      <c r="S28" s="147">
        <f>IF(SER_hh_tesh_in!S28=0,0,SER_hh_tesh_in!S28/SER_summary!S$27)</f>
        <v>4.8377176425035833</v>
      </c>
      <c r="T28" s="147">
        <f>IF(SER_hh_tesh_in!T28=0,0,SER_hh_tesh_in!T28/SER_summary!T$27)</f>
        <v>4.7348225589715041</v>
      </c>
      <c r="U28" s="147">
        <f>IF(SER_hh_tesh_in!U28=0,0,SER_hh_tesh_in!U28/SER_summary!U$27)</f>
        <v>4.569285977021952</v>
      </c>
      <c r="V28" s="147">
        <f>IF(SER_hh_tesh_in!V28=0,0,SER_hh_tesh_in!V28/SER_summary!V$27)</f>
        <v>3.950201768016655</v>
      </c>
      <c r="W28" s="147">
        <f>IF(SER_hh_tesh_in!W28=0,0,SER_hh_tesh_in!W28/SER_summary!W$27)</f>
        <v>4.425433030052031</v>
      </c>
      <c r="DA28" s="160"/>
    </row>
    <row r="29" spans="1:105" ht="12.95" customHeight="1" x14ac:dyDescent="0.25">
      <c r="A29" s="130" t="s">
        <v>34</v>
      </c>
      <c r="B29" s="131"/>
      <c r="C29" s="131">
        <f>IF(SER_hh_tesh_in!C29=0,0,SER_hh_tesh_in!C29/SER_summary!C$27)</f>
        <v>8.8516524076824581</v>
      </c>
      <c r="D29" s="131">
        <f>IF(SER_hh_tesh_in!D29=0,0,SER_hh_tesh_in!D29/SER_summary!D$27)</f>
        <v>8.88670906706888</v>
      </c>
      <c r="E29" s="131">
        <f>IF(SER_hh_tesh_in!E29=0,0,SER_hh_tesh_in!E29/SER_summary!E$27)</f>
        <v>9.1069082910938057</v>
      </c>
      <c r="F29" s="131">
        <f>IF(SER_hh_tesh_in!F29=0,0,SER_hh_tesh_in!F29/SER_summary!F$27)</f>
        <v>9.2285197596137465</v>
      </c>
      <c r="G29" s="131">
        <f>IF(SER_hh_tesh_in!G29=0,0,SER_hh_tesh_in!G29/SER_summary!G$27)</f>
        <v>9.2270404695759609</v>
      </c>
      <c r="H29" s="131">
        <f>IF(SER_hh_tesh_in!H29=0,0,SER_hh_tesh_in!H29/SER_summary!H$27)</f>
        <v>9.3343689428238097</v>
      </c>
      <c r="I29" s="131">
        <f>IF(SER_hh_tesh_in!I29=0,0,SER_hh_tesh_in!I29/SER_summary!I$27)</f>
        <v>9.2375239920425436</v>
      </c>
      <c r="J29" s="131">
        <f>IF(SER_hh_tesh_in!J29=0,0,SER_hh_tesh_in!J29/SER_summary!J$27)</f>
        <v>9.3193485998149175</v>
      </c>
      <c r="K29" s="131">
        <f>IF(SER_hh_tesh_in!K29=0,0,SER_hh_tesh_in!K29/SER_summary!K$27)</f>
        <v>9.3139280147137153</v>
      </c>
      <c r="L29" s="131">
        <f>IF(SER_hh_tesh_in!L29=0,0,SER_hh_tesh_in!L29/SER_summary!L$27)</f>
        <v>9.3088719431651743</v>
      </c>
      <c r="M29" s="131">
        <f>IF(SER_hh_tesh_in!M29=0,0,SER_hh_tesh_in!M29/SER_summary!M$27)</f>
        <v>9.4439072441283347</v>
      </c>
      <c r="N29" s="131">
        <f>IF(SER_hh_tesh_in!N29=0,0,SER_hh_tesh_in!N29/SER_summary!N$27)</f>
        <v>9.6765865550048087</v>
      </c>
      <c r="O29" s="131">
        <f>IF(SER_hh_tesh_in!O29=0,0,SER_hh_tesh_in!O29/SER_summary!O$27)</f>
        <v>9.705391843231018</v>
      </c>
      <c r="P29" s="131">
        <f>IF(SER_hh_tesh_in!P29=0,0,SER_hh_tesh_in!P29/SER_summary!P$27)</f>
        <v>9.5750229685872057</v>
      </c>
      <c r="Q29" s="131">
        <f>IF(SER_hh_tesh_in!Q29=0,0,SER_hh_tesh_in!Q29/SER_summary!Q$27)</f>
        <v>9.8314951555002068</v>
      </c>
      <c r="R29" s="131">
        <f>IF(SER_hh_tesh_in!R29=0,0,SER_hh_tesh_in!R29/SER_summary!R$27)</f>
        <v>9.9604814547889706</v>
      </c>
      <c r="S29" s="131">
        <f>IF(SER_hh_tesh_in!S29=0,0,SER_hh_tesh_in!S29/SER_summary!S$27)</f>
        <v>9.9557503271825372</v>
      </c>
      <c r="T29" s="131">
        <f>IF(SER_hh_tesh_in!T29=0,0,SER_hh_tesh_in!T29/SER_summary!T$27)</f>
        <v>9.8978411876314105</v>
      </c>
      <c r="U29" s="131">
        <f>IF(SER_hh_tesh_in!U29=0,0,SER_hh_tesh_in!U29/SER_summary!U$27)</f>
        <v>9.9247320323029129</v>
      </c>
      <c r="V29" s="131">
        <f>IF(SER_hh_tesh_in!V29=0,0,SER_hh_tesh_in!V29/SER_summary!V$27)</f>
        <v>9.0397421112038909</v>
      </c>
      <c r="W29" s="131">
        <f>IF(SER_hh_tesh_in!W29=0,0,SER_hh_tesh_in!W29/SER_summary!W$27)</f>
        <v>9.3954207568946586</v>
      </c>
      <c r="DA29" s="156" t="s">
        <v>872</v>
      </c>
    </row>
    <row r="30" spans="1:105" s="2" customFormat="1" ht="12" customHeight="1" x14ac:dyDescent="0.25">
      <c r="A30" s="132" t="s">
        <v>52</v>
      </c>
      <c r="B30" s="133"/>
      <c r="C30" s="133">
        <f>IF(SER_hh_tesh_in!C30=0,0,SER_hh_tesh_in!C30/SER_summary!C$27)</f>
        <v>8.8497360344680125</v>
      </c>
      <c r="D30" s="133">
        <f>IF(SER_hh_tesh_in!D30=0,0,SER_hh_tesh_in!D30/SER_summary!D$27)</f>
        <v>7.9170508316098669</v>
      </c>
      <c r="E30" s="133">
        <f>IF(SER_hh_tesh_in!E30=0,0,SER_hh_tesh_in!E30/SER_summary!E$27)</f>
        <v>8.8755425768463549</v>
      </c>
      <c r="F30" s="133">
        <f>IF(SER_hh_tesh_in!F30=0,0,SER_hh_tesh_in!F30/SER_summary!F$27)</f>
        <v>9.3808906652561532</v>
      </c>
      <c r="G30" s="133">
        <f>IF(SER_hh_tesh_in!G30=0,0,SER_hh_tesh_in!G30/SER_summary!G$27)</f>
        <v>9.8924270435224031</v>
      </c>
      <c r="H30" s="133">
        <f>IF(SER_hh_tesh_in!H30=0,0,SER_hh_tesh_in!H30/SER_summary!H$27)</f>
        <v>9.4340092966111566</v>
      </c>
      <c r="I30" s="133">
        <f>IF(SER_hh_tesh_in!I30=0,0,SER_hh_tesh_in!I30/SER_summary!I$27)</f>
        <v>9.2752869064065315</v>
      </c>
      <c r="J30" s="133">
        <f>IF(SER_hh_tesh_in!J30=0,0,SER_hh_tesh_in!J30/SER_summary!J$27)</f>
        <v>8.998372239736387</v>
      </c>
      <c r="K30" s="133">
        <f>IF(SER_hh_tesh_in!K30=0,0,SER_hh_tesh_in!K30/SER_summary!K$27)</f>
        <v>8.602424794716601</v>
      </c>
      <c r="L30" s="133">
        <f>IF(SER_hh_tesh_in!L30=0,0,SER_hh_tesh_in!L30/SER_summary!L$27)</f>
        <v>10.708012396040539</v>
      </c>
      <c r="M30" s="133">
        <f>IF(SER_hh_tesh_in!M30=0,0,SER_hh_tesh_in!M30/SER_summary!M$27)</f>
        <v>9.6003837749126006</v>
      </c>
      <c r="N30" s="133">
        <f>IF(SER_hh_tesh_in!N30=0,0,SER_hh_tesh_in!N30/SER_summary!N$27)</f>
        <v>0</v>
      </c>
      <c r="O30" s="133">
        <f>IF(SER_hh_tesh_in!O30=0,0,SER_hh_tesh_in!O30/SER_summary!O$27)</f>
        <v>10.691279734109129</v>
      </c>
      <c r="P30" s="133">
        <f>IF(SER_hh_tesh_in!P30=0,0,SER_hh_tesh_in!P30/SER_summary!P$27)</f>
        <v>5.7754979551521517</v>
      </c>
      <c r="Q30" s="133">
        <f>IF(SER_hh_tesh_in!Q30=0,0,SER_hh_tesh_in!Q30/SER_summary!Q$27)</f>
        <v>10.930143092986722</v>
      </c>
      <c r="R30" s="133">
        <f>IF(SER_hh_tesh_in!R30=0,0,SER_hh_tesh_in!R30/SER_summary!R$27)</f>
        <v>10.568394945053283</v>
      </c>
      <c r="S30" s="133">
        <f>IF(SER_hh_tesh_in!S30=0,0,SER_hh_tesh_in!S30/SER_summary!S$27)</f>
        <v>9.8921461180263108</v>
      </c>
      <c r="T30" s="133">
        <f>IF(SER_hh_tesh_in!T30=0,0,SER_hh_tesh_in!T30/SER_summary!T$27)</f>
        <v>10.108546017584315</v>
      </c>
      <c r="U30" s="133">
        <f>IF(SER_hh_tesh_in!U30=0,0,SER_hh_tesh_in!U30/SER_summary!U$27)</f>
        <v>10.052506523010097</v>
      </c>
      <c r="V30" s="133">
        <f>IF(SER_hh_tesh_in!V30=0,0,SER_hh_tesh_in!V30/SER_summary!V$27)</f>
        <v>8.7530235345212262</v>
      </c>
      <c r="W30" s="133">
        <f>IF(SER_hh_tesh_in!W30=0,0,SER_hh_tesh_in!W30/SER_summary!W$27)</f>
        <v>9.5098966277046646</v>
      </c>
      <c r="DA30" s="157" t="s">
        <v>873</v>
      </c>
    </row>
    <row r="31" spans="1:105" ht="12" customHeight="1" x14ac:dyDescent="0.25">
      <c r="A31" s="132" t="s">
        <v>153</v>
      </c>
      <c r="B31" s="133"/>
      <c r="C31" s="133">
        <f>IF(SER_hh_tesh_in!C31=0,0,SER_hh_tesh_in!C31/SER_summary!C$27)</f>
        <v>8.8236144895874471</v>
      </c>
      <c r="D31" s="133">
        <f>IF(SER_hh_tesh_in!D31=0,0,SER_hh_tesh_in!D31/SER_summary!D$27)</f>
        <v>8.913429197844092</v>
      </c>
      <c r="E31" s="133">
        <f>IF(SER_hh_tesh_in!E31=0,0,SER_hh_tesh_in!E31/SER_summary!E$27)</f>
        <v>9.0474275199014205</v>
      </c>
      <c r="F31" s="133">
        <f>IF(SER_hh_tesh_in!F31=0,0,SER_hh_tesh_in!F31/SER_summary!F$27)</f>
        <v>8.9571838847153931</v>
      </c>
      <c r="G31" s="133">
        <f>IF(SER_hh_tesh_in!G31=0,0,SER_hh_tesh_in!G31/SER_summary!G$27)</f>
        <v>9.3999081564384213</v>
      </c>
      <c r="H31" s="133">
        <f>IF(SER_hh_tesh_in!H31=0,0,SER_hh_tesh_in!H31/SER_summary!H$27)</f>
        <v>9.3899681439684581</v>
      </c>
      <c r="I31" s="133">
        <f>IF(SER_hh_tesh_in!I31=0,0,SER_hh_tesh_in!I31/SER_summary!I$27)</f>
        <v>9.2809411868881284</v>
      </c>
      <c r="J31" s="133">
        <f>IF(SER_hh_tesh_in!J31=0,0,SER_hh_tesh_in!J31/SER_summary!J$27)</f>
        <v>9.2759692616222136</v>
      </c>
      <c r="K31" s="133">
        <f>IF(SER_hh_tesh_in!K31=0,0,SER_hh_tesh_in!K31/SER_summary!K$27)</f>
        <v>9.4118418139019493</v>
      </c>
      <c r="L31" s="133">
        <f>IF(SER_hh_tesh_in!L31=0,0,SER_hh_tesh_in!L31/SER_summary!L$27)</f>
        <v>9.4663459171989306</v>
      </c>
      <c r="M31" s="133">
        <f>IF(SER_hh_tesh_in!M31=0,0,SER_hh_tesh_in!M31/SER_summary!M$27)</f>
        <v>9.4576695803169031</v>
      </c>
      <c r="N31" s="133">
        <f>IF(SER_hh_tesh_in!N31=0,0,SER_hh_tesh_in!N31/SER_summary!N$27)</f>
        <v>9.6037551888802533</v>
      </c>
      <c r="O31" s="133">
        <f>IF(SER_hh_tesh_in!O31=0,0,SER_hh_tesh_in!O31/SER_summary!O$27)</f>
        <v>9.5987488752652403</v>
      </c>
      <c r="P31" s="133">
        <f>IF(SER_hh_tesh_in!P31=0,0,SER_hh_tesh_in!P31/SER_summary!P$27)</f>
        <v>9.2306660183207878</v>
      </c>
      <c r="Q31" s="133">
        <f>IF(SER_hh_tesh_in!Q31=0,0,SER_hh_tesh_in!Q31/SER_summary!Q$27)</f>
        <v>10.247822918165992</v>
      </c>
      <c r="R31" s="133">
        <f>IF(SER_hh_tesh_in!R31=0,0,SER_hh_tesh_in!R31/SER_summary!R$27)</f>
        <v>10.113638464787446</v>
      </c>
      <c r="S31" s="133">
        <f>IF(SER_hh_tesh_in!S31=0,0,SER_hh_tesh_in!S31/SER_summary!S$27)</f>
        <v>9.2930334616351864</v>
      </c>
      <c r="T31" s="133">
        <f>IF(SER_hh_tesh_in!T31=0,0,SER_hh_tesh_in!T31/SER_summary!T$27)</f>
        <v>10.063437357250809</v>
      </c>
      <c r="U31" s="133">
        <f>IF(SER_hh_tesh_in!U31=0,0,SER_hh_tesh_in!U31/SER_summary!U$27)</f>
        <v>11.07183781495705</v>
      </c>
      <c r="V31" s="133">
        <f>IF(SER_hh_tesh_in!V31=0,0,SER_hh_tesh_in!V31/SER_summary!V$27)</f>
        <v>6.7833055236188313</v>
      </c>
      <c r="W31" s="133">
        <f>IF(SER_hh_tesh_in!W31=0,0,SER_hh_tesh_in!W31/SER_summary!W$27)</f>
        <v>10.605051146642792</v>
      </c>
      <c r="DA31" s="157" t="s">
        <v>874</v>
      </c>
    </row>
    <row r="32" spans="1:105" ht="12" customHeight="1" x14ac:dyDescent="0.25">
      <c r="A32" s="132" t="s">
        <v>128</v>
      </c>
      <c r="B32" s="133"/>
      <c r="C32" s="133">
        <f>IF(SER_hh_tesh_in!C32=0,0,SER_hh_tesh_in!C32/SER_summary!C$27)</f>
        <v>0</v>
      </c>
      <c r="D32" s="133">
        <f>IF(SER_hh_tesh_in!D32=0,0,SER_hh_tesh_in!D32/SER_summary!D$27)</f>
        <v>0</v>
      </c>
      <c r="E32" s="133">
        <f>IF(SER_hh_tesh_in!E32=0,0,SER_hh_tesh_in!E32/SER_summary!E$27)</f>
        <v>0</v>
      </c>
      <c r="F32" s="133">
        <f>IF(SER_hh_tesh_in!F32=0,0,SER_hh_tesh_in!F32/SER_summary!F$27)</f>
        <v>0</v>
      </c>
      <c r="G32" s="133">
        <f>IF(SER_hh_tesh_in!G32=0,0,SER_hh_tesh_in!G32/SER_summary!G$27)</f>
        <v>0</v>
      </c>
      <c r="H32" s="133">
        <f>IF(SER_hh_tesh_in!H32=0,0,SER_hh_tesh_in!H32/SER_summary!H$27)</f>
        <v>0</v>
      </c>
      <c r="I32" s="133">
        <f>IF(SER_hh_tesh_in!I32=0,0,SER_hh_tesh_in!I32/SER_summary!I$27)</f>
        <v>0</v>
      </c>
      <c r="J32" s="133">
        <f>IF(SER_hh_tesh_in!J32=0,0,SER_hh_tesh_in!J32/SER_summary!J$27)</f>
        <v>0</v>
      </c>
      <c r="K32" s="133">
        <f>IF(SER_hh_tesh_in!K32=0,0,SER_hh_tesh_in!K32/SER_summary!K$27)</f>
        <v>0</v>
      </c>
      <c r="L32" s="133">
        <f>IF(SER_hh_tesh_in!L32=0,0,SER_hh_tesh_in!L32/SER_summary!L$27)</f>
        <v>0</v>
      </c>
      <c r="M32" s="133">
        <f>IF(SER_hh_tesh_in!M32=0,0,SER_hh_tesh_in!M32/SER_summary!M$27)</f>
        <v>0</v>
      </c>
      <c r="N32" s="133">
        <f>IF(SER_hh_tesh_in!N32=0,0,SER_hh_tesh_in!N32/SER_summary!N$27)</f>
        <v>0</v>
      </c>
      <c r="O32" s="133">
        <f>IF(SER_hh_tesh_in!O32=0,0,SER_hh_tesh_in!O32/SER_summary!O$27)</f>
        <v>0</v>
      </c>
      <c r="P32" s="133">
        <f>IF(SER_hh_tesh_in!P32=0,0,SER_hh_tesh_in!P32/SER_summary!P$27)</f>
        <v>0</v>
      </c>
      <c r="Q32" s="133">
        <f>IF(SER_hh_tesh_in!Q32=0,0,SER_hh_tesh_in!Q32/SER_summary!Q$27)</f>
        <v>0</v>
      </c>
      <c r="R32" s="133">
        <f>IF(SER_hh_tesh_in!R32=0,0,SER_hh_tesh_in!R32/SER_summary!R$27)</f>
        <v>0</v>
      </c>
      <c r="S32" s="133">
        <f>IF(SER_hh_tesh_in!S32=0,0,SER_hh_tesh_in!S32/SER_summary!S$27)</f>
        <v>0</v>
      </c>
      <c r="T32" s="133">
        <f>IF(SER_hh_tesh_in!T32=0,0,SER_hh_tesh_in!T32/SER_summary!T$27)</f>
        <v>0</v>
      </c>
      <c r="U32" s="133">
        <f>IF(SER_hh_tesh_in!U32=0,0,SER_hh_tesh_in!U32/SER_summary!U$27)</f>
        <v>0</v>
      </c>
      <c r="V32" s="133">
        <f>IF(SER_hh_tesh_in!V32=0,0,SER_hh_tesh_in!V32/SER_summary!V$27)</f>
        <v>0</v>
      </c>
      <c r="W32" s="133">
        <f>IF(SER_hh_tesh_in!W32=0,0,SER_hh_tesh_in!W32/SER_summary!W$27)</f>
        <v>0</v>
      </c>
      <c r="DA32" s="157" t="s">
        <v>875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8.8567216064085681</v>
      </c>
      <c r="D33" s="68">
        <f>IF(SER_hh_tesh_in!D33=0,0,SER_hh_tesh_in!D33/SER_summary!D$27)</f>
        <v>8.9273963212016572</v>
      </c>
      <c r="E33" s="68">
        <f>IF(SER_hh_tesh_in!E33=0,0,SER_hh_tesh_in!E33/SER_summary!E$27)</f>
        <v>9.136106504974336</v>
      </c>
      <c r="F33" s="68">
        <f>IF(SER_hh_tesh_in!F33=0,0,SER_hh_tesh_in!F33/SER_summary!F$27)</f>
        <v>9.2813613335180758</v>
      </c>
      <c r="G33" s="68">
        <f>IF(SER_hh_tesh_in!G33=0,0,SER_hh_tesh_in!G33/SER_summary!G$27)</f>
        <v>9.1264396844729685</v>
      </c>
      <c r="H33" s="68">
        <f>IF(SER_hh_tesh_in!H33=0,0,SER_hh_tesh_in!H33/SER_summary!H$27)</f>
        <v>9.316573276130482</v>
      </c>
      <c r="I33" s="68">
        <f>IF(SER_hh_tesh_in!I33=0,0,SER_hh_tesh_in!I33/SER_summary!I$27)</f>
        <v>9.2274020378246711</v>
      </c>
      <c r="J33" s="68">
        <f>IF(SER_hh_tesh_in!J33=0,0,SER_hh_tesh_in!J33/SER_summary!J$27)</f>
        <v>9.341685282792259</v>
      </c>
      <c r="K33" s="68">
        <f>IF(SER_hh_tesh_in!K33=0,0,SER_hh_tesh_in!K33/SER_summary!K$27)</f>
        <v>9.3257206372975059</v>
      </c>
      <c r="L33" s="68">
        <f>IF(SER_hh_tesh_in!L33=0,0,SER_hh_tesh_in!L33/SER_summary!L$27)</f>
        <v>9.199658754367773</v>
      </c>
      <c r="M33" s="68">
        <f>IF(SER_hh_tesh_in!M33=0,0,SER_hh_tesh_in!M33/SER_summary!M$27)</f>
        <v>9.4383639701713271</v>
      </c>
      <c r="N33" s="68">
        <f>IF(SER_hh_tesh_in!N33=0,0,SER_hh_tesh_in!N33/SER_summary!N$27)</f>
        <v>9.6858931941980817</v>
      </c>
      <c r="O33" s="68">
        <f>IF(SER_hh_tesh_in!O33=0,0,SER_hh_tesh_in!O33/SER_summary!O$27)</f>
        <v>9.6869124098231119</v>
      </c>
      <c r="P33" s="68">
        <f>IF(SER_hh_tesh_in!P33=0,0,SER_hh_tesh_in!P33/SER_summary!P$27)</f>
        <v>9.9466700052891461</v>
      </c>
      <c r="Q33" s="68">
        <f>IF(SER_hh_tesh_in!Q33=0,0,SER_hh_tesh_in!Q33/SER_summary!Q$27)</f>
        <v>9.5987531331311526</v>
      </c>
      <c r="R33" s="68">
        <f>IF(SER_hh_tesh_in!R33=0,0,SER_hh_tesh_in!R33/SER_summary!R$27)</f>
        <v>9.8684199889468225</v>
      </c>
      <c r="S33" s="68">
        <f>IF(SER_hh_tesh_in!S33=0,0,SER_hh_tesh_in!S33/SER_summary!S$27)</f>
        <v>10.108502131799751</v>
      </c>
      <c r="T33" s="68">
        <f>IF(SER_hh_tesh_in!T33=0,0,SER_hh_tesh_in!T33/SER_summary!T$27)</f>
        <v>9.855295457247486</v>
      </c>
      <c r="U33" s="68">
        <f>IF(SER_hh_tesh_in!U33=0,0,SER_hh_tesh_in!U33/SER_summary!U$27)</f>
        <v>9.6464300477474545</v>
      </c>
      <c r="V33" s="68">
        <f>IF(SER_hh_tesh_in!V33=0,0,SER_hh_tesh_in!V33/SER_summary!V$27)</f>
        <v>9.4392451255595837</v>
      </c>
      <c r="W33" s="68">
        <f>IF(SER_hh_tesh_in!W33=0,0,SER_hh_tesh_in!W33/SER_summary!W$27)</f>
        <v>9.1568300662485793</v>
      </c>
      <c r="DA33" s="111" t="s">
        <v>876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/>
      <c r="C3" s="126">
        <f>IF(SER_hh_emih_in!C3=0,0,SER_hh_emih_in!C3/SER_summary!C$27)</f>
        <v>4.4887112957682813</v>
      </c>
      <c r="D3" s="126">
        <f>IF(SER_hh_emih_in!D3=0,0,SER_hh_emih_in!D3/SER_summary!D$27)</f>
        <v>7.9138675606515614</v>
      </c>
      <c r="E3" s="126">
        <f>IF(SER_hh_emih_in!E3=0,0,SER_hh_emih_in!E3/SER_summary!E$27)</f>
        <v>9.2804396037704961</v>
      </c>
      <c r="F3" s="126">
        <f>IF(SER_hh_emih_in!F3=0,0,SER_hh_emih_in!F3/SER_summary!F$27)</f>
        <v>8.4641061493451168</v>
      </c>
      <c r="G3" s="126">
        <f>IF(SER_hh_emih_in!G3=0,0,SER_hh_emih_in!G3/SER_summary!G$27)</f>
        <v>6.974190449706291</v>
      </c>
      <c r="H3" s="126">
        <f>IF(SER_hh_emih_in!H3=0,0,SER_hh_emih_in!H3/SER_summary!H$27)</f>
        <v>5.8284065256549615</v>
      </c>
      <c r="I3" s="126">
        <f>IF(SER_hh_emih_in!I3=0,0,SER_hh_emih_in!I3/SER_summary!I$27)</f>
        <v>3.7684632240886482</v>
      </c>
      <c r="J3" s="126">
        <f>IF(SER_hh_emih_in!J3=0,0,SER_hh_emih_in!J3/SER_summary!J$27)</f>
        <v>4.4252963877017972</v>
      </c>
      <c r="K3" s="126">
        <f>IF(SER_hh_emih_in!K3=0,0,SER_hh_emih_in!K3/SER_summary!K$27)</f>
        <v>3.43745948996827</v>
      </c>
      <c r="L3" s="126">
        <f>IF(SER_hh_emih_in!L3=0,0,SER_hh_emih_in!L3/SER_summary!L$27)</f>
        <v>2.7992230418513637</v>
      </c>
      <c r="M3" s="126">
        <f>IF(SER_hh_emih_in!M3=0,0,SER_hh_emih_in!M3/SER_summary!M$27)</f>
        <v>3.1615667063281991</v>
      </c>
      <c r="N3" s="126">
        <f>IF(SER_hh_emih_in!N3=0,0,SER_hh_emih_in!N3/SER_summary!N$27)</f>
        <v>5.253069465461607</v>
      </c>
      <c r="O3" s="126">
        <f>IF(SER_hh_emih_in!O3=0,0,SER_hh_emih_in!O3/SER_summary!O$27)</f>
        <v>5.2621671160887873</v>
      </c>
      <c r="P3" s="126">
        <f>IF(SER_hh_emih_in!P3=0,0,SER_hh_emih_in!P3/SER_summary!P$27)</f>
        <v>3.2137738430527634</v>
      </c>
      <c r="Q3" s="126">
        <f>IF(SER_hh_emih_in!Q3=0,0,SER_hh_emih_in!Q3/SER_summary!Q$27)</f>
        <v>5.7115431967563879</v>
      </c>
      <c r="R3" s="126">
        <f>IF(SER_hh_emih_in!R3=0,0,SER_hh_emih_in!R3/SER_summary!R$27)</f>
        <v>4.6226730005858716</v>
      </c>
      <c r="S3" s="126">
        <f>IF(SER_hh_emih_in!S3=0,0,SER_hh_emih_in!S3/SER_summary!S$27)</f>
        <v>4.2833918106472373</v>
      </c>
      <c r="T3" s="126">
        <f>IF(SER_hh_emih_in!T3=0,0,SER_hh_emih_in!T3/SER_summary!T$27)</f>
        <v>3.1862497332788804</v>
      </c>
      <c r="U3" s="126">
        <f>IF(SER_hh_emih_in!U3=0,0,SER_hh_emih_in!U3/SER_summary!U$27)</f>
        <v>4.0978388329627364</v>
      </c>
      <c r="V3" s="126">
        <f>IF(SER_hh_emih_in!V3=0,0,SER_hh_emih_in!V3/SER_summary!V$27)</f>
        <v>3.4593199115031981</v>
      </c>
      <c r="W3" s="126">
        <f>IF(SER_hh_emih_in!W3=0,0,SER_hh_emih_in!W3/SER_summary!W$27)</f>
        <v>3.1809983312967947</v>
      </c>
      <c r="DA3" s="155" t="s">
        <v>878</v>
      </c>
    </row>
    <row r="4" spans="1:105" ht="12.95" customHeight="1" x14ac:dyDescent="0.25">
      <c r="A4" s="130" t="s">
        <v>32</v>
      </c>
      <c r="B4" s="131"/>
      <c r="C4" s="131">
        <f>IF(SER_hh_emih_in!C4=0,0,SER_hh_emih_in!C4/SER_summary!C$27)</f>
        <v>3.40870848385517</v>
      </c>
      <c r="D4" s="131">
        <f>IF(SER_hh_emih_in!D4=0,0,SER_hh_emih_in!D4/SER_summary!D$27)</f>
        <v>6.5452416917905696</v>
      </c>
      <c r="E4" s="131">
        <f>IF(SER_hh_emih_in!E4=0,0,SER_hh_emih_in!E4/SER_summary!E$27)</f>
        <v>7.6575355630236821</v>
      </c>
      <c r="F4" s="131">
        <f>IF(SER_hh_emih_in!F4=0,0,SER_hh_emih_in!F4/SER_summary!F$27)</f>
        <v>6.897331460331853</v>
      </c>
      <c r="G4" s="131">
        <f>IF(SER_hh_emih_in!G4=0,0,SER_hh_emih_in!G4/SER_summary!G$27)</f>
        <v>5.3651545298901322</v>
      </c>
      <c r="H4" s="131">
        <f>IF(SER_hh_emih_in!H4=0,0,SER_hh_emih_in!H4/SER_summary!H$27)</f>
        <v>4.5490024131731435</v>
      </c>
      <c r="I4" s="131">
        <f>IF(SER_hh_emih_in!I4=0,0,SER_hh_emih_in!I4/SER_summary!I$27)</f>
        <v>2.7363569755752888</v>
      </c>
      <c r="J4" s="131">
        <f>IF(SER_hh_emih_in!J4=0,0,SER_hh_emih_in!J4/SER_summary!J$27)</f>
        <v>3.2597330875621076</v>
      </c>
      <c r="K4" s="131">
        <f>IF(SER_hh_emih_in!K4=0,0,SER_hh_emih_in!K4/SER_summary!K$27)</f>
        <v>2.414465315858576</v>
      </c>
      <c r="L4" s="131">
        <f>IF(SER_hh_emih_in!L4=0,0,SER_hh_emih_in!L4/SER_summary!L$27)</f>
        <v>1.8777038700182977</v>
      </c>
      <c r="M4" s="131">
        <f>IF(SER_hh_emih_in!M4=0,0,SER_hh_emih_in!M4/SER_summary!M$27)</f>
        <v>2.5730483802901305</v>
      </c>
      <c r="N4" s="131">
        <f>IF(SER_hh_emih_in!N4=0,0,SER_hh_emih_in!N4/SER_summary!N$27)</f>
        <v>4.5586588418369072</v>
      </c>
      <c r="O4" s="131">
        <f>IF(SER_hh_emih_in!O4=0,0,SER_hh_emih_in!O4/SER_summary!O$27)</f>
        <v>4.2470096035237423</v>
      </c>
      <c r="P4" s="131">
        <f>IF(SER_hh_emih_in!P4=0,0,SER_hh_emih_in!P4/SER_summary!P$27)</f>
        <v>2.1589811817568885</v>
      </c>
      <c r="Q4" s="131">
        <f>IF(SER_hh_emih_in!Q4=0,0,SER_hh_emih_in!Q4/SER_summary!Q$27)</f>
        <v>3.9636952152114606</v>
      </c>
      <c r="R4" s="131">
        <f>IF(SER_hh_emih_in!R4=0,0,SER_hh_emih_in!R4/SER_summary!R$27)</f>
        <v>3.1370079188439743</v>
      </c>
      <c r="S4" s="131">
        <f>IF(SER_hh_emih_in!S4=0,0,SER_hh_emih_in!S4/SER_summary!S$27)</f>
        <v>2.9749655554046228</v>
      </c>
      <c r="T4" s="131">
        <f>IF(SER_hh_emih_in!T4=0,0,SER_hh_emih_in!T4/SER_summary!T$27)</f>
        <v>2.1436023432294076</v>
      </c>
      <c r="U4" s="131">
        <f>IF(SER_hh_emih_in!U4=0,0,SER_hh_emih_in!U4/SER_summary!U$27)</f>
        <v>2.9482532455246298</v>
      </c>
      <c r="V4" s="131">
        <f>IF(SER_hh_emih_in!V4=0,0,SER_hh_emih_in!V4/SER_summary!V$27)</f>
        <v>2.8047392390825712</v>
      </c>
      <c r="W4" s="131">
        <f>IF(SER_hh_emih_in!W4=0,0,SER_hh_emih_in!W4/SER_summary!W$27)</f>
        <v>2.2747263375859395</v>
      </c>
      <c r="DA4" s="156" t="s">
        <v>879</v>
      </c>
    </row>
    <row r="5" spans="1:105" ht="12" customHeight="1" x14ac:dyDescent="0.25">
      <c r="A5" s="132" t="s">
        <v>29</v>
      </c>
      <c r="B5" s="133"/>
      <c r="C5" s="133">
        <f>IF(SER_hh_emih_in!C5=0,0,SER_hh_emih_in!C5/SER_summary!C$27)</f>
        <v>0</v>
      </c>
      <c r="D5" s="133">
        <f>IF(SER_hh_emih_in!D5=0,0,SER_hh_emih_in!D5/SER_summary!D$27)</f>
        <v>0</v>
      </c>
      <c r="E5" s="133">
        <f>IF(SER_hh_emih_in!E5=0,0,SER_hh_emih_in!E5/SER_summary!E$27)</f>
        <v>0</v>
      </c>
      <c r="F5" s="133">
        <f>IF(SER_hh_emih_in!F5=0,0,SER_hh_emih_in!F5/SER_summary!F$27)</f>
        <v>0</v>
      </c>
      <c r="G5" s="133">
        <f>IF(SER_hh_emih_in!G5=0,0,SER_hh_emih_in!G5/SER_summary!G$27)</f>
        <v>0</v>
      </c>
      <c r="H5" s="133">
        <f>IF(SER_hh_emih_in!H5=0,0,SER_hh_emih_in!H5/SER_summary!H$27)</f>
        <v>0</v>
      </c>
      <c r="I5" s="133">
        <f>IF(SER_hh_emih_in!I5=0,0,SER_hh_emih_in!I5/SER_summary!I$27)</f>
        <v>0</v>
      </c>
      <c r="J5" s="133">
        <f>IF(SER_hh_emih_in!J5=0,0,SER_hh_emih_in!J5/SER_summary!J$27)</f>
        <v>0</v>
      </c>
      <c r="K5" s="133">
        <f>IF(SER_hh_emih_in!K5=0,0,SER_hh_emih_in!K5/SER_summary!K$27)</f>
        <v>0</v>
      </c>
      <c r="L5" s="133">
        <f>IF(SER_hh_emih_in!L5=0,0,SER_hh_emih_in!L5/SER_summary!L$27)</f>
        <v>0</v>
      </c>
      <c r="M5" s="133">
        <f>IF(SER_hh_emih_in!M5=0,0,SER_hh_emih_in!M5/SER_summary!M$27)</f>
        <v>0</v>
      </c>
      <c r="N5" s="133">
        <f>IF(SER_hh_emih_in!N5=0,0,SER_hh_emih_in!N5/SER_summary!N$27)</f>
        <v>0</v>
      </c>
      <c r="O5" s="133">
        <f>IF(SER_hh_emih_in!O5=0,0,SER_hh_emih_in!O5/SER_summary!O$27)</f>
        <v>0</v>
      </c>
      <c r="P5" s="133">
        <f>IF(SER_hh_emih_in!P5=0,0,SER_hh_emih_in!P5/SER_summary!P$27)</f>
        <v>0</v>
      </c>
      <c r="Q5" s="133">
        <f>IF(SER_hh_emih_in!Q5=0,0,SER_hh_emih_in!Q5/SER_summary!Q$27)</f>
        <v>0</v>
      </c>
      <c r="R5" s="133">
        <f>IF(SER_hh_emih_in!R5=0,0,SER_hh_emih_in!R5/SER_summary!R$27)</f>
        <v>0</v>
      </c>
      <c r="S5" s="133">
        <f>IF(SER_hh_emih_in!S5=0,0,SER_hh_emih_in!S5/SER_summary!S$27)</f>
        <v>0</v>
      </c>
      <c r="T5" s="133">
        <f>IF(SER_hh_emih_in!T5=0,0,SER_hh_emih_in!T5/SER_summary!T$27)</f>
        <v>0</v>
      </c>
      <c r="U5" s="133">
        <f>IF(SER_hh_emih_in!U5=0,0,SER_hh_emih_in!U5/SER_summary!U$27)</f>
        <v>0</v>
      </c>
      <c r="V5" s="133">
        <f>IF(SER_hh_emih_in!V5=0,0,SER_hh_emih_in!V5/SER_summary!V$27)</f>
        <v>0</v>
      </c>
      <c r="W5" s="133">
        <f>IF(SER_hh_emih_in!W5=0,0,SER_hh_emih_in!W5/SER_summary!W$27)</f>
        <v>0</v>
      </c>
      <c r="DA5" s="157" t="s">
        <v>880</v>
      </c>
    </row>
    <row r="6" spans="1:105" ht="12" customHeight="1" x14ac:dyDescent="0.25">
      <c r="A6" s="132" t="s">
        <v>52</v>
      </c>
      <c r="B6" s="133"/>
      <c r="C6" s="133">
        <f>IF(SER_hh_emih_in!C6=0,0,SER_hh_emih_in!C6/SER_summary!C$27)</f>
        <v>0</v>
      </c>
      <c r="D6" s="133">
        <f>IF(SER_hh_emih_in!D6=0,0,SER_hh_emih_in!D6/SER_summary!D$27)</f>
        <v>0</v>
      </c>
      <c r="E6" s="133">
        <f>IF(SER_hh_emih_in!E6=0,0,SER_hh_emih_in!E6/SER_summary!E$27)</f>
        <v>0</v>
      </c>
      <c r="F6" s="133">
        <f>IF(SER_hh_emih_in!F6=0,0,SER_hh_emih_in!F6/SER_summary!F$27)</f>
        <v>0</v>
      </c>
      <c r="G6" s="133">
        <f>IF(SER_hh_emih_in!G6=0,0,SER_hh_emih_in!G6/SER_summary!G$27)</f>
        <v>0</v>
      </c>
      <c r="H6" s="133">
        <f>IF(SER_hh_emih_in!H6=0,0,SER_hh_emih_in!H6/SER_summary!H$27)</f>
        <v>0</v>
      </c>
      <c r="I6" s="133">
        <f>IF(SER_hh_emih_in!I6=0,0,SER_hh_emih_in!I6/SER_summary!I$27)</f>
        <v>0</v>
      </c>
      <c r="J6" s="133">
        <f>IF(SER_hh_emih_in!J6=0,0,SER_hh_emih_in!J6/SER_summary!J$27)</f>
        <v>0</v>
      </c>
      <c r="K6" s="133">
        <f>IF(SER_hh_emih_in!K6=0,0,SER_hh_emih_in!K6/SER_summary!K$27)</f>
        <v>0</v>
      </c>
      <c r="L6" s="133">
        <f>IF(SER_hh_emih_in!L6=0,0,SER_hh_emih_in!L6/SER_summary!L$27)</f>
        <v>0</v>
      </c>
      <c r="M6" s="133">
        <f>IF(SER_hh_emih_in!M6=0,0,SER_hh_emih_in!M6/SER_summary!M$27)</f>
        <v>0</v>
      </c>
      <c r="N6" s="133">
        <f>IF(SER_hh_emih_in!N6=0,0,SER_hh_emih_in!N6/SER_summary!N$27)</f>
        <v>0</v>
      </c>
      <c r="O6" s="133">
        <f>IF(SER_hh_emih_in!O6=0,0,SER_hh_emih_in!O6/SER_summary!O$27)</f>
        <v>0</v>
      </c>
      <c r="P6" s="133">
        <f>IF(SER_hh_emih_in!P6=0,0,SER_hh_emih_in!P6/SER_summary!P$27)</f>
        <v>0</v>
      </c>
      <c r="Q6" s="133">
        <f>IF(SER_hh_emih_in!Q6=0,0,SER_hh_emih_in!Q6/SER_summary!Q$27)</f>
        <v>0</v>
      </c>
      <c r="R6" s="133">
        <f>IF(SER_hh_emih_in!R6=0,0,SER_hh_emih_in!R6/SER_summary!R$27)</f>
        <v>0</v>
      </c>
      <c r="S6" s="133">
        <f>IF(SER_hh_emih_in!S6=0,0,SER_hh_emih_in!S6/SER_summary!S$27)</f>
        <v>0</v>
      </c>
      <c r="T6" s="133">
        <f>IF(SER_hh_emih_in!T6=0,0,SER_hh_emih_in!T6/SER_summary!T$27)</f>
        <v>0</v>
      </c>
      <c r="U6" s="133">
        <f>IF(SER_hh_emih_in!U6=0,0,SER_hh_emih_in!U6/SER_summary!U$27)</f>
        <v>0</v>
      </c>
      <c r="V6" s="133">
        <f>IF(SER_hh_emih_in!V6=0,0,SER_hh_emih_in!V6/SER_summary!V$27)</f>
        <v>0</v>
      </c>
      <c r="W6" s="133">
        <f>IF(SER_hh_emih_in!W6=0,0,SER_hh_emih_in!W6/SER_summary!W$27)</f>
        <v>0</v>
      </c>
      <c r="DA6" s="157" t="s">
        <v>881</v>
      </c>
    </row>
    <row r="7" spans="1:105" ht="12" customHeight="1" x14ac:dyDescent="0.25">
      <c r="A7" s="132" t="s">
        <v>168</v>
      </c>
      <c r="B7" s="133"/>
      <c r="C7" s="133">
        <f>IF(SER_hh_emih_in!C7=0,0,SER_hh_emih_in!C7/SER_summary!C$27)</f>
        <v>42.050526078687987</v>
      </c>
      <c r="D7" s="133">
        <f>IF(SER_hh_emih_in!D7=0,0,SER_hh_emih_in!D7/SER_summary!D$27)</f>
        <v>39.744937339732694</v>
      </c>
      <c r="E7" s="133">
        <f>IF(SER_hh_emih_in!E7=0,0,SER_hh_emih_in!E7/SER_summary!E$27)</f>
        <v>39.759346934909914</v>
      </c>
      <c r="F7" s="133">
        <f>IF(SER_hh_emih_in!F7=0,0,SER_hh_emih_in!F7/SER_summary!F$27)</f>
        <v>41.232777419058763</v>
      </c>
      <c r="G7" s="133">
        <f>IF(SER_hh_emih_in!G7=0,0,SER_hh_emih_in!G7/SER_summary!G$27)</f>
        <v>37.890664906115212</v>
      </c>
      <c r="H7" s="133">
        <f>IF(SER_hh_emih_in!H7=0,0,SER_hh_emih_in!H7/SER_summary!H$27)</f>
        <v>33.710056970838629</v>
      </c>
      <c r="I7" s="133">
        <f>IF(SER_hh_emih_in!I7=0,0,SER_hh_emih_in!I7/SER_summary!I$27)</f>
        <v>31.347010391679476</v>
      </c>
      <c r="J7" s="133">
        <f>IF(SER_hh_emih_in!J7=0,0,SER_hh_emih_in!J7/SER_summary!J$27)</f>
        <v>32.590870442476707</v>
      </c>
      <c r="K7" s="133">
        <f>IF(SER_hh_emih_in!K7=0,0,SER_hh_emih_in!K7/SER_summary!K$27)</f>
        <v>30.541598828545222</v>
      </c>
      <c r="L7" s="133">
        <f>IF(SER_hh_emih_in!L7=0,0,SER_hh_emih_in!L7/SER_summary!L$27)</f>
        <v>30.049970461378056</v>
      </c>
      <c r="M7" s="133">
        <f>IF(SER_hh_emih_in!M7=0,0,SER_hh_emih_in!M7/SER_summary!M$27)</f>
        <v>23.080111163863698</v>
      </c>
      <c r="N7" s="133">
        <f>IF(SER_hh_emih_in!N7=0,0,SER_hh_emih_in!N7/SER_summary!N$27)</f>
        <v>26.246814455436834</v>
      </c>
      <c r="O7" s="133">
        <f>IF(SER_hh_emih_in!O7=0,0,SER_hh_emih_in!O7/SER_summary!O$27)</f>
        <v>22.493576195047126</v>
      </c>
      <c r="P7" s="133">
        <f>IF(SER_hh_emih_in!P7=0,0,SER_hh_emih_in!P7/SER_summary!P$27)</f>
        <v>18.467617609852372</v>
      </c>
      <c r="Q7" s="133">
        <f>IF(SER_hh_emih_in!Q7=0,0,SER_hh_emih_in!Q7/SER_summary!Q$27)</f>
        <v>18.148529753021549</v>
      </c>
      <c r="R7" s="133">
        <f>IF(SER_hh_emih_in!R7=0,0,SER_hh_emih_in!R7/SER_summary!R$27)</f>
        <v>17.704842591558346</v>
      </c>
      <c r="S7" s="133">
        <f>IF(SER_hh_emih_in!S7=0,0,SER_hh_emih_in!S7/SER_summary!S$27)</f>
        <v>0</v>
      </c>
      <c r="T7" s="133">
        <f>IF(SER_hh_emih_in!T7=0,0,SER_hh_emih_in!T7/SER_summary!T$27)</f>
        <v>18.395405487405473</v>
      </c>
      <c r="U7" s="133">
        <f>IF(SER_hh_emih_in!U7=0,0,SER_hh_emih_in!U7/SER_summary!U$27)</f>
        <v>0</v>
      </c>
      <c r="V7" s="133">
        <f>IF(SER_hh_emih_in!V7=0,0,SER_hh_emih_in!V7/SER_summary!V$27)</f>
        <v>0</v>
      </c>
      <c r="W7" s="133">
        <f>IF(SER_hh_emih_in!W7=0,0,SER_hh_emih_in!W7/SER_summary!W$27)</f>
        <v>0</v>
      </c>
      <c r="DA7" s="157" t="s">
        <v>882</v>
      </c>
    </row>
    <row r="8" spans="1:105" ht="12" customHeight="1" x14ac:dyDescent="0.25">
      <c r="A8" s="132" t="s">
        <v>73</v>
      </c>
      <c r="B8" s="133"/>
      <c r="C8" s="133">
        <f>IF(SER_hh_emih_in!C8=0,0,SER_hh_emih_in!C8/SER_summary!C$27)</f>
        <v>12.004242770895253</v>
      </c>
      <c r="D8" s="133">
        <f>IF(SER_hh_emih_in!D8=0,0,SER_hh_emih_in!D8/SER_summary!D$27)</f>
        <v>10.861621615465502</v>
      </c>
      <c r="E8" s="133">
        <f>IF(SER_hh_emih_in!E8=0,0,SER_hh_emih_in!E8/SER_summary!E$27)</f>
        <v>11.747186220191494</v>
      </c>
      <c r="F8" s="133">
        <f>IF(SER_hh_emih_in!F8=0,0,SER_hh_emih_in!F8/SER_summary!F$27)</f>
        <v>10.842393933740697</v>
      </c>
      <c r="G8" s="133">
        <f>IF(SER_hh_emih_in!G8=0,0,SER_hh_emih_in!G8/SER_summary!G$27)</f>
        <v>8.5907252165467334</v>
      </c>
      <c r="H8" s="133">
        <f>IF(SER_hh_emih_in!H8=0,0,SER_hh_emih_in!H8/SER_summary!H$27)</f>
        <v>4.919426345104748</v>
      </c>
      <c r="I8" s="133">
        <f>IF(SER_hh_emih_in!I8=0,0,SER_hh_emih_in!I8/SER_summary!I$27)</f>
        <v>10.064370867227485</v>
      </c>
      <c r="J8" s="133">
        <f>IF(SER_hh_emih_in!J8=0,0,SER_hh_emih_in!J8/SER_summary!J$27)</f>
        <v>8.0780688467050386</v>
      </c>
      <c r="K8" s="133">
        <f>IF(SER_hh_emih_in!K8=0,0,SER_hh_emih_in!K8/SER_summary!K$27)</f>
        <v>7.3073061796404515</v>
      </c>
      <c r="L8" s="133">
        <f>IF(SER_hh_emih_in!L8=0,0,SER_hh_emih_in!L8/SER_summary!L$27)</f>
        <v>6.6387669993892979</v>
      </c>
      <c r="M8" s="133">
        <f>IF(SER_hh_emih_in!M8=0,0,SER_hh_emih_in!M8/SER_summary!M$27)</f>
        <v>5.9163886572037567</v>
      </c>
      <c r="N8" s="133">
        <f>IF(SER_hh_emih_in!N8=0,0,SER_hh_emih_in!N8/SER_summary!N$27)</f>
        <v>5.2340113722913664</v>
      </c>
      <c r="O8" s="133">
        <f>IF(SER_hh_emih_in!O8=0,0,SER_hh_emih_in!O8/SER_summary!O$27)</f>
        <v>4.338323774607062</v>
      </c>
      <c r="P8" s="133">
        <f>IF(SER_hh_emih_in!P8=0,0,SER_hh_emih_in!P8/SER_summary!P$27)</f>
        <v>4.3762745296975405</v>
      </c>
      <c r="Q8" s="133">
        <f>IF(SER_hh_emih_in!Q8=0,0,SER_hh_emih_in!Q8/SER_summary!Q$27)</f>
        <v>4.4649047672574644</v>
      </c>
      <c r="R8" s="133">
        <f>IF(SER_hh_emih_in!R8=0,0,SER_hh_emih_in!R8/SER_summary!R$27)</f>
        <v>4.1286340308141645</v>
      </c>
      <c r="S8" s="133">
        <f>IF(SER_hh_emih_in!S8=0,0,SER_hh_emih_in!S8/SER_summary!S$27)</f>
        <v>3.7738283461714226</v>
      </c>
      <c r="T8" s="133">
        <f>IF(SER_hh_emih_in!T8=0,0,SER_hh_emih_in!T8/SER_summary!T$27)</f>
        <v>3.5347842543629726</v>
      </c>
      <c r="U8" s="133">
        <f>IF(SER_hh_emih_in!U8=0,0,SER_hh_emih_in!U8/SER_summary!U$27)</f>
        <v>3.2165994824815747</v>
      </c>
      <c r="V8" s="133">
        <f>IF(SER_hh_emih_in!V8=0,0,SER_hh_emih_in!V8/SER_summary!V$27)</f>
        <v>3.2500144379437046</v>
      </c>
      <c r="W8" s="133">
        <f>IF(SER_hh_emih_in!W8=0,0,SER_hh_emih_in!W8/SER_summary!W$27)</f>
        <v>3.3501211623068903</v>
      </c>
      <c r="DA8" s="157" t="s">
        <v>883</v>
      </c>
    </row>
    <row r="9" spans="1:105" ht="12" customHeight="1" x14ac:dyDescent="0.25">
      <c r="A9" s="132" t="s">
        <v>78</v>
      </c>
      <c r="B9" s="133"/>
      <c r="C9" s="133">
        <f>IF(SER_hh_emih_in!C9=0,0,SER_hh_emih_in!C9/SER_summary!C$27)</f>
        <v>26.351936483792493</v>
      </c>
      <c r="D9" s="133">
        <f>IF(SER_hh_emih_in!D9=0,0,SER_hh_emih_in!D9/SER_summary!D$27)</f>
        <v>24.523686244301743</v>
      </c>
      <c r="E9" s="133">
        <f>IF(SER_hh_emih_in!E9=0,0,SER_hh_emih_in!E9/SER_summary!E$27)</f>
        <v>26.861768731794932</v>
      </c>
      <c r="F9" s="133">
        <f>IF(SER_hh_emih_in!F9=0,0,SER_hh_emih_in!F9/SER_summary!F$27)</f>
        <v>24.14421001843245</v>
      </c>
      <c r="G9" s="133">
        <f>IF(SER_hh_emih_in!G9=0,0,SER_hh_emih_in!G9/SER_summary!G$27)</f>
        <v>23.019178165083567</v>
      </c>
      <c r="H9" s="133">
        <f>IF(SER_hh_emih_in!H9=0,0,SER_hh_emih_in!H9/SER_summary!H$27)</f>
        <v>23.824664885395368</v>
      </c>
      <c r="I9" s="133">
        <f>IF(SER_hh_emih_in!I9=0,0,SER_hh_emih_in!I9/SER_summary!I$27)</f>
        <v>21.012015072363379</v>
      </c>
      <c r="J9" s="133">
        <f>IF(SER_hh_emih_in!J9=0,0,SER_hh_emih_in!J9/SER_summary!J$27)</f>
        <v>20.193018764923668</v>
      </c>
      <c r="K9" s="133">
        <f>IF(SER_hh_emih_in!K9=0,0,SER_hh_emih_in!K9/SER_summary!K$27)</f>
        <v>20.137823117805635</v>
      </c>
      <c r="L9" s="133">
        <f>IF(SER_hh_emih_in!L9=0,0,SER_hh_emih_in!L9/SER_summary!L$27)</f>
        <v>20.084440815567952</v>
      </c>
      <c r="M9" s="133">
        <f>IF(SER_hh_emih_in!M9=0,0,SER_hh_emih_in!M9/SER_summary!M$27)</f>
        <v>14.929806001062795</v>
      </c>
      <c r="N9" s="133">
        <f>IF(SER_hh_emih_in!N9=0,0,SER_hh_emih_in!N9/SER_summary!N$27)</f>
        <v>16.412620989470607</v>
      </c>
      <c r="O9" s="133">
        <f>IF(SER_hh_emih_in!O9=0,0,SER_hh_emih_in!O9/SER_summary!O$27)</f>
        <v>16.242631409508284</v>
      </c>
      <c r="P9" s="133">
        <f>IF(SER_hh_emih_in!P9=0,0,SER_hh_emih_in!P9/SER_summary!P$27)</f>
        <v>10.634858114411136</v>
      </c>
      <c r="Q9" s="133">
        <f>IF(SER_hh_emih_in!Q9=0,0,SER_hh_emih_in!Q9/SER_summary!Q$27)</f>
        <v>13.213582595698773</v>
      </c>
      <c r="R9" s="133">
        <f>IF(SER_hh_emih_in!R9=0,0,SER_hh_emih_in!R9/SER_summary!R$27)</f>
        <v>12.767247941550679</v>
      </c>
      <c r="S9" s="133">
        <f>IF(SER_hh_emih_in!S9=0,0,SER_hh_emih_in!S9/SER_summary!S$27)</f>
        <v>13.363773033380518</v>
      </c>
      <c r="T9" s="133">
        <f>IF(SER_hh_emih_in!T9=0,0,SER_hh_emih_in!T9/SER_summary!T$27)</f>
        <v>9.4672477154632055</v>
      </c>
      <c r="U9" s="133">
        <f>IF(SER_hh_emih_in!U9=0,0,SER_hh_emih_in!U9/SER_summary!U$27)</f>
        <v>8.6862360665050744</v>
      </c>
      <c r="V9" s="133">
        <f>IF(SER_hh_emih_in!V9=0,0,SER_hh_emih_in!V9/SER_summary!V$27)</f>
        <v>8.4278575956538546</v>
      </c>
      <c r="W9" s="133">
        <f>IF(SER_hh_emih_in!W9=0,0,SER_hh_emih_in!W9/SER_summary!W$27)</f>
        <v>11.709336303613702</v>
      </c>
      <c r="DA9" s="157" t="s">
        <v>884</v>
      </c>
    </row>
    <row r="10" spans="1:105" ht="12" customHeight="1" x14ac:dyDescent="0.25">
      <c r="A10" s="132" t="s">
        <v>128</v>
      </c>
      <c r="B10" s="133"/>
      <c r="C10" s="133">
        <f>IF(SER_hh_emih_in!C10=0,0,SER_hh_emih_in!C10/SER_summary!C$27)</f>
        <v>11.35615448414574</v>
      </c>
      <c r="D10" s="133">
        <f>IF(SER_hh_emih_in!D10=0,0,SER_hh_emih_in!D10/SER_summary!D$27)</f>
        <v>15.59170316482073</v>
      </c>
      <c r="E10" s="133">
        <f>IF(SER_hh_emih_in!E10=0,0,SER_hh_emih_in!E10/SER_summary!E$27)</f>
        <v>15.360388225690462</v>
      </c>
      <c r="F10" s="133">
        <f>IF(SER_hh_emih_in!F10=0,0,SER_hh_emih_in!F10/SER_summary!F$27)</f>
        <v>11.928891309194645</v>
      </c>
      <c r="G10" s="133">
        <f>IF(SER_hh_emih_in!G10=0,0,SER_hh_emih_in!G10/SER_summary!G$27)</f>
        <v>11.709087799062718</v>
      </c>
      <c r="H10" s="133">
        <f>IF(SER_hh_emih_in!H10=0,0,SER_hh_emih_in!H10/SER_summary!H$27)</f>
        <v>11.998109058774377</v>
      </c>
      <c r="I10" s="133">
        <f>IF(SER_hh_emih_in!I10=0,0,SER_hh_emih_in!I10/SER_summary!I$27)</f>
        <v>8.5756505447864519</v>
      </c>
      <c r="J10" s="133">
        <f>IF(SER_hh_emih_in!J10=0,0,SER_hh_emih_in!J10/SER_summary!J$27)</f>
        <v>0</v>
      </c>
      <c r="K10" s="133">
        <f>IF(SER_hh_emih_in!K10=0,0,SER_hh_emih_in!K10/SER_summary!K$27)</f>
        <v>0</v>
      </c>
      <c r="L10" s="133">
        <f>IF(SER_hh_emih_in!L10=0,0,SER_hh_emih_in!L10/SER_summary!L$27)</f>
        <v>4.2871342134857358</v>
      </c>
      <c r="M10" s="133">
        <f>IF(SER_hh_emih_in!M10=0,0,SER_hh_emih_in!M10/SER_summary!M$27)</f>
        <v>6.0237970678970285</v>
      </c>
      <c r="N10" s="133">
        <f>IF(SER_hh_emih_in!N10=0,0,SER_hh_emih_in!N10/SER_summary!N$27)</f>
        <v>5.3481616031154804</v>
      </c>
      <c r="O10" s="133">
        <f>IF(SER_hh_emih_in!O10=0,0,SER_hh_emih_in!O10/SER_summary!O$27)</f>
        <v>4.8534005462188681</v>
      </c>
      <c r="P10" s="133">
        <f>IF(SER_hh_emih_in!P10=0,0,SER_hh_emih_in!P10/SER_summary!P$27)</f>
        <v>6.1035860042561918</v>
      </c>
      <c r="Q10" s="133">
        <f>IF(SER_hh_emih_in!Q10=0,0,SER_hh_emih_in!Q10/SER_summary!Q$27)</f>
        <v>2.3257320102246539</v>
      </c>
      <c r="R10" s="133">
        <f>IF(SER_hh_emih_in!R10=0,0,SER_hh_emih_in!R10/SER_summary!R$27)</f>
        <v>3.1863441154996495</v>
      </c>
      <c r="S10" s="133">
        <f>IF(SER_hh_emih_in!S10=0,0,SER_hh_emih_in!S10/SER_summary!S$27)</f>
        <v>3.7909997078772251</v>
      </c>
      <c r="T10" s="133">
        <f>IF(SER_hh_emih_in!T10=0,0,SER_hh_emih_in!T10/SER_summary!T$27)</f>
        <v>3.9899170604459369</v>
      </c>
      <c r="U10" s="133">
        <f>IF(SER_hh_emih_in!U10=0,0,SER_hh_emih_in!U10/SER_summary!U$27)</f>
        <v>3.6340324431805255</v>
      </c>
      <c r="V10" s="133">
        <f>IF(SER_hh_emih_in!V10=0,0,SER_hh_emih_in!V10/SER_summary!V$27)</f>
        <v>2.7849211497470385</v>
      </c>
      <c r="W10" s="133">
        <f>IF(SER_hh_emih_in!W10=0,0,SER_hh_emih_in!W10/SER_summary!W$27)</f>
        <v>0</v>
      </c>
      <c r="DA10" s="157" t="s">
        <v>885</v>
      </c>
    </row>
    <row r="11" spans="1:105" ht="12" customHeight="1" x14ac:dyDescent="0.25">
      <c r="A11" s="132" t="s">
        <v>25</v>
      </c>
      <c r="B11" s="133"/>
      <c r="C11" s="133">
        <f>IF(SER_hh_emih_in!C11=0,0,SER_hh_emih_in!C11/SER_summary!C$27)</f>
        <v>0</v>
      </c>
      <c r="D11" s="133">
        <f>IF(SER_hh_emih_in!D11=0,0,SER_hh_emih_in!D11/SER_summary!D$27)</f>
        <v>0</v>
      </c>
      <c r="E11" s="133">
        <f>IF(SER_hh_emih_in!E11=0,0,SER_hh_emih_in!E11/SER_summary!E$27)</f>
        <v>0</v>
      </c>
      <c r="F11" s="133">
        <f>IF(SER_hh_emih_in!F11=0,0,SER_hh_emih_in!F11/SER_summary!F$27)</f>
        <v>0</v>
      </c>
      <c r="G11" s="133">
        <f>IF(SER_hh_emih_in!G11=0,0,SER_hh_emih_in!G11/SER_summary!G$27)</f>
        <v>0</v>
      </c>
      <c r="H11" s="133">
        <f>IF(SER_hh_emih_in!H11=0,0,SER_hh_emih_in!H11/SER_summary!H$27)</f>
        <v>0</v>
      </c>
      <c r="I11" s="133">
        <f>IF(SER_hh_emih_in!I11=0,0,SER_hh_emih_in!I11/SER_summary!I$27)</f>
        <v>0</v>
      </c>
      <c r="J11" s="133">
        <f>IF(SER_hh_emih_in!J11=0,0,SER_hh_emih_in!J11/SER_summary!J$27)</f>
        <v>0</v>
      </c>
      <c r="K11" s="133">
        <f>IF(SER_hh_emih_in!K11=0,0,SER_hh_emih_in!K11/SER_summary!K$27)</f>
        <v>0</v>
      </c>
      <c r="L11" s="133">
        <f>IF(SER_hh_emih_in!L11=0,0,SER_hh_emih_in!L11/SER_summary!L$27)</f>
        <v>0</v>
      </c>
      <c r="M11" s="133">
        <f>IF(SER_hh_emih_in!M11=0,0,SER_hh_emih_in!M11/SER_summary!M$27)</f>
        <v>0</v>
      </c>
      <c r="N11" s="133">
        <f>IF(SER_hh_emih_in!N11=0,0,SER_hh_emih_in!N11/SER_summary!N$27)</f>
        <v>0</v>
      </c>
      <c r="O11" s="133">
        <f>IF(SER_hh_emih_in!O11=0,0,SER_hh_emih_in!O11/SER_summary!O$27)</f>
        <v>0</v>
      </c>
      <c r="P11" s="133">
        <f>IF(SER_hh_emih_in!P11=0,0,SER_hh_emih_in!P11/SER_summary!P$27)</f>
        <v>0</v>
      </c>
      <c r="Q11" s="133">
        <f>IF(SER_hh_emih_in!Q11=0,0,SER_hh_emih_in!Q11/SER_summary!Q$27)</f>
        <v>0</v>
      </c>
      <c r="R11" s="133">
        <f>IF(SER_hh_emih_in!R11=0,0,SER_hh_emih_in!R11/SER_summary!R$27)</f>
        <v>0</v>
      </c>
      <c r="S11" s="133">
        <f>IF(SER_hh_emih_in!S11=0,0,SER_hh_emih_in!S11/SER_summary!S$27)</f>
        <v>0</v>
      </c>
      <c r="T11" s="133">
        <f>IF(SER_hh_emih_in!T11=0,0,SER_hh_emih_in!T11/SER_summary!T$27)</f>
        <v>0</v>
      </c>
      <c r="U11" s="133">
        <f>IF(SER_hh_emih_in!U11=0,0,SER_hh_emih_in!U11/SER_summary!U$27)</f>
        <v>0</v>
      </c>
      <c r="V11" s="133">
        <f>IF(SER_hh_emih_in!V11=0,0,SER_hh_emih_in!V11/SER_summary!V$27)</f>
        <v>0</v>
      </c>
      <c r="W11" s="133">
        <f>IF(SER_hh_emih_in!W11=0,0,SER_hh_emih_in!W11/SER_summary!W$27)</f>
        <v>0</v>
      </c>
      <c r="DA11" s="157" t="s">
        <v>886</v>
      </c>
    </row>
    <row r="12" spans="1:105" ht="12" customHeight="1" x14ac:dyDescent="0.25">
      <c r="A12" s="132" t="s">
        <v>169</v>
      </c>
      <c r="B12" s="133"/>
      <c r="C12" s="133">
        <f>IF(SER_hh_emih_in!C12=0,0,SER_hh_emih_in!C12/SER_summary!C$27)</f>
        <v>0</v>
      </c>
      <c r="D12" s="133">
        <f>IF(SER_hh_emih_in!D12=0,0,SER_hh_emih_in!D12/SER_summary!D$27)</f>
        <v>0</v>
      </c>
      <c r="E12" s="133">
        <f>IF(SER_hh_emih_in!E12=0,0,SER_hh_emih_in!E12/SER_summary!E$27)</f>
        <v>0</v>
      </c>
      <c r="F12" s="133">
        <f>IF(SER_hh_emih_in!F12=0,0,SER_hh_emih_in!F12/SER_summary!F$27)</f>
        <v>0</v>
      </c>
      <c r="G12" s="133">
        <f>IF(SER_hh_emih_in!G12=0,0,SER_hh_emih_in!G12/SER_summary!G$27)</f>
        <v>0</v>
      </c>
      <c r="H12" s="133">
        <f>IF(SER_hh_emih_in!H12=0,0,SER_hh_emih_in!H12/SER_summary!H$27)</f>
        <v>0</v>
      </c>
      <c r="I12" s="133">
        <f>IF(SER_hh_emih_in!I12=0,0,SER_hh_emih_in!I12/SER_summary!I$27)</f>
        <v>0</v>
      </c>
      <c r="J12" s="133">
        <f>IF(SER_hh_emih_in!J12=0,0,SER_hh_emih_in!J12/SER_summary!J$27)</f>
        <v>0</v>
      </c>
      <c r="K12" s="133">
        <f>IF(SER_hh_emih_in!K12=0,0,SER_hh_emih_in!K12/SER_summary!K$27)</f>
        <v>0</v>
      </c>
      <c r="L12" s="133">
        <f>IF(SER_hh_emih_in!L12=0,0,SER_hh_emih_in!L12/SER_summary!L$27)</f>
        <v>0</v>
      </c>
      <c r="M12" s="133">
        <f>IF(SER_hh_emih_in!M12=0,0,SER_hh_emih_in!M12/SER_summary!M$27)</f>
        <v>0</v>
      </c>
      <c r="N12" s="133">
        <f>IF(SER_hh_emih_in!N12=0,0,SER_hh_emih_in!N12/SER_summary!N$27)</f>
        <v>0</v>
      </c>
      <c r="O12" s="133">
        <f>IF(SER_hh_emih_in!O12=0,0,SER_hh_emih_in!O12/SER_summary!O$27)</f>
        <v>0</v>
      </c>
      <c r="P12" s="133">
        <f>IF(SER_hh_emih_in!P12=0,0,SER_hh_emih_in!P12/SER_summary!P$27)</f>
        <v>0</v>
      </c>
      <c r="Q12" s="133">
        <f>IF(SER_hh_emih_in!Q12=0,0,SER_hh_emih_in!Q12/SER_summary!Q$27)</f>
        <v>0</v>
      </c>
      <c r="R12" s="133">
        <f>IF(SER_hh_emih_in!R12=0,0,SER_hh_emih_in!R12/SER_summary!R$27)</f>
        <v>0</v>
      </c>
      <c r="S12" s="133">
        <f>IF(SER_hh_emih_in!S12=0,0,SER_hh_emih_in!S12/SER_summary!S$27)</f>
        <v>0</v>
      </c>
      <c r="T12" s="133">
        <f>IF(SER_hh_emih_in!T12=0,0,SER_hh_emih_in!T12/SER_summary!T$27)</f>
        <v>0</v>
      </c>
      <c r="U12" s="133">
        <f>IF(SER_hh_emih_in!U12=0,0,SER_hh_emih_in!U12/SER_summary!U$27)</f>
        <v>0</v>
      </c>
      <c r="V12" s="133">
        <f>IF(SER_hh_emih_in!V12=0,0,SER_hh_emih_in!V12/SER_summary!V$27)</f>
        <v>0</v>
      </c>
      <c r="W12" s="133">
        <f>IF(SER_hh_emih_in!W12=0,0,SER_hh_emih_in!W12/SER_summary!W$27)</f>
        <v>0</v>
      </c>
      <c r="DA12" s="157" t="s">
        <v>887</v>
      </c>
    </row>
    <row r="13" spans="1:105" ht="12" customHeight="1" x14ac:dyDescent="0.25">
      <c r="A13" s="132" t="s">
        <v>77</v>
      </c>
      <c r="B13" s="133"/>
      <c r="C13" s="133">
        <f>IF(SER_hh_emih_in!C13=0,0,SER_hh_emih_in!C13/SER_summary!C$27)</f>
        <v>0</v>
      </c>
      <c r="D13" s="133">
        <f>IF(SER_hh_emih_in!D13=0,0,SER_hh_emih_in!D13/SER_summary!D$27)</f>
        <v>0</v>
      </c>
      <c r="E13" s="133">
        <f>IF(SER_hh_emih_in!E13=0,0,SER_hh_emih_in!E13/SER_summary!E$27)</f>
        <v>0</v>
      </c>
      <c r="F13" s="133">
        <f>IF(SER_hh_emih_in!F13=0,0,SER_hh_emih_in!F13/SER_summary!F$27)</f>
        <v>0</v>
      </c>
      <c r="G13" s="133">
        <f>IF(SER_hh_emih_in!G13=0,0,SER_hh_emih_in!G13/SER_summary!G$27)</f>
        <v>0</v>
      </c>
      <c r="H13" s="133">
        <f>IF(SER_hh_emih_in!H13=0,0,SER_hh_emih_in!H13/SER_summary!H$27)</f>
        <v>0</v>
      </c>
      <c r="I13" s="133">
        <f>IF(SER_hh_emih_in!I13=0,0,SER_hh_emih_in!I13/SER_summary!I$27)</f>
        <v>0</v>
      </c>
      <c r="J13" s="133">
        <f>IF(SER_hh_emih_in!J13=0,0,SER_hh_emih_in!J13/SER_summary!J$27)</f>
        <v>0</v>
      </c>
      <c r="K13" s="133">
        <f>IF(SER_hh_emih_in!K13=0,0,SER_hh_emih_in!K13/SER_summary!K$27)</f>
        <v>0</v>
      </c>
      <c r="L13" s="133">
        <f>IF(SER_hh_emih_in!L13=0,0,SER_hh_emih_in!L13/SER_summary!L$27)</f>
        <v>0</v>
      </c>
      <c r="M13" s="133">
        <f>IF(SER_hh_emih_in!M13=0,0,SER_hh_emih_in!M13/SER_summary!M$27)</f>
        <v>0</v>
      </c>
      <c r="N13" s="133">
        <f>IF(SER_hh_emih_in!N13=0,0,SER_hh_emih_in!N13/SER_summary!N$27)</f>
        <v>0</v>
      </c>
      <c r="O13" s="133">
        <f>IF(SER_hh_emih_in!O13=0,0,SER_hh_emih_in!O13/SER_summary!O$27)</f>
        <v>0</v>
      </c>
      <c r="P13" s="133">
        <f>IF(SER_hh_emih_in!P13=0,0,SER_hh_emih_in!P13/SER_summary!P$27)</f>
        <v>0</v>
      </c>
      <c r="Q13" s="133">
        <f>IF(SER_hh_emih_in!Q13=0,0,SER_hh_emih_in!Q13/SER_summary!Q$27)</f>
        <v>0</v>
      </c>
      <c r="R13" s="133">
        <f>IF(SER_hh_emih_in!R13=0,0,SER_hh_emih_in!R13/SER_summary!R$27)</f>
        <v>0</v>
      </c>
      <c r="S13" s="133">
        <f>IF(SER_hh_emih_in!S13=0,0,SER_hh_emih_in!S13/SER_summary!S$27)</f>
        <v>0</v>
      </c>
      <c r="T13" s="133">
        <f>IF(SER_hh_emih_in!T13=0,0,SER_hh_emih_in!T13/SER_summary!T$27)</f>
        <v>0</v>
      </c>
      <c r="U13" s="133">
        <f>IF(SER_hh_emih_in!U13=0,0,SER_hh_emih_in!U13/SER_summary!U$27)</f>
        <v>0</v>
      </c>
      <c r="V13" s="133">
        <f>IF(SER_hh_emih_in!V13=0,0,SER_hh_emih_in!V13/SER_summary!V$27)</f>
        <v>0</v>
      </c>
      <c r="W13" s="133">
        <f>IF(SER_hh_emih_in!W13=0,0,SER_hh_emih_in!W13/SER_summary!W$27)</f>
        <v>0</v>
      </c>
      <c r="DA13" s="157" t="s">
        <v>888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DA14" s="109" t="s">
        <v>889</v>
      </c>
    </row>
    <row r="15" spans="1:105" ht="12" customHeight="1" x14ac:dyDescent="0.25">
      <c r="A15" s="134" t="s">
        <v>80</v>
      </c>
      <c r="B15" s="135"/>
      <c r="C15" s="135">
        <f>IF(SER_hh_emih_in!C15=0,0,SER_hh_emih_in!C15/SER_summary!C$27)</f>
        <v>0</v>
      </c>
      <c r="D15" s="135">
        <f>IF(SER_hh_emih_in!D15=0,0,SER_hh_emih_in!D15/SER_summary!D$27)</f>
        <v>0</v>
      </c>
      <c r="E15" s="135">
        <f>IF(SER_hh_emih_in!E15=0,0,SER_hh_emih_in!E15/SER_summary!E$27)</f>
        <v>0</v>
      </c>
      <c r="F15" s="135">
        <f>IF(SER_hh_emih_in!F15=0,0,SER_hh_emih_in!F15/SER_summary!F$27)</f>
        <v>0</v>
      </c>
      <c r="G15" s="135">
        <f>IF(SER_hh_emih_in!G15=0,0,SER_hh_emih_in!G15/SER_summary!G$27)</f>
        <v>0</v>
      </c>
      <c r="H15" s="135">
        <f>IF(SER_hh_emih_in!H15=0,0,SER_hh_emih_in!H15/SER_summary!H$27)</f>
        <v>0</v>
      </c>
      <c r="I15" s="135">
        <f>IF(SER_hh_emih_in!I15=0,0,SER_hh_emih_in!I15/SER_summary!I$27)</f>
        <v>0</v>
      </c>
      <c r="J15" s="135">
        <f>IF(SER_hh_emih_in!J15=0,0,SER_hh_emih_in!J15/SER_summary!J$27)</f>
        <v>0</v>
      </c>
      <c r="K15" s="135">
        <f>IF(SER_hh_emih_in!K15=0,0,SER_hh_emih_in!K15/SER_summary!K$27)</f>
        <v>0</v>
      </c>
      <c r="L15" s="135">
        <f>IF(SER_hh_emih_in!L15=0,0,SER_hh_emih_in!L15/SER_summary!L$27)</f>
        <v>0</v>
      </c>
      <c r="M15" s="135">
        <f>IF(SER_hh_emih_in!M15=0,0,SER_hh_emih_in!M15/SER_summary!M$27)</f>
        <v>0</v>
      </c>
      <c r="N15" s="135">
        <f>IF(SER_hh_emih_in!N15=0,0,SER_hh_emih_in!N15/SER_summary!N$27)</f>
        <v>0</v>
      </c>
      <c r="O15" s="135">
        <f>IF(SER_hh_emih_in!O15=0,0,SER_hh_emih_in!O15/SER_summary!O$27)</f>
        <v>0</v>
      </c>
      <c r="P15" s="135">
        <f>IF(SER_hh_emih_in!P15=0,0,SER_hh_emih_in!P15/SER_summary!P$27)</f>
        <v>0</v>
      </c>
      <c r="Q15" s="135">
        <f>IF(SER_hh_emih_in!Q15=0,0,SER_hh_emih_in!Q15/SER_summary!Q$27)</f>
        <v>0</v>
      </c>
      <c r="R15" s="135">
        <f>IF(SER_hh_emih_in!R15=0,0,SER_hh_emih_in!R15/SER_summary!R$27)</f>
        <v>0</v>
      </c>
      <c r="S15" s="135">
        <f>IF(SER_hh_emih_in!S15=0,0,SER_hh_emih_in!S15/SER_summary!S$27)</f>
        <v>0</v>
      </c>
      <c r="T15" s="135">
        <f>IF(SER_hh_emih_in!T15=0,0,SER_hh_emih_in!T15/SER_summary!T$27)</f>
        <v>0</v>
      </c>
      <c r="U15" s="135">
        <f>IF(SER_hh_emih_in!U15=0,0,SER_hh_emih_in!U15/SER_summary!U$27)</f>
        <v>0</v>
      </c>
      <c r="V15" s="135">
        <f>IF(SER_hh_emih_in!V15=0,0,SER_hh_emih_in!V15/SER_summary!V$27)</f>
        <v>0</v>
      </c>
      <c r="W15" s="135">
        <f>IF(SER_hh_emih_in!W15=0,0,SER_hh_emih_in!W15/SER_summary!W$27)</f>
        <v>0</v>
      </c>
      <c r="DA15" s="158" t="s">
        <v>890</v>
      </c>
    </row>
    <row r="16" spans="1:105" ht="12.95" customHeight="1" x14ac:dyDescent="0.25">
      <c r="A16" s="130" t="s">
        <v>74</v>
      </c>
      <c r="B16" s="131"/>
      <c r="C16" s="131">
        <f>IF(SER_hh_emih_in!C16=0,0,SER_hh_emih_in!C16/SER_summary!C$27)</f>
        <v>3.7001154781810264E-3</v>
      </c>
      <c r="D16" s="131">
        <f>IF(SER_hh_emih_in!D16=0,0,SER_hh_emih_in!D16/SER_summary!D$27)</f>
        <v>3.9890408448650825E-3</v>
      </c>
      <c r="E16" s="131">
        <f>IF(SER_hh_emih_in!E16=0,0,SER_hh_emih_in!E16/SER_summary!E$27)</f>
        <v>3.2407760166425319E-3</v>
      </c>
      <c r="F16" s="131">
        <f>IF(SER_hh_emih_in!F16=0,0,SER_hh_emih_in!F16/SER_summary!F$27)</f>
        <v>4.4574517939190558E-3</v>
      </c>
      <c r="G16" s="131">
        <f>IF(SER_hh_emih_in!G16=0,0,SER_hh_emih_in!G16/SER_summary!G$27)</f>
        <v>4.5690456754862432E-3</v>
      </c>
      <c r="H16" s="131">
        <f>IF(SER_hh_emih_in!H16=0,0,SER_hh_emih_in!H16/SER_summary!H$27)</f>
        <v>3.5904736874607483E-3</v>
      </c>
      <c r="I16" s="131">
        <f>IF(SER_hh_emih_in!I16=0,0,SER_hh_emih_in!I16/SER_summary!I$27)</f>
        <v>3.1328407043567778E-3</v>
      </c>
      <c r="J16" s="131">
        <f>IF(SER_hh_emih_in!J16=0,0,SER_hh_emih_in!J16/SER_summary!J$27)</f>
        <v>3.5340381240463806E-3</v>
      </c>
      <c r="K16" s="131">
        <f>IF(SER_hh_emih_in!K16=0,0,SER_hh_emih_in!K16/SER_summary!K$27)</f>
        <v>3.1964232603386793E-3</v>
      </c>
      <c r="L16" s="131">
        <f>IF(SER_hh_emih_in!L16=0,0,SER_hh_emih_in!L16/SER_summary!L$27)</f>
        <v>4.5206220056625158E-3</v>
      </c>
      <c r="M16" s="131">
        <f>IF(SER_hh_emih_in!M16=0,0,SER_hh_emih_in!M16/SER_summary!M$27)</f>
        <v>5.3904656095151941E-3</v>
      </c>
      <c r="N16" s="131">
        <f>IF(SER_hh_emih_in!N16=0,0,SER_hh_emih_in!N16/SER_summary!N$27)</f>
        <v>6.8343678606930056E-3</v>
      </c>
      <c r="O16" s="131">
        <f>IF(SER_hh_emih_in!O16=0,0,SER_hh_emih_in!O16/SER_summary!O$27)</f>
        <v>8.873487876089976E-3</v>
      </c>
      <c r="P16" s="131">
        <f>IF(SER_hh_emih_in!P16=0,0,SER_hh_emih_in!P16/SER_summary!P$27)</f>
        <v>1.2437052356393453E-2</v>
      </c>
      <c r="Q16" s="131">
        <f>IF(SER_hh_emih_in!Q16=0,0,SER_hh_emih_in!Q16/SER_summary!Q$27)</f>
        <v>1.9089530879027695E-2</v>
      </c>
      <c r="R16" s="131">
        <f>IF(SER_hh_emih_in!R16=0,0,SER_hh_emih_in!R16/SER_summary!R$27)</f>
        <v>1.7537251087884127E-2</v>
      </c>
      <c r="S16" s="131">
        <f>IF(SER_hh_emih_in!S16=0,0,SER_hh_emih_in!S16/SER_summary!S$27)</f>
        <v>1.5912105038670056E-2</v>
      </c>
      <c r="T16" s="131">
        <f>IF(SER_hh_emih_in!T16=0,0,SER_hh_emih_in!T16/SER_summary!T$27)</f>
        <v>1.1898985511942546E-2</v>
      </c>
      <c r="U16" s="131">
        <f>IF(SER_hh_emih_in!U16=0,0,SER_hh_emih_in!U16/SER_summary!U$27)</f>
        <v>1.6686297442461747E-2</v>
      </c>
      <c r="V16" s="131">
        <f>IF(SER_hh_emih_in!V16=0,0,SER_hh_emih_in!V16/SER_summary!V$27)</f>
        <v>5.1580655225017626E-2</v>
      </c>
      <c r="W16" s="131">
        <f>IF(SER_hh_emih_in!W16=0,0,SER_hh_emih_in!W16/SER_summary!W$27)</f>
        <v>8.1624752079334974E-3</v>
      </c>
      <c r="DA16" s="156" t="s">
        <v>891</v>
      </c>
    </row>
    <row r="17" spans="1:105" ht="12.95" customHeight="1" x14ac:dyDescent="0.25">
      <c r="A17" s="132" t="s">
        <v>73</v>
      </c>
      <c r="B17" s="133"/>
      <c r="C17" s="133">
        <f>IF(SER_hh_emih_in!C17=0,0,SER_hh_emih_in!C17/SER_summary!C$27)</f>
        <v>3.5005701516612757</v>
      </c>
      <c r="D17" s="133">
        <f>IF(SER_hh_emih_in!D17=0,0,SER_hh_emih_in!D17/SER_summary!D$27)</f>
        <v>3.437558824018768</v>
      </c>
      <c r="E17" s="133">
        <f>IF(SER_hh_emih_in!E17=0,0,SER_hh_emih_in!E17/SER_summary!E$27)</f>
        <v>3.4655081624505435</v>
      </c>
      <c r="F17" s="133">
        <f>IF(SER_hh_emih_in!F17=0,0,SER_hh_emih_in!F17/SER_summary!F$27)</f>
        <v>3.3974819483804035</v>
      </c>
      <c r="G17" s="133">
        <f>IF(SER_hh_emih_in!G17=0,0,SER_hh_emih_in!G17/SER_summary!G$27)</f>
        <v>3.3663239509673408</v>
      </c>
      <c r="H17" s="133">
        <f>IF(SER_hh_emih_in!H17=0,0,SER_hh_emih_in!H17/SER_summary!H$27)</f>
        <v>3.329131917278493</v>
      </c>
      <c r="I17" s="133">
        <f>IF(SER_hh_emih_in!I17=0,0,SER_hh_emih_in!I17/SER_summary!I$27)</f>
        <v>3.3388757128651552</v>
      </c>
      <c r="J17" s="133">
        <f>IF(SER_hh_emih_in!J17=0,0,SER_hh_emih_in!J17/SER_summary!J$27)</f>
        <v>3.2947834310243747</v>
      </c>
      <c r="K17" s="133">
        <f>IF(SER_hh_emih_in!K17=0,0,SER_hh_emih_in!K17/SER_summary!K$27)</f>
        <v>3.2768108989611933</v>
      </c>
      <c r="L17" s="133">
        <f>IF(SER_hh_emih_in!L17=0,0,SER_hh_emih_in!L17/SER_summary!L$27)</f>
        <v>3.2476938200207583</v>
      </c>
      <c r="M17" s="133">
        <f>IF(SER_hh_emih_in!M17=0,0,SER_hh_emih_in!M17/SER_summary!M$27)</f>
        <v>3.171269828900245</v>
      </c>
      <c r="N17" s="133">
        <f>IF(SER_hh_emih_in!N17=0,0,SER_hh_emih_in!N17/SER_summary!N$27)</f>
        <v>3.0781884937173194</v>
      </c>
      <c r="O17" s="133">
        <f>IF(SER_hh_emih_in!O17=0,0,SER_hh_emih_in!O17/SER_summary!O$27)</f>
        <v>2.931043182704629</v>
      </c>
      <c r="P17" s="133">
        <f>IF(SER_hh_emih_in!P17=0,0,SER_hh_emih_in!P17/SER_summary!P$27)</f>
        <v>2.8679135734553722</v>
      </c>
      <c r="Q17" s="133">
        <f>IF(SER_hh_emih_in!Q17=0,0,SER_hh_emih_in!Q17/SER_summary!Q$27)</f>
        <v>2.8084061734170671</v>
      </c>
      <c r="R17" s="133">
        <f>IF(SER_hh_emih_in!R17=0,0,SER_hh_emih_in!R17/SER_summary!R$27)</f>
        <v>2.6735530822945335</v>
      </c>
      <c r="S17" s="133">
        <f>IF(SER_hh_emih_in!S17=0,0,SER_hh_emih_in!S17/SER_summary!S$27)</f>
        <v>2.6093755779791752</v>
      </c>
      <c r="T17" s="133">
        <f>IF(SER_hh_emih_in!T17=0,0,SER_hh_emih_in!T17/SER_summary!T$27)</f>
        <v>2.5729823790145847</v>
      </c>
      <c r="U17" s="133">
        <f>IF(SER_hh_emih_in!U17=0,0,SER_hh_emih_in!U17/SER_summary!U$27)</f>
        <v>2.3707772366400497</v>
      </c>
      <c r="V17" s="133">
        <f>IF(SER_hh_emih_in!V17=0,0,SER_hh_emih_in!V17/SER_summary!V$27)</f>
        <v>1.6997085853249312</v>
      </c>
      <c r="W17" s="133">
        <f>IF(SER_hh_emih_in!W17=0,0,SER_hh_emih_in!W17/SER_summary!W$27)</f>
        <v>1.5811847211974379</v>
      </c>
      <c r="DA17" s="157" t="s">
        <v>892</v>
      </c>
    </row>
    <row r="18" spans="1:105" ht="12" customHeight="1" x14ac:dyDescent="0.25">
      <c r="A18" s="132" t="s">
        <v>72</v>
      </c>
      <c r="B18" s="133"/>
      <c r="C18" s="133">
        <f>IF(SER_hh_emih_in!C18=0,0,SER_hh_emih_in!C18/SER_summary!C$27)</f>
        <v>0</v>
      </c>
      <c r="D18" s="133">
        <f>IF(SER_hh_emih_in!D18=0,0,SER_hh_emih_in!D18/SER_summary!D$27)</f>
        <v>0</v>
      </c>
      <c r="E18" s="133">
        <f>IF(SER_hh_emih_in!E18=0,0,SER_hh_emih_in!E18/SER_summary!E$27)</f>
        <v>0</v>
      </c>
      <c r="F18" s="133">
        <f>IF(SER_hh_emih_in!F18=0,0,SER_hh_emih_in!F18/SER_summary!F$27)</f>
        <v>0</v>
      </c>
      <c r="G18" s="133">
        <f>IF(SER_hh_emih_in!G18=0,0,SER_hh_emih_in!G18/SER_summary!G$27)</f>
        <v>0</v>
      </c>
      <c r="H18" s="133">
        <f>IF(SER_hh_emih_in!H18=0,0,SER_hh_emih_in!H18/SER_summary!H$27)</f>
        <v>0</v>
      </c>
      <c r="I18" s="133">
        <f>IF(SER_hh_emih_in!I18=0,0,SER_hh_emih_in!I18/SER_summary!I$27)</f>
        <v>0</v>
      </c>
      <c r="J18" s="133">
        <f>IF(SER_hh_emih_in!J18=0,0,SER_hh_emih_in!J18/SER_summary!J$27)</f>
        <v>0</v>
      </c>
      <c r="K18" s="133">
        <f>IF(SER_hh_emih_in!K18=0,0,SER_hh_emih_in!K18/SER_summary!K$27)</f>
        <v>0</v>
      </c>
      <c r="L18" s="133">
        <f>IF(SER_hh_emih_in!L18=0,0,SER_hh_emih_in!L18/SER_summary!L$27)</f>
        <v>0</v>
      </c>
      <c r="M18" s="133">
        <f>IF(SER_hh_emih_in!M18=0,0,SER_hh_emih_in!M18/SER_summary!M$27)</f>
        <v>0</v>
      </c>
      <c r="N18" s="133">
        <f>IF(SER_hh_emih_in!N18=0,0,SER_hh_emih_in!N18/SER_summary!N$27)</f>
        <v>0</v>
      </c>
      <c r="O18" s="133">
        <f>IF(SER_hh_emih_in!O18=0,0,SER_hh_emih_in!O18/SER_summary!O$27)</f>
        <v>0</v>
      </c>
      <c r="P18" s="133">
        <f>IF(SER_hh_emih_in!P18=0,0,SER_hh_emih_in!P18/SER_summary!P$27)</f>
        <v>0</v>
      </c>
      <c r="Q18" s="133">
        <f>IF(SER_hh_emih_in!Q18=0,0,SER_hh_emih_in!Q18/SER_summary!Q$27)</f>
        <v>0</v>
      </c>
      <c r="R18" s="133">
        <f>IF(SER_hh_emih_in!R18=0,0,SER_hh_emih_in!R18/SER_summary!R$27)</f>
        <v>0</v>
      </c>
      <c r="S18" s="133">
        <f>IF(SER_hh_emih_in!S18=0,0,SER_hh_emih_in!S18/SER_summary!S$27)</f>
        <v>0</v>
      </c>
      <c r="T18" s="133">
        <f>IF(SER_hh_emih_in!T18=0,0,SER_hh_emih_in!T18/SER_summary!T$27)</f>
        <v>0</v>
      </c>
      <c r="U18" s="133">
        <f>IF(SER_hh_emih_in!U18=0,0,SER_hh_emih_in!U18/SER_summary!U$27)</f>
        <v>0</v>
      </c>
      <c r="V18" s="133">
        <f>IF(SER_hh_emih_in!V18=0,0,SER_hh_emih_in!V18/SER_summary!V$27)</f>
        <v>0</v>
      </c>
      <c r="W18" s="133">
        <f>IF(SER_hh_emih_in!W18=0,0,SER_hh_emih_in!W18/SER_summary!W$27)</f>
        <v>0</v>
      </c>
      <c r="DA18" s="157" t="s">
        <v>893</v>
      </c>
    </row>
    <row r="19" spans="1:105" ht="12.95" customHeight="1" x14ac:dyDescent="0.25">
      <c r="A19" s="130" t="s">
        <v>35</v>
      </c>
      <c r="B19" s="131"/>
      <c r="C19" s="131">
        <f>IF(SER_hh_emih_in!C19=0,0,SER_hh_emih_in!C19/SER_summary!C$27)</f>
        <v>0.55659696346183085</v>
      </c>
      <c r="D19" s="131">
        <f>IF(SER_hh_emih_in!D19=0,0,SER_hh_emih_in!D19/SER_summary!D$27)</f>
        <v>0.77303777169623189</v>
      </c>
      <c r="E19" s="131">
        <f>IF(SER_hh_emih_in!E19=0,0,SER_hh_emih_in!E19/SER_summary!E$27)</f>
        <v>0.89398675998205124</v>
      </c>
      <c r="F19" s="131">
        <f>IF(SER_hh_emih_in!F19=0,0,SER_hh_emih_in!F19/SER_summary!F$27)</f>
        <v>0.77046402780173573</v>
      </c>
      <c r="G19" s="131">
        <f>IF(SER_hh_emih_in!G19=0,0,SER_hh_emih_in!G19/SER_summary!G$27)</f>
        <v>0.70091113902783342</v>
      </c>
      <c r="H19" s="131">
        <f>IF(SER_hh_emih_in!H19=0,0,SER_hh_emih_in!H19/SER_summary!H$27)</f>
        <v>0.54326099462346567</v>
      </c>
      <c r="I19" s="131">
        <f>IF(SER_hh_emih_in!I19=0,0,SER_hh_emih_in!I19/SER_summary!I$27)</f>
        <v>0.40377078785805542</v>
      </c>
      <c r="J19" s="131">
        <f>IF(SER_hh_emih_in!J19=0,0,SER_hh_emih_in!J19/SER_summary!J$27)</f>
        <v>0.49569908268249785</v>
      </c>
      <c r="K19" s="131">
        <f>IF(SER_hh_emih_in!K19=0,0,SER_hh_emih_in!K19/SER_summary!K$27)</f>
        <v>0.37855579450878302</v>
      </c>
      <c r="L19" s="131">
        <f>IF(SER_hh_emih_in!L19=0,0,SER_hh_emih_in!L19/SER_summary!L$27)</f>
        <v>0.26726355536240437</v>
      </c>
      <c r="M19" s="131">
        <f>IF(SER_hh_emih_in!M19=0,0,SER_hh_emih_in!M19/SER_summary!M$27)</f>
        <v>0.15110469616130512</v>
      </c>
      <c r="N19" s="131">
        <f>IF(SER_hh_emih_in!N19=0,0,SER_hh_emih_in!N19/SER_summary!N$27)</f>
        <v>0.31639024531966475</v>
      </c>
      <c r="O19" s="131">
        <f>IF(SER_hh_emih_in!O19=0,0,SER_hh_emih_in!O19/SER_summary!O$27)</f>
        <v>0.39780595059209839</v>
      </c>
      <c r="P19" s="131">
        <f>IF(SER_hh_emih_in!P19=0,0,SER_hh_emih_in!P19/SER_summary!P$27)</f>
        <v>0.37527178427059832</v>
      </c>
      <c r="Q19" s="131">
        <f>IF(SER_hh_emih_in!Q19=0,0,SER_hh_emih_in!Q19/SER_summary!Q$27)</f>
        <v>0.66705556773045238</v>
      </c>
      <c r="R19" s="131">
        <f>IF(SER_hh_emih_in!R19=0,0,SER_hh_emih_in!R19/SER_summary!R$27)</f>
        <v>0.58218678451220818</v>
      </c>
      <c r="S19" s="131">
        <f>IF(SER_hh_emih_in!S19=0,0,SER_hh_emih_in!S19/SER_summary!S$27)</f>
        <v>0.52421652336383651</v>
      </c>
      <c r="T19" s="131">
        <f>IF(SER_hh_emih_in!T19=0,0,SER_hh_emih_in!T19/SER_summary!T$27)</f>
        <v>0.34572827062433892</v>
      </c>
      <c r="U19" s="131">
        <f>IF(SER_hh_emih_in!U19=0,0,SER_hh_emih_in!U19/SER_summary!U$27)</f>
        <v>0.34152671025717035</v>
      </c>
      <c r="V19" s="131">
        <f>IF(SER_hh_emih_in!V19=0,0,SER_hh_emih_in!V19/SER_summary!V$27)</f>
        <v>0.19847714355049156</v>
      </c>
      <c r="W19" s="131">
        <f>IF(SER_hh_emih_in!W19=0,0,SER_hh_emih_in!W19/SER_summary!W$27)</f>
        <v>0.2385824029571102</v>
      </c>
      <c r="DA19" s="156" t="s">
        <v>894</v>
      </c>
    </row>
    <row r="20" spans="1:105" ht="12" customHeight="1" x14ac:dyDescent="0.25">
      <c r="A20" s="132" t="s">
        <v>29</v>
      </c>
      <c r="B20" s="133"/>
      <c r="C20" s="133">
        <f>IF(SER_hh_emih_in!C20=0,0,SER_hh_emih_in!C20/SER_summary!C$27)</f>
        <v>0</v>
      </c>
      <c r="D20" s="133">
        <f>IF(SER_hh_emih_in!D20=0,0,SER_hh_emih_in!D20/SER_summary!D$27)</f>
        <v>0</v>
      </c>
      <c r="E20" s="133">
        <f>IF(SER_hh_emih_in!E20=0,0,SER_hh_emih_in!E20/SER_summary!E$27)</f>
        <v>0</v>
      </c>
      <c r="F20" s="133">
        <f>IF(SER_hh_emih_in!F20=0,0,SER_hh_emih_in!F20/SER_summary!F$27)</f>
        <v>0</v>
      </c>
      <c r="G20" s="133">
        <f>IF(SER_hh_emih_in!G20=0,0,SER_hh_emih_in!G20/SER_summary!G$27)</f>
        <v>0</v>
      </c>
      <c r="H20" s="133">
        <f>IF(SER_hh_emih_in!H20=0,0,SER_hh_emih_in!H20/SER_summary!H$27)</f>
        <v>0</v>
      </c>
      <c r="I20" s="133">
        <f>IF(SER_hh_emih_in!I20=0,0,SER_hh_emih_in!I20/SER_summary!I$27)</f>
        <v>0</v>
      </c>
      <c r="J20" s="133">
        <f>IF(SER_hh_emih_in!J20=0,0,SER_hh_emih_in!J20/SER_summary!J$27)</f>
        <v>0</v>
      </c>
      <c r="K20" s="133">
        <f>IF(SER_hh_emih_in!K20=0,0,SER_hh_emih_in!K20/SER_summary!K$27)</f>
        <v>0</v>
      </c>
      <c r="L20" s="133">
        <f>IF(SER_hh_emih_in!L20=0,0,SER_hh_emih_in!L20/SER_summary!L$27)</f>
        <v>0</v>
      </c>
      <c r="M20" s="133">
        <f>IF(SER_hh_emih_in!M20=0,0,SER_hh_emih_in!M20/SER_summary!M$27)</f>
        <v>0</v>
      </c>
      <c r="N20" s="133">
        <f>IF(SER_hh_emih_in!N20=0,0,SER_hh_emih_in!N20/SER_summary!N$27)</f>
        <v>0</v>
      </c>
      <c r="O20" s="133">
        <f>IF(SER_hh_emih_in!O20=0,0,SER_hh_emih_in!O20/SER_summary!O$27)</f>
        <v>0</v>
      </c>
      <c r="P20" s="133">
        <f>IF(SER_hh_emih_in!P20=0,0,SER_hh_emih_in!P20/SER_summary!P$27)</f>
        <v>0</v>
      </c>
      <c r="Q20" s="133">
        <f>IF(SER_hh_emih_in!Q20=0,0,SER_hh_emih_in!Q20/SER_summary!Q$27)</f>
        <v>0</v>
      </c>
      <c r="R20" s="133">
        <f>IF(SER_hh_emih_in!R20=0,0,SER_hh_emih_in!R20/SER_summary!R$27)</f>
        <v>0</v>
      </c>
      <c r="S20" s="133">
        <f>IF(SER_hh_emih_in!S20=0,0,SER_hh_emih_in!S20/SER_summary!S$27)</f>
        <v>0</v>
      </c>
      <c r="T20" s="133">
        <f>IF(SER_hh_emih_in!T20=0,0,SER_hh_emih_in!T20/SER_summary!T$27)</f>
        <v>0</v>
      </c>
      <c r="U20" s="133">
        <f>IF(SER_hh_emih_in!U20=0,0,SER_hh_emih_in!U20/SER_summary!U$27)</f>
        <v>0</v>
      </c>
      <c r="V20" s="133">
        <f>IF(SER_hh_emih_in!V20=0,0,SER_hh_emih_in!V20/SER_summary!V$27)</f>
        <v>0</v>
      </c>
      <c r="W20" s="133">
        <f>IF(SER_hh_emih_in!W20=0,0,SER_hh_emih_in!W20/SER_summary!W$27)</f>
        <v>0</v>
      </c>
      <c r="DA20" s="157" t="s">
        <v>895</v>
      </c>
    </row>
    <row r="21" spans="1:105" s="2" customFormat="1" ht="12" customHeight="1" x14ac:dyDescent="0.25">
      <c r="A21" s="132" t="s">
        <v>52</v>
      </c>
      <c r="B21" s="133"/>
      <c r="C21" s="133">
        <f>IF(SER_hh_emih_in!C21=0,0,SER_hh_emih_in!C21/SER_summary!C$27)</f>
        <v>0</v>
      </c>
      <c r="D21" s="133">
        <f>IF(SER_hh_emih_in!D21=0,0,SER_hh_emih_in!D21/SER_summary!D$27)</f>
        <v>0</v>
      </c>
      <c r="E21" s="133">
        <f>IF(SER_hh_emih_in!E21=0,0,SER_hh_emih_in!E21/SER_summary!E$27)</f>
        <v>0</v>
      </c>
      <c r="F21" s="133">
        <f>IF(SER_hh_emih_in!F21=0,0,SER_hh_emih_in!F21/SER_summary!F$27)</f>
        <v>0</v>
      </c>
      <c r="G21" s="133">
        <f>IF(SER_hh_emih_in!G21=0,0,SER_hh_emih_in!G21/SER_summary!G$27)</f>
        <v>0</v>
      </c>
      <c r="H21" s="133">
        <f>IF(SER_hh_emih_in!H21=0,0,SER_hh_emih_in!H21/SER_summary!H$27)</f>
        <v>0</v>
      </c>
      <c r="I21" s="133">
        <f>IF(SER_hh_emih_in!I21=0,0,SER_hh_emih_in!I21/SER_summary!I$27)</f>
        <v>0</v>
      </c>
      <c r="J21" s="133">
        <f>IF(SER_hh_emih_in!J21=0,0,SER_hh_emih_in!J21/SER_summary!J$27)</f>
        <v>0</v>
      </c>
      <c r="K21" s="133">
        <f>IF(SER_hh_emih_in!K21=0,0,SER_hh_emih_in!K21/SER_summary!K$27)</f>
        <v>0</v>
      </c>
      <c r="L21" s="133">
        <f>IF(SER_hh_emih_in!L21=0,0,SER_hh_emih_in!L21/SER_summary!L$27)</f>
        <v>0</v>
      </c>
      <c r="M21" s="133">
        <f>IF(SER_hh_emih_in!M21=0,0,SER_hh_emih_in!M21/SER_summary!M$27)</f>
        <v>0</v>
      </c>
      <c r="N21" s="133">
        <f>IF(SER_hh_emih_in!N21=0,0,SER_hh_emih_in!N21/SER_summary!N$27)</f>
        <v>0</v>
      </c>
      <c r="O21" s="133">
        <f>IF(SER_hh_emih_in!O21=0,0,SER_hh_emih_in!O21/SER_summary!O$27)</f>
        <v>0</v>
      </c>
      <c r="P21" s="133">
        <f>IF(SER_hh_emih_in!P21=0,0,SER_hh_emih_in!P21/SER_summary!P$27)</f>
        <v>0</v>
      </c>
      <c r="Q21" s="133">
        <f>IF(SER_hh_emih_in!Q21=0,0,SER_hh_emih_in!Q21/SER_summary!Q$27)</f>
        <v>0</v>
      </c>
      <c r="R21" s="133">
        <f>IF(SER_hh_emih_in!R21=0,0,SER_hh_emih_in!R21/SER_summary!R$27)</f>
        <v>0</v>
      </c>
      <c r="S21" s="133">
        <f>IF(SER_hh_emih_in!S21=0,0,SER_hh_emih_in!S21/SER_summary!S$27)</f>
        <v>0</v>
      </c>
      <c r="T21" s="133">
        <f>IF(SER_hh_emih_in!T21=0,0,SER_hh_emih_in!T21/SER_summary!T$27)</f>
        <v>0</v>
      </c>
      <c r="U21" s="133">
        <f>IF(SER_hh_emih_in!U21=0,0,SER_hh_emih_in!U21/SER_summary!U$27)</f>
        <v>0</v>
      </c>
      <c r="V21" s="133">
        <f>IF(SER_hh_emih_in!V21=0,0,SER_hh_emih_in!V21/SER_summary!V$27)</f>
        <v>0</v>
      </c>
      <c r="W21" s="133">
        <f>IF(SER_hh_emih_in!W21=0,0,SER_hh_emih_in!W21/SER_summary!W$27)</f>
        <v>0</v>
      </c>
      <c r="DA21" s="157" t="s">
        <v>896</v>
      </c>
    </row>
    <row r="22" spans="1:105" ht="12" customHeight="1" x14ac:dyDescent="0.25">
      <c r="A22" s="132" t="s">
        <v>168</v>
      </c>
      <c r="B22" s="133"/>
      <c r="C22" s="133">
        <f>IF(SER_hh_emih_in!C22=0,0,SER_hh_emih_in!C22/SER_summary!C$27)</f>
        <v>5.025465409540506</v>
      </c>
      <c r="D22" s="133">
        <f>IF(SER_hh_emih_in!D22=0,0,SER_hh_emih_in!D22/SER_summary!D$27)</f>
        <v>4.9802280251823676</v>
      </c>
      <c r="E22" s="133">
        <f>IF(SER_hh_emih_in!E22=0,0,SER_hh_emih_in!E22/SER_summary!E$27)</f>
        <v>4.9174823348356753</v>
      </c>
      <c r="F22" s="133">
        <f>IF(SER_hh_emih_in!F22=0,0,SER_hh_emih_in!F22/SER_summary!F$27)</f>
        <v>4.9379102452706762</v>
      </c>
      <c r="G22" s="133">
        <f>IF(SER_hh_emih_in!G22=0,0,SER_hh_emih_in!G22/SER_summary!G$27)</f>
        <v>4.867983679660294</v>
      </c>
      <c r="H22" s="133">
        <f>IF(SER_hh_emih_in!H22=0,0,SER_hh_emih_in!H22/SER_summary!H$27)</f>
        <v>4.7660656091091287</v>
      </c>
      <c r="I22" s="133">
        <f>IF(SER_hh_emih_in!I22=0,0,SER_hh_emih_in!I22/SER_summary!I$27)</f>
        <v>4.5500842761516154</v>
      </c>
      <c r="J22" s="133">
        <f>IF(SER_hh_emih_in!J22=0,0,SER_hh_emih_in!J22/SER_summary!J$27)</f>
        <v>4.6611213205146056</v>
      </c>
      <c r="K22" s="133">
        <f>IF(SER_hh_emih_in!K22=0,0,SER_hh_emih_in!K22/SER_summary!K$27)</f>
        <v>4.6839898834767828</v>
      </c>
      <c r="L22" s="133">
        <f>IF(SER_hh_emih_in!L22=0,0,SER_hh_emih_in!L22/SER_summary!L$27)</f>
        <v>4.3413934797594242</v>
      </c>
      <c r="M22" s="133">
        <f>IF(SER_hh_emih_in!M22=0,0,SER_hh_emih_in!M22/SER_summary!M$27)</f>
        <v>4.2813827055892784</v>
      </c>
      <c r="N22" s="133">
        <f>IF(SER_hh_emih_in!N22=0,0,SER_hh_emih_in!N22/SER_summary!N$27)</f>
        <v>4.327810326804987</v>
      </c>
      <c r="O22" s="133">
        <f>IF(SER_hh_emih_in!O22=0,0,SER_hh_emih_in!O22/SER_summary!O$27)</f>
        <v>4.1368359749733354</v>
      </c>
      <c r="P22" s="133">
        <f>IF(SER_hh_emih_in!P22=0,0,SER_hh_emih_in!P22/SER_summary!P$27)</f>
        <v>3.9908066213229771</v>
      </c>
      <c r="Q22" s="133">
        <f>IF(SER_hh_emih_in!Q22=0,0,SER_hh_emih_in!Q22/SER_summary!Q$27)</f>
        <v>3.7308176346393469</v>
      </c>
      <c r="R22" s="133">
        <f>IF(SER_hh_emih_in!R22=0,0,SER_hh_emih_in!R22/SER_summary!R$27)</f>
        <v>3.756610052017213</v>
      </c>
      <c r="S22" s="133">
        <f>IF(SER_hh_emih_in!S22=0,0,SER_hh_emih_in!S22/SER_summary!S$27)</f>
        <v>0</v>
      </c>
      <c r="T22" s="133">
        <f>IF(SER_hh_emih_in!T22=0,0,SER_hh_emih_in!T22/SER_summary!T$27)</f>
        <v>0</v>
      </c>
      <c r="U22" s="133">
        <f>IF(SER_hh_emih_in!U22=0,0,SER_hh_emih_in!U22/SER_summary!U$27)</f>
        <v>0</v>
      </c>
      <c r="V22" s="133">
        <f>IF(SER_hh_emih_in!V22=0,0,SER_hh_emih_in!V22/SER_summary!V$27)</f>
        <v>0</v>
      </c>
      <c r="W22" s="133">
        <f>IF(SER_hh_emih_in!W22=0,0,SER_hh_emih_in!W22/SER_summary!W$27)</f>
        <v>0</v>
      </c>
      <c r="DA22" s="157" t="s">
        <v>897</v>
      </c>
    </row>
    <row r="23" spans="1:105" ht="12" customHeight="1" x14ac:dyDescent="0.25">
      <c r="A23" s="132" t="s">
        <v>153</v>
      </c>
      <c r="B23" s="133"/>
      <c r="C23" s="133">
        <f>IF(SER_hh_emih_in!C23=0,0,SER_hh_emih_in!C23/SER_summary!C$27)</f>
        <v>3.2734911610334292</v>
      </c>
      <c r="D23" s="133">
        <f>IF(SER_hh_emih_in!D23=0,0,SER_hh_emih_in!D23/SER_summary!D$27)</f>
        <v>3.1070484989659959</v>
      </c>
      <c r="E23" s="133">
        <f>IF(SER_hh_emih_in!E23=0,0,SER_hh_emih_in!E23/SER_summary!E$27)</f>
        <v>3.3516931825154503</v>
      </c>
      <c r="F23" s="133">
        <f>IF(SER_hh_emih_in!F23=0,0,SER_hh_emih_in!F23/SER_summary!F$27)</f>
        <v>3.1002965645378247</v>
      </c>
      <c r="G23" s="133">
        <f>IF(SER_hh_emih_in!G23=0,0,SER_hh_emih_in!G23/SER_summary!G$27)</f>
        <v>3.1027406297346034</v>
      </c>
      <c r="H23" s="133">
        <f>IF(SER_hh_emih_in!H23=0,0,SER_hh_emih_in!H23/SER_summary!H$27)</f>
        <v>3.1556446965826463</v>
      </c>
      <c r="I23" s="133">
        <f>IF(SER_hh_emih_in!I23=0,0,SER_hh_emih_in!I23/SER_summary!I$27)</f>
        <v>3.0644057628090837</v>
      </c>
      <c r="J23" s="133">
        <f>IF(SER_hh_emih_in!J23=0,0,SER_hh_emih_in!J23/SER_summary!J$27)</f>
        <v>2.9700575367492239</v>
      </c>
      <c r="K23" s="133">
        <f>IF(SER_hh_emih_in!K23=0,0,SER_hh_emih_in!K23/SER_summary!K$27)</f>
        <v>2.98565025588809</v>
      </c>
      <c r="L23" s="133">
        <f>IF(SER_hh_emih_in!L23=0,0,SER_hh_emih_in!L23/SER_summary!L$27)</f>
        <v>2.6169177946352229</v>
      </c>
      <c r="M23" s="133">
        <f>IF(SER_hh_emih_in!M23=0,0,SER_hh_emih_in!M23/SER_summary!M$27)</f>
        <v>2.7296156655887716</v>
      </c>
      <c r="N23" s="133">
        <f>IF(SER_hh_emih_in!N23=0,0,SER_hh_emih_in!N23/SER_summary!N$27)</f>
        <v>2.7862089833231258</v>
      </c>
      <c r="O23" s="133">
        <f>IF(SER_hh_emih_in!O23=0,0,SER_hh_emih_in!O23/SER_summary!O$27)</f>
        <v>2.704370178926474</v>
      </c>
      <c r="P23" s="133">
        <f>IF(SER_hh_emih_in!P23=0,0,SER_hh_emih_in!P23/SER_summary!P$27)</f>
        <v>2.4224462236787754</v>
      </c>
      <c r="Q23" s="133">
        <f>IF(SER_hh_emih_in!Q23=0,0,SER_hh_emih_in!Q23/SER_summary!Q$27)</f>
        <v>2.6132927015253435</v>
      </c>
      <c r="R23" s="133">
        <f>IF(SER_hh_emih_in!R23=0,0,SER_hh_emih_in!R23/SER_summary!R$27)</f>
        <v>2.5097004360098984</v>
      </c>
      <c r="S23" s="133">
        <f>IF(SER_hh_emih_in!S23=0,0,SER_hh_emih_in!S23/SER_summary!S$27)</f>
        <v>2.533813637402984</v>
      </c>
      <c r="T23" s="133">
        <f>IF(SER_hh_emih_in!T23=0,0,SER_hh_emih_in!T23/SER_summary!T$27)</f>
        <v>2.3414645694879854</v>
      </c>
      <c r="U23" s="133">
        <f>IF(SER_hh_emih_in!U23=0,0,SER_hh_emih_in!U23/SER_summary!U$27)</f>
        <v>2.3927085047038608</v>
      </c>
      <c r="V23" s="133">
        <f>IF(SER_hh_emih_in!V23=0,0,SER_hh_emih_in!V23/SER_summary!V$27)</f>
        <v>1.6495208254082063</v>
      </c>
      <c r="W23" s="133">
        <f>IF(SER_hh_emih_in!W23=0,0,SER_hh_emih_in!W23/SER_summary!W$27)</f>
        <v>2.3833542906959257</v>
      </c>
      <c r="DA23" s="157" t="s">
        <v>898</v>
      </c>
    </row>
    <row r="24" spans="1:105" ht="12" customHeight="1" x14ac:dyDescent="0.25">
      <c r="A24" s="132" t="s">
        <v>128</v>
      </c>
      <c r="B24" s="133"/>
      <c r="C24" s="133">
        <f>IF(SER_hh_emih_in!C24=0,0,SER_hh_emih_in!C24/SER_summary!C$27)</f>
        <v>1.5024072098428647</v>
      </c>
      <c r="D24" s="133">
        <f>IF(SER_hh_emih_in!D24=0,0,SER_hh_emih_in!D24/SER_summary!D$27)</f>
        <v>1.6432390061569235</v>
      </c>
      <c r="E24" s="133">
        <f>IF(SER_hh_emih_in!E24=0,0,SER_hh_emih_in!E24/SER_summary!E$27)</f>
        <v>1.5694537049404607</v>
      </c>
      <c r="F24" s="133">
        <f>IF(SER_hh_emih_in!F24=0,0,SER_hh_emih_in!F24/SER_summary!F$27)</f>
        <v>1.4194646925659062</v>
      </c>
      <c r="G24" s="133">
        <f>IF(SER_hh_emih_in!G24=0,0,SER_hh_emih_in!G24/SER_summary!G$27)</f>
        <v>1.3063360042633618</v>
      </c>
      <c r="H24" s="133">
        <f>IF(SER_hh_emih_in!H24=0,0,SER_hh_emih_in!H24/SER_summary!H$27)</f>
        <v>1.2173185802697517</v>
      </c>
      <c r="I24" s="133">
        <f>IF(SER_hh_emih_in!I24=0,0,SER_hh_emih_in!I24/SER_summary!I$27)</f>
        <v>0.97721233854632272</v>
      </c>
      <c r="J24" s="133">
        <f>IF(SER_hh_emih_in!J24=0,0,SER_hh_emih_in!J24/SER_summary!J$27)</f>
        <v>0.74727199317849957</v>
      </c>
      <c r="K24" s="133">
        <f>IF(SER_hh_emih_in!K24=0,0,SER_hh_emih_in!K24/SER_summary!K$27)</f>
        <v>0.53994424838755217</v>
      </c>
      <c r="L24" s="133">
        <f>IF(SER_hh_emih_in!L24=0,0,SER_hh_emih_in!L24/SER_summary!L$27)</f>
        <v>0.51247591957682359</v>
      </c>
      <c r="M24" s="133">
        <f>IF(SER_hh_emih_in!M24=0,0,SER_hh_emih_in!M24/SER_summary!M$27)</f>
        <v>0.73368872049602818</v>
      </c>
      <c r="N24" s="133">
        <f>IF(SER_hh_emih_in!N24=0,0,SER_hh_emih_in!N24/SER_summary!N$27)</f>
        <v>0.76758769111410208</v>
      </c>
      <c r="O24" s="133">
        <f>IF(SER_hh_emih_in!O24=0,0,SER_hh_emih_in!O24/SER_summary!O$27)</f>
        <v>0.68398215548394126</v>
      </c>
      <c r="P24" s="133">
        <f>IF(SER_hh_emih_in!P24=0,0,SER_hh_emih_in!P24/SER_summary!P$27)</f>
        <v>0.81306751991603932</v>
      </c>
      <c r="Q24" s="133">
        <f>IF(SER_hh_emih_in!Q24=0,0,SER_hh_emih_in!Q24/SER_summary!Q$27)</f>
        <v>0.37798071184459925</v>
      </c>
      <c r="R24" s="133">
        <f>IF(SER_hh_emih_in!R24=0,0,SER_hh_emih_in!R24/SER_summary!R$27)</f>
        <v>0.49900329302014618</v>
      </c>
      <c r="S24" s="133">
        <f>IF(SER_hh_emih_in!S24=0,0,SER_hh_emih_in!S24/SER_summary!S$27)</f>
        <v>0.58721432512605798</v>
      </c>
      <c r="T24" s="133">
        <f>IF(SER_hh_emih_in!T24=0,0,SER_hh_emih_in!T24/SER_summary!T$27)</f>
        <v>0.56507777146416549</v>
      </c>
      <c r="U24" s="133">
        <f>IF(SER_hh_emih_in!U24=0,0,SER_hh_emih_in!U24/SER_summary!U$27)</f>
        <v>0.5806415809168014</v>
      </c>
      <c r="V24" s="133">
        <f>IF(SER_hh_emih_in!V24=0,0,SER_hh_emih_in!V24/SER_summary!V$27)</f>
        <v>0.41124581716891739</v>
      </c>
      <c r="W24" s="133">
        <f>IF(SER_hh_emih_in!W24=0,0,SER_hh_emih_in!W24/SER_summary!W$27)</f>
        <v>0.42706585037159656</v>
      </c>
      <c r="DA24" s="157" t="s">
        <v>899</v>
      </c>
    </row>
    <row r="25" spans="1:105" ht="12" customHeight="1" x14ac:dyDescent="0.25">
      <c r="A25" s="132" t="s">
        <v>169</v>
      </c>
      <c r="B25" s="133"/>
      <c r="C25" s="133">
        <f>IF(SER_hh_emih_in!C25=0,0,SER_hh_emih_in!C25/SER_summary!C$27)</f>
        <v>0</v>
      </c>
      <c r="D25" s="133">
        <f>IF(SER_hh_emih_in!D25=0,0,SER_hh_emih_in!D25/SER_summary!D$27)</f>
        <v>0</v>
      </c>
      <c r="E25" s="133">
        <f>IF(SER_hh_emih_in!E25=0,0,SER_hh_emih_in!E25/SER_summary!E$27)</f>
        <v>0</v>
      </c>
      <c r="F25" s="133">
        <f>IF(SER_hh_emih_in!F25=0,0,SER_hh_emih_in!F25/SER_summary!F$27)</f>
        <v>0</v>
      </c>
      <c r="G25" s="133">
        <f>IF(SER_hh_emih_in!G25=0,0,SER_hh_emih_in!G25/SER_summary!G$27)</f>
        <v>0</v>
      </c>
      <c r="H25" s="133">
        <f>IF(SER_hh_emih_in!H25=0,0,SER_hh_emih_in!H25/SER_summary!H$27)</f>
        <v>0</v>
      </c>
      <c r="I25" s="133">
        <f>IF(SER_hh_emih_in!I25=0,0,SER_hh_emih_in!I25/SER_summary!I$27)</f>
        <v>0</v>
      </c>
      <c r="J25" s="133">
        <f>IF(SER_hh_emih_in!J25=0,0,SER_hh_emih_in!J25/SER_summary!J$27)</f>
        <v>0</v>
      </c>
      <c r="K25" s="133">
        <f>IF(SER_hh_emih_in!K25=0,0,SER_hh_emih_in!K25/SER_summary!K$27)</f>
        <v>0</v>
      </c>
      <c r="L25" s="133">
        <f>IF(SER_hh_emih_in!L25=0,0,SER_hh_emih_in!L25/SER_summary!L$27)</f>
        <v>0</v>
      </c>
      <c r="M25" s="133">
        <f>IF(SER_hh_emih_in!M25=0,0,SER_hh_emih_in!M25/SER_summary!M$27)</f>
        <v>0</v>
      </c>
      <c r="N25" s="133">
        <f>IF(SER_hh_emih_in!N25=0,0,SER_hh_emih_in!N25/SER_summary!N$27)</f>
        <v>0</v>
      </c>
      <c r="O25" s="133">
        <f>IF(SER_hh_emih_in!O25=0,0,SER_hh_emih_in!O25/SER_summary!O$27)</f>
        <v>0</v>
      </c>
      <c r="P25" s="133">
        <f>IF(SER_hh_emih_in!P25=0,0,SER_hh_emih_in!P25/SER_summary!P$27)</f>
        <v>0</v>
      </c>
      <c r="Q25" s="133">
        <f>IF(SER_hh_emih_in!Q25=0,0,SER_hh_emih_in!Q25/SER_summary!Q$27)</f>
        <v>0</v>
      </c>
      <c r="R25" s="133">
        <f>IF(SER_hh_emih_in!R25=0,0,SER_hh_emih_in!R25/SER_summary!R$27)</f>
        <v>0</v>
      </c>
      <c r="S25" s="133">
        <f>IF(SER_hh_emih_in!S25=0,0,SER_hh_emih_in!S25/SER_summary!S$27)</f>
        <v>0</v>
      </c>
      <c r="T25" s="133">
        <f>IF(SER_hh_emih_in!T25=0,0,SER_hh_emih_in!T25/SER_summary!T$27)</f>
        <v>0</v>
      </c>
      <c r="U25" s="133">
        <f>IF(SER_hh_emih_in!U25=0,0,SER_hh_emih_in!U25/SER_summary!U$27)</f>
        <v>0</v>
      </c>
      <c r="V25" s="133">
        <f>IF(SER_hh_emih_in!V25=0,0,SER_hh_emih_in!V25/SER_summary!V$27)</f>
        <v>0</v>
      </c>
      <c r="W25" s="133">
        <f>IF(SER_hh_emih_in!W25=0,0,SER_hh_emih_in!W25/SER_summary!W$27)</f>
        <v>0</v>
      </c>
      <c r="DA25" s="157" t="s">
        <v>900</v>
      </c>
    </row>
    <row r="26" spans="1:105" ht="12" customHeight="1" x14ac:dyDescent="0.25">
      <c r="A26" s="132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DA26" s="109" t="s">
        <v>901</v>
      </c>
    </row>
    <row r="27" spans="1:105" ht="12" customHeight="1" x14ac:dyDescent="0.25">
      <c r="A27" s="145" t="s">
        <v>86</v>
      </c>
      <c r="B27" s="148"/>
      <c r="C27" s="146">
        <f>IF(SER_hh_emih_in!C27=0,0,SER_hh_emih_in!C27/SER_summary!C$27)</f>
        <v>0</v>
      </c>
      <c r="D27" s="146">
        <f>IF(SER_hh_emih_in!D27=0,0,SER_hh_emih_in!D27/SER_summary!D$27)</f>
        <v>0</v>
      </c>
      <c r="E27" s="146">
        <f>IF(SER_hh_emih_in!E27=0,0,SER_hh_emih_in!E27/SER_summary!E$27)</f>
        <v>0</v>
      </c>
      <c r="F27" s="146">
        <f>IF(SER_hh_emih_in!F27=0,0,SER_hh_emih_in!F27/SER_summary!F$27)</f>
        <v>0</v>
      </c>
      <c r="G27" s="146">
        <f>IF(SER_hh_emih_in!G27=0,0,SER_hh_emih_in!G27/SER_summary!G$27)</f>
        <v>0</v>
      </c>
      <c r="H27" s="146">
        <f>IF(SER_hh_emih_in!H27=0,0,SER_hh_emih_in!H27/SER_summary!H$27)</f>
        <v>0</v>
      </c>
      <c r="I27" s="146">
        <f>IF(SER_hh_emih_in!I27=0,0,SER_hh_emih_in!I27/SER_summary!I$27)</f>
        <v>0</v>
      </c>
      <c r="J27" s="146">
        <f>IF(SER_hh_emih_in!J27=0,0,SER_hh_emih_in!J27/SER_summary!J$27)</f>
        <v>0</v>
      </c>
      <c r="K27" s="146">
        <f>IF(SER_hh_emih_in!K27=0,0,SER_hh_emih_in!K27/SER_summary!K$27)</f>
        <v>0</v>
      </c>
      <c r="L27" s="146">
        <f>IF(SER_hh_emih_in!L27=0,0,SER_hh_emih_in!L27/SER_summary!L$27)</f>
        <v>0</v>
      </c>
      <c r="M27" s="146">
        <f>IF(SER_hh_emih_in!M27=0,0,SER_hh_emih_in!M27/SER_summary!M$27)</f>
        <v>0</v>
      </c>
      <c r="N27" s="146">
        <f>IF(SER_hh_emih_in!N27=0,0,SER_hh_emih_in!N27/SER_summary!N$27)</f>
        <v>0</v>
      </c>
      <c r="O27" s="146">
        <f>IF(SER_hh_emih_in!O27=0,0,SER_hh_emih_in!O27/SER_summary!O$27)</f>
        <v>0</v>
      </c>
      <c r="P27" s="146">
        <f>IF(SER_hh_emih_in!P27=0,0,SER_hh_emih_in!P27/SER_summary!P$27)</f>
        <v>0</v>
      </c>
      <c r="Q27" s="146">
        <f>IF(SER_hh_emih_in!Q27=0,0,SER_hh_emih_in!Q27/SER_summary!Q$27)</f>
        <v>0</v>
      </c>
      <c r="R27" s="146">
        <f>IF(SER_hh_emih_in!R27=0,0,SER_hh_emih_in!R27/SER_summary!R$27)</f>
        <v>0</v>
      </c>
      <c r="S27" s="146">
        <f>IF(SER_hh_emih_in!S27=0,0,SER_hh_emih_in!S27/SER_summary!S$27)</f>
        <v>0</v>
      </c>
      <c r="T27" s="146">
        <f>IF(SER_hh_emih_in!T27=0,0,SER_hh_emih_in!T27/SER_summary!T$27)</f>
        <v>0</v>
      </c>
      <c r="U27" s="146">
        <f>IF(SER_hh_emih_in!U27=0,0,SER_hh_emih_in!U27/SER_summary!U$27)</f>
        <v>0</v>
      </c>
      <c r="V27" s="146">
        <f>IF(SER_hh_emih_in!V27=0,0,SER_hh_emih_in!V27/SER_summary!V$27)</f>
        <v>0</v>
      </c>
      <c r="W27" s="146">
        <f>IF(SER_hh_emih_in!W27=0,0,SER_hh_emih_in!W27/SER_summary!W$27)</f>
        <v>0</v>
      </c>
      <c r="DA27" s="159" t="s">
        <v>902</v>
      </c>
    </row>
    <row r="28" spans="1:105" ht="12" customHeight="1" x14ac:dyDescent="0.25">
      <c r="A28" s="78" t="s">
        <v>85</v>
      </c>
      <c r="B28" s="68"/>
      <c r="C28" s="147">
        <f>IF(SER_hh_emih_in!C28=0,0,SER_hh_emih_in!C28/SER_summary!C$27)</f>
        <v>0</v>
      </c>
      <c r="D28" s="147">
        <f>IF(SER_hh_emih_in!D28=0,0,SER_hh_emih_in!D28/SER_summary!D$27)</f>
        <v>0</v>
      </c>
      <c r="E28" s="147">
        <f>IF(SER_hh_emih_in!E28=0,0,SER_hh_emih_in!E28/SER_summary!E$27)</f>
        <v>0</v>
      </c>
      <c r="F28" s="147">
        <f>IF(SER_hh_emih_in!F28=0,0,SER_hh_emih_in!F28/SER_summary!F$27)</f>
        <v>0</v>
      </c>
      <c r="G28" s="147">
        <f>IF(SER_hh_emih_in!G28=0,0,SER_hh_emih_in!G28/SER_summary!G$27)</f>
        <v>0</v>
      </c>
      <c r="H28" s="147">
        <f>IF(SER_hh_emih_in!H28=0,0,SER_hh_emih_in!H28/SER_summary!H$27)</f>
        <v>0</v>
      </c>
      <c r="I28" s="147">
        <f>IF(SER_hh_emih_in!I28=0,0,SER_hh_emih_in!I28/SER_summary!I$27)</f>
        <v>0</v>
      </c>
      <c r="J28" s="147">
        <f>IF(SER_hh_emih_in!J28=0,0,SER_hh_emih_in!J28/SER_summary!J$27)</f>
        <v>0</v>
      </c>
      <c r="K28" s="147">
        <f>IF(SER_hh_emih_in!K28=0,0,SER_hh_emih_in!K28/SER_summary!K$27)</f>
        <v>0</v>
      </c>
      <c r="L28" s="147">
        <f>IF(SER_hh_emih_in!L28=0,0,SER_hh_emih_in!L28/SER_summary!L$27)</f>
        <v>0</v>
      </c>
      <c r="M28" s="147">
        <f>IF(SER_hh_emih_in!M28=0,0,SER_hh_emih_in!M28/SER_summary!M$27)</f>
        <v>0</v>
      </c>
      <c r="N28" s="147">
        <f>IF(SER_hh_emih_in!N28=0,0,SER_hh_emih_in!N28/SER_summary!N$27)</f>
        <v>0</v>
      </c>
      <c r="O28" s="147">
        <f>IF(SER_hh_emih_in!O28=0,0,SER_hh_emih_in!O28/SER_summary!O$27)</f>
        <v>0</v>
      </c>
      <c r="P28" s="147">
        <f>IF(SER_hh_emih_in!P28=0,0,SER_hh_emih_in!P28/SER_summary!P$27)</f>
        <v>0</v>
      </c>
      <c r="Q28" s="147">
        <f>IF(SER_hh_emih_in!Q28=0,0,SER_hh_emih_in!Q28/SER_summary!Q$27)</f>
        <v>0</v>
      </c>
      <c r="R28" s="147">
        <f>IF(SER_hh_emih_in!R28=0,0,SER_hh_emih_in!R28/SER_summary!R$27)</f>
        <v>0</v>
      </c>
      <c r="S28" s="147">
        <f>IF(SER_hh_emih_in!S28=0,0,SER_hh_emih_in!S28/SER_summary!S$27)</f>
        <v>0</v>
      </c>
      <c r="T28" s="147">
        <f>IF(SER_hh_emih_in!T28=0,0,SER_hh_emih_in!T28/SER_summary!T$27)</f>
        <v>0</v>
      </c>
      <c r="U28" s="147">
        <f>IF(SER_hh_emih_in!U28=0,0,SER_hh_emih_in!U28/SER_summary!U$27)</f>
        <v>0</v>
      </c>
      <c r="V28" s="147">
        <f>IF(SER_hh_emih_in!V28=0,0,SER_hh_emih_in!V28/SER_summary!V$27)</f>
        <v>0</v>
      </c>
      <c r="W28" s="147">
        <f>IF(SER_hh_emih_in!W28=0,0,SER_hh_emih_in!W28/SER_summary!W$27)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IF(SER_hh_emih_in!C29=0,0,SER_hh_emih_in!C29/SER_summary!C$27)</f>
        <v>0.51970573297309963</v>
      </c>
      <c r="D29" s="131">
        <f>IF(SER_hh_emih_in!D29=0,0,SER_hh_emih_in!D29/SER_summary!D$27)</f>
        <v>0.59159905631989518</v>
      </c>
      <c r="E29" s="131">
        <f>IF(SER_hh_emih_in!E29=0,0,SER_hh_emih_in!E29/SER_summary!E$27)</f>
        <v>0.72567650474811818</v>
      </c>
      <c r="F29" s="131">
        <f>IF(SER_hh_emih_in!F29=0,0,SER_hh_emih_in!F29/SER_summary!F$27)</f>
        <v>0.79185320941760784</v>
      </c>
      <c r="G29" s="131">
        <f>IF(SER_hh_emih_in!G29=0,0,SER_hh_emih_in!G29/SER_summary!G$27)</f>
        <v>0.90355573511283793</v>
      </c>
      <c r="H29" s="131">
        <f>IF(SER_hh_emih_in!H29=0,0,SER_hh_emih_in!H29/SER_summary!H$27)</f>
        <v>0.73255264417089172</v>
      </c>
      <c r="I29" s="131">
        <f>IF(SER_hh_emih_in!I29=0,0,SER_hh_emih_in!I29/SER_summary!I$27)</f>
        <v>0.6252026199509475</v>
      </c>
      <c r="J29" s="131">
        <f>IF(SER_hh_emih_in!J29=0,0,SER_hh_emih_in!J29/SER_summary!J$27)</f>
        <v>0.6663301793331462</v>
      </c>
      <c r="K29" s="131">
        <f>IF(SER_hh_emih_in!K29=0,0,SER_hh_emih_in!K29/SER_summary!K$27)</f>
        <v>0.64124195634057213</v>
      </c>
      <c r="L29" s="131">
        <f>IF(SER_hh_emih_in!L29=0,0,SER_hh_emih_in!L29/SER_summary!L$27)</f>
        <v>0.64973499446499883</v>
      </c>
      <c r="M29" s="131">
        <f>IF(SER_hh_emih_in!M29=0,0,SER_hh_emih_in!M29/SER_summary!M$27)</f>
        <v>0.43202316426724779</v>
      </c>
      <c r="N29" s="131">
        <f>IF(SER_hh_emih_in!N29=0,0,SER_hh_emih_in!N29/SER_summary!N$27)</f>
        <v>0.37118601044434185</v>
      </c>
      <c r="O29" s="131">
        <f>IF(SER_hh_emih_in!O29=0,0,SER_hh_emih_in!O29/SER_summary!O$27)</f>
        <v>0.60847807409685739</v>
      </c>
      <c r="P29" s="131">
        <f>IF(SER_hh_emih_in!P29=0,0,SER_hh_emih_in!P29/SER_summary!P$27)</f>
        <v>0.66708382466888339</v>
      </c>
      <c r="Q29" s="131">
        <f>IF(SER_hh_emih_in!Q29=0,0,SER_hh_emih_in!Q29/SER_summary!Q$27)</f>
        <v>1.0617028829354485</v>
      </c>
      <c r="R29" s="131">
        <f>IF(SER_hh_emih_in!R29=0,0,SER_hh_emih_in!R29/SER_summary!R$27)</f>
        <v>0.88594104614180669</v>
      </c>
      <c r="S29" s="131">
        <f>IF(SER_hh_emih_in!S29=0,0,SER_hh_emih_in!S29/SER_summary!S$27)</f>
        <v>0.76829762684010738</v>
      </c>
      <c r="T29" s="131">
        <f>IF(SER_hh_emih_in!T29=0,0,SER_hh_emih_in!T29/SER_summary!T$27)</f>
        <v>0.68502013391319139</v>
      </c>
      <c r="U29" s="131">
        <f>IF(SER_hh_emih_in!U29=0,0,SER_hh_emih_in!U29/SER_summary!U$27)</f>
        <v>0.79137257973847486</v>
      </c>
      <c r="V29" s="131">
        <f>IF(SER_hh_emih_in!V29=0,0,SER_hh_emih_in!V29/SER_summary!V$27)</f>
        <v>0.40452287364511802</v>
      </c>
      <c r="W29" s="131">
        <f>IF(SER_hh_emih_in!W29=0,0,SER_hh_emih_in!W29/SER_summary!W$27)</f>
        <v>0.659527115545812</v>
      </c>
      <c r="DA29" s="156" t="s">
        <v>903</v>
      </c>
    </row>
    <row r="30" spans="1:105" s="2" customFormat="1" ht="12" customHeight="1" x14ac:dyDescent="0.25">
      <c r="A30" s="132" t="s">
        <v>52</v>
      </c>
      <c r="B30" s="133"/>
      <c r="C30" s="133">
        <f>IF(SER_hh_emih_in!C30=0,0,SER_hh_emih_in!C30/SER_summary!C$27)</f>
        <v>3.6250927347291153</v>
      </c>
      <c r="D30" s="133">
        <f>IF(SER_hh_emih_in!D30=0,0,SER_hh_emih_in!D30/SER_summary!D$27)</f>
        <v>3.2354116543270131</v>
      </c>
      <c r="E30" s="133">
        <f>IF(SER_hh_emih_in!E30=0,0,SER_hh_emih_in!E30/SER_summary!E$27)</f>
        <v>3.618721055075595</v>
      </c>
      <c r="F30" s="133">
        <f>IF(SER_hh_emih_in!F30=0,0,SER_hh_emih_in!F30/SER_summary!F$27)</f>
        <v>3.8159496282944545</v>
      </c>
      <c r="G30" s="133">
        <f>IF(SER_hh_emih_in!G30=0,0,SER_hh_emih_in!G30/SER_summary!G$27)</f>
        <v>4.0149048658559696</v>
      </c>
      <c r="H30" s="133">
        <f>IF(SER_hh_emih_in!H30=0,0,SER_hh_emih_in!H30/SER_summary!H$27)</f>
        <v>3.82029198004243</v>
      </c>
      <c r="I30" s="133">
        <f>IF(SER_hh_emih_in!I30=0,0,SER_hh_emih_in!I30/SER_summary!I$27)</f>
        <v>3.7477631577259394</v>
      </c>
      <c r="J30" s="133">
        <f>IF(SER_hh_emih_in!J30=0,0,SER_hh_emih_in!J30/SER_summary!J$27)</f>
        <v>3.628115418127817</v>
      </c>
      <c r="K30" s="133">
        <f>IF(SER_hh_emih_in!K30=0,0,SER_hh_emih_in!K30/SER_summary!K$27)</f>
        <v>3.4613664666867621</v>
      </c>
      <c r="L30" s="133">
        <f>IF(SER_hh_emih_in!L30=0,0,SER_hh_emih_in!L30/SER_summary!L$27)</f>
        <v>4.3001603459269697</v>
      </c>
      <c r="M30" s="133">
        <f>IF(SER_hh_emih_in!M30=0,0,SER_hh_emih_in!M30/SER_summary!M$27)</f>
        <v>3.8512983572652715</v>
      </c>
      <c r="N30" s="133">
        <f>IF(SER_hh_emih_in!N30=0,0,SER_hh_emih_in!N30/SER_summary!N$27)</f>
        <v>0</v>
      </c>
      <c r="O30" s="133">
        <f>IF(SER_hh_emih_in!O30=0,0,SER_hh_emih_in!O30/SER_summary!O$27)</f>
        <v>4.2889231349934054</v>
      </c>
      <c r="P30" s="133">
        <f>IF(SER_hh_emih_in!P30=0,0,SER_hh_emih_in!P30/SER_summary!P$27)</f>
        <v>2.3169038143237048</v>
      </c>
      <c r="Q30" s="133">
        <f>IF(SER_hh_emih_in!Q30=0,0,SER_hh_emih_in!Q30/SER_summary!Q$27)</f>
        <v>4.3847457690906051</v>
      </c>
      <c r="R30" s="133">
        <f>IF(SER_hh_emih_in!R30=0,0,SER_hh_emih_in!R30/SER_summary!R$27)</f>
        <v>4.2116292594390252</v>
      </c>
      <c r="S30" s="133">
        <f>IF(SER_hh_emih_in!S30=0,0,SER_hh_emih_in!S30/SER_summary!S$27)</f>
        <v>3.9000214885863205</v>
      </c>
      <c r="T30" s="133">
        <f>IF(SER_hh_emih_in!T30=0,0,SER_hh_emih_in!T30/SER_summary!T$27)</f>
        <v>3.9362773091682906</v>
      </c>
      <c r="U30" s="133">
        <f>IF(SER_hh_emih_in!U30=0,0,SER_hh_emih_in!U30/SER_summary!U$27)</f>
        <v>3.8651746097952246</v>
      </c>
      <c r="V30" s="133">
        <f>IF(SER_hh_emih_in!V30=0,0,SER_hh_emih_in!V30/SER_summary!V$27)</f>
        <v>3.3265341962730566</v>
      </c>
      <c r="W30" s="133">
        <f>IF(SER_hh_emih_in!W30=0,0,SER_hh_emih_in!W30/SER_summary!W$27)</f>
        <v>3.575820586287807</v>
      </c>
      <c r="DA30" s="157" t="s">
        <v>904</v>
      </c>
    </row>
    <row r="31" spans="1:105" ht="12" customHeight="1" x14ac:dyDescent="0.25">
      <c r="A31" s="132" t="s">
        <v>153</v>
      </c>
      <c r="B31" s="133"/>
      <c r="C31" s="133">
        <f>IF(SER_hh_emih_in!C31=0,0,SER_hh_emih_in!C31/SER_summary!C$27)</f>
        <v>3.0468463505007164</v>
      </c>
      <c r="D31" s="133">
        <f>IF(SER_hh_emih_in!D31=0,0,SER_hh_emih_in!D31/SER_summary!D$27)</f>
        <v>3.0478642664896523</v>
      </c>
      <c r="E31" s="133">
        <f>IF(SER_hh_emih_in!E31=0,0,SER_hh_emih_in!E31/SER_summary!E$27)</f>
        <v>3.1468075614391484</v>
      </c>
      <c r="F31" s="133">
        <f>IF(SER_hh_emih_in!F31=0,0,SER_hh_emih_in!F31/SER_summary!F$27)</f>
        <v>3.0754906927505639</v>
      </c>
      <c r="G31" s="133">
        <f>IF(SER_hh_emih_in!G31=0,0,SER_hh_emih_in!G31/SER_summary!G$27)</f>
        <v>3.2190295630956411</v>
      </c>
      <c r="H31" s="133">
        <f>IF(SER_hh_emih_in!H31=0,0,SER_hh_emih_in!H31/SER_summary!H$27)</f>
        <v>3.2036093686817684</v>
      </c>
      <c r="I31" s="133">
        <f>IF(SER_hh_emih_in!I31=0,0,SER_hh_emih_in!I31/SER_summary!I$27)</f>
        <v>3.1952943109846168</v>
      </c>
      <c r="J31" s="133">
        <f>IF(SER_hh_emih_in!J31=0,0,SER_hh_emih_in!J31/SER_summary!J$27)</f>
        <v>3.1841394146807125</v>
      </c>
      <c r="K31" s="133">
        <f>IF(SER_hh_emih_in!K31=0,0,SER_hh_emih_in!K31/SER_summary!K$27)</f>
        <v>3.2426028763106256</v>
      </c>
      <c r="L31" s="133">
        <f>IF(SER_hh_emih_in!L31=0,0,SER_hh_emih_in!L31/SER_summary!L$27)</f>
        <v>3.2404480318220883</v>
      </c>
      <c r="M31" s="133">
        <f>IF(SER_hh_emih_in!M31=0,0,SER_hh_emih_in!M31/SER_summary!M$27)</f>
        <v>3.2312501670317144</v>
      </c>
      <c r="N31" s="133">
        <f>IF(SER_hh_emih_in!N31=0,0,SER_hh_emih_in!N31/SER_summary!N$27)</f>
        <v>3.275992317594143</v>
      </c>
      <c r="O31" s="133">
        <f>IF(SER_hh_emih_in!O31=0,0,SER_hh_emih_in!O31/SER_summary!O$27)</f>
        <v>3.2347576694290616</v>
      </c>
      <c r="P31" s="133">
        <f>IF(SER_hh_emih_in!P31=0,0,SER_hh_emih_in!P31/SER_summary!P$27)</f>
        <v>3.1555626844469034</v>
      </c>
      <c r="Q31" s="133">
        <f>IF(SER_hh_emih_in!Q31=0,0,SER_hh_emih_in!Q31/SER_summary!Q$27)</f>
        <v>3.569491675468484</v>
      </c>
      <c r="R31" s="133">
        <f>IF(SER_hh_emih_in!R31=0,0,SER_hh_emih_in!R31/SER_summary!R$27)</f>
        <v>3.4260692585132406</v>
      </c>
      <c r="S31" s="133">
        <f>IF(SER_hh_emih_in!S31=0,0,SER_hh_emih_in!S31/SER_summary!S$27)</f>
        <v>3.1632882508314175</v>
      </c>
      <c r="T31" s="133">
        <f>IF(SER_hh_emih_in!T31=0,0,SER_hh_emih_in!T31/SER_summary!T$27)</f>
        <v>3.379281301107119</v>
      </c>
      <c r="U31" s="133">
        <f>IF(SER_hh_emih_in!U31=0,0,SER_hh_emih_in!U31/SER_summary!U$27)</f>
        <v>3.671405966174941</v>
      </c>
      <c r="V31" s="133">
        <f>IF(SER_hh_emih_in!V31=0,0,SER_hh_emih_in!V31/SER_summary!V$27)</f>
        <v>2.2632166305021699</v>
      </c>
      <c r="W31" s="133">
        <f>IF(SER_hh_emih_in!W31=0,0,SER_hh_emih_in!W31/SER_summary!W$27)</f>
        <v>3.4320869640880423</v>
      </c>
      <c r="DA31" s="157" t="s">
        <v>905</v>
      </c>
    </row>
    <row r="32" spans="1:105" ht="12" customHeight="1" x14ac:dyDescent="0.25">
      <c r="A32" s="132" t="s">
        <v>128</v>
      </c>
      <c r="B32" s="133"/>
      <c r="C32" s="133">
        <f>IF(SER_hh_emih_in!C32=0,0,SER_hh_emih_in!C32/SER_summary!C$27)</f>
        <v>0</v>
      </c>
      <c r="D32" s="133">
        <f>IF(SER_hh_emih_in!D32=0,0,SER_hh_emih_in!D32/SER_summary!D$27)</f>
        <v>0</v>
      </c>
      <c r="E32" s="133">
        <f>IF(SER_hh_emih_in!E32=0,0,SER_hh_emih_in!E32/SER_summary!E$27)</f>
        <v>0</v>
      </c>
      <c r="F32" s="133">
        <f>IF(SER_hh_emih_in!F32=0,0,SER_hh_emih_in!F32/SER_summary!F$27)</f>
        <v>0</v>
      </c>
      <c r="G32" s="133">
        <f>IF(SER_hh_emih_in!G32=0,0,SER_hh_emih_in!G32/SER_summary!G$27)</f>
        <v>0</v>
      </c>
      <c r="H32" s="133">
        <f>IF(SER_hh_emih_in!H32=0,0,SER_hh_emih_in!H32/SER_summary!H$27)</f>
        <v>0</v>
      </c>
      <c r="I32" s="133">
        <f>IF(SER_hh_emih_in!I32=0,0,SER_hh_emih_in!I32/SER_summary!I$27)</f>
        <v>0</v>
      </c>
      <c r="J32" s="133">
        <f>IF(SER_hh_emih_in!J32=0,0,SER_hh_emih_in!J32/SER_summary!J$27)</f>
        <v>0</v>
      </c>
      <c r="K32" s="133">
        <f>IF(SER_hh_emih_in!K32=0,0,SER_hh_emih_in!K32/SER_summary!K$27)</f>
        <v>0</v>
      </c>
      <c r="L32" s="133">
        <f>IF(SER_hh_emih_in!L32=0,0,SER_hh_emih_in!L32/SER_summary!L$27)</f>
        <v>0</v>
      </c>
      <c r="M32" s="133">
        <f>IF(SER_hh_emih_in!M32=0,0,SER_hh_emih_in!M32/SER_summary!M$27)</f>
        <v>0</v>
      </c>
      <c r="N32" s="133">
        <f>IF(SER_hh_emih_in!N32=0,0,SER_hh_emih_in!N32/SER_summary!N$27)</f>
        <v>0</v>
      </c>
      <c r="O32" s="133">
        <f>IF(SER_hh_emih_in!O32=0,0,SER_hh_emih_in!O32/SER_summary!O$27)</f>
        <v>0</v>
      </c>
      <c r="P32" s="133">
        <f>IF(SER_hh_emih_in!P32=0,0,SER_hh_emih_in!P32/SER_summary!P$27)</f>
        <v>0</v>
      </c>
      <c r="Q32" s="133">
        <f>IF(SER_hh_emih_in!Q32=0,0,SER_hh_emih_in!Q32/SER_summary!Q$27)</f>
        <v>0</v>
      </c>
      <c r="R32" s="133">
        <f>IF(SER_hh_emih_in!R32=0,0,SER_hh_emih_in!R32/SER_summary!R$27)</f>
        <v>0</v>
      </c>
      <c r="S32" s="133">
        <f>IF(SER_hh_emih_in!S32=0,0,SER_hh_emih_in!S32/SER_summary!S$27)</f>
        <v>0</v>
      </c>
      <c r="T32" s="133">
        <f>IF(SER_hh_emih_in!T32=0,0,SER_hh_emih_in!T32/SER_summary!T$27)</f>
        <v>0</v>
      </c>
      <c r="U32" s="133">
        <f>IF(SER_hh_emih_in!U32=0,0,SER_hh_emih_in!U32/SER_summary!U$27)</f>
        <v>0</v>
      </c>
      <c r="V32" s="133">
        <f>IF(SER_hh_emih_in!V32=0,0,SER_hh_emih_in!V32/SER_summary!V$27)</f>
        <v>0</v>
      </c>
      <c r="W32" s="133">
        <f>IF(SER_hh_emih_in!W32=0,0,SER_hh_emih_in!W32/SER_summary!W$27)</f>
        <v>0</v>
      </c>
      <c r="DA32" s="157" t="s">
        <v>906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DA33" s="111" t="s">
        <v>907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79" t="s">
        <v>81</v>
      </c>
      <c r="B3" s="180">
        <f t="shared" ref="B3" si="0">SUM(B4:B9)</f>
        <v>445.2090308853825</v>
      </c>
      <c r="C3" s="180">
        <f t="shared" ref="C3:W3" si="1">SUM(C4:C9)</f>
        <v>457.99130355542161</v>
      </c>
      <c r="D3" s="180">
        <f t="shared" si="1"/>
        <v>472.25095444609121</v>
      </c>
      <c r="E3" s="180">
        <f t="shared" si="1"/>
        <v>486.80998182924498</v>
      </c>
      <c r="F3" s="180">
        <f t="shared" si="1"/>
        <v>500.97610988207953</v>
      </c>
      <c r="G3" s="180">
        <f t="shared" si="1"/>
        <v>515.58926961578754</v>
      </c>
      <c r="H3" s="180">
        <f t="shared" si="1"/>
        <v>525.47850973705522</v>
      </c>
      <c r="I3" s="180">
        <f t="shared" si="1"/>
        <v>537.29880068168939</v>
      </c>
      <c r="J3" s="180">
        <f t="shared" si="1"/>
        <v>546.26300266256806</v>
      </c>
      <c r="K3" s="180">
        <f t="shared" si="1"/>
        <v>556.86594889471405</v>
      </c>
      <c r="L3" s="180">
        <f t="shared" si="1"/>
        <v>566.73768251223305</v>
      </c>
      <c r="M3" s="180">
        <f t="shared" si="1"/>
        <v>572.59927874428149</v>
      </c>
      <c r="N3" s="180">
        <f t="shared" si="1"/>
        <v>576.86882398904004</v>
      </c>
      <c r="O3" s="180">
        <f t="shared" si="1"/>
        <v>586.09304839498441</v>
      </c>
      <c r="P3" s="180">
        <f t="shared" si="1"/>
        <v>596.44305871145502</v>
      </c>
      <c r="Q3" s="180">
        <f t="shared" si="1"/>
        <v>606.97561398646781</v>
      </c>
      <c r="R3" s="180">
        <f t="shared" si="1"/>
        <v>609.85838279824986</v>
      </c>
      <c r="S3" s="180">
        <f t="shared" si="1"/>
        <v>628.34057063056321</v>
      </c>
      <c r="T3" s="180">
        <f t="shared" si="1"/>
        <v>624.2719928115531</v>
      </c>
      <c r="U3" s="180">
        <f t="shared" si="1"/>
        <v>622.0780568442417</v>
      </c>
      <c r="V3" s="180">
        <f t="shared" si="1"/>
        <v>583.73316734218338</v>
      </c>
      <c r="W3" s="180">
        <f t="shared" si="1"/>
        <v>602.27213112601919</v>
      </c>
      <c r="DA3" s="189" t="s">
        <v>217</v>
      </c>
    </row>
    <row r="4" spans="1:105" ht="12" customHeight="1" x14ac:dyDescent="0.25">
      <c r="A4" s="132" t="s">
        <v>7</v>
      </c>
      <c r="B4" s="181">
        <f t="shared" ref="B4:B9" si="2">B12*B44/11630</f>
        <v>38.784675834424455</v>
      </c>
      <c r="C4" s="181">
        <f t="shared" ref="C4:R9" si="3">C12*C44/11630</f>
        <v>39.626931940675192</v>
      </c>
      <c r="D4" s="181">
        <f t="shared" si="3"/>
        <v>40.634275940914854</v>
      </c>
      <c r="E4" s="181">
        <f t="shared" si="3"/>
        <v>41.747682473481241</v>
      </c>
      <c r="F4" s="181">
        <f t="shared" si="3"/>
        <v>42.744581534488937</v>
      </c>
      <c r="G4" s="181">
        <f t="shared" si="3"/>
        <v>43.713808160782193</v>
      </c>
      <c r="H4" s="181">
        <f t="shared" si="3"/>
        <v>44.527455816610733</v>
      </c>
      <c r="I4" s="181">
        <f t="shared" si="3"/>
        <v>45.618217400992101</v>
      </c>
      <c r="J4" s="181">
        <f t="shared" si="3"/>
        <v>46.093778957044222</v>
      </c>
      <c r="K4" s="181">
        <f t="shared" si="3"/>
        <v>46.843121219697444</v>
      </c>
      <c r="L4" s="181">
        <f t="shared" si="3"/>
        <v>47.714400320411329</v>
      </c>
      <c r="M4" s="181">
        <f t="shared" si="3"/>
        <v>47.836600903579679</v>
      </c>
      <c r="N4" s="181">
        <f t="shared" si="3"/>
        <v>47.816501687603434</v>
      </c>
      <c r="O4" s="181">
        <f t="shared" si="3"/>
        <v>47.837823466406483</v>
      </c>
      <c r="P4" s="181">
        <f t="shared" si="3"/>
        <v>47.963037747269084</v>
      </c>
      <c r="Q4" s="181">
        <f t="shared" si="3"/>
        <v>47.83810536121775</v>
      </c>
      <c r="R4" s="181">
        <f t="shared" si="3"/>
        <v>47.69468309468607</v>
      </c>
      <c r="S4" s="181">
        <f t="shared" ref="D4:W9" si="4">S12*S44/11630</f>
        <v>47.548607088207405</v>
      </c>
      <c r="T4" s="181">
        <f t="shared" si="4"/>
        <v>47.323819918047995</v>
      </c>
      <c r="U4" s="181">
        <f t="shared" si="4"/>
        <v>47.363827416673161</v>
      </c>
      <c r="V4" s="181">
        <f t="shared" si="4"/>
        <v>47.377709594553025</v>
      </c>
      <c r="W4" s="181">
        <f t="shared" si="4"/>
        <v>47.402743273454689</v>
      </c>
      <c r="DA4" s="190" t="s">
        <v>908</v>
      </c>
    </row>
    <row r="5" spans="1:105" ht="12" customHeight="1" x14ac:dyDescent="0.25">
      <c r="A5" s="132" t="s">
        <v>6</v>
      </c>
      <c r="B5" s="181">
        <f t="shared" si="2"/>
        <v>51.090893630323947</v>
      </c>
      <c r="C5" s="181">
        <f t="shared" si="3"/>
        <v>51.455245440917892</v>
      </c>
      <c r="D5" s="181">
        <f t="shared" si="4"/>
        <v>52.202443462627791</v>
      </c>
      <c r="E5" s="181">
        <f t="shared" si="4"/>
        <v>53.064110312471144</v>
      </c>
      <c r="F5" s="181">
        <f t="shared" si="4"/>
        <v>53.889532714103431</v>
      </c>
      <c r="G5" s="181">
        <f t="shared" si="4"/>
        <v>54.827121662656694</v>
      </c>
      <c r="H5" s="181">
        <f t="shared" si="4"/>
        <v>55.46948330798962</v>
      </c>
      <c r="I5" s="181">
        <f t="shared" si="4"/>
        <v>55.722947697625273</v>
      </c>
      <c r="J5" s="181">
        <f t="shared" si="4"/>
        <v>56.327673641430934</v>
      </c>
      <c r="K5" s="181">
        <f t="shared" si="4"/>
        <v>56.758408566469726</v>
      </c>
      <c r="L5" s="181">
        <f t="shared" si="4"/>
        <v>57.411395391609169</v>
      </c>
      <c r="M5" s="181">
        <f t="shared" si="4"/>
        <v>58.235857993581639</v>
      </c>
      <c r="N5" s="181">
        <f t="shared" si="4"/>
        <v>59.152288267230972</v>
      </c>
      <c r="O5" s="181">
        <f t="shared" si="4"/>
        <v>59.79103726760053</v>
      </c>
      <c r="P5" s="181">
        <f t="shared" si="4"/>
        <v>60.748415389892891</v>
      </c>
      <c r="Q5" s="181">
        <f t="shared" si="4"/>
        <v>62.19078673898327</v>
      </c>
      <c r="R5" s="181">
        <f t="shared" si="4"/>
        <v>61.705641200808486</v>
      </c>
      <c r="S5" s="181">
        <f t="shared" si="4"/>
        <v>61.2580753091056</v>
      </c>
      <c r="T5" s="181">
        <f t="shared" si="4"/>
        <v>59.606763932963368</v>
      </c>
      <c r="U5" s="181">
        <f t="shared" si="4"/>
        <v>57.097147982244657</v>
      </c>
      <c r="V5" s="181">
        <f t="shared" si="4"/>
        <v>54.063602797022753</v>
      </c>
      <c r="W5" s="181">
        <f t="shared" si="4"/>
        <v>51.899519324957055</v>
      </c>
      <c r="DA5" s="190" t="s">
        <v>909</v>
      </c>
    </row>
    <row r="6" spans="1:105" ht="12" customHeight="1" x14ac:dyDescent="0.25">
      <c r="A6" s="132" t="s">
        <v>5</v>
      </c>
      <c r="B6" s="181">
        <f t="shared" si="2"/>
        <v>154.47131534034889</v>
      </c>
      <c r="C6" s="181">
        <f t="shared" si="3"/>
        <v>158.88517578716448</v>
      </c>
      <c r="D6" s="181">
        <f t="shared" si="4"/>
        <v>162.52941410587758</v>
      </c>
      <c r="E6" s="181">
        <f t="shared" si="4"/>
        <v>166.06055158656804</v>
      </c>
      <c r="F6" s="181">
        <f t="shared" si="4"/>
        <v>169.5473112015766</v>
      </c>
      <c r="G6" s="181">
        <f t="shared" si="4"/>
        <v>171.91940168824016</v>
      </c>
      <c r="H6" s="181">
        <f t="shared" si="4"/>
        <v>173.26651406867356</v>
      </c>
      <c r="I6" s="181">
        <f t="shared" si="4"/>
        <v>177.53029085570773</v>
      </c>
      <c r="J6" s="181">
        <f t="shared" si="4"/>
        <v>179.69249328118946</v>
      </c>
      <c r="K6" s="181">
        <f t="shared" si="4"/>
        <v>182.98898306879536</v>
      </c>
      <c r="L6" s="181">
        <f t="shared" si="4"/>
        <v>186.85098934181266</v>
      </c>
      <c r="M6" s="181">
        <f t="shared" si="4"/>
        <v>188.71485354301245</v>
      </c>
      <c r="N6" s="181">
        <f t="shared" si="4"/>
        <v>190.2842692125553</v>
      </c>
      <c r="O6" s="181">
        <f t="shared" si="4"/>
        <v>191.47019363990157</v>
      </c>
      <c r="P6" s="181">
        <f t="shared" si="4"/>
        <v>193.81113262860467</v>
      </c>
      <c r="Q6" s="181">
        <f t="shared" si="4"/>
        <v>194.91885559790921</v>
      </c>
      <c r="R6" s="181">
        <f t="shared" si="4"/>
        <v>193.12368424751918</v>
      </c>
      <c r="S6" s="181">
        <f t="shared" si="4"/>
        <v>193.07062818461125</v>
      </c>
      <c r="T6" s="181">
        <f t="shared" si="4"/>
        <v>188.12519819438262</v>
      </c>
      <c r="U6" s="181">
        <f t="shared" si="4"/>
        <v>179.0821516595104</v>
      </c>
      <c r="V6" s="181">
        <f t="shared" si="4"/>
        <v>156.46635542512919</v>
      </c>
      <c r="W6" s="181">
        <f t="shared" si="4"/>
        <v>157.47999792026184</v>
      </c>
      <c r="DA6" s="190" t="s">
        <v>910</v>
      </c>
    </row>
    <row r="7" spans="1:105" ht="12" customHeight="1" x14ac:dyDescent="0.25">
      <c r="A7" s="132" t="s">
        <v>179</v>
      </c>
      <c r="B7" s="181">
        <f t="shared" si="2"/>
        <v>79.170937968856052</v>
      </c>
      <c r="C7" s="181">
        <f t="shared" si="3"/>
        <v>79.015840198330054</v>
      </c>
      <c r="D7" s="181">
        <f t="shared" si="4"/>
        <v>78.883870570842149</v>
      </c>
      <c r="E7" s="181">
        <f t="shared" si="4"/>
        <v>78.649153410871889</v>
      </c>
      <c r="F7" s="181">
        <f t="shared" si="4"/>
        <v>78.352779599488088</v>
      </c>
      <c r="G7" s="181">
        <f t="shared" si="4"/>
        <v>77.979446347611642</v>
      </c>
      <c r="H7" s="181">
        <f t="shared" si="4"/>
        <v>77.629243676804052</v>
      </c>
      <c r="I7" s="181">
        <f t="shared" si="4"/>
        <v>77.276442175684593</v>
      </c>
      <c r="J7" s="181">
        <f t="shared" si="4"/>
        <v>77.010679918678207</v>
      </c>
      <c r="K7" s="181">
        <f t="shared" si="4"/>
        <v>76.869487091150759</v>
      </c>
      <c r="L7" s="181">
        <f t="shared" si="4"/>
        <v>76.534969092243969</v>
      </c>
      <c r="M7" s="181">
        <f t="shared" si="4"/>
        <v>76.419279538917507</v>
      </c>
      <c r="N7" s="181">
        <f t="shared" si="4"/>
        <v>76.370127051493711</v>
      </c>
      <c r="O7" s="181">
        <f t="shared" si="4"/>
        <v>76.501290256263658</v>
      </c>
      <c r="P7" s="181">
        <f t="shared" si="4"/>
        <v>76.82167412183459</v>
      </c>
      <c r="Q7" s="181">
        <f t="shared" si="4"/>
        <v>77.580578145257917</v>
      </c>
      <c r="R7" s="181">
        <f t="shared" si="4"/>
        <v>77.374855149734273</v>
      </c>
      <c r="S7" s="181">
        <f t="shared" si="4"/>
        <v>77.100412982093445</v>
      </c>
      <c r="T7" s="181">
        <f t="shared" si="4"/>
        <v>76.674519224658638</v>
      </c>
      <c r="U7" s="181">
        <f t="shared" si="4"/>
        <v>76.180274817460031</v>
      </c>
      <c r="V7" s="181">
        <f t="shared" si="4"/>
        <v>75.678846012690229</v>
      </c>
      <c r="W7" s="181">
        <f t="shared" si="4"/>
        <v>75.387849700475243</v>
      </c>
      <c r="DA7" s="190" t="s">
        <v>911</v>
      </c>
    </row>
    <row r="8" spans="1:105" ht="12" customHeight="1" x14ac:dyDescent="0.25">
      <c r="A8" s="60" t="s">
        <v>4</v>
      </c>
      <c r="B8" s="55">
        <f t="shared" si="2"/>
        <v>35.395677765979244</v>
      </c>
      <c r="C8" s="55">
        <f t="shared" si="3"/>
        <v>37.657336917296917</v>
      </c>
      <c r="D8" s="55">
        <f t="shared" si="4"/>
        <v>40.991760285161455</v>
      </c>
      <c r="E8" s="55">
        <f t="shared" si="4"/>
        <v>44.503250635824294</v>
      </c>
      <c r="F8" s="55">
        <f t="shared" si="4"/>
        <v>48.390300796862377</v>
      </c>
      <c r="G8" s="55">
        <f t="shared" si="4"/>
        <v>52.619766928770595</v>
      </c>
      <c r="H8" s="55">
        <f t="shared" si="4"/>
        <v>56.179862833551965</v>
      </c>
      <c r="I8" s="55">
        <f t="shared" si="4"/>
        <v>60.133317451568793</v>
      </c>
      <c r="J8" s="55">
        <f t="shared" si="4"/>
        <v>62.782795645842533</v>
      </c>
      <c r="K8" s="55">
        <f t="shared" si="4"/>
        <v>66.155941981327757</v>
      </c>
      <c r="L8" s="55">
        <f t="shared" si="4"/>
        <v>68.557198805653428</v>
      </c>
      <c r="M8" s="55">
        <f t="shared" si="4"/>
        <v>69.712901857340299</v>
      </c>
      <c r="N8" s="55">
        <f t="shared" si="4"/>
        <v>70.848109806329234</v>
      </c>
      <c r="O8" s="55">
        <f t="shared" si="4"/>
        <v>71.987266860312829</v>
      </c>
      <c r="P8" s="55">
        <f t="shared" si="4"/>
        <v>72.790754549542882</v>
      </c>
      <c r="Q8" s="55">
        <f t="shared" si="4"/>
        <v>73.492688116983132</v>
      </c>
      <c r="R8" s="55">
        <f t="shared" si="4"/>
        <v>76.839418157935057</v>
      </c>
      <c r="S8" s="55">
        <f t="shared" si="4"/>
        <v>80.305153856911346</v>
      </c>
      <c r="T8" s="55">
        <f t="shared" si="4"/>
        <v>82.936292155224479</v>
      </c>
      <c r="U8" s="55">
        <f t="shared" si="4"/>
        <v>84.622525946227228</v>
      </c>
      <c r="V8" s="55">
        <f t="shared" si="4"/>
        <v>79.318334405494525</v>
      </c>
      <c r="W8" s="55">
        <f t="shared" si="4"/>
        <v>86.995919333009283</v>
      </c>
      <c r="DA8" s="101" t="s">
        <v>912</v>
      </c>
    </row>
    <row r="9" spans="1:105" ht="12" customHeight="1" x14ac:dyDescent="0.25">
      <c r="A9" s="62" t="s">
        <v>3</v>
      </c>
      <c r="B9" s="63">
        <f t="shared" si="2"/>
        <v>86.295530345449876</v>
      </c>
      <c r="C9" s="63">
        <f t="shared" si="3"/>
        <v>91.35077327103707</v>
      </c>
      <c r="D9" s="63">
        <f t="shared" si="4"/>
        <v>97.009190080667381</v>
      </c>
      <c r="E9" s="63">
        <f t="shared" si="4"/>
        <v>102.78523341002838</v>
      </c>
      <c r="F9" s="63">
        <f t="shared" si="4"/>
        <v>108.05160403556012</v>
      </c>
      <c r="G9" s="63">
        <f t="shared" si="4"/>
        <v>114.5297248277262</v>
      </c>
      <c r="H9" s="63">
        <f t="shared" si="4"/>
        <v>118.40595003342531</v>
      </c>
      <c r="I9" s="63">
        <f t="shared" si="4"/>
        <v>121.01758510011091</v>
      </c>
      <c r="J9" s="63">
        <f t="shared" si="4"/>
        <v>124.35558121838277</v>
      </c>
      <c r="K9" s="63">
        <f t="shared" si="4"/>
        <v>127.25000696727299</v>
      </c>
      <c r="L9" s="63">
        <f t="shared" si="4"/>
        <v>129.6687295605025</v>
      </c>
      <c r="M9" s="63">
        <f t="shared" si="4"/>
        <v>131.67978490784995</v>
      </c>
      <c r="N9" s="63">
        <f t="shared" si="4"/>
        <v>132.39752796382737</v>
      </c>
      <c r="O9" s="63">
        <f t="shared" si="4"/>
        <v>138.50543690449931</v>
      </c>
      <c r="P9" s="63">
        <f t="shared" si="4"/>
        <v>144.30804427431099</v>
      </c>
      <c r="Q9" s="63">
        <f t="shared" si="4"/>
        <v>150.95460002611659</v>
      </c>
      <c r="R9" s="63">
        <f t="shared" si="4"/>
        <v>153.12010094756681</v>
      </c>
      <c r="S9" s="63">
        <f t="shared" si="4"/>
        <v>169.05769320963415</v>
      </c>
      <c r="T9" s="63">
        <f t="shared" si="4"/>
        <v>169.60539938627605</v>
      </c>
      <c r="U9" s="63">
        <f t="shared" si="4"/>
        <v>177.73212902212623</v>
      </c>
      <c r="V9" s="63">
        <f t="shared" si="4"/>
        <v>170.82831910729365</v>
      </c>
      <c r="W9" s="63">
        <f t="shared" si="4"/>
        <v>183.10610157386111</v>
      </c>
      <c r="DA9" s="105" t="s">
        <v>913</v>
      </c>
    </row>
    <row r="10" spans="1:105" s="2" customFormat="1" ht="12" customHeight="1" x14ac:dyDescent="0.25">
      <c r="DA10" s="7"/>
    </row>
    <row r="11" spans="1:105" ht="12.95" customHeight="1" x14ac:dyDescent="0.25">
      <c r="A11" s="179" t="s">
        <v>108</v>
      </c>
      <c r="B11" s="180">
        <f t="shared" ref="B11" si="5">SUM(B12:B17)</f>
        <v>2188.2244528912206</v>
      </c>
      <c r="C11" s="180">
        <f t="shared" ref="C11:W11" si="6">SUM(C12:C17)</f>
        <v>2265.8496756939367</v>
      </c>
      <c r="D11" s="180">
        <f t="shared" si="6"/>
        <v>2357.3332075715716</v>
      </c>
      <c r="E11" s="180">
        <f t="shared" si="6"/>
        <v>2449.7361303165803</v>
      </c>
      <c r="F11" s="180">
        <f t="shared" si="6"/>
        <v>2542.2071854921842</v>
      </c>
      <c r="G11" s="180">
        <f t="shared" si="6"/>
        <v>2640.6205879967883</v>
      </c>
      <c r="H11" s="180">
        <f t="shared" si="6"/>
        <v>2707.1304379218759</v>
      </c>
      <c r="I11" s="180">
        <f t="shared" si="6"/>
        <v>2782.8226662214738</v>
      </c>
      <c r="J11" s="180">
        <f t="shared" si="6"/>
        <v>2839.2150774046609</v>
      </c>
      <c r="K11" s="180">
        <f t="shared" si="6"/>
        <v>2910.5358418482901</v>
      </c>
      <c r="L11" s="180">
        <f t="shared" si="6"/>
        <v>2963.2390661048894</v>
      </c>
      <c r="M11" s="180">
        <f t="shared" si="6"/>
        <v>2984.3388830589961</v>
      </c>
      <c r="N11" s="180">
        <f t="shared" si="6"/>
        <v>2999.6772777052429</v>
      </c>
      <c r="O11" s="180">
        <f t="shared" si="6"/>
        <v>3045.9825578935397</v>
      </c>
      <c r="P11" s="180">
        <f t="shared" si="6"/>
        <v>3090.507569739314</v>
      </c>
      <c r="Q11" s="180">
        <f t="shared" si="6"/>
        <v>3134.021791625888</v>
      </c>
      <c r="R11" s="180">
        <f t="shared" si="6"/>
        <v>3144.9190658402499</v>
      </c>
      <c r="S11" s="180">
        <f t="shared" si="6"/>
        <v>3225.6146952292779</v>
      </c>
      <c r="T11" s="180">
        <f t="shared" si="6"/>
        <v>3216.9499506805955</v>
      </c>
      <c r="U11" s="180">
        <f t="shared" si="6"/>
        <v>3246.1553555141595</v>
      </c>
      <c r="V11" s="180">
        <f t="shared" si="6"/>
        <v>3240.5203194971587</v>
      </c>
      <c r="W11" s="180">
        <f t="shared" si="6"/>
        <v>3245.3408670767462</v>
      </c>
      <c r="DA11" s="189" t="s">
        <v>914</v>
      </c>
    </row>
    <row r="12" spans="1:105" ht="12" customHeight="1" x14ac:dyDescent="0.25">
      <c r="A12" s="132" t="s">
        <v>7</v>
      </c>
      <c r="B12" s="181">
        <f>B20*B52</f>
        <v>51.491527392049832</v>
      </c>
      <c r="C12" s="181">
        <f t="shared" ref="C12:W12" si="7">C20*C52</f>
        <v>52.609728135850737</v>
      </c>
      <c r="D12" s="181">
        <f t="shared" si="7"/>
        <v>53.94710378913696</v>
      </c>
      <c r="E12" s="181">
        <f t="shared" si="7"/>
        <v>55.425290772441436</v>
      </c>
      <c r="F12" s="181">
        <f t="shared" si="7"/>
        <v>56.74879945731805</v>
      </c>
      <c r="G12" s="181">
        <f t="shared" si="7"/>
        <v>58.035569510262206</v>
      </c>
      <c r="H12" s="181">
        <f t="shared" si="7"/>
        <v>59.115788943742309</v>
      </c>
      <c r="I12" s="181">
        <f t="shared" si="7"/>
        <v>60.563911914787461</v>
      </c>
      <c r="J12" s="181">
        <f t="shared" si="7"/>
        <v>61.195279597080422</v>
      </c>
      <c r="K12" s="181">
        <f t="shared" si="7"/>
        <v>62.19012554624215</v>
      </c>
      <c r="L12" s="181">
        <f t="shared" si="7"/>
        <v>63.346857959632828</v>
      </c>
      <c r="M12" s="181">
        <f t="shared" si="7"/>
        <v>63.509094578610899</v>
      </c>
      <c r="N12" s="181">
        <f t="shared" si="7"/>
        <v>63.482410345528287</v>
      </c>
      <c r="O12" s="181">
        <f t="shared" si="7"/>
        <v>63.51071768428168</v>
      </c>
      <c r="P12" s="181">
        <f t="shared" si="7"/>
        <v>63.676955365381218</v>
      </c>
      <c r="Q12" s="181">
        <f t="shared" si="7"/>
        <v>63.511091935041371</v>
      </c>
      <c r="R12" s="181">
        <f t="shared" si="7"/>
        <v>63.320680866575216</v>
      </c>
      <c r="S12" s="181">
        <f t="shared" si="7"/>
        <v>63.126746625097248</v>
      </c>
      <c r="T12" s="181">
        <f t="shared" si="7"/>
        <v>62.828313430011178</v>
      </c>
      <c r="U12" s="181">
        <f t="shared" si="7"/>
        <v>62.881428408208762</v>
      </c>
      <c r="V12" s="181">
        <f t="shared" si="7"/>
        <v>62.899858742540154</v>
      </c>
      <c r="W12" s="181">
        <f t="shared" si="7"/>
        <v>62.933094094780586</v>
      </c>
      <c r="DA12" s="190" t="s">
        <v>915</v>
      </c>
    </row>
    <row r="13" spans="1:105" ht="12" customHeight="1" x14ac:dyDescent="0.25">
      <c r="A13" s="132" t="s">
        <v>6</v>
      </c>
      <c r="B13" s="181">
        <f>B21*B53/1000</f>
        <v>142.8870913797534</v>
      </c>
      <c r="C13" s="181">
        <f t="shared" ref="C13:W13" si="8">C21*C53/1000</f>
        <v>144.11427565392592</v>
      </c>
      <c r="D13" s="181">
        <f t="shared" si="8"/>
        <v>146.33993446953167</v>
      </c>
      <c r="E13" s="181">
        <f t="shared" si="8"/>
        <v>148.90580124606313</v>
      </c>
      <c r="F13" s="181">
        <f t="shared" si="8"/>
        <v>151.27004786543168</v>
      </c>
      <c r="G13" s="181">
        <f t="shared" si="8"/>
        <v>153.9837791403389</v>
      </c>
      <c r="H13" s="181">
        <f t="shared" si="8"/>
        <v>156.00091413148326</v>
      </c>
      <c r="I13" s="181">
        <f t="shared" si="8"/>
        <v>156.81913900323255</v>
      </c>
      <c r="J13" s="181">
        <f t="shared" si="8"/>
        <v>158.67641843769621</v>
      </c>
      <c r="K13" s="181">
        <f t="shared" si="8"/>
        <v>160.11953967949148</v>
      </c>
      <c r="L13" s="181">
        <f t="shared" si="8"/>
        <v>162.17124260002603</v>
      </c>
      <c r="M13" s="181">
        <f t="shared" si="8"/>
        <v>164.90489496559334</v>
      </c>
      <c r="N13" s="181">
        <f t="shared" si="8"/>
        <v>168.32039228840293</v>
      </c>
      <c r="O13" s="181">
        <f t="shared" si="8"/>
        <v>171.61294761779581</v>
      </c>
      <c r="P13" s="181">
        <f t="shared" si="8"/>
        <v>175.79910656107401</v>
      </c>
      <c r="Q13" s="181">
        <f t="shared" si="8"/>
        <v>181.50273152674123</v>
      </c>
      <c r="R13" s="181">
        <f t="shared" si="8"/>
        <v>179.40279472672032</v>
      </c>
      <c r="S13" s="181">
        <f t="shared" si="8"/>
        <v>176.31166966788638</v>
      </c>
      <c r="T13" s="181">
        <f t="shared" si="8"/>
        <v>172.15204216198666</v>
      </c>
      <c r="U13" s="181">
        <f t="shared" si="8"/>
        <v>166.88685566265366</v>
      </c>
      <c r="V13" s="181">
        <f t="shared" si="8"/>
        <v>161.02303296820526</v>
      </c>
      <c r="W13" s="181">
        <f t="shared" si="8"/>
        <v>155.33510067565939</v>
      </c>
      <c r="DA13" s="190" t="s">
        <v>916</v>
      </c>
    </row>
    <row r="14" spans="1:105" ht="12" customHeight="1" x14ac:dyDescent="0.25">
      <c r="A14" s="132" t="s">
        <v>5</v>
      </c>
      <c r="B14" s="181">
        <f>B22*B54</f>
        <v>761.8565582326388</v>
      </c>
      <c r="C14" s="181">
        <f t="shared" ref="C14:W14" si="9">C22*C54</f>
        <v>779.24732709448244</v>
      </c>
      <c r="D14" s="181">
        <f t="shared" si="9"/>
        <v>793.41238810138873</v>
      </c>
      <c r="E14" s="181">
        <f t="shared" si="9"/>
        <v>807.1046832578769</v>
      </c>
      <c r="F14" s="181">
        <f t="shared" si="9"/>
        <v>819.39756840382381</v>
      </c>
      <c r="G14" s="181">
        <f t="shared" si="9"/>
        <v>826.67230152635102</v>
      </c>
      <c r="H14" s="181">
        <f t="shared" si="9"/>
        <v>830.75490620158257</v>
      </c>
      <c r="I14" s="181">
        <f t="shared" si="9"/>
        <v>848.18639245119016</v>
      </c>
      <c r="J14" s="181">
        <f t="shared" si="9"/>
        <v>856.00942917109785</v>
      </c>
      <c r="K14" s="181">
        <f t="shared" si="9"/>
        <v>869.76166777419553</v>
      </c>
      <c r="L14" s="181">
        <f t="shared" si="9"/>
        <v>884.22977533200083</v>
      </c>
      <c r="M14" s="181">
        <f t="shared" si="9"/>
        <v>888.57849441334508</v>
      </c>
      <c r="N14" s="181">
        <f t="shared" si="9"/>
        <v>892.80129784940891</v>
      </c>
      <c r="O14" s="181">
        <f t="shared" si="9"/>
        <v>894.69903398719259</v>
      </c>
      <c r="P14" s="181">
        <f t="shared" si="9"/>
        <v>901.35642771410869</v>
      </c>
      <c r="Q14" s="181">
        <f t="shared" si="9"/>
        <v>902.60272985713743</v>
      </c>
      <c r="R14" s="181">
        <f t="shared" si="9"/>
        <v>887.07167021861551</v>
      </c>
      <c r="S14" s="181">
        <f t="shared" si="9"/>
        <v>871.84133716364681</v>
      </c>
      <c r="T14" s="181">
        <f t="shared" si="9"/>
        <v>848.12598488966444</v>
      </c>
      <c r="U14" s="181">
        <f t="shared" si="9"/>
        <v>815.48246840157424</v>
      </c>
      <c r="V14" s="181">
        <f t="shared" si="9"/>
        <v>778.03265347774834</v>
      </c>
      <c r="W14" s="181">
        <f t="shared" si="9"/>
        <v>731.37898696621198</v>
      </c>
      <c r="DA14" s="190" t="s">
        <v>917</v>
      </c>
    </row>
    <row r="15" spans="1:105" ht="12" customHeight="1" x14ac:dyDescent="0.25">
      <c r="A15" s="132" t="s">
        <v>179</v>
      </c>
      <c r="B15" s="181">
        <f>B23*B55/1000</f>
        <v>105.10936170979406</v>
      </c>
      <c r="C15" s="181">
        <f t="shared" ref="C15:W15" si="10">C23*C55/1000</f>
        <v>104.90344994367337</v>
      </c>
      <c r="D15" s="181">
        <f t="shared" si="10"/>
        <v>104.72824369165457</v>
      </c>
      <c r="E15" s="181">
        <f t="shared" si="10"/>
        <v>104.41662718817813</v>
      </c>
      <c r="F15" s="181">
        <f t="shared" si="10"/>
        <v>104.02315373767652</v>
      </c>
      <c r="G15" s="181">
        <f t="shared" si="10"/>
        <v>103.52750696606434</v>
      </c>
      <c r="H15" s="181">
        <f t="shared" si="10"/>
        <v>103.06256894534599</v>
      </c>
      <c r="I15" s="181">
        <f t="shared" si="10"/>
        <v>102.59418065105156</v>
      </c>
      <c r="J15" s="181">
        <f t="shared" si="10"/>
        <v>102.24134788290269</v>
      </c>
      <c r="K15" s="181">
        <f t="shared" si="10"/>
        <v>102.05389667466704</v>
      </c>
      <c r="L15" s="181">
        <f t="shared" si="10"/>
        <v>101.60978202543355</v>
      </c>
      <c r="M15" s="181">
        <f t="shared" si="10"/>
        <v>101.45618961616559</v>
      </c>
      <c r="N15" s="181">
        <f t="shared" si="10"/>
        <v>101.39093351699447</v>
      </c>
      <c r="O15" s="181">
        <f t="shared" si="10"/>
        <v>101.56506914159202</v>
      </c>
      <c r="P15" s="181">
        <f t="shared" si="10"/>
        <v>101.99041895398817</v>
      </c>
      <c r="Q15" s="181">
        <f t="shared" si="10"/>
        <v>102.99795934124992</v>
      </c>
      <c r="R15" s="181">
        <f t="shared" si="10"/>
        <v>102.72483623189611</v>
      </c>
      <c r="S15" s="181">
        <f t="shared" si="10"/>
        <v>102.36047979243685</v>
      </c>
      <c r="T15" s="181">
        <f t="shared" si="10"/>
        <v>101.79505234963243</v>
      </c>
      <c r="U15" s="181">
        <f t="shared" si="10"/>
        <v>101.13888083642242</v>
      </c>
      <c r="V15" s="181">
        <f t="shared" si="10"/>
        <v>100.47317113328623</v>
      </c>
      <c r="W15" s="181">
        <f t="shared" si="10"/>
        <v>100.08683698818804</v>
      </c>
      <c r="DA15" s="190" t="s">
        <v>918</v>
      </c>
    </row>
    <row r="16" spans="1:105" ht="12" customHeight="1" x14ac:dyDescent="0.25">
      <c r="A16" s="60" t="s">
        <v>4</v>
      </c>
      <c r="B16" s="55">
        <f>B24*B56</f>
        <v>493.61792124460618</v>
      </c>
      <c r="C16" s="55">
        <f t="shared" ref="C16:W16" si="11">C24*C56</f>
        <v>522.66167477668318</v>
      </c>
      <c r="D16" s="55">
        <f t="shared" si="11"/>
        <v>566.47166608927353</v>
      </c>
      <c r="E16" s="55">
        <f t="shared" si="11"/>
        <v>612.54112605947705</v>
      </c>
      <c r="F16" s="55">
        <f t="shared" si="11"/>
        <v>663.57895771616529</v>
      </c>
      <c r="G16" s="55">
        <f t="shared" si="11"/>
        <v>719.09297028200751</v>
      </c>
      <c r="H16" s="55">
        <f t="shared" si="11"/>
        <v>765.27118570917821</v>
      </c>
      <c r="I16" s="55">
        <f t="shared" si="11"/>
        <v>816.64518118603974</v>
      </c>
      <c r="J16" s="55">
        <f t="shared" si="11"/>
        <v>850.19336469319046</v>
      </c>
      <c r="K16" s="55">
        <f t="shared" si="11"/>
        <v>893.45331313198676</v>
      </c>
      <c r="L16" s="55">
        <f t="shared" si="11"/>
        <v>923.5113782381585</v>
      </c>
      <c r="M16" s="55">
        <f t="shared" si="11"/>
        <v>937.55345213963949</v>
      </c>
      <c r="N16" s="55">
        <f t="shared" si="11"/>
        <v>951.34425095020356</v>
      </c>
      <c r="O16" s="55">
        <f t="shared" si="11"/>
        <v>965.20954925091564</v>
      </c>
      <c r="P16" s="55">
        <f t="shared" si="11"/>
        <v>974.59915989779381</v>
      </c>
      <c r="Q16" s="55">
        <f t="shared" si="11"/>
        <v>982.65933727521838</v>
      </c>
      <c r="R16" s="55">
        <f t="shared" si="11"/>
        <v>1018.5909717036957</v>
      </c>
      <c r="S16" s="55">
        <f t="shared" si="11"/>
        <v>1051.6775336858345</v>
      </c>
      <c r="T16" s="55">
        <f t="shared" si="11"/>
        <v>1082.3728335488915</v>
      </c>
      <c r="U16" s="55">
        <f t="shared" si="11"/>
        <v>1111.0473760926404</v>
      </c>
      <c r="V16" s="55">
        <f t="shared" si="11"/>
        <v>1137.1943989781289</v>
      </c>
      <c r="W16" s="55">
        <f t="shared" si="11"/>
        <v>1164.9310696630166</v>
      </c>
      <c r="DA16" s="101" t="s">
        <v>919</v>
      </c>
    </row>
    <row r="17" spans="1:105" ht="12" customHeight="1" x14ac:dyDescent="0.25">
      <c r="A17" s="62" t="s">
        <v>3</v>
      </c>
      <c r="B17" s="63">
        <f>B25*B57/1000</f>
        <v>633.26199293237823</v>
      </c>
      <c r="C17" s="63">
        <f t="shared" ref="C17:W17" si="12">C25*C57/1000</f>
        <v>662.31322008932091</v>
      </c>
      <c r="D17" s="63">
        <f t="shared" si="12"/>
        <v>692.43387143058635</v>
      </c>
      <c r="E17" s="63">
        <f t="shared" si="12"/>
        <v>721.34260179254341</v>
      </c>
      <c r="F17" s="63">
        <f t="shared" si="12"/>
        <v>747.18865831176913</v>
      </c>
      <c r="G17" s="63">
        <f t="shared" si="12"/>
        <v>779.3084605717645</v>
      </c>
      <c r="H17" s="63">
        <f t="shared" si="12"/>
        <v>792.92507399054364</v>
      </c>
      <c r="I17" s="63">
        <f t="shared" si="12"/>
        <v>798.01386101517244</v>
      </c>
      <c r="J17" s="63">
        <f t="shared" si="12"/>
        <v>810.89923762269314</v>
      </c>
      <c r="K17" s="63">
        <f t="shared" si="12"/>
        <v>822.9572990417073</v>
      </c>
      <c r="L17" s="63">
        <f t="shared" si="12"/>
        <v>828.3700299496378</v>
      </c>
      <c r="M17" s="63">
        <f t="shared" si="12"/>
        <v>828.33675734564156</v>
      </c>
      <c r="N17" s="63">
        <f t="shared" si="12"/>
        <v>822.3379927547046</v>
      </c>
      <c r="O17" s="63">
        <f t="shared" si="12"/>
        <v>849.38524021176204</v>
      </c>
      <c r="P17" s="63">
        <f t="shared" si="12"/>
        <v>873.08550124696853</v>
      </c>
      <c r="Q17" s="63">
        <f t="shared" si="12"/>
        <v>900.74794169049994</v>
      </c>
      <c r="R17" s="63">
        <f t="shared" si="12"/>
        <v>893.80811209274714</v>
      </c>
      <c r="S17" s="63">
        <f t="shared" si="12"/>
        <v>960.29692829437624</v>
      </c>
      <c r="T17" s="63">
        <f t="shared" si="12"/>
        <v>949.67572430040912</v>
      </c>
      <c r="U17" s="63">
        <f t="shared" si="12"/>
        <v>988.71834611266024</v>
      </c>
      <c r="V17" s="63">
        <f t="shared" si="12"/>
        <v>1000.8972041972498</v>
      </c>
      <c r="W17" s="63">
        <f t="shared" si="12"/>
        <v>1030.6757786888897</v>
      </c>
      <c r="DA17" s="105" t="s">
        <v>920</v>
      </c>
    </row>
    <row r="18" spans="1:105" s="2" customFormat="1" ht="12" customHeight="1" x14ac:dyDescent="0.25">
      <c r="DA18" s="7"/>
    </row>
    <row r="19" spans="1:105" ht="12.95" customHeight="1" x14ac:dyDescent="0.25">
      <c r="A19" s="179" t="s">
        <v>107</v>
      </c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DA19" s="189"/>
    </row>
    <row r="20" spans="1:105" ht="12" customHeight="1" x14ac:dyDescent="0.25">
      <c r="A20" s="132" t="s">
        <v>165</v>
      </c>
      <c r="B20" s="182">
        <v>83.077636115445287</v>
      </c>
      <c r="C20" s="182">
        <v>85.518976479679424</v>
      </c>
      <c r="D20" s="182">
        <v>88.441421138633913</v>
      </c>
      <c r="E20" s="182">
        <v>91.711033858749516</v>
      </c>
      <c r="F20" s="182">
        <v>94.796757020285625</v>
      </c>
      <c r="G20" s="182">
        <v>97.901923592710858</v>
      </c>
      <c r="H20" s="182">
        <v>100.71669606275663</v>
      </c>
      <c r="I20" s="182">
        <v>104.34923928491632</v>
      </c>
      <c r="J20" s="182">
        <v>106.5002837685159</v>
      </c>
      <c r="K20" s="182">
        <v>109.47524330923981</v>
      </c>
      <c r="L20" s="182">
        <v>112.90268876861074</v>
      </c>
      <c r="M20" s="182">
        <v>114.46055812786867</v>
      </c>
      <c r="N20" s="182">
        <v>115.75477626141743</v>
      </c>
      <c r="O20" s="182">
        <v>117.2907470488598</v>
      </c>
      <c r="P20" s="182">
        <v>119.25801444308398</v>
      </c>
      <c r="Q20" s="182">
        <v>120.66042883524457</v>
      </c>
      <c r="R20" s="182">
        <v>122.10708952646789</v>
      </c>
      <c r="S20" s="182">
        <v>123.67060254307933</v>
      </c>
      <c r="T20" s="182">
        <v>125.12882820844246</v>
      </c>
      <c r="U20" s="182">
        <v>126.64942772255114</v>
      </c>
      <c r="V20" s="182">
        <v>128.20734474438271</v>
      </c>
      <c r="W20" s="182">
        <v>129.84171452967482</v>
      </c>
      <c r="DA20" s="191" t="s">
        <v>921</v>
      </c>
    </row>
    <row r="21" spans="1:105" ht="12" customHeight="1" x14ac:dyDescent="0.25">
      <c r="A21" s="132" t="s">
        <v>163</v>
      </c>
      <c r="B21" s="182">
        <v>800.85893787998873</v>
      </c>
      <c r="C21" s="182">
        <v>815.17885079189352</v>
      </c>
      <c r="D21" s="182">
        <v>837.55341576515957</v>
      </c>
      <c r="E21" s="182">
        <v>864.5671881753932</v>
      </c>
      <c r="F21" s="182">
        <v>892.78337144905311</v>
      </c>
      <c r="G21" s="182">
        <v>926.79711715140002</v>
      </c>
      <c r="H21" s="182">
        <v>959.51958433433117</v>
      </c>
      <c r="I21" s="182">
        <v>987.82092791533125</v>
      </c>
      <c r="J21" s="182">
        <v>1013.5929991762777</v>
      </c>
      <c r="K21" s="182">
        <v>1038.5851281100938</v>
      </c>
      <c r="L21" s="182">
        <v>1070.2145559933524</v>
      </c>
      <c r="M21" s="182">
        <v>1109.869371010333</v>
      </c>
      <c r="N21" s="182">
        <v>1159.7627506534211</v>
      </c>
      <c r="O21" s="182">
        <v>1215.4605569996572</v>
      </c>
      <c r="P21" s="182">
        <v>1288.6760753416727</v>
      </c>
      <c r="Q21" s="182">
        <v>1383.8393949308306</v>
      </c>
      <c r="R21" s="182">
        <v>1419.9271241519666</v>
      </c>
      <c r="S21" s="182">
        <v>1456.5666095726326</v>
      </c>
      <c r="T21" s="182">
        <v>1491.9724793997093</v>
      </c>
      <c r="U21" s="182">
        <v>1526.3400352211506</v>
      </c>
      <c r="V21" s="182">
        <v>1558.3744088111828</v>
      </c>
      <c r="W21" s="182">
        <v>1586.5409674465091</v>
      </c>
      <c r="DA21" s="191" t="s">
        <v>922</v>
      </c>
    </row>
    <row r="22" spans="1:105" ht="12" customHeight="1" x14ac:dyDescent="0.25">
      <c r="A22" s="132" t="s">
        <v>167</v>
      </c>
      <c r="B22" s="182">
        <v>21.251614043594053</v>
      </c>
      <c r="C22" s="182">
        <v>22.022062873222971</v>
      </c>
      <c r="D22" s="182">
        <v>22.865942626102054</v>
      </c>
      <c r="E22" s="182">
        <v>23.807539623876437</v>
      </c>
      <c r="F22" s="182">
        <v>24.812149329452495</v>
      </c>
      <c r="G22" s="182">
        <v>25.796128460753103</v>
      </c>
      <c r="H22" s="182">
        <v>26.870346049727505</v>
      </c>
      <c r="I22" s="182">
        <v>28.27991378939376</v>
      </c>
      <c r="J22" s="182">
        <v>29.295201596527534</v>
      </c>
      <c r="K22" s="182">
        <v>30.529217399634291</v>
      </c>
      <c r="L22" s="182">
        <v>31.877882021159458</v>
      </c>
      <c r="M22" s="182">
        <v>32.860614051930554</v>
      </c>
      <c r="N22" s="182">
        <v>33.862395235075113</v>
      </c>
      <c r="O22" s="182">
        <v>35.002106893527255</v>
      </c>
      <c r="P22" s="182">
        <v>36.390902325315444</v>
      </c>
      <c r="Q22" s="182">
        <v>37.881023682827163</v>
      </c>
      <c r="R22" s="182">
        <v>38.961175407583902</v>
      </c>
      <c r="S22" s="182">
        <v>40.101411099859298</v>
      </c>
      <c r="T22" s="182">
        <v>41.181287898245131</v>
      </c>
      <c r="U22" s="182">
        <v>42.223479348782085</v>
      </c>
      <c r="V22" s="182">
        <v>43.160837734218781</v>
      </c>
      <c r="W22" s="182">
        <v>43.936220156650229</v>
      </c>
      <c r="DA22" s="191" t="s">
        <v>923</v>
      </c>
    </row>
    <row r="23" spans="1:105" ht="12" customHeight="1" x14ac:dyDescent="0.25">
      <c r="A23" s="132" t="s">
        <v>180</v>
      </c>
      <c r="B23" s="182">
        <v>173.42070399293388</v>
      </c>
      <c r="C23" s="182">
        <v>174.48119764676409</v>
      </c>
      <c r="D23" s="182">
        <v>175.96062639369339</v>
      </c>
      <c r="E23" s="182">
        <v>177.49841299261112</v>
      </c>
      <c r="F23" s="182">
        <v>179.09550111267785</v>
      </c>
      <c r="G23" s="182">
        <v>180.78756007164108</v>
      </c>
      <c r="H23" s="182">
        <v>182.84864688112671</v>
      </c>
      <c r="I23" s="182">
        <v>185.28018888108423</v>
      </c>
      <c r="J23" s="182">
        <v>188.28854045785499</v>
      </c>
      <c r="K23" s="182">
        <v>192.18094917534177</v>
      </c>
      <c r="L23" s="182">
        <v>196.21386332663337</v>
      </c>
      <c r="M23" s="182">
        <v>199.13840020218566</v>
      </c>
      <c r="N23" s="182">
        <v>202.34005609658718</v>
      </c>
      <c r="O23" s="182">
        <v>206.13297532370993</v>
      </c>
      <c r="P23" s="182">
        <v>211.08962602610202</v>
      </c>
      <c r="Q23" s="182">
        <v>217.55015483853606</v>
      </c>
      <c r="R23" s="182">
        <v>221.24362329438031</v>
      </c>
      <c r="S23" s="182">
        <v>224.97099956643285</v>
      </c>
      <c r="T23" s="182">
        <v>228.56093557571822</v>
      </c>
      <c r="U23" s="182">
        <v>232.10982091634673</v>
      </c>
      <c r="V23" s="182">
        <v>235.53999577865147</v>
      </c>
      <c r="W23" s="182">
        <v>238.73243210645342</v>
      </c>
      <c r="DA23" s="191" t="s">
        <v>924</v>
      </c>
    </row>
    <row r="24" spans="1:105" ht="12" customHeight="1" x14ac:dyDescent="0.25">
      <c r="A24" s="60" t="s">
        <v>166</v>
      </c>
      <c r="B24" s="36">
        <v>10.830192705698208</v>
      </c>
      <c r="C24" s="36">
        <v>11.525113090357564</v>
      </c>
      <c r="D24" s="36">
        <v>12.575698332980473</v>
      </c>
      <c r="E24" s="36">
        <v>13.690446066457236</v>
      </c>
      <c r="F24" s="36">
        <v>14.935298422123424</v>
      </c>
      <c r="G24" s="36">
        <v>16.304150064704885</v>
      </c>
      <c r="H24" s="36">
        <v>17.468306793440593</v>
      </c>
      <c r="I24" s="36">
        <v>18.780869768674762</v>
      </c>
      <c r="J24" s="36">
        <v>19.682960897115017</v>
      </c>
      <c r="K24" s="36">
        <v>20.854304936372358</v>
      </c>
      <c r="L24" s="36">
        <v>21.735417110476149</v>
      </c>
      <c r="M24" s="36">
        <v>22.256235794138949</v>
      </c>
      <c r="N24" s="36">
        <v>22.827011206661535</v>
      </c>
      <c r="O24" s="36">
        <v>23.466322294951048</v>
      </c>
      <c r="P24" s="36">
        <v>24.060504777279959</v>
      </c>
      <c r="Q24" s="36">
        <v>24.713744464830157</v>
      </c>
      <c r="R24" s="36">
        <v>26.00684400097218</v>
      </c>
      <c r="S24" s="36">
        <v>27.344788441257656</v>
      </c>
      <c r="T24" s="36">
        <v>28.669640410968942</v>
      </c>
      <c r="U24" s="36">
        <v>30.011750924476534</v>
      </c>
      <c r="V24" s="36">
        <v>31.353616310772402</v>
      </c>
      <c r="W24" s="36">
        <v>32.706843013759112</v>
      </c>
      <c r="DA24" s="89" t="s">
        <v>925</v>
      </c>
    </row>
    <row r="25" spans="1:105" ht="12" customHeight="1" x14ac:dyDescent="0.25">
      <c r="A25" s="62" t="s">
        <v>164</v>
      </c>
      <c r="B25" s="38">
        <v>1820.4356698643844</v>
      </c>
      <c r="C25" s="38">
        <v>1955.9172493563824</v>
      </c>
      <c r="D25" s="38">
        <v>2122.7108015703557</v>
      </c>
      <c r="E25" s="38">
        <v>2312.4933517209852</v>
      </c>
      <c r="F25" s="38">
        <v>2521.2824300798811</v>
      </c>
      <c r="G25" s="38">
        <v>2779.8775964821825</v>
      </c>
      <c r="H25" s="38">
        <v>2985.1909096348581</v>
      </c>
      <c r="I25" s="38">
        <v>3167.9687450756433</v>
      </c>
      <c r="J25" s="38">
        <v>3415.6787138710697</v>
      </c>
      <c r="K25" s="38">
        <v>3689.7404100588205</v>
      </c>
      <c r="L25" s="38">
        <v>3993.5414262591912</v>
      </c>
      <c r="M25" s="38">
        <v>4302.5534014881932</v>
      </c>
      <c r="N25" s="38">
        <v>4564.2697133108395</v>
      </c>
      <c r="O25" s="38">
        <v>5046.0611046464201</v>
      </c>
      <c r="P25" s="38">
        <v>5493.0866977387586</v>
      </c>
      <c r="Q25" s="38">
        <v>5923.1635860097322</v>
      </c>
      <c r="R25" s="38">
        <v>6083.8696567225707</v>
      </c>
      <c r="S25" s="38">
        <v>6762.1386821620035</v>
      </c>
      <c r="T25" s="38">
        <v>6891.9921897573768</v>
      </c>
      <c r="U25" s="38">
        <v>7382.7025912523359</v>
      </c>
      <c r="V25" s="38">
        <v>7672.2445237905513</v>
      </c>
      <c r="W25" s="38">
        <v>8078.9328487931734</v>
      </c>
      <c r="DA25" s="90" t="s">
        <v>926</v>
      </c>
    </row>
    <row r="26" spans="1:105" s="2" customFormat="1" ht="12" customHeight="1" x14ac:dyDescent="0.25">
      <c r="DA26" s="7"/>
    </row>
    <row r="27" spans="1:105" ht="12.95" customHeight="1" x14ac:dyDescent="0.25">
      <c r="A27" s="179" t="s">
        <v>106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DA27" s="189"/>
    </row>
    <row r="28" spans="1:105" ht="12" customHeight="1" x14ac:dyDescent="0.25">
      <c r="A28" s="132" t="s">
        <v>165</v>
      </c>
      <c r="B28" s="183"/>
      <c r="C28" s="183">
        <v>6.0446938540060842</v>
      </c>
      <c r="D28" s="183">
        <v>6.6277211436500068</v>
      </c>
      <c r="E28" s="183">
        <v>7.0796951522187328</v>
      </c>
      <c r="F28" s="183">
        <v>7.0035760395552273</v>
      </c>
      <c r="G28" s="183">
        <v>7.1338382474708197</v>
      </c>
      <c r="H28" s="183">
        <v>6.9573975176510885</v>
      </c>
      <c r="I28" s="183">
        <v>7.8923448811898567</v>
      </c>
      <c r="J28" s="183">
        <v>6.5313371641465352</v>
      </c>
      <c r="K28" s="183">
        <v>7.4791514029388395</v>
      </c>
      <c r="L28" s="183">
        <v>8.0590410652403222</v>
      </c>
      <c r="M28" s="183">
        <v>6.3204723993868299</v>
      </c>
      <c r="N28" s="183">
        <v>6.1915342310726516</v>
      </c>
      <c r="O28" s="183">
        <v>6.5718103812493354</v>
      </c>
      <c r="P28" s="183">
        <v>7.1455487037308245</v>
      </c>
      <c r="Q28" s="183">
        <v>6.7271664659482866</v>
      </c>
      <c r="R28" s="183">
        <v>6.9220265419070159</v>
      </c>
      <c r="S28" s="183">
        <v>7.1937528443801</v>
      </c>
      <c r="T28" s="183">
        <v>7.2477201726998715</v>
      </c>
      <c r="U28" s="183">
        <v>7.5652933681147658</v>
      </c>
      <c r="V28" s="183">
        <v>8.1856381654815777</v>
      </c>
      <c r="W28" s="183">
        <v>8.714064937510841</v>
      </c>
      <c r="DA28" s="192" t="s">
        <v>927</v>
      </c>
    </row>
    <row r="29" spans="1:105" ht="12" customHeight="1" x14ac:dyDescent="0.25">
      <c r="A29" s="132" t="s">
        <v>163</v>
      </c>
      <c r="B29" s="183"/>
      <c r="C29" s="183">
        <v>114.78320553071978</v>
      </c>
      <c r="D29" s="183">
        <v>127.1622881190259</v>
      </c>
      <c r="E29" s="183">
        <v>136.31207068257174</v>
      </c>
      <c r="F29" s="183">
        <v>142.21921384444454</v>
      </c>
      <c r="G29" s="183">
        <v>152.92402321590396</v>
      </c>
      <c r="H29" s="183">
        <v>156.75122350245567</v>
      </c>
      <c r="I29" s="183">
        <v>157.66890302020977</v>
      </c>
      <c r="J29" s="183">
        <v>140.55527679166619</v>
      </c>
      <c r="K29" s="183">
        <v>152.15441705284206</v>
      </c>
      <c r="L29" s="183">
        <v>167.94149856583033</v>
      </c>
      <c r="M29" s="183">
        <v>181.87402886142513</v>
      </c>
      <c r="N29" s="183">
        <v>202.81740285899207</v>
      </c>
      <c r="O29" s="183">
        <v>212.44902984869179</v>
      </c>
      <c r="P29" s="183">
        <v>230.88442136222534</v>
      </c>
      <c r="Q29" s="183">
        <v>235.71859638082424</v>
      </c>
      <c r="R29" s="183">
        <v>188.24214627397805</v>
      </c>
      <c r="S29" s="183">
        <v>204.58098398649622</v>
      </c>
      <c r="T29" s="183">
        <v>217.27989868850182</v>
      </c>
      <c r="U29" s="183">
        <v>237.18495868043328</v>
      </c>
      <c r="V29" s="183">
        <v>244.48340343872383</v>
      </c>
      <c r="W29" s="183">
        <v>259.05097999755162</v>
      </c>
      <c r="DA29" s="192" t="s">
        <v>928</v>
      </c>
    </row>
    <row r="30" spans="1:105" ht="12" customHeight="1" x14ac:dyDescent="0.25">
      <c r="A30" s="132" t="s">
        <v>167</v>
      </c>
      <c r="B30" s="183"/>
      <c r="C30" s="183">
        <v>4.0892304548907212</v>
      </c>
      <c r="D30" s="183">
        <v>4.2488778556956781</v>
      </c>
      <c r="E30" s="183">
        <v>4.4350513401552298</v>
      </c>
      <c r="F30" s="183">
        <v>4.5888182348566851</v>
      </c>
      <c r="G30" s="183">
        <v>4.6612994917014987</v>
      </c>
      <c r="H30" s="183">
        <v>4.8470686724276923</v>
      </c>
      <c r="I30" s="183">
        <v>5.4987981945569757</v>
      </c>
      <c r="J30" s="183">
        <v>5.264165662829452</v>
      </c>
      <c r="K30" s="183">
        <v>5.6690671432619872</v>
      </c>
      <c r="L30" s="183">
        <v>5.9374828563818518</v>
      </c>
      <c r="M30" s="183">
        <v>5.644031522472595</v>
      </c>
      <c r="N30" s="183">
        <v>5.8488498555722508</v>
      </c>
      <c r="O30" s="183">
        <v>6.6385098530091184</v>
      </c>
      <c r="P30" s="183">
        <v>6.6529610946176412</v>
      </c>
      <c r="Q30" s="183">
        <v>7.1591885007737055</v>
      </c>
      <c r="R30" s="183">
        <v>7.0176345811385907</v>
      </c>
      <c r="S30" s="183">
        <v>6.7842672147479917</v>
      </c>
      <c r="T30" s="183">
        <v>6.9287266539580799</v>
      </c>
      <c r="U30" s="183">
        <v>7.6807013035460727</v>
      </c>
      <c r="V30" s="183">
        <v>7.5903194800543403</v>
      </c>
      <c r="W30" s="183">
        <v>7.9345709232051505</v>
      </c>
      <c r="DA30" s="192" t="s">
        <v>929</v>
      </c>
    </row>
    <row r="31" spans="1:105" ht="12" customHeight="1" x14ac:dyDescent="0.25">
      <c r="A31" s="132" t="s">
        <v>180</v>
      </c>
      <c r="B31" s="183"/>
      <c r="C31" s="183">
        <v>16.821505249761344</v>
      </c>
      <c r="D31" s="183">
        <v>17.57243320995795</v>
      </c>
      <c r="E31" s="183">
        <v>17.969777088279443</v>
      </c>
      <c r="F31" s="183">
        <v>18.375205100198258</v>
      </c>
      <c r="G31" s="183">
        <v>18.823593302366646</v>
      </c>
      <c r="H31" s="183">
        <v>19.553482964951542</v>
      </c>
      <c r="I31" s="183">
        <v>20.292401227524579</v>
      </c>
      <c r="J31" s="183">
        <v>21.245435250826773</v>
      </c>
      <c r="K31" s="183">
        <v>22.513641699446993</v>
      </c>
      <c r="L31" s="183">
        <v>23.04638823331976</v>
      </c>
      <c r="M31" s="183">
        <v>19.746042125313636</v>
      </c>
      <c r="N31" s="183">
        <v>20.774089104359462</v>
      </c>
      <c r="O31" s="183">
        <v>21.762696315402195</v>
      </c>
      <c r="P31" s="183">
        <v>23.331855802590354</v>
      </c>
      <c r="Q31" s="183">
        <v>25.284122114800681</v>
      </c>
      <c r="R31" s="183">
        <v>23.246951420795796</v>
      </c>
      <c r="S31" s="183">
        <v>24.019777499577117</v>
      </c>
      <c r="T31" s="183">
        <v>24.83537126011214</v>
      </c>
      <c r="U31" s="183">
        <v>26.062527040075508</v>
      </c>
      <c r="V31" s="183">
        <v>26.476563095624499</v>
      </c>
      <c r="W31" s="183">
        <v>22.938478453115579</v>
      </c>
      <c r="DA31" s="192" t="s">
        <v>930</v>
      </c>
    </row>
    <row r="32" spans="1:105" ht="12" customHeight="1" x14ac:dyDescent="0.25">
      <c r="A32" s="60" t="s">
        <v>166</v>
      </c>
      <c r="B32" s="41"/>
      <c r="C32" s="41">
        <v>1.0033908561130858</v>
      </c>
      <c r="D32" s="41">
        <v>1.3937683515615049</v>
      </c>
      <c r="E32" s="41">
        <v>1.4965497442356028</v>
      </c>
      <c r="F32" s="41">
        <v>1.6696191102723255</v>
      </c>
      <c r="G32" s="41">
        <v>1.8414180270801417</v>
      </c>
      <c r="H32" s="41">
        <v>1.6899017060356059</v>
      </c>
      <c r="I32" s="41">
        <v>1.8974708108799376</v>
      </c>
      <c r="J32" s="41">
        <v>1.552819506211641</v>
      </c>
      <c r="K32" s="41">
        <v>1.8952998419172147</v>
      </c>
      <c r="L32" s="41">
        <v>1.6865357918655981</v>
      </c>
      <c r="M32" s="41">
        <v>1.4168778100143165</v>
      </c>
      <c r="N32" s="41">
        <v>1.5676693950321656</v>
      </c>
      <c r="O32" s="41">
        <v>1.7483870221626034</v>
      </c>
      <c r="P32" s="41">
        <v>1.8280643681438278</v>
      </c>
      <c r="Q32" s="41">
        <v>2.0259721233045838</v>
      </c>
      <c r="R32" s="41">
        <v>2.2964903922551088</v>
      </c>
      <c r="S32" s="41">
        <v>2.7317127918469808</v>
      </c>
      <c r="T32" s="41">
        <v>2.8214017139468872</v>
      </c>
      <c r="U32" s="41">
        <v>3.0117296237799174</v>
      </c>
      <c r="V32" s="41">
        <v>3.1832834133760102</v>
      </c>
      <c r="W32" s="41">
        <v>3.0431284090223159</v>
      </c>
      <c r="DA32" s="92" t="s">
        <v>931</v>
      </c>
    </row>
    <row r="33" spans="1:105" ht="12" customHeight="1" x14ac:dyDescent="0.25">
      <c r="A33" s="62" t="s">
        <v>164</v>
      </c>
      <c r="B33" s="42"/>
      <c r="C33" s="42">
        <v>499.56871346487492</v>
      </c>
      <c r="D33" s="42">
        <v>530.8806861868502</v>
      </c>
      <c r="E33" s="42">
        <v>553.86968412350643</v>
      </c>
      <c r="F33" s="42">
        <v>572.87621233177288</v>
      </c>
      <c r="G33" s="42">
        <v>622.68230037517833</v>
      </c>
      <c r="H33" s="42">
        <v>704.88202661755076</v>
      </c>
      <c r="I33" s="42">
        <v>713.65852162763531</v>
      </c>
      <c r="J33" s="42">
        <v>801.57965291893288</v>
      </c>
      <c r="K33" s="42">
        <v>846.93790851952372</v>
      </c>
      <c r="L33" s="42">
        <v>926.483316575549</v>
      </c>
      <c r="M33" s="42">
        <v>1013.8940018465528</v>
      </c>
      <c r="N33" s="42">
        <v>975.37483345028159</v>
      </c>
      <c r="O33" s="42">
        <v>1283.3710442545134</v>
      </c>
      <c r="P33" s="42">
        <v>1293.9635016118618</v>
      </c>
      <c r="Q33" s="42">
        <v>1356.5602048465225</v>
      </c>
      <c r="R33" s="42">
        <v>1174.6000725593913</v>
      </c>
      <c r="S33" s="42">
        <v>1653.6438588897145</v>
      </c>
      <c r="T33" s="42">
        <v>1413.2245518498867</v>
      </c>
      <c r="U33" s="42">
        <v>1784.6739031068209</v>
      </c>
      <c r="V33" s="42">
        <v>1646.1021373847379</v>
      </c>
      <c r="W33" s="42">
        <v>1581.2883975620134</v>
      </c>
      <c r="DA33" s="93" t="s">
        <v>932</v>
      </c>
    </row>
    <row r="34" spans="1:105" s="2" customFormat="1" ht="12" customHeight="1" x14ac:dyDescent="0.25">
      <c r="DA34" s="7"/>
    </row>
    <row r="35" spans="1:105" ht="12.95" customHeight="1" x14ac:dyDescent="0.25">
      <c r="A35" s="179" t="s">
        <v>105</v>
      </c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DA35" s="189"/>
    </row>
    <row r="36" spans="1:105" ht="12" customHeight="1" x14ac:dyDescent="0.25">
      <c r="A36" s="132" t="s">
        <v>165</v>
      </c>
      <c r="B36" s="183"/>
      <c r="C36" s="183">
        <v>3.6033534897719477</v>
      </c>
      <c r="D36" s="183">
        <v>3.7052764846955171</v>
      </c>
      <c r="E36" s="183">
        <v>3.8100824321031297</v>
      </c>
      <c r="F36" s="183">
        <v>3.9178528780191186</v>
      </c>
      <c r="G36" s="183">
        <v>4.0286716750455867</v>
      </c>
      <c r="H36" s="183">
        <v>4.1426250476053212</v>
      </c>
      <c r="I36" s="183">
        <v>4.2598016590301597</v>
      </c>
      <c r="J36" s="183">
        <v>4.3802926805469582</v>
      </c>
      <c r="K36" s="183">
        <v>4.504191862214924</v>
      </c>
      <c r="L36" s="183">
        <v>4.6315956058693928</v>
      </c>
      <c r="M36" s="183">
        <v>4.7626030401289086</v>
      </c>
      <c r="N36" s="183">
        <v>4.8973160975238841</v>
      </c>
      <c r="O36" s="183">
        <v>5.0358395938069691</v>
      </c>
      <c r="P36" s="183">
        <v>5.1782813095066444</v>
      </c>
      <c r="Q36" s="183">
        <v>5.3247520737876926</v>
      </c>
      <c r="R36" s="183">
        <v>5.4753658506837013</v>
      </c>
      <c r="S36" s="183">
        <v>5.6302398277686621</v>
      </c>
      <c r="T36" s="183">
        <v>5.789494507336741</v>
      </c>
      <c r="U36" s="183">
        <v>6.0446938540060842</v>
      </c>
      <c r="V36" s="183">
        <v>6.6277211436500068</v>
      </c>
      <c r="W36" s="183">
        <v>7.0796951522187328</v>
      </c>
      <c r="DA36" s="192" t="s">
        <v>933</v>
      </c>
    </row>
    <row r="37" spans="1:105" ht="12" customHeight="1" x14ac:dyDescent="0.25">
      <c r="A37" s="132" t="s">
        <v>163</v>
      </c>
      <c r="B37" s="183"/>
      <c r="C37" s="183">
        <v>100.46329261881499</v>
      </c>
      <c r="D37" s="183">
        <v>104.78772314575986</v>
      </c>
      <c r="E37" s="183">
        <v>109.29829827233812</v>
      </c>
      <c r="F37" s="183">
        <v>114.00303057078463</v>
      </c>
      <c r="G37" s="183">
        <v>118.91027751355705</v>
      </c>
      <c r="H37" s="183">
        <v>124.0287563195244</v>
      </c>
      <c r="I37" s="183">
        <v>129.36755943920969</v>
      </c>
      <c r="J37" s="183">
        <v>114.78320553071978</v>
      </c>
      <c r="K37" s="183">
        <v>127.16228811902579</v>
      </c>
      <c r="L37" s="183">
        <v>136.31207068257163</v>
      </c>
      <c r="M37" s="183">
        <v>142.21921384444454</v>
      </c>
      <c r="N37" s="183">
        <v>152.92402321590384</v>
      </c>
      <c r="O37" s="183">
        <v>156.75122350245579</v>
      </c>
      <c r="P37" s="183">
        <v>157.66890302020988</v>
      </c>
      <c r="Q37" s="183">
        <v>140.5552767916663</v>
      </c>
      <c r="R37" s="183">
        <v>152.15441705284206</v>
      </c>
      <c r="S37" s="183">
        <v>167.94149856583022</v>
      </c>
      <c r="T37" s="183">
        <v>181.87402886142513</v>
      </c>
      <c r="U37" s="183">
        <v>202.81740285899195</v>
      </c>
      <c r="V37" s="183">
        <v>212.44902984869168</v>
      </c>
      <c r="W37" s="183">
        <v>230.88442136222534</v>
      </c>
      <c r="DA37" s="192" t="s">
        <v>934</v>
      </c>
    </row>
    <row r="38" spans="1:105" ht="12" customHeight="1" x14ac:dyDescent="0.25">
      <c r="A38" s="132" t="s">
        <v>167</v>
      </c>
      <c r="B38" s="183"/>
      <c r="C38" s="183">
        <v>3.3187816252618028</v>
      </c>
      <c r="D38" s="183">
        <v>3.4049981028165952</v>
      </c>
      <c r="E38" s="183">
        <v>3.4934543423808471</v>
      </c>
      <c r="F38" s="183">
        <v>3.5842085292806267</v>
      </c>
      <c r="G38" s="183">
        <v>3.6773203604008913</v>
      </c>
      <c r="H38" s="183">
        <v>3.7728510834532898</v>
      </c>
      <c r="I38" s="183">
        <v>4.0892304548907248</v>
      </c>
      <c r="J38" s="183">
        <v>4.2488778556956817</v>
      </c>
      <c r="K38" s="183">
        <v>4.4350513401552263</v>
      </c>
      <c r="L38" s="183">
        <v>4.5888182348566815</v>
      </c>
      <c r="M38" s="183">
        <v>4.6612994917014987</v>
      </c>
      <c r="N38" s="183">
        <v>4.8470686724276959</v>
      </c>
      <c r="O38" s="183">
        <v>5.4987981945569757</v>
      </c>
      <c r="P38" s="183">
        <v>5.2641656628294484</v>
      </c>
      <c r="Q38" s="183">
        <v>5.6690671432619837</v>
      </c>
      <c r="R38" s="183">
        <v>5.9374828563818554</v>
      </c>
      <c r="S38" s="183">
        <v>5.644031522472595</v>
      </c>
      <c r="T38" s="183">
        <v>5.8488498555722472</v>
      </c>
      <c r="U38" s="183">
        <v>6.6385098530091184</v>
      </c>
      <c r="V38" s="183">
        <v>6.6529610946176447</v>
      </c>
      <c r="W38" s="183">
        <v>7.1591885007737019</v>
      </c>
      <c r="DA38" s="192" t="s">
        <v>935</v>
      </c>
    </row>
    <row r="39" spans="1:105" ht="12" customHeight="1" x14ac:dyDescent="0.25">
      <c r="A39" s="132" t="s">
        <v>180</v>
      </c>
      <c r="B39" s="183"/>
      <c r="C39" s="183">
        <v>15.761011595931137</v>
      </c>
      <c r="D39" s="183">
        <v>16.093004463028649</v>
      </c>
      <c r="E39" s="183">
        <v>16.431990489361709</v>
      </c>
      <c r="F39" s="183">
        <v>16.778116980131529</v>
      </c>
      <c r="G39" s="183">
        <v>17.131534343403416</v>
      </c>
      <c r="H39" s="183">
        <v>17.492396155465912</v>
      </c>
      <c r="I39" s="183">
        <v>17.860859227567062</v>
      </c>
      <c r="J39" s="183">
        <v>18.237083674056009</v>
      </c>
      <c r="K39" s="183">
        <v>18.621232981960219</v>
      </c>
      <c r="L39" s="183">
        <v>19.013474082028154</v>
      </c>
      <c r="M39" s="183">
        <v>16.821505249761344</v>
      </c>
      <c r="N39" s="183">
        <v>17.57243320995795</v>
      </c>
      <c r="O39" s="183">
        <v>17.969777088279443</v>
      </c>
      <c r="P39" s="183">
        <v>18.375205100198258</v>
      </c>
      <c r="Q39" s="183">
        <v>18.823593302366646</v>
      </c>
      <c r="R39" s="183">
        <v>19.553482964951542</v>
      </c>
      <c r="S39" s="183">
        <v>20.292401227524579</v>
      </c>
      <c r="T39" s="183">
        <v>21.245435250826773</v>
      </c>
      <c r="U39" s="183">
        <v>22.513641699446993</v>
      </c>
      <c r="V39" s="183">
        <v>23.04638823331976</v>
      </c>
      <c r="W39" s="183">
        <v>19.746042125313636</v>
      </c>
      <c r="DA39" s="192" t="s">
        <v>936</v>
      </c>
    </row>
    <row r="40" spans="1:105" ht="12" customHeight="1" x14ac:dyDescent="0.25">
      <c r="A40" s="60" t="s">
        <v>166</v>
      </c>
      <c r="B40" s="41"/>
      <c r="C40" s="41">
        <v>0.30847047145372919</v>
      </c>
      <c r="D40" s="41">
        <v>0.3431831089385966</v>
      </c>
      <c r="E40" s="41">
        <v>0.38180201075883957</v>
      </c>
      <c r="F40" s="41">
        <v>0.42476675460613755</v>
      </c>
      <c r="G40" s="41">
        <v>0.47256638449868049</v>
      </c>
      <c r="H40" s="41">
        <v>0.52574497729989744</v>
      </c>
      <c r="I40" s="41">
        <v>0.58490783564576887</v>
      </c>
      <c r="J40" s="41">
        <v>0.65072837777138659</v>
      </c>
      <c r="K40" s="41">
        <v>0.72395580265987292</v>
      </c>
      <c r="L40" s="41">
        <v>0.80542361776180726</v>
      </c>
      <c r="M40" s="41">
        <v>0.89605912635151697</v>
      </c>
      <c r="N40" s="41">
        <v>0.9968939825095795</v>
      </c>
      <c r="O40" s="41">
        <v>1.1090759338730898</v>
      </c>
      <c r="P40" s="41">
        <v>1.2338818858149168</v>
      </c>
      <c r="Q40" s="41">
        <v>1.3727324357543864</v>
      </c>
      <c r="R40" s="41">
        <v>1.0033908561130858</v>
      </c>
      <c r="S40" s="41">
        <v>1.3937683515615049</v>
      </c>
      <c r="T40" s="41">
        <v>1.4965497442356011</v>
      </c>
      <c r="U40" s="41">
        <v>1.6696191102723255</v>
      </c>
      <c r="V40" s="41">
        <v>1.8414180270801452</v>
      </c>
      <c r="W40" s="41">
        <v>1.6899017060356059</v>
      </c>
      <c r="DA40" s="92" t="s">
        <v>937</v>
      </c>
    </row>
    <row r="41" spans="1:105" ht="12" customHeight="1" x14ac:dyDescent="0.25">
      <c r="A41" s="62" t="s">
        <v>164</v>
      </c>
      <c r="B41" s="42"/>
      <c r="C41" s="42">
        <v>364.08713397287693</v>
      </c>
      <c r="D41" s="42">
        <v>364.08713397287693</v>
      </c>
      <c r="E41" s="42">
        <v>364.08713397287693</v>
      </c>
      <c r="F41" s="42">
        <v>364.08713397287693</v>
      </c>
      <c r="G41" s="42">
        <v>364.08713397287693</v>
      </c>
      <c r="H41" s="42">
        <v>499.56871346487515</v>
      </c>
      <c r="I41" s="42">
        <v>530.8806861868502</v>
      </c>
      <c r="J41" s="42">
        <v>553.86968412350643</v>
      </c>
      <c r="K41" s="42">
        <v>572.87621233177242</v>
      </c>
      <c r="L41" s="42">
        <v>622.68230037517787</v>
      </c>
      <c r="M41" s="42">
        <v>704.88202661755076</v>
      </c>
      <c r="N41" s="42">
        <v>713.65852162763531</v>
      </c>
      <c r="O41" s="42">
        <v>801.57965291893288</v>
      </c>
      <c r="P41" s="42">
        <v>846.93790851952326</v>
      </c>
      <c r="Q41" s="42">
        <v>926.483316575549</v>
      </c>
      <c r="R41" s="42">
        <v>1013.8940018465528</v>
      </c>
      <c r="S41" s="42">
        <v>975.37483345028159</v>
      </c>
      <c r="T41" s="42">
        <v>1283.3710442545134</v>
      </c>
      <c r="U41" s="42">
        <v>1293.9635016118618</v>
      </c>
      <c r="V41" s="42">
        <v>1356.5602048465234</v>
      </c>
      <c r="W41" s="42">
        <v>1174.6000725593922</v>
      </c>
      <c r="DA41" s="93" t="s">
        <v>938</v>
      </c>
    </row>
    <row r="42" spans="1:105" s="2" customFormat="1" ht="12" customHeight="1" x14ac:dyDescent="0.25">
      <c r="DA42" s="7"/>
    </row>
    <row r="43" spans="1:105" ht="12.95" customHeight="1" x14ac:dyDescent="0.25">
      <c r="A43" s="179" t="s">
        <v>104</v>
      </c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DA43" s="193"/>
    </row>
    <row r="44" spans="1:105" ht="12" customHeight="1" x14ac:dyDescent="0.25">
      <c r="A44" s="132" t="s">
        <v>7</v>
      </c>
      <c r="B44" s="185">
        <v>8759.9999999999982</v>
      </c>
      <c r="C44" s="185">
        <v>8760</v>
      </c>
      <c r="D44" s="185">
        <v>8760</v>
      </c>
      <c r="E44" s="185">
        <v>8759.9999999999982</v>
      </c>
      <c r="F44" s="185">
        <v>8760.0000000000036</v>
      </c>
      <c r="G44" s="185">
        <v>8760</v>
      </c>
      <c r="H44" s="185">
        <v>8760.0000000000036</v>
      </c>
      <c r="I44" s="185">
        <v>8760</v>
      </c>
      <c r="J44" s="185">
        <v>8759.9999999999964</v>
      </c>
      <c r="K44" s="185">
        <v>8760</v>
      </c>
      <c r="L44" s="185">
        <v>8760.0000000000018</v>
      </c>
      <c r="M44" s="185">
        <v>8760.0000000000018</v>
      </c>
      <c r="N44" s="185">
        <v>8760.0000000000018</v>
      </c>
      <c r="O44" s="185">
        <v>8759.9999999999982</v>
      </c>
      <c r="P44" s="185">
        <v>8760</v>
      </c>
      <c r="Q44" s="185">
        <v>8760</v>
      </c>
      <c r="R44" s="185">
        <v>8760.0000000000018</v>
      </c>
      <c r="S44" s="185">
        <v>8760.0000000000036</v>
      </c>
      <c r="T44" s="185">
        <v>8760.0000000000036</v>
      </c>
      <c r="U44" s="185">
        <v>8760.0000000000018</v>
      </c>
      <c r="V44" s="185">
        <v>8760</v>
      </c>
      <c r="W44" s="185">
        <v>8760.0000000000018</v>
      </c>
      <c r="DA44" s="194" t="s">
        <v>939</v>
      </c>
    </row>
    <row r="45" spans="1:105" ht="12" customHeight="1" x14ac:dyDescent="0.25">
      <c r="A45" s="132" t="s">
        <v>6</v>
      </c>
      <c r="B45" s="185">
        <v>4158.4378769491959</v>
      </c>
      <c r="C45" s="185">
        <v>4152.4304359335201</v>
      </c>
      <c r="D45" s="185">
        <v>4148.6585303669381</v>
      </c>
      <c r="E45" s="185">
        <v>4144.4698444907344</v>
      </c>
      <c r="F45" s="185">
        <v>4143.1550680975542</v>
      </c>
      <c r="G45" s="185">
        <v>4140.9519138737378</v>
      </c>
      <c r="H45" s="185">
        <v>4135.2968632491284</v>
      </c>
      <c r="I45" s="185">
        <v>4132.5177898727234</v>
      </c>
      <c r="J45" s="185">
        <v>4128.4700707248512</v>
      </c>
      <c r="K45" s="185">
        <v>4122.5467731755552</v>
      </c>
      <c r="L45" s="185">
        <v>4117.2190438917405</v>
      </c>
      <c r="M45" s="185">
        <v>4107.1129429279008</v>
      </c>
      <c r="N45" s="185">
        <v>4087.0930919003954</v>
      </c>
      <c r="O45" s="185">
        <v>4051.9656184151818</v>
      </c>
      <c r="P45" s="185">
        <v>4018.8149121167985</v>
      </c>
      <c r="Q45" s="185">
        <v>3984.9474643736316</v>
      </c>
      <c r="R45" s="185">
        <v>4000.1417383634421</v>
      </c>
      <c r="S45" s="185">
        <v>4040.7502077819709</v>
      </c>
      <c r="T45" s="185">
        <v>4026.8280052586974</v>
      </c>
      <c r="U45" s="185">
        <v>3978.9822176037665</v>
      </c>
      <c r="V45" s="185">
        <v>3904.7811293774735</v>
      </c>
      <c r="W45" s="185">
        <v>3885.7373969168302</v>
      </c>
      <c r="DA45" s="194" t="s">
        <v>940</v>
      </c>
    </row>
    <row r="46" spans="1:105" ht="12" customHeight="1" x14ac:dyDescent="0.25">
      <c r="A46" s="132" t="s">
        <v>5</v>
      </c>
      <c r="B46" s="185">
        <v>2358.0572720615501</v>
      </c>
      <c r="C46" s="185">
        <v>2371.3069396010596</v>
      </c>
      <c r="D46" s="185">
        <v>2382.3891766734159</v>
      </c>
      <c r="E46" s="185">
        <v>2392.854675500284</v>
      </c>
      <c r="F46" s="185">
        <v>2406.4450583072221</v>
      </c>
      <c r="G46" s="185">
        <v>2418.6399350051279</v>
      </c>
      <c r="H46" s="185">
        <v>2425.6125887142366</v>
      </c>
      <c r="I46" s="185">
        <v>2434.2258977830693</v>
      </c>
      <c r="J46" s="185">
        <v>2441.3559309549646</v>
      </c>
      <c r="K46" s="185">
        <v>2446.8333704982228</v>
      </c>
      <c r="L46" s="185">
        <v>2457.5931128640837</v>
      </c>
      <c r="M46" s="185">
        <v>2469.9604598851442</v>
      </c>
      <c r="N46" s="185">
        <v>2478.7218122024856</v>
      </c>
      <c r="O46" s="185">
        <v>2488.8797991749384</v>
      </c>
      <c r="P46" s="185">
        <v>2500.7016127759853</v>
      </c>
      <c r="Q46" s="185">
        <v>2511.5216424865971</v>
      </c>
      <c r="R46" s="185">
        <v>2531.9582658356371</v>
      </c>
      <c r="S46" s="185">
        <v>2575.4816961214578</v>
      </c>
      <c r="T46" s="185">
        <v>2579.682846629561</v>
      </c>
      <c r="U46" s="185">
        <v>2553.9793980886584</v>
      </c>
      <c r="V46" s="185">
        <v>2338.8526245785592</v>
      </c>
      <c r="W46" s="185">
        <v>2504.1632429306533</v>
      </c>
      <c r="DA46" s="194" t="s">
        <v>941</v>
      </c>
    </row>
    <row r="47" spans="1:105" ht="12" customHeight="1" x14ac:dyDescent="0.25">
      <c r="A47" s="132" t="s">
        <v>179</v>
      </c>
      <c r="B47" s="185">
        <v>8760</v>
      </c>
      <c r="C47" s="185">
        <v>8759.9999999999982</v>
      </c>
      <c r="D47" s="185">
        <v>8760.0000000000018</v>
      </c>
      <c r="E47" s="185">
        <v>8759.9999999999982</v>
      </c>
      <c r="F47" s="185">
        <v>8760.0000000000018</v>
      </c>
      <c r="G47" s="185">
        <v>8759.9999999999982</v>
      </c>
      <c r="H47" s="185">
        <v>8760.0000000000018</v>
      </c>
      <c r="I47" s="185">
        <v>8760.0000000000018</v>
      </c>
      <c r="J47" s="185">
        <v>8760</v>
      </c>
      <c r="K47" s="185">
        <v>8760</v>
      </c>
      <c r="L47" s="185">
        <v>8759.9999999999964</v>
      </c>
      <c r="M47" s="185">
        <v>8760</v>
      </c>
      <c r="N47" s="185">
        <v>8760.0000000000036</v>
      </c>
      <c r="O47" s="185">
        <v>8760.0000000000018</v>
      </c>
      <c r="P47" s="185">
        <v>8759.9999999999982</v>
      </c>
      <c r="Q47" s="185">
        <v>8760.0000000000018</v>
      </c>
      <c r="R47" s="185">
        <v>8759.9999999999982</v>
      </c>
      <c r="S47" s="185">
        <v>8760</v>
      </c>
      <c r="T47" s="185">
        <v>8759.9999999999982</v>
      </c>
      <c r="U47" s="185">
        <v>8759.9999999999982</v>
      </c>
      <c r="V47" s="185">
        <v>8760</v>
      </c>
      <c r="W47" s="185">
        <v>8759.9999999999982</v>
      </c>
      <c r="DA47" s="194" t="s">
        <v>942</v>
      </c>
    </row>
    <row r="48" spans="1:105" ht="12" customHeight="1" x14ac:dyDescent="0.25">
      <c r="A48" s="60" t="s">
        <v>4</v>
      </c>
      <c r="B48" s="44">
        <v>833.94810986684115</v>
      </c>
      <c r="C48" s="44">
        <v>837.93178165452332</v>
      </c>
      <c r="D48" s="44">
        <v>841.58520302990132</v>
      </c>
      <c r="E48" s="44">
        <v>844.96008982159469</v>
      </c>
      <c r="F48" s="44">
        <v>848.09681157525313</v>
      </c>
      <c r="G48" s="44">
        <v>851.02749529258494</v>
      </c>
      <c r="H48" s="44">
        <v>853.77813375885637</v>
      </c>
      <c r="I48" s="44">
        <v>856.37005896006906</v>
      </c>
      <c r="J48" s="44">
        <v>858.82099729705976</v>
      </c>
      <c r="K48" s="44">
        <v>861.1458415725657</v>
      </c>
      <c r="L48" s="44">
        <v>863.35722644895611</v>
      </c>
      <c r="M48" s="44">
        <v>864.76248020908861</v>
      </c>
      <c r="N48" s="44">
        <v>866.10447924043626</v>
      </c>
      <c r="O48" s="44">
        <v>867.38875950324518</v>
      </c>
      <c r="P48" s="44">
        <v>868.62015713204801</v>
      </c>
      <c r="Q48" s="44">
        <v>869.80292190632088</v>
      </c>
      <c r="R48" s="44">
        <v>877.33197917715495</v>
      </c>
      <c r="S48" s="44">
        <v>888.05637606676839</v>
      </c>
      <c r="T48" s="44">
        <v>891.14309586160857</v>
      </c>
      <c r="U48" s="44">
        <v>885.7947896117098</v>
      </c>
      <c r="V48" s="44">
        <v>811.18252953481419</v>
      </c>
      <c r="W48" s="44">
        <v>868.51708928629887</v>
      </c>
      <c r="DA48" s="95" t="s">
        <v>943</v>
      </c>
    </row>
    <row r="49" spans="1:105" ht="12" customHeight="1" x14ac:dyDescent="0.25">
      <c r="A49" s="62" t="s">
        <v>3</v>
      </c>
      <c r="B49" s="186">
        <v>1584.8369697196583</v>
      </c>
      <c r="C49" s="186">
        <v>1604.0892147659113</v>
      </c>
      <c r="D49" s="186">
        <v>1629.349642164726</v>
      </c>
      <c r="E49" s="186">
        <v>1657.1768554748724</v>
      </c>
      <c r="F49" s="186">
        <v>1681.8244508326345</v>
      </c>
      <c r="G49" s="186">
        <v>1709.1829065594973</v>
      </c>
      <c r="H49" s="186">
        <v>1736.6851472591457</v>
      </c>
      <c r="I49" s="186">
        <v>1763.6717649538805</v>
      </c>
      <c r="J49" s="186">
        <v>1783.5204948641549</v>
      </c>
      <c r="K49" s="186">
        <v>1798.2920653995961</v>
      </c>
      <c r="L49" s="186">
        <v>1820.4996200554581</v>
      </c>
      <c r="M49" s="186">
        <v>1848.8083317534947</v>
      </c>
      <c r="N49" s="186">
        <v>1872.4457142753158</v>
      </c>
      <c r="O49" s="186">
        <v>1896.4518747673676</v>
      </c>
      <c r="P49" s="186">
        <v>1922.265977974931</v>
      </c>
      <c r="Q49" s="186">
        <v>1949.0491368860287</v>
      </c>
      <c r="R49" s="186">
        <v>1992.3591539695228</v>
      </c>
      <c r="S49" s="186">
        <v>2047.4302417276194</v>
      </c>
      <c r="T49" s="186">
        <v>2077.0361339029341</v>
      </c>
      <c r="U49" s="186">
        <v>2090.6102012309575</v>
      </c>
      <c r="V49" s="186">
        <v>1984.9524435541271</v>
      </c>
      <c r="W49" s="186">
        <v>2066.1434035181719</v>
      </c>
      <c r="DA49" s="195" t="s">
        <v>944</v>
      </c>
    </row>
    <row r="50" spans="1:105" s="2" customFormat="1" ht="12" customHeight="1" x14ac:dyDescent="0.25">
      <c r="DA50" s="7"/>
    </row>
    <row r="51" spans="1:105" ht="12.95" customHeight="1" x14ac:dyDescent="0.25">
      <c r="A51" s="179" t="s">
        <v>103</v>
      </c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DA51" s="189"/>
    </row>
    <row r="52" spans="1:105" ht="12" customHeight="1" x14ac:dyDescent="0.25">
      <c r="A52" s="132" t="s">
        <v>101</v>
      </c>
      <c r="B52" s="181">
        <v>0.61980010264732177</v>
      </c>
      <c r="C52" s="181">
        <v>0.61518191986724247</v>
      </c>
      <c r="D52" s="181">
        <v>0.60997554194175219</v>
      </c>
      <c r="E52" s="181">
        <v>0.60434702827367259</v>
      </c>
      <c r="F52" s="181">
        <v>0.59863650657558187</v>
      </c>
      <c r="G52" s="181">
        <v>0.59279294400486282</v>
      </c>
      <c r="H52" s="181">
        <v>0.58695123305978214</v>
      </c>
      <c r="I52" s="181">
        <v>0.58039629545763227</v>
      </c>
      <c r="J52" s="181">
        <v>0.57460203326867798</v>
      </c>
      <c r="K52" s="181">
        <v>0.56807478719705429</v>
      </c>
      <c r="L52" s="181">
        <v>0.56107483931989888</v>
      </c>
      <c r="M52" s="181">
        <v>0.55485571289685864</v>
      </c>
      <c r="N52" s="181">
        <v>0.54842152000848188</v>
      </c>
      <c r="O52" s="181">
        <v>0.54148105696543158</v>
      </c>
      <c r="P52" s="181">
        <v>0.53394277661541245</v>
      </c>
      <c r="Q52" s="181">
        <v>0.52636222619233686</v>
      </c>
      <c r="R52" s="181">
        <v>0.51856678520578325</v>
      </c>
      <c r="S52" s="181">
        <v>0.51044262198939094</v>
      </c>
      <c r="T52" s="181">
        <v>0.50210902099514865</v>
      </c>
      <c r="U52" s="181">
        <v>0.49649990164947366</v>
      </c>
      <c r="V52" s="181">
        <v>0.49061041602529604</v>
      </c>
      <c r="W52" s="181">
        <v>0.48469087398254795</v>
      </c>
      <c r="DA52" s="190" t="s">
        <v>945</v>
      </c>
    </row>
    <row r="53" spans="1:105" ht="12" customHeight="1" x14ac:dyDescent="0.25">
      <c r="A53" s="132" t="s">
        <v>100</v>
      </c>
      <c r="B53" s="181">
        <v>178.41730250023818</v>
      </c>
      <c r="C53" s="181">
        <v>176.78853605430052</v>
      </c>
      <c r="D53" s="181">
        <v>174.72310626999308</v>
      </c>
      <c r="E53" s="181">
        <v>172.23161286090223</v>
      </c>
      <c r="F53" s="181">
        <v>169.43645312289951</v>
      </c>
      <c r="G53" s="181">
        <v>166.14615679170737</v>
      </c>
      <c r="H53" s="181">
        <v>162.5823137728963</v>
      </c>
      <c r="I53" s="181">
        <v>158.75259834206909</v>
      </c>
      <c r="J53" s="181">
        <v>156.54845541223023</v>
      </c>
      <c r="K53" s="181">
        <v>154.17083813905549</v>
      </c>
      <c r="L53" s="181">
        <v>151.53152392839755</v>
      </c>
      <c r="M53" s="181">
        <v>148.58045394610505</v>
      </c>
      <c r="N53" s="181">
        <v>145.13346992181775</v>
      </c>
      <c r="O53" s="181">
        <v>141.19170435396055</v>
      </c>
      <c r="P53" s="181">
        <v>136.41838311808775</v>
      </c>
      <c r="Q53" s="181">
        <v>131.15881235323079</v>
      </c>
      <c r="R53" s="181">
        <v>126.34648051664367</v>
      </c>
      <c r="S53" s="181">
        <v>121.04607404093763</v>
      </c>
      <c r="T53" s="181">
        <v>115.38553461204026</v>
      </c>
      <c r="U53" s="181">
        <v>109.33792720602622</v>
      </c>
      <c r="V53" s="181">
        <v>103.32756496626689</v>
      </c>
      <c r="W53" s="181">
        <v>97.908030024378547</v>
      </c>
      <c r="DA53" s="190" t="s">
        <v>946</v>
      </c>
    </row>
    <row r="54" spans="1:105" ht="12" customHeight="1" x14ac:dyDescent="0.25">
      <c r="A54" s="132" t="s">
        <v>140</v>
      </c>
      <c r="B54" s="181">
        <v>35.849350391448873</v>
      </c>
      <c r="C54" s="181">
        <v>35.384847077245588</v>
      </c>
      <c r="D54" s="181">
        <v>34.69843343329692</v>
      </c>
      <c r="E54" s="181">
        <v>33.901221882182085</v>
      </c>
      <c r="F54" s="181">
        <v>33.024046305862882</v>
      </c>
      <c r="G54" s="181">
        <v>32.046370942216065</v>
      </c>
      <c r="H54" s="181">
        <v>30.917164396176705</v>
      </c>
      <c r="I54" s="181">
        <v>29.992538123270315</v>
      </c>
      <c r="J54" s="181">
        <v>29.220124201929497</v>
      </c>
      <c r="K54" s="181">
        <v>28.489484561258827</v>
      </c>
      <c r="L54" s="181">
        <v>27.738033999406831</v>
      </c>
      <c r="M54" s="181">
        <v>27.040836577463203</v>
      </c>
      <c r="N54" s="181">
        <v>26.365568402693309</v>
      </c>
      <c r="O54" s="181">
        <v>25.561290830542671</v>
      </c>
      <c r="P54" s="181">
        <v>24.768729823087604</v>
      </c>
      <c r="Q54" s="181">
        <v>23.827305656111925</v>
      </c>
      <c r="R54" s="181">
        <v>22.7680931321683</v>
      </c>
      <c r="S54" s="181">
        <v>21.740914178621157</v>
      </c>
      <c r="T54" s="181">
        <v>20.59493590839848</v>
      </c>
      <c r="U54" s="181">
        <v>19.313483421519511</v>
      </c>
      <c r="V54" s="181">
        <v>18.026356630721939</v>
      </c>
      <c r="W54" s="181">
        <v>16.646379328002109</v>
      </c>
      <c r="DA54" s="190" t="s">
        <v>947</v>
      </c>
    </row>
    <row r="55" spans="1:105" ht="12" customHeight="1" x14ac:dyDescent="0.25">
      <c r="A55" s="132" t="s">
        <v>181</v>
      </c>
      <c r="B55" s="181">
        <v>606.09465473094144</v>
      </c>
      <c r="C55" s="181">
        <v>601.23068478730659</v>
      </c>
      <c r="D55" s="181">
        <v>595.17998905809839</v>
      </c>
      <c r="E55" s="181">
        <v>588.26794802117342</v>
      </c>
      <c r="F55" s="181">
        <v>580.82505194940882</v>
      </c>
      <c r="G55" s="181">
        <v>572.6472934589043</v>
      </c>
      <c r="H55" s="181">
        <v>563.64961241604851</v>
      </c>
      <c r="I55" s="181">
        <v>553.72450379407883</v>
      </c>
      <c r="J55" s="181">
        <v>543.00356056871965</v>
      </c>
      <c r="K55" s="181">
        <v>531.03024577922793</v>
      </c>
      <c r="L55" s="181">
        <v>517.85220627497529</v>
      </c>
      <c r="M55" s="181">
        <v>509.47576917940933</v>
      </c>
      <c r="N55" s="181">
        <v>501.0917535210894</v>
      </c>
      <c r="O55" s="181">
        <v>492.7162623160844</v>
      </c>
      <c r="P55" s="181">
        <v>483.16168290229791</v>
      </c>
      <c r="Q55" s="181">
        <v>473.44466115270825</v>
      </c>
      <c r="R55" s="181">
        <v>464.30642701603847</v>
      </c>
      <c r="S55" s="181">
        <v>454.99411030624992</v>
      </c>
      <c r="T55" s="181">
        <v>445.37379974063646</v>
      </c>
      <c r="U55" s="181">
        <v>435.73718870289963</v>
      </c>
      <c r="V55" s="181">
        <v>426.5652243099546</v>
      </c>
      <c r="W55" s="181">
        <v>419.24273172720081</v>
      </c>
      <c r="DA55" s="190" t="s">
        <v>948</v>
      </c>
    </row>
    <row r="56" spans="1:105" ht="12" customHeight="1" x14ac:dyDescent="0.25">
      <c r="A56" s="60" t="s">
        <v>99</v>
      </c>
      <c r="B56" s="55">
        <v>45.577944424284674</v>
      </c>
      <c r="C56" s="55">
        <v>45.349808776624137</v>
      </c>
      <c r="D56" s="55">
        <v>45.044947094800285</v>
      </c>
      <c r="E56" s="55">
        <v>44.742232874373265</v>
      </c>
      <c r="F56" s="55">
        <v>44.430244308558052</v>
      </c>
      <c r="G56" s="55">
        <v>44.104903808429434</v>
      </c>
      <c r="H56" s="55">
        <v>43.809122129486532</v>
      </c>
      <c r="I56" s="55">
        <v>43.482820084730548</v>
      </c>
      <c r="J56" s="55">
        <v>43.194383667032817</v>
      </c>
      <c r="K56" s="55">
        <v>42.842632054051307</v>
      </c>
      <c r="L56" s="55">
        <v>42.488781031629692</v>
      </c>
      <c r="M56" s="55">
        <v>42.125427714354949</v>
      </c>
      <c r="N56" s="55">
        <v>41.676251101702519</v>
      </c>
      <c r="O56" s="55">
        <v>41.131692351237653</v>
      </c>
      <c r="P56" s="55">
        <v>40.506180935077303</v>
      </c>
      <c r="Q56" s="55">
        <v>39.761653223922806</v>
      </c>
      <c r="R56" s="55">
        <v>39.166266066948339</v>
      </c>
      <c r="S56" s="55">
        <v>38.459889201375923</v>
      </c>
      <c r="T56" s="55">
        <v>37.753275521892419</v>
      </c>
      <c r="U56" s="55">
        <v>37.020411734341998</v>
      </c>
      <c r="V56" s="55">
        <v>36.269959666101236</v>
      </c>
      <c r="W56" s="55">
        <v>35.617349836330995</v>
      </c>
      <c r="DA56" s="101" t="s">
        <v>949</v>
      </c>
    </row>
    <row r="57" spans="1:105" ht="12" customHeight="1" x14ac:dyDescent="0.25">
      <c r="A57" s="62" t="s">
        <v>98</v>
      </c>
      <c r="B57" s="63">
        <v>347.86287887863341</v>
      </c>
      <c r="C57" s="63">
        <v>338.62026642858376</v>
      </c>
      <c r="D57" s="63">
        <v>326.20264188524038</v>
      </c>
      <c r="E57" s="63">
        <v>311.93283269580502</v>
      </c>
      <c r="F57" s="63">
        <v>296.35262174420347</v>
      </c>
      <c r="G57" s="63">
        <v>280.33912772200705</v>
      </c>
      <c r="H57" s="63">
        <v>265.61955264949285</v>
      </c>
      <c r="I57" s="63">
        <v>251.90079992285968</v>
      </c>
      <c r="J57" s="63">
        <v>237.40500953138005</v>
      </c>
      <c r="K57" s="63">
        <v>223.03934900086588</v>
      </c>
      <c r="L57" s="63">
        <v>207.42742882364041</v>
      </c>
      <c r="M57" s="63">
        <v>192.52213280121788</v>
      </c>
      <c r="N57" s="63">
        <v>180.16857994971451</v>
      </c>
      <c r="O57" s="63">
        <v>168.3263881663357</v>
      </c>
      <c r="P57" s="63">
        <v>158.94260354681387</v>
      </c>
      <c r="Q57" s="63">
        <v>152.07210278946698</v>
      </c>
      <c r="R57" s="63">
        <v>146.91440851384851</v>
      </c>
      <c r="S57" s="63">
        <v>142.01083021671309</v>
      </c>
      <c r="T57" s="63">
        <v>137.79408016622276</v>
      </c>
      <c r="U57" s="63">
        <v>133.92363215120966</v>
      </c>
      <c r="V57" s="63">
        <v>130.4568957745818</v>
      </c>
      <c r="W57" s="63">
        <v>127.57573283244352</v>
      </c>
      <c r="DA57" s="105" t="s">
        <v>950</v>
      </c>
    </row>
    <row r="58" spans="1:105" s="2" customFormat="1" ht="12" customHeight="1" x14ac:dyDescent="0.25">
      <c r="DA58" s="7"/>
    </row>
    <row r="59" spans="1:105" ht="12.95" customHeight="1" x14ac:dyDescent="0.25">
      <c r="A59" s="179" t="s">
        <v>102</v>
      </c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DA59" s="189"/>
    </row>
    <row r="60" spans="1:105" ht="12" customHeight="1" x14ac:dyDescent="0.25">
      <c r="A60" s="132" t="s">
        <v>101</v>
      </c>
      <c r="B60" s="181"/>
      <c r="C60" s="181">
        <v>0.55446308573839698</v>
      </c>
      <c r="D60" s="181">
        <v>0.54828896993031151</v>
      </c>
      <c r="E60" s="181">
        <v>0.5423505367478193</v>
      </c>
      <c r="F60" s="181">
        <v>0.53569694676552837</v>
      </c>
      <c r="G60" s="181">
        <v>0.5303934627353265</v>
      </c>
      <c r="H60" s="181">
        <v>0.52430795480072101</v>
      </c>
      <c r="I60" s="181">
        <v>0.51801442259742148</v>
      </c>
      <c r="J60" s="181">
        <v>0.51234126354561671</v>
      </c>
      <c r="K60" s="181">
        <v>0.50627996729921809</v>
      </c>
      <c r="L60" s="181">
        <v>0.4997363597885216</v>
      </c>
      <c r="M60" s="181">
        <v>0.49270027228036356</v>
      </c>
      <c r="N60" s="181">
        <v>0.48593332033276021</v>
      </c>
      <c r="O60" s="181">
        <v>0.47924712570779654</v>
      </c>
      <c r="P60" s="181">
        <v>0.47242515700801818</v>
      </c>
      <c r="Q60" s="181">
        <v>0.4659344268394664</v>
      </c>
      <c r="R60" s="181">
        <v>0.46275772397381909</v>
      </c>
      <c r="S60" s="181">
        <v>0.45813208390621024</v>
      </c>
      <c r="T60" s="181">
        <v>0.45392151137808284</v>
      </c>
      <c r="U60" s="181">
        <v>0.45003867254947622</v>
      </c>
      <c r="V60" s="181">
        <v>0.44618839231989427</v>
      </c>
      <c r="W60" s="181">
        <v>0.44444376371189726</v>
      </c>
      <c r="DA60" s="190" t="s">
        <v>951</v>
      </c>
    </row>
    <row r="61" spans="1:105" ht="12" customHeight="1" x14ac:dyDescent="0.25">
      <c r="A61" s="132" t="s">
        <v>100</v>
      </c>
      <c r="B61" s="181"/>
      <c r="C61" s="181">
        <v>166.84996602911539</v>
      </c>
      <c r="D61" s="181">
        <v>164.52677931393515</v>
      </c>
      <c r="E61" s="181">
        <v>161.88276072435741</v>
      </c>
      <c r="F61" s="181">
        <v>159.6434068008104</v>
      </c>
      <c r="G61" s="181">
        <v>156.47889537045705</v>
      </c>
      <c r="H61" s="181">
        <v>154.04033593240214</v>
      </c>
      <c r="I61" s="181">
        <v>151.58116407310132</v>
      </c>
      <c r="J61" s="181">
        <v>149.47039952912587</v>
      </c>
      <c r="K61" s="181">
        <v>146.98701088935309</v>
      </c>
      <c r="L61" s="181">
        <v>143.61118275498191</v>
      </c>
      <c r="M61" s="181">
        <v>139.86610587270457</v>
      </c>
      <c r="N61" s="181">
        <v>134.82511444174114</v>
      </c>
      <c r="O61" s="181">
        <v>129.15364440622889</v>
      </c>
      <c r="P61" s="181">
        <v>121.64439088399054</v>
      </c>
      <c r="Q61" s="181">
        <v>113.32359327512739</v>
      </c>
      <c r="R61" s="181">
        <v>107.65275767039903</v>
      </c>
      <c r="S61" s="181">
        <v>102.7815575725111</v>
      </c>
      <c r="T61" s="181">
        <v>97.930755669363492</v>
      </c>
      <c r="U61" s="181">
        <v>93.090612384303682</v>
      </c>
      <c r="V61" s="181">
        <v>88.246250901383718</v>
      </c>
      <c r="W61" s="181">
        <v>86.461215120191198</v>
      </c>
      <c r="DA61" s="190" t="s">
        <v>952</v>
      </c>
    </row>
    <row r="62" spans="1:105" ht="12" customHeight="1" x14ac:dyDescent="0.25">
      <c r="A62" s="132" t="s">
        <v>140</v>
      </c>
      <c r="B62" s="181"/>
      <c r="C62" s="181">
        <v>33.347823196284061</v>
      </c>
      <c r="D62" s="181">
        <v>32.063061284375671</v>
      </c>
      <c r="E62" s="181">
        <v>31.325536797092649</v>
      </c>
      <c r="F62" s="181">
        <v>30.679888673460308</v>
      </c>
      <c r="G62" s="181">
        <v>29.842381823308042</v>
      </c>
      <c r="H62" s="181">
        <v>28.746624930923101</v>
      </c>
      <c r="I62" s="181">
        <v>27.969460785158844</v>
      </c>
      <c r="J62" s="181">
        <v>27.365223099661407</v>
      </c>
      <c r="K62" s="181">
        <v>26.932579681579071</v>
      </c>
      <c r="L62" s="181">
        <v>26.147871733066346</v>
      </c>
      <c r="M62" s="181">
        <v>25.416760649601532</v>
      </c>
      <c r="N62" s="181">
        <v>24.544939966273802</v>
      </c>
      <c r="O62" s="181">
        <v>23.453479779859492</v>
      </c>
      <c r="P62" s="181">
        <v>22.653440983707217</v>
      </c>
      <c r="Q62" s="181">
        <v>21.500887241971469</v>
      </c>
      <c r="R62" s="181">
        <v>19.910053578874393</v>
      </c>
      <c r="S62" s="181">
        <v>18.900002195047147</v>
      </c>
      <c r="T62" s="181">
        <v>17.296730306762175</v>
      </c>
      <c r="U62" s="181">
        <v>16.021016213850885</v>
      </c>
      <c r="V62" s="181">
        <v>14.921986735554928</v>
      </c>
      <c r="W62" s="181">
        <v>13.519979747598544</v>
      </c>
      <c r="DA62" s="190" t="s">
        <v>953</v>
      </c>
    </row>
    <row r="63" spans="1:105" ht="12" customHeight="1" x14ac:dyDescent="0.25">
      <c r="A63" s="132" t="s">
        <v>181</v>
      </c>
      <c r="B63" s="181"/>
      <c r="C63" s="181">
        <v>555.64308761596453</v>
      </c>
      <c r="D63" s="181">
        <v>545.09683531794622</v>
      </c>
      <c r="E63" s="181">
        <v>536.88618680796026</v>
      </c>
      <c r="F63" s="181">
        <v>532.00241925468731</v>
      </c>
      <c r="G63" s="181">
        <v>525.28146260050266</v>
      </c>
      <c r="H63" s="181">
        <v>518.42987797702176</v>
      </c>
      <c r="I63" s="181">
        <v>510.38725759017609</v>
      </c>
      <c r="J63" s="181">
        <v>503.66424778993269</v>
      </c>
      <c r="K63" s="181">
        <v>492.98015464564253</v>
      </c>
      <c r="L63" s="181">
        <v>480.76298323093278</v>
      </c>
      <c r="M63" s="181">
        <v>465.56979103535463</v>
      </c>
      <c r="N63" s="181">
        <v>457.9465113787611</v>
      </c>
      <c r="O63" s="181">
        <v>451.31635257721615</v>
      </c>
      <c r="P63" s="181">
        <v>437.21354470526745</v>
      </c>
      <c r="Q63" s="181">
        <v>430.91173816741411</v>
      </c>
      <c r="R63" s="181">
        <v>424.3131281879767</v>
      </c>
      <c r="S63" s="181">
        <v>416.01661685469293</v>
      </c>
      <c r="T63" s="181">
        <v>408.09290167733076</v>
      </c>
      <c r="U63" s="181">
        <v>400.67515469097407</v>
      </c>
      <c r="V63" s="181">
        <v>393.33430925307397</v>
      </c>
      <c r="W63" s="181">
        <v>383.93246435066885</v>
      </c>
      <c r="DA63" s="190" t="s">
        <v>954</v>
      </c>
    </row>
    <row r="64" spans="1:105" ht="12" customHeight="1" x14ac:dyDescent="0.25">
      <c r="A64" s="60" t="s">
        <v>99</v>
      </c>
      <c r="B64" s="55"/>
      <c r="C64" s="55">
        <v>42.957540697052181</v>
      </c>
      <c r="D64" s="55">
        <v>42.655274753900535</v>
      </c>
      <c r="E64" s="55">
        <v>42.411694661088134</v>
      </c>
      <c r="F64" s="55">
        <v>42.164004208078438</v>
      </c>
      <c r="G64" s="55">
        <v>41.844174349420975</v>
      </c>
      <c r="H64" s="55">
        <v>41.505722216493503</v>
      </c>
      <c r="I64" s="55">
        <v>41.124686533157124</v>
      </c>
      <c r="J64" s="55">
        <v>40.704695614446536</v>
      </c>
      <c r="K64" s="55">
        <v>40.234460052995317</v>
      </c>
      <c r="L64" s="55">
        <v>39.588616094929741</v>
      </c>
      <c r="M64" s="55">
        <v>38.734890599104652</v>
      </c>
      <c r="N64" s="55">
        <v>37.780400338219458</v>
      </c>
      <c r="O64" s="55">
        <v>36.842357418906047</v>
      </c>
      <c r="P64" s="55">
        <v>35.899945214357182</v>
      </c>
      <c r="Q64" s="55">
        <v>34.860548786057016</v>
      </c>
      <c r="R64" s="55">
        <v>34.415488186473297</v>
      </c>
      <c r="S64" s="55">
        <v>33.875499004680684</v>
      </c>
      <c r="T64" s="55">
        <v>33.375789840638028</v>
      </c>
      <c r="U64" s="55">
        <v>32.895505942136069</v>
      </c>
      <c r="V64" s="55">
        <v>32.419243422422447</v>
      </c>
      <c r="W64" s="55">
        <v>32.163368847200779</v>
      </c>
      <c r="DA64" s="101" t="s">
        <v>955</v>
      </c>
    </row>
    <row r="65" spans="1:105" ht="12" customHeight="1" x14ac:dyDescent="0.25">
      <c r="A65" s="62" t="s">
        <v>98</v>
      </c>
      <c r="B65" s="63"/>
      <c r="C65" s="63">
        <v>311.67609489293216</v>
      </c>
      <c r="D65" s="63">
        <v>295.30750318643686</v>
      </c>
      <c r="E65" s="63">
        <v>280.8623281026957</v>
      </c>
      <c r="F65" s="63">
        <v>266.19791819420863</v>
      </c>
      <c r="G65" s="63">
        <v>254.98107261248242</v>
      </c>
      <c r="H65" s="63">
        <v>240.21074842083598</v>
      </c>
      <c r="I65" s="63">
        <v>226.80572297127875</v>
      </c>
      <c r="J65" s="63">
        <v>210.1431903149732</v>
      </c>
      <c r="K65" s="63">
        <v>194.2958449130773</v>
      </c>
      <c r="L65" s="63">
        <v>177.21304724758454</v>
      </c>
      <c r="M65" s="63">
        <v>166.96712501493013</v>
      </c>
      <c r="N65" s="63">
        <v>159.79812787467984</v>
      </c>
      <c r="O65" s="63">
        <v>152.32831836763918</v>
      </c>
      <c r="P65" s="63">
        <v>145.48847577649173</v>
      </c>
      <c r="Q65" s="63">
        <v>141.4219372737962</v>
      </c>
      <c r="R65" s="63">
        <v>138.21481945484874</v>
      </c>
      <c r="S65" s="63">
        <v>134.46177504771356</v>
      </c>
      <c r="T65" s="63">
        <v>130.81611749318182</v>
      </c>
      <c r="U65" s="63">
        <v>127.36186648803587</v>
      </c>
      <c r="V65" s="63">
        <v>123.94506127467379</v>
      </c>
      <c r="W65" s="63">
        <v>121.49947583774244</v>
      </c>
      <c r="DA65" s="105" t="s">
        <v>956</v>
      </c>
    </row>
    <row r="66" spans="1:105" s="2" customFormat="1" ht="12" customHeight="1" x14ac:dyDescent="0.25">
      <c r="DA66" s="7"/>
    </row>
    <row r="67" spans="1:105" ht="12.95" customHeight="1" x14ac:dyDescent="0.25">
      <c r="A67" s="179" t="s">
        <v>97</v>
      </c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DA67" s="196"/>
    </row>
    <row r="68" spans="1:105" ht="12" customHeight="1" x14ac:dyDescent="0.25">
      <c r="A68" s="132" t="s">
        <v>96</v>
      </c>
      <c r="B68" s="188">
        <f>1000000*B20/SER_summary!B$8</f>
        <v>695.34009901553532</v>
      </c>
      <c r="C68" s="188">
        <f>1000000*C20/SER_summary!C$8</f>
        <v>700.0262845064442</v>
      </c>
      <c r="D68" s="188">
        <f>1000000*D20/SER_summary!D$8</f>
        <v>705.79820639336583</v>
      </c>
      <c r="E68" s="188">
        <f>1000000*E20/SER_summary!E$8</f>
        <v>715.45081218615667</v>
      </c>
      <c r="F68" s="188">
        <f>1000000*F20/SER_summary!F$8</f>
        <v>724.21937235816085</v>
      </c>
      <c r="G68" s="188">
        <f>1000000*G20/SER_summary!G$8</f>
        <v>732.75960894946581</v>
      </c>
      <c r="H68" s="188">
        <f>1000000*H20/SER_summary!H$8</f>
        <v>738.45264018246314</v>
      </c>
      <c r="I68" s="188">
        <f>1000000*I20/SER_summary!I$8</f>
        <v>742.76303808372825</v>
      </c>
      <c r="J68" s="188">
        <f>1000000*J20/SER_summary!J$8</f>
        <v>747.80860214478753</v>
      </c>
      <c r="K68" s="188">
        <f>1000000*K20/SER_summary!K$8</f>
        <v>752.94112708231728</v>
      </c>
      <c r="L68" s="188">
        <f>1000000*L20/SER_summary!L$8</f>
        <v>760.24053958795594</v>
      </c>
      <c r="M68" s="188">
        <f>1000000*M20/SER_summary!M$8</f>
        <v>765.38362985567142</v>
      </c>
      <c r="N68" s="188">
        <f>1000000*N20/SER_summary!N$8</f>
        <v>771.385367338278</v>
      </c>
      <c r="O68" s="188">
        <f>1000000*O20/SER_summary!O$8</f>
        <v>777.97678741315951</v>
      </c>
      <c r="P68" s="188">
        <f>1000000*P20/SER_summary!P$8</f>
        <v>785.58027947707728</v>
      </c>
      <c r="Q68" s="188">
        <f>1000000*Q20/SER_summary!Q$8</f>
        <v>789.16347897124581</v>
      </c>
      <c r="R68" s="188">
        <f>1000000*R20/SER_summary!R$8</f>
        <v>791.6923476495341</v>
      </c>
      <c r="S68" s="188">
        <f>1000000*S20/SER_summary!S$8</f>
        <v>794.19744586700438</v>
      </c>
      <c r="T68" s="188">
        <f>1000000*T20/SER_summary!T$8</f>
        <v>796.80448908829158</v>
      </c>
      <c r="U68" s="188">
        <f>1000000*U20/SER_summary!U$8</f>
        <v>799.5897254827297</v>
      </c>
      <c r="V68" s="188">
        <f>1000000*V20/SER_summary!V$8</f>
        <v>802.69508021700972</v>
      </c>
      <c r="W68" s="188">
        <f>1000000*W20/SER_summary!W$8</f>
        <v>806.26736913957927</v>
      </c>
      <c r="DA68" s="197" t="s">
        <v>957</v>
      </c>
    </row>
    <row r="69" spans="1:105" ht="12" customHeight="1" x14ac:dyDescent="0.25">
      <c r="A69" s="132" t="s">
        <v>95</v>
      </c>
      <c r="B69" s="188">
        <f>1000*B21/SER_summary!B$3</f>
        <v>0.15025439639625907</v>
      </c>
      <c r="C69" s="188">
        <f>1000*C21/SER_summary!C$3</f>
        <v>0.15239232447543555</v>
      </c>
      <c r="D69" s="188">
        <f>1000*D21/SER_summary!D$3</f>
        <v>0.15601680063668669</v>
      </c>
      <c r="E69" s="188">
        <f>1000*E21/SER_summary!E$3</f>
        <v>0.16059553524782139</v>
      </c>
      <c r="F69" s="188">
        <f>1000*F21/SER_summary!F$3</f>
        <v>0.16540254100848761</v>
      </c>
      <c r="G69" s="188">
        <f>1000*G21/SER_summary!G$3</f>
        <v>0.17126737273432688</v>
      </c>
      <c r="H69" s="188">
        <f>1000*H21/SER_summary!H$3</f>
        <v>0.17678983559974035</v>
      </c>
      <c r="I69" s="188">
        <f>1000*I21/SER_summary!I$3</f>
        <v>0.18134857621349904</v>
      </c>
      <c r="J69" s="188">
        <f>1000*J21/SER_summary!J$3</f>
        <v>0.18510439846522223</v>
      </c>
      <c r="K69" s="188">
        <f>1000*K21/SER_summary!K$3</f>
        <v>0.18844132481810938</v>
      </c>
      <c r="L69" s="188">
        <f>1000*L21/SER_summary!L$3</f>
        <v>0.19336318286310072</v>
      </c>
      <c r="M69" s="188">
        <f>1000*M21/SER_summary!M$3</f>
        <v>0.19959424924852609</v>
      </c>
      <c r="N69" s="188">
        <f>1000*N21/SER_summary!N$3</f>
        <v>0.2078235687619964</v>
      </c>
      <c r="O69" s="188">
        <f>1000*O21/SER_summary!O$3</f>
        <v>0.21694471897824688</v>
      </c>
      <c r="P69" s="188">
        <f>1000*P21/SER_summary!P$3</f>
        <v>0.2290069768441646</v>
      </c>
      <c r="Q69" s="188">
        <f>1000*Q21/SER_summary!Q$3</f>
        <v>0.24450690448738685</v>
      </c>
      <c r="R69" s="188">
        <f>1000*R21/SER_summary!R$3</f>
        <v>0.24879353022181197</v>
      </c>
      <c r="S69" s="188">
        <f>1000*S21/SER_summary!S$3</f>
        <v>0.25337017534930223</v>
      </c>
      <c r="T69" s="188">
        <f>1000*T21/SER_summary!T$3</f>
        <v>0.25807359374103067</v>
      </c>
      <c r="U69" s="188">
        <f>1000*U21/SER_summary!U$3</f>
        <v>0.26288645219058271</v>
      </c>
      <c r="V69" s="188">
        <f>1000*V21/SER_summary!V$3</f>
        <v>0.26763486832817729</v>
      </c>
      <c r="W69" s="188">
        <f>1000*W21/SER_summary!W$3</f>
        <v>0.27166588056196639</v>
      </c>
      <c r="DA69" s="197" t="s">
        <v>958</v>
      </c>
    </row>
    <row r="70" spans="1:105" ht="12" customHeight="1" x14ac:dyDescent="0.25">
      <c r="A70" s="132" t="s">
        <v>141</v>
      </c>
      <c r="B70" s="188">
        <f>1000000*B22/SER_summary!B$8</f>
        <v>177.87096629444611</v>
      </c>
      <c r="C70" s="188">
        <f>1000000*C22/SER_summary!C$8</f>
        <v>180.26435166670478</v>
      </c>
      <c r="D70" s="188">
        <f>1000000*D22/SER_summary!D$8</f>
        <v>182.47944328821447</v>
      </c>
      <c r="E70" s="188">
        <f>1000000*E22/SER_summary!E$8</f>
        <v>185.7260009334361</v>
      </c>
      <c r="F70" s="188">
        <f>1000000*F22/SER_summary!F$8</f>
        <v>189.55753107026391</v>
      </c>
      <c r="G70" s="188">
        <f>1000000*G22/SER_summary!G$8</f>
        <v>193.07445972102408</v>
      </c>
      <c r="H70" s="188">
        <f>1000000*H22/SER_summary!H$8</f>
        <v>197.01279687206812</v>
      </c>
      <c r="I70" s="188">
        <f>1000000*I22/SER_summary!I$8</f>
        <v>201.29782283896668</v>
      </c>
      <c r="J70" s="188">
        <f>1000000*J22/SER_summary!J$8</f>
        <v>205.7008956245177</v>
      </c>
      <c r="K70" s="188">
        <f>1000000*K22/SER_summary!K$8</f>
        <v>209.97170376584708</v>
      </c>
      <c r="L70" s="188">
        <f>1000000*L22/SER_summary!L$8</f>
        <v>214.65262247523421</v>
      </c>
      <c r="M70" s="188">
        <f>1000000*M22/SER_summary!M$8</f>
        <v>219.73487176478454</v>
      </c>
      <c r="N70" s="188">
        <f>1000000*N22/SER_summary!N$8</f>
        <v>225.65769664978245</v>
      </c>
      <c r="O70" s="188">
        <f>1000000*O22/SER_summary!O$8</f>
        <v>232.16517379989739</v>
      </c>
      <c r="P70" s="188">
        <f>1000000*P22/SER_summary!P$8</f>
        <v>239.71533781310748</v>
      </c>
      <c r="Q70" s="188">
        <f>1000000*Q22/SER_summary!Q$8</f>
        <v>247.75579471336997</v>
      </c>
      <c r="R70" s="188">
        <f>1000000*R22/SER_summary!R$8</f>
        <v>252.60830100228853</v>
      </c>
      <c r="S70" s="188">
        <f>1000000*S22/SER_summary!S$8</f>
        <v>257.52634511566265</v>
      </c>
      <c r="T70" s="188">
        <f>1000000*T22/SER_summary!T$8</f>
        <v>262.23721210828967</v>
      </c>
      <c r="U70" s="188">
        <f>1000000*U22/SER_summary!U$8</f>
        <v>266.57412408825928</v>
      </c>
      <c r="V70" s="188">
        <f>1000000*V22/SER_summary!V$8</f>
        <v>270.22626649336348</v>
      </c>
      <c r="W70" s="188">
        <f>1000000*W22/SER_summary!W$8</f>
        <v>272.82711695511108</v>
      </c>
      <c r="DA70" s="197" t="s">
        <v>959</v>
      </c>
    </row>
    <row r="71" spans="1:105" ht="12" customHeight="1" x14ac:dyDescent="0.25">
      <c r="A71" s="132" t="s">
        <v>182</v>
      </c>
      <c r="B71" s="188">
        <f>1000*B23/SER_summary!B$3</f>
        <v>3.2536595358541594E-2</v>
      </c>
      <c r="C71" s="188">
        <f>1000*C23/SER_summary!C$3</f>
        <v>3.261811228397081E-2</v>
      </c>
      <c r="D71" s="188">
        <f>1000*D23/SER_summary!D$3</f>
        <v>3.2777388822289547E-2</v>
      </c>
      <c r="E71" s="188">
        <f>1000*E23/SER_summary!E$3</f>
        <v>3.2970777783443234E-2</v>
      </c>
      <c r="F71" s="188">
        <f>1000*F23/SER_summary!F$3</f>
        <v>3.3180334574495124E-2</v>
      </c>
      <c r="G71" s="188">
        <f>1000*G23/SER_summary!G$3</f>
        <v>3.3408617553415627E-2</v>
      </c>
      <c r="H71" s="188">
        <f>1000*H23/SER_summary!H$3</f>
        <v>3.3689549175982117E-2</v>
      </c>
      <c r="I71" s="188">
        <f>1000*I23/SER_summary!I$3</f>
        <v>3.4014564284502356E-2</v>
      </c>
      <c r="J71" s="188">
        <f>1000*J23/SER_summary!J$3</f>
        <v>3.4385633136446402E-2</v>
      </c>
      <c r="K71" s="188">
        <f>1000*K23/SER_summary!K$3</f>
        <v>3.4869392683585819E-2</v>
      </c>
      <c r="L71" s="188">
        <f>1000*L23/SER_summary!L$3</f>
        <v>3.5451337231614824E-2</v>
      </c>
      <c r="M71" s="188">
        <f>1000*M23/SER_summary!M$3</f>
        <v>3.581221405247495E-2</v>
      </c>
      <c r="N71" s="188">
        <f>1000*N23/SER_summary!N$3</f>
        <v>3.6258305880063277E-2</v>
      </c>
      <c r="O71" s="188">
        <f>1000*O23/SER_summary!O$3</f>
        <v>3.6792193828273076E-2</v>
      </c>
      <c r="P71" s="188">
        <f>1000*P23/SER_summary!P$3</f>
        <v>3.7512139803314068E-2</v>
      </c>
      <c r="Q71" s="188">
        <f>1000*Q23/SER_summary!Q$3</f>
        <v>3.8438358616738839E-2</v>
      </c>
      <c r="R71" s="188">
        <f>1000*R23/SER_summary!R$3</f>
        <v>3.8765357138555903E-2</v>
      </c>
      <c r="S71" s="188">
        <f>1000*S23/SER_summary!S$3</f>
        <v>3.9133769258502621E-2</v>
      </c>
      <c r="T71" s="188">
        <f>1000*T23/SER_summary!T$3</f>
        <v>3.9535274844057749E-2</v>
      </c>
      <c r="U71" s="188">
        <f>1000*U23/SER_summary!U$3</f>
        <v>3.9977020802215255E-2</v>
      </c>
      <c r="V71" s="188">
        <f>1000*V23/SER_summary!V$3</f>
        <v>4.0451585575207415E-2</v>
      </c>
      <c r="W71" s="188">
        <f>1000*W23/SER_summary!W$3</f>
        <v>4.0878526125475642E-2</v>
      </c>
      <c r="DA71" s="197" t="s">
        <v>960</v>
      </c>
    </row>
    <row r="72" spans="1:105" ht="12" customHeight="1" x14ac:dyDescent="0.25">
      <c r="A72" s="60" t="s">
        <v>94</v>
      </c>
      <c r="B72" s="188">
        <f>1000000*B24/SER_summary!B$8</f>
        <v>90.646142818421666</v>
      </c>
      <c r="C72" s="188">
        <f>1000000*C24/SER_summary!C$8</f>
        <v>94.340255546400712</v>
      </c>
      <c r="D72" s="188">
        <f>1000000*D24/SER_summary!D$8</f>
        <v>100.35914408983182</v>
      </c>
      <c r="E72" s="188">
        <f>1000000*E24/SER_summary!E$8</f>
        <v>106.80111591069087</v>
      </c>
      <c r="F72" s="188">
        <f>1000000*F24/SER_summary!F$8</f>
        <v>114.10129195598368</v>
      </c>
      <c r="G72" s="188">
        <f>1000000*G24/SER_summary!G$8</f>
        <v>122.03051980233062</v>
      </c>
      <c r="H72" s="188">
        <f>1000000*H24/SER_summary!H$8</f>
        <v>128.07724811679449</v>
      </c>
      <c r="I72" s="188">
        <f>1000000*I24/SER_summary!I$8</f>
        <v>133.68315842866087</v>
      </c>
      <c r="J72" s="188">
        <f>1000000*J24/SER_summary!J$8</f>
        <v>138.20702587548803</v>
      </c>
      <c r="K72" s="188">
        <f>1000000*K24/SER_summary!K$8</f>
        <v>143.43027143548963</v>
      </c>
      <c r="L72" s="188">
        <f>1000000*L24/SER_summary!L$8</f>
        <v>146.35741108082209</v>
      </c>
      <c r="M72" s="188">
        <f>1000000*M24/SER_summary!M$8</f>
        <v>148.82470274181063</v>
      </c>
      <c r="N72" s="188">
        <f>1000000*N24/SER_summary!N$8</f>
        <v>152.11832283377416</v>
      </c>
      <c r="O72" s="188">
        <f>1000000*O24/SER_summary!O$8</f>
        <v>155.64956734245038</v>
      </c>
      <c r="P72" s="188">
        <f>1000000*P24/SER_summary!P$8</f>
        <v>158.49214122473828</v>
      </c>
      <c r="Q72" s="188">
        <f>1000000*Q24/SER_summary!Q$8</f>
        <v>161.63695710797037</v>
      </c>
      <c r="R72" s="188">
        <f>1000000*R24/SER_summary!R$8</f>
        <v>168.61772286876032</v>
      </c>
      <c r="S72" s="188">
        <f>1000000*S24/SER_summary!S$8</f>
        <v>175.60487853413241</v>
      </c>
      <c r="T72" s="188">
        <f>1000000*T24/SER_summary!T$8</f>
        <v>182.56462964675836</v>
      </c>
      <c r="U72" s="188">
        <f>1000000*U24/SER_summary!U$8</f>
        <v>189.47647940050928</v>
      </c>
      <c r="V72" s="188">
        <f>1000000*V24/SER_summary!V$8</f>
        <v>196.30227589415452</v>
      </c>
      <c r="W72" s="188">
        <f>1000000*W24/SER_summary!W$8</f>
        <v>203.09698131364343</v>
      </c>
      <c r="DA72" s="197" t="s">
        <v>961</v>
      </c>
    </row>
    <row r="73" spans="1:105" ht="12" customHeight="1" x14ac:dyDescent="0.25">
      <c r="A73" s="62" t="s">
        <v>93</v>
      </c>
      <c r="B73" s="52">
        <f>1000*B25/SER_summary!B$3</f>
        <v>0.34154387223019511</v>
      </c>
      <c r="C73" s="52">
        <f>1000*C25/SER_summary!C$3</f>
        <v>0.3656458651024454</v>
      </c>
      <c r="D73" s="52">
        <f>1000*D25/SER_summary!D$3</f>
        <v>0.39541185278958052</v>
      </c>
      <c r="E73" s="52">
        <f>1000*E25/SER_summary!E$3</f>
        <v>0.42955147113600578</v>
      </c>
      <c r="F73" s="52">
        <f>1000*F25/SER_summary!F$3</f>
        <v>0.46710829734474346</v>
      </c>
      <c r="G73" s="52">
        <f>1000*G25/SER_summary!G$3</f>
        <v>0.51370717890865358</v>
      </c>
      <c r="H73" s="52">
        <f>1000*H25/SER_summary!H$3</f>
        <v>0.55001629853580802</v>
      </c>
      <c r="I73" s="52">
        <f>1000*I25/SER_summary!I$3</f>
        <v>0.58158984606729824</v>
      </c>
      <c r="J73" s="52">
        <f>1000*J25/SER_summary!J$3</f>
        <v>0.62377813796601622</v>
      </c>
      <c r="K73" s="52">
        <f>1000*K25/SER_summary!K$3</f>
        <v>0.66946806023655492</v>
      </c>
      <c r="L73" s="52">
        <f>1000*L25/SER_summary!L$3</f>
        <v>0.72154118700093683</v>
      </c>
      <c r="M73" s="52">
        <f>1000*M25/SER_summary!M$3</f>
        <v>0.77375314469664103</v>
      </c>
      <c r="N73" s="52">
        <f>1000*N25/SER_summary!N$3</f>
        <v>0.81789384947751065</v>
      </c>
      <c r="O73" s="52">
        <f>1000*O25/SER_summary!O$3</f>
        <v>0.9006596733972736</v>
      </c>
      <c r="P73" s="52">
        <f>1000*P25/SER_summary!P$3</f>
        <v>0.97616088500635889</v>
      </c>
      <c r="Q73" s="52">
        <f>1000*Q25/SER_summary!Q$3</f>
        <v>1.0465480304237462</v>
      </c>
      <c r="R73" s="52">
        <f>1000*R25/SER_summary!R$3</f>
        <v>1.0659895029537987</v>
      </c>
      <c r="S73" s="52">
        <f>1000*S25/SER_summary!S$3</f>
        <v>1.1762759439737454</v>
      </c>
      <c r="T73" s="52">
        <f>1000*T25/SER_summary!T$3</f>
        <v>1.1921407512566404</v>
      </c>
      <c r="U73" s="52">
        <f>1000*U25/SER_summary!U$3</f>
        <v>1.2715466062654546</v>
      </c>
      <c r="V73" s="52">
        <f>1000*V25/SER_summary!V$3</f>
        <v>1.317629538380757</v>
      </c>
      <c r="W73" s="52">
        <f>1000*W25/SER_summary!W$3</f>
        <v>1.3833682529489368</v>
      </c>
      <c r="DA73" s="98" t="s">
        <v>962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W15 B69:W71 B16:W16 B72:Q72 R72:W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'SER_se-appl'!B4</f>
        <v>38.784675834424455</v>
      </c>
      <c r="C3" s="199">
        <f>'SER_se-appl'!C4</f>
        <v>39.626931940675192</v>
      </c>
      <c r="D3" s="199">
        <f>'SER_se-appl'!D4</f>
        <v>40.634275940914854</v>
      </c>
      <c r="E3" s="199">
        <f>'SER_se-appl'!E4</f>
        <v>41.747682473481241</v>
      </c>
      <c r="F3" s="199">
        <f>'SER_se-appl'!F4</f>
        <v>42.744581534488937</v>
      </c>
      <c r="G3" s="199">
        <f>'SER_se-appl'!G4</f>
        <v>43.713808160782193</v>
      </c>
      <c r="H3" s="199">
        <f>'SER_se-appl'!H4</f>
        <v>44.527455816610733</v>
      </c>
      <c r="I3" s="199">
        <f>'SER_se-appl'!I4</f>
        <v>45.618217400992101</v>
      </c>
      <c r="J3" s="199">
        <f>'SER_se-appl'!J4</f>
        <v>46.093778957044222</v>
      </c>
      <c r="K3" s="199">
        <f>'SER_se-appl'!K4</f>
        <v>46.843121219697444</v>
      </c>
      <c r="L3" s="199">
        <f>'SER_se-appl'!L4</f>
        <v>47.714400320411329</v>
      </c>
      <c r="M3" s="199">
        <f>'SER_se-appl'!M4</f>
        <v>47.836600903579679</v>
      </c>
      <c r="N3" s="199">
        <f>'SER_se-appl'!N4</f>
        <v>47.816501687603434</v>
      </c>
      <c r="O3" s="199">
        <f>'SER_se-appl'!O4</f>
        <v>47.837823466406483</v>
      </c>
      <c r="P3" s="199">
        <f>'SER_se-appl'!P4</f>
        <v>47.963037747269084</v>
      </c>
      <c r="Q3" s="199">
        <f>'SER_se-appl'!Q4</f>
        <v>47.83810536121775</v>
      </c>
      <c r="R3" s="199">
        <f>'SER_se-appl'!R4</f>
        <v>47.69468309468607</v>
      </c>
      <c r="S3" s="199">
        <f>'SER_se-appl'!S4</f>
        <v>47.548607088207405</v>
      </c>
      <c r="T3" s="199">
        <f>'SER_se-appl'!T4</f>
        <v>47.323819918047995</v>
      </c>
      <c r="U3" s="199">
        <f>'SER_se-appl'!U4</f>
        <v>47.363827416673161</v>
      </c>
      <c r="V3" s="199">
        <f>'SER_se-appl'!V4</f>
        <v>47.377709594553025</v>
      </c>
      <c r="W3" s="199">
        <f>'SER_se-appl'!W4</f>
        <v>47.402743273454689</v>
      </c>
      <c r="DA3" s="206" t="s">
        <v>908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'SER_se-appl'!B12</f>
        <v>51.491527392049832</v>
      </c>
      <c r="C5" s="59">
        <f>'SER_se-appl'!C12</f>
        <v>52.609728135850737</v>
      </c>
      <c r="D5" s="59">
        <f>'SER_se-appl'!D12</f>
        <v>53.94710378913696</v>
      </c>
      <c r="E5" s="59">
        <f>'SER_se-appl'!E12</f>
        <v>55.425290772441436</v>
      </c>
      <c r="F5" s="59">
        <f>'SER_se-appl'!F12</f>
        <v>56.74879945731805</v>
      </c>
      <c r="G5" s="59">
        <f>'SER_se-appl'!G12</f>
        <v>58.035569510262206</v>
      </c>
      <c r="H5" s="59">
        <f>'SER_se-appl'!H12</f>
        <v>59.115788943742309</v>
      </c>
      <c r="I5" s="59">
        <f>'SER_se-appl'!I12</f>
        <v>60.563911914787461</v>
      </c>
      <c r="J5" s="59">
        <f>'SER_se-appl'!J12</f>
        <v>61.195279597080422</v>
      </c>
      <c r="K5" s="59">
        <f>'SER_se-appl'!K12</f>
        <v>62.19012554624215</v>
      </c>
      <c r="L5" s="59">
        <f>'SER_se-appl'!L12</f>
        <v>63.346857959632828</v>
      </c>
      <c r="M5" s="59">
        <f>'SER_se-appl'!M12</f>
        <v>63.509094578610899</v>
      </c>
      <c r="N5" s="59">
        <f>'SER_se-appl'!N12</f>
        <v>63.482410345528287</v>
      </c>
      <c r="O5" s="59">
        <f>'SER_se-appl'!O12</f>
        <v>63.51071768428168</v>
      </c>
      <c r="P5" s="59">
        <f>'SER_se-appl'!P12</f>
        <v>63.676955365381218</v>
      </c>
      <c r="Q5" s="59">
        <f>'SER_se-appl'!Q12</f>
        <v>63.511091935041371</v>
      </c>
      <c r="R5" s="59">
        <f>'SER_se-appl'!R12</f>
        <v>63.320680866575216</v>
      </c>
      <c r="S5" s="59">
        <f>'SER_se-appl'!S12</f>
        <v>63.126746625097248</v>
      </c>
      <c r="T5" s="59">
        <f>'SER_se-appl'!T12</f>
        <v>62.828313430011178</v>
      </c>
      <c r="U5" s="59">
        <f>'SER_se-appl'!U12</f>
        <v>62.881428408208762</v>
      </c>
      <c r="V5" s="59">
        <f>'SER_se-appl'!V12</f>
        <v>62.899858742540154</v>
      </c>
      <c r="W5" s="59">
        <f>'SER_se-appl'!W12</f>
        <v>62.933094094780586</v>
      </c>
      <c r="DA5" s="104" t="s">
        <v>915</v>
      </c>
    </row>
    <row r="6" spans="1:105" ht="12" customHeight="1" x14ac:dyDescent="0.25">
      <c r="A6" s="201" t="str">
        <f>"Penetration factor "&amp;MID('SER_se-appl'!A68,FIND("(",'SER_se-appl'!A68),100)</f>
        <v>Penetration factor (sqm per building cell)</v>
      </c>
      <c r="B6" s="202">
        <f>'SER_se-appl'!B68</f>
        <v>695.34009901553532</v>
      </c>
      <c r="C6" s="202">
        <f>'SER_se-appl'!C68</f>
        <v>700.0262845064442</v>
      </c>
      <c r="D6" s="202">
        <f>'SER_se-appl'!D68</f>
        <v>705.79820639336583</v>
      </c>
      <c r="E6" s="202">
        <f>'SER_se-appl'!E68</f>
        <v>715.45081218615667</v>
      </c>
      <c r="F6" s="202">
        <f>'SER_se-appl'!F68</f>
        <v>724.21937235816085</v>
      </c>
      <c r="G6" s="202">
        <f>'SER_se-appl'!G68</f>
        <v>732.75960894946581</v>
      </c>
      <c r="H6" s="202">
        <f>'SER_se-appl'!H68</f>
        <v>738.45264018246314</v>
      </c>
      <c r="I6" s="202">
        <f>'SER_se-appl'!I68</f>
        <v>742.76303808372825</v>
      </c>
      <c r="J6" s="202">
        <f>'SER_se-appl'!J68</f>
        <v>747.80860214478753</v>
      </c>
      <c r="K6" s="202">
        <f>'SER_se-appl'!K68</f>
        <v>752.94112708231728</v>
      </c>
      <c r="L6" s="202">
        <f>'SER_se-appl'!L68</f>
        <v>760.24053958795594</v>
      </c>
      <c r="M6" s="202">
        <f>'SER_se-appl'!M68</f>
        <v>765.38362985567142</v>
      </c>
      <c r="N6" s="202">
        <f>'SER_se-appl'!N68</f>
        <v>771.385367338278</v>
      </c>
      <c r="O6" s="202">
        <f>'SER_se-appl'!O68</f>
        <v>777.97678741315951</v>
      </c>
      <c r="P6" s="202">
        <f>'SER_se-appl'!P68</f>
        <v>785.58027947707728</v>
      </c>
      <c r="Q6" s="202">
        <f>'SER_se-appl'!Q68</f>
        <v>789.16347897124581</v>
      </c>
      <c r="R6" s="202">
        <f>'SER_se-appl'!R68</f>
        <v>791.6923476495341</v>
      </c>
      <c r="S6" s="202">
        <f>'SER_se-appl'!S68</f>
        <v>794.19744586700438</v>
      </c>
      <c r="T6" s="202">
        <f>'SER_se-appl'!T68</f>
        <v>796.80448908829158</v>
      </c>
      <c r="U6" s="202">
        <f>'SER_se-appl'!U68</f>
        <v>799.5897254827297</v>
      </c>
      <c r="V6" s="202">
        <f>'SER_se-appl'!V68</f>
        <v>802.69508021700972</v>
      </c>
      <c r="W6" s="202">
        <f>'SER_se-appl'!W68</f>
        <v>806.26736913957927</v>
      </c>
      <c r="DA6" s="207" t="s">
        <v>957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"&amp;MID('SER_se-appl'!A20,FIND("(",'SER_se-appl'!A20),100)</f>
        <v>Stock of appliances (serviced million m2)</v>
      </c>
      <c r="B8" s="34">
        <f>'SER_se-appl'!B20</f>
        <v>83.077636115445287</v>
      </c>
      <c r="C8" s="34">
        <f>'SER_se-appl'!C20</f>
        <v>85.518976479679424</v>
      </c>
      <c r="D8" s="34">
        <f>'SER_se-appl'!D20</f>
        <v>88.441421138633913</v>
      </c>
      <c r="E8" s="34">
        <f>'SER_se-appl'!E20</f>
        <v>91.711033858749516</v>
      </c>
      <c r="F8" s="34">
        <f>'SER_se-appl'!F20</f>
        <v>94.796757020285625</v>
      </c>
      <c r="G8" s="34">
        <f>'SER_se-appl'!G20</f>
        <v>97.901923592710858</v>
      </c>
      <c r="H8" s="34">
        <f>'SER_se-appl'!H20</f>
        <v>100.71669606275663</v>
      </c>
      <c r="I8" s="34">
        <f>'SER_se-appl'!I20</f>
        <v>104.34923928491632</v>
      </c>
      <c r="J8" s="34">
        <f>'SER_se-appl'!J20</f>
        <v>106.5002837685159</v>
      </c>
      <c r="K8" s="34">
        <f>'SER_se-appl'!K20</f>
        <v>109.47524330923981</v>
      </c>
      <c r="L8" s="34">
        <f>'SER_se-appl'!L20</f>
        <v>112.90268876861074</v>
      </c>
      <c r="M8" s="34">
        <f>'SER_se-appl'!M20</f>
        <v>114.46055812786867</v>
      </c>
      <c r="N8" s="34">
        <f>'SER_se-appl'!N20</f>
        <v>115.75477626141743</v>
      </c>
      <c r="O8" s="34">
        <f>'SER_se-appl'!O20</f>
        <v>117.2907470488598</v>
      </c>
      <c r="P8" s="34">
        <f>'SER_se-appl'!P20</f>
        <v>119.25801444308398</v>
      </c>
      <c r="Q8" s="34">
        <f>'SER_se-appl'!Q20</f>
        <v>120.66042883524457</v>
      </c>
      <c r="R8" s="34">
        <f>'SER_se-appl'!R20</f>
        <v>122.10708952646789</v>
      </c>
      <c r="S8" s="34">
        <f>'SER_se-appl'!S20</f>
        <v>123.67060254307933</v>
      </c>
      <c r="T8" s="34">
        <f>'SER_se-appl'!T20</f>
        <v>125.12882820844246</v>
      </c>
      <c r="U8" s="34">
        <f>'SER_se-appl'!U20</f>
        <v>126.64942772255114</v>
      </c>
      <c r="V8" s="34">
        <f>'SER_se-appl'!V20</f>
        <v>128.20734474438271</v>
      </c>
      <c r="W8" s="34">
        <f>'SER_se-appl'!W20</f>
        <v>129.84171452967482</v>
      </c>
      <c r="DA8" s="88" t="s">
        <v>921</v>
      </c>
    </row>
    <row r="9" spans="1:105" ht="12.95" customHeight="1" x14ac:dyDescent="0.25">
      <c r="A9" s="203" t="str">
        <f>"Number of new appliances "&amp;MID('SER_se-appl'!A28,FIND("(",'SER_se-appl'!A28),100)</f>
        <v>Number of new appliances (serviced million m2)</v>
      </c>
      <c r="B9" s="36"/>
      <c r="C9" s="36">
        <f>'SER_se-appl'!C28</f>
        <v>6.0446938540060842</v>
      </c>
      <c r="D9" s="36">
        <f>'SER_se-appl'!D28</f>
        <v>6.6277211436500068</v>
      </c>
      <c r="E9" s="36">
        <f>'SER_se-appl'!E28</f>
        <v>7.0796951522187328</v>
      </c>
      <c r="F9" s="36">
        <f>'SER_se-appl'!F28</f>
        <v>7.0035760395552273</v>
      </c>
      <c r="G9" s="36">
        <f>'SER_se-appl'!G28</f>
        <v>7.1338382474708197</v>
      </c>
      <c r="H9" s="36">
        <f>'SER_se-appl'!H28</f>
        <v>6.9573975176510885</v>
      </c>
      <c r="I9" s="36">
        <f>'SER_se-appl'!I28</f>
        <v>7.8923448811898567</v>
      </c>
      <c r="J9" s="36">
        <f>'SER_se-appl'!J28</f>
        <v>6.5313371641465352</v>
      </c>
      <c r="K9" s="36">
        <f>'SER_se-appl'!K28</f>
        <v>7.4791514029388395</v>
      </c>
      <c r="L9" s="36">
        <f>'SER_se-appl'!L28</f>
        <v>8.0590410652403222</v>
      </c>
      <c r="M9" s="36">
        <f>'SER_se-appl'!M28</f>
        <v>6.3204723993868299</v>
      </c>
      <c r="N9" s="36">
        <f>'SER_se-appl'!N28</f>
        <v>6.1915342310726516</v>
      </c>
      <c r="O9" s="36">
        <f>'SER_se-appl'!O28</f>
        <v>6.5718103812493354</v>
      </c>
      <c r="P9" s="36">
        <f>'SER_se-appl'!P28</f>
        <v>7.1455487037308245</v>
      </c>
      <c r="Q9" s="36">
        <f>'SER_se-appl'!Q28</f>
        <v>6.7271664659482866</v>
      </c>
      <c r="R9" s="36">
        <f>'SER_se-appl'!R28</f>
        <v>6.9220265419070159</v>
      </c>
      <c r="S9" s="36">
        <f>'SER_se-appl'!S28</f>
        <v>7.1937528443801</v>
      </c>
      <c r="T9" s="36">
        <f>'SER_se-appl'!T28</f>
        <v>7.2477201726998715</v>
      </c>
      <c r="U9" s="36">
        <f>'SER_se-appl'!U28</f>
        <v>7.5652933681147658</v>
      </c>
      <c r="V9" s="36">
        <f>'SER_se-appl'!V28</f>
        <v>8.1856381654815777</v>
      </c>
      <c r="W9" s="36">
        <f>'SER_se-appl'!W28</f>
        <v>8.714064937510841</v>
      </c>
      <c r="DA9" s="89" t="s">
        <v>927</v>
      </c>
    </row>
    <row r="10" spans="1:105" ht="12" customHeight="1" x14ac:dyDescent="0.25">
      <c r="A10" s="204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3.6033534897719477</v>
      </c>
      <c r="D10" s="38">
        <f>'SER_se-appl'!D36</f>
        <v>3.7052764846955171</v>
      </c>
      <c r="E10" s="38">
        <f>'SER_se-appl'!E36</f>
        <v>3.8100824321031297</v>
      </c>
      <c r="F10" s="38">
        <f>'SER_se-appl'!F36</f>
        <v>3.9178528780191186</v>
      </c>
      <c r="G10" s="38">
        <f>'SER_se-appl'!G36</f>
        <v>4.0286716750455867</v>
      </c>
      <c r="H10" s="38">
        <f>'SER_se-appl'!H36</f>
        <v>4.1426250476053212</v>
      </c>
      <c r="I10" s="38">
        <f>'SER_se-appl'!I36</f>
        <v>4.2598016590301597</v>
      </c>
      <c r="J10" s="38">
        <f>'SER_se-appl'!J36</f>
        <v>4.3802926805469582</v>
      </c>
      <c r="K10" s="38">
        <f>'SER_se-appl'!K36</f>
        <v>4.504191862214924</v>
      </c>
      <c r="L10" s="38">
        <f>'SER_se-appl'!L36</f>
        <v>4.6315956058693928</v>
      </c>
      <c r="M10" s="38">
        <f>'SER_se-appl'!M36</f>
        <v>4.7626030401289086</v>
      </c>
      <c r="N10" s="38">
        <f>'SER_se-appl'!N36</f>
        <v>4.8973160975238841</v>
      </c>
      <c r="O10" s="38">
        <f>'SER_se-appl'!O36</f>
        <v>5.0358395938069691</v>
      </c>
      <c r="P10" s="38">
        <f>'SER_se-appl'!P36</f>
        <v>5.1782813095066444</v>
      </c>
      <c r="Q10" s="38">
        <f>'SER_se-appl'!Q36</f>
        <v>5.3247520737876926</v>
      </c>
      <c r="R10" s="38">
        <f>'SER_se-appl'!R36</f>
        <v>5.4753658506837013</v>
      </c>
      <c r="S10" s="38">
        <f>'SER_se-appl'!S36</f>
        <v>5.6302398277686621</v>
      </c>
      <c r="T10" s="38">
        <f>'SER_se-appl'!T36</f>
        <v>5.789494507336741</v>
      </c>
      <c r="U10" s="38">
        <f>'SER_se-appl'!U36</f>
        <v>6.0446938540060842</v>
      </c>
      <c r="V10" s="38">
        <f>'SER_se-appl'!V36</f>
        <v>6.6277211436500068</v>
      </c>
      <c r="W10" s="38">
        <f>'SER_se-appl'!W36</f>
        <v>7.0796951522187328</v>
      </c>
      <c r="DA10" s="90" t="s">
        <v>933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'SER_se-appl'!B44</f>
        <v>8759.9999999999982</v>
      </c>
      <c r="C12" s="205">
        <f>'SER_se-appl'!C44</f>
        <v>8760</v>
      </c>
      <c r="D12" s="205">
        <f>'SER_se-appl'!D44</f>
        <v>8760</v>
      </c>
      <c r="E12" s="205">
        <f>'SER_se-appl'!E44</f>
        <v>8759.9999999999982</v>
      </c>
      <c r="F12" s="205">
        <f>'SER_se-appl'!F44</f>
        <v>8760.0000000000036</v>
      </c>
      <c r="G12" s="205">
        <f>'SER_se-appl'!G44</f>
        <v>8760</v>
      </c>
      <c r="H12" s="205">
        <f>'SER_se-appl'!H44</f>
        <v>8760.0000000000036</v>
      </c>
      <c r="I12" s="205">
        <f>'SER_se-appl'!I44</f>
        <v>8760</v>
      </c>
      <c r="J12" s="205">
        <f>'SER_se-appl'!J44</f>
        <v>8759.9999999999964</v>
      </c>
      <c r="K12" s="205">
        <f>'SER_se-appl'!K44</f>
        <v>8760</v>
      </c>
      <c r="L12" s="205">
        <f>'SER_se-appl'!L44</f>
        <v>8760.0000000000018</v>
      </c>
      <c r="M12" s="205">
        <f>'SER_se-appl'!M44</f>
        <v>8760.0000000000018</v>
      </c>
      <c r="N12" s="205">
        <f>'SER_se-appl'!N44</f>
        <v>8760.0000000000018</v>
      </c>
      <c r="O12" s="205">
        <f>'SER_se-appl'!O44</f>
        <v>8759.9999999999982</v>
      </c>
      <c r="P12" s="205">
        <f>'SER_se-appl'!P44</f>
        <v>8760</v>
      </c>
      <c r="Q12" s="205">
        <f>'SER_se-appl'!Q44</f>
        <v>8760</v>
      </c>
      <c r="R12" s="205">
        <f>'SER_se-appl'!R44</f>
        <v>8760.0000000000018</v>
      </c>
      <c r="S12" s="205">
        <f>'SER_se-appl'!S44</f>
        <v>8760.0000000000036</v>
      </c>
      <c r="T12" s="205">
        <f>'SER_se-appl'!T44</f>
        <v>8760.0000000000036</v>
      </c>
      <c r="U12" s="205">
        <f>'SER_se-appl'!U44</f>
        <v>8760.0000000000018</v>
      </c>
      <c r="V12" s="205">
        <f>'SER_se-appl'!V44</f>
        <v>8760</v>
      </c>
      <c r="W12" s="205">
        <f>'SER_se-appl'!W44</f>
        <v>8760.0000000000018</v>
      </c>
      <c r="DA12" s="209" t="s">
        <v>939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0.61980010264732177</v>
      </c>
      <c r="C14" s="59">
        <f>'SER_se-appl'!C52</f>
        <v>0.61518191986724247</v>
      </c>
      <c r="D14" s="59">
        <f>'SER_se-appl'!D52</f>
        <v>0.60997554194175219</v>
      </c>
      <c r="E14" s="59">
        <f>'SER_se-appl'!E52</f>
        <v>0.60434702827367259</v>
      </c>
      <c r="F14" s="59">
        <f>'SER_se-appl'!F52</f>
        <v>0.59863650657558187</v>
      </c>
      <c r="G14" s="59">
        <f>'SER_se-appl'!G52</f>
        <v>0.59279294400486282</v>
      </c>
      <c r="H14" s="59">
        <f>'SER_se-appl'!H52</f>
        <v>0.58695123305978214</v>
      </c>
      <c r="I14" s="59">
        <f>'SER_se-appl'!I52</f>
        <v>0.58039629545763227</v>
      </c>
      <c r="J14" s="59">
        <f>'SER_se-appl'!J52</f>
        <v>0.57460203326867798</v>
      </c>
      <c r="K14" s="59">
        <f>'SER_se-appl'!K52</f>
        <v>0.56807478719705429</v>
      </c>
      <c r="L14" s="59">
        <f>'SER_se-appl'!L52</f>
        <v>0.56107483931989888</v>
      </c>
      <c r="M14" s="59">
        <f>'SER_se-appl'!M52</f>
        <v>0.55485571289685864</v>
      </c>
      <c r="N14" s="59">
        <f>'SER_se-appl'!N52</f>
        <v>0.54842152000848188</v>
      </c>
      <c r="O14" s="59">
        <f>'SER_se-appl'!O52</f>
        <v>0.54148105696543158</v>
      </c>
      <c r="P14" s="59">
        <f>'SER_se-appl'!P52</f>
        <v>0.53394277661541245</v>
      </c>
      <c r="Q14" s="59">
        <f>'SER_se-appl'!Q52</f>
        <v>0.52636222619233686</v>
      </c>
      <c r="R14" s="59">
        <f>'SER_se-appl'!R52</f>
        <v>0.51856678520578325</v>
      </c>
      <c r="S14" s="59">
        <f>'SER_se-appl'!S52</f>
        <v>0.51044262198939094</v>
      </c>
      <c r="T14" s="59">
        <f>'SER_se-appl'!T52</f>
        <v>0.50210902099514865</v>
      </c>
      <c r="U14" s="59">
        <f>'SER_se-appl'!U52</f>
        <v>0.49649990164947366</v>
      </c>
      <c r="V14" s="59">
        <f>'SER_se-appl'!V52</f>
        <v>0.49061041602529604</v>
      </c>
      <c r="W14" s="59">
        <f>'SER_se-appl'!W52</f>
        <v>0.48469087398254795</v>
      </c>
      <c r="DA14" s="104" t="s">
        <v>945</v>
      </c>
    </row>
    <row r="15" spans="1:105" ht="12" customHeight="1" x14ac:dyDescent="0.25">
      <c r="A15" s="204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0.55446308573839698</v>
      </c>
      <c r="D15" s="63">
        <f>'SER_se-appl'!D60</f>
        <v>0.54828896993031151</v>
      </c>
      <c r="E15" s="63">
        <f>'SER_se-appl'!E60</f>
        <v>0.5423505367478193</v>
      </c>
      <c r="F15" s="63">
        <f>'SER_se-appl'!F60</f>
        <v>0.53569694676552837</v>
      </c>
      <c r="G15" s="63">
        <f>'SER_se-appl'!G60</f>
        <v>0.5303934627353265</v>
      </c>
      <c r="H15" s="63">
        <f>'SER_se-appl'!H60</f>
        <v>0.52430795480072101</v>
      </c>
      <c r="I15" s="63">
        <f>'SER_se-appl'!I60</f>
        <v>0.51801442259742148</v>
      </c>
      <c r="J15" s="63">
        <f>'SER_se-appl'!J60</f>
        <v>0.51234126354561671</v>
      </c>
      <c r="K15" s="63">
        <f>'SER_se-appl'!K60</f>
        <v>0.50627996729921809</v>
      </c>
      <c r="L15" s="63">
        <f>'SER_se-appl'!L60</f>
        <v>0.4997363597885216</v>
      </c>
      <c r="M15" s="63">
        <f>'SER_se-appl'!M60</f>
        <v>0.49270027228036356</v>
      </c>
      <c r="N15" s="63">
        <f>'SER_se-appl'!N60</f>
        <v>0.48593332033276021</v>
      </c>
      <c r="O15" s="63">
        <f>'SER_se-appl'!O60</f>
        <v>0.47924712570779654</v>
      </c>
      <c r="P15" s="63">
        <f>'SER_se-appl'!P60</f>
        <v>0.47242515700801818</v>
      </c>
      <c r="Q15" s="63">
        <f>'SER_se-appl'!Q60</f>
        <v>0.4659344268394664</v>
      </c>
      <c r="R15" s="63">
        <f>'SER_se-appl'!R60</f>
        <v>0.46275772397381909</v>
      </c>
      <c r="S15" s="63">
        <f>'SER_se-appl'!S60</f>
        <v>0.45813208390621024</v>
      </c>
      <c r="T15" s="63">
        <f>'SER_se-appl'!T60</f>
        <v>0.45392151137808284</v>
      </c>
      <c r="U15" s="63">
        <f>'SER_se-appl'!U60</f>
        <v>0.45003867254947622</v>
      </c>
      <c r="V15" s="63">
        <f>'SER_se-appl'!V60</f>
        <v>0.44618839231989427</v>
      </c>
      <c r="W15" s="63">
        <f>'SER_se-appl'!W60</f>
        <v>0.44444376371189726</v>
      </c>
      <c r="DA15" s="105" t="s">
        <v>951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'SER_se-appl'!B5</f>
        <v>51.090893630323947</v>
      </c>
      <c r="C3" s="199">
        <f>'SER_se-appl'!C5</f>
        <v>51.455245440917892</v>
      </c>
      <c r="D3" s="199">
        <f>'SER_se-appl'!D5</f>
        <v>52.202443462627791</v>
      </c>
      <c r="E3" s="199">
        <f>'SER_se-appl'!E5</f>
        <v>53.064110312471144</v>
      </c>
      <c r="F3" s="199">
        <f>'SER_se-appl'!F5</f>
        <v>53.889532714103431</v>
      </c>
      <c r="G3" s="199">
        <f>'SER_se-appl'!G5</f>
        <v>54.827121662656694</v>
      </c>
      <c r="H3" s="199">
        <f>'SER_se-appl'!H5</f>
        <v>55.46948330798962</v>
      </c>
      <c r="I3" s="199">
        <f>'SER_se-appl'!I5</f>
        <v>55.722947697625273</v>
      </c>
      <c r="J3" s="199">
        <f>'SER_se-appl'!J5</f>
        <v>56.327673641430934</v>
      </c>
      <c r="K3" s="199">
        <f>'SER_se-appl'!K5</f>
        <v>56.758408566469726</v>
      </c>
      <c r="L3" s="199">
        <f>'SER_se-appl'!L5</f>
        <v>57.411395391609169</v>
      </c>
      <c r="M3" s="199">
        <f>'SER_se-appl'!M5</f>
        <v>58.235857993581639</v>
      </c>
      <c r="N3" s="199">
        <f>'SER_se-appl'!N5</f>
        <v>59.152288267230972</v>
      </c>
      <c r="O3" s="199">
        <f>'SER_se-appl'!O5</f>
        <v>59.79103726760053</v>
      </c>
      <c r="P3" s="199">
        <f>'SER_se-appl'!P5</f>
        <v>60.748415389892891</v>
      </c>
      <c r="Q3" s="199">
        <f>'SER_se-appl'!Q5</f>
        <v>62.19078673898327</v>
      </c>
      <c r="R3" s="199">
        <f>'SER_se-appl'!R5</f>
        <v>61.705641200808486</v>
      </c>
      <c r="S3" s="199">
        <f>'SER_se-appl'!S5</f>
        <v>61.2580753091056</v>
      </c>
      <c r="T3" s="199">
        <f>'SER_se-appl'!T5</f>
        <v>59.606763932963368</v>
      </c>
      <c r="U3" s="199">
        <f>'SER_se-appl'!U5</f>
        <v>57.097147982244657</v>
      </c>
      <c r="V3" s="199">
        <f>'SER_se-appl'!V5</f>
        <v>54.063602797022753</v>
      </c>
      <c r="W3" s="199">
        <f>'SER_se-appl'!W5</f>
        <v>51.899519324957055</v>
      </c>
      <c r="DA3" s="206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'SER_se-appl'!B13</f>
        <v>142.8870913797534</v>
      </c>
      <c r="C5" s="59">
        <f>'SER_se-appl'!C13</f>
        <v>144.11427565392592</v>
      </c>
      <c r="D5" s="59">
        <f>'SER_se-appl'!D13</f>
        <v>146.33993446953167</v>
      </c>
      <c r="E5" s="59">
        <f>'SER_se-appl'!E13</f>
        <v>148.90580124606313</v>
      </c>
      <c r="F5" s="59">
        <f>'SER_se-appl'!F13</f>
        <v>151.27004786543168</v>
      </c>
      <c r="G5" s="59">
        <f>'SER_se-appl'!G13</f>
        <v>153.9837791403389</v>
      </c>
      <c r="H5" s="59">
        <f>'SER_se-appl'!H13</f>
        <v>156.00091413148326</v>
      </c>
      <c r="I5" s="59">
        <f>'SER_se-appl'!I13</f>
        <v>156.81913900323255</v>
      </c>
      <c r="J5" s="59">
        <f>'SER_se-appl'!J13</f>
        <v>158.67641843769621</v>
      </c>
      <c r="K5" s="59">
        <f>'SER_se-appl'!K13</f>
        <v>160.11953967949148</v>
      </c>
      <c r="L5" s="59">
        <f>'SER_se-appl'!L13</f>
        <v>162.17124260002603</v>
      </c>
      <c r="M5" s="59">
        <f>'SER_se-appl'!M13</f>
        <v>164.90489496559334</v>
      </c>
      <c r="N5" s="59">
        <f>'SER_se-appl'!N13</f>
        <v>168.32039228840293</v>
      </c>
      <c r="O5" s="59">
        <f>'SER_se-appl'!O13</f>
        <v>171.61294761779581</v>
      </c>
      <c r="P5" s="59">
        <f>'SER_se-appl'!P13</f>
        <v>175.79910656107401</v>
      </c>
      <c r="Q5" s="59">
        <f>'SER_se-appl'!Q13</f>
        <v>181.50273152674123</v>
      </c>
      <c r="R5" s="59">
        <f>'SER_se-appl'!R13</f>
        <v>179.40279472672032</v>
      </c>
      <c r="S5" s="59">
        <f>'SER_se-appl'!S13</f>
        <v>176.31166966788638</v>
      </c>
      <c r="T5" s="59">
        <f>'SER_se-appl'!T13</f>
        <v>172.15204216198666</v>
      </c>
      <c r="U5" s="59">
        <f>'SER_se-appl'!U13</f>
        <v>166.88685566265366</v>
      </c>
      <c r="V5" s="59">
        <f>'SER_se-appl'!V13</f>
        <v>161.02303296820526</v>
      </c>
      <c r="W5" s="59">
        <f>'SER_se-appl'!W13</f>
        <v>155.33510067565939</v>
      </c>
      <c r="DA5" s="104" t="s">
        <v>916</v>
      </c>
    </row>
    <row r="6" spans="1:105" ht="12" customHeight="1" x14ac:dyDescent="0.25">
      <c r="A6" s="201" t="str">
        <f>"Penetration factor "&amp;MID('SER_se-appl'!A69,FIND("(",'SER_se-appl'!A69),100)</f>
        <v>Penetration factor (unit per capita)</v>
      </c>
      <c r="B6" s="202">
        <f>'SER_se-appl'!B69</f>
        <v>0.15025439639625907</v>
      </c>
      <c r="C6" s="202">
        <f>'SER_se-appl'!C69</f>
        <v>0.15239232447543555</v>
      </c>
      <c r="D6" s="202">
        <f>'SER_se-appl'!D69</f>
        <v>0.15601680063668669</v>
      </c>
      <c r="E6" s="202">
        <f>'SER_se-appl'!E69</f>
        <v>0.16059553524782139</v>
      </c>
      <c r="F6" s="202">
        <f>'SER_se-appl'!F69</f>
        <v>0.16540254100848761</v>
      </c>
      <c r="G6" s="202">
        <f>'SER_se-appl'!G69</f>
        <v>0.17126737273432688</v>
      </c>
      <c r="H6" s="202">
        <f>'SER_se-appl'!H69</f>
        <v>0.17678983559974035</v>
      </c>
      <c r="I6" s="202">
        <f>'SER_se-appl'!I69</f>
        <v>0.18134857621349904</v>
      </c>
      <c r="J6" s="202">
        <f>'SER_se-appl'!J69</f>
        <v>0.18510439846522223</v>
      </c>
      <c r="K6" s="202">
        <f>'SER_se-appl'!K69</f>
        <v>0.18844132481810938</v>
      </c>
      <c r="L6" s="202">
        <f>'SER_se-appl'!L69</f>
        <v>0.19336318286310072</v>
      </c>
      <c r="M6" s="202">
        <f>'SER_se-appl'!M69</f>
        <v>0.19959424924852609</v>
      </c>
      <c r="N6" s="202">
        <f>'SER_se-appl'!N69</f>
        <v>0.2078235687619964</v>
      </c>
      <c r="O6" s="202">
        <f>'SER_se-appl'!O69</f>
        <v>0.21694471897824688</v>
      </c>
      <c r="P6" s="202">
        <f>'SER_se-appl'!P69</f>
        <v>0.2290069768441646</v>
      </c>
      <c r="Q6" s="202">
        <f>'SER_se-appl'!Q69</f>
        <v>0.24450690448738685</v>
      </c>
      <c r="R6" s="202">
        <f>'SER_se-appl'!R69</f>
        <v>0.24879353022181197</v>
      </c>
      <c r="S6" s="202">
        <f>'SER_se-appl'!S69</f>
        <v>0.25337017534930223</v>
      </c>
      <c r="T6" s="202">
        <f>'SER_se-appl'!T69</f>
        <v>0.25807359374103067</v>
      </c>
      <c r="U6" s="202">
        <f>'SER_se-appl'!U69</f>
        <v>0.26288645219058271</v>
      </c>
      <c r="V6" s="202">
        <f>'SER_se-appl'!V69</f>
        <v>0.26763486832817729</v>
      </c>
      <c r="W6" s="202">
        <f>'SER_se-appl'!W69</f>
        <v>0.27166588056196639</v>
      </c>
      <c r="DA6" s="207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"&amp;MID('SER_se-appl'!A21,FIND("(",'SER_se-appl'!A21),100)</f>
        <v>Stock of appliances (thousand units)</v>
      </c>
      <c r="B8" s="34">
        <f>'SER_se-appl'!B21</f>
        <v>800.85893787998873</v>
      </c>
      <c r="C8" s="34">
        <f>'SER_se-appl'!C21</f>
        <v>815.17885079189352</v>
      </c>
      <c r="D8" s="34">
        <f>'SER_se-appl'!D21</f>
        <v>837.55341576515957</v>
      </c>
      <c r="E8" s="34">
        <f>'SER_se-appl'!E21</f>
        <v>864.5671881753932</v>
      </c>
      <c r="F8" s="34">
        <f>'SER_se-appl'!F21</f>
        <v>892.78337144905311</v>
      </c>
      <c r="G8" s="34">
        <f>'SER_se-appl'!G21</f>
        <v>926.79711715140002</v>
      </c>
      <c r="H8" s="34">
        <f>'SER_se-appl'!H21</f>
        <v>959.51958433433117</v>
      </c>
      <c r="I8" s="34">
        <f>'SER_se-appl'!I21</f>
        <v>987.82092791533125</v>
      </c>
      <c r="J8" s="34">
        <f>'SER_se-appl'!J21</f>
        <v>1013.5929991762777</v>
      </c>
      <c r="K8" s="34">
        <f>'SER_se-appl'!K21</f>
        <v>1038.5851281100938</v>
      </c>
      <c r="L8" s="34">
        <f>'SER_se-appl'!L21</f>
        <v>1070.2145559933524</v>
      </c>
      <c r="M8" s="34">
        <f>'SER_se-appl'!M21</f>
        <v>1109.869371010333</v>
      </c>
      <c r="N8" s="34">
        <f>'SER_se-appl'!N21</f>
        <v>1159.7627506534211</v>
      </c>
      <c r="O8" s="34">
        <f>'SER_se-appl'!O21</f>
        <v>1215.4605569996572</v>
      </c>
      <c r="P8" s="34">
        <f>'SER_se-appl'!P21</f>
        <v>1288.6760753416727</v>
      </c>
      <c r="Q8" s="34">
        <f>'SER_se-appl'!Q21</f>
        <v>1383.8393949308306</v>
      </c>
      <c r="R8" s="34">
        <f>'SER_se-appl'!R21</f>
        <v>1419.9271241519666</v>
      </c>
      <c r="S8" s="34">
        <f>'SER_se-appl'!S21</f>
        <v>1456.5666095726326</v>
      </c>
      <c r="T8" s="34">
        <f>'SER_se-appl'!T21</f>
        <v>1491.9724793997093</v>
      </c>
      <c r="U8" s="34">
        <f>'SER_se-appl'!U21</f>
        <v>1526.3400352211506</v>
      </c>
      <c r="V8" s="34">
        <f>'SER_se-appl'!V21</f>
        <v>1558.3744088111828</v>
      </c>
      <c r="W8" s="34">
        <f>'SER_se-appl'!W21</f>
        <v>1586.5409674465091</v>
      </c>
      <c r="DA8" s="88" t="s">
        <v>922</v>
      </c>
    </row>
    <row r="9" spans="1:105" ht="12.95" customHeight="1" x14ac:dyDescent="0.25">
      <c r="A9" s="203" t="str">
        <f>"Number of new appliances "&amp;MID('SER_se-appl'!A29,FIND("(",'SER_se-appl'!A29),100)</f>
        <v>Number of new appliances (thousand units)</v>
      </c>
      <c r="B9" s="36"/>
      <c r="C9" s="36">
        <f>'SER_se-appl'!C29</f>
        <v>114.78320553071978</v>
      </c>
      <c r="D9" s="36">
        <f>'SER_se-appl'!D29</f>
        <v>127.1622881190259</v>
      </c>
      <c r="E9" s="36">
        <f>'SER_se-appl'!E29</f>
        <v>136.31207068257174</v>
      </c>
      <c r="F9" s="36">
        <f>'SER_se-appl'!F29</f>
        <v>142.21921384444454</v>
      </c>
      <c r="G9" s="36">
        <f>'SER_se-appl'!G29</f>
        <v>152.92402321590396</v>
      </c>
      <c r="H9" s="36">
        <f>'SER_se-appl'!H29</f>
        <v>156.75122350245567</v>
      </c>
      <c r="I9" s="36">
        <f>'SER_se-appl'!I29</f>
        <v>157.66890302020977</v>
      </c>
      <c r="J9" s="36">
        <f>'SER_se-appl'!J29</f>
        <v>140.55527679166619</v>
      </c>
      <c r="K9" s="36">
        <f>'SER_se-appl'!K29</f>
        <v>152.15441705284206</v>
      </c>
      <c r="L9" s="36">
        <f>'SER_se-appl'!L29</f>
        <v>167.94149856583033</v>
      </c>
      <c r="M9" s="36">
        <f>'SER_se-appl'!M29</f>
        <v>181.87402886142513</v>
      </c>
      <c r="N9" s="36">
        <f>'SER_se-appl'!N29</f>
        <v>202.81740285899207</v>
      </c>
      <c r="O9" s="36">
        <f>'SER_se-appl'!O29</f>
        <v>212.44902984869179</v>
      </c>
      <c r="P9" s="36">
        <f>'SER_se-appl'!P29</f>
        <v>230.88442136222534</v>
      </c>
      <c r="Q9" s="36">
        <f>'SER_se-appl'!Q29</f>
        <v>235.71859638082424</v>
      </c>
      <c r="R9" s="36">
        <f>'SER_se-appl'!R29</f>
        <v>188.24214627397805</v>
      </c>
      <c r="S9" s="36">
        <f>'SER_se-appl'!S29</f>
        <v>204.58098398649622</v>
      </c>
      <c r="T9" s="36">
        <f>'SER_se-appl'!T29</f>
        <v>217.27989868850182</v>
      </c>
      <c r="U9" s="36">
        <f>'SER_se-appl'!U29</f>
        <v>237.18495868043328</v>
      </c>
      <c r="V9" s="36">
        <f>'SER_se-appl'!V29</f>
        <v>244.48340343872383</v>
      </c>
      <c r="W9" s="36">
        <f>'SER_se-appl'!W29</f>
        <v>259.05097999755162</v>
      </c>
      <c r="DA9" s="89" t="s">
        <v>928</v>
      </c>
    </row>
    <row r="10" spans="1:105" ht="12" customHeight="1" x14ac:dyDescent="0.25">
      <c r="A10" s="204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100.46329261881499</v>
      </c>
      <c r="D10" s="38">
        <f>'SER_se-appl'!D37</f>
        <v>104.78772314575986</v>
      </c>
      <c r="E10" s="38">
        <f>'SER_se-appl'!E37</f>
        <v>109.29829827233812</v>
      </c>
      <c r="F10" s="38">
        <f>'SER_se-appl'!F37</f>
        <v>114.00303057078463</v>
      </c>
      <c r="G10" s="38">
        <f>'SER_se-appl'!G37</f>
        <v>118.91027751355705</v>
      </c>
      <c r="H10" s="38">
        <f>'SER_se-appl'!H37</f>
        <v>124.0287563195244</v>
      </c>
      <c r="I10" s="38">
        <f>'SER_se-appl'!I37</f>
        <v>129.36755943920969</v>
      </c>
      <c r="J10" s="38">
        <f>'SER_se-appl'!J37</f>
        <v>114.78320553071978</v>
      </c>
      <c r="K10" s="38">
        <f>'SER_se-appl'!K37</f>
        <v>127.16228811902579</v>
      </c>
      <c r="L10" s="38">
        <f>'SER_se-appl'!L37</f>
        <v>136.31207068257163</v>
      </c>
      <c r="M10" s="38">
        <f>'SER_se-appl'!M37</f>
        <v>142.21921384444454</v>
      </c>
      <c r="N10" s="38">
        <f>'SER_se-appl'!N37</f>
        <v>152.92402321590384</v>
      </c>
      <c r="O10" s="38">
        <f>'SER_se-appl'!O37</f>
        <v>156.75122350245579</v>
      </c>
      <c r="P10" s="38">
        <f>'SER_se-appl'!P37</f>
        <v>157.66890302020988</v>
      </c>
      <c r="Q10" s="38">
        <f>'SER_se-appl'!Q37</f>
        <v>140.5552767916663</v>
      </c>
      <c r="R10" s="38">
        <f>'SER_se-appl'!R37</f>
        <v>152.15441705284206</v>
      </c>
      <c r="S10" s="38">
        <f>'SER_se-appl'!S37</f>
        <v>167.94149856583022</v>
      </c>
      <c r="T10" s="38">
        <f>'SER_se-appl'!T37</f>
        <v>181.87402886142513</v>
      </c>
      <c r="U10" s="38">
        <f>'SER_se-appl'!U37</f>
        <v>202.81740285899195</v>
      </c>
      <c r="V10" s="38">
        <f>'SER_se-appl'!V37</f>
        <v>212.44902984869168</v>
      </c>
      <c r="W10" s="38">
        <f>'SER_se-appl'!W37</f>
        <v>230.88442136222534</v>
      </c>
      <c r="DA10" s="90" t="s">
        <v>934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'SER_se-appl'!B45</f>
        <v>4158.4378769491959</v>
      </c>
      <c r="C12" s="205">
        <f>'SER_se-appl'!C45</f>
        <v>4152.4304359335201</v>
      </c>
      <c r="D12" s="205">
        <f>'SER_se-appl'!D45</f>
        <v>4148.6585303669381</v>
      </c>
      <c r="E12" s="205">
        <f>'SER_se-appl'!E45</f>
        <v>4144.4698444907344</v>
      </c>
      <c r="F12" s="205">
        <f>'SER_se-appl'!F45</f>
        <v>4143.1550680975542</v>
      </c>
      <c r="G12" s="205">
        <f>'SER_se-appl'!G45</f>
        <v>4140.9519138737378</v>
      </c>
      <c r="H12" s="205">
        <f>'SER_se-appl'!H45</f>
        <v>4135.2968632491284</v>
      </c>
      <c r="I12" s="205">
        <f>'SER_se-appl'!I45</f>
        <v>4132.5177898727234</v>
      </c>
      <c r="J12" s="205">
        <f>'SER_se-appl'!J45</f>
        <v>4128.4700707248512</v>
      </c>
      <c r="K12" s="205">
        <f>'SER_se-appl'!K45</f>
        <v>4122.5467731755552</v>
      </c>
      <c r="L12" s="205">
        <f>'SER_se-appl'!L45</f>
        <v>4117.2190438917405</v>
      </c>
      <c r="M12" s="205">
        <f>'SER_se-appl'!M45</f>
        <v>4107.1129429279008</v>
      </c>
      <c r="N12" s="205">
        <f>'SER_se-appl'!N45</f>
        <v>4087.0930919003954</v>
      </c>
      <c r="O12" s="205">
        <f>'SER_se-appl'!O45</f>
        <v>4051.9656184151818</v>
      </c>
      <c r="P12" s="205">
        <f>'SER_se-appl'!P45</f>
        <v>4018.8149121167985</v>
      </c>
      <c r="Q12" s="205">
        <f>'SER_se-appl'!Q45</f>
        <v>3984.9474643736316</v>
      </c>
      <c r="R12" s="205">
        <f>'SER_se-appl'!R45</f>
        <v>4000.1417383634421</v>
      </c>
      <c r="S12" s="205">
        <f>'SER_se-appl'!S45</f>
        <v>4040.7502077819709</v>
      </c>
      <c r="T12" s="205">
        <f>'SER_se-appl'!T45</f>
        <v>4026.8280052586974</v>
      </c>
      <c r="U12" s="205">
        <f>'SER_se-appl'!U45</f>
        <v>3978.9822176037665</v>
      </c>
      <c r="V12" s="205">
        <f>'SER_se-appl'!V45</f>
        <v>3904.7811293774735</v>
      </c>
      <c r="W12" s="205">
        <f>'SER_se-appl'!W45</f>
        <v>3885.7373969168302</v>
      </c>
      <c r="DA12" s="209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178.41730250023818</v>
      </c>
      <c r="C14" s="59">
        <f>'SER_se-appl'!C53</f>
        <v>176.78853605430052</v>
      </c>
      <c r="D14" s="59">
        <f>'SER_se-appl'!D53</f>
        <v>174.72310626999308</v>
      </c>
      <c r="E14" s="59">
        <f>'SER_se-appl'!E53</f>
        <v>172.23161286090223</v>
      </c>
      <c r="F14" s="59">
        <f>'SER_se-appl'!F53</f>
        <v>169.43645312289951</v>
      </c>
      <c r="G14" s="59">
        <f>'SER_se-appl'!G53</f>
        <v>166.14615679170737</v>
      </c>
      <c r="H14" s="59">
        <f>'SER_se-appl'!H53</f>
        <v>162.5823137728963</v>
      </c>
      <c r="I14" s="59">
        <f>'SER_se-appl'!I53</f>
        <v>158.75259834206909</v>
      </c>
      <c r="J14" s="59">
        <f>'SER_se-appl'!J53</f>
        <v>156.54845541223023</v>
      </c>
      <c r="K14" s="59">
        <f>'SER_se-appl'!K53</f>
        <v>154.17083813905549</v>
      </c>
      <c r="L14" s="59">
        <f>'SER_se-appl'!L53</f>
        <v>151.53152392839755</v>
      </c>
      <c r="M14" s="59">
        <f>'SER_se-appl'!M53</f>
        <v>148.58045394610505</v>
      </c>
      <c r="N14" s="59">
        <f>'SER_se-appl'!N53</f>
        <v>145.13346992181775</v>
      </c>
      <c r="O14" s="59">
        <f>'SER_se-appl'!O53</f>
        <v>141.19170435396055</v>
      </c>
      <c r="P14" s="59">
        <f>'SER_se-appl'!P53</f>
        <v>136.41838311808775</v>
      </c>
      <c r="Q14" s="59">
        <f>'SER_se-appl'!Q53</f>
        <v>131.15881235323079</v>
      </c>
      <c r="R14" s="59">
        <f>'SER_se-appl'!R53</f>
        <v>126.34648051664367</v>
      </c>
      <c r="S14" s="59">
        <f>'SER_se-appl'!S53</f>
        <v>121.04607404093763</v>
      </c>
      <c r="T14" s="59">
        <f>'SER_se-appl'!T53</f>
        <v>115.38553461204026</v>
      </c>
      <c r="U14" s="59">
        <f>'SER_se-appl'!U53</f>
        <v>109.33792720602622</v>
      </c>
      <c r="V14" s="59">
        <f>'SER_se-appl'!V53</f>
        <v>103.32756496626689</v>
      </c>
      <c r="W14" s="59">
        <f>'SER_se-appl'!W53</f>
        <v>97.908030024378547</v>
      </c>
      <c r="DA14" s="104" t="s">
        <v>946</v>
      </c>
    </row>
    <row r="15" spans="1:105" ht="12" customHeight="1" x14ac:dyDescent="0.25">
      <c r="A15" s="204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166.84996602911539</v>
      </c>
      <c r="D15" s="63">
        <f>'SER_se-appl'!D61</f>
        <v>164.52677931393515</v>
      </c>
      <c r="E15" s="63">
        <f>'SER_se-appl'!E61</f>
        <v>161.88276072435741</v>
      </c>
      <c r="F15" s="63">
        <f>'SER_se-appl'!F61</f>
        <v>159.6434068008104</v>
      </c>
      <c r="G15" s="63">
        <f>'SER_se-appl'!G61</f>
        <v>156.47889537045705</v>
      </c>
      <c r="H15" s="63">
        <f>'SER_se-appl'!H61</f>
        <v>154.04033593240214</v>
      </c>
      <c r="I15" s="63">
        <f>'SER_se-appl'!I61</f>
        <v>151.58116407310132</v>
      </c>
      <c r="J15" s="63">
        <f>'SER_se-appl'!J61</f>
        <v>149.47039952912587</v>
      </c>
      <c r="K15" s="63">
        <f>'SER_se-appl'!K61</f>
        <v>146.98701088935309</v>
      </c>
      <c r="L15" s="63">
        <f>'SER_se-appl'!L61</f>
        <v>143.61118275498191</v>
      </c>
      <c r="M15" s="63">
        <f>'SER_se-appl'!M61</f>
        <v>139.86610587270457</v>
      </c>
      <c r="N15" s="63">
        <f>'SER_se-appl'!N61</f>
        <v>134.82511444174114</v>
      </c>
      <c r="O15" s="63">
        <f>'SER_se-appl'!O61</f>
        <v>129.15364440622889</v>
      </c>
      <c r="P15" s="63">
        <f>'SER_se-appl'!P61</f>
        <v>121.64439088399054</v>
      </c>
      <c r="Q15" s="63">
        <f>'SER_se-appl'!Q61</f>
        <v>113.32359327512739</v>
      </c>
      <c r="R15" s="63">
        <f>'SER_se-appl'!R61</f>
        <v>107.65275767039903</v>
      </c>
      <c r="S15" s="63">
        <f>'SER_se-appl'!S61</f>
        <v>102.7815575725111</v>
      </c>
      <c r="T15" s="63">
        <f>'SER_se-appl'!T61</f>
        <v>97.930755669363492</v>
      </c>
      <c r="U15" s="63">
        <f>'SER_se-appl'!U61</f>
        <v>93.090612384303682</v>
      </c>
      <c r="V15" s="63">
        <f>'SER_se-appl'!V61</f>
        <v>88.246250901383718</v>
      </c>
      <c r="W15" s="63">
        <f>'SER_se-appl'!W61</f>
        <v>86.461215120191198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'SER_se-appl'!B6</f>
        <v>154.47131534034889</v>
      </c>
      <c r="C3" s="199">
        <f>'SER_se-appl'!C6</f>
        <v>158.88517578716448</v>
      </c>
      <c r="D3" s="199">
        <f>'SER_se-appl'!D6</f>
        <v>162.52941410587758</v>
      </c>
      <c r="E3" s="199">
        <f>'SER_se-appl'!E6</f>
        <v>166.06055158656804</v>
      </c>
      <c r="F3" s="199">
        <f>'SER_se-appl'!F6</f>
        <v>169.5473112015766</v>
      </c>
      <c r="G3" s="199">
        <f>'SER_se-appl'!G6</f>
        <v>171.91940168824016</v>
      </c>
      <c r="H3" s="199">
        <f>'SER_se-appl'!H6</f>
        <v>173.26651406867356</v>
      </c>
      <c r="I3" s="199">
        <f>'SER_se-appl'!I6</f>
        <v>177.53029085570773</v>
      </c>
      <c r="J3" s="199">
        <f>'SER_se-appl'!J6</f>
        <v>179.69249328118946</v>
      </c>
      <c r="K3" s="199">
        <f>'SER_se-appl'!K6</f>
        <v>182.98898306879536</v>
      </c>
      <c r="L3" s="199">
        <f>'SER_se-appl'!L6</f>
        <v>186.85098934181266</v>
      </c>
      <c r="M3" s="199">
        <f>'SER_se-appl'!M6</f>
        <v>188.71485354301245</v>
      </c>
      <c r="N3" s="199">
        <f>'SER_se-appl'!N6</f>
        <v>190.2842692125553</v>
      </c>
      <c r="O3" s="199">
        <f>'SER_se-appl'!O6</f>
        <v>191.47019363990157</v>
      </c>
      <c r="P3" s="199">
        <f>'SER_se-appl'!P6</f>
        <v>193.81113262860467</v>
      </c>
      <c r="Q3" s="199">
        <f>'SER_se-appl'!Q6</f>
        <v>194.91885559790921</v>
      </c>
      <c r="R3" s="199">
        <f>'SER_se-appl'!R6</f>
        <v>193.12368424751918</v>
      </c>
      <c r="S3" s="199">
        <f>'SER_se-appl'!S6</f>
        <v>193.07062818461125</v>
      </c>
      <c r="T3" s="199">
        <f>'SER_se-appl'!T6</f>
        <v>188.12519819438262</v>
      </c>
      <c r="U3" s="199">
        <f>'SER_se-appl'!U6</f>
        <v>179.0821516595104</v>
      </c>
      <c r="V3" s="199">
        <f>'SER_se-appl'!V6</f>
        <v>156.46635542512919</v>
      </c>
      <c r="W3" s="199">
        <f>'SER_se-appl'!W6</f>
        <v>157.47999792026184</v>
      </c>
      <c r="DA3" s="206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'SER_se-appl'!B14</f>
        <v>761.8565582326388</v>
      </c>
      <c r="C5" s="59">
        <f>'SER_se-appl'!C14</f>
        <v>779.24732709448244</v>
      </c>
      <c r="D5" s="59">
        <f>'SER_se-appl'!D14</f>
        <v>793.41238810138873</v>
      </c>
      <c r="E5" s="59">
        <f>'SER_se-appl'!E14</f>
        <v>807.1046832578769</v>
      </c>
      <c r="F5" s="59">
        <f>'SER_se-appl'!F14</f>
        <v>819.39756840382381</v>
      </c>
      <c r="G5" s="59">
        <f>'SER_se-appl'!G14</f>
        <v>826.67230152635102</v>
      </c>
      <c r="H5" s="59">
        <f>'SER_se-appl'!H14</f>
        <v>830.75490620158257</v>
      </c>
      <c r="I5" s="59">
        <f>'SER_se-appl'!I14</f>
        <v>848.18639245119016</v>
      </c>
      <c r="J5" s="59">
        <f>'SER_se-appl'!J14</f>
        <v>856.00942917109785</v>
      </c>
      <c r="K5" s="59">
        <f>'SER_se-appl'!K14</f>
        <v>869.76166777419553</v>
      </c>
      <c r="L5" s="59">
        <f>'SER_se-appl'!L14</f>
        <v>884.22977533200083</v>
      </c>
      <c r="M5" s="59">
        <f>'SER_se-appl'!M14</f>
        <v>888.57849441334508</v>
      </c>
      <c r="N5" s="59">
        <f>'SER_se-appl'!N14</f>
        <v>892.80129784940891</v>
      </c>
      <c r="O5" s="59">
        <f>'SER_se-appl'!O14</f>
        <v>894.69903398719259</v>
      </c>
      <c r="P5" s="59">
        <f>'SER_se-appl'!P14</f>
        <v>901.35642771410869</v>
      </c>
      <c r="Q5" s="59">
        <f>'SER_se-appl'!Q14</f>
        <v>902.60272985713743</v>
      </c>
      <c r="R5" s="59">
        <f>'SER_se-appl'!R14</f>
        <v>887.07167021861551</v>
      </c>
      <c r="S5" s="59">
        <f>'SER_se-appl'!S14</f>
        <v>871.84133716364681</v>
      </c>
      <c r="T5" s="59">
        <f>'SER_se-appl'!T14</f>
        <v>848.12598488966444</v>
      </c>
      <c r="U5" s="59">
        <f>'SER_se-appl'!U14</f>
        <v>815.48246840157424</v>
      </c>
      <c r="V5" s="59">
        <f>'SER_se-appl'!V14</f>
        <v>778.03265347774834</v>
      </c>
      <c r="W5" s="59">
        <f>'SER_se-appl'!W14</f>
        <v>731.37898696621198</v>
      </c>
      <c r="DA5" s="104" t="s">
        <v>917</v>
      </c>
    </row>
    <row r="6" spans="1:105" ht="12" customHeight="1" x14ac:dyDescent="0.25">
      <c r="A6" s="201" t="str">
        <f>"Penetration factor "&amp;MID('SER_se-appl'!A70,FIND("(",'SER_se-appl'!A70),100)</f>
        <v>Penetration factor (unit per building cell)</v>
      </c>
      <c r="B6" s="202">
        <f>'SER_se-appl'!B70</f>
        <v>177.87096629444611</v>
      </c>
      <c r="C6" s="202">
        <f>'SER_se-appl'!C70</f>
        <v>180.26435166670478</v>
      </c>
      <c r="D6" s="202">
        <f>'SER_se-appl'!D70</f>
        <v>182.47944328821447</v>
      </c>
      <c r="E6" s="202">
        <f>'SER_se-appl'!E70</f>
        <v>185.7260009334361</v>
      </c>
      <c r="F6" s="202">
        <f>'SER_se-appl'!F70</f>
        <v>189.55753107026391</v>
      </c>
      <c r="G6" s="202">
        <f>'SER_se-appl'!G70</f>
        <v>193.07445972102408</v>
      </c>
      <c r="H6" s="202">
        <f>'SER_se-appl'!H70</f>
        <v>197.01279687206812</v>
      </c>
      <c r="I6" s="202">
        <f>'SER_se-appl'!I70</f>
        <v>201.29782283896668</v>
      </c>
      <c r="J6" s="202">
        <f>'SER_se-appl'!J70</f>
        <v>205.7008956245177</v>
      </c>
      <c r="K6" s="202">
        <f>'SER_se-appl'!K70</f>
        <v>209.97170376584708</v>
      </c>
      <c r="L6" s="202">
        <f>'SER_se-appl'!L70</f>
        <v>214.65262247523421</v>
      </c>
      <c r="M6" s="202">
        <f>'SER_se-appl'!M70</f>
        <v>219.73487176478454</v>
      </c>
      <c r="N6" s="202">
        <f>'SER_se-appl'!N70</f>
        <v>225.65769664978245</v>
      </c>
      <c r="O6" s="202">
        <f>'SER_se-appl'!O70</f>
        <v>232.16517379989739</v>
      </c>
      <c r="P6" s="202">
        <f>'SER_se-appl'!P70</f>
        <v>239.71533781310748</v>
      </c>
      <c r="Q6" s="202">
        <f>'SER_se-appl'!Q70</f>
        <v>247.75579471336997</v>
      </c>
      <c r="R6" s="202">
        <f>'SER_se-appl'!R70</f>
        <v>252.60830100228853</v>
      </c>
      <c r="S6" s="202">
        <f>'SER_se-appl'!S70</f>
        <v>257.52634511566265</v>
      </c>
      <c r="T6" s="202">
        <f>'SER_se-appl'!T70</f>
        <v>262.23721210828967</v>
      </c>
      <c r="U6" s="202">
        <f>'SER_se-appl'!U70</f>
        <v>266.57412408825928</v>
      </c>
      <c r="V6" s="202">
        <f>'SER_se-appl'!V70</f>
        <v>270.22626649336348</v>
      </c>
      <c r="W6" s="202">
        <f>'SER_se-appl'!W70</f>
        <v>272.82711695511108</v>
      </c>
      <c r="DA6" s="207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"&amp;MID('SER_se-appl'!A22,FIND("(",'SER_se-appl'!A22),1000)</f>
        <v>Stock of appliances (million units)</v>
      </c>
      <c r="B8" s="34">
        <f>'SER_se-appl'!B22</f>
        <v>21.251614043594053</v>
      </c>
      <c r="C8" s="34">
        <f>'SER_se-appl'!C22</f>
        <v>22.022062873222971</v>
      </c>
      <c r="D8" s="34">
        <f>'SER_se-appl'!D22</f>
        <v>22.865942626102054</v>
      </c>
      <c r="E8" s="34">
        <f>'SER_se-appl'!E22</f>
        <v>23.807539623876437</v>
      </c>
      <c r="F8" s="34">
        <f>'SER_se-appl'!F22</f>
        <v>24.812149329452495</v>
      </c>
      <c r="G8" s="34">
        <f>'SER_se-appl'!G22</f>
        <v>25.796128460753103</v>
      </c>
      <c r="H8" s="34">
        <f>'SER_se-appl'!H22</f>
        <v>26.870346049727505</v>
      </c>
      <c r="I8" s="34">
        <f>'SER_se-appl'!I22</f>
        <v>28.27991378939376</v>
      </c>
      <c r="J8" s="34">
        <f>'SER_se-appl'!J22</f>
        <v>29.295201596527534</v>
      </c>
      <c r="K8" s="34">
        <f>'SER_se-appl'!K22</f>
        <v>30.529217399634291</v>
      </c>
      <c r="L8" s="34">
        <f>'SER_se-appl'!L22</f>
        <v>31.877882021159458</v>
      </c>
      <c r="M8" s="34">
        <f>'SER_se-appl'!M22</f>
        <v>32.860614051930554</v>
      </c>
      <c r="N8" s="34">
        <f>'SER_se-appl'!N22</f>
        <v>33.862395235075113</v>
      </c>
      <c r="O8" s="34">
        <f>'SER_se-appl'!O22</f>
        <v>35.002106893527255</v>
      </c>
      <c r="P8" s="34">
        <f>'SER_se-appl'!P22</f>
        <v>36.390902325315444</v>
      </c>
      <c r="Q8" s="34">
        <f>'SER_se-appl'!Q22</f>
        <v>37.881023682827163</v>
      </c>
      <c r="R8" s="34">
        <f>'SER_se-appl'!R22</f>
        <v>38.961175407583902</v>
      </c>
      <c r="S8" s="34">
        <f>'SER_se-appl'!S22</f>
        <v>40.101411099859298</v>
      </c>
      <c r="T8" s="34">
        <f>'SER_se-appl'!T22</f>
        <v>41.181287898245131</v>
      </c>
      <c r="U8" s="34">
        <f>'SER_se-appl'!U22</f>
        <v>42.223479348782085</v>
      </c>
      <c r="V8" s="34">
        <f>'SER_se-appl'!V22</f>
        <v>43.160837734218781</v>
      </c>
      <c r="W8" s="34">
        <f>'SER_se-appl'!W22</f>
        <v>43.936220156650229</v>
      </c>
      <c r="DA8" s="88" t="s">
        <v>923</v>
      </c>
    </row>
    <row r="9" spans="1:105" ht="12.95" customHeight="1" x14ac:dyDescent="0.25">
      <c r="A9" s="203" t="str">
        <f>"Number of new appliances "&amp;MID('SER_se-appl'!A30,FIND("(",'SER_se-appl'!A30),100)</f>
        <v>Number of new appliances (million units)</v>
      </c>
      <c r="B9" s="36"/>
      <c r="C9" s="36">
        <f>'SER_se-appl'!C30</f>
        <v>4.0892304548907212</v>
      </c>
      <c r="D9" s="36">
        <f>'SER_se-appl'!D30</f>
        <v>4.2488778556956781</v>
      </c>
      <c r="E9" s="36">
        <f>'SER_se-appl'!E30</f>
        <v>4.4350513401552298</v>
      </c>
      <c r="F9" s="36">
        <f>'SER_se-appl'!F30</f>
        <v>4.5888182348566851</v>
      </c>
      <c r="G9" s="36">
        <f>'SER_se-appl'!G30</f>
        <v>4.6612994917014987</v>
      </c>
      <c r="H9" s="36">
        <f>'SER_se-appl'!H30</f>
        <v>4.8470686724276923</v>
      </c>
      <c r="I9" s="36">
        <f>'SER_se-appl'!I30</f>
        <v>5.4987981945569757</v>
      </c>
      <c r="J9" s="36">
        <f>'SER_se-appl'!J30</f>
        <v>5.264165662829452</v>
      </c>
      <c r="K9" s="36">
        <f>'SER_se-appl'!K30</f>
        <v>5.6690671432619872</v>
      </c>
      <c r="L9" s="36">
        <f>'SER_se-appl'!L30</f>
        <v>5.9374828563818518</v>
      </c>
      <c r="M9" s="36">
        <f>'SER_se-appl'!M30</f>
        <v>5.644031522472595</v>
      </c>
      <c r="N9" s="36">
        <f>'SER_se-appl'!N30</f>
        <v>5.8488498555722508</v>
      </c>
      <c r="O9" s="36">
        <f>'SER_se-appl'!O30</f>
        <v>6.6385098530091184</v>
      </c>
      <c r="P9" s="36">
        <f>'SER_se-appl'!P30</f>
        <v>6.6529610946176412</v>
      </c>
      <c r="Q9" s="36">
        <f>'SER_se-appl'!Q30</f>
        <v>7.1591885007737055</v>
      </c>
      <c r="R9" s="36">
        <f>'SER_se-appl'!R30</f>
        <v>7.0176345811385907</v>
      </c>
      <c r="S9" s="36">
        <f>'SER_se-appl'!S30</f>
        <v>6.7842672147479917</v>
      </c>
      <c r="T9" s="36">
        <f>'SER_se-appl'!T30</f>
        <v>6.9287266539580799</v>
      </c>
      <c r="U9" s="36">
        <f>'SER_se-appl'!U30</f>
        <v>7.6807013035460727</v>
      </c>
      <c r="V9" s="36">
        <f>'SER_se-appl'!V30</f>
        <v>7.5903194800543403</v>
      </c>
      <c r="W9" s="36">
        <f>'SER_se-appl'!W30</f>
        <v>7.9345709232051505</v>
      </c>
      <c r="DA9" s="89" t="s">
        <v>929</v>
      </c>
    </row>
    <row r="10" spans="1:105" ht="12" customHeight="1" x14ac:dyDescent="0.25">
      <c r="A10" s="204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3.3187816252618028</v>
      </c>
      <c r="D10" s="38">
        <f>'SER_se-appl'!D38</f>
        <v>3.4049981028165952</v>
      </c>
      <c r="E10" s="38">
        <f>'SER_se-appl'!E38</f>
        <v>3.4934543423808471</v>
      </c>
      <c r="F10" s="38">
        <f>'SER_se-appl'!F38</f>
        <v>3.5842085292806267</v>
      </c>
      <c r="G10" s="38">
        <f>'SER_se-appl'!G38</f>
        <v>3.6773203604008913</v>
      </c>
      <c r="H10" s="38">
        <f>'SER_se-appl'!H38</f>
        <v>3.7728510834532898</v>
      </c>
      <c r="I10" s="38">
        <f>'SER_se-appl'!I38</f>
        <v>4.0892304548907248</v>
      </c>
      <c r="J10" s="38">
        <f>'SER_se-appl'!J38</f>
        <v>4.2488778556956817</v>
      </c>
      <c r="K10" s="38">
        <f>'SER_se-appl'!K38</f>
        <v>4.4350513401552263</v>
      </c>
      <c r="L10" s="38">
        <f>'SER_se-appl'!L38</f>
        <v>4.5888182348566815</v>
      </c>
      <c r="M10" s="38">
        <f>'SER_se-appl'!M38</f>
        <v>4.6612994917014987</v>
      </c>
      <c r="N10" s="38">
        <f>'SER_se-appl'!N38</f>
        <v>4.8470686724276959</v>
      </c>
      <c r="O10" s="38">
        <f>'SER_se-appl'!O38</f>
        <v>5.4987981945569757</v>
      </c>
      <c r="P10" s="38">
        <f>'SER_se-appl'!P38</f>
        <v>5.2641656628294484</v>
      </c>
      <c r="Q10" s="38">
        <f>'SER_se-appl'!Q38</f>
        <v>5.6690671432619837</v>
      </c>
      <c r="R10" s="38">
        <f>'SER_se-appl'!R38</f>
        <v>5.9374828563818554</v>
      </c>
      <c r="S10" s="38">
        <f>'SER_se-appl'!S38</f>
        <v>5.644031522472595</v>
      </c>
      <c r="T10" s="38">
        <f>'SER_se-appl'!T38</f>
        <v>5.8488498555722472</v>
      </c>
      <c r="U10" s="38">
        <f>'SER_se-appl'!U38</f>
        <v>6.6385098530091184</v>
      </c>
      <c r="V10" s="38">
        <f>'SER_se-appl'!V38</f>
        <v>6.6529610946176447</v>
      </c>
      <c r="W10" s="38">
        <f>'SER_se-appl'!W38</f>
        <v>7.1591885007737019</v>
      </c>
      <c r="DA10" s="90" t="s">
        <v>935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'SER_se-appl'!B46</f>
        <v>2358.0572720615501</v>
      </c>
      <c r="C12" s="205">
        <f>'SER_se-appl'!C46</f>
        <v>2371.3069396010596</v>
      </c>
      <c r="D12" s="205">
        <f>'SER_se-appl'!D46</f>
        <v>2382.3891766734159</v>
      </c>
      <c r="E12" s="205">
        <f>'SER_se-appl'!E46</f>
        <v>2392.854675500284</v>
      </c>
      <c r="F12" s="205">
        <f>'SER_se-appl'!F46</f>
        <v>2406.4450583072221</v>
      </c>
      <c r="G12" s="205">
        <f>'SER_se-appl'!G46</f>
        <v>2418.6399350051279</v>
      </c>
      <c r="H12" s="205">
        <f>'SER_se-appl'!H46</f>
        <v>2425.6125887142366</v>
      </c>
      <c r="I12" s="205">
        <f>'SER_se-appl'!I46</f>
        <v>2434.2258977830693</v>
      </c>
      <c r="J12" s="205">
        <f>'SER_se-appl'!J46</f>
        <v>2441.3559309549646</v>
      </c>
      <c r="K12" s="205">
        <f>'SER_se-appl'!K46</f>
        <v>2446.8333704982228</v>
      </c>
      <c r="L12" s="205">
        <f>'SER_se-appl'!L46</f>
        <v>2457.5931128640837</v>
      </c>
      <c r="M12" s="205">
        <f>'SER_se-appl'!M46</f>
        <v>2469.9604598851442</v>
      </c>
      <c r="N12" s="205">
        <f>'SER_se-appl'!N46</f>
        <v>2478.7218122024856</v>
      </c>
      <c r="O12" s="205">
        <f>'SER_se-appl'!O46</f>
        <v>2488.8797991749384</v>
      </c>
      <c r="P12" s="205">
        <f>'SER_se-appl'!P46</f>
        <v>2500.7016127759853</v>
      </c>
      <c r="Q12" s="205">
        <f>'SER_se-appl'!Q46</f>
        <v>2511.5216424865971</v>
      </c>
      <c r="R12" s="205">
        <f>'SER_se-appl'!R46</f>
        <v>2531.9582658356371</v>
      </c>
      <c r="S12" s="205">
        <f>'SER_se-appl'!S46</f>
        <v>2575.4816961214578</v>
      </c>
      <c r="T12" s="205">
        <f>'SER_se-appl'!T46</f>
        <v>2579.682846629561</v>
      </c>
      <c r="U12" s="205">
        <f>'SER_se-appl'!U46</f>
        <v>2553.9793980886584</v>
      </c>
      <c r="V12" s="205">
        <f>'SER_se-appl'!V46</f>
        <v>2338.8526245785592</v>
      </c>
      <c r="W12" s="205">
        <f>'SER_se-appl'!W46</f>
        <v>2504.1632429306533</v>
      </c>
      <c r="DA12" s="209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35.849350391448873</v>
      </c>
      <c r="C14" s="59">
        <f>'SER_se-appl'!C54</f>
        <v>35.384847077245588</v>
      </c>
      <c r="D14" s="59">
        <f>'SER_se-appl'!D54</f>
        <v>34.69843343329692</v>
      </c>
      <c r="E14" s="59">
        <f>'SER_se-appl'!E54</f>
        <v>33.901221882182085</v>
      </c>
      <c r="F14" s="59">
        <f>'SER_se-appl'!F54</f>
        <v>33.024046305862882</v>
      </c>
      <c r="G14" s="59">
        <f>'SER_se-appl'!G54</f>
        <v>32.046370942216065</v>
      </c>
      <c r="H14" s="59">
        <f>'SER_se-appl'!H54</f>
        <v>30.917164396176705</v>
      </c>
      <c r="I14" s="59">
        <f>'SER_se-appl'!I54</f>
        <v>29.992538123270315</v>
      </c>
      <c r="J14" s="59">
        <f>'SER_se-appl'!J54</f>
        <v>29.220124201929497</v>
      </c>
      <c r="K14" s="59">
        <f>'SER_se-appl'!K54</f>
        <v>28.489484561258827</v>
      </c>
      <c r="L14" s="59">
        <f>'SER_se-appl'!L54</f>
        <v>27.738033999406831</v>
      </c>
      <c r="M14" s="59">
        <f>'SER_se-appl'!M54</f>
        <v>27.040836577463203</v>
      </c>
      <c r="N14" s="59">
        <f>'SER_se-appl'!N54</f>
        <v>26.365568402693309</v>
      </c>
      <c r="O14" s="59">
        <f>'SER_se-appl'!O54</f>
        <v>25.561290830542671</v>
      </c>
      <c r="P14" s="59">
        <f>'SER_se-appl'!P54</f>
        <v>24.768729823087604</v>
      </c>
      <c r="Q14" s="59">
        <f>'SER_se-appl'!Q54</f>
        <v>23.827305656111925</v>
      </c>
      <c r="R14" s="59">
        <f>'SER_se-appl'!R54</f>
        <v>22.7680931321683</v>
      </c>
      <c r="S14" s="59">
        <f>'SER_se-appl'!S54</f>
        <v>21.740914178621157</v>
      </c>
      <c r="T14" s="59">
        <f>'SER_se-appl'!T54</f>
        <v>20.59493590839848</v>
      </c>
      <c r="U14" s="59">
        <f>'SER_se-appl'!U54</f>
        <v>19.313483421519511</v>
      </c>
      <c r="V14" s="59">
        <f>'SER_se-appl'!V54</f>
        <v>18.026356630721939</v>
      </c>
      <c r="W14" s="59">
        <f>'SER_se-appl'!W54</f>
        <v>16.646379328002109</v>
      </c>
      <c r="DA14" s="104" t="s">
        <v>947</v>
      </c>
    </row>
    <row r="15" spans="1:105" ht="12" customHeight="1" x14ac:dyDescent="0.25">
      <c r="A15" s="204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33.347823196284061</v>
      </c>
      <c r="D15" s="63">
        <f>'SER_se-appl'!D62</f>
        <v>32.063061284375671</v>
      </c>
      <c r="E15" s="63">
        <f>'SER_se-appl'!E62</f>
        <v>31.325536797092649</v>
      </c>
      <c r="F15" s="63">
        <f>'SER_se-appl'!F62</f>
        <v>30.679888673460308</v>
      </c>
      <c r="G15" s="63">
        <f>'SER_se-appl'!G62</f>
        <v>29.842381823308042</v>
      </c>
      <c r="H15" s="63">
        <f>'SER_se-appl'!H62</f>
        <v>28.746624930923101</v>
      </c>
      <c r="I15" s="63">
        <f>'SER_se-appl'!I62</f>
        <v>27.969460785158844</v>
      </c>
      <c r="J15" s="63">
        <f>'SER_se-appl'!J62</f>
        <v>27.365223099661407</v>
      </c>
      <c r="K15" s="63">
        <f>'SER_se-appl'!K62</f>
        <v>26.932579681579071</v>
      </c>
      <c r="L15" s="63">
        <f>'SER_se-appl'!L62</f>
        <v>26.147871733066346</v>
      </c>
      <c r="M15" s="63">
        <f>'SER_se-appl'!M62</f>
        <v>25.416760649601532</v>
      </c>
      <c r="N15" s="63">
        <f>'SER_se-appl'!N62</f>
        <v>24.544939966273802</v>
      </c>
      <c r="O15" s="63">
        <f>'SER_se-appl'!O62</f>
        <v>23.453479779859492</v>
      </c>
      <c r="P15" s="63">
        <f>'SER_se-appl'!P62</f>
        <v>22.653440983707217</v>
      </c>
      <c r="Q15" s="63">
        <f>'SER_se-appl'!Q62</f>
        <v>21.500887241971469</v>
      </c>
      <c r="R15" s="63">
        <f>'SER_se-appl'!R62</f>
        <v>19.910053578874393</v>
      </c>
      <c r="S15" s="63">
        <f>'SER_se-appl'!S62</f>
        <v>18.900002195047147</v>
      </c>
      <c r="T15" s="63">
        <f>'SER_se-appl'!T62</f>
        <v>17.296730306762175</v>
      </c>
      <c r="U15" s="63">
        <f>'SER_se-appl'!U62</f>
        <v>16.021016213850885</v>
      </c>
      <c r="V15" s="63">
        <f>'SER_se-appl'!V62</f>
        <v>14.921986735554928</v>
      </c>
      <c r="W15" s="63">
        <f>'SER_se-appl'!W62</f>
        <v>13.519979747598544</v>
      </c>
      <c r="DA15" s="105" t="s">
        <v>953</v>
      </c>
    </row>
    <row r="16" spans="1:105" ht="12.95" customHeight="1" x14ac:dyDescent="0.25">
      <c r="A16" s="204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DA16" s="105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'SER_se-appl'!B7</f>
        <v>79.170937968856052</v>
      </c>
      <c r="C3" s="199">
        <f>'SER_se-appl'!C7</f>
        <v>79.015840198330054</v>
      </c>
      <c r="D3" s="199">
        <f>'SER_se-appl'!D7</f>
        <v>78.883870570842149</v>
      </c>
      <c r="E3" s="199">
        <f>'SER_se-appl'!E7</f>
        <v>78.649153410871889</v>
      </c>
      <c r="F3" s="199">
        <f>'SER_se-appl'!F7</f>
        <v>78.352779599488088</v>
      </c>
      <c r="G3" s="199">
        <f>'SER_se-appl'!G7</f>
        <v>77.979446347611642</v>
      </c>
      <c r="H3" s="199">
        <f>'SER_se-appl'!H7</f>
        <v>77.629243676804052</v>
      </c>
      <c r="I3" s="199">
        <f>'SER_se-appl'!I7</f>
        <v>77.276442175684593</v>
      </c>
      <c r="J3" s="199">
        <f>'SER_se-appl'!J7</f>
        <v>77.010679918678207</v>
      </c>
      <c r="K3" s="199">
        <f>'SER_se-appl'!K7</f>
        <v>76.869487091150759</v>
      </c>
      <c r="L3" s="199">
        <f>'SER_se-appl'!L7</f>
        <v>76.534969092243969</v>
      </c>
      <c r="M3" s="199">
        <f>'SER_se-appl'!M7</f>
        <v>76.419279538917507</v>
      </c>
      <c r="N3" s="199">
        <f>'SER_se-appl'!N7</f>
        <v>76.370127051493711</v>
      </c>
      <c r="O3" s="199">
        <f>'SER_se-appl'!O7</f>
        <v>76.501290256263658</v>
      </c>
      <c r="P3" s="199">
        <f>'SER_se-appl'!P7</f>
        <v>76.82167412183459</v>
      </c>
      <c r="Q3" s="199">
        <f>'SER_se-appl'!Q7</f>
        <v>77.580578145257917</v>
      </c>
      <c r="R3" s="199">
        <f>'SER_se-appl'!R7</f>
        <v>77.374855149734273</v>
      </c>
      <c r="S3" s="199">
        <f>'SER_se-appl'!S7</f>
        <v>77.100412982093445</v>
      </c>
      <c r="T3" s="199">
        <f>'SER_se-appl'!T7</f>
        <v>76.674519224658638</v>
      </c>
      <c r="U3" s="199">
        <f>'SER_se-appl'!U7</f>
        <v>76.180274817460031</v>
      </c>
      <c r="V3" s="199">
        <f>'SER_se-appl'!V7</f>
        <v>75.678846012690229</v>
      </c>
      <c r="W3" s="199">
        <f>'SER_se-appl'!W7</f>
        <v>75.387849700475243</v>
      </c>
      <c r="DA3" s="206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'SER_se-appl'!B15</f>
        <v>105.10936170979406</v>
      </c>
      <c r="C5" s="59">
        <f>'SER_se-appl'!C15</f>
        <v>104.90344994367337</v>
      </c>
      <c r="D5" s="59">
        <f>'SER_se-appl'!D15</f>
        <v>104.72824369165457</v>
      </c>
      <c r="E5" s="59">
        <f>'SER_se-appl'!E15</f>
        <v>104.41662718817813</v>
      </c>
      <c r="F5" s="59">
        <f>'SER_se-appl'!F15</f>
        <v>104.02315373767652</v>
      </c>
      <c r="G5" s="59">
        <f>'SER_se-appl'!G15</f>
        <v>103.52750696606434</v>
      </c>
      <c r="H5" s="59">
        <f>'SER_se-appl'!H15</f>
        <v>103.06256894534599</v>
      </c>
      <c r="I5" s="59">
        <f>'SER_se-appl'!I15</f>
        <v>102.59418065105156</v>
      </c>
      <c r="J5" s="59">
        <f>'SER_se-appl'!J15</f>
        <v>102.24134788290269</v>
      </c>
      <c r="K5" s="59">
        <f>'SER_se-appl'!K15</f>
        <v>102.05389667466704</v>
      </c>
      <c r="L5" s="59">
        <f>'SER_se-appl'!L15</f>
        <v>101.60978202543355</v>
      </c>
      <c r="M5" s="59">
        <f>'SER_se-appl'!M15</f>
        <v>101.45618961616559</v>
      </c>
      <c r="N5" s="59">
        <f>'SER_se-appl'!N15</f>
        <v>101.39093351699447</v>
      </c>
      <c r="O5" s="59">
        <f>'SER_se-appl'!O15</f>
        <v>101.56506914159202</v>
      </c>
      <c r="P5" s="59">
        <f>'SER_se-appl'!P15</f>
        <v>101.99041895398817</v>
      </c>
      <c r="Q5" s="59">
        <f>'SER_se-appl'!Q15</f>
        <v>102.99795934124992</v>
      </c>
      <c r="R5" s="59">
        <f>'SER_se-appl'!R15</f>
        <v>102.72483623189611</v>
      </c>
      <c r="S5" s="59">
        <f>'SER_se-appl'!S15</f>
        <v>102.36047979243685</v>
      </c>
      <c r="T5" s="59">
        <f>'SER_se-appl'!T15</f>
        <v>101.79505234963243</v>
      </c>
      <c r="U5" s="59">
        <f>'SER_se-appl'!U15</f>
        <v>101.13888083642242</v>
      </c>
      <c r="V5" s="59">
        <f>'SER_se-appl'!V15</f>
        <v>100.47317113328623</v>
      </c>
      <c r="W5" s="59">
        <f>'SER_se-appl'!W15</f>
        <v>100.08683698818804</v>
      </c>
      <c r="DA5" s="104" t="s">
        <v>918</v>
      </c>
    </row>
    <row r="6" spans="1:105" ht="12" customHeight="1" x14ac:dyDescent="0.25">
      <c r="A6" s="201" t="str">
        <f>"Penetration factor "&amp;MID('SER_se-appl'!A71,FIND("(",'SER_se-appl'!A71),100)</f>
        <v>Penetration factor (unit per capita)</v>
      </c>
      <c r="B6" s="202">
        <f>'SER_se-appl'!B71</f>
        <v>3.2536595358541594E-2</v>
      </c>
      <c r="C6" s="202">
        <f>'SER_se-appl'!C71</f>
        <v>3.261811228397081E-2</v>
      </c>
      <c r="D6" s="202">
        <f>'SER_se-appl'!D71</f>
        <v>3.2777388822289547E-2</v>
      </c>
      <c r="E6" s="202">
        <f>'SER_se-appl'!E71</f>
        <v>3.2970777783443234E-2</v>
      </c>
      <c r="F6" s="202">
        <f>'SER_se-appl'!F71</f>
        <v>3.3180334574495124E-2</v>
      </c>
      <c r="G6" s="202">
        <f>'SER_se-appl'!G71</f>
        <v>3.3408617553415627E-2</v>
      </c>
      <c r="H6" s="202">
        <f>'SER_se-appl'!H71</f>
        <v>3.3689549175982117E-2</v>
      </c>
      <c r="I6" s="202">
        <f>'SER_se-appl'!I71</f>
        <v>3.4014564284502356E-2</v>
      </c>
      <c r="J6" s="202">
        <f>'SER_se-appl'!J71</f>
        <v>3.4385633136446402E-2</v>
      </c>
      <c r="K6" s="202">
        <f>'SER_se-appl'!K71</f>
        <v>3.4869392683585819E-2</v>
      </c>
      <c r="L6" s="202">
        <f>'SER_se-appl'!L71</f>
        <v>3.5451337231614824E-2</v>
      </c>
      <c r="M6" s="202">
        <f>'SER_se-appl'!M71</f>
        <v>3.581221405247495E-2</v>
      </c>
      <c r="N6" s="202">
        <f>'SER_se-appl'!N71</f>
        <v>3.6258305880063277E-2</v>
      </c>
      <c r="O6" s="202">
        <f>'SER_se-appl'!O71</f>
        <v>3.6792193828273076E-2</v>
      </c>
      <c r="P6" s="202">
        <f>'SER_se-appl'!P71</f>
        <v>3.7512139803314068E-2</v>
      </c>
      <c r="Q6" s="202">
        <f>'SER_se-appl'!Q71</f>
        <v>3.8438358616738839E-2</v>
      </c>
      <c r="R6" s="202">
        <f>'SER_se-appl'!R71</f>
        <v>3.8765357138555903E-2</v>
      </c>
      <c r="S6" s="202">
        <f>'SER_se-appl'!S71</f>
        <v>3.9133769258502621E-2</v>
      </c>
      <c r="T6" s="202">
        <f>'SER_se-appl'!T71</f>
        <v>3.9535274844057749E-2</v>
      </c>
      <c r="U6" s="202">
        <f>'SER_se-appl'!U71</f>
        <v>3.9977020802215255E-2</v>
      </c>
      <c r="V6" s="202">
        <f>'SER_se-appl'!V71</f>
        <v>4.0451585575207415E-2</v>
      </c>
      <c r="W6" s="202">
        <f>'SER_se-appl'!W71</f>
        <v>4.0878526125475642E-2</v>
      </c>
      <c r="DA6" s="207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"&amp;MID('SER_se-appl'!A23,FIND("(",'SER_se-appl'!A23),100)</f>
        <v>Stock of appliances (thousand units)</v>
      </c>
      <c r="B8" s="34">
        <f>'SER_se-appl'!B23</f>
        <v>173.42070399293388</v>
      </c>
      <c r="C8" s="34">
        <f>'SER_se-appl'!C23</f>
        <v>174.48119764676409</v>
      </c>
      <c r="D8" s="34">
        <f>'SER_se-appl'!D23</f>
        <v>175.96062639369339</v>
      </c>
      <c r="E8" s="34">
        <f>'SER_se-appl'!E23</f>
        <v>177.49841299261112</v>
      </c>
      <c r="F8" s="34">
        <f>'SER_se-appl'!F23</f>
        <v>179.09550111267785</v>
      </c>
      <c r="G8" s="34">
        <f>'SER_se-appl'!G23</f>
        <v>180.78756007164108</v>
      </c>
      <c r="H8" s="34">
        <f>'SER_se-appl'!H23</f>
        <v>182.84864688112671</v>
      </c>
      <c r="I8" s="34">
        <f>'SER_se-appl'!I23</f>
        <v>185.28018888108423</v>
      </c>
      <c r="J8" s="34">
        <f>'SER_se-appl'!J23</f>
        <v>188.28854045785499</v>
      </c>
      <c r="K8" s="34">
        <f>'SER_se-appl'!K23</f>
        <v>192.18094917534177</v>
      </c>
      <c r="L8" s="34">
        <f>'SER_se-appl'!L23</f>
        <v>196.21386332663337</v>
      </c>
      <c r="M8" s="34">
        <f>'SER_se-appl'!M23</f>
        <v>199.13840020218566</v>
      </c>
      <c r="N8" s="34">
        <f>'SER_se-appl'!N23</f>
        <v>202.34005609658718</v>
      </c>
      <c r="O8" s="34">
        <f>'SER_se-appl'!O23</f>
        <v>206.13297532370993</v>
      </c>
      <c r="P8" s="34">
        <f>'SER_se-appl'!P23</f>
        <v>211.08962602610202</v>
      </c>
      <c r="Q8" s="34">
        <f>'SER_se-appl'!Q23</f>
        <v>217.55015483853606</v>
      </c>
      <c r="R8" s="34">
        <f>'SER_se-appl'!R23</f>
        <v>221.24362329438031</v>
      </c>
      <c r="S8" s="34">
        <f>'SER_se-appl'!S23</f>
        <v>224.97099956643285</v>
      </c>
      <c r="T8" s="34">
        <f>'SER_se-appl'!T23</f>
        <v>228.56093557571822</v>
      </c>
      <c r="U8" s="34">
        <f>'SER_se-appl'!U23</f>
        <v>232.10982091634673</v>
      </c>
      <c r="V8" s="34">
        <f>'SER_se-appl'!V23</f>
        <v>235.53999577865147</v>
      </c>
      <c r="W8" s="34">
        <f>'SER_se-appl'!W23</f>
        <v>238.73243210645342</v>
      </c>
      <c r="DA8" s="88" t="s">
        <v>924</v>
      </c>
    </row>
    <row r="9" spans="1:105" ht="12.95" customHeight="1" x14ac:dyDescent="0.25">
      <c r="A9" s="203" t="str">
        <f>"Number of new appliances "&amp;MID('SER_se-appl'!A31,FIND("(",'SER_se-appl'!A31),100)</f>
        <v>Number of new appliances (thousand units)</v>
      </c>
      <c r="B9" s="36"/>
      <c r="C9" s="36">
        <f>'SER_se-appl'!C31</f>
        <v>16.821505249761344</v>
      </c>
      <c r="D9" s="36">
        <f>'SER_se-appl'!D31</f>
        <v>17.57243320995795</v>
      </c>
      <c r="E9" s="36">
        <f>'SER_se-appl'!E31</f>
        <v>17.969777088279443</v>
      </c>
      <c r="F9" s="36">
        <f>'SER_se-appl'!F31</f>
        <v>18.375205100198258</v>
      </c>
      <c r="G9" s="36">
        <f>'SER_se-appl'!G31</f>
        <v>18.823593302366646</v>
      </c>
      <c r="H9" s="36">
        <f>'SER_se-appl'!H31</f>
        <v>19.553482964951542</v>
      </c>
      <c r="I9" s="36">
        <f>'SER_se-appl'!I31</f>
        <v>20.292401227524579</v>
      </c>
      <c r="J9" s="36">
        <f>'SER_se-appl'!J31</f>
        <v>21.245435250826773</v>
      </c>
      <c r="K9" s="36">
        <f>'SER_se-appl'!K31</f>
        <v>22.513641699446993</v>
      </c>
      <c r="L9" s="36">
        <f>'SER_se-appl'!L31</f>
        <v>23.04638823331976</v>
      </c>
      <c r="M9" s="36">
        <f>'SER_se-appl'!M31</f>
        <v>19.746042125313636</v>
      </c>
      <c r="N9" s="36">
        <f>'SER_se-appl'!N31</f>
        <v>20.774089104359462</v>
      </c>
      <c r="O9" s="36">
        <f>'SER_se-appl'!O31</f>
        <v>21.762696315402195</v>
      </c>
      <c r="P9" s="36">
        <f>'SER_se-appl'!P31</f>
        <v>23.331855802590354</v>
      </c>
      <c r="Q9" s="36">
        <f>'SER_se-appl'!Q31</f>
        <v>25.284122114800681</v>
      </c>
      <c r="R9" s="36">
        <f>'SER_se-appl'!R31</f>
        <v>23.246951420795796</v>
      </c>
      <c r="S9" s="36">
        <f>'SER_se-appl'!S31</f>
        <v>24.019777499577117</v>
      </c>
      <c r="T9" s="36">
        <f>'SER_se-appl'!T31</f>
        <v>24.83537126011214</v>
      </c>
      <c r="U9" s="36">
        <f>'SER_se-appl'!U31</f>
        <v>26.062527040075508</v>
      </c>
      <c r="V9" s="36">
        <f>'SER_se-appl'!V31</f>
        <v>26.476563095624499</v>
      </c>
      <c r="W9" s="36">
        <f>'SER_se-appl'!W31</f>
        <v>22.938478453115579</v>
      </c>
      <c r="DA9" s="89" t="s">
        <v>930</v>
      </c>
    </row>
    <row r="10" spans="1:105" ht="12" customHeight="1" x14ac:dyDescent="0.25">
      <c r="A10" s="204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15.761011595931137</v>
      </c>
      <c r="D10" s="38">
        <f>'SER_se-appl'!D39</f>
        <v>16.093004463028649</v>
      </c>
      <c r="E10" s="38">
        <f>'SER_se-appl'!E39</f>
        <v>16.431990489361709</v>
      </c>
      <c r="F10" s="38">
        <f>'SER_se-appl'!F39</f>
        <v>16.778116980131529</v>
      </c>
      <c r="G10" s="38">
        <f>'SER_se-appl'!G39</f>
        <v>17.131534343403416</v>
      </c>
      <c r="H10" s="38">
        <f>'SER_se-appl'!H39</f>
        <v>17.492396155465912</v>
      </c>
      <c r="I10" s="38">
        <f>'SER_se-appl'!I39</f>
        <v>17.860859227567062</v>
      </c>
      <c r="J10" s="38">
        <f>'SER_se-appl'!J39</f>
        <v>18.237083674056009</v>
      </c>
      <c r="K10" s="38">
        <f>'SER_se-appl'!K39</f>
        <v>18.621232981960219</v>
      </c>
      <c r="L10" s="38">
        <f>'SER_se-appl'!L39</f>
        <v>19.013474082028154</v>
      </c>
      <c r="M10" s="38">
        <f>'SER_se-appl'!M39</f>
        <v>16.821505249761344</v>
      </c>
      <c r="N10" s="38">
        <f>'SER_se-appl'!N39</f>
        <v>17.57243320995795</v>
      </c>
      <c r="O10" s="38">
        <f>'SER_se-appl'!O39</f>
        <v>17.969777088279443</v>
      </c>
      <c r="P10" s="38">
        <f>'SER_se-appl'!P39</f>
        <v>18.375205100198258</v>
      </c>
      <c r="Q10" s="38">
        <f>'SER_se-appl'!Q39</f>
        <v>18.823593302366646</v>
      </c>
      <c r="R10" s="38">
        <f>'SER_se-appl'!R39</f>
        <v>19.553482964951542</v>
      </c>
      <c r="S10" s="38">
        <f>'SER_se-appl'!S39</f>
        <v>20.292401227524579</v>
      </c>
      <c r="T10" s="38">
        <f>'SER_se-appl'!T39</f>
        <v>21.245435250826773</v>
      </c>
      <c r="U10" s="38">
        <f>'SER_se-appl'!U39</f>
        <v>22.513641699446993</v>
      </c>
      <c r="V10" s="38">
        <f>'SER_se-appl'!V39</f>
        <v>23.04638823331976</v>
      </c>
      <c r="W10" s="38">
        <f>'SER_se-appl'!W39</f>
        <v>19.746042125313636</v>
      </c>
      <c r="DA10" s="90" t="s">
        <v>936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'SER_se-appl'!B47</f>
        <v>8760</v>
      </c>
      <c r="C12" s="205">
        <f>'SER_se-appl'!C47</f>
        <v>8759.9999999999982</v>
      </c>
      <c r="D12" s="205">
        <f>'SER_se-appl'!D47</f>
        <v>8760.0000000000018</v>
      </c>
      <c r="E12" s="205">
        <f>'SER_se-appl'!E47</f>
        <v>8759.9999999999982</v>
      </c>
      <c r="F12" s="205">
        <f>'SER_se-appl'!F47</f>
        <v>8760.0000000000018</v>
      </c>
      <c r="G12" s="205">
        <f>'SER_se-appl'!G47</f>
        <v>8759.9999999999982</v>
      </c>
      <c r="H12" s="205">
        <f>'SER_se-appl'!H47</f>
        <v>8760.0000000000018</v>
      </c>
      <c r="I12" s="205">
        <f>'SER_se-appl'!I47</f>
        <v>8760.0000000000018</v>
      </c>
      <c r="J12" s="205">
        <f>'SER_se-appl'!J47</f>
        <v>8760</v>
      </c>
      <c r="K12" s="205">
        <f>'SER_se-appl'!K47</f>
        <v>8760</v>
      </c>
      <c r="L12" s="205">
        <f>'SER_se-appl'!L47</f>
        <v>8759.9999999999964</v>
      </c>
      <c r="M12" s="205">
        <f>'SER_se-appl'!M47</f>
        <v>8760</v>
      </c>
      <c r="N12" s="205">
        <f>'SER_se-appl'!N47</f>
        <v>8760.0000000000036</v>
      </c>
      <c r="O12" s="205">
        <f>'SER_se-appl'!O47</f>
        <v>8760.0000000000018</v>
      </c>
      <c r="P12" s="205">
        <f>'SER_se-appl'!P47</f>
        <v>8759.9999999999982</v>
      </c>
      <c r="Q12" s="205">
        <f>'SER_se-appl'!Q47</f>
        <v>8760.0000000000018</v>
      </c>
      <c r="R12" s="205">
        <f>'SER_se-appl'!R47</f>
        <v>8759.9999999999982</v>
      </c>
      <c r="S12" s="205">
        <f>'SER_se-appl'!S47</f>
        <v>8760</v>
      </c>
      <c r="T12" s="205">
        <f>'SER_se-appl'!T47</f>
        <v>8759.9999999999982</v>
      </c>
      <c r="U12" s="205">
        <f>'SER_se-appl'!U47</f>
        <v>8759.9999999999982</v>
      </c>
      <c r="V12" s="205">
        <f>'SER_se-appl'!V47</f>
        <v>8760</v>
      </c>
      <c r="W12" s="205">
        <f>'SER_se-appl'!W47</f>
        <v>8759.9999999999982</v>
      </c>
      <c r="DA12" s="209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606.09465473094144</v>
      </c>
      <c r="C14" s="59">
        <f>'SER_se-appl'!C55</f>
        <v>601.23068478730659</v>
      </c>
      <c r="D14" s="59">
        <f>'SER_se-appl'!D55</f>
        <v>595.17998905809839</v>
      </c>
      <c r="E14" s="59">
        <f>'SER_se-appl'!E55</f>
        <v>588.26794802117342</v>
      </c>
      <c r="F14" s="59">
        <f>'SER_se-appl'!F55</f>
        <v>580.82505194940882</v>
      </c>
      <c r="G14" s="59">
        <f>'SER_se-appl'!G55</f>
        <v>572.6472934589043</v>
      </c>
      <c r="H14" s="59">
        <f>'SER_se-appl'!H55</f>
        <v>563.64961241604851</v>
      </c>
      <c r="I14" s="59">
        <f>'SER_se-appl'!I55</f>
        <v>553.72450379407883</v>
      </c>
      <c r="J14" s="59">
        <f>'SER_se-appl'!J55</f>
        <v>543.00356056871965</v>
      </c>
      <c r="K14" s="59">
        <f>'SER_se-appl'!K55</f>
        <v>531.03024577922793</v>
      </c>
      <c r="L14" s="59">
        <f>'SER_se-appl'!L55</f>
        <v>517.85220627497529</v>
      </c>
      <c r="M14" s="59">
        <f>'SER_se-appl'!M55</f>
        <v>509.47576917940933</v>
      </c>
      <c r="N14" s="59">
        <f>'SER_se-appl'!N55</f>
        <v>501.0917535210894</v>
      </c>
      <c r="O14" s="59">
        <f>'SER_se-appl'!O55</f>
        <v>492.7162623160844</v>
      </c>
      <c r="P14" s="59">
        <f>'SER_se-appl'!P55</f>
        <v>483.16168290229791</v>
      </c>
      <c r="Q14" s="59">
        <f>'SER_se-appl'!Q55</f>
        <v>473.44466115270825</v>
      </c>
      <c r="R14" s="59">
        <f>'SER_se-appl'!R55</f>
        <v>464.30642701603847</v>
      </c>
      <c r="S14" s="59">
        <f>'SER_se-appl'!S55</f>
        <v>454.99411030624992</v>
      </c>
      <c r="T14" s="59">
        <f>'SER_se-appl'!T55</f>
        <v>445.37379974063646</v>
      </c>
      <c r="U14" s="59">
        <f>'SER_se-appl'!U55</f>
        <v>435.73718870289963</v>
      </c>
      <c r="V14" s="59">
        <f>'SER_se-appl'!V55</f>
        <v>426.5652243099546</v>
      </c>
      <c r="W14" s="59">
        <f>'SER_se-appl'!W55</f>
        <v>419.24273172720081</v>
      </c>
      <c r="DA14" s="104" t="s">
        <v>948</v>
      </c>
    </row>
    <row r="15" spans="1:105" ht="12" customHeight="1" x14ac:dyDescent="0.25">
      <c r="A15" s="204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555.64308761596453</v>
      </c>
      <c r="D15" s="63">
        <f>'SER_se-appl'!D63</f>
        <v>545.09683531794622</v>
      </c>
      <c r="E15" s="63">
        <f>'SER_se-appl'!E63</f>
        <v>536.88618680796026</v>
      </c>
      <c r="F15" s="63">
        <f>'SER_se-appl'!F63</f>
        <v>532.00241925468731</v>
      </c>
      <c r="G15" s="63">
        <f>'SER_se-appl'!G63</f>
        <v>525.28146260050266</v>
      </c>
      <c r="H15" s="63">
        <f>'SER_se-appl'!H63</f>
        <v>518.42987797702176</v>
      </c>
      <c r="I15" s="63">
        <f>'SER_se-appl'!I63</f>
        <v>510.38725759017609</v>
      </c>
      <c r="J15" s="63">
        <f>'SER_se-appl'!J63</f>
        <v>503.66424778993269</v>
      </c>
      <c r="K15" s="63">
        <f>'SER_se-appl'!K63</f>
        <v>492.98015464564253</v>
      </c>
      <c r="L15" s="63">
        <f>'SER_se-appl'!L63</f>
        <v>480.76298323093278</v>
      </c>
      <c r="M15" s="63">
        <f>'SER_se-appl'!M63</f>
        <v>465.56979103535463</v>
      </c>
      <c r="N15" s="63">
        <f>'SER_se-appl'!N63</f>
        <v>457.9465113787611</v>
      </c>
      <c r="O15" s="63">
        <f>'SER_se-appl'!O63</f>
        <v>451.31635257721615</v>
      </c>
      <c r="P15" s="63">
        <f>'SER_se-appl'!P63</f>
        <v>437.21354470526745</v>
      </c>
      <c r="Q15" s="63">
        <f>'SER_se-appl'!Q63</f>
        <v>430.91173816741411</v>
      </c>
      <c r="R15" s="63">
        <f>'SER_se-appl'!R63</f>
        <v>424.3131281879767</v>
      </c>
      <c r="S15" s="63">
        <f>'SER_se-appl'!S63</f>
        <v>416.01661685469293</v>
      </c>
      <c r="T15" s="63">
        <f>'SER_se-appl'!T63</f>
        <v>408.09290167733076</v>
      </c>
      <c r="U15" s="63">
        <f>'SER_se-appl'!U63</f>
        <v>400.67515469097407</v>
      </c>
      <c r="V15" s="63">
        <f>'SER_se-appl'!V63</f>
        <v>393.33430925307397</v>
      </c>
      <c r="W15" s="63">
        <f>'SER_se-appl'!W63</f>
        <v>383.93246435066885</v>
      </c>
      <c r="DA15" s="105" t="s">
        <v>954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'SER_se-appl'!B8</f>
        <v>35.395677765979244</v>
      </c>
      <c r="C3" s="199">
        <f>'SER_se-appl'!C8</f>
        <v>37.657336917296917</v>
      </c>
      <c r="D3" s="199">
        <f>'SER_se-appl'!D8</f>
        <v>40.991760285161455</v>
      </c>
      <c r="E3" s="199">
        <f>'SER_se-appl'!E8</f>
        <v>44.503250635824294</v>
      </c>
      <c r="F3" s="199">
        <f>'SER_se-appl'!F8</f>
        <v>48.390300796862377</v>
      </c>
      <c r="G3" s="199">
        <f>'SER_se-appl'!G8</f>
        <v>52.619766928770595</v>
      </c>
      <c r="H3" s="199">
        <f>'SER_se-appl'!H8</f>
        <v>56.179862833551965</v>
      </c>
      <c r="I3" s="199">
        <f>'SER_se-appl'!I8</f>
        <v>60.133317451568793</v>
      </c>
      <c r="J3" s="199">
        <f>'SER_se-appl'!J8</f>
        <v>62.782795645842533</v>
      </c>
      <c r="K3" s="199">
        <f>'SER_se-appl'!K8</f>
        <v>66.155941981327757</v>
      </c>
      <c r="L3" s="199">
        <f>'SER_se-appl'!L8</f>
        <v>68.557198805653428</v>
      </c>
      <c r="M3" s="199">
        <f>'SER_se-appl'!M8</f>
        <v>69.712901857340299</v>
      </c>
      <c r="N3" s="199">
        <f>'SER_se-appl'!N8</f>
        <v>70.848109806329234</v>
      </c>
      <c r="O3" s="199">
        <f>'SER_se-appl'!O8</f>
        <v>71.987266860312829</v>
      </c>
      <c r="P3" s="199">
        <f>'SER_se-appl'!P8</f>
        <v>72.790754549542882</v>
      </c>
      <c r="Q3" s="199">
        <f>'SER_se-appl'!Q8</f>
        <v>73.492688116983132</v>
      </c>
      <c r="R3" s="199">
        <f>'SER_se-appl'!R8</f>
        <v>76.839418157935057</v>
      </c>
      <c r="S3" s="199">
        <f>'SER_se-appl'!S8</f>
        <v>80.305153856911346</v>
      </c>
      <c r="T3" s="199">
        <f>'SER_se-appl'!T8</f>
        <v>82.936292155224479</v>
      </c>
      <c r="U3" s="199">
        <f>'SER_se-appl'!U8</f>
        <v>84.622525946227228</v>
      </c>
      <c r="V3" s="199">
        <f>'SER_se-appl'!V8</f>
        <v>79.318334405494525</v>
      </c>
      <c r="W3" s="199">
        <f>'SER_se-appl'!W8</f>
        <v>86.995919333009283</v>
      </c>
      <c r="DA3" s="206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'SER_se-appl'!B16</f>
        <v>493.61792124460618</v>
      </c>
      <c r="C5" s="59">
        <f>'SER_se-appl'!C16</f>
        <v>522.66167477668318</v>
      </c>
      <c r="D5" s="59">
        <f>'SER_se-appl'!D16</f>
        <v>566.47166608927353</v>
      </c>
      <c r="E5" s="59">
        <f>'SER_se-appl'!E16</f>
        <v>612.54112605947705</v>
      </c>
      <c r="F5" s="59">
        <f>'SER_se-appl'!F16</f>
        <v>663.57895771616529</v>
      </c>
      <c r="G5" s="59">
        <f>'SER_se-appl'!G16</f>
        <v>719.09297028200751</v>
      </c>
      <c r="H5" s="59">
        <f>'SER_se-appl'!H16</f>
        <v>765.27118570917821</v>
      </c>
      <c r="I5" s="59">
        <f>'SER_se-appl'!I16</f>
        <v>816.64518118603974</v>
      </c>
      <c r="J5" s="59">
        <f>'SER_se-appl'!J16</f>
        <v>850.19336469319046</v>
      </c>
      <c r="K5" s="59">
        <f>'SER_se-appl'!K16</f>
        <v>893.45331313198676</v>
      </c>
      <c r="L5" s="59">
        <f>'SER_se-appl'!L16</f>
        <v>923.5113782381585</v>
      </c>
      <c r="M5" s="59">
        <f>'SER_se-appl'!M16</f>
        <v>937.55345213963949</v>
      </c>
      <c r="N5" s="59">
        <f>'SER_se-appl'!N16</f>
        <v>951.34425095020356</v>
      </c>
      <c r="O5" s="59">
        <f>'SER_se-appl'!O16</f>
        <v>965.20954925091564</v>
      </c>
      <c r="P5" s="59">
        <f>'SER_se-appl'!P16</f>
        <v>974.59915989779381</v>
      </c>
      <c r="Q5" s="59">
        <f>'SER_se-appl'!Q16</f>
        <v>982.65933727521838</v>
      </c>
      <c r="R5" s="59">
        <f>'SER_se-appl'!R16</f>
        <v>1018.5909717036957</v>
      </c>
      <c r="S5" s="59">
        <f>'SER_se-appl'!S16</f>
        <v>1051.6775336858345</v>
      </c>
      <c r="T5" s="59">
        <f>'SER_se-appl'!T16</f>
        <v>1082.3728335488915</v>
      </c>
      <c r="U5" s="59">
        <f>'SER_se-appl'!U16</f>
        <v>1111.0473760926404</v>
      </c>
      <c r="V5" s="59">
        <f>'SER_se-appl'!V16</f>
        <v>1137.1943989781289</v>
      </c>
      <c r="W5" s="59">
        <f>'SER_se-appl'!W16</f>
        <v>1164.9310696630166</v>
      </c>
      <c r="DA5" s="104" t="s">
        <v>919</v>
      </c>
    </row>
    <row r="6" spans="1:105" ht="12" customHeight="1" x14ac:dyDescent="0.25">
      <c r="A6" s="201" t="str">
        <f>"Penetration factor "&amp;MID('SER_se-appl'!A72,FIND("(",'SER_se-appl'!A72),100)</f>
        <v>Penetration factor (sqm per building cell)</v>
      </c>
      <c r="B6" s="202">
        <f>'SER_se-appl'!B72</f>
        <v>90.646142818421666</v>
      </c>
      <c r="C6" s="202">
        <f>'SER_se-appl'!C72</f>
        <v>94.340255546400712</v>
      </c>
      <c r="D6" s="202">
        <f>'SER_se-appl'!D72</f>
        <v>100.35914408983182</v>
      </c>
      <c r="E6" s="202">
        <f>'SER_se-appl'!E72</f>
        <v>106.80111591069087</v>
      </c>
      <c r="F6" s="202">
        <f>'SER_se-appl'!F72</f>
        <v>114.10129195598368</v>
      </c>
      <c r="G6" s="202">
        <f>'SER_se-appl'!G72</f>
        <v>122.03051980233062</v>
      </c>
      <c r="H6" s="202">
        <f>'SER_se-appl'!H72</f>
        <v>128.07724811679449</v>
      </c>
      <c r="I6" s="202">
        <f>'SER_se-appl'!I72</f>
        <v>133.68315842866087</v>
      </c>
      <c r="J6" s="202">
        <f>'SER_se-appl'!J72</f>
        <v>138.20702587548803</v>
      </c>
      <c r="K6" s="202">
        <f>'SER_se-appl'!K72</f>
        <v>143.43027143548963</v>
      </c>
      <c r="L6" s="202">
        <f>'SER_se-appl'!L72</f>
        <v>146.35741108082209</v>
      </c>
      <c r="M6" s="202">
        <f>'SER_se-appl'!M72</f>
        <v>148.82470274181063</v>
      </c>
      <c r="N6" s="202">
        <f>'SER_se-appl'!N72</f>
        <v>152.11832283377416</v>
      </c>
      <c r="O6" s="202">
        <f>'SER_se-appl'!O72</f>
        <v>155.64956734245038</v>
      </c>
      <c r="P6" s="202">
        <f>'SER_se-appl'!P72</f>
        <v>158.49214122473828</v>
      </c>
      <c r="Q6" s="202">
        <f>'SER_se-appl'!Q72</f>
        <v>161.63695710797037</v>
      </c>
      <c r="R6" s="202">
        <f>'SER_se-appl'!R72</f>
        <v>168.61772286876032</v>
      </c>
      <c r="S6" s="202">
        <f>'SER_se-appl'!S72</f>
        <v>175.60487853413241</v>
      </c>
      <c r="T6" s="202">
        <f>'SER_se-appl'!T72</f>
        <v>182.56462964675836</v>
      </c>
      <c r="U6" s="202">
        <f>'SER_se-appl'!U72</f>
        <v>189.47647940050928</v>
      </c>
      <c r="V6" s="202">
        <f>'SER_se-appl'!V72</f>
        <v>196.30227589415452</v>
      </c>
      <c r="W6" s="202">
        <f>'SER_se-appl'!W72</f>
        <v>203.09698131364343</v>
      </c>
      <c r="DA6" s="207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"&amp;MID('SER_se-appl'!A24,FIND("(",'SER_se-appl'!A24),100)</f>
        <v>Stock of appliances (serviced million m2)</v>
      </c>
      <c r="B8" s="34">
        <f>'SER_se-appl'!B24</f>
        <v>10.830192705698208</v>
      </c>
      <c r="C8" s="34">
        <f>'SER_se-appl'!C24</f>
        <v>11.525113090357564</v>
      </c>
      <c r="D8" s="34">
        <f>'SER_se-appl'!D24</f>
        <v>12.575698332980473</v>
      </c>
      <c r="E8" s="34">
        <f>'SER_se-appl'!E24</f>
        <v>13.690446066457236</v>
      </c>
      <c r="F8" s="34">
        <f>'SER_se-appl'!F24</f>
        <v>14.935298422123424</v>
      </c>
      <c r="G8" s="34">
        <f>'SER_se-appl'!G24</f>
        <v>16.304150064704885</v>
      </c>
      <c r="H8" s="34">
        <f>'SER_se-appl'!H24</f>
        <v>17.468306793440593</v>
      </c>
      <c r="I8" s="34">
        <f>'SER_se-appl'!I24</f>
        <v>18.780869768674762</v>
      </c>
      <c r="J8" s="34">
        <f>'SER_se-appl'!J24</f>
        <v>19.682960897115017</v>
      </c>
      <c r="K8" s="34">
        <f>'SER_se-appl'!K24</f>
        <v>20.854304936372358</v>
      </c>
      <c r="L8" s="34">
        <f>'SER_se-appl'!L24</f>
        <v>21.735417110476149</v>
      </c>
      <c r="M8" s="34">
        <f>'SER_se-appl'!M24</f>
        <v>22.256235794138949</v>
      </c>
      <c r="N8" s="34">
        <f>'SER_se-appl'!N24</f>
        <v>22.827011206661535</v>
      </c>
      <c r="O8" s="34">
        <f>'SER_se-appl'!O24</f>
        <v>23.466322294951048</v>
      </c>
      <c r="P8" s="34">
        <f>'SER_se-appl'!P24</f>
        <v>24.060504777279959</v>
      </c>
      <c r="Q8" s="34">
        <f>'SER_se-appl'!Q24</f>
        <v>24.713744464830157</v>
      </c>
      <c r="R8" s="34">
        <f>'SER_se-appl'!R24</f>
        <v>26.00684400097218</v>
      </c>
      <c r="S8" s="34">
        <f>'SER_se-appl'!S24</f>
        <v>27.344788441257656</v>
      </c>
      <c r="T8" s="34">
        <f>'SER_se-appl'!T24</f>
        <v>28.669640410968942</v>
      </c>
      <c r="U8" s="34">
        <f>'SER_se-appl'!U24</f>
        <v>30.011750924476534</v>
      </c>
      <c r="V8" s="34">
        <f>'SER_se-appl'!V24</f>
        <v>31.353616310772402</v>
      </c>
      <c r="W8" s="34">
        <f>'SER_se-appl'!W24</f>
        <v>32.706843013759112</v>
      </c>
      <c r="DA8" s="88" t="s">
        <v>925</v>
      </c>
    </row>
    <row r="9" spans="1:105" ht="12.95" customHeight="1" x14ac:dyDescent="0.25">
      <c r="A9" s="203" t="str">
        <f>"Number of new appliances "&amp;MID('SER_se-appl'!A32,FIND("(",'SER_se-appl'!A32),100)</f>
        <v>Number of new appliances (serviced million m2)</v>
      </c>
      <c r="B9" s="36"/>
      <c r="C9" s="36">
        <f>'SER_se-appl'!C32</f>
        <v>1.0033908561130858</v>
      </c>
      <c r="D9" s="36">
        <f>'SER_se-appl'!D32</f>
        <v>1.3937683515615049</v>
      </c>
      <c r="E9" s="36">
        <f>'SER_se-appl'!E32</f>
        <v>1.4965497442356028</v>
      </c>
      <c r="F9" s="36">
        <f>'SER_se-appl'!F32</f>
        <v>1.6696191102723255</v>
      </c>
      <c r="G9" s="36">
        <f>'SER_se-appl'!G32</f>
        <v>1.8414180270801417</v>
      </c>
      <c r="H9" s="36">
        <f>'SER_se-appl'!H32</f>
        <v>1.6899017060356059</v>
      </c>
      <c r="I9" s="36">
        <f>'SER_se-appl'!I32</f>
        <v>1.8974708108799376</v>
      </c>
      <c r="J9" s="36">
        <f>'SER_se-appl'!J32</f>
        <v>1.552819506211641</v>
      </c>
      <c r="K9" s="36">
        <f>'SER_se-appl'!K32</f>
        <v>1.8952998419172147</v>
      </c>
      <c r="L9" s="36">
        <f>'SER_se-appl'!L32</f>
        <v>1.6865357918655981</v>
      </c>
      <c r="M9" s="36">
        <f>'SER_se-appl'!M32</f>
        <v>1.4168778100143165</v>
      </c>
      <c r="N9" s="36">
        <f>'SER_se-appl'!N32</f>
        <v>1.5676693950321656</v>
      </c>
      <c r="O9" s="36">
        <f>'SER_se-appl'!O32</f>
        <v>1.7483870221626034</v>
      </c>
      <c r="P9" s="36">
        <f>'SER_se-appl'!P32</f>
        <v>1.8280643681438278</v>
      </c>
      <c r="Q9" s="36">
        <f>'SER_se-appl'!Q32</f>
        <v>2.0259721233045838</v>
      </c>
      <c r="R9" s="36">
        <f>'SER_se-appl'!R32</f>
        <v>2.2964903922551088</v>
      </c>
      <c r="S9" s="36">
        <f>'SER_se-appl'!S32</f>
        <v>2.7317127918469808</v>
      </c>
      <c r="T9" s="36">
        <f>'SER_se-appl'!T32</f>
        <v>2.8214017139468872</v>
      </c>
      <c r="U9" s="36">
        <f>'SER_se-appl'!U32</f>
        <v>3.0117296237799174</v>
      </c>
      <c r="V9" s="36">
        <f>'SER_se-appl'!V32</f>
        <v>3.1832834133760102</v>
      </c>
      <c r="W9" s="36">
        <f>'SER_se-appl'!W32</f>
        <v>3.0431284090223159</v>
      </c>
      <c r="DA9" s="89" t="s">
        <v>931</v>
      </c>
    </row>
    <row r="10" spans="1:105" ht="12" customHeight="1" x14ac:dyDescent="0.25">
      <c r="A10" s="204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0.30847047145372919</v>
      </c>
      <c r="D10" s="38">
        <f>'SER_se-appl'!D40</f>
        <v>0.3431831089385966</v>
      </c>
      <c r="E10" s="38">
        <f>'SER_se-appl'!E40</f>
        <v>0.38180201075883957</v>
      </c>
      <c r="F10" s="38">
        <f>'SER_se-appl'!F40</f>
        <v>0.42476675460613755</v>
      </c>
      <c r="G10" s="38">
        <f>'SER_se-appl'!G40</f>
        <v>0.47256638449868049</v>
      </c>
      <c r="H10" s="38">
        <f>'SER_se-appl'!H40</f>
        <v>0.52574497729989744</v>
      </c>
      <c r="I10" s="38">
        <f>'SER_se-appl'!I40</f>
        <v>0.58490783564576887</v>
      </c>
      <c r="J10" s="38">
        <f>'SER_se-appl'!J40</f>
        <v>0.65072837777138659</v>
      </c>
      <c r="K10" s="38">
        <f>'SER_se-appl'!K40</f>
        <v>0.72395580265987292</v>
      </c>
      <c r="L10" s="38">
        <f>'SER_se-appl'!L40</f>
        <v>0.80542361776180726</v>
      </c>
      <c r="M10" s="38">
        <f>'SER_se-appl'!M40</f>
        <v>0.89605912635151697</v>
      </c>
      <c r="N10" s="38">
        <f>'SER_se-appl'!N40</f>
        <v>0.9968939825095795</v>
      </c>
      <c r="O10" s="38">
        <f>'SER_se-appl'!O40</f>
        <v>1.1090759338730898</v>
      </c>
      <c r="P10" s="38">
        <f>'SER_se-appl'!P40</f>
        <v>1.2338818858149168</v>
      </c>
      <c r="Q10" s="38">
        <f>'SER_se-appl'!Q40</f>
        <v>1.3727324357543864</v>
      </c>
      <c r="R10" s="38">
        <f>'SER_se-appl'!R40</f>
        <v>1.0033908561130858</v>
      </c>
      <c r="S10" s="38">
        <f>'SER_se-appl'!S40</f>
        <v>1.3937683515615049</v>
      </c>
      <c r="T10" s="38">
        <f>'SER_se-appl'!T40</f>
        <v>1.4965497442356011</v>
      </c>
      <c r="U10" s="38">
        <f>'SER_se-appl'!U40</f>
        <v>1.6696191102723255</v>
      </c>
      <c r="V10" s="38">
        <f>'SER_se-appl'!V40</f>
        <v>1.8414180270801452</v>
      </c>
      <c r="W10" s="38">
        <f>'SER_se-appl'!W40</f>
        <v>1.6899017060356059</v>
      </c>
      <c r="DA10" s="90" t="s">
        <v>937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'SER_se-appl'!B48</f>
        <v>833.94810986684115</v>
      </c>
      <c r="C12" s="205">
        <f>'SER_se-appl'!C48</f>
        <v>837.93178165452332</v>
      </c>
      <c r="D12" s="205">
        <f>'SER_se-appl'!D48</f>
        <v>841.58520302990132</v>
      </c>
      <c r="E12" s="205">
        <f>'SER_se-appl'!E48</f>
        <v>844.96008982159469</v>
      </c>
      <c r="F12" s="205">
        <f>'SER_se-appl'!F48</f>
        <v>848.09681157525313</v>
      </c>
      <c r="G12" s="205">
        <f>'SER_se-appl'!G48</f>
        <v>851.02749529258494</v>
      </c>
      <c r="H12" s="205">
        <f>'SER_se-appl'!H48</f>
        <v>853.77813375885637</v>
      </c>
      <c r="I12" s="205">
        <f>'SER_se-appl'!I48</f>
        <v>856.37005896006906</v>
      </c>
      <c r="J12" s="205">
        <f>'SER_se-appl'!J48</f>
        <v>858.82099729705976</v>
      </c>
      <c r="K12" s="205">
        <f>'SER_se-appl'!K48</f>
        <v>861.1458415725657</v>
      </c>
      <c r="L12" s="205">
        <f>'SER_se-appl'!L48</f>
        <v>863.35722644895611</v>
      </c>
      <c r="M12" s="205">
        <f>'SER_se-appl'!M48</f>
        <v>864.76248020908861</v>
      </c>
      <c r="N12" s="205">
        <f>'SER_se-appl'!N48</f>
        <v>866.10447924043626</v>
      </c>
      <c r="O12" s="205">
        <f>'SER_se-appl'!O48</f>
        <v>867.38875950324518</v>
      </c>
      <c r="P12" s="205">
        <f>'SER_se-appl'!P48</f>
        <v>868.62015713204801</v>
      </c>
      <c r="Q12" s="205">
        <f>'SER_se-appl'!Q48</f>
        <v>869.80292190632088</v>
      </c>
      <c r="R12" s="205">
        <f>'SER_se-appl'!R48</f>
        <v>877.33197917715495</v>
      </c>
      <c r="S12" s="205">
        <f>'SER_se-appl'!S48</f>
        <v>888.05637606676839</v>
      </c>
      <c r="T12" s="205">
        <f>'SER_se-appl'!T48</f>
        <v>891.14309586160857</v>
      </c>
      <c r="U12" s="205">
        <f>'SER_se-appl'!U48</f>
        <v>885.7947896117098</v>
      </c>
      <c r="V12" s="205">
        <f>'SER_se-appl'!V48</f>
        <v>811.18252953481419</v>
      </c>
      <c r="W12" s="205">
        <f>'SER_se-appl'!W48</f>
        <v>868.51708928629887</v>
      </c>
      <c r="DA12" s="209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45.577944424284674</v>
      </c>
      <c r="C14" s="59">
        <f>'SER_se-appl'!C56</f>
        <v>45.349808776624137</v>
      </c>
      <c r="D14" s="59">
        <f>'SER_se-appl'!D56</f>
        <v>45.044947094800285</v>
      </c>
      <c r="E14" s="59">
        <f>'SER_se-appl'!E56</f>
        <v>44.742232874373265</v>
      </c>
      <c r="F14" s="59">
        <f>'SER_se-appl'!F56</f>
        <v>44.430244308558052</v>
      </c>
      <c r="G14" s="59">
        <f>'SER_se-appl'!G56</f>
        <v>44.104903808429434</v>
      </c>
      <c r="H14" s="59">
        <f>'SER_se-appl'!H56</f>
        <v>43.809122129486532</v>
      </c>
      <c r="I14" s="59">
        <f>'SER_se-appl'!I56</f>
        <v>43.482820084730548</v>
      </c>
      <c r="J14" s="59">
        <f>'SER_se-appl'!J56</f>
        <v>43.194383667032817</v>
      </c>
      <c r="K14" s="59">
        <f>'SER_se-appl'!K56</f>
        <v>42.842632054051307</v>
      </c>
      <c r="L14" s="59">
        <f>'SER_se-appl'!L56</f>
        <v>42.488781031629692</v>
      </c>
      <c r="M14" s="59">
        <f>'SER_se-appl'!M56</f>
        <v>42.125427714354949</v>
      </c>
      <c r="N14" s="59">
        <f>'SER_se-appl'!N56</f>
        <v>41.676251101702519</v>
      </c>
      <c r="O14" s="59">
        <f>'SER_se-appl'!O56</f>
        <v>41.131692351237653</v>
      </c>
      <c r="P14" s="59">
        <f>'SER_se-appl'!P56</f>
        <v>40.506180935077303</v>
      </c>
      <c r="Q14" s="59">
        <f>'SER_se-appl'!Q56</f>
        <v>39.761653223922806</v>
      </c>
      <c r="R14" s="59">
        <f>'SER_se-appl'!R56</f>
        <v>39.166266066948339</v>
      </c>
      <c r="S14" s="59">
        <f>'SER_se-appl'!S56</f>
        <v>38.459889201375923</v>
      </c>
      <c r="T14" s="59">
        <f>'SER_se-appl'!T56</f>
        <v>37.753275521892419</v>
      </c>
      <c r="U14" s="59">
        <f>'SER_se-appl'!U56</f>
        <v>37.020411734341998</v>
      </c>
      <c r="V14" s="59">
        <f>'SER_se-appl'!V56</f>
        <v>36.269959666101236</v>
      </c>
      <c r="W14" s="59">
        <f>'SER_se-appl'!W56</f>
        <v>35.617349836330995</v>
      </c>
      <c r="DA14" s="104" t="s">
        <v>949</v>
      </c>
    </row>
    <row r="15" spans="1:105" ht="12" customHeight="1" x14ac:dyDescent="0.25">
      <c r="A15" s="204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42.957540697052181</v>
      </c>
      <c r="D15" s="63">
        <f>'SER_se-appl'!D64</f>
        <v>42.655274753900535</v>
      </c>
      <c r="E15" s="63">
        <f>'SER_se-appl'!E64</f>
        <v>42.411694661088134</v>
      </c>
      <c r="F15" s="63">
        <f>'SER_se-appl'!F64</f>
        <v>42.164004208078438</v>
      </c>
      <c r="G15" s="63">
        <f>'SER_se-appl'!G64</f>
        <v>41.844174349420975</v>
      </c>
      <c r="H15" s="63">
        <f>'SER_se-appl'!H64</f>
        <v>41.505722216493503</v>
      </c>
      <c r="I15" s="63">
        <f>'SER_se-appl'!I64</f>
        <v>41.124686533157124</v>
      </c>
      <c r="J15" s="63">
        <f>'SER_se-appl'!J64</f>
        <v>40.704695614446536</v>
      </c>
      <c r="K15" s="63">
        <f>'SER_se-appl'!K64</f>
        <v>40.234460052995317</v>
      </c>
      <c r="L15" s="63">
        <f>'SER_se-appl'!L64</f>
        <v>39.588616094929741</v>
      </c>
      <c r="M15" s="63">
        <f>'SER_se-appl'!M64</f>
        <v>38.734890599104652</v>
      </c>
      <c r="N15" s="63">
        <f>'SER_se-appl'!N64</f>
        <v>37.780400338219458</v>
      </c>
      <c r="O15" s="63">
        <f>'SER_se-appl'!O64</f>
        <v>36.842357418906047</v>
      </c>
      <c r="P15" s="63">
        <f>'SER_se-appl'!P64</f>
        <v>35.899945214357182</v>
      </c>
      <c r="Q15" s="63">
        <f>'SER_se-appl'!Q64</f>
        <v>34.860548786057016</v>
      </c>
      <c r="R15" s="63">
        <f>'SER_se-appl'!R64</f>
        <v>34.415488186473297</v>
      </c>
      <c r="S15" s="63">
        <f>'SER_se-appl'!S64</f>
        <v>33.875499004680684</v>
      </c>
      <c r="T15" s="63">
        <f>'SER_se-appl'!T64</f>
        <v>33.375789840638028</v>
      </c>
      <c r="U15" s="63">
        <f>'SER_se-appl'!U64</f>
        <v>32.895505942136069</v>
      </c>
      <c r="V15" s="63">
        <f>'SER_se-appl'!V64</f>
        <v>32.419243422422447</v>
      </c>
      <c r="W15" s="63">
        <f>'SER_se-appl'!W64</f>
        <v>32.163368847200779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'SER_se-appl'!B9</f>
        <v>86.295530345449876</v>
      </c>
      <c r="C3" s="199">
        <f>'SER_se-appl'!C9</f>
        <v>91.35077327103707</v>
      </c>
      <c r="D3" s="199">
        <f>'SER_se-appl'!D9</f>
        <v>97.009190080667381</v>
      </c>
      <c r="E3" s="199">
        <f>'SER_se-appl'!E9</f>
        <v>102.78523341002838</v>
      </c>
      <c r="F3" s="199">
        <f>'SER_se-appl'!F9</f>
        <v>108.05160403556012</v>
      </c>
      <c r="G3" s="199">
        <f>'SER_se-appl'!G9</f>
        <v>114.5297248277262</v>
      </c>
      <c r="H3" s="199">
        <f>'SER_se-appl'!H9</f>
        <v>118.40595003342531</v>
      </c>
      <c r="I3" s="199">
        <f>'SER_se-appl'!I9</f>
        <v>121.01758510011091</v>
      </c>
      <c r="J3" s="199">
        <f>'SER_se-appl'!J9</f>
        <v>124.35558121838277</v>
      </c>
      <c r="K3" s="199">
        <f>'SER_se-appl'!K9</f>
        <v>127.25000696727299</v>
      </c>
      <c r="L3" s="199">
        <f>'SER_se-appl'!L9</f>
        <v>129.6687295605025</v>
      </c>
      <c r="M3" s="199">
        <f>'SER_se-appl'!M9</f>
        <v>131.67978490784995</v>
      </c>
      <c r="N3" s="199">
        <f>'SER_se-appl'!N9</f>
        <v>132.39752796382737</v>
      </c>
      <c r="O3" s="199">
        <f>'SER_se-appl'!O9</f>
        <v>138.50543690449931</v>
      </c>
      <c r="P3" s="199">
        <f>'SER_se-appl'!P9</f>
        <v>144.30804427431099</v>
      </c>
      <c r="Q3" s="199">
        <f>'SER_se-appl'!Q9</f>
        <v>150.95460002611659</v>
      </c>
      <c r="R3" s="199">
        <f>'SER_se-appl'!R9</f>
        <v>153.12010094756681</v>
      </c>
      <c r="S3" s="199">
        <f>'SER_se-appl'!S9</f>
        <v>169.05769320963415</v>
      </c>
      <c r="T3" s="199">
        <f>'SER_se-appl'!T9</f>
        <v>169.60539938627605</v>
      </c>
      <c r="U3" s="199">
        <f>'SER_se-appl'!U9</f>
        <v>177.73212902212623</v>
      </c>
      <c r="V3" s="199">
        <f>'SER_se-appl'!V9</f>
        <v>170.82831910729365</v>
      </c>
      <c r="W3" s="199">
        <f>'SER_se-appl'!W9</f>
        <v>183.10610157386111</v>
      </c>
      <c r="DA3" s="206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'SER_se-appl'!B17</f>
        <v>633.26199293237823</v>
      </c>
      <c r="C5" s="59">
        <f>'SER_se-appl'!C17</f>
        <v>662.31322008932091</v>
      </c>
      <c r="D5" s="59">
        <f>'SER_se-appl'!D17</f>
        <v>692.43387143058635</v>
      </c>
      <c r="E5" s="59">
        <f>'SER_se-appl'!E17</f>
        <v>721.34260179254341</v>
      </c>
      <c r="F5" s="59">
        <f>'SER_se-appl'!F17</f>
        <v>747.18865831176913</v>
      </c>
      <c r="G5" s="59">
        <f>'SER_se-appl'!G17</f>
        <v>779.3084605717645</v>
      </c>
      <c r="H5" s="59">
        <f>'SER_se-appl'!H17</f>
        <v>792.92507399054364</v>
      </c>
      <c r="I5" s="59">
        <f>'SER_se-appl'!I17</f>
        <v>798.01386101517244</v>
      </c>
      <c r="J5" s="59">
        <f>'SER_se-appl'!J17</f>
        <v>810.89923762269314</v>
      </c>
      <c r="K5" s="59">
        <f>'SER_se-appl'!K17</f>
        <v>822.9572990417073</v>
      </c>
      <c r="L5" s="59">
        <f>'SER_se-appl'!L17</f>
        <v>828.3700299496378</v>
      </c>
      <c r="M5" s="59">
        <f>'SER_se-appl'!M17</f>
        <v>828.33675734564156</v>
      </c>
      <c r="N5" s="59">
        <f>'SER_se-appl'!N17</f>
        <v>822.3379927547046</v>
      </c>
      <c r="O5" s="59">
        <f>'SER_se-appl'!O17</f>
        <v>849.38524021176204</v>
      </c>
      <c r="P5" s="59">
        <f>'SER_se-appl'!P17</f>
        <v>873.08550124696853</v>
      </c>
      <c r="Q5" s="59">
        <f>'SER_se-appl'!Q17</f>
        <v>900.74794169049994</v>
      </c>
      <c r="R5" s="59">
        <f>'SER_se-appl'!R17</f>
        <v>893.80811209274714</v>
      </c>
      <c r="S5" s="59">
        <f>'SER_se-appl'!S17</f>
        <v>960.29692829437624</v>
      </c>
      <c r="T5" s="59">
        <f>'SER_se-appl'!T17</f>
        <v>949.67572430040912</v>
      </c>
      <c r="U5" s="59">
        <f>'SER_se-appl'!U17</f>
        <v>988.71834611266024</v>
      </c>
      <c r="V5" s="59">
        <f>'SER_se-appl'!V17</f>
        <v>1000.8972041972498</v>
      </c>
      <c r="W5" s="59">
        <f>'SER_se-appl'!W17</f>
        <v>1030.6757786888897</v>
      </c>
      <c r="DA5" s="104" t="s">
        <v>920</v>
      </c>
    </row>
    <row r="6" spans="1:105" ht="12" customHeight="1" x14ac:dyDescent="0.25">
      <c r="A6" s="201" t="str">
        <f>"Penetration factor "&amp;MID('SER_se-appl'!A73,FIND("(",'SER_se-appl'!A73),100)</f>
        <v>Penetration factor (unit per capita)</v>
      </c>
      <c r="B6" s="202">
        <f>'SER_se-appl'!B73</f>
        <v>0.34154387223019511</v>
      </c>
      <c r="C6" s="202">
        <f>'SER_se-appl'!C73</f>
        <v>0.3656458651024454</v>
      </c>
      <c r="D6" s="202">
        <f>'SER_se-appl'!D73</f>
        <v>0.39541185278958052</v>
      </c>
      <c r="E6" s="202">
        <f>'SER_se-appl'!E73</f>
        <v>0.42955147113600578</v>
      </c>
      <c r="F6" s="202">
        <f>'SER_se-appl'!F73</f>
        <v>0.46710829734474346</v>
      </c>
      <c r="G6" s="202">
        <f>'SER_se-appl'!G73</f>
        <v>0.51370717890865358</v>
      </c>
      <c r="H6" s="202">
        <f>'SER_se-appl'!H73</f>
        <v>0.55001629853580802</v>
      </c>
      <c r="I6" s="202">
        <f>'SER_se-appl'!I73</f>
        <v>0.58158984606729824</v>
      </c>
      <c r="J6" s="202">
        <f>'SER_se-appl'!J73</f>
        <v>0.62377813796601622</v>
      </c>
      <c r="K6" s="202">
        <f>'SER_se-appl'!K73</f>
        <v>0.66946806023655492</v>
      </c>
      <c r="L6" s="202">
        <f>'SER_se-appl'!L73</f>
        <v>0.72154118700093683</v>
      </c>
      <c r="M6" s="202">
        <f>'SER_se-appl'!M73</f>
        <v>0.77375314469664103</v>
      </c>
      <c r="N6" s="202">
        <f>'SER_se-appl'!N73</f>
        <v>0.81789384947751065</v>
      </c>
      <c r="O6" s="202">
        <f>'SER_se-appl'!O73</f>
        <v>0.9006596733972736</v>
      </c>
      <c r="P6" s="202">
        <f>'SER_se-appl'!P73</f>
        <v>0.97616088500635889</v>
      </c>
      <c r="Q6" s="202">
        <f>'SER_se-appl'!Q73</f>
        <v>1.0465480304237462</v>
      </c>
      <c r="R6" s="202">
        <f>'SER_se-appl'!R73</f>
        <v>1.0659895029537987</v>
      </c>
      <c r="S6" s="202">
        <f>'SER_se-appl'!S73</f>
        <v>1.1762759439737454</v>
      </c>
      <c r="T6" s="202">
        <f>'SER_se-appl'!T73</f>
        <v>1.1921407512566404</v>
      </c>
      <c r="U6" s="202">
        <f>'SER_se-appl'!U73</f>
        <v>1.2715466062654546</v>
      </c>
      <c r="V6" s="202">
        <f>'SER_se-appl'!V73</f>
        <v>1.317629538380757</v>
      </c>
      <c r="W6" s="202">
        <f>'SER_se-appl'!W73</f>
        <v>1.3833682529489368</v>
      </c>
      <c r="DA6" s="207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"&amp;MID('SER_se-appl'!A25,FIND("(",'SER_se-appl'!A25),100)</f>
        <v>Stock of appliances (thousand units)</v>
      </c>
      <c r="B8" s="34">
        <f>'SER_se-appl'!B25</f>
        <v>1820.4356698643844</v>
      </c>
      <c r="C8" s="34">
        <f>'SER_se-appl'!C25</f>
        <v>1955.9172493563824</v>
      </c>
      <c r="D8" s="34">
        <f>'SER_se-appl'!D25</f>
        <v>2122.7108015703557</v>
      </c>
      <c r="E8" s="34">
        <f>'SER_se-appl'!E25</f>
        <v>2312.4933517209852</v>
      </c>
      <c r="F8" s="34">
        <f>'SER_se-appl'!F25</f>
        <v>2521.2824300798811</v>
      </c>
      <c r="G8" s="34">
        <f>'SER_se-appl'!G25</f>
        <v>2779.8775964821825</v>
      </c>
      <c r="H8" s="34">
        <f>'SER_se-appl'!H25</f>
        <v>2985.1909096348581</v>
      </c>
      <c r="I8" s="34">
        <f>'SER_se-appl'!I25</f>
        <v>3167.9687450756433</v>
      </c>
      <c r="J8" s="34">
        <f>'SER_se-appl'!J25</f>
        <v>3415.6787138710697</v>
      </c>
      <c r="K8" s="34">
        <f>'SER_se-appl'!K25</f>
        <v>3689.7404100588205</v>
      </c>
      <c r="L8" s="34">
        <f>'SER_se-appl'!L25</f>
        <v>3993.5414262591912</v>
      </c>
      <c r="M8" s="34">
        <f>'SER_se-appl'!M25</f>
        <v>4302.5534014881932</v>
      </c>
      <c r="N8" s="34">
        <f>'SER_se-appl'!N25</f>
        <v>4564.2697133108395</v>
      </c>
      <c r="O8" s="34">
        <f>'SER_se-appl'!O25</f>
        <v>5046.0611046464201</v>
      </c>
      <c r="P8" s="34">
        <f>'SER_se-appl'!P25</f>
        <v>5493.0866977387586</v>
      </c>
      <c r="Q8" s="34">
        <f>'SER_se-appl'!Q25</f>
        <v>5923.1635860097322</v>
      </c>
      <c r="R8" s="34">
        <f>'SER_se-appl'!R25</f>
        <v>6083.8696567225707</v>
      </c>
      <c r="S8" s="34">
        <f>'SER_se-appl'!S25</f>
        <v>6762.1386821620035</v>
      </c>
      <c r="T8" s="34">
        <f>'SER_se-appl'!T25</f>
        <v>6891.9921897573768</v>
      </c>
      <c r="U8" s="34">
        <f>'SER_se-appl'!U25</f>
        <v>7382.7025912523359</v>
      </c>
      <c r="V8" s="34">
        <f>'SER_se-appl'!V25</f>
        <v>7672.2445237905513</v>
      </c>
      <c r="W8" s="34">
        <f>'SER_se-appl'!W25</f>
        <v>8078.9328487931734</v>
      </c>
      <c r="DA8" s="88" t="s">
        <v>926</v>
      </c>
    </row>
    <row r="9" spans="1:105" ht="12.95" customHeight="1" x14ac:dyDescent="0.25">
      <c r="A9" s="203" t="str">
        <f>"Number of new appliances "&amp;MID('SER_se-appl'!A33,FIND("(",'SER_se-appl'!A33),100)</f>
        <v>Number of new appliances (thousand units)</v>
      </c>
      <c r="B9" s="36"/>
      <c r="C9" s="36">
        <f>'SER_se-appl'!C33</f>
        <v>499.56871346487492</v>
      </c>
      <c r="D9" s="36">
        <f>'SER_se-appl'!D33</f>
        <v>530.8806861868502</v>
      </c>
      <c r="E9" s="36">
        <f>'SER_se-appl'!E33</f>
        <v>553.86968412350643</v>
      </c>
      <c r="F9" s="36">
        <f>'SER_se-appl'!F33</f>
        <v>572.87621233177288</v>
      </c>
      <c r="G9" s="36">
        <f>'SER_se-appl'!G33</f>
        <v>622.68230037517833</v>
      </c>
      <c r="H9" s="36">
        <f>'SER_se-appl'!H33</f>
        <v>704.88202661755076</v>
      </c>
      <c r="I9" s="36">
        <f>'SER_se-appl'!I33</f>
        <v>713.65852162763531</v>
      </c>
      <c r="J9" s="36">
        <f>'SER_se-appl'!J33</f>
        <v>801.57965291893288</v>
      </c>
      <c r="K9" s="36">
        <f>'SER_se-appl'!K33</f>
        <v>846.93790851952372</v>
      </c>
      <c r="L9" s="36">
        <f>'SER_se-appl'!L33</f>
        <v>926.483316575549</v>
      </c>
      <c r="M9" s="36">
        <f>'SER_se-appl'!M33</f>
        <v>1013.8940018465528</v>
      </c>
      <c r="N9" s="36">
        <f>'SER_se-appl'!N33</f>
        <v>975.37483345028159</v>
      </c>
      <c r="O9" s="36">
        <f>'SER_se-appl'!O33</f>
        <v>1283.3710442545134</v>
      </c>
      <c r="P9" s="36">
        <f>'SER_se-appl'!P33</f>
        <v>1293.9635016118618</v>
      </c>
      <c r="Q9" s="36">
        <f>'SER_se-appl'!Q33</f>
        <v>1356.5602048465225</v>
      </c>
      <c r="R9" s="36">
        <f>'SER_se-appl'!R33</f>
        <v>1174.6000725593913</v>
      </c>
      <c r="S9" s="36">
        <f>'SER_se-appl'!S33</f>
        <v>1653.6438588897145</v>
      </c>
      <c r="T9" s="36">
        <f>'SER_se-appl'!T33</f>
        <v>1413.2245518498867</v>
      </c>
      <c r="U9" s="36">
        <f>'SER_se-appl'!U33</f>
        <v>1784.6739031068209</v>
      </c>
      <c r="V9" s="36">
        <f>'SER_se-appl'!V33</f>
        <v>1646.1021373847379</v>
      </c>
      <c r="W9" s="36">
        <f>'SER_se-appl'!W33</f>
        <v>1581.2883975620134</v>
      </c>
      <c r="DA9" s="89" t="s">
        <v>932</v>
      </c>
    </row>
    <row r="10" spans="1:105" ht="12" customHeight="1" x14ac:dyDescent="0.25">
      <c r="A10" s="204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364.08713397287693</v>
      </c>
      <c r="D10" s="38">
        <f>'SER_se-appl'!D41</f>
        <v>364.08713397287693</v>
      </c>
      <c r="E10" s="38">
        <f>'SER_se-appl'!E41</f>
        <v>364.08713397287693</v>
      </c>
      <c r="F10" s="38">
        <f>'SER_se-appl'!F41</f>
        <v>364.08713397287693</v>
      </c>
      <c r="G10" s="38">
        <f>'SER_se-appl'!G41</f>
        <v>364.08713397287693</v>
      </c>
      <c r="H10" s="38">
        <f>'SER_se-appl'!H41</f>
        <v>499.56871346487515</v>
      </c>
      <c r="I10" s="38">
        <f>'SER_se-appl'!I41</f>
        <v>530.8806861868502</v>
      </c>
      <c r="J10" s="38">
        <f>'SER_se-appl'!J41</f>
        <v>553.86968412350643</v>
      </c>
      <c r="K10" s="38">
        <f>'SER_se-appl'!K41</f>
        <v>572.87621233177242</v>
      </c>
      <c r="L10" s="38">
        <f>'SER_se-appl'!L41</f>
        <v>622.68230037517787</v>
      </c>
      <c r="M10" s="38">
        <f>'SER_se-appl'!M41</f>
        <v>704.88202661755076</v>
      </c>
      <c r="N10" s="38">
        <f>'SER_se-appl'!N41</f>
        <v>713.65852162763531</v>
      </c>
      <c r="O10" s="38">
        <f>'SER_se-appl'!O41</f>
        <v>801.57965291893288</v>
      </c>
      <c r="P10" s="38">
        <f>'SER_se-appl'!P41</f>
        <v>846.93790851952326</v>
      </c>
      <c r="Q10" s="38">
        <f>'SER_se-appl'!Q41</f>
        <v>926.483316575549</v>
      </c>
      <c r="R10" s="38">
        <f>'SER_se-appl'!R41</f>
        <v>1013.8940018465528</v>
      </c>
      <c r="S10" s="38">
        <f>'SER_se-appl'!S41</f>
        <v>975.37483345028159</v>
      </c>
      <c r="T10" s="38">
        <f>'SER_se-appl'!T41</f>
        <v>1283.3710442545134</v>
      </c>
      <c r="U10" s="38">
        <f>'SER_se-appl'!U41</f>
        <v>1293.9635016118618</v>
      </c>
      <c r="V10" s="38">
        <f>'SER_se-appl'!V41</f>
        <v>1356.5602048465234</v>
      </c>
      <c r="W10" s="38">
        <f>'SER_se-appl'!W41</f>
        <v>1174.6000725593922</v>
      </c>
      <c r="DA10" s="90" t="s">
        <v>938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'SER_se-appl'!B49</f>
        <v>1584.8369697196583</v>
      </c>
      <c r="C12" s="205">
        <f>'SER_se-appl'!C49</f>
        <v>1604.0892147659113</v>
      </c>
      <c r="D12" s="205">
        <f>'SER_se-appl'!D49</f>
        <v>1629.349642164726</v>
      </c>
      <c r="E12" s="205">
        <f>'SER_se-appl'!E49</f>
        <v>1657.1768554748724</v>
      </c>
      <c r="F12" s="205">
        <f>'SER_se-appl'!F49</f>
        <v>1681.8244508326345</v>
      </c>
      <c r="G12" s="205">
        <f>'SER_se-appl'!G49</f>
        <v>1709.1829065594973</v>
      </c>
      <c r="H12" s="205">
        <f>'SER_se-appl'!H49</f>
        <v>1736.6851472591457</v>
      </c>
      <c r="I12" s="205">
        <f>'SER_se-appl'!I49</f>
        <v>1763.6717649538805</v>
      </c>
      <c r="J12" s="205">
        <f>'SER_se-appl'!J49</f>
        <v>1783.5204948641549</v>
      </c>
      <c r="K12" s="205">
        <f>'SER_se-appl'!K49</f>
        <v>1798.2920653995961</v>
      </c>
      <c r="L12" s="205">
        <f>'SER_se-appl'!L49</f>
        <v>1820.4996200554581</v>
      </c>
      <c r="M12" s="205">
        <f>'SER_se-appl'!M49</f>
        <v>1848.8083317534947</v>
      </c>
      <c r="N12" s="205">
        <f>'SER_se-appl'!N49</f>
        <v>1872.4457142753158</v>
      </c>
      <c r="O12" s="205">
        <f>'SER_se-appl'!O49</f>
        <v>1896.4518747673676</v>
      </c>
      <c r="P12" s="205">
        <f>'SER_se-appl'!P49</f>
        <v>1922.265977974931</v>
      </c>
      <c r="Q12" s="205">
        <f>'SER_se-appl'!Q49</f>
        <v>1949.0491368860287</v>
      </c>
      <c r="R12" s="205">
        <f>'SER_se-appl'!R49</f>
        <v>1992.3591539695228</v>
      </c>
      <c r="S12" s="205">
        <f>'SER_se-appl'!S49</f>
        <v>2047.4302417276194</v>
      </c>
      <c r="T12" s="205">
        <f>'SER_se-appl'!T49</f>
        <v>2077.0361339029341</v>
      </c>
      <c r="U12" s="205">
        <f>'SER_se-appl'!U49</f>
        <v>2090.6102012309575</v>
      </c>
      <c r="V12" s="205">
        <f>'SER_se-appl'!V49</f>
        <v>1984.9524435541271</v>
      </c>
      <c r="W12" s="205">
        <f>'SER_se-appl'!W49</f>
        <v>2066.1434035181719</v>
      </c>
      <c r="DA12" s="209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347.86287887863341</v>
      </c>
      <c r="C14" s="59">
        <f>'SER_se-appl'!C57</f>
        <v>338.62026642858376</v>
      </c>
      <c r="D14" s="59">
        <f>'SER_se-appl'!D57</f>
        <v>326.20264188524038</v>
      </c>
      <c r="E14" s="59">
        <f>'SER_se-appl'!E57</f>
        <v>311.93283269580502</v>
      </c>
      <c r="F14" s="59">
        <f>'SER_se-appl'!F57</f>
        <v>296.35262174420347</v>
      </c>
      <c r="G14" s="59">
        <f>'SER_se-appl'!G57</f>
        <v>280.33912772200705</v>
      </c>
      <c r="H14" s="59">
        <f>'SER_se-appl'!H57</f>
        <v>265.61955264949285</v>
      </c>
      <c r="I14" s="59">
        <f>'SER_se-appl'!I57</f>
        <v>251.90079992285968</v>
      </c>
      <c r="J14" s="59">
        <f>'SER_se-appl'!J57</f>
        <v>237.40500953138005</v>
      </c>
      <c r="K14" s="59">
        <f>'SER_se-appl'!K57</f>
        <v>223.03934900086588</v>
      </c>
      <c r="L14" s="59">
        <f>'SER_se-appl'!L57</f>
        <v>207.42742882364041</v>
      </c>
      <c r="M14" s="59">
        <f>'SER_se-appl'!M57</f>
        <v>192.52213280121788</v>
      </c>
      <c r="N14" s="59">
        <f>'SER_se-appl'!N57</f>
        <v>180.16857994971451</v>
      </c>
      <c r="O14" s="59">
        <f>'SER_se-appl'!O57</f>
        <v>168.3263881663357</v>
      </c>
      <c r="P14" s="59">
        <f>'SER_se-appl'!P57</f>
        <v>158.94260354681387</v>
      </c>
      <c r="Q14" s="59">
        <f>'SER_se-appl'!Q57</f>
        <v>152.07210278946698</v>
      </c>
      <c r="R14" s="59">
        <f>'SER_se-appl'!R57</f>
        <v>146.91440851384851</v>
      </c>
      <c r="S14" s="59">
        <f>'SER_se-appl'!S57</f>
        <v>142.01083021671309</v>
      </c>
      <c r="T14" s="59">
        <f>'SER_se-appl'!T57</f>
        <v>137.79408016622276</v>
      </c>
      <c r="U14" s="59">
        <f>'SER_se-appl'!U57</f>
        <v>133.92363215120966</v>
      </c>
      <c r="V14" s="59">
        <f>'SER_se-appl'!V57</f>
        <v>130.4568957745818</v>
      </c>
      <c r="W14" s="59">
        <f>'SER_se-appl'!W57</f>
        <v>127.57573283244352</v>
      </c>
      <c r="DA14" s="104" t="s">
        <v>950</v>
      </c>
    </row>
    <row r="15" spans="1:105" ht="12" customHeight="1" x14ac:dyDescent="0.25">
      <c r="A15" s="204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311.67609489293216</v>
      </c>
      <c r="D15" s="63">
        <f>'SER_se-appl'!D65</f>
        <v>295.30750318643686</v>
      </c>
      <c r="E15" s="63">
        <f>'SER_se-appl'!E65</f>
        <v>280.8623281026957</v>
      </c>
      <c r="F15" s="63">
        <f>'SER_se-appl'!F65</f>
        <v>266.19791819420863</v>
      </c>
      <c r="G15" s="63">
        <f>'SER_se-appl'!G65</f>
        <v>254.98107261248242</v>
      </c>
      <c r="H15" s="63">
        <f>'SER_se-appl'!H65</f>
        <v>240.21074842083598</v>
      </c>
      <c r="I15" s="63">
        <f>'SER_se-appl'!I65</f>
        <v>226.80572297127875</v>
      </c>
      <c r="J15" s="63">
        <f>'SER_se-appl'!J65</f>
        <v>210.1431903149732</v>
      </c>
      <c r="K15" s="63">
        <f>'SER_se-appl'!K65</f>
        <v>194.2958449130773</v>
      </c>
      <c r="L15" s="63">
        <f>'SER_se-appl'!L65</f>
        <v>177.21304724758454</v>
      </c>
      <c r="M15" s="63">
        <f>'SER_se-appl'!M65</f>
        <v>166.96712501493013</v>
      </c>
      <c r="N15" s="63">
        <f>'SER_se-appl'!N65</f>
        <v>159.79812787467984</v>
      </c>
      <c r="O15" s="63">
        <f>'SER_se-appl'!O65</f>
        <v>152.32831836763918</v>
      </c>
      <c r="P15" s="63">
        <f>'SER_se-appl'!P65</f>
        <v>145.48847577649173</v>
      </c>
      <c r="Q15" s="63">
        <f>'SER_se-appl'!Q65</f>
        <v>141.4219372737962</v>
      </c>
      <c r="R15" s="63">
        <f>'SER_se-appl'!R65</f>
        <v>138.21481945484874</v>
      </c>
      <c r="S15" s="63">
        <f>'SER_se-appl'!S65</f>
        <v>134.46177504771356</v>
      </c>
      <c r="T15" s="63">
        <f>'SER_se-appl'!T65</f>
        <v>130.81611749318182</v>
      </c>
      <c r="U15" s="63">
        <f>'SER_se-appl'!U65</f>
        <v>127.36186648803587</v>
      </c>
      <c r="V15" s="63">
        <f>'SER_se-appl'!V65</f>
        <v>123.94506127467379</v>
      </c>
      <c r="W15" s="63">
        <f>'SER_se-appl'!W65</f>
        <v>121.49947583774244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123" t="s">
        <v>156</v>
      </c>
    </row>
    <row r="2" spans="1:105" x14ac:dyDescent="0.25">
      <c r="A2" s="6"/>
    </row>
    <row r="3" spans="1:105" x14ac:dyDescent="0.25">
      <c r="A3" s="219" t="s">
        <v>147</v>
      </c>
      <c r="B3" s="220">
        <v>5194.4512244731923</v>
      </c>
      <c r="C3" s="220">
        <v>5697.0851691607459</v>
      </c>
      <c r="D3" s="220">
        <v>4361.1476636478574</v>
      </c>
      <c r="E3" s="220">
        <v>3954.4184865413908</v>
      </c>
      <c r="F3" s="220">
        <v>4074.88740834481</v>
      </c>
      <c r="G3" s="220">
        <v>2950.329723516244</v>
      </c>
      <c r="H3" s="220">
        <v>3117.6149575285908</v>
      </c>
      <c r="I3" s="220">
        <v>3161.6162781308758</v>
      </c>
      <c r="J3" s="220">
        <v>2284.552128574263</v>
      </c>
      <c r="K3" s="220">
        <v>2110.6160296902881</v>
      </c>
      <c r="L3" s="220">
        <v>3096.663452674853</v>
      </c>
      <c r="M3" s="220">
        <v>3432.971301309859</v>
      </c>
      <c r="N3" s="220">
        <v>4336.7168358417921</v>
      </c>
      <c r="O3" s="220">
        <v>3436.9070692645109</v>
      </c>
      <c r="P3" s="220">
        <v>3694.6159570402851</v>
      </c>
      <c r="Q3" s="220">
        <v>2614.4</v>
      </c>
      <c r="R3" s="220">
        <v>2707.4274911695938</v>
      </c>
      <c r="S3" s="220">
        <v>3777.0511763088648</v>
      </c>
      <c r="T3" s="220">
        <v>3029.9716879820362</v>
      </c>
      <c r="U3" s="220">
        <v>3780.7101310877679</v>
      </c>
      <c r="V3" s="220">
        <v>4017.2544186437358</v>
      </c>
      <c r="W3" s="220">
        <v>3376.1514332462511</v>
      </c>
      <c r="DA3" s="211" t="s">
        <v>972</v>
      </c>
    </row>
    <row r="5" spans="1:105" x14ac:dyDescent="0.25">
      <c r="A5" s="219" t="s">
        <v>120</v>
      </c>
      <c r="B5" s="220">
        <v>7856.4226598177784</v>
      </c>
      <c r="C5" s="220">
        <v>7814.4200177465236</v>
      </c>
      <c r="D5" s="220">
        <v>7404.8110890956968</v>
      </c>
      <c r="E5" s="220">
        <v>6818.2638416719392</v>
      </c>
      <c r="F5" s="220">
        <v>6769.1489002654807</v>
      </c>
      <c r="G5" s="220">
        <v>5962.4505553434356</v>
      </c>
      <c r="H5" s="220">
        <v>6268.0202448053014</v>
      </c>
      <c r="I5" s="220">
        <v>6461.3389503032267</v>
      </c>
      <c r="J5" s="220">
        <v>6301.6829997990571</v>
      </c>
      <c r="K5" s="220">
        <v>5613.9951250113591</v>
      </c>
      <c r="L5" s="220">
        <v>6195.9144565714032</v>
      </c>
      <c r="M5" s="220">
        <v>6528.5819598409107</v>
      </c>
      <c r="N5" s="220">
        <v>5910.9296146041461</v>
      </c>
      <c r="O5" s="220">
        <v>6115.7033366225842</v>
      </c>
      <c r="P5" s="220">
        <v>5876.0863888594649</v>
      </c>
      <c r="Q5" s="220">
        <v>5837.760626617146</v>
      </c>
      <c r="R5" s="220">
        <v>5683.8382967381312</v>
      </c>
      <c r="S5" s="220">
        <v>6019.5377477115389</v>
      </c>
      <c r="T5" s="220">
        <v>5108.302002431491</v>
      </c>
      <c r="U5" s="220">
        <v>5049.478763857267</v>
      </c>
      <c r="V5" s="220">
        <v>4802.8351372309826</v>
      </c>
      <c r="W5" s="220">
        <v>4982.456719015343</v>
      </c>
      <c r="DA5" s="211" t="s">
        <v>973</v>
      </c>
    </row>
    <row r="6" spans="1:105" x14ac:dyDescent="0.25">
      <c r="A6" s="221" t="s">
        <v>119</v>
      </c>
      <c r="B6" s="222">
        <v>9820.5283247722218</v>
      </c>
      <c r="C6" s="222">
        <v>9329.5019085336098</v>
      </c>
      <c r="D6" s="222">
        <v>9329.5019085336098</v>
      </c>
      <c r="E6" s="222">
        <v>8838.4754922949978</v>
      </c>
      <c r="F6" s="222">
        <v>8347.4490760563858</v>
      </c>
      <c r="G6" s="222">
        <v>8347.4490760563858</v>
      </c>
      <c r="H6" s="222">
        <v>7856.4226598177747</v>
      </c>
      <c r="I6" s="222">
        <v>7365.3962435791636</v>
      </c>
      <c r="J6" s="222">
        <v>7365.3962435791636</v>
      </c>
      <c r="K6" s="222">
        <v>6874.3698273405525</v>
      </c>
      <c r="L6" s="222">
        <v>6874.3698273405525</v>
      </c>
      <c r="M6" s="222">
        <v>6874.3698273405525</v>
      </c>
      <c r="N6" s="222">
        <v>6383.3434111019405</v>
      </c>
      <c r="O6" s="222">
        <v>6874.3698273405525</v>
      </c>
      <c r="P6" s="222">
        <v>6874.3698273405525</v>
      </c>
      <c r="Q6" s="222">
        <v>6383.3434111019405</v>
      </c>
      <c r="R6" s="222">
        <v>6383.3434111019405</v>
      </c>
      <c r="S6" s="222">
        <v>6383.3434111019405</v>
      </c>
      <c r="T6" s="222">
        <v>5892.3169948633304</v>
      </c>
      <c r="U6" s="222">
        <v>5401.2905786247193</v>
      </c>
      <c r="V6" s="222">
        <v>5401.2905786247193</v>
      </c>
      <c r="W6" s="222">
        <v>5401.2905786247193</v>
      </c>
      <c r="DA6" s="212" t="s">
        <v>974</v>
      </c>
    </row>
    <row r="7" spans="1:105" x14ac:dyDescent="0.25">
      <c r="A7" s="225" t="s">
        <v>118</v>
      </c>
      <c r="B7" s="226"/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491.02641623861109</v>
      </c>
      <c r="M7" s="226">
        <v>0</v>
      </c>
      <c r="N7" s="226">
        <v>0</v>
      </c>
      <c r="O7" s="226">
        <v>982.0528324772223</v>
      </c>
      <c r="P7" s="226">
        <v>0</v>
      </c>
      <c r="Q7" s="226">
        <v>0</v>
      </c>
      <c r="R7" s="226">
        <v>491.02641623861109</v>
      </c>
      <c r="S7" s="226">
        <v>0</v>
      </c>
      <c r="T7" s="226">
        <v>0</v>
      </c>
      <c r="U7" s="226">
        <v>0</v>
      </c>
      <c r="V7" s="226">
        <v>0</v>
      </c>
      <c r="W7" s="226">
        <v>491.02641623861109</v>
      </c>
      <c r="DA7" s="213" t="s">
        <v>975</v>
      </c>
    </row>
    <row r="8" spans="1:105" x14ac:dyDescent="0.25">
      <c r="A8" s="227" t="s">
        <v>117</v>
      </c>
      <c r="B8" s="228"/>
      <c r="C8" s="228">
        <f t="shared" ref="C8" si="0">IF(B6=0,0,B6+C7-C6)</f>
        <v>491.026416238612</v>
      </c>
      <c r="D8" s="228">
        <f t="shared" ref="D8" si="1">IF(C6=0,0,C6+D7-D6)</f>
        <v>0</v>
      </c>
      <c r="E8" s="228">
        <f t="shared" ref="E8" si="2">IF(D6=0,0,D6+E7-E6)</f>
        <v>491.026416238612</v>
      </c>
      <c r="F8" s="228">
        <f t="shared" ref="F8" si="3">IF(E6=0,0,E6+F7-F6)</f>
        <v>491.026416238612</v>
      </c>
      <c r="G8" s="228">
        <f t="shared" ref="G8" si="4">IF(F6=0,0,F6+G7-G6)</f>
        <v>0</v>
      </c>
      <c r="H8" s="228">
        <f t="shared" ref="H8" si="5">IF(G6=0,0,G6+H7-H6)</f>
        <v>491.02641623861109</v>
      </c>
      <c r="I8" s="228">
        <f t="shared" ref="I8" si="6">IF(H6=0,0,H6+I7-I6)</f>
        <v>491.02641623861109</v>
      </c>
      <c r="J8" s="228">
        <f t="shared" ref="J8" si="7">IF(I6=0,0,I6+J7-J6)</f>
        <v>0</v>
      </c>
      <c r="K8" s="228">
        <f t="shared" ref="K8" si="8">IF(J6=0,0,J6+K7-K6)</f>
        <v>491.02641623861109</v>
      </c>
      <c r="L8" s="228">
        <f t="shared" ref="L8" si="9">IF(K6=0,0,K6+L7-L6)</f>
        <v>491.02641623861109</v>
      </c>
      <c r="M8" s="228">
        <f t="shared" ref="M8" si="10">IF(L6=0,0,L6+M7-M6)</f>
        <v>0</v>
      </c>
      <c r="N8" s="228">
        <f t="shared" ref="N8" si="11">IF(M6=0,0,M6+N7-N6)</f>
        <v>491.026416238612</v>
      </c>
      <c r="O8" s="228">
        <f t="shared" ref="O8" si="12">IF(N6=0,0,N6+O7-O6)</f>
        <v>491.02641623861018</v>
      </c>
      <c r="P8" s="228">
        <f t="shared" ref="P8" si="13">IF(O6=0,0,O6+P7-P6)</f>
        <v>0</v>
      </c>
      <c r="Q8" s="228">
        <f t="shared" ref="Q8" si="14">IF(P6=0,0,P6+Q7-Q6)</f>
        <v>491.026416238612</v>
      </c>
      <c r="R8" s="228">
        <f t="shared" ref="R8" si="15">IF(Q6=0,0,Q6+R7-R6)</f>
        <v>491.02641623861109</v>
      </c>
      <c r="S8" s="228">
        <f t="shared" ref="S8" si="16">IF(R6=0,0,R6+S7-S6)</f>
        <v>0</v>
      </c>
      <c r="T8" s="228">
        <f t="shared" ref="T8" si="17">IF(S6=0,0,S6+T7-T6)</f>
        <v>491.02641623861018</v>
      </c>
      <c r="U8" s="228">
        <f t="shared" ref="U8" si="18">IF(T6=0,0,T6+U7-U6)</f>
        <v>491.02641623861109</v>
      </c>
      <c r="V8" s="228">
        <f t="shared" ref="V8" si="19">IF(U6=0,0,U6+V7-V6)</f>
        <v>0</v>
      </c>
      <c r="W8" s="228">
        <f t="shared" ref="W8" si="20">IF(V6=0,0,V6+W7-W6)</f>
        <v>491.02641623861109</v>
      </c>
      <c r="DA8" s="214" t="s">
        <v>976</v>
      </c>
    </row>
    <row r="9" spans="1:105" x14ac:dyDescent="0.25">
      <c r="A9" s="223" t="s">
        <v>116</v>
      </c>
      <c r="B9" s="224">
        <f>B6-B5</f>
        <v>1964.1056649544435</v>
      </c>
      <c r="C9" s="224">
        <f t="shared" ref="C9:W9" si="21">C6-C5</f>
        <v>1515.0818907870862</v>
      </c>
      <c r="D9" s="224">
        <f t="shared" si="21"/>
        <v>1924.690819437913</v>
      </c>
      <c r="E9" s="224">
        <f t="shared" si="21"/>
        <v>2020.2116506230586</v>
      </c>
      <c r="F9" s="224">
        <f t="shared" si="21"/>
        <v>1578.3001757909051</v>
      </c>
      <c r="G9" s="224">
        <f t="shared" si="21"/>
        <v>2384.9985207129503</v>
      </c>
      <c r="H9" s="224">
        <f t="shared" si="21"/>
        <v>1588.4024150124733</v>
      </c>
      <c r="I9" s="224">
        <f t="shared" si="21"/>
        <v>904.0572932759369</v>
      </c>
      <c r="J9" s="224">
        <f t="shared" si="21"/>
        <v>1063.7132437801065</v>
      </c>
      <c r="K9" s="224">
        <f t="shared" si="21"/>
        <v>1260.3747023291935</v>
      </c>
      <c r="L9" s="224">
        <f t="shared" si="21"/>
        <v>678.45537076914934</v>
      </c>
      <c r="M9" s="224">
        <f t="shared" si="21"/>
        <v>345.78786749964183</v>
      </c>
      <c r="N9" s="224">
        <f t="shared" si="21"/>
        <v>472.41379649779446</v>
      </c>
      <c r="O9" s="224">
        <f t="shared" si="21"/>
        <v>758.66649071796837</v>
      </c>
      <c r="P9" s="224">
        <f t="shared" si="21"/>
        <v>998.28343848108761</v>
      </c>
      <c r="Q9" s="224">
        <f t="shared" si="21"/>
        <v>545.5827844847945</v>
      </c>
      <c r="R9" s="224">
        <f t="shared" si="21"/>
        <v>699.5051143638093</v>
      </c>
      <c r="S9" s="224">
        <f t="shared" si="21"/>
        <v>363.80566339040161</v>
      </c>
      <c r="T9" s="224">
        <f t="shared" si="21"/>
        <v>784.01499243183935</v>
      </c>
      <c r="U9" s="224">
        <f t="shared" si="21"/>
        <v>351.81181476745223</v>
      </c>
      <c r="V9" s="224">
        <f t="shared" si="21"/>
        <v>598.45544139373669</v>
      </c>
      <c r="W9" s="224">
        <f t="shared" si="21"/>
        <v>418.8338596093763</v>
      </c>
      <c r="DA9" s="215" t="s">
        <v>977</v>
      </c>
    </row>
    <row r="10" spans="1:105" x14ac:dyDescent="0.25"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</row>
    <row r="11" spans="1:105" x14ac:dyDescent="0.25">
      <c r="A11" s="219" t="s">
        <v>115</v>
      </c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DA11" s="211"/>
    </row>
    <row r="12" spans="1:105" x14ac:dyDescent="0.25">
      <c r="A12" s="229" t="s">
        <v>114</v>
      </c>
      <c r="B12" s="230">
        <f>SUM(B13,B14,B18,B19,B26,B27)</f>
        <v>993.51444539982811</v>
      </c>
      <c r="C12" s="230">
        <f t="shared" ref="C12:W12" si="22">SUM(C13,C14,C18,C19,C26,C27)</f>
        <v>956.07893379191751</v>
      </c>
      <c r="D12" s="230">
        <f t="shared" si="22"/>
        <v>946.41306964746354</v>
      </c>
      <c r="E12" s="230">
        <f t="shared" si="22"/>
        <v>923.41711092003447</v>
      </c>
      <c r="F12" s="230">
        <f t="shared" si="22"/>
        <v>912.77661220980224</v>
      </c>
      <c r="G12" s="230">
        <f t="shared" si="22"/>
        <v>920.7607050730868</v>
      </c>
      <c r="H12" s="230">
        <f t="shared" si="22"/>
        <v>920.96147893379191</v>
      </c>
      <c r="I12" s="230">
        <f t="shared" si="22"/>
        <v>886.74453998280308</v>
      </c>
      <c r="J12" s="230">
        <f t="shared" si="22"/>
        <v>877.99604471195175</v>
      </c>
      <c r="K12" s="230">
        <f t="shared" si="22"/>
        <v>877.80558899398102</v>
      </c>
      <c r="L12" s="230">
        <f t="shared" si="22"/>
        <v>895.84161650902831</v>
      </c>
      <c r="M12" s="230">
        <f t="shared" si="22"/>
        <v>866.99742046431641</v>
      </c>
      <c r="N12" s="230">
        <f t="shared" si="22"/>
        <v>798.22975064488389</v>
      </c>
      <c r="O12" s="230">
        <f t="shared" si="22"/>
        <v>813.08400687876178</v>
      </c>
      <c r="P12" s="230">
        <f t="shared" si="22"/>
        <v>764.82785898538259</v>
      </c>
      <c r="Q12" s="230">
        <f t="shared" si="22"/>
        <v>775.94445399828044</v>
      </c>
      <c r="R12" s="230">
        <f t="shared" si="22"/>
        <v>769.50877042132413</v>
      </c>
      <c r="S12" s="230">
        <f t="shared" si="22"/>
        <v>751.85296646603615</v>
      </c>
      <c r="T12" s="230">
        <f t="shared" si="22"/>
        <v>721.70017196904541</v>
      </c>
      <c r="U12" s="230">
        <f t="shared" si="22"/>
        <v>717.08650042992247</v>
      </c>
      <c r="V12" s="230">
        <f t="shared" si="22"/>
        <v>713.82622527944955</v>
      </c>
      <c r="W12" s="230">
        <f t="shared" si="22"/>
        <v>710.20008598452273</v>
      </c>
      <c r="DA12" s="211" t="s">
        <v>978</v>
      </c>
    </row>
    <row r="13" spans="1:105" x14ac:dyDescent="0.25">
      <c r="A13" s="58" t="s">
        <v>29</v>
      </c>
      <c r="B13" s="59">
        <v>25.46276870163371</v>
      </c>
      <c r="C13" s="59">
        <v>28.955460017196899</v>
      </c>
      <c r="D13" s="59">
        <v>20.325451418744624</v>
      </c>
      <c r="E13" s="59">
        <v>27.346431642304378</v>
      </c>
      <c r="F13" s="59">
        <v>32.602235597592426</v>
      </c>
      <c r="G13" s="59">
        <v>39.289767841788468</v>
      </c>
      <c r="H13" s="59">
        <v>45.173774720550298</v>
      </c>
      <c r="I13" s="59">
        <v>45.096904557179712</v>
      </c>
      <c r="J13" s="59">
        <v>41.208512467755803</v>
      </c>
      <c r="K13" s="59">
        <v>29.833018056749783</v>
      </c>
      <c r="L13" s="59">
        <v>31.958985382631131</v>
      </c>
      <c r="M13" s="59">
        <v>28.9700773860705</v>
      </c>
      <c r="N13" s="59">
        <v>28.2158211521926</v>
      </c>
      <c r="O13" s="59">
        <v>36.702923473774717</v>
      </c>
      <c r="P13" s="59">
        <v>24.777901977644021</v>
      </c>
      <c r="Q13" s="59">
        <v>17.622012037833191</v>
      </c>
      <c r="R13" s="59">
        <v>14.829492691315561</v>
      </c>
      <c r="S13" s="59">
        <v>10.636973344797941</v>
      </c>
      <c r="T13" s="59">
        <v>8.6205503009458297</v>
      </c>
      <c r="U13" s="59">
        <v>5.2683576956147888</v>
      </c>
      <c r="V13" s="59">
        <v>3.2120378331900259</v>
      </c>
      <c r="W13" s="59">
        <v>3.0399828030954419</v>
      </c>
      <c r="DA13" s="9" t="s">
        <v>979</v>
      </c>
    </row>
    <row r="14" spans="1:105" x14ac:dyDescent="0.25">
      <c r="A14" s="60" t="s">
        <v>28</v>
      </c>
      <c r="B14" s="55">
        <f>SUM(B15:B17)</f>
        <v>643.26208082545145</v>
      </c>
      <c r="C14" s="55">
        <f t="shared" ref="C14:W14" si="23">SUM(C15:C17)</f>
        <v>604.47592433362001</v>
      </c>
      <c r="D14" s="55">
        <f t="shared" si="23"/>
        <v>608.9042132416165</v>
      </c>
      <c r="E14" s="55">
        <f t="shared" si="23"/>
        <v>579.76018916595012</v>
      </c>
      <c r="F14" s="55">
        <f t="shared" si="23"/>
        <v>563.12338779019785</v>
      </c>
      <c r="G14" s="55">
        <f t="shared" si="23"/>
        <v>566.2845227858985</v>
      </c>
      <c r="H14" s="55">
        <f t="shared" si="23"/>
        <v>550.29613069647462</v>
      </c>
      <c r="I14" s="55">
        <f t="shared" si="23"/>
        <v>532.59776440240751</v>
      </c>
      <c r="J14" s="55">
        <f t="shared" si="23"/>
        <v>525.92201203783316</v>
      </c>
      <c r="K14" s="55">
        <f t="shared" si="23"/>
        <v>544.52803095442823</v>
      </c>
      <c r="L14" s="55">
        <f t="shared" si="23"/>
        <v>553.91711092003436</v>
      </c>
      <c r="M14" s="55">
        <f t="shared" si="23"/>
        <v>547.54221840068783</v>
      </c>
      <c r="N14" s="55">
        <f t="shared" si="23"/>
        <v>487.18830610490107</v>
      </c>
      <c r="O14" s="55">
        <f t="shared" si="23"/>
        <v>491.96999140154776</v>
      </c>
      <c r="P14" s="55">
        <f t="shared" si="23"/>
        <v>461.50042992261382</v>
      </c>
      <c r="Q14" s="55">
        <f t="shared" si="23"/>
        <v>477.34651762682728</v>
      </c>
      <c r="R14" s="55">
        <f t="shared" si="23"/>
        <v>471.63052450558894</v>
      </c>
      <c r="S14" s="55">
        <f t="shared" si="23"/>
        <v>455.01049011177992</v>
      </c>
      <c r="T14" s="55">
        <f t="shared" si="23"/>
        <v>434.68323301805668</v>
      </c>
      <c r="U14" s="55">
        <f t="shared" si="23"/>
        <v>428.4999140154772</v>
      </c>
      <c r="V14" s="55">
        <f t="shared" si="23"/>
        <v>429.88082545141873</v>
      </c>
      <c r="W14" s="55">
        <f t="shared" si="23"/>
        <v>420.64024075666384</v>
      </c>
      <c r="DA14" s="10"/>
    </row>
    <row r="15" spans="1:105" x14ac:dyDescent="0.25">
      <c r="A15" s="61" t="s">
        <v>52</v>
      </c>
      <c r="B15" s="55">
        <v>4.3947549441100593</v>
      </c>
      <c r="C15" s="55">
        <v>5.4934651762682716</v>
      </c>
      <c r="D15" s="55">
        <v>4.3947549441100593</v>
      </c>
      <c r="E15" s="55">
        <v>4.3947549441100593</v>
      </c>
      <c r="F15" s="55">
        <v>3.2960447119518479</v>
      </c>
      <c r="G15" s="55">
        <v>3.2960447119518479</v>
      </c>
      <c r="H15" s="55">
        <v>3.2960447119518479</v>
      </c>
      <c r="I15" s="55">
        <v>3.2960447119518479</v>
      </c>
      <c r="J15" s="55">
        <v>2.1974204643164228</v>
      </c>
      <c r="K15" s="55">
        <v>3.2960447119518479</v>
      </c>
      <c r="L15" s="55">
        <v>3.2960447119518479</v>
      </c>
      <c r="M15" s="55">
        <v>3.2960447119518479</v>
      </c>
      <c r="N15" s="55">
        <v>3.2960447119518479</v>
      </c>
      <c r="O15" s="55">
        <v>3.2960447119518479</v>
      </c>
      <c r="P15" s="55">
        <v>3.2960447119518479</v>
      </c>
      <c r="Q15" s="55">
        <v>4.585984522785898</v>
      </c>
      <c r="R15" s="55">
        <v>4.505674978503869</v>
      </c>
      <c r="S15" s="55">
        <v>6.2448839208942388</v>
      </c>
      <c r="T15" s="55">
        <v>4.8539982803095443</v>
      </c>
      <c r="U15" s="55">
        <v>5.9593293207222695</v>
      </c>
      <c r="V15" s="55">
        <v>5.7658641444539978</v>
      </c>
      <c r="W15" s="55">
        <v>6.015305245055889</v>
      </c>
      <c r="DA15" s="10" t="s">
        <v>980</v>
      </c>
    </row>
    <row r="16" spans="1:105" x14ac:dyDescent="0.25">
      <c r="A16" s="61" t="s">
        <v>172</v>
      </c>
      <c r="B16" s="55">
        <v>567.04875322441967</v>
      </c>
      <c r="C16" s="55">
        <v>547.67119518486675</v>
      </c>
      <c r="D16" s="55">
        <v>551.75073086844361</v>
      </c>
      <c r="E16" s="55">
        <v>535.43276010318141</v>
      </c>
      <c r="F16" s="55">
        <v>495.65778159931222</v>
      </c>
      <c r="G16" s="55">
        <v>482.39939810834051</v>
      </c>
      <c r="H16" s="55">
        <v>496.67764402407568</v>
      </c>
      <c r="I16" s="55">
        <v>472.200773860705</v>
      </c>
      <c r="J16" s="55">
        <v>487.498796216681</v>
      </c>
      <c r="K16" s="55">
        <v>499.73731728288908</v>
      </c>
      <c r="L16" s="55">
        <v>501.77704213241611</v>
      </c>
      <c r="M16" s="55">
        <v>485.45907136715391</v>
      </c>
      <c r="N16" s="55">
        <v>450.7834049871023</v>
      </c>
      <c r="O16" s="55">
        <v>456.90266552020643</v>
      </c>
      <c r="P16" s="55">
        <v>431.40584694754938</v>
      </c>
      <c r="Q16" s="55">
        <v>450.51616509028383</v>
      </c>
      <c r="R16" s="55">
        <v>448.58564058469472</v>
      </c>
      <c r="S16" s="55">
        <v>413.91814273430782</v>
      </c>
      <c r="T16" s="55">
        <v>411.45915735167659</v>
      </c>
      <c r="U16" s="55">
        <v>395.49312123817714</v>
      </c>
      <c r="V16" s="55">
        <v>383.89922613929491</v>
      </c>
      <c r="W16" s="55">
        <v>384.68039552880481</v>
      </c>
      <c r="DA16" s="10" t="s">
        <v>981</v>
      </c>
    </row>
    <row r="17" spans="1:105" x14ac:dyDescent="0.25">
      <c r="A17" s="61" t="s">
        <v>113</v>
      </c>
      <c r="B17" s="55">
        <v>71.818572656921731</v>
      </c>
      <c r="C17" s="55">
        <v>51.311263972484952</v>
      </c>
      <c r="D17" s="55">
        <v>52.758727429062773</v>
      </c>
      <c r="E17" s="55">
        <v>39.932674118658639</v>
      </c>
      <c r="F17" s="55">
        <v>64.169561478933787</v>
      </c>
      <c r="G17" s="55">
        <v>80.589079965606189</v>
      </c>
      <c r="H17" s="55">
        <v>50.322441960447122</v>
      </c>
      <c r="I17" s="55">
        <v>57.100945829750643</v>
      </c>
      <c r="J17" s="55">
        <v>36.225795356835768</v>
      </c>
      <c r="K17" s="55">
        <v>41.494668959587273</v>
      </c>
      <c r="L17" s="55">
        <v>48.844024075666375</v>
      </c>
      <c r="M17" s="55">
        <v>58.787102321582111</v>
      </c>
      <c r="N17" s="55">
        <v>33.10885640584695</v>
      </c>
      <c r="O17" s="55">
        <v>31.771281169389503</v>
      </c>
      <c r="P17" s="55">
        <v>26.79853826311264</v>
      </c>
      <c r="Q17" s="55">
        <v>22.244368013757526</v>
      </c>
      <c r="R17" s="55">
        <v>18.539208942390367</v>
      </c>
      <c r="S17" s="55">
        <v>34.847463456577806</v>
      </c>
      <c r="T17" s="55">
        <v>18.370077386070509</v>
      </c>
      <c r="U17" s="55">
        <v>27.047463456577816</v>
      </c>
      <c r="V17" s="55">
        <v>40.215735167669827</v>
      </c>
      <c r="W17" s="55">
        <v>29.944539982803093</v>
      </c>
      <c r="DA17" s="10" t="s">
        <v>982</v>
      </c>
    </row>
    <row r="18" spans="1:105" x14ac:dyDescent="0.25">
      <c r="A18" s="60" t="s">
        <v>153</v>
      </c>
      <c r="B18" s="55">
        <v>56.943078245915743</v>
      </c>
      <c r="C18" s="55">
        <v>64.187618228718819</v>
      </c>
      <c r="D18" s="55">
        <v>60.748839208942393</v>
      </c>
      <c r="E18" s="55">
        <v>55.395270851246771</v>
      </c>
      <c r="F18" s="55">
        <v>53.933619948409287</v>
      </c>
      <c r="G18" s="55">
        <v>53.697936371453132</v>
      </c>
      <c r="H18" s="55">
        <v>53.417454858125531</v>
      </c>
      <c r="I18" s="55">
        <v>44.604471195184857</v>
      </c>
      <c r="J18" s="55">
        <v>39.703783319002582</v>
      </c>
      <c r="K18" s="55">
        <v>40.413069647463459</v>
      </c>
      <c r="L18" s="55">
        <v>41.91779879621668</v>
      </c>
      <c r="M18" s="55">
        <v>38.865520206362852</v>
      </c>
      <c r="N18" s="55">
        <v>37.898194325021493</v>
      </c>
      <c r="O18" s="55">
        <v>36.070077386070508</v>
      </c>
      <c r="P18" s="55">
        <v>33.831298366294057</v>
      </c>
      <c r="Q18" s="55">
        <v>35.263800515907143</v>
      </c>
      <c r="R18" s="55">
        <v>40.12975064488392</v>
      </c>
      <c r="S18" s="55">
        <v>42.706534823731729</v>
      </c>
      <c r="T18" s="55">
        <v>36.457523645743763</v>
      </c>
      <c r="U18" s="55">
        <v>35.296818572656917</v>
      </c>
      <c r="V18" s="55">
        <v>35.930266552020633</v>
      </c>
      <c r="W18" s="55">
        <v>35.773258813413577</v>
      </c>
      <c r="DA18" s="10" t="s">
        <v>983</v>
      </c>
    </row>
    <row r="19" spans="1:105" x14ac:dyDescent="0.25">
      <c r="A19" s="60" t="s">
        <v>51</v>
      </c>
      <c r="B19" s="55">
        <f>SUM(B20:B25)</f>
        <v>55.412209802235594</v>
      </c>
      <c r="C19" s="55">
        <f t="shared" ref="C19:W19" si="24">SUM(C20:C25)</f>
        <v>51.61461736887361</v>
      </c>
      <c r="D19" s="55">
        <f t="shared" si="24"/>
        <v>51.996818572656927</v>
      </c>
      <c r="E19" s="55">
        <f t="shared" si="24"/>
        <v>52.092261392949261</v>
      </c>
      <c r="F19" s="55">
        <f t="shared" si="24"/>
        <v>52.593809114359409</v>
      </c>
      <c r="G19" s="55">
        <f t="shared" si="24"/>
        <v>50.277042132416156</v>
      </c>
      <c r="H19" s="55">
        <f t="shared" si="24"/>
        <v>55.961564918314707</v>
      </c>
      <c r="I19" s="55">
        <f t="shared" si="24"/>
        <v>54.695700773860707</v>
      </c>
      <c r="J19" s="55">
        <f t="shared" si="24"/>
        <v>58.230610490111786</v>
      </c>
      <c r="K19" s="55">
        <f t="shared" si="24"/>
        <v>54.313585554600174</v>
      </c>
      <c r="L19" s="55">
        <f t="shared" si="24"/>
        <v>55.89045571797076</v>
      </c>
      <c r="M19" s="55">
        <f t="shared" si="24"/>
        <v>54.949097162510739</v>
      </c>
      <c r="N19" s="55">
        <f t="shared" si="24"/>
        <v>53.759931212381765</v>
      </c>
      <c r="O19" s="55">
        <f t="shared" si="24"/>
        <v>53.390197764402402</v>
      </c>
      <c r="P19" s="55">
        <f t="shared" si="24"/>
        <v>53.464746345657765</v>
      </c>
      <c r="Q19" s="55">
        <f t="shared" si="24"/>
        <v>54.422355975924333</v>
      </c>
      <c r="R19" s="55">
        <f t="shared" si="24"/>
        <v>55.192175408426479</v>
      </c>
      <c r="S19" s="55">
        <f t="shared" si="24"/>
        <v>54.34101461736887</v>
      </c>
      <c r="T19" s="55">
        <f t="shared" si="24"/>
        <v>54.567927773000861</v>
      </c>
      <c r="U19" s="55">
        <f t="shared" si="24"/>
        <v>54.007308684436801</v>
      </c>
      <c r="V19" s="55">
        <f t="shared" si="24"/>
        <v>52.494496990541705</v>
      </c>
      <c r="W19" s="55">
        <f t="shared" si="24"/>
        <v>56.762682717110913</v>
      </c>
      <c r="DA19" s="10"/>
    </row>
    <row r="20" spans="1:105" x14ac:dyDescent="0.25">
      <c r="A20" s="61" t="s">
        <v>171</v>
      </c>
      <c r="B20" s="55">
        <v>53.596990541702489</v>
      </c>
      <c r="C20" s="55">
        <v>49.703869303525373</v>
      </c>
      <c r="D20" s="55">
        <v>49.703869303525373</v>
      </c>
      <c r="E20" s="55">
        <v>48.867841788478067</v>
      </c>
      <c r="F20" s="55">
        <v>48.55735167669819</v>
      </c>
      <c r="G20" s="55">
        <v>48.270765262252787</v>
      </c>
      <c r="H20" s="55">
        <v>48.103525365434223</v>
      </c>
      <c r="I20" s="55">
        <v>48.103525365434223</v>
      </c>
      <c r="J20" s="55">
        <v>49.106706792777302</v>
      </c>
      <c r="K20" s="55">
        <v>50.109888220120382</v>
      </c>
      <c r="L20" s="55">
        <v>51.136027515047289</v>
      </c>
      <c r="M20" s="55">
        <v>50.906620808254509</v>
      </c>
      <c r="N20" s="55">
        <v>50.922098022355968</v>
      </c>
      <c r="O20" s="55">
        <v>50.980481513327597</v>
      </c>
      <c r="P20" s="55">
        <v>50.911521926053297</v>
      </c>
      <c r="Q20" s="55">
        <v>51.797334479793633</v>
      </c>
      <c r="R20" s="55">
        <v>52.234909716251067</v>
      </c>
      <c r="S20" s="55">
        <v>52.239982803095437</v>
      </c>
      <c r="T20" s="55">
        <v>51.958985382631127</v>
      </c>
      <c r="U20" s="55">
        <v>51.609544282029233</v>
      </c>
      <c r="V20" s="55">
        <v>50.352880481513331</v>
      </c>
      <c r="W20" s="55">
        <v>54.481427343078238</v>
      </c>
      <c r="DA20" s="10" t="s">
        <v>984</v>
      </c>
    </row>
    <row r="21" spans="1:105" x14ac:dyDescent="0.25">
      <c r="A21" s="61" t="s">
        <v>50</v>
      </c>
      <c r="B21" s="55">
        <v>1.8152192605331039</v>
      </c>
      <c r="C21" s="55">
        <v>1.9107480653482369</v>
      </c>
      <c r="D21" s="55">
        <v>2.2929492691315558</v>
      </c>
      <c r="E21" s="55">
        <v>3.224419604471195</v>
      </c>
      <c r="F21" s="55">
        <v>4.0364574376612206</v>
      </c>
      <c r="G21" s="55">
        <v>2.00627687016337</v>
      </c>
      <c r="H21" s="55">
        <v>7.8580395528804807</v>
      </c>
      <c r="I21" s="55">
        <v>6.592175408426483</v>
      </c>
      <c r="J21" s="55">
        <v>9.1239036973344803</v>
      </c>
      <c r="K21" s="55">
        <v>4.2036973344797932</v>
      </c>
      <c r="L21" s="55">
        <v>4.7544282029234726</v>
      </c>
      <c r="M21" s="55">
        <v>4.0424763542562339</v>
      </c>
      <c r="N21" s="55">
        <v>2.8378331900257949</v>
      </c>
      <c r="O21" s="55">
        <v>2.4097162510748058</v>
      </c>
      <c r="P21" s="55">
        <v>2.5532244196044709</v>
      </c>
      <c r="Q21" s="55">
        <v>2.6250214961306959</v>
      </c>
      <c r="R21" s="55">
        <v>2.9572656921754081</v>
      </c>
      <c r="S21" s="55">
        <v>2.1010318142734299</v>
      </c>
      <c r="T21" s="55">
        <v>2.6089423903697329</v>
      </c>
      <c r="U21" s="55">
        <v>2.3977644024075659</v>
      </c>
      <c r="V21" s="55">
        <v>2.141616509028375</v>
      </c>
      <c r="W21" s="55">
        <v>2.281255374032674</v>
      </c>
      <c r="DA21" s="10" t="s">
        <v>985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DA22" s="10" t="s">
        <v>986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" t="s">
        <v>987</v>
      </c>
    </row>
    <row r="24" spans="1:105" x14ac:dyDescent="0.25">
      <c r="A24" s="61" t="s">
        <v>25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" t="s">
        <v>988</v>
      </c>
    </row>
    <row r="25" spans="1:105" x14ac:dyDescent="0.25">
      <c r="A25" s="61" t="s">
        <v>157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DA25" s="10" t="s">
        <v>989</v>
      </c>
    </row>
    <row r="26" spans="1:105" x14ac:dyDescent="0.25">
      <c r="A26" s="60" t="s">
        <v>169</v>
      </c>
      <c r="B26" s="55">
        <v>45.022441960447118</v>
      </c>
      <c r="C26" s="55">
        <v>45.022441960447118</v>
      </c>
      <c r="D26" s="55">
        <v>45.022441960447118</v>
      </c>
      <c r="E26" s="55">
        <v>45.022441960447118</v>
      </c>
      <c r="F26" s="55">
        <v>47.410920034393797</v>
      </c>
      <c r="G26" s="55">
        <v>47.410920034393797</v>
      </c>
      <c r="H26" s="55">
        <v>47.410920034393797</v>
      </c>
      <c r="I26" s="55">
        <v>47.410920034393797</v>
      </c>
      <c r="J26" s="55">
        <v>47.410920034393797</v>
      </c>
      <c r="K26" s="55">
        <v>47.410920034393797</v>
      </c>
      <c r="L26" s="55">
        <v>47.410920034393797</v>
      </c>
      <c r="M26" s="55">
        <v>37.857093723129843</v>
      </c>
      <c r="N26" s="55">
        <v>37.857093723129843</v>
      </c>
      <c r="O26" s="55">
        <v>37.857093723129843</v>
      </c>
      <c r="P26" s="55">
        <v>37.857093723129843</v>
      </c>
      <c r="Q26" s="55">
        <v>37.857093723129843</v>
      </c>
      <c r="R26" s="55">
        <v>37.857093723129843</v>
      </c>
      <c r="S26" s="55">
        <v>37.857093723129843</v>
      </c>
      <c r="T26" s="55">
        <v>37.717626827171109</v>
      </c>
      <c r="U26" s="55">
        <v>36.964402407566638</v>
      </c>
      <c r="V26" s="55">
        <v>36.964402407566638</v>
      </c>
      <c r="W26" s="55">
        <v>35.386070507308681</v>
      </c>
      <c r="DA26" s="10" t="s">
        <v>990</v>
      </c>
    </row>
    <row r="27" spans="1:105" x14ac:dyDescent="0.25">
      <c r="A27" s="62" t="s">
        <v>24</v>
      </c>
      <c r="B27" s="63">
        <v>167.4118658641444</v>
      </c>
      <c r="C27" s="63">
        <v>161.822871883061</v>
      </c>
      <c r="D27" s="63">
        <v>159.41530524505589</v>
      </c>
      <c r="E27" s="63">
        <v>163.80051590713671</v>
      </c>
      <c r="F27" s="63">
        <v>163.11263972484949</v>
      </c>
      <c r="G27" s="63">
        <v>163.80051590713671</v>
      </c>
      <c r="H27" s="63">
        <v>168.70163370593289</v>
      </c>
      <c r="I27" s="63">
        <v>162.33877901977641</v>
      </c>
      <c r="J27" s="63">
        <v>165.52020636285471</v>
      </c>
      <c r="K27" s="63">
        <v>161.30696474634561</v>
      </c>
      <c r="L27" s="63">
        <v>164.7463456577816</v>
      </c>
      <c r="M27" s="63">
        <v>158.8134135855546</v>
      </c>
      <c r="N27" s="63">
        <v>153.3104041272571</v>
      </c>
      <c r="O27" s="63">
        <v>157.0937231298366</v>
      </c>
      <c r="P27" s="63">
        <v>153.39638865004301</v>
      </c>
      <c r="Q27" s="63">
        <v>153.43267411865861</v>
      </c>
      <c r="R27" s="63">
        <v>149.86973344797931</v>
      </c>
      <c r="S27" s="63">
        <v>151.30085984522779</v>
      </c>
      <c r="T27" s="63">
        <v>149.65331040412721</v>
      </c>
      <c r="U27" s="63">
        <v>157.04969905417019</v>
      </c>
      <c r="V27" s="63">
        <v>155.34419604471191</v>
      </c>
      <c r="W27" s="63">
        <v>158.5978503869303</v>
      </c>
      <c r="DA27" s="11" t="s">
        <v>991</v>
      </c>
    </row>
    <row r="29" spans="1:105" x14ac:dyDescent="0.25">
      <c r="A29" s="219" t="s">
        <v>84</v>
      </c>
      <c r="B29" s="220">
        <v>2230.7753282386088</v>
      </c>
      <c r="C29" s="220">
        <v>2141.7588557984445</v>
      </c>
      <c r="D29" s="220">
        <v>2112.4232585988957</v>
      </c>
      <c r="E29" s="220">
        <v>2036.3260759185323</v>
      </c>
      <c r="F29" s="220">
        <v>1999.1190229182387</v>
      </c>
      <c r="G29" s="220">
        <v>2033.4694381178069</v>
      </c>
      <c r="H29" s="220">
        <v>2010.356532356848</v>
      </c>
      <c r="I29" s="220">
        <v>1931.8433104787412</v>
      </c>
      <c r="J29" s="220">
        <v>1886.2228796377301</v>
      </c>
      <c r="K29" s="220">
        <v>1899.1374073187756</v>
      </c>
      <c r="L29" s="220">
        <v>1942.3435575586861</v>
      </c>
      <c r="M29" s="220">
        <v>1902.3401922100149</v>
      </c>
      <c r="N29" s="220">
        <v>1710.7517032219446</v>
      </c>
      <c r="O29" s="220">
        <v>1752.2289028815246</v>
      </c>
      <c r="P29" s="220">
        <v>1605.4887927250372</v>
      </c>
      <c r="Q29" s="220">
        <v>1629.8097819844918</v>
      </c>
      <c r="R29" s="220">
        <v>1612.6641237589665</v>
      </c>
      <c r="S29" s="220">
        <v>1547.8404330955548</v>
      </c>
      <c r="T29" s="220">
        <v>1464.442516367639</v>
      </c>
      <c r="U29" s="220">
        <v>1427.9472238681471</v>
      </c>
      <c r="V29" s="220">
        <v>1424.2641138000449</v>
      </c>
      <c r="W29" s="220">
        <v>1395.2918930400001</v>
      </c>
      <c r="DA29" s="8"/>
    </row>
    <row r="31" spans="1:105" x14ac:dyDescent="0.25">
      <c r="A31" s="33" t="s">
        <v>154</v>
      </c>
      <c r="B31" s="59">
        <f t="shared" ref="B31:W31" si="25">IF(B$12=0,"",B$12/B$3*1000)</f>
        <v>191.26456337080876</v>
      </c>
      <c r="C31" s="59">
        <f t="shared" si="25"/>
        <v>167.81896450615295</v>
      </c>
      <c r="D31" s="59">
        <f t="shared" si="25"/>
        <v>217.01009519495187</v>
      </c>
      <c r="E31" s="59">
        <f t="shared" si="25"/>
        <v>233.51527261538587</v>
      </c>
      <c r="F31" s="59">
        <f t="shared" si="25"/>
        <v>224.00044976471278</v>
      </c>
      <c r="G31" s="59">
        <f t="shared" si="25"/>
        <v>312.08739068517104</v>
      </c>
      <c r="H31" s="59">
        <f t="shared" si="25"/>
        <v>295.40578021342975</v>
      </c>
      <c r="I31" s="59">
        <f t="shared" si="25"/>
        <v>280.47190486602631</v>
      </c>
      <c r="J31" s="59">
        <f t="shared" si="25"/>
        <v>384.31867398880019</v>
      </c>
      <c r="K31" s="59">
        <f t="shared" si="25"/>
        <v>415.90018110626698</v>
      </c>
      <c r="L31" s="59">
        <f t="shared" si="25"/>
        <v>289.29253378671592</v>
      </c>
      <c r="M31" s="59">
        <f t="shared" si="25"/>
        <v>252.55015098247731</v>
      </c>
      <c r="N31" s="59">
        <f t="shared" si="25"/>
        <v>184.06314750544257</v>
      </c>
      <c r="O31" s="59">
        <f t="shared" si="25"/>
        <v>236.57433573051469</v>
      </c>
      <c r="P31" s="59">
        <f t="shared" si="25"/>
        <v>207.01146421672402</v>
      </c>
      <c r="Q31" s="59">
        <f t="shared" si="25"/>
        <v>296.796379283308</v>
      </c>
      <c r="R31" s="59">
        <f t="shared" si="25"/>
        <v>284.22137727828886</v>
      </c>
      <c r="S31" s="59">
        <f t="shared" si="25"/>
        <v>199.05818888077309</v>
      </c>
      <c r="T31" s="59">
        <f t="shared" si="25"/>
        <v>238.18710083383596</v>
      </c>
      <c r="U31" s="59">
        <f t="shared" si="25"/>
        <v>189.66979100923714</v>
      </c>
      <c r="V31" s="59">
        <f t="shared" si="25"/>
        <v>177.69007159881207</v>
      </c>
      <c r="W31" s="59">
        <f t="shared" si="25"/>
        <v>210.35788827210519</v>
      </c>
      <c r="DA31" s="212"/>
    </row>
    <row r="32" spans="1:105" x14ac:dyDescent="0.25">
      <c r="A32" s="35" t="s">
        <v>112</v>
      </c>
      <c r="B32" s="55">
        <f t="shared" ref="B32:W32" si="26">IF(B$12=0,"",B$12/B$5*1000)</f>
        <v>126.45888445910974</v>
      </c>
      <c r="C32" s="55">
        <f t="shared" si="26"/>
        <v>122.34803499436494</v>
      </c>
      <c r="D32" s="55">
        <f t="shared" si="26"/>
        <v>127.81056238438666</v>
      </c>
      <c r="E32" s="55">
        <f t="shared" si="26"/>
        <v>135.43288032890189</v>
      </c>
      <c r="F32" s="55">
        <f t="shared" si="26"/>
        <v>134.84363036747558</v>
      </c>
      <c r="G32" s="55">
        <f t="shared" si="26"/>
        <v>154.42655608236757</v>
      </c>
      <c r="H32" s="55">
        <f t="shared" si="26"/>
        <v>146.93020171673027</v>
      </c>
      <c r="I32" s="55">
        <f t="shared" si="26"/>
        <v>137.23851152262932</v>
      </c>
      <c r="J32" s="55">
        <f t="shared" si="26"/>
        <v>139.32723127138394</v>
      </c>
      <c r="K32" s="55">
        <f t="shared" si="26"/>
        <v>156.36023356757102</v>
      </c>
      <c r="L32" s="55">
        <f t="shared" si="26"/>
        <v>144.58585940593423</v>
      </c>
      <c r="M32" s="55">
        <f t="shared" si="26"/>
        <v>132.80026593791027</v>
      </c>
      <c r="N32" s="55">
        <f t="shared" si="26"/>
        <v>135.04301399101354</v>
      </c>
      <c r="O32" s="55">
        <f t="shared" si="26"/>
        <v>132.95020410976801</v>
      </c>
      <c r="P32" s="55">
        <f t="shared" si="26"/>
        <v>130.15939664117735</v>
      </c>
      <c r="Q32" s="55">
        <f t="shared" si="26"/>
        <v>132.91816907674806</v>
      </c>
      <c r="R32" s="55">
        <f t="shared" si="26"/>
        <v>135.38540863538176</v>
      </c>
      <c r="S32" s="55">
        <f t="shared" si="26"/>
        <v>124.90211009173748</v>
      </c>
      <c r="T32" s="55">
        <f t="shared" si="26"/>
        <v>141.27985612939969</v>
      </c>
      <c r="U32" s="55">
        <f t="shared" si="26"/>
        <v>142.0119845958406</v>
      </c>
      <c r="V32" s="55">
        <f t="shared" si="26"/>
        <v>148.6260104466125</v>
      </c>
      <c r="W32" s="55">
        <f t="shared" si="26"/>
        <v>142.5401415478579</v>
      </c>
      <c r="DA32" s="217"/>
    </row>
    <row r="33" spans="1:105" x14ac:dyDescent="0.25">
      <c r="A33" s="35" t="s">
        <v>111</v>
      </c>
      <c r="B33" s="55">
        <f>IF(AGR_ued!B$5=0,"",AGR_ued!B$5/B$5*1000)</f>
        <v>47.687665803212838</v>
      </c>
      <c r="C33" s="55">
        <f>IF(AGR_ued!C$5=0,"",AGR_ued!C$5/C$5*1000)</f>
        <v>46.34158064286639</v>
      </c>
      <c r="D33" s="55">
        <f>IF(AGR_ued!D$5=0,"",AGR_ued!D$5/D$5*1000)</f>
        <v>48.433191790734178</v>
      </c>
      <c r="E33" s="55">
        <f>IF(AGR_ued!E$5=0,"",AGR_ued!E$5/E$5*1000)</f>
        <v>51.613038719848788</v>
      </c>
      <c r="F33" s="55">
        <f>IF(AGR_ued!F$5=0,"",AGR_ued!F$5/F$5*1000)</f>
        <v>51.29405204252344</v>
      </c>
      <c r="G33" s="55">
        <f>IF(AGR_ued!G$5=0,"",AGR_ued!G$5/G$5*1000)</f>
        <v>58.496768902974168</v>
      </c>
      <c r="H33" s="55">
        <f>IF(AGR_ued!H$5=0,"",AGR_ued!H$5/H$5*1000)</f>
        <v>56.056990375917991</v>
      </c>
      <c r="I33" s="55">
        <f>IF(AGR_ued!I$5=0,"",AGR_ued!I$5/I$5*1000)</f>
        <v>52.258787470860575</v>
      </c>
      <c r="J33" s="55">
        <f>IF(AGR_ued!J$5=0,"",AGR_ued!J$5/J$5*1000)</f>
        <v>53.40248460420969</v>
      </c>
      <c r="K33" s="55">
        <f>IF(AGR_ued!K$5=0,"",AGR_ued!K$5/K$5*1000)</f>
        <v>59.781172921738047</v>
      </c>
      <c r="L33" s="55">
        <f>IF(AGR_ued!L$5=0,"",AGR_ued!L$5/L$5*1000)</f>
        <v>55.198911549586505</v>
      </c>
      <c r="M33" s="55">
        <f>IF(AGR_ued!M$5=0,"",AGR_ued!M$5/M$5*1000)</f>
        <v>50.344672293166198</v>
      </c>
      <c r="N33" s="55">
        <f>IF(AGR_ued!N$5=0,"",AGR_ued!N$5/N$5*1000)</f>
        <v>51.687137982220541</v>
      </c>
      <c r="O33" s="55">
        <f>IF(AGR_ued!O$5=0,"",AGR_ued!O$5/O$5*1000)</f>
        <v>50.831025285609428</v>
      </c>
      <c r="P33" s="55">
        <f>IF(AGR_ued!P$5=0,"",AGR_ued!P$5/P$5*1000)</f>
        <v>50.147199567699936</v>
      </c>
      <c r="Q33" s="55">
        <f>IF(AGR_ued!Q$5=0,"",AGR_ued!Q$5/Q$5*1000)</f>
        <v>51.211882040637157</v>
      </c>
      <c r="R33" s="55">
        <f>IF(AGR_ued!R$5=0,"",AGR_ued!R$5/R$5*1000)</f>
        <v>52.162366568368427</v>
      </c>
      <c r="S33" s="55">
        <f>IF(AGR_ued!S$5=0,"",AGR_ued!S$5/S$5*1000)</f>
        <v>48.253509927677293</v>
      </c>
      <c r="T33" s="55">
        <f>IF(AGR_ued!T$5=0,"",AGR_ued!T$5/T$5*1000)</f>
        <v>54.935608280379007</v>
      </c>
      <c r="U33" s="55">
        <f>IF(AGR_ued!U$5=0,"",AGR_ued!U$5/U$5*1000)</f>
        <v>55.549792698476836</v>
      </c>
      <c r="V33" s="55">
        <f>IF(AGR_ued!V$5=0,"",AGR_ued!V$5/V$5*1000)</f>
        <v>58.012334076478034</v>
      </c>
      <c r="W33" s="55">
        <f>IF(AGR_ued!W$5=0,"",AGR_ued!W$5/W$5*1000)</f>
        <v>55.821378316223409</v>
      </c>
      <c r="DA33" s="217"/>
    </row>
    <row r="34" spans="1:105" x14ac:dyDescent="0.25">
      <c r="A34" s="37" t="s">
        <v>110</v>
      </c>
      <c r="B34" s="218">
        <f t="shared" ref="B34:W34" si="27">IF(B$12=0,"",B$29/B$12)</f>
        <v>2.2453375877598436</v>
      </c>
      <c r="C34" s="218">
        <f t="shared" si="27"/>
        <v>2.2401485694324275</v>
      </c>
      <c r="D34" s="218">
        <f t="shared" si="27"/>
        <v>2.2320309454155867</v>
      </c>
      <c r="E34" s="218">
        <f t="shared" si="27"/>
        <v>2.2052072155016336</v>
      </c>
      <c r="F34" s="218">
        <f t="shared" si="27"/>
        <v>2.1901514523673402</v>
      </c>
      <c r="G34" s="218">
        <f t="shared" si="27"/>
        <v>2.2084667893775909</v>
      </c>
      <c r="H34" s="218">
        <f t="shared" si="27"/>
        <v>2.1828888377440734</v>
      </c>
      <c r="I34" s="218">
        <f t="shared" si="27"/>
        <v>2.1785793127254056</v>
      </c>
      <c r="J34" s="218">
        <f t="shared" si="27"/>
        <v>2.1483273085319561</v>
      </c>
      <c r="K34" s="218">
        <f t="shared" si="27"/>
        <v>2.1635057137142444</v>
      </c>
      <c r="L34" s="218">
        <f t="shared" si="27"/>
        <v>2.1681774119042738</v>
      </c>
      <c r="M34" s="218">
        <f t="shared" si="27"/>
        <v>2.1941705330463677</v>
      </c>
      <c r="N34" s="218">
        <f t="shared" si="27"/>
        <v>2.1431820874126037</v>
      </c>
      <c r="O34" s="218">
        <f t="shared" si="27"/>
        <v>2.1550404239383814</v>
      </c>
      <c r="P34" s="218">
        <f t="shared" si="27"/>
        <v>2.0991505132342745</v>
      </c>
      <c r="Q34" s="218">
        <f t="shared" si="27"/>
        <v>2.1004206855096661</v>
      </c>
      <c r="R34" s="218">
        <f t="shared" si="27"/>
        <v>2.0957059695057083</v>
      </c>
      <c r="S34" s="218">
        <f t="shared" si="27"/>
        <v>2.0587009723070318</v>
      </c>
      <c r="T34" s="218">
        <f t="shared" si="27"/>
        <v>2.0291563910427484</v>
      </c>
      <c r="U34" s="218">
        <f t="shared" si="27"/>
        <v>1.9913179553820004</v>
      </c>
      <c r="V34" s="218">
        <f t="shared" si="27"/>
        <v>1.9952532750424969</v>
      </c>
      <c r="W34" s="218">
        <f t="shared" si="27"/>
        <v>1.9646461899617504</v>
      </c>
      <c r="DA34" s="215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W14 B19:W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992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993.51444539982754</v>
      </c>
      <c r="C5" s="80">
        <f t="shared" ref="C5:W5" si="1">SUM(C6:C9,C16:C17,C25:C27)</f>
        <v>956.07893379191728</v>
      </c>
      <c r="D5" s="80">
        <f t="shared" si="1"/>
        <v>946.41306964746343</v>
      </c>
      <c r="E5" s="80">
        <f t="shared" si="1"/>
        <v>923.41711092003391</v>
      </c>
      <c r="F5" s="80">
        <f t="shared" si="1"/>
        <v>912.7766122098019</v>
      </c>
      <c r="G5" s="80">
        <f t="shared" si="1"/>
        <v>920.76070507308668</v>
      </c>
      <c r="H5" s="80">
        <f t="shared" si="1"/>
        <v>920.96147893379157</v>
      </c>
      <c r="I5" s="80">
        <f t="shared" si="1"/>
        <v>886.74453998280262</v>
      </c>
      <c r="J5" s="80">
        <f t="shared" si="1"/>
        <v>877.99604471195198</v>
      </c>
      <c r="K5" s="80">
        <f t="shared" si="1"/>
        <v>877.8055889939809</v>
      </c>
      <c r="L5" s="80">
        <f t="shared" si="1"/>
        <v>895.8416165090282</v>
      </c>
      <c r="M5" s="80">
        <f t="shared" si="1"/>
        <v>866.99742046431686</v>
      </c>
      <c r="N5" s="80">
        <f t="shared" si="1"/>
        <v>798.22975064488389</v>
      </c>
      <c r="O5" s="80">
        <f t="shared" si="1"/>
        <v>813.08400687876156</v>
      </c>
      <c r="P5" s="80">
        <f t="shared" si="1"/>
        <v>764.82785898538259</v>
      </c>
      <c r="Q5" s="80">
        <f t="shared" si="1"/>
        <v>775.94445399828078</v>
      </c>
      <c r="R5" s="80">
        <f t="shared" si="1"/>
        <v>769.50877042132402</v>
      </c>
      <c r="S5" s="80">
        <f t="shared" si="1"/>
        <v>751.85296646603592</v>
      </c>
      <c r="T5" s="80">
        <f t="shared" si="1"/>
        <v>721.70017196904485</v>
      </c>
      <c r="U5" s="80">
        <f t="shared" si="1"/>
        <v>717.08650042992224</v>
      </c>
      <c r="V5" s="80">
        <f t="shared" si="1"/>
        <v>713.82622527944955</v>
      </c>
      <c r="W5" s="80">
        <f t="shared" si="1"/>
        <v>710.20008598452273</v>
      </c>
      <c r="DA5" s="103"/>
    </row>
    <row r="6" spans="1:105" x14ac:dyDescent="0.25">
      <c r="A6" s="239" t="s">
        <v>125</v>
      </c>
      <c r="B6" s="240">
        <v>27.010075830500121</v>
      </c>
      <c r="C6" s="240">
        <v>26.189346031050551</v>
      </c>
      <c r="D6" s="240">
        <v>25.886175297175999</v>
      </c>
      <c r="E6" s="240">
        <v>26.190578537125479</v>
      </c>
      <c r="F6" s="240">
        <v>25.826407969816021</v>
      </c>
      <c r="G6" s="240">
        <v>25.800507547657389</v>
      </c>
      <c r="H6" s="240">
        <v>26.51000993707564</v>
      </c>
      <c r="I6" s="240">
        <v>25.426456010083161</v>
      </c>
      <c r="J6" s="240">
        <v>25.854262181084788</v>
      </c>
      <c r="K6" s="240">
        <v>25.445383353005781</v>
      </c>
      <c r="L6" s="240">
        <v>25.91156482415704</v>
      </c>
      <c r="M6" s="240">
        <v>24.84411494264646</v>
      </c>
      <c r="N6" s="240">
        <v>23.744377856069871</v>
      </c>
      <c r="O6" s="240">
        <v>24.225224734596399</v>
      </c>
      <c r="P6" s="240">
        <v>23.44620666542265</v>
      </c>
      <c r="Q6" s="240">
        <v>23.661329118776049</v>
      </c>
      <c r="R6" s="240">
        <v>23.289298801611331</v>
      </c>
      <c r="S6" s="240">
        <v>23.11581474953336</v>
      </c>
      <c r="T6" s="240">
        <v>22.765561664650711</v>
      </c>
      <c r="U6" s="240">
        <v>23.33622446590168</v>
      </c>
      <c r="V6" s="240">
        <v>23.045765756930251</v>
      </c>
      <c r="W6" s="240">
        <v>23.330959291293919</v>
      </c>
      <c r="DA6" s="268" t="s">
        <v>993</v>
      </c>
    </row>
    <row r="7" spans="1:105" x14ac:dyDescent="0.25">
      <c r="A7" s="241" t="s">
        <v>124</v>
      </c>
      <c r="B7" s="242">
        <v>17.556549289825071</v>
      </c>
      <c r="C7" s="242">
        <v>17.02307492018285</v>
      </c>
      <c r="D7" s="242">
        <v>16.826013943164391</v>
      </c>
      <c r="E7" s="242">
        <v>17.023876049131559</v>
      </c>
      <c r="F7" s="242">
        <v>16.787165180380399</v>
      </c>
      <c r="G7" s="242">
        <v>16.770329905977299</v>
      </c>
      <c r="H7" s="242">
        <v>17.231506459099158</v>
      </c>
      <c r="I7" s="242">
        <v>16.527196406554051</v>
      </c>
      <c r="J7" s="242">
        <v>16.80527041770512</v>
      </c>
      <c r="K7" s="242">
        <v>16.539499179453749</v>
      </c>
      <c r="L7" s="242">
        <v>16.842517135702071</v>
      </c>
      <c r="M7" s="242">
        <v>16.14867471272019</v>
      </c>
      <c r="N7" s="242">
        <v>15.43384560644542</v>
      </c>
      <c r="O7" s="242">
        <v>15.746396077487651</v>
      </c>
      <c r="P7" s="242">
        <v>15.24003433252472</v>
      </c>
      <c r="Q7" s="242">
        <v>15.37986392720442</v>
      </c>
      <c r="R7" s="242">
        <v>15.138044221047361</v>
      </c>
      <c r="S7" s="242">
        <v>15.02527958719668</v>
      </c>
      <c r="T7" s="242">
        <v>14.797615082022959</v>
      </c>
      <c r="U7" s="242">
        <v>15.16854590283609</v>
      </c>
      <c r="V7" s="242">
        <v>14.97974774200466</v>
      </c>
      <c r="W7" s="242">
        <v>15.16512353934105</v>
      </c>
      <c r="DA7" s="269" t="s">
        <v>994</v>
      </c>
    </row>
    <row r="8" spans="1:105" x14ac:dyDescent="0.25">
      <c r="A8" s="241" t="s">
        <v>123</v>
      </c>
      <c r="B8" s="242">
        <v>24.30906824745011</v>
      </c>
      <c r="C8" s="242">
        <v>23.570411427945491</v>
      </c>
      <c r="D8" s="242">
        <v>23.2975577674584</v>
      </c>
      <c r="E8" s="242">
        <v>23.571520683412931</v>
      </c>
      <c r="F8" s="242">
        <v>23.24376717283441</v>
      </c>
      <c r="G8" s="242">
        <v>23.220456792891639</v>
      </c>
      <c r="H8" s="242">
        <v>23.859008943368071</v>
      </c>
      <c r="I8" s="242">
        <v>22.88381040907484</v>
      </c>
      <c r="J8" s="242">
        <v>23.268835962976318</v>
      </c>
      <c r="K8" s="242">
        <v>22.900845017705191</v>
      </c>
      <c r="L8" s="242">
        <v>23.32040834174132</v>
      </c>
      <c r="M8" s="242">
        <v>22.359703448381801</v>
      </c>
      <c r="N8" s="242">
        <v>21.369940070462881</v>
      </c>
      <c r="O8" s="242">
        <v>21.802702261136751</v>
      </c>
      <c r="P8" s="242">
        <v>21.101585998880381</v>
      </c>
      <c r="Q8" s="242">
        <v>21.295196206898439</v>
      </c>
      <c r="R8" s="242">
        <v>20.96036892145019</v>
      </c>
      <c r="S8" s="242">
        <v>20.804233274580021</v>
      </c>
      <c r="T8" s="242">
        <v>20.48900549818563</v>
      </c>
      <c r="U8" s="242">
        <v>21.00260201931151</v>
      </c>
      <c r="V8" s="242">
        <v>20.741189181237221</v>
      </c>
      <c r="W8" s="242">
        <v>20.99786336216453</v>
      </c>
      <c r="DA8" s="269" t="s">
        <v>995</v>
      </c>
    </row>
    <row r="9" spans="1:105" x14ac:dyDescent="0.25">
      <c r="A9" s="243" t="s">
        <v>122</v>
      </c>
      <c r="B9" s="244">
        <f t="shared" ref="B9" si="2">SUM(B10:B15)</f>
        <v>201.75686495715513</v>
      </c>
      <c r="C9" s="244">
        <f t="shared" ref="C9:W9" si="3">SUM(C10:C15)</f>
        <v>196.29752711812966</v>
      </c>
      <c r="D9" s="244">
        <f t="shared" si="3"/>
        <v>194.87316992729208</v>
      </c>
      <c r="E9" s="244">
        <f t="shared" si="3"/>
        <v>190.91557946913838</v>
      </c>
      <c r="F9" s="244">
        <f t="shared" si="3"/>
        <v>187.75572687507764</v>
      </c>
      <c r="G9" s="244">
        <f t="shared" si="3"/>
        <v>187.387806014852</v>
      </c>
      <c r="H9" s="244">
        <f t="shared" si="3"/>
        <v>189.85495943209088</v>
      </c>
      <c r="I9" s="244">
        <f t="shared" si="3"/>
        <v>182.2082316878726</v>
      </c>
      <c r="J9" s="244">
        <f t="shared" si="3"/>
        <v>182.54813632376209</v>
      </c>
      <c r="K9" s="244">
        <f t="shared" si="3"/>
        <v>182.35701015099406</v>
      </c>
      <c r="L9" s="244">
        <f t="shared" si="3"/>
        <v>185.19532843683285</v>
      </c>
      <c r="M9" s="244">
        <f t="shared" si="3"/>
        <v>175.13604952107318</v>
      </c>
      <c r="N9" s="244">
        <f t="shared" si="3"/>
        <v>164.03168343842691</v>
      </c>
      <c r="O9" s="244">
        <f t="shared" si="3"/>
        <v>166.38425559104616</v>
      </c>
      <c r="P9" s="244">
        <f t="shared" si="3"/>
        <v>158.54088958697648</v>
      </c>
      <c r="Q9" s="244">
        <f t="shared" si="3"/>
        <v>161.22826714042776</v>
      </c>
      <c r="R9" s="244">
        <f t="shared" si="3"/>
        <v>160.41354452648895</v>
      </c>
      <c r="S9" s="244">
        <f t="shared" si="3"/>
        <v>156.53722829609421</v>
      </c>
      <c r="T9" s="244">
        <f t="shared" si="3"/>
        <v>152.0857586283224</v>
      </c>
      <c r="U9" s="244">
        <f t="shared" si="3"/>
        <v>151.36852716263212</v>
      </c>
      <c r="V9" s="244">
        <f t="shared" si="3"/>
        <v>150.03355653943555</v>
      </c>
      <c r="W9" s="244">
        <f t="shared" si="3"/>
        <v>149.555799150572</v>
      </c>
      <c r="DA9" s="270"/>
    </row>
    <row r="10" spans="1:105" x14ac:dyDescent="0.25">
      <c r="A10" s="254" t="s">
        <v>173</v>
      </c>
      <c r="B10" s="255">
        <v>103.3655980288051</v>
      </c>
      <c r="C10" s="255">
        <v>97.389310259585216</v>
      </c>
      <c r="D10" s="255">
        <v>98.153933162969309</v>
      </c>
      <c r="E10" s="255">
        <v>93.286326704231811</v>
      </c>
      <c r="F10" s="255">
        <v>86.066863937249465</v>
      </c>
      <c r="G10" s="255">
        <v>84.92228837479152</v>
      </c>
      <c r="H10" s="255">
        <v>85.06483926157145</v>
      </c>
      <c r="I10" s="255">
        <v>81.570161369140479</v>
      </c>
      <c r="J10" s="255">
        <v>82.544618655305953</v>
      </c>
      <c r="K10" s="255">
        <v>85.920929560613288</v>
      </c>
      <c r="L10" s="255">
        <v>86.712984987476474</v>
      </c>
      <c r="M10" s="255">
        <v>87.439054499197681</v>
      </c>
      <c r="N10" s="255">
        <v>77.839546501074452</v>
      </c>
      <c r="O10" s="255">
        <v>79.449514942029154</v>
      </c>
      <c r="P10" s="255">
        <v>72.594467979384348</v>
      </c>
      <c r="Q10" s="255">
        <v>76.005642040765707</v>
      </c>
      <c r="R10" s="255">
        <v>75.297380093512089</v>
      </c>
      <c r="S10" s="255">
        <v>68.319477281249746</v>
      </c>
      <c r="T10" s="255">
        <v>66.389613173079297</v>
      </c>
      <c r="U10" s="255">
        <v>62.382289053389343</v>
      </c>
      <c r="V10" s="255">
        <v>60.907157690374227</v>
      </c>
      <c r="W10" s="255">
        <v>60.392510032278679</v>
      </c>
      <c r="DA10" s="271" t="s">
        <v>996</v>
      </c>
    </row>
    <row r="11" spans="1:105" x14ac:dyDescent="0.25">
      <c r="A11" s="254" t="s">
        <v>176</v>
      </c>
      <c r="B11" s="256">
        <v>21.007338255502422</v>
      </c>
      <c r="C11" s="256">
        <v>23.009633169670209</v>
      </c>
      <c r="D11" s="256">
        <v>21.712366044056509</v>
      </c>
      <c r="E11" s="256">
        <v>19.759187582053201</v>
      </c>
      <c r="F11" s="256">
        <v>20.297343027183551</v>
      </c>
      <c r="G11" s="256">
        <v>20.256619435978301</v>
      </c>
      <c r="H11" s="256">
        <v>21.227616115139249</v>
      </c>
      <c r="I11" s="256">
        <v>18.02065131448181</v>
      </c>
      <c r="J11" s="256">
        <v>16.34370217708295</v>
      </c>
      <c r="K11" s="256">
        <v>14.94511257568243</v>
      </c>
      <c r="L11" s="256">
        <v>15.882901878389131</v>
      </c>
      <c r="M11" s="256">
        <v>15.247062425727369</v>
      </c>
      <c r="N11" s="256">
        <v>13.746528367756721</v>
      </c>
      <c r="O11" s="256">
        <v>13.11004746945857</v>
      </c>
      <c r="P11" s="256">
        <v>11.923972562374541</v>
      </c>
      <c r="Q11" s="256">
        <v>12.239502852590279</v>
      </c>
      <c r="R11" s="256">
        <v>13.835831270713699</v>
      </c>
      <c r="S11" s="256">
        <v>14.63887119504639</v>
      </c>
      <c r="T11" s="256">
        <v>12.153016547683819</v>
      </c>
      <c r="U11" s="256">
        <v>11.65325897758763</v>
      </c>
      <c r="V11" s="256">
        <v>12.04662918196949</v>
      </c>
      <c r="W11" s="256">
        <v>11.834164681100409</v>
      </c>
      <c r="DA11" s="272" t="s">
        <v>997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998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999</v>
      </c>
    </row>
    <row r="14" spans="1:105" x14ac:dyDescent="0.25">
      <c r="A14" s="254" t="s">
        <v>169</v>
      </c>
      <c r="B14" s="255">
        <v>45.022441960460071</v>
      </c>
      <c r="C14" s="255">
        <v>45.022441960456838</v>
      </c>
      <c r="D14" s="255">
        <v>45.022441960456199</v>
      </c>
      <c r="E14" s="255">
        <v>45.022441960465578</v>
      </c>
      <c r="F14" s="255">
        <v>47.41092003440842</v>
      </c>
      <c r="G14" s="255">
        <v>47.410920034423206</v>
      </c>
      <c r="H14" s="255">
        <v>47.410920034407908</v>
      </c>
      <c r="I14" s="255">
        <v>47.410920034412612</v>
      </c>
      <c r="J14" s="255">
        <v>47.410920034377291</v>
      </c>
      <c r="K14" s="255">
        <v>47.410920034361553</v>
      </c>
      <c r="L14" s="255">
        <v>47.410920034379792</v>
      </c>
      <c r="M14" s="255">
        <v>37.857093723149227</v>
      </c>
      <c r="N14" s="255">
        <v>37.85709372311517</v>
      </c>
      <c r="O14" s="255">
        <v>37.857093723115099</v>
      </c>
      <c r="P14" s="255">
        <v>37.85709372309632</v>
      </c>
      <c r="Q14" s="255">
        <v>37.857093723101201</v>
      </c>
      <c r="R14" s="255">
        <v>37.857093723105358</v>
      </c>
      <c r="S14" s="255">
        <v>37.85709372309347</v>
      </c>
      <c r="T14" s="255">
        <v>37.717626827150461</v>
      </c>
      <c r="U14" s="255">
        <v>36.964402407537129</v>
      </c>
      <c r="V14" s="255">
        <v>36.964402407537797</v>
      </c>
      <c r="W14" s="255">
        <v>35.386070507277978</v>
      </c>
      <c r="DA14" s="271" t="s">
        <v>1000</v>
      </c>
    </row>
    <row r="15" spans="1:105" x14ac:dyDescent="0.25">
      <c r="A15" s="254" t="s">
        <v>24</v>
      </c>
      <c r="B15" s="256">
        <v>32.361486712387531</v>
      </c>
      <c r="C15" s="256">
        <v>30.876141728417391</v>
      </c>
      <c r="D15" s="256">
        <v>29.984428759810061</v>
      </c>
      <c r="E15" s="256">
        <v>32.847623222387803</v>
      </c>
      <c r="F15" s="256">
        <v>33.980599876236226</v>
      </c>
      <c r="G15" s="256">
        <v>34.797978169658947</v>
      </c>
      <c r="H15" s="256">
        <v>36.151584020972273</v>
      </c>
      <c r="I15" s="256">
        <v>35.206498969837703</v>
      </c>
      <c r="J15" s="256">
        <v>36.248895456995911</v>
      </c>
      <c r="K15" s="256">
        <v>34.080047980336779</v>
      </c>
      <c r="L15" s="256">
        <v>35.188521536587437</v>
      </c>
      <c r="M15" s="256">
        <v>34.592838872998882</v>
      </c>
      <c r="N15" s="256">
        <v>34.588514846480571</v>
      </c>
      <c r="O15" s="256">
        <v>35.967599456443331</v>
      </c>
      <c r="P15" s="256">
        <v>36.165355322121258</v>
      </c>
      <c r="Q15" s="256">
        <v>35.126028523970561</v>
      </c>
      <c r="R15" s="256">
        <v>33.423239439157818</v>
      </c>
      <c r="S15" s="256">
        <v>35.721786096704598</v>
      </c>
      <c r="T15" s="256">
        <v>35.825502080408832</v>
      </c>
      <c r="U15" s="256">
        <v>40.368576724118007</v>
      </c>
      <c r="V15" s="256">
        <v>40.115367259554048</v>
      </c>
      <c r="W15" s="256">
        <v>41.943053929914953</v>
      </c>
      <c r="DA15" s="272" t="s">
        <v>1001</v>
      </c>
    </row>
    <row r="16" spans="1:105" x14ac:dyDescent="0.25">
      <c r="A16" s="257" t="s">
        <v>175</v>
      </c>
      <c r="B16" s="258">
        <v>233.1329380413946</v>
      </c>
      <c r="C16" s="258">
        <v>224.7242424461642</v>
      </c>
      <c r="D16" s="258">
        <v>223.76313467878899</v>
      </c>
      <c r="E16" s="258">
        <v>216.98435045810101</v>
      </c>
      <c r="F16" s="258">
        <v>209.57547357182639</v>
      </c>
      <c r="G16" s="258">
        <v>208.75528482016409</v>
      </c>
      <c r="H16" s="258">
        <v>210.65159048895779</v>
      </c>
      <c r="I16" s="258">
        <v>201.70144036397619</v>
      </c>
      <c r="J16" s="258">
        <v>202.06403213500391</v>
      </c>
      <c r="K16" s="258">
        <v>204.02584668541991</v>
      </c>
      <c r="L16" s="258">
        <v>207.1614001643317</v>
      </c>
      <c r="M16" s="258">
        <v>200.80363534733411</v>
      </c>
      <c r="N16" s="258">
        <v>184.6366777458361</v>
      </c>
      <c r="O16" s="258">
        <v>187.64907171377729</v>
      </c>
      <c r="P16" s="258">
        <v>176.06120702205521</v>
      </c>
      <c r="Q16" s="258">
        <v>180.5395693463332</v>
      </c>
      <c r="R16" s="258">
        <v>179.5880753221472</v>
      </c>
      <c r="S16" s="258">
        <v>171.79063836634609</v>
      </c>
      <c r="T16" s="258">
        <v>166.12432545135101</v>
      </c>
      <c r="U16" s="258">
        <v>162.4836819788799</v>
      </c>
      <c r="V16" s="258">
        <v>160.55726363459661</v>
      </c>
      <c r="W16" s="258">
        <v>159.77685547745889</v>
      </c>
      <c r="DA16" s="273" t="s">
        <v>1002</v>
      </c>
    </row>
    <row r="17" spans="1:105" x14ac:dyDescent="0.25">
      <c r="A17" s="257" t="s">
        <v>121</v>
      </c>
      <c r="B17" s="258">
        <f t="shared" ref="B17" si="4">SUM(B18:B24)</f>
        <v>378.77582633828069</v>
      </c>
      <c r="C17" s="258">
        <f t="shared" ref="C17:W17" si="5">SUM(C18:C24)</f>
        <v>360.92779809625597</v>
      </c>
      <c r="D17" s="258">
        <f t="shared" si="5"/>
        <v>355.34793744649704</v>
      </c>
      <c r="E17" s="258">
        <f t="shared" si="5"/>
        <v>342.86893707869183</v>
      </c>
      <c r="F17" s="258">
        <f t="shared" si="5"/>
        <v>346.04169812258425</v>
      </c>
      <c r="G17" s="258">
        <f t="shared" si="5"/>
        <v>355.50100881240968</v>
      </c>
      <c r="H17" s="258">
        <f t="shared" si="5"/>
        <v>347.4264207024417</v>
      </c>
      <c r="I17" s="258">
        <f t="shared" si="5"/>
        <v>336.94397519022203</v>
      </c>
      <c r="J17" s="258">
        <f t="shared" si="5"/>
        <v>325.28427762690274</v>
      </c>
      <c r="K17" s="258">
        <f t="shared" si="5"/>
        <v>324.99054865659292</v>
      </c>
      <c r="L17" s="258">
        <f t="shared" si="5"/>
        <v>334.11927431931952</v>
      </c>
      <c r="M17" s="258">
        <f t="shared" si="5"/>
        <v>328.25106890836918</v>
      </c>
      <c r="N17" s="258">
        <f t="shared" si="5"/>
        <v>295.36002384007344</v>
      </c>
      <c r="O17" s="258">
        <f t="shared" si="5"/>
        <v>301.8662229553546</v>
      </c>
      <c r="P17" s="258">
        <f t="shared" si="5"/>
        <v>279.16310087423062</v>
      </c>
      <c r="Q17" s="258">
        <f t="shared" si="5"/>
        <v>281.17778910058144</v>
      </c>
      <c r="R17" s="258">
        <f t="shared" si="5"/>
        <v>278.55131125381024</v>
      </c>
      <c r="S17" s="258">
        <f t="shared" si="5"/>
        <v>274.93502323786186</v>
      </c>
      <c r="T17" s="258">
        <f t="shared" si="5"/>
        <v>257.74010599616219</v>
      </c>
      <c r="U17" s="258">
        <f t="shared" si="5"/>
        <v>255.33057537230366</v>
      </c>
      <c r="V17" s="258">
        <f t="shared" si="5"/>
        <v>257.15416007326314</v>
      </c>
      <c r="W17" s="258">
        <f t="shared" si="5"/>
        <v>253.51018058362018</v>
      </c>
      <c r="DA17" s="273"/>
    </row>
    <row r="18" spans="1:105" x14ac:dyDescent="0.25">
      <c r="A18" s="61" t="s">
        <v>29</v>
      </c>
      <c r="B18" s="55">
        <v>25.462768701601259</v>
      </c>
      <c r="C18" s="55">
        <v>28.95546001716593</v>
      </c>
      <c r="D18" s="55">
        <v>20.325451418721961</v>
      </c>
      <c r="E18" s="55">
        <v>27.346431642259731</v>
      </c>
      <c r="F18" s="55">
        <v>32.602235597562562</v>
      </c>
      <c r="G18" s="55">
        <v>39.289767841724988</v>
      </c>
      <c r="H18" s="55">
        <v>45.173774720513237</v>
      </c>
      <c r="I18" s="55">
        <v>45.09690455713482</v>
      </c>
      <c r="J18" s="55">
        <v>41.208512467793149</v>
      </c>
      <c r="K18" s="55">
        <v>29.833018056809571</v>
      </c>
      <c r="L18" s="55">
        <v>31.958985382657531</v>
      </c>
      <c r="M18" s="55">
        <v>28.97007738602959</v>
      </c>
      <c r="N18" s="55">
        <v>28.215821152220261</v>
      </c>
      <c r="O18" s="55">
        <v>36.702923473809058</v>
      </c>
      <c r="P18" s="55">
        <v>24.777901977693141</v>
      </c>
      <c r="Q18" s="55">
        <v>17.622012037866771</v>
      </c>
      <c r="R18" s="55">
        <v>14.829492691342059</v>
      </c>
      <c r="S18" s="55">
        <v>10.63697334482063</v>
      </c>
      <c r="T18" s="55">
        <v>8.6205503009562285</v>
      </c>
      <c r="U18" s="55">
        <v>5.2683576956225693</v>
      </c>
      <c r="V18" s="55">
        <v>3.2120378331945161</v>
      </c>
      <c r="W18" s="55">
        <v>3.039982803100052</v>
      </c>
      <c r="DA18" s="101" t="s">
        <v>1003</v>
      </c>
    </row>
    <row r="19" spans="1:105" x14ac:dyDescent="0.25">
      <c r="A19" s="61" t="s">
        <v>27</v>
      </c>
      <c r="B19" s="55">
        <v>4.3947549441044584</v>
      </c>
      <c r="C19" s="55">
        <v>5.4934651762623954</v>
      </c>
      <c r="D19" s="55">
        <v>4.3947549441051574</v>
      </c>
      <c r="E19" s="55">
        <v>4.3947549441028837</v>
      </c>
      <c r="F19" s="55">
        <v>3.2960447119488281</v>
      </c>
      <c r="G19" s="55">
        <v>3.2960447119465228</v>
      </c>
      <c r="H19" s="55">
        <v>3.2960447119491438</v>
      </c>
      <c r="I19" s="55">
        <v>3.296044711948567</v>
      </c>
      <c r="J19" s="55">
        <v>2.1974204643184141</v>
      </c>
      <c r="K19" s="55">
        <v>3.2960447119584528</v>
      </c>
      <c r="L19" s="55">
        <v>3.2960447119545702</v>
      </c>
      <c r="M19" s="55">
        <v>3.2960447119471952</v>
      </c>
      <c r="N19" s="55">
        <v>3.29604471195508</v>
      </c>
      <c r="O19" s="55">
        <v>3.296044711954933</v>
      </c>
      <c r="P19" s="55">
        <v>3.2960447119583818</v>
      </c>
      <c r="Q19" s="55">
        <v>4.5859845227946359</v>
      </c>
      <c r="R19" s="55">
        <v>4.5056749785119203</v>
      </c>
      <c r="S19" s="55">
        <v>6.2448839209075624</v>
      </c>
      <c r="T19" s="55">
        <v>4.8539982803153991</v>
      </c>
      <c r="U19" s="55">
        <v>5.9593293207310714</v>
      </c>
      <c r="V19" s="55">
        <v>5.7658641444620571</v>
      </c>
      <c r="W19" s="55">
        <v>6.0153052450650124</v>
      </c>
      <c r="DA19" s="101" t="s">
        <v>1004</v>
      </c>
    </row>
    <row r="20" spans="1:105" x14ac:dyDescent="0.25">
      <c r="A20" s="61" t="s">
        <v>173</v>
      </c>
      <c r="B20" s="55">
        <v>185.75178024320621</v>
      </c>
      <c r="C20" s="55">
        <v>182.3750065025697</v>
      </c>
      <c r="D20" s="55">
        <v>186.83571191722029</v>
      </c>
      <c r="E20" s="55">
        <v>183.4667317117281</v>
      </c>
      <c r="F20" s="55">
        <v>159.74377029868549</v>
      </c>
      <c r="G20" s="55">
        <v>148.60775722549391</v>
      </c>
      <c r="H20" s="55">
        <v>160.4827556483385</v>
      </c>
      <c r="I20" s="55">
        <v>150.17055943695479</v>
      </c>
      <c r="J20" s="55">
        <v>164.06185770582289</v>
      </c>
      <c r="K20" s="55">
        <v>170.5852743016236</v>
      </c>
      <c r="L20" s="55">
        <v>168.09486751313941</v>
      </c>
      <c r="M20" s="55">
        <v>158.6302895458501</v>
      </c>
      <c r="N20" s="55">
        <v>152.82770440030109</v>
      </c>
      <c r="O20" s="55">
        <v>153.74574591909069</v>
      </c>
      <c r="P20" s="55">
        <v>148.91854377169719</v>
      </c>
      <c r="Q20" s="55">
        <v>159.2787708867406</v>
      </c>
      <c r="R20" s="55">
        <v>159.19083985879939</v>
      </c>
      <c r="S20" s="55">
        <v>140.79702426926559</v>
      </c>
      <c r="T20" s="55">
        <v>147.0230451576486</v>
      </c>
      <c r="U20" s="55">
        <v>139.40455661972081</v>
      </c>
      <c r="V20" s="55">
        <v>131.58238856719029</v>
      </c>
      <c r="W20" s="55">
        <v>133.8085757030704</v>
      </c>
      <c r="DA20" s="101" t="s">
        <v>1005</v>
      </c>
    </row>
    <row r="21" spans="1:105" x14ac:dyDescent="0.25">
      <c r="A21" s="61" t="s">
        <v>129</v>
      </c>
      <c r="B21" s="55">
        <v>71.818572656830199</v>
      </c>
      <c r="C21" s="55">
        <v>51.311263972430069</v>
      </c>
      <c r="D21" s="55">
        <v>52.758727429003933</v>
      </c>
      <c r="E21" s="55">
        <v>39.932674118593432</v>
      </c>
      <c r="F21" s="55">
        <v>64.169561478874982</v>
      </c>
      <c r="G21" s="55">
        <v>80.589079965475989</v>
      </c>
      <c r="H21" s="55">
        <v>50.32244196040584</v>
      </c>
      <c r="I21" s="55">
        <v>57.100945829693813</v>
      </c>
      <c r="J21" s="55">
        <v>36.225795356868602</v>
      </c>
      <c r="K21" s="55">
        <v>41.49466895967042</v>
      </c>
      <c r="L21" s="55">
        <v>48.84402407570672</v>
      </c>
      <c r="M21" s="55">
        <v>58.78710232149912</v>
      </c>
      <c r="N21" s="55">
        <v>33.108856405879408</v>
      </c>
      <c r="O21" s="55">
        <v>31.77128116941924</v>
      </c>
      <c r="P21" s="55">
        <v>26.798538263165771</v>
      </c>
      <c r="Q21" s="55">
        <v>22.24436801379991</v>
      </c>
      <c r="R21" s="55">
        <v>18.5392089424235</v>
      </c>
      <c r="S21" s="55">
        <v>34.84746345665215</v>
      </c>
      <c r="T21" s="55">
        <v>18.370077386092671</v>
      </c>
      <c r="U21" s="55">
        <v>27.047463456617759</v>
      </c>
      <c r="V21" s="55">
        <v>40.215735167726052</v>
      </c>
      <c r="W21" s="55">
        <v>29.9445399828485</v>
      </c>
      <c r="DA21" s="101" t="s">
        <v>1006</v>
      </c>
    </row>
    <row r="22" spans="1:105" x14ac:dyDescent="0.25">
      <c r="A22" s="61" t="s">
        <v>176</v>
      </c>
      <c r="B22" s="55">
        <v>37.750959250904359</v>
      </c>
      <c r="C22" s="55">
        <v>43.088733124355727</v>
      </c>
      <c r="D22" s="55">
        <v>41.329422433975722</v>
      </c>
      <c r="E22" s="55">
        <v>38.860502873609413</v>
      </c>
      <c r="F22" s="55">
        <v>37.672734358858698</v>
      </c>
      <c r="G22" s="55">
        <v>35.447593805593478</v>
      </c>
      <c r="H22" s="55">
        <v>40.047878295840228</v>
      </c>
      <c r="I22" s="55">
        <v>33.175995289103653</v>
      </c>
      <c r="J22" s="55">
        <v>32.483984839277873</v>
      </c>
      <c r="K22" s="55">
        <v>29.671654406310111</v>
      </c>
      <c r="L22" s="55">
        <v>30.78932512077176</v>
      </c>
      <c r="M22" s="55">
        <v>27.660934134860479</v>
      </c>
      <c r="N22" s="55">
        <v>26.989499147311701</v>
      </c>
      <c r="O22" s="55">
        <v>25.369746167705379</v>
      </c>
      <c r="P22" s="55">
        <v>24.460550223561921</v>
      </c>
      <c r="Q22" s="55">
        <v>25.64931915948716</v>
      </c>
      <c r="R22" s="55">
        <v>29.251185066388938</v>
      </c>
      <c r="S22" s="55">
        <v>30.168695443009049</v>
      </c>
      <c r="T22" s="55">
        <v>26.913449488455491</v>
      </c>
      <c r="U22" s="55">
        <v>26.041323997506009</v>
      </c>
      <c r="V22" s="55">
        <v>26.02525387910649</v>
      </c>
      <c r="W22" s="55">
        <v>26.220349506375339</v>
      </c>
      <c r="DA22" s="101" t="s">
        <v>1007</v>
      </c>
    </row>
    <row r="23" spans="1:105" x14ac:dyDescent="0.25">
      <c r="A23" s="61" t="s">
        <v>171</v>
      </c>
      <c r="B23" s="55">
        <v>53.596990541634192</v>
      </c>
      <c r="C23" s="55">
        <v>49.703869303472203</v>
      </c>
      <c r="D23" s="55">
        <v>49.703869303469943</v>
      </c>
      <c r="E23" s="55">
        <v>48.867841788398273</v>
      </c>
      <c r="F23" s="55">
        <v>48.55735167665371</v>
      </c>
      <c r="G23" s="55">
        <v>48.270765262174812</v>
      </c>
      <c r="H23" s="55">
        <v>48.103525365394759</v>
      </c>
      <c r="I23" s="55">
        <v>48.103525365386353</v>
      </c>
      <c r="J23" s="55">
        <v>49.106706792821811</v>
      </c>
      <c r="K23" s="55">
        <v>50.109888220220803</v>
      </c>
      <c r="L23" s="55">
        <v>51.136027515089538</v>
      </c>
      <c r="M23" s="55">
        <v>50.906620808182637</v>
      </c>
      <c r="N23" s="55">
        <v>50.922098022405898</v>
      </c>
      <c r="O23" s="55">
        <v>50.980481513375302</v>
      </c>
      <c r="P23" s="55">
        <v>50.911521926154222</v>
      </c>
      <c r="Q23" s="55">
        <v>51.797334479892328</v>
      </c>
      <c r="R23" s="55">
        <v>52.234909716344433</v>
      </c>
      <c r="S23" s="55">
        <v>52.239982803206878</v>
      </c>
      <c r="T23" s="55">
        <v>51.958985382693811</v>
      </c>
      <c r="U23" s="55">
        <v>51.609544282105453</v>
      </c>
      <c r="V23" s="55">
        <v>50.352880481583718</v>
      </c>
      <c r="W23" s="55">
        <v>54.48142734316086</v>
      </c>
      <c r="DA23" s="101" t="s">
        <v>1008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1009</v>
      </c>
    </row>
    <row r="25" spans="1:105" x14ac:dyDescent="0.25">
      <c r="A25" s="257" t="s">
        <v>174</v>
      </c>
      <c r="B25" s="258">
        <v>44.798436910496577</v>
      </c>
      <c r="C25" s="258">
        <v>43.182635976114597</v>
      </c>
      <c r="D25" s="258">
        <v>42.997951109005427</v>
      </c>
      <c r="E25" s="258">
        <v>41.695351228475303</v>
      </c>
      <c r="F25" s="258">
        <v>40.271673791233567</v>
      </c>
      <c r="G25" s="258">
        <v>40.114067687373982</v>
      </c>
      <c r="H25" s="258">
        <v>40.478458624923043</v>
      </c>
      <c r="I25" s="258">
        <v>38.758612690316113</v>
      </c>
      <c r="J25" s="258">
        <v>38.828287720859272</v>
      </c>
      <c r="K25" s="258">
        <v>39.205266735945067</v>
      </c>
      <c r="L25" s="258">
        <v>39.807789467759036</v>
      </c>
      <c r="M25" s="258">
        <v>38.586091974308033</v>
      </c>
      <c r="N25" s="258">
        <v>35.479476340198111</v>
      </c>
      <c r="O25" s="258">
        <v>36.058332945601506</v>
      </c>
      <c r="P25" s="258">
        <v>33.831628175007033</v>
      </c>
      <c r="Q25" s="258">
        <v>34.692182817058061</v>
      </c>
      <c r="R25" s="258">
        <v>34.509345310820997</v>
      </c>
      <c r="S25" s="258">
        <v>33.011002818066878</v>
      </c>
      <c r="T25" s="258">
        <v>31.92217356995581</v>
      </c>
      <c r="U25" s="258">
        <v>31.222593586598201</v>
      </c>
      <c r="V25" s="258">
        <v>30.852416247503051</v>
      </c>
      <c r="W25" s="258">
        <v>30.702454316401919</v>
      </c>
      <c r="DA25" s="273" t="s">
        <v>1010</v>
      </c>
    </row>
    <row r="26" spans="1:105" x14ac:dyDescent="0.25">
      <c r="A26" s="257" t="s">
        <v>177</v>
      </c>
      <c r="B26" s="258">
        <v>27.010075830500121</v>
      </c>
      <c r="C26" s="258">
        <v>26.189346031050551</v>
      </c>
      <c r="D26" s="258">
        <v>25.886175297175999</v>
      </c>
      <c r="E26" s="258">
        <v>26.190578537125479</v>
      </c>
      <c r="F26" s="258">
        <v>25.826407969816021</v>
      </c>
      <c r="G26" s="258">
        <v>25.800507547657389</v>
      </c>
      <c r="H26" s="258">
        <v>26.51000993707564</v>
      </c>
      <c r="I26" s="258">
        <v>25.426456010083161</v>
      </c>
      <c r="J26" s="258">
        <v>25.854262181084788</v>
      </c>
      <c r="K26" s="258">
        <v>25.445383353005781</v>
      </c>
      <c r="L26" s="258">
        <v>25.91156482415704</v>
      </c>
      <c r="M26" s="258">
        <v>24.84411494264646</v>
      </c>
      <c r="N26" s="258">
        <v>23.744377856069871</v>
      </c>
      <c r="O26" s="258">
        <v>24.225224734596399</v>
      </c>
      <c r="P26" s="258">
        <v>23.44620666542265</v>
      </c>
      <c r="Q26" s="258">
        <v>23.661329118776049</v>
      </c>
      <c r="R26" s="258">
        <v>23.289298801611331</v>
      </c>
      <c r="S26" s="258">
        <v>23.11581474953336</v>
      </c>
      <c r="T26" s="258">
        <v>22.765561664650711</v>
      </c>
      <c r="U26" s="258">
        <v>23.33622446590168</v>
      </c>
      <c r="V26" s="258">
        <v>23.045765756930251</v>
      </c>
      <c r="W26" s="258">
        <v>23.330959291293919</v>
      </c>
      <c r="DA26" s="273" t="s">
        <v>1011</v>
      </c>
    </row>
    <row r="27" spans="1:105" x14ac:dyDescent="0.25">
      <c r="A27" s="129" t="s">
        <v>33</v>
      </c>
      <c r="B27" s="259">
        <v>39.16460995422517</v>
      </c>
      <c r="C27" s="259">
        <v>37.974551745023298</v>
      </c>
      <c r="D27" s="259">
        <v>37.534954180905203</v>
      </c>
      <c r="E27" s="259">
        <v>37.976338878831953</v>
      </c>
      <c r="F27" s="259">
        <v>37.448291556233222</v>
      </c>
      <c r="G27" s="259">
        <v>37.410735944103223</v>
      </c>
      <c r="H27" s="259">
        <v>38.439514408759678</v>
      </c>
      <c r="I27" s="259">
        <v>36.868361214620577</v>
      </c>
      <c r="J27" s="259">
        <v>37.488680162572962</v>
      </c>
      <c r="K27" s="259">
        <v>36.895805861858371</v>
      </c>
      <c r="L27" s="259">
        <v>37.571768995027682</v>
      </c>
      <c r="M27" s="259">
        <v>36.02396666683736</v>
      </c>
      <c r="N27" s="259">
        <v>34.429347891301312</v>
      </c>
      <c r="O27" s="259">
        <v>35.12657586516476</v>
      </c>
      <c r="P27" s="259">
        <v>33.996999664862841</v>
      </c>
      <c r="Q27" s="259">
        <v>34.308927222225257</v>
      </c>
      <c r="R27" s="259">
        <v>33.769483262336443</v>
      </c>
      <c r="S27" s="259">
        <v>33.517931386823371</v>
      </c>
      <c r="T27" s="259">
        <v>33.010064413743521</v>
      </c>
      <c r="U27" s="259">
        <v>33.837525475557442</v>
      </c>
      <c r="V27" s="259">
        <v>33.416360347548867</v>
      </c>
      <c r="W27" s="259">
        <v>33.829890972376191</v>
      </c>
      <c r="DA27" s="274" t="s">
        <v>1012</v>
      </c>
    </row>
    <row r="29" spans="1:105" ht="12.75" x14ac:dyDescent="0.25">
      <c r="A29" s="179" t="s">
        <v>127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</v>
      </c>
      <c r="C31" s="236">
        <f t="shared" si="6"/>
        <v>0.99999999999999989</v>
      </c>
      <c r="D31" s="236">
        <f t="shared" si="6"/>
        <v>1.0000000000000002</v>
      </c>
      <c r="E31" s="236">
        <f t="shared" si="6"/>
        <v>1</v>
      </c>
      <c r="F31" s="236">
        <f t="shared" si="6"/>
        <v>1</v>
      </c>
      <c r="G31" s="236">
        <f t="shared" si="6"/>
        <v>1.0000000000000002</v>
      </c>
      <c r="H31" s="236">
        <f t="shared" si="6"/>
        <v>1</v>
      </c>
      <c r="I31" s="236">
        <f t="shared" si="6"/>
        <v>1.0000000000000002</v>
      </c>
      <c r="J31" s="236">
        <f t="shared" si="6"/>
        <v>1</v>
      </c>
      <c r="K31" s="236">
        <f t="shared" si="6"/>
        <v>0.99999999999999989</v>
      </c>
      <c r="L31" s="236">
        <f t="shared" si="6"/>
        <v>1.0000000000000002</v>
      </c>
      <c r="M31" s="236">
        <f t="shared" si="6"/>
        <v>0.99999999999999989</v>
      </c>
      <c r="N31" s="236">
        <f t="shared" si="6"/>
        <v>1</v>
      </c>
      <c r="O31" s="236">
        <f t="shared" si="6"/>
        <v>0.99999999999999989</v>
      </c>
      <c r="P31" s="236">
        <f t="shared" si="6"/>
        <v>0.99999999999999989</v>
      </c>
      <c r="Q31" s="236">
        <f t="shared" si="6"/>
        <v>0.99999999999999989</v>
      </c>
      <c r="R31" s="236">
        <f t="shared" ref="R31:W31" si="7">SUM(R32:R40)</f>
        <v>1</v>
      </c>
      <c r="S31" s="236">
        <f t="shared" si="7"/>
        <v>0.99999999999999989</v>
      </c>
      <c r="T31" s="236">
        <f t="shared" si="7"/>
        <v>1</v>
      </c>
      <c r="U31" s="236">
        <f t="shared" si="7"/>
        <v>1</v>
      </c>
      <c r="V31" s="236">
        <f t="shared" si="7"/>
        <v>1.0000000000000002</v>
      </c>
      <c r="W31" s="236">
        <f t="shared" si="7"/>
        <v>0.99999999999999989</v>
      </c>
      <c r="DA31" s="275"/>
    </row>
    <row r="32" spans="1:105" x14ac:dyDescent="0.25">
      <c r="A32" s="239" t="s">
        <v>125</v>
      </c>
      <c r="B32" s="245">
        <f t="shared" ref="B32:W32" si="8">IF(B$6=0,0,B$6/B$5)</f>
        <v>2.7186394677563296E-2</v>
      </c>
      <c r="C32" s="245">
        <f t="shared" si="8"/>
        <v>2.7392451716492319E-2</v>
      </c>
      <c r="D32" s="245">
        <f t="shared" si="8"/>
        <v>2.7351878505670401E-2</v>
      </c>
      <c r="E32" s="245">
        <f t="shared" si="8"/>
        <v>2.8362674058563693E-2</v>
      </c>
      <c r="F32" s="245">
        <f t="shared" si="8"/>
        <v>2.8294335792950636E-2</v>
      </c>
      <c r="G32" s="245">
        <f t="shared" si="8"/>
        <v>2.8020860800754346E-2</v>
      </c>
      <c r="H32" s="245">
        <f t="shared" si="8"/>
        <v>2.8785145245995094E-2</v>
      </c>
      <c r="I32" s="245">
        <f t="shared" si="8"/>
        <v>2.8673935799566667E-2</v>
      </c>
      <c r="J32" s="245">
        <f t="shared" si="8"/>
        <v>2.9446900514872944E-2</v>
      </c>
      <c r="K32" s="245">
        <f t="shared" si="8"/>
        <v>2.8987492984827942E-2</v>
      </c>
      <c r="L32" s="245">
        <f t="shared" si="8"/>
        <v>2.8924270034619348E-2</v>
      </c>
      <c r="M32" s="245">
        <f t="shared" si="8"/>
        <v>2.865535047306288E-2</v>
      </c>
      <c r="N32" s="245">
        <f t="shared" si="8"/>
        <v>2.9746295270111099E-2</v>
      </c>
      <c r="O32" s="245">
        <f t="shared" si="8"/>
        <v>2.9794245772452644E-2</v>
      </c>
      <c r="P32" s="245">
        <f t="shared" si="8"/>
        <v>3.0655534300916141E-2</v>
      </c>
      <c r="Q32" s="245">
        <f t="shared" si="8"/>
        <v>3.0493586231403715E-2</v>
      </c>
      <c r="R32" s="245">
        <f t="shared" si="8"/>
        <v>3.0265150569836776E-2</v>
      </c>
      <c r="S32" s="245">
        <f t="shared" si="8"/>
        <v>3.0745126747568123E-2</v>
      </c>
      <c r="T32" s="245">
        <f t="shared" si="8"/>
        <v>3.1544348399610983E-2</v>
      </c>
      <c r="U32" s="245">
        <f t="shared" si="8"/>
        <v>3.2543109446225349E-2</v>
      </c>
      <c r="V32" s="245">
        <f t="shared" si="8"/>
        <v>3.2284840400628692E-2</v>
      </c>
      <c r="W32" s="245">
        <f t="shared" si="8"/>
        <v>3.28512481928964E-2</v>
      </c>
      <c r="DA32" s="276"/>
    </row>
    <row r="33" spans="1:105" x14ac:dyDescent="0.25">
      <c r="A33" s="241" t="s">
        <v>124</v>
      </c>
      <c r="B33" s="246">
        <f t="shared" ref="B33:W33" si="9">IF(B$7=0,0,B$7/B$5)</f>
        <v>1.7671156540416136E-2</v>
      </c>
      <c r="C33" s="246">
        <f t="shared" si="9"/>
        <v>1.780509361572E-2</v>
      </c>
      <c r="D33" s="246">
        <f t="shared" si="9"/>
        <v>1.7778721028685752E-2</v>
      </c>
      <c r="E33" s="246">
        <f t="shared" si="9"/>
        <v>1.8435738138066399E-2</v>
      </c>
      <c r="F33" s="246">
        <f t="shared" si="9"/>
        <v>1.8391318265417896E-2</v>
      </c>
      <c r="G33" s="246">
        <f t="shared" si="9"/>
        <v>1.8213559520490322E-2</v>
      </c>
      <c r="H33" s="246">
        <f t="shared" si="9"/>
        <v>1.8710344409896801E-2</v>
      </c>
      <c r="I33" s="246">
        <f t="shared" si="9"/>
        <v>1.863805826971833E-2</v>
      </c>
      <c r="J33" s="246">
        <f t="shared" si="9"/>
        <v>1.9140485334667424E-2</v>
      </c>
      <c r="K33" s="246">
        <f t="shared" si="9"/>
        <v>1.8841870440138152E-2</v>
      </c>
      <c r="L33" s="246">
        <f t="shared" si="9"/>
        <v>1.8800775522502568E-2</v>
      </c>
      <c r="M33" s="246">
        <f t="shared" si="9"/>
        <v>1.8625977807490864E-2</v>
      </c>
      <c r="N33" s="246">
        <f t="shared" si="9"/>
        <v>1.9335091925572218E-2</v>
      </c>
      <c r="O33" s="246">
        <f t="shared" si="9"/>
        <v>1.936625975209421E-2</v>
      </c>
      <c r="P33" s="246">
        <f t="shared" si="9"/>
        <v>1.9926097295595489E-2</v>
      </c>
      <c r="Q33" s="246">
        <f t="shared" si="9"/>
        <v>1.9820831050412401E-2</v>
      </c>
      <c r="R33" s="246">
        <f t="shared" si="9"/>
        <v>1.9672347870393899E-2</v>
      </c>
      <c r="S33" s="246">
        <f t="shared" si="9"/>
        <v>1.9984332385919276E-2</v>
      </c>
      <c r="T33" s="246">
        <f t="shared" si="9"/>
        <v>2.0503826459747135E-2</v>
      </c>
      <c r="U33" s="246">
        <f t="shared" si="9"/>
        <v>2.1153021140046475E-2</v>
      </c>
      <c r="V33" s="246">
        <f t="shared" si="9"/>
        <v>2.0985146260408646E-2</v>
      </c>
      <c r="W33" s="246">
        <f t="shared" si="9"/>
        <v>2.1353311325382662E-2</v>
      </c>
      <c r="DA33" s="277"/>
    </row>
    <row r="34" spans="1:105" x14ac:dyDescent="0.25">
      <c r="A34" s="241" t="s">
        <v>123</v>
      </c>
      <c r="B34" s="246">
        <f t="shared" ref="B34:W34" si="10">IF(B$8=0,0,B$8/B$5)</f>
        <v>2.4467755209806968E-2</v>
      </c>
      <c r="C34" s="246">
        <f t="shared" si="10"/>
        <v>2.4653206544843081E-2</v>
      </c>
      <c r="D34" s="246">
        <f t="shared" si="10"/>
        <v>2.4616690655103361E-2</v>
      </c>
      <c r="E34" s="246">
        <f t="shared" si="10"/>
        <v>2.5526406652707324E-2</v>
      </c>
      <c r="F34" s="246">
        <f t="shared" si="10"/>
        <v>2.5464902213655563E-2</v>
      </c>
      <c r="G34" s="246">
        <f t="shared" si="10"/>
        <v>2.5218774720678901E-2</v>
      </c>
      <c r="H34" s="246">
        <f t="shared" si="10"/>
        <v>2.5906630721395579E-2</v>
      </c>
      <c r="I34" s="246">
        <f t="shared" si="10"/>
        <v>2.5806542219609995E-2</v>
      </c>
      <c r="J34" s="246">
        <f t="shared" si="10"/>
        <v>2.6502210463385661E-2</v>
      </c>
      <c r="K34" s="246">
        <f t="shared" si="10"/>
        <v>2.6088743686345135E-2</v>
      </c>
      <c r="L34" s="246">
        <f t="shared" si="10"/>
        <v>2.6031843031157395E-2</v>
      </c>
      <c r="M34" s="246">
        <f t="shared" si="10"/>
        <v>2.5789815425756576E-2</v>
      </c>
      <c r="N34" s="246">
        <f t="shared" si="10"/>
        <v>2.6771665743099984E-2</v>
      </c>
      <c r="O34" s="246">
        <f t="shared" si="10"/>
        <v>2.681482119520737E-2</v>
      </c>
      <c r="P34" s="246">
        <f t="shared" si="10"/>
        <v>2.7589980870824524E-2</v>
      </c>
      <c r="Q34" s="246">
        <f t="shared" si="10"/>
        <v>2.7444227608263337E-2</v>
      </c>
      <c r="R34" s="246">
        <f t="shared" si="10"/>
        <v>2.7238635512853087E-2</v>
      </c>
      <c r="S34" s="246">
        <f t="shared" si="10"/>
        <v>2.7670614072811305E-2</v>
      </c>
      <c r="T34" s="246">
        <f t="shared" si="10"/>
        <v>2.8389913559649871E-2</v>
      </c>
      <c r="U34" s="246">
        <f t="shared" si="10"/>
        <v>2.9288798501602813E-2</v>
      </c>
      <c r="V34" s="246">
        <f t="shared" si="10"/>
        <v>2.9056356360565815E-2</v>
      </c>
      <c r="W34" s="246">
        <f t="shared" si="10"/>
        <v>2.9566123373606763E-2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0.20307391190065746</v>
      </c>
      <c r="C35" s="247">
        <f t="shared" si="11"/>
        <v>0.20531518913359115</v>
      </c>
      <c r="D35" s="247">
        <f t="shared" si="11"/>
        <v>0.20590709931751244</v>
      </c>
      <c r="E35" s="247">
        <f t="shared" si="11"/>
        <v>0.20674901646442556</v>
      </c>
      <c r="F35" s="247">
        <f t="shared" si="11"/>
        <v>0.20569734627679301</v>
      </c>
      <c r="G35" s="247">
        <f t="shared" si="11"/>
        <v>0.20351412151105844</v>
      </c>
      <c r="H35" s="247">
        <f t="shared" si="11"/>
        <v>0.20614864331990118</v>
      </c>
      <c r="I35" s="247">
        <f t="shared" si="11"/>
        <v>0.20547995896473895</v>
      </c>
      <c r="J35" s="247">
        <f t="shared" si="11"/>
        <v>0.207914531532601</v>
      </c>
      <c r="K35" s="247">
        <f t="shared" si="11"/>
        <v>0.20774191055218319</v>
      </c>
      <c r="L35" s="247">
        <f t="shared" si="11"/>
        <v>0.20672775747850788</v>
      </c>
      <c r="M35" s="247">
        <f t="shared" si="11"/>
        <v>0.20200296493071432</v>
      </c>
      <c r="N35" s="247">
        <f t="shared" si="11"/>
        <v>0.20549432454241018</v>
      </c>
      <c r="O35" s="247">
        <f t="shared" si="11"/>
        <v>0.20463353624400535</v>
      </c>
      <c r="P35" s="247">
        <f t="shared" si="11"/>
        <v>0.20728963743200482</v>
      </c>
      <c r="Q35" s="247">
        <f t="shared" si="11"/>
        <v>0.20778325859493157</v>
      </c>
      <c r="R35" s="247">
        <f t="shared" si="11"/>
        <v>0.20846226929766998</v>
      </c>
      <c r="S35" s="247">
        <f t="shared" si="11"/>
        <v>0.2082019161696898</v>
      </c>
      <c r="T35" s="247">
        <f t="shared" si="11"/>
        <v>0.21073260688490686</v>
      </c>
      <c r="U35" s="247">
        <f t="shared" si="11"/>
        <v>0.21108823980353916</v>
      </c>
      <c r="V35" s="247">
        <f t="shared" si="11"/>
        <v>0.2101821861205789</v>
      </c>
      <c r="W35" s="247">
        <f t="shared" si="11"/>
        <v>0.21058262608240694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0.23465480458874771</v>
      </c>
      <c r="C36" s="260">
        <f t="shared" si="12"/>
        <v>0.23504779208436527</v>
      </c>
      <c r="D36" s="260">
        <f t="shared" si="12"/>
        <v>0.23643284508120774</v>
      </c>
      <c r="E36" s="260">
        <f t="shared" si="12"/>
        <v>0.23497978095934527</v>
      </c>
      <c r="F36" s="260">
        <f t="shared" si="12"/>
        <v>0.229602151028444</v>
      </c>
      <c r="G36" s="260">
        <f t="shared" si="12"/>
        <v>0.22672045371831312</v>
      </c>
      <c r="H36" s="260">
        <f t="shared" si="12"/>
        <v>0.22873007754117114</v>
      </c>
      <c r="I36" s="260">
        <f t="shared" si="12"/>
        <v>0.22746285008745354</v>
      </c>
      <c r="J36" s="260">
        <f t="shared" si="12"/>
        <v>0.23014230343292258</v>
      </c>
      <c r="K36" s="260">
        <f t="shared" si="12"/>
        <v>0.23242714473855886</v>
      </c>
      <c r="L36" s="260">
        <f t="shared" si="12"/>
        <v>0.23124779687241059</v>
      </c>
      <c r="M36" s="260">
        <f t="shared" si="12"/>
        <v>0.23160811163635822</v>
      </c>
      <c r="N36" s="260">
        <f t="shared" si="12"/>
        <v>0.23130768753816741</v>
      </c>
      <c r="O36" s="260">
        <f t="shared" si="12"/>
        <v>0.23078681922931676</v>
      </c>
      <c r="P36" s="260">
        <f t="shared" si="12"/>
        <v>0.23019716783802471</v>
      </c>
      <c r="Q36" s="260">
        <f t="shared" si="12"/>
        <v>0.23267073875720132</v>
      </c>
      <c r="R36" s="260">
        <f t="shared" si="12"/>
        <v>0.23338015396993922</v>
      </c>
      <c r="S36" s="260">
        <f t="shared" si="12"/>
        <v>0.22848967288620325</v>
      </c>
      <c r="T36" s="260">
        <f t="shared" si="12"/>
        <v>0.230184683201761</v>
      </c>
      <c r="U36" s="260">
        <f t="shared" si="12"/>
        <v>0.22658867776964758</v>
      </c>
      <c r="V36" s="260">
        <f t="shared" si="12"/>
        <v>0.22492485978886734</v>
      </c>
      <c r="W36" s="260">
        <f t="shared" si="12"/>
        <v>0.22497442429335454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0.38124843387239032</v>
      </c>
      <c r="C37" s="260">
        <f t="shared" si="13"/>
        <v>0.37750836812686112</v>
      </c>
      <c r="D37" s="260">
        <f t="shared" si="13"/>
        <v>0.37546812152421277</v>
      </c>
      <c r="E37" s="260">
        <f t="shared" si="13"/>
        <v>0.37130450911514851</v>
      </c>
      <c r="F37" s="260">
        <f t="shared" si="13"/>
        <v>0.37910885696866048</v>
      </c>
      <c r="G37" s="260">
        <f t="shared" si="13"/>
        <v>0.38609489615892251</v>
      </c>
      <c r="H37" s="260">
        <f t="shared" si="13"/>
        <v>0.37724316233580318</v>
      </c>
      <c r="I37" s="260">
        <f t="shared" si="13"/>
        <v>0.3799786296927824</v>
      </c>
      <c r="J37" s="260">
        <f t="shared" si="13"/>
        <v>0.37048490091275998</v>
      </c>
      <c r="K37" s="260">
        <f t="shared" si="13"/>
        <v>0.37023066693964896</v>
      </c>
      <c r="L37" s="260">
        <f t="shared" si="13"/>
        <v>0.37296690415135708</v>
      </c>
      <c r="M37" s="260">
        <f t="shared" si="13"/>
        <v>0.37860674225832841</v>
      </c>
      <c r="N37" s="260">
        <f t="shared" si="13"/>
        <v>0.37001881175370155</v>
      </c>
      <c r="O37" s="260">
        <f t="shared" si="13"/>
        <v>0.37126080503556835</v>
      </c>
      <c r="P37" s="260">
        <f t="shared" si="13"/>
        <v>0.36500121902537286</v>
      </c>
      <c r="Q37" s="260">
        <f t="shared" si="13"/>
        <v>0.3623684500246514</v>
      </c>
      <c r="R37" s="260">
        <f t="shared" si="13"/>
        <v>0.3619858823718109</v>
      </c>
      <c r="S37" s="260">
        <f t="shared" si="13"/>
        <v>0.36567658239103551</v>
      </c>
      <c r="T37" s="260">
        <f t="shared" si="13"/>
        <v>0.35712906274216211</v>
      </c>
      <c r="U37" s="260">
        <f t="shared" si="13"/>
        <v>0.35606663243447295</v>
      </c>
      <c r="V37" s="260">
        <f t="shared" si="13"/>
        <v>0.36024756581700557</v>
      </c>
      <c r="W37" s="260">
        <f t="shared" si="13"/>
        <v>0.35695599815675733</v>
      </c>
      <c r="DA37" s="279"/>
    </row>
    <row r="38" spans="1:105" x14ac:dyDescent="0.25">
      <c r="A38" s="128" t="s">
        <v>174</v>
      </c>
      <c r="B38" s="260">
        <f t="shared" ref="B38:W38" si="14">IF(B$25=0,0,B$25/B$5)</f>
        <v>4.5090876250388087E-2</v>
      </c>
      <c r="C38" s="260">
        <f t="shared" si="14"/>
        <v>4.5166392072720787E-2</v>
      </c>
      <c r="D38" s="260">
        <f t="shared" si="14"/>
        <v>4.543254154871515E-2</v>
      </c>
      <c r="E38" s="260">
        <f t="shared" si="14"/>
        <v>4.5153323168262191E-2</v>
      </c>
      <c r="F38" s="260">
        <f t="shared" si="14"/>
        <v>4.4119966761349397E-2</v>
      </c>
      <c r="G38" s="260">
        <f t="shared" si="14"/>
        <v>4.3566224607934231E-2</v>
      </c>
      <c r="H38" s="260">
        <f t="shared" si="14"/>
        <v>4.3952390573149112E-2</v>
      </c>
      <c r="I38" s="260">
        <f t="shared" si="14"/>
        <v>4.3708882257191897E-2</v>
      </c>
      <c r="J38" s="260">
        <f t="shared" si="14"/>
        <v>4.4223761547351664E-2</v>
      </c>
      <c r="K38" s="260">
        <f t="shared" si="14"/>
        <v>4.4662812845469246E-2</v>
      </c>
      <c r="L38" s="260">
        <f t="shared" si="14"/>
        <v>4.4436191324627818E-2</v>
      </c>
      <c r="M38" s="260">
        <f t="shared" si="14"/>
        <v>4.450542880928459E-2</v>
      </c>
      <c r="N38" s="260">
        <f t="shared" si="14"/>
        <v>4.444769981516538E-2</v>
      </c>
      <c r="O38" s="260">
        <f t="shared" si="14"/>
        <v>4.4347610628846304E-2</v>
      </c>
      <c r="P38" s="260">
        <f t="shared" si="14"/>
        <v>4.4234304200016887E-2</v>
      </c>
      <c r="Q38" s="260">
        <f t="shared" si="14"/>
        <v>4.4709621466197023E-2</v>
      </c>
      <c r="R38" s="260">
        <f t="shared" si="14"/>
        <v>4.4845941511396065E-2</v>
      </c>
      <c r="S38" s="260">
        <f t="shared" si="14"/>
        <v>4.3906194815230684E-2</v>
      </c>
      <c r="T38" s="260">
        <f t="shared" si="14"/>
        <v>4.4231905173115316E-2</v>
      </c>
      <c r="U38" s="260">
        <f t="shared" si="14"/>
        <v>4.3540902761213605E-2</v>
      </c>
      <c r="V38" s="260">
        <f t="shared" si="14"/>
        <v>4.3221186270404832E-2</v>
      </c>
      <c r="W38" s="260">
        <f t="shared" si="14"/>
        <v>4.323071050299903E-2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2.7186394677563296E-2</v>
      </c>
      <c r="C39" s="260">
        <f t="shared" si="15"/>
        <v>2.7392451716492319E-2</v>
      </c>
      <c r="D39" s="260">
        <f t="shared" si="15"/>
        <v>2.7351878505670401E-2</v>
      </c>
      <c r="E39" s="260">
        <f t="shared" si="15"/>
        <v>2.8362674058563693E-2</v>
      </c>
      <c r="F39" s="260">
        <f t="shared" si="15"/>
        <v>2.8294335792950636E-2</v>
      </c>
      <c r="G39" s="260">
        <f t="shared" si="15"/>
        <v>2.8020860800754346E-2</v>
      </c>
      <c r="H39" s="260">
        <f t="shared" si="15"/>
        <v>2.8785145245995094E-2</v>
      </c>
      <c r="I39" s="260">
        <f t="shared" si="15"/>
        <v>2.8673935799566667E-2</v>
      </c>
      <c r="J39" s="260">
        <f t="shared" si="15"/>
        <v>2.9446900514872944E-2</v>
      </c>
      <c r="K39" s="260">
        <f t="shared" si="15"/>
        <v>2.8987492984827942E-2</v>
      </c>
      <c r="L39" s="260">
        <f t="shared" si="15"/>
        <v>2.8924270034619348E-2</v>
      </c>
      <c r="M39" s="260">
        <f t="shared" si="15"/>
        <v>2.865535047306288E-2</v>
      </c>
      <c r="N39" s="260">
        <f t="shared" si="15"/>
        <v>2.9746295270111099E-2</v>
      </c>
      <c r="O39" s="260">
        <f t="shared" si="15"/>
        <v>2.9794245772452644E-2</v>
      </c>
      <c r="P39" s="260">
        <f t="shared" si="15"/>
        <v>3.0655534300916141E-2</v>
      </c>
      <c r="Q39" s="260">
        <f t="shared" si="15"/>
        <v>3.0493586231403715E-2</v>
      </c>
      <c r="R39" s="260">
        <f t="shared" si="15"/>
        <v>3.0265150569836776E-2</v>
      </c>
      <c r="S39" s="260">
        <f t="shared" si="15"/>
        <v>3.0745126747568123E-2</v>
      </c>
      <c r="T39" s="260">
        <f t="shared" si="15"/>
        <v>3.1544348399610983E-2</v>
      </c>
      <c r="U39" s="260">
        <f t="shared" si="15"/>
        <v>3.2543109446225349E-2</v>
      </c>
      <c r="V39" s="260">
        <f t="shared" si="15"/>
        <v>3.2284840400628692E-2</v>
      </c>
      <c r="W39" s="260">
        <f t="shared" si="15"/>
        <v>3.28512481928964E-2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3.9420272282466771E-2</v>
      </c>
      <c r="C40" s="262">
        <f t="shared" si="16"/>
        <v>3.9719054988913864E-2</v>
      </c>
      <c r="D40" s="262">
        <f t="shared" si="16"/>
        <v>3.9660223833222083E-2</v>
      </c>
      <c r="E40" s="262">
        <f t="shared" si="16"/>
        <v>4.1125877384917367E-2</v>
      </c>
      <c r="F40" s="262">
        <f t="shared" si="16"/>
        <v>4.1026786899778414E-2</v>
      </c>
      <c r="G40" s="262">
        <f t="shared" si="16"/>
        <v>4.0630248161093813E-2</v>
      </c>
      <c r="H40" s="262">
        <f t="shared" si="16"/>
        <v>4.1738460606692881E-2</v>
      </c>
      <c r="I40" s="262">
        <f t="shared" si="16"/>
        <v>4.157720690937166E-2</v>
      </c>
      <c r="J40" s="262">
        <f t="shared" si="16"/>
        <v>4.2698005746565793E-2</v>
      </c>
      <c r="K40" s="262">
        <f t="shared" si="16"/>
        <v>4.2031864828000504E-2</v>
      </c>
      <c r="L40" s="262">
        <f t="shared" si="16"/>
        <v>4.1940191550198021E-2</v>
      </c>
      <c r="M40" s="262">
        <f t="shared" si="16"/>
        <v>4.1550258185941172E-2</v>
      </c>
      <c r="N40" s="262">
        <f t="shared" si="16"/>
        <v>4.3132128141661091E-2</v>
      </c>
      <c r="O40" s="262">
        <f t="shared" si="16"/>
        <v>4.320165637005631E-2</v>
      </c>
      <c r="P40" s="262">
        <f t="shared" si="16"/>
        <v>4.4450524736328406E-2</v>
      </c>
      <c r="Q40" s="262">
        <f t="shared" si="16"/>
        <v>4.421570003553537E-2</v>
      </c>
      <c r="R40" s="262">
        <f t="shared" si="16"/>
        <v>4.3884468326263339E-2</v>
      </c>
      <c r="S40" s="262">
        <f t="shared" si="16"/>
        <v>4.4580433783973777E-2</v>
      </c>
      <c r="T40" s="262">
        <f t="shared" si="16"/>
        <v>4.5739305179435912E-2</v>
      </c>
      <c r="U40" s="262">
        <f t="shared" si="16"/>
        <v>4.7187508697026766E-2</v>
      </c>
      <c r="V40" s="262">
        <f t="shared" si="16"/>
        <v>4.6813018580911608E-2</v>
      </c>
      <c r="W40" s="262">
        <f t="shared" si="16"/>
        <v>4.7634309879699792E-2</v>
      </c>
      <c r="DA40" s="280"/>
    </row>
    <row r="42" spans="1:105" ht="12.75" x14ac:dyDescent="0.25">
      <c r="A42" s="179" t="s">
        <v>23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7">
        <f t="shared" ref="B44:W44" si="17">SUM(B$45:B$53)</f>
        <v>126.45888445910968</v>
      </c>
      <c r="C44" s="237">
        <f t="shared" si="17"/>
        <v>122.34803499436487</v>
      </c>
      <c r="D44" s="237">
        <f t="shared" si="17"/>
        <v>127.81056238438667</v>
      </c>
      <c r="E44" s="237">
        <f t="shared" si="17"/>
        <v>135.43288032890177</v>
      </c>
      <c r="F44" s="237">
        <f t="shared" si="17"/>
        <v>134.84363036747553</v>
      </c>
      <c r="G44" s="237">
        <f t="shared" si="17"/>
        <v>154.42655608236751</v>
      </c>
      <c r="H44" s="237">
        <f t="shared" si="17"/>
        <v>146.93020171673021</v>
      </c>
      <c r="I44" s="237">
        <f t="shared" si="17"/>
        <v>137.2385115226293</v>
      </c>
      <c r="J44" s="237">
        <f t="shared" si="17"/>
        <v>139.32723127138397</v>
      </c>
      <c r="K44" s="237">
        <f t="shared" si="17"/>
        <v>156.36023356757093</v>
      </c>
      <c r="L44" s="237">
        <f t="shared" si="17"/>
        <v>144.58585940593423</v>
      </c>
      <c r="M44" s="237">
        <f t="shared" si="17"/>
        <v>132.80026593791032</v>
      </c>
      <c r="N44" s="237">
        <f t="shared" si="17"/>
        <v>135.04301399101354</v>
      </c>
      <c r="O44" s="237">
        <f t="shared" si="17"/>
        <v>132.95020410976798</v>
      </c>
      <c r="P44" s="237">
        <f t="shared" si="17"/>
        <v>130.15939664117735</v>
      </c>
      <c r="Q44" s="237">
        <f t="shared" si="17"/>
        <v>132.91816907674809</v>
      </c>
      <c r="R44" s="237">
        <f t="shared" si="17"/>
        <v>135.38540863538174</v>
      </c>
      <c r="S44" s="237">
        <f t="shared" si="17"/>
        <v>124.90211009173744</v>
      </c>
      <c r="T44" s="237">
        <f t="shared" si="17"/>
        <v>141.2798561293996</v>
      </c>
      <c r="U44" s="237">
        <f t="shared" si="17"/>
        <v>142.01198459584057</v>
      </c>
      <c r="V44" s="237">
        <f t="shared" si="17"/>
        <v>148.6260104466125</v>
      </c>
      <c r="W44" s="237">
        <f t="shared" si="17"/>
        <v>142.5401415478579</v>
      </c>
      <c r="DA44" s="281"/>
    </row>
    <row r="45" spans="1:105" x14ac:dyDescent="0.25">
      <c r="A45" s="239" t="s">
        <v>125</v>
      </c>
      <c r="B45" s="248">
        <f>IF(B$6=0,0,B$6/AGR!B$5*1000)</f>
        <v>3.4379611433897308</v>
      </c>
      <c r="C45" s="248">
        <f>IF(C$6=0,0,C$6/AGR!C$5*1000)</f>
        <v>3.3514126411908531</v>
      </c>
      <c r="D45" s="248">
        <f>IF(D$6=0,0,D$6/AGR!D$5*1000)</f>
        <v>3.4958589740791504</v>
      </c>
      <c r="E45" s="248">
        <f>IF(E$6=0,0,E$6/AGR!E$5*1000)</f>
        <v>3.841238641581104</v>
      </c>
      <c r="F45" s="248">
        <f>IF(F$6=0,0,F$6/AGR!F$5*1000)</f>
        <v>3.8153109571578678</v>
      </c>
      <c r="G45" s="248">
        <f>IF(G$6=0,0,G$6/AGR!G$5*1000)</f>
        <v>4.3271650319239061</v>
      </c>
      <c r="H45" s="248">
        <f>IF(H$6=0,0,H$6/AGR!H$5*1000)</f>
        <v>4.2294071974394365</v>
      </c>
      <c r="I45" s="248">
        <f>IF(I$6=0,0,I$6/AGR!I$5*1000)</f>
        <v>3.9351682686279621</v>
      </c>
      <c r="J45" s="248">
        <f>IF(J$6=0,0,J$6/AGR!J$5*1000)</f>
        <v>4.1027551182611388</v>
      </c>
      <c r="K45" s="248">
        <f>IF(K$6=0,0,K$6/AGR!K$5*1000)</f>
        <v>4.5324911736460214</v>
      </c>
      <c r="L45" s="248">
        <f>IF(L$6=0,0,L$6/AGR!L$5*1000)</f>
        <v>4.1820404406447489</v>
      </c>
      <c r="M45" s="248">
        <f>IF(M$6=0,0,M$6/AGR!M$5*1000)</f>
        <v>3.8054381633667758</v>
      </c>
      <c r="N45" s="248">
        <f>IF(N$6=0,0,N$6/AGR!N$5*1000)</f>
        <v>4.0170293683424321</v>
      </c>
      <c r="O45" s="248">
        <f>IF(O$6=0,0,O$6/AGR!O$5*1000)</f>
        <v>3.9611510567441703</v>
      </c>
      <c r="P45" s="248">
        <f>IF(P$6=0,0,P$6/AGR!P$5*1000)</f>
        <v>3.9901058483201615</v>
      </c>
      <c r="Q45" s="248">
        <f>IF(Q$6=0,0,Q$6/AGR!Q$5*1000)</f>
        <v>4.0531516504621168</v>
      </c>
      <c r="R45" s="248">
        <f>IF(R$6=0,0,R$6/AGR!R$5*1000)</f>
        <v>4.0974597773087078</v>
      </c>
      <c r="S45" s="248">
        <f>IF(S$6=0,0,S$6/AGR!S$5*1000)</f>
        <v>3.8401312058091754</v>
      </c>
      <c r="T45" s="248">
        <f>IF(T$6=0,0,T$6/AGR!T$5*1000)</f>
        <v>4.4565810035926958</v>
      </c>
      <c r="U45" s="248">
        <f>IF(U$6=0,0,U$6/AGR!U$5*1000)</f>
        <v>4.6215115573781071</v>
      </c>
      <c r="V45" s="248">
        <f>IF(V$6=0,0,V$6/AGR!V$5*1000)</f>
        <v>4.7983670266510572</v>
      </c>
      <c r="W45" s="248">
        <f>IF(W$6=0,0,W$6/AGR!W$5*1000)</f>
        <v>4.6826215674392646</v>
      </c>
      <c r="DA45" s="282"/>
    </row>
    <row r="46" spans="1:105" x14ac:dyDescent="0.25">
      <c r="A46" s="241" t="s">
        <v>124</v>
      </c>
      <c r="B46" s="249">
        <f>IF(B$7=0,0,B$7/AGR!B$5*1000)</f>
        <v>2.2346747432033243</v>
      </c>
      <c r="C46" s="249">
        <f>IF(C$7=0,0,C$7/AGR!C$5*1000)</f>
        <v>2.1784182167740536</v>
      </c>
      <c r="D46" s="249">
        <f>IF(D$7=0,0,D$7/AGR!D$5*1000)</f>
        <v>2.2723083331514466</v>
      </c>
      <c r="E46" s="249">
        <f>IF(E$7=0,0,E$7/AGR!E$5*1000)</f>
        <v>2.4968051170277175</v>
      </c>
      <c r="F46" s="249">
        <f>IF(F$7=0,0,F$7/AGR!F$5*1000)</f>
        <v>2.479952122152612</v>
      </c>
      <c r="G46" s="249">
        <f>IF(G$7=0,0,G$7/AGR!G$5*1000)</f>
        <v>2.8126572707505386</v>
      </c>
      <c r="H46" s="249">
        <f>IF(H$7=0,0,H$7/AGR!H$5*1000)</f>
        <v>2.7491146783356326</v>
      </c>
      <c r="I46" s="249">
        <f>IF(I$7=0,0,I$7/AGR!I$5*1000)</f>
        <v>2.5578593746081748</v>
      </c>
      <c r="J46" s="249">
        <f>IF(J$7=0,0,J$7/AGR!J$5*1000)</f>
        <v>2.6667908268697413</v>
      </c>
      <c r="K46" s="249">
        <f>IF(K$7=0,0,K$7/AGR!K$5*1000)</f>
        <v>2.9461192628699129</v>
      </c>
      <c r="L46" s="249">
        <f>IF(L$7=0,0,L$7/AGR!L$5*1000)</f>
        <v>2.718326286419086</v>
      </c>
      <c r="M46" s="249">
        <f>IF(M$7=0,0,M$7/AGR!M$5*1000)</f>
        <v>2.4735348061884026</v>
      </c>
      <c r="N46" s="249">
        <f>IF(N$7=0,0,N$7/AGR!N$5*1000)</f>
        <v>2.6110690894225819</v>
      </c>
      <c r="O46" s="249">
        <f>IF(O$7=0,0,O$7/AGR!O$5*1000)</f>
        <v>2.5747481868837094</v>
      </c>
      <c r="P46" s="249">
        <f>IF(P$7=0,0,P$7/AGR!P$5*1000)</f>
        <v>2.5935688014081046</v>
      </c>
      <c r="Q46" s="249">
        <f>IF(Q$7=0,0,Q$7/AGR!Q$5*1000)</f>
        <v>2.6345485728003739</v>
      </c>
      <c r="R46" s="249">
        <f>IF(R$7=0,0,R$7/AGR!R$5*1000)</f>
        <v>2.6633488552506597</v>
      </c>
      <c r="S46" s="249">
        <f>IF(S$7=0,0,S$7/AGR!S$5*1000)</f>
        <v>2.4960852837759635</v>
      </c>
      <c r="T46" s="249">
        <f>IF(T$7=0,0,T$7/AGR!T$5*1000)</f>
        <v>2.8967776523352513</v>
      </c>
      <c r="U46" s="249">
        <f>IF(U$7=0,0,U$7/AGR!U$5*1000)</f>
        <v>3.0039825122957695</v>
      </c>
      <c r="V46" s="249">
        <f>IF(V$7=0,0,V$7/AGR!V$5*1000)</f>
        <v>3.1189385673231862</v>
      </c>
      <c r="W46" s="249">
        <f>IF(W$7=0,0,W$7/AGR!W$5*1000)</f>
        <v>3.043704018835522</v>
      </c>
      <c r="DA46" s="283"/>
    </row>
    <row r="47" spans="1:105" x14ac:dyDescent="0.25">
      <c r="A47" s="241" t="s">
        <v>123</v>
      </c>
      <c r="B47" s="249">
        <f>IF(B$8=0,0,B$8/AGR!B$5*1000)</f>
        <v>3.0941650290507581</v>
      </c>
      <c r="C47" s="249">
        <f>IF(C$8=0,0,C$8/AGR!C$5*1000)</f>
        <v>3.0162713770717673</v>
      </c>
      <c r="D47" s="249">
        <f>IF(D$8=0,0,D$8/AGR!D$5*1000)</f>
        <v>3.1462730766712355</v>
      </c>
      <c r="E47" s="249">
        <f>IF(E$8=0,0,E$8/AGR!E$5*1000)</f>
        <v>3.4571147774229933</v>
      </c>
      <c r="F47" s="249">
        <f>IF(F$8=0,0,F$8/AGR!F$5*1000)</f>
        <v>3.4337798614420803</v>
      </c>
      <c r="G47" s="249">
        <f>IF(G$8=0,0,G$8/AGR!G$5*1000)</f>
        <v>3.8944485287315134</v>
      </c>
      <c r="H47" s="249">
        <f>IF(H$8=0,0,H$8/AGR!H$5*1000)</f>
        <v>3.806466477695492</v>
      </c>
      <c r="I47" s="249">
        <f>IF(I$8=0,0,I$8/AGR!I$5*1000)</f>
        <v>3.5416514417651652</v>
      </c>
      <c r="J47" s="249">
        <f>IF(J$8=0,0,J$8/AGR!J$5*1000)</f>
        <v>3.6924796064350263</v>
      </c>
      <c r="K47" s="249">
        <f>IF(K$8=0,0,K$8/AGR!K$5*1000)</f>
        <v>4.0792420562814176</v>
      </c>
      <c r="L47" s="249">
        <f>IF(L$8=0,0,L$8/AGR!L$5*1000)</f>
        <v>3.7638363965802712</v>
      </c>
      <c r="M47" s="249">
        <f>IF(M$8=0,0,M$8/AGR!M$5*1000)</f>
        <v>3.4248943470300959</v>
      </c>
      <c r="N47" s="249">
        <f>IF(N$8=0,0,N$8/AGR!N$5*1000)</f>
        <v>3.6153264315081888</v>
      </c>
      <c r="O47" s="249">
        <f>IF(O$8=0,0,O$8/AGR!O$5*1000)</f>
        <v>3.5650359510697522</v>
      </c>
      <c r="P47" s="249">
        <f>IF(P$8=0,0,P$8/AGR!P$5*1000)</f>
        <v>3.5910952634881448</v>
      </c>
      <c r="Q47" s="249">
        <f>IF(Q$8=0,0,Q$8/AGR!Q$5*1000)</f>
        <v>3.6478364854159047</v>
      </c>
      <c r="R47" s="249">
        <f>IF(R$8=0,0,R$8/AGR!R$5*1000)</f>
        <v>3.687713799577836</v>
      </c>
      <c r="S47" s="249">
        <f>IF(S$8=0,0,S$8/AGR!S$5*1000)</f>
        <v>3.4561180852282574</v>
      </c>
      <c r="T47" s="249">
        <f>IF(T$8=0,0,T$8/AGR!T$5*1000)</f>
        <v>4.0109229032334239</v>
      </c>
      <c r="U47" s="249">
        <f>IF(U$8=0,0,U$8/AGR!U$5*1000)</f>
        <v>4.1593604016402965</v>
      </c>
      <c r="V47" s="249">
        <f>IF(V$8=0,0,V$8/AGR!V$5*1000)</f>
        <v>4.31853032398595</v>
      </c>
      <c r="W47" s="249">
        <f>IF(W$8=0,0,W$8/AGR!W$5*1000)</f>
        <v>4.214359410695339</v>
      </c>
      <c r="DA47" s="283"/>
    </row>
    <row r="48" spans="1:105" x14ac:dyDescent="0.25">
      <c r="A48" s="243" t="s">
        <v>122</v>
      </c>
      <c r="B48" s="250">
        <f>IF(B$9=0,0,B$9/AGR!B$5*1000)</f>
        <v>25.680500361704659</v>
      </c>
      <c r="C48" s="250">
        <f>IF(C$9=0,0,C$9/AGR!C$5*1000)</f>
        <v>25.119909944991257</v>
      </c>
      <c r="D48" s="250">
        <f>IF(D$9=0,0,D$9/AGR!D$5*1000)</f>
        <v>26.31710216270902</v>
      </c>
      <c r="E48" s="250">
        <f>IF(E$9=0,0,E$9/AGR!E$5*1000)</f>
        <v>28.000614804944693</v>
      </c>
      <c r="F48" s="250">
        <f>IF(F$9=0,0,F$9/AGR!F$5*1000)</f>
        <v>27.736976928918494</v>
      </c>
      <c r="G48" s="250">
        <f>IF(G$9=0,0,G$9/AGR!G$5*1000)</f>
        <v>31.427984899081231</v>
      </c>
      <c r="H48" s="250">
        <f>IF(H$9=0,0,H$9/AGR!H$5*1000)</f>
        <v>30.289461746623346</v>
      </c>
      <c r="I48" s="250">
        <f>IF(I$9=0,0,I$9/AGR!I$5*1000)</f>
        <v>28.199763716051713</v>
      </c>
      <c r="J48" s="250">
        <f>IF(J$9=0,0,J$9/AGR!J$5*1000)</f>
        <v>28.968156019524155</v>
      </c>
      <c r="K48" s="250">
        <f>IF(K$9=0,0,K$9/AGR!K$5*1000)</f>
        <v>32.482573655712798</v>
      </c>
      <c r="L48" s="250">
        <f>IF(L$9=0,0,L$9/AGR!L$5*1000)</f>
        <v>29.889910478091608</v>
      </c>
      <c r="M48" s="250">
        <f>IF(M$9=0,0,M$9/AGR!M$5*1000)</f>
        <v>26.826047463045239</v>
      </c>
      <c r="N48" s="250">
        <f>IF(N$9=0,0,N$9/AGR!N$5*1000)</f>
        <v>27.750572944254571</v>
      </c>
      <c r="O48" s="250">
        <f>IF(O$9=0,0,O$9/AGR!O$5*1000)</f>
        <v>27.206070411344115</v>
      </c>
      <c r="P48" s="250">
        <f>IF(P$9=0,0,P$9/AGR!P$5*1000)</f>
        <v>26.980694138118164</v>
      </c>
      <c r="Q48" s="250">
        <f>IF(Q$9=0,0,Q$9/AGR!Q$5*1000)</f>
        <v>27.618170297238791</v>
      </c>
      <c r="R48" s="250">
        <f>IF(R$9=0,0,R$9/AGR!R$5*1000)</f>
        <v>28.22274951392404</v>
      </c>
      <c r="S48" s="250">
        <f>IF(S$9=0,0,S$9/AGR!S$5*1000)</f>
        <v>26.004858654737287</v>
      </c>
      <c r="T48" s="250">
        <f>IF(T$9=0,0,T$9/AGR!T$5*1000)</f>
        <v>29.772272382472959</v>
      </c>
      <c r="U48" s="250">
        <f>IF(U$9=0,0,U$9/AGR!U$5*1000)</f>
        <v>29.977059859343303</v>
      </c>
      <c r="V48" s="250">
        <f>IF(V$9=0,0,V$9/AGR!V$5*1000)</f>
        <v>31.23853979004901</v>
      </c>
      <c r="W48" s="250">
        <f>IF(W$9=0,0,W$9/AGR!W$5*1000)</f>
        <v>30.016477329305918</v>
      </c>
      <c r="DA48" s="284"/>
    </row>
    <row r="49" spans="1:105" x14ac:dyDescent="0.25">
      <c r="A49" s="128" t="s">
        <v>175</v>
      </c>
      <c r="B49" s="263">
        <f>IF(B$16=0,0,B$16/AGR!B$5*1000)</f>
        <v>29.674184821263406</v>
      </c>
      <c r="C49" s="263">
        <f>IF(C$16=0,0,C$16/AGR!C$5*1000)</f>
        <v>28.757635491286127</v>
      </c>
      <c r="D49" s="263">
        <f>IF(D$16=0,0,D$16/AGR!D$5*1000)</f>
        <v>30.218614895969719</v>
      </c>
      <c r="E49" s="263">
        <f>IF(E$16=0,0,E$16/AGR!E$5*1000)</f>
        <v>31.823988554378563</v>
      </c>
      <c r="F49" s="263">
        <f>IF(F$16=0,0,F$16/AGR!F$5*1000)</f>
        <v>30.96038758485679</v>
      </c>
      <c r="G49" s="263">
        <f>IF(G$16=0,0,G$16/AGR!G$5*1000)</f>
        <v>35.011658861150899</v>
      </c>
      <c r="H49" s="263">
        <f>IF(H$16=0,0,H$16/AGR!H$5*1000)</f>
        <v>33.607356431807617</v>
      </c>
      <c r="I49" s="263">
        <f>IF(I$16=0,0,I$16/AGR!I$5*1000)</f>
        <v>31.216662972697087</v>
      </c>
      <c r="J49" s="263">
        <f>IF(J$16=0,0,J$16/AGR!J$5*1000)</f>
        <v>32.065089935727833</v>
      </c>
      <c r="K49" s="263">
        <f>IF(K$16=0,0,K$16/AGR!K$5*1000)</f>
        <v>36.342362638764691</v>
      </c>
      <c r="L49" s="263">
        <f>IF(L$16=0,0,L$16/AGR!L$5*1000)</f>
        <v>33.435161446526394</v>
      </c>
      <c r="M49" s="263">
        <f>IF(M$16=0,0,M$16/AGR!M$5*1000)</f>
        <v>30.7576188186856</v>
      </c>
      <c r="N49" s="263">
        <f>IF(N$16=0,0,N$16/AGR!N$5*1000)</f>
        <v>31.236487284445726</v>
      </c>
      <c r="O49" s="263">
        <f>IF(O$16=0,0,O$16/AGR!O$5*1000)</f>
        <v>30.683154722381786</v>
      </c>
      <c r="P49" s="263">
        <f>IF(P$16=0,0,P$16/AGR!P$5*1000)</f>
        <v>29.962324474305131</v>
      </c>
      <c r="Q49" s="263">
        <f>IF(Q$16=0,0,Q$16/AGR!Q$5*1000)</f>
        <v>30.926168593341572</v>
      </c>
      <c r="R49" s="263">
        <f>IF(R$16=0,0,R$16/AGR!R$5*1000)</f>
        <v>31.596267512608531</v>
      </c>
      <c r="S49" s="263">
        <f>IF(S$16=0,0,S$16/AGR!S$5*1000)</f>
        <v>28.538842277657636</v>
      </c>
      <c r="T49" s="263">
        <f>IF(T$16=0,0,T$16/AGR!T$5*1000)</f>
        <v>32.520458925936211</v>
      </c>
      <c r="U49" s="263">
        <f>IF(U$16=0,0,U$16/AGR!U$5*1000)</f>
        <v>32.178307817015067</v>
      </c>
      <c r="V49" s="263">
        <f>IF(V$16=0,0,V$16/AGR!V$5*1000)</f>
        <v>33.429684560683043</v>
      </c>
      <c r="W49" s="263">
        <f>IF(W$16=0,0,W$16/AGR!W$5*1000)</f>
        <v>32.067886283422602</v>
      </c>
      <c r="DA49" s="285"/>
    </row>
    <row r="50" spans="1:105" x14ac:dyDescent="0.25">
      <c r="A50" s="128" t="s">
        <v>121</v>
      </c>
      <c r="B50" s="263">
        <f>IF(B$17=0,0,B$17/AGR!B$5*1000)</f>
        <v>48.212251649285122</v>
      </c>
      <c r="C50" s="263">
        <f>IF(C$17=0,0,C$17/AGR!C$5*1000)</f>
        <v>46.187407034250789</v>
      </c>
      <c r="D50" s="263">
        <f>IF(D$17=0,0,D$17/AGR!D$5*1000)</f>
        <v>47.98879176941886</v>
      </c>
      <c r="E50" s="263">
        <f>IF(E$17=0,0,E$17/AGR!E$5*1000)</f>
        <v>50.286839148573527</v>
      </c>
      <c r="F50" s="263">
        <f>IF(F$17=0,0,F$17/AGR!F$5*1000)</f>
        <v>51.120414578118194</v>
      </c>
      <c r="G50" s="263">
        <f>IF(G$17=0,0,G$17/AGR!G$5*1000)</f>
        <v>59.623305134801726</v>
      </c>
      <c r="H50" s="263">
        <f>IF(H$17=0,0,H$17/AGR!H$5*1000)</f>
        <v>55.42841393825676</v>
      </c>
      <c r="I50" s="263">
        <f>IF(I$17=0,0,I$17/AGR!I$5*1000)</f>
        <v>52.147701549445792</v>
      </c>
      <c r="J50" s="263">
        <f>IF(J$17=0,0,J$17/AGR!J$5*1000)</f>
        <v>51.61863547202789</v>
      </c>
      <c r="K50" s="263">
        <f>IF(K$17=0,0,K$17/AGR!K$5*1000)</f>
        <v>57.889353556561083</v>
      </c>
      <c r="L50" s="263">
        <f>IF(L$17=0,0,L$17/AGR!L$5*1000)</f>
        <v>53.925740366694662</v>
      </c>
      <c r="M50" s="263">
        <f>IF(M$17=0,0,M$17/AGR!M$5*1000)</f>
        <v>50.27907605779189</v>
      </c>
      <c r="N50" s="263">
        <f>IF(N$17=0,0,N$17/AGR!N$5*1000)</f>
        <v>49.968455572593321</v>
      </c>
      <c r="O50" s="263">
        <f>IF(O$17=0,0,O$17/AGR!O$5*1000)</f>
        <v>49.35919980743558</v>
      </c>
      <c r="P50" s="263">
        <f>IF(P$17=0,0,P$17/AGR!P$5*1000)</f>
        <v>47.508338441636752</v>
      </c>
      <c r="Q50" s="263">
        <f>IF(Q$17=0,0,Q$17/AGR!Q$5*1000)</f>
        <v>48.165350908455764</v>
      </c>
      <c r="R50" s="263">
        <f>IF(R$17=0,0,R$17/AGR!R$5*1000)</f>
        <v>49.007606605146847</v>
      </c>
      <c r="S50" s="263">
        <f>IF(S$17=0,0,S$17/AGR!S$5*1000)</f>
        <v>45.673776751775421</v>
      </c>
      <c r="T50" s="263">
        <f>IF(T$17=0,0,T$17/AGR!T$5*1000)</f>
        <v>50.455142603839981</v>
      </c>
      <c r="U50" s="263">
        <f>IF(U$17=0,0,U$17/AGR!U$5*1000)</f>
        <v>50.565729120377199</v>
      </c>
      <c r="V50" s="263">
        <f>IF(V$17=0,0,V$17/AGR!V$5*1000)</f>
        <v>53.542158480484993</v>
      </c>
      <c r="W50" s="263">
        <f>IF(W$17=0,0,W$17/AGR!W$5*1000)</f>
        <v>50.880558503621096</v>
      </c>
      <c r="DA50" s="285"/>
    </row>
    <row r="51" spans="1:105" x14ac:dyDescent="0.25">
      <c r="A51" s="128" t="s">
        <v>174</v>
      </c>
      <c r="B51" s="263">
        <f>IF(B$25=0,0,B$25/AGR!B$5*1000)</f>
        <v>5.7021419099078399</v>
      </c>
      <c r="C51" s="263">
        <f>IF(C$25=0,0,C$25/AGR!C$5*1000)</f>
        <v>5.526019317882449</v>
      </c>
      <c r="D51" s="263">
        <f>IF(D$25=0,0,D$25/AGR!D$5*1000)</f>
        <v>5.8067586858932945</v>
      </c>
      <c r="E51" s="263">
        <f>IF(E$25=0,0,E$25/AGR!E$5*1000)</f>
        <v>6.1152446130994811</v>
      </c>
      <c r="F51" s="263">
        <f>IF(F$25=0,0,F$25/AGR!F$5*1000)</f>
        <v>5.9492964897927045</v>
      </c>
      <c r="G51" s="263">
        <f>IF(G$25=0,0,G$25/AGR!G$5*1000)</f>
        <v>6.7277820277141771</v>
      </c>
      <c r="H51" s="263">
        <f>IF(H$25=0,0,H$25/AGR!H$5*1000)</f>
        <v>6.4579336128453102</v>
      </c>
      <c r="I51" s="263">
        <f>IF(I$25=0,0,I$25/AGR!I$5*1000)</f>
        <v>5.9985419412948762</v>
      </c>
      <c r="J51" s="263">
        <f>IF(J$25=0,0,J$25/AGR!J$5*1000)</f>
        <v>6.1615742527984025</v>
      </c>
      <c r="K51" s="263">
        <f>IF(K$25=0,0,K$25/AGR!K$5*1000)</f>
        <v>6.9834878483022802</v>
      </c>
      <c r="L51" s="263">
        <f>IF(L$25=0,0,L$25/AGR!L$5*1000)</f>
        <v>6.4248449113978312</v>
      </c>
      <c r="M51" s="263">
        <f>IF(M$25=0,0,M$25/AGR!M$5*1000)</f>
        <v>5.9103327815537305</v>
      </c>
      <c r="N51" s="263">
        <f>IF(N$25=0,0,N$25/AGR!N$5*1000)</f>
        <v>6.0023513480077471</v>
      </c>
      <c r="O51" s="263">
        <f>IF(O$25=0,0,O$25/AGR!O$5*1000)</f>
        <v>5.896023884885631</v>
      </c>
      <c r="P51" s="263">
        <f>IF(P$25=0,0,P$25/AGR!P$5*1000)</f>
        <v>5.7575103455164953</v>
      </c>
      <c r="Q51" s="263">
        <f>IF(Q$25=0,0,Q$25/AGR!Q$5*1000)</f>
        <v>5.942721025401382</v>
      </c>
      <c r="R51" s="263">
        <f>IF(R$25=0,0,R$25/AGR!R$5*1000)</f>
        <v>6.0714861171587842</v>
      </c>
      <c r="S51" s="263">
        <f>IF(S$25=0,0,S$25/AGR!S$5*1000)</f>
        <v>5.4839763785212154</v>
      </c>
      <c r="T51" s="263">
        <f>IF(T$25=0,0,T$25/AGR!T$5*1000)</f>
        <v>6.2490771991869769</v>
      </c>
      <c r="U51" s="263">
        <f>IF(U$25=0,0,U$25/AGR!U$5*1000)</f>
        <v>6.1833300122144577</v>
      </c>
      <c r="V51" s="263">
        <f>IF(V$25=0,0,V$25/AGR!V$5*1000)</f>
        <v>6.4237924821401728</v>
      </c>
      <c r="W51" s="263">
        <f>IF(W$25=0,0,W$25/AGR!W$5*1000)</f>
        <v>6.1621115943119493</v>
      </c>
      <c r="DA51" s="285"/>
    </row>
    <row r="52" spans="1:105" x14ac:dyDescent="0.25">
      <c r="A52" s="128" t="s">
        <v>177</v>
      </c>
      <c r="B52" s="263">
        <f>IF(B$26=0,0,B$26/AGR!B$5*1000)</f>
        <v>3.4379611433897308</v>
      </c>
      <c r="C52" s="263">
        <f>IF(C$26=0,0,C$26/AGR!C$5*1000)</f>
        <v>3.3514126411908531</v>
      </c>
      <c r="D52" s="263">
        <f>IF(D$26=0,0,D$26/AGR!D$5*1000)</f>
        <v>3.4958589740791504</v>
      </c>
      <c r="E52" s="263">
        <f>IF(E$26=0,0,E$26/AGR!E$5*1000)</f>
        <v>3.841238641581104</v>
      </c>
      <c r="F52" s="263">
        <f>IF(F$26=0,0,F$26/AGR!F$5*1000)</f>
        <v>3.8153109571578678</v>
      </c>
      <c r="G52" s="263">
        <f>IF(G$26=0,0,G$26/AGR!G$5*1000)</f>
        <v>4.3271650319239061</v>
      </c>
      <c r="H52" s="263">
        <f>IF(H$26=0,0,H$26/AGR!H$5*1000)</f>
        <v>4.2294071974394365</v>
      </c>
      <c r="I52" s="263">
        <f>IF(I$26=0,0,I$26/AGR!I$5*1000)</f>
        <v>3.9351682686279621</v>
      </c>
      <c r="J52" s="263">
        <f>IF(J$26=0,0,J$26/AGR!J$5*1000)</f>
        <v>4.1027551182611388</v>
      </c>
      <c r="K52" s="263">
        <f>IF(K$26=0,0,K$26/AGR!K$5*1000)</f>
        <v>4.5324911736460214</v>
      </c>
      <c r="L52" s="263">
        <f>IF(L$26=0,0,L$26/AGR!L$5*1000)</f>
        <v>4.1820404406447489</v>
      </c>
      <c r="M52" s="263">
        <f>IF(M$26=0,0,M$26/AGR!M$5*1000)</f>
        <v>3.8054381633667758</v>
      </c>
      <c r="N52" s="263">
        <f>IF(N$26=0,0,N$26/AGR!N$5*1000)</f>
        <v>4.0170293683424321</v>
      </c>
      <c r="O52" s="263">
        <f>IF(O$26=0,0,O$26/AGR!O$5*1000)</f>
        <v>3.9611510567441703</v>
      </c>
      <c r="P52" s="263">
        <f>IF(P$26=0,0,P$26/AGR!P$5*1000)</f>
        <v>3.9901058483201615</v>
      </c>
      <c r="Q52" s="263">
        <f>IF(Q$26=0,0,Q$26/AGR!Q$5*1000)</f>
        <v>4.0531516504621168</v>
      </c>
      <c r="R52" s="263">
        <f>IF(R$26=0,0,R$26/AGR!R$5*1000)</f>
        <v>4.0974597773087078</v>
      </c>
      <c r="S52" s="263">
        <f>IF(S$26=0,0,S$26/AGR!S$5*1000)</f>
        <v>3.8401312058091754</v>
      </c>
      <c r="T52" s="263">
        <f>IF(T$26=0,0,T$26/AGR!T$5*1000)</f>
        <v>4.4565810035926958</v>
      </c>
      <c r="U52" s="263">
        <f>IF(U$26=0,0,U$26/AGR!U$5*1000)</f>
        <v>4.6215115573781071</v>
      </c>
      <c r="V52" s="263">
        <f>IF(V$26=0,0,V$26/AGR!V$5*1000)</f>
        <v>4.7983670266510572</v>
      </c>
      <c r="W52" s="263">
        <f>IF(W$26=0,0,W$26/AGR!W$5*1000)</f>
        <v>4.6826215674392646</v>
      </c>
      <c r="DA52" s="285"/>
    </row>
    <row r="53" spans="1:105" x14ac:dyDescent="0.25">
      <c r="A53" s="261" t="s">
        <v>33</v>
      </c>
      <c r="B53" s="264">
        <f>IF(B$27=0,0,B$27/AGR!B$5*1000)</f>
        <v>4.9850436579151092</v>
      </c>
      <c r="C53" s="264">
        <f>IF(C$27=0,0,C$27/AGR!C$5*1000)</f>
        <v>4.8595483297267368</v>
      </c>
      <c r="D53" s="264">
        <f>IF(D$27=0,0,D$27/AGR!D$5*1000)</f>
        <v>5.0689955124147685</v>
      </c>
      <c r="E53" s="264">
        <f>IF(E$27=0,0,E$27/AGR!E$5*1000)</f>
        <v>5.5697960302926015</v>
      </c>
      <c r="F53" s="264">
        <f>IF(F$27=0,0,F$27/AGR!F$5*1000)</f>
        <v>5.5322008878789077</v>
      </c>
      <c r="G53" s="264">
        <f>IF(G$27=0,0,G$27/AGR!G$5*1000)</f>
        <v>6.2743892962896659</v>
      </c>
      <c r="H53" s="264">
        <f>IF(H$27=0,0,H$27/AGR!H$5*1000)</f>
        <v>6.1326404362871827</v>
      </c>
      <c r="I53" s="264">
        <f>IF(I$27=0,0,I$27/AGR!I$5*1000)</f>
        <v>5.7059939895105432</v>
      </c>
      <c r="J53" s="264">
        <f>IF(J$27=0,0,J$27/AGR!J$5*1000)</f>
        <v>5.9489949214786542</v>
      </c>
      <c r="K53" s="264">
        <f>IF(K$27=0,0,K$27/AGR!K$5*1000)</f>
        <v>6.5721122017867293</v>
      </c>
      <c r="L53" s="264">
        <f>IF(L$27=0,0,L$27/AGR!L$5*1000)</f>
        <v>6.0639586389348814</v>
      </c>
      <c r="M53" s="264">
        <f>IF(M$27=0,0,M$27/AGR!M$5*1000)</f>
        <v>5.5178853368818235</v>
      </c>
      <c r="N53" s="264">
        <f>IF(N$27=0,0,N$27/AGR!N$5*1000)</f>
        <v>5.8246925840965265</v>
      </c>
      <c r="O53" s="264">
        <f>IF(O$27=0,0,O$27/AGR!O$5*1000)</f>
        <v>5.743669032279044</v>
      </c>
      <c r="P53" s="264">
        <f>IF(P$27=0,0,P$27/AGR!P$5*1000)</f>
        <v>5.7856534800642336</v>
      </c>
      <c r="Q53" s="264">
        <f>IF(Q$27=0,0,Q$27/AGR!Q$5*1000)</f>
        <v>5.8770698931700682</v>
      </c>
      <c r="R53" s="264">
        <f>IF(R$27=0,0,R$27/AGR!R$5*1000)</f>
        <v>5.9413166770976291</v>
      </c>
      <c r="S53" s="264">
        <f>IF(S$27=0,0,S$27/AGR!S$5*1000)</f>
        <v>5.5681902484233046</v>
      </c>
      <c r="T53" s="264">
        <f>IF(T$27=0,0,T$27/AGR!T$5*1000)</f>
        <v>6.4620424552094073</v>
      </c>
      <c r="U53" s="264">
        <f>IF(U$27=0,0,U$27/AGR!U$5*1000)</f>
        <v>6.7011917581982576</v>
      </c>
      <c r="V53" s="264">
        <f>IF(V$27=0,0,V$27/AGR!V$5*1000)</f>
        <v>6.957632188644034</v>
      </c>
      <c r="W53" s="264">
        <f>IF(W$27=0,0,W$27/AGR!W$5*1000)</f>
        <v>6.789801272786935</v>
      </c>
      <c r="DA53" s="286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374.65445821017875</v>
      </c>
      <c r="C5" s="80">
        <f t="shared" ref="C5:W5" si="1">SUM(C6:C9,C16:C17,C25:C27)</f>
        <v>362.13257542962992</v>
      </c>
      <c r="D5" s="80">
        <f t="shared" si="1"/>
        <v>358.63863565232714</v>
      </c>
      <c r="E5" s="80">
        <f t="shared" si="1"/>
        <v>351.91131566235873</v>
      </c>
      <c r="F5" s="80">
        <f t="shared" si="1"/>
        <v>347.21707597380788</v>
      </c>
      <c r="G5" s="80">
        <f t="shared" si="1"/>
        <v>348.78409223133491</v>
      </c>
      <c r="H5" s="80">
        <f t="shared" si="1"/>
        <v>351.36635053910993</v>
      </c>
      <c r="I5" s="80">
        <f t="shared" si="1"/>
        <v>337.66173898108968</v>
      </c>
      <c r="J5" s="80">
        <f t="shared" si="1"/>
        <v>336.52552937737909</v>
      </c>
      <c r="K5" s="80">
        <f t="shared" si="1"/>
        <v>335.61121335009847</v>
      </c>
      <c r="L5" s="80">
        <f t="shared" si="1"/>
        <v>342.00773405708924</v>
      </c>
      <c r="M5" s="80">
        <f t="shared" si="1"/>
        <v>328.67931930726741</v>
      </c>
      <c r="N5" s="80">
        <f t="shared" si="1"/>
        <v>305.51903459323819</v>
      </c>
      <c r="O5" s="80">
        <f t="shared" si="1"/>
        <v>310.86747094314853</v>
      </c>
      <c r="P5" s="80">
        <f t="shared" si="1"/>
        <v>294.66927681918082</v>
      </c>
      <c r="Q5" s="80">
        <f t="shared" si="1"/>
        <v>298.96270859179333</v>
      </c>
      <c r="R5" s="80">
        <f t="shared" si="1"/>
        <v>296.48245674978523</v>
      </c>
      <c r="S5" s="80">
        <f t="shared" si="1"/>
        <v>290.46382446922695</v>
      </c>
      <c r="T5" s="80">
        <f t="shared" si="1"/>
        <v>280.6276777834521</v>
      </c>
      <c r="U5" s="80">
        <f t="shared" si="1"/>
        <v>280.49749856763225</v>
      </c>
      <c r="V5" s="80">
        <f t="shared" si="1"/>
        <v>278.62367649529097</v>
      </c>
      <c r="W5" s="80">
        <f t="shared" si="1"/>
        <v>278.12760145636469</v>
      </c>
      <c r="DA5" s="103"/>
    </row>
    <row r="6" spans="1:105" x14ac:dyDescent="0.25">
      <c r="A6" s="239" t="s">
        <v>125</v>
      </c>
      <c r="B6" s="240">
        <v>12.121353578510201</v>
      </c>
      <c r="C6" s="240">
        <v>11.75303339481364</v>
      </c>
      <c r="D6" s="240">
        <v>11.616978994855231</v>
      </c>
      <c r="E6" s="240">
        <v>11.75358650847447</v>
      </c>
      <c r="F6" s="240">
        <v>11.590157118755389</v>
      </c>
      <c r="G6" s="240">
        <v>11.57853374617445</v>
      </c>
      <c r="H6" s="240">
        <v>11.896938232741091</v>
      </c>
      <c r="I6" s="240">
        <v>11.410670058120569</v>
      </c>
      <c r="J6" s="240">
        <v>11.60265729630239</v>
      </c>
      <c r="K6" s="240">
        <v>11.41916411112903</v>
      </c>
      <c r="L6" s="240">
        <v>11.628373092215771</v>
      </c>
      <c r="M6" s="240">
        <v>11.14933195503696</v>
      </c>
      <c r="N6" s="240">
        <v>10.65580123881651</v>
      </c>
      <c r="O6" s="240">
        <v>10.871591637492889</v>
      </c>
      <c r="P6" s="240">
        <v>10.52199049161827</v>
      </c>
      <c r="Q6" s="240">
        <v>10.61853132830961</v>
      </c>
      <c r="R6" s="240">
        <v>10.45157470647049</v>
      </c>
      <c r="S6" s="240">
        <v>10.37371999963197</v>
      </c>
      <c r="T6" s="240">
        <v>10.216536380064619</v>
      </c>
      <c r="U6" s="240">
        <v>10.47263360953834</v>
      </c>
      <c r="V6" s="240">
        <v>10.342284004691081</v>
      </c>
      <c r="W6" s="240">
        <v>10.47027074897202</v>
      </c>
      <c r="DA6" s="268" t="s">
        <v>1014</v>
      </c>
    </row>
    <row r="7" spans="1:105" x14ac:dyDescent="0.25">
      <c r="A7" s="241" t="s">
        <v>124</v>
      </c>
      <c r="B7" s="242">
        <v>7.8129171647165627</v>
      </c>
      <c r="C7" s="242">
        <v>7.5755133907340708</v>
      </c>
      <c r="D7" s="242">
        <v>7.4878184192207584</v>
      </c>
      <c r="E7" s="242">
        <v>7.5758699046486928</v>
      </c>
      <c r="F7" s="242">
        <v>7.4705301605446088</v>
      </c>
      <c r="G7" s="242">
        <v>7.4630382210874089</v>
      </c>
      <c r="H7" s="242">
        <v>7.6682684259739018</v>
      </c>
      <c r="I7" s="242">
        <v>7.3548403138789347</v>
      </c>
      <c r="J7" s="242">
        <v>7.4785872517833472</v>
      </c>
      <c r="K7" s="242">
        <v>7.3603152249206714</v>
      </c>
      <c r="L7" s="242">
        <v>7.4951625774674433</v>
      </c>
      <c r="M7" s="242">
        <v>7.1863927112121582</v>
      </c>
      <c r="N7" s="242">
        <v>6.8682834687831864</v>
      </c>
      <c r="O7" s="242">
        <v>7.0073729276360899</v>
      </c>
      <c r="P7" s="242">
        <v>6.7820346619286278</v>
      </c>
      <c r="Q7" s="242">
        <v>6.8442608444417017</v>
      </c>
      <c r="R7" s="242">
        <v>6.7366475941490496</v>
      </c>
      <c r="S7" s="242">
        <v>6.6864657088115047</v>
      </c>
      <c r="T7" s="242">
        <v>6.5851517267239563</v>
      </c>
      <c r="U7" s="242">
        <v>6.7502212816240688</v>
      </c>
      <c r="V7" s="242">
        <v>6.6662033822592068</v>
      </c>
      <c r="W7" s="242">
        <v>6.7486982806030316</v>
      </c>
      <c r="DA7" s="269" t="s">
        <v>1015</v>
      </c>
    </row>
    <row r="8" spans="1:105" x14ac:dyDescent="0.25">
      <c r="A8" s="241" t="s">
        <v>123</v>
      </c>
      <c r="B8" s="242">
        <v>15.526080819068261</v>
      </c>
      <c r="C8" s="242">
        <v>15.054304387308569</v>
      </c>
      <c r="D8" s="242">
        <v>14.88003411329486</v>
      </c>
      <c r="E8" s="242">
        <v>15.05501286325101</v>
      </c>
      <c r="F8" s="242">
        <v>14.845678328410941</v>
      </c>
      <c r="G8" s="242">
        <v>14.83079010483814</v>
      </c>
      <c r="H8" s="242">
        <v>15.23863018305779</v>
      </c>
      <c r="I8" s="242">
        <v>14.615775736151461</v>
      </c>
      <c r="J8" s="242">
        <v>14.861689639820231</v>
      </c>
      <c r="K8" s="242">
        <v>14.626655655843321</v>
      </c>
      <c r="L8" s="242">
        <v>14.894628661282759</v>
      </c>
      <c r="M8" s="242">
        <v>14.28103123065566</v>
      </c>
      <c r="N8" s="242">
        <v>13.64887429066537</v>
      </c>
      <c r="O8" s="242">
        <v>13.925277346489789</v>
      </c>
      <c r="P8" s="242">
        <v>13.47747788167495</v>
      </c>
      <c r="Q8" s="242">
        <v>13.601135757266309</v>
      </c>
      <c r="R8" s="242">
        <v>13.38728323764767</v>
      </c>
      <c r="S8" s="242">
        <v>13.287560177620559</v>
      </c>
      <c r="T8" s="242">
        <v>13.086225766819849</v>
      </c>
      <c r="U8" s="242">
        <v>13.414257306911029</v>
      </c>
      <c r="V8" s="242">
        <v>13.247294229191709</v>
      </c>
      <c r="W8" s="242">
        <v>13.411230750192001</v>
      </c>
      <c r="DA8" s="269" t="s">
        <v>1016</v>
      </c>
    </row>
    <row r="9" spans="1:105" x14ac:dyDescent="0.25">
      <c r="A9" s="243" t="s">
        <v>122</v>
      </c>
      <c r="B9" s="244">
        <f t="shared" ref="B9" si="2">SUM(B10:B15)</f>
        <v>128.10395013436309</v>
      </c>
      <c r="C9" s="244">
        <f t="shared" ref="C9:W9" si="3">SUM(C10:C15)</f>
        <v>124.76318695579548</v>
      </c>
      <c r="D9" s="244">
        <f t="shared" si="3"/>
        <v>123.66617055366885</v>
      </c>
      <c r="E9" s="244">
        <f t="shared" si="3"/>
        <v>121.89658048669631</v>
      </c>
      <c r="F9" s="244">
        <f t="shared" si="3"/>
        <v>120.55404037814534</v>
      </c>
      <c r="G9" s="244">
        <f t="shared" si="3"/>
        <v>120.51961347830522</v>
      </c>
      <c r="H9" s="244">
        <f t="shared" si="3"/>
        <v>122.29747468514745</v>
      </c>
      <c r="I9" s="244">
        <f t="shared" si="3"/>
        <v>117.48952856160344</v>
      </c>
      <c r="J9" s="244">
        <f t="shared" si="3"/>
        <v>117.80874082402408</v>
      </c>
      <c r="K9" s="244">
        <f t="shared" si="3"/>
        <v>117.13381398959937</v>
      </c>
      <c r="L9" s="244">
        <f t="shared" si="3"/>
        <v>119.06916361472265</v>
      </c>
      <c r="M9" s="244">
        <f t="shared" si="3"/>
        <v>112.3445348748848</v>
      </c>
      <c r="N9" s="244">
        <f t="shared" si="3"/>
        <v>105.8620995756072</v>
      </c>
      <c r="O9" s="244">
        <f t="shared" si="3"/>
        <v>107.47849167520219</v>
      </c>
      <c r="P9" s="244">
        <f t="shared" si="3"/>
        <v>102.93596174949194</v>
      </c>
      <c r="Q9" s="244">
        <f t="shared" si="3"/>
        <v>104.27298586206454</v>
      </c>
      <c r="R9" s="244">
        <f t="shared" si="3"/>
        <v>103.53035854586037</v>
      </c>
      <c r="S9" s="244">
        <f t="shared" si="3"/>
        <v>101.85680212967222</v>
      </c>
      <c r="T9" s="244">
        <f t="shared" si="3"/>
        <v>99.151544942118818</v>
      </c>
      <c r="U9" s="244">
        <f t="shared" si="3"/>
        <v>99.646143185626698</v>
      </c>
      <c r="V9" s="244">
        <f t="shared" si="3"/>
        <v>98.847361157855914</v>
      </c>
      <c r="W9" s="244">
        <f t="shared" si="3"/>
        <v>98.834313142381419</v>
      </c>
      <c r="DA9" s="270"/>
    </row>
    <row r="10" spans="1:105" x14ac:dyDescent="0.25">
      <c r="A10" s="254" t="s">
        <v>173</v>
      </c>
      <c r="B10" s="255">
        <v>59.454182569470163</v>
      </c>
      <c r="C10" s="255">
        <v>56.016720677943397</v>
      </c>
      <c r="D10" s="255">
        <v>56.456519126958582</v>
      </c>
      <c r="E10" s="255">
        <v>53.65675239031701</v>
      </c>
      <c r="F10" s="255">
        <v>49.504236799181498</v>
      </c>
      <c r="G10" s="255">
        <v>48.845895864163971</v>
      </c>
      <c r="H10" s="255">
        <v>48.927888776793303</v>
      </c>
      <c r="I10" s="255">
        <v>46.917807846577233</v>
      </c>
      <c r="J10" s="255">
        <v>47.478299562415671</v>
      </c>
      <c r="K10" s="255">
        <v>49.420297759141583</v>
      </c>
      <c r="L10" s="255">
        <v>49.875874941994439</v>
      </c>
      <c r="M10" s="255">
        <v>50.293498117704878</v>
      </c>
      <c r="N10" s="255">
        <v>44.772019869802129</v>
      </c>
      <c r="O10" s="255">
        <v>45.698047092059689</v>
      </c>
      <c r="P10" s="255">
        <v>41.755137445024133</v>
      </c>
      <c r="Q10" s="255">
        <v>43.717188352571632</v>
      </c>
      <c r="R10" s="255">
        <v>43.309807793448947</v>
      </c>
      <c r="S10" s="255">
        <v>39.296233493451638</v>
      </c>
      <c r="T10" s="255">
        <v>38.186207573711307</v>
      </c>
      <c r="U10" s="255">
        <v>35.881261011503128</v>
      </c>
      <c r="V10" s="255">
        <v>35.032789846597652</v>
      </c>
      <c r="W10" s="255">
        <v>34.73677302468716</v>
      </c>
      <c r="DA10" s="271" t="s">
        <v>1017</v>
      </c>
    </row>
    <row r="11" spans="1:105" x14ac:dyDescent="0.25">
      <c r="A11" s="254" t="s">
        <v>176</v>
      </c>
      <c r="B11" s="256">
        <v>13.40517760950061</v>
      </c>
      <c r="C11" s="256">
        <v>14.68287964983352</v>
      </c>
      <c r="D11" s="256">
        <v>13.855069100286</v>
      </c>
      <c r="E11" s="256">
        <v>12.60870919177415</v>
      </c>
      <c r="F11" s="256">
        <v>12.95211630198254</v>
      </c>
      <c r="G11" s="256">
        <v>12.92612981257758</v>
      </c>
      <c r="H11" s="256">
        <v>13.545741054329181</v>
      </c>
      <c r="I11" s="256">
        <v>11.49931650413804</v>
      </c>
      <c r="J11" s="256">
        <v>10.429223722486251</v>
      </c>
      <c r="K11" s="256">
        <v>9.5367573956462071</v>
      </c>
      <c r="L11" s="256">
        <v>10.13517838597706</v>
      </c>
      <c r="M11" s="256">
        <v>9.7294372734957548</v>
      </c>
      <c r="N11" s="256">
        <v>8.7719182717282447</v>
      </c>
      <c r="O11" s="256">
        <v>8.3657678407231941</v>
      </c>
      <c r="P11" s="256">
        <v>7.6089111369249904</v>
      </c>
      <c r="Q11" s="256">
        <v>7.8102569490443088</v>
      </c>
      <c r="R11" s="256">
        <v>8.8289041335552998</v>
      </c>
      <c r="S11" s="256">
        <v>9.341339011418988</v>
      </c>
      <c r="T11" s="256">
        <v>7.7550684114028519</v>
      </c>
      <c r="U11" s="256">
        <v>7.4361637073727227</v>
      </c>
      <c r="V11" s="256">
        <v>7.6871806325961316</v>
      </c>
      <c r="W11" s="256">
        <v>7.5516030389370279</v>
      </c>
      <c r="DA11" s="272" t="s">
        <v>1018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1019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1020</v>
      </c>
    </row>
    <row r="14" spans="1:105" x14ac:dyDescent="0.25">
      <c r="A14" s="254" t="s">
        <v>169</v>
      </c>
      <c r="B14" s="255">
        <v>29.513851373794679</v>
      </c>
      <c r="C14" s="255">
        <v>29.513851373792569</v>
      </c>
      <c r="D14" s="255">
        <v>29.51385137379215</v>
      </c>
      <c r="E14" s="255">
        <v>29.513851373798289</v>
      </c>
      <c r="F14" s="255">
        <v>31.07958579011062</v>
      </c>
      <c r="G14" s="255">
        <v>31.079585790120309</v>
      </c>
      <c r="H14" s="255">
        <v>31.079585790110279</v>
      </c>
      <c r="I14" s="255">
        <v>31.07958579011337</v>
      </c>
      <c r="J14" s="255">
        <v>31.07958579009021</v>
      </c>
      <c r="K14" s="255">
        <v>31.079585790079889</v>
      </c>
      <c r="L14" s="255">
        <v>31.079585790091841</v>
      </c>
      <c r="M14" s="255">
        <v>24.816704490842429</v>
      </c>
      <c r="N14" s="255">
        <v>24.816704490820101</v>
      </c>
      <c r="O14" s="255">
        <v>24.816704490820051</v>
      </c>
      <c r="P14" s="255">
        <v>24.816704490807741</v>
      </c>
      <c r="Q14" s="255">
        <v>24.816704490810942</v>
      </c>
      <c r="R14" s="255">
        <v>24.81670449081367</v>
      </c>
      <c r="S14" s="255">
        <v>24.816704490805879</v>
      </c>
      <c r="T14" s="255">
        <v>24.725278858183781</v>
      </c>
      <c r="U14" s="255">
        <v>24.23151280277737</v>
      </c>
      <c r="V14" s="255">
        <v>24.231512802777811</v>
      </c>
      <c r="W14" s="255">
        <v>23.196858725957689</v>
      </c>
      <c r="DA14" s="271" t="s">
        <v>1021</v>
      </c>
    </row>
    <row r="15" spans="1:105" x14ac:dyDescent="0.25">
      <c r="A15" s="254" t="s">
        <v>24</v>
      </c>
      <c r="B15" s="256">
        <v>25.730738581597642</v>
      </c>
      <c r="C15" s="256">
        <v>24.54973525422599</v>
      </c>
      <c r="D15" s="256">
        <v>23.840730952632121</v>
      </c>
      <c r="E15" s="256">
        <v>26.117267530806849</v>
      </c>
      <c r="F15" s="256">
        <v>27.01810148687068</v>
      </c>
      <c r="G15" s="256">
        <v>27.66800201144337</v>
      </c>
      <c r="H15" s="256">
        <v>28.744259063914679</v>
      </c>
      <c r="I15" s="256">
        <v>27.9928184207748</v>
      </c>
      <c r="J15" s="256">
        <v>28.821631749031951</v>
      </c>
      <c r="K15" s="256">
        <v>27.09717304473169</v>
      </c>
      <c r="L15" s="256">
        <v>27.978524496659318</v>
      </c>
      <c r="M15" s="256">
        <v>27.504894992841749</v>
      </c>
      <c r="N15" s="256">
        <v>27.50145694325672</v>
      </c>
      <c r="O15" s="256">
        <v>28.597972251599259</v>
      </c>
      <c r="P15" s="256">
        <v>28.75520867673508</v>
      </c>
      <c r="Q15" s="256">
        <v>27.928836069637651</v>
      </c>
      <c r="R15" s="256">
        <v>26.574942128042458</v>
      </c>
      <c r="S15" s="256">
        <v>28.402525133995709</v>
      </c>
      <c r="T15" s="256">
        <v>28.48499009882087</v>
      </c>
      <c r="U15" s="256">
        <v>32.09720566397349</v>
      </c>
      <c r="V15" s="256">
        <v>31.89587787588432</v>
      </c>
      <c r="W15" s="256">
        <v>33.349078352799538</v>
      </c>
      <c r="DA15" s="272" t="s">
        <v>1022</v>
      </c>
    </row>
    <row r="16" spans="1:105" x14ac:dyDescent="0.25">
      <c r="A16" s="257" t="s">
        <v>175</v>
      </c>
      <c r="B16" s="258">
        <v>74.866403577319176</v>
      </c>
      <c r="C16" s="258">
        <v>72.166103897316134</v>
      </c>
      <c r="D16" s="258">
        <v>71.857461615371264</v>
      </c>
      <c r="E16" s="258">
        <v>69.680578333698378</v>
      </c>
      <c r="F16" s="258">
        <v>67.30135225057829</v>
      </c>
      <c r="G16" s="258">
        <v>67.037963547946219</v>
      </c>
      <c r="H16" s="258">
        <v>67.646927629549566</v>
      </c>
      <c r="I16" s="258">
        <v>64.772749673556532</v>
      </c>
      <c r="J16" s="258">
        <v>64.88918942716505</v>
      </c>
      <c r="K16" s="258">
        <v>65.519190494835826</v>
      </c>
      <c r="L16" s="258">
        <v>66.526116475191259</v>
      </c>
      <c r="M16" s="258">
        <v>64.484435918862047</v>
      </c>
      <c r="N16" s="258">
        <v>59.29271147794995</v>
      </c>
      <c r="O16" s="258">
        <v>60.260087020987619</v>
      </c>
      <c r="P16" s="258">
        <v>56.538854998184412</v>
      </c>
      <c r="Q16" s="258">
        <v>57.976999620525717</v>
      </c>
      <c r="R16" s="258">
        <v>57.671444617382122</v>
      </c>
      <c r="S16" s="258">
        <v>55.167439533818772</v>
      </c>
      <c r="T16" s="258">
        <v>53.347806181906599</v>
      </c>
      <c r="U16" s="258">
        <v>52.178679735077552</v>
      </c>
      <c r="V16" s="258">
        <v>51.560045515333528</v>
      </c>
      <c r="W16" s="258">
        <v>51.309431627231078</v>
      </c>
      <c r="DA16" s="273" t="s">
        <v>1023</v>
      </c>
    </row>
    <row r="17" spans="1:105" x14ac:dyDescent="0.25">
      <c r="A17" s="257" t="s">
        <v>121</v>
      </c>
      <c r="B17" s="258">
        <f t="shared" ref="B17" si="4">SUM(B18:B24)</f>
        <v>95.814473968185041</v>
      </c>
      <c r="C17" s="258">
        <f t="shared" ref="C17:W17" si="5">SUM(C18:C24)</f>
        <v>91.696254761337315</v>
      </c>
      <c r="D17" s="258">
        <f t="shared" si="5"/>
        <v>90.388044099949255</v>
      </c>
      <c r="E17" s="258">
        <f t="shared" si="5"/>
        <v>87.158454632312356</v>
      </c>
      <c r="F17" s="258">
        <f t="shared" si="5"/>
        <v>87.393169310515916</v>
      </c>
      <c r="G17" s="258">
        <f t="shared" si="5"/>
        <v>89.356525863591131</v>
      </c>
      <c r="H17" s="258">
        <f t="shared" si="5"/>
        <v>87.741626730850925</v>
      </c>
      <c r="I17" s="258">
        <f t="shared" si="5"/>
        <v>84.745394749472524</v>
      </c>
      <c r="J17" s="258">
        <f t="shared" si="5"/>
        <v>82.115691435952698</v>
      </c>
      <c r="K17" s="258">
        <f t="shared" si="5"/>
        <v>82.157629562259672</v>
      </c>
      <c r="L17" s="258">
        <f t="shared" si="5"/>
        <v>84.340766796316061</v>
      </c>
      <c r="M17" s="258">
        <f t="shared" si="5"/>
        <v>82.65370583005577</v>
      </c>
      <c r="N17" s="258">
        <f t="shared" si="5"/>
        <v>74.544995283425934</v>
      </c>
      <c r="O17" s="258">
        <f t="shared" si="5"/>
        <v>76.008149663588227</v>
      </c>
      <c r="P17" s="258">
        <f t="shared" si="5"/>
        <v>70.472030652078132</v>
      </c>
      <c r="Q17" s="258">
        <f t="shared" si="5"/>
        <v>71.272787511106912</v>
      </c>
      <c r="R17" s="258">
        <f t="shared" si="5"/>
        <v>70.788122086907819</v>
      </c>
      <c r="S17" s="258">
        <f t="shared" si="5"/>
        <v>69.706491889139258</v>
      </c>
      <c r="T17" s="258">
        <f t="shared" si="5"/>
        <v>65.493248232347099</v>
      </c>
      <c r="U17" s="258">
        <f t="shared" si="5"/>
        <v>64.804664845903204</v>
      </c>
      <c r="V17" s="258">
        <f t="shared" si="5"/>
        <v>65.139058943042073</v>
      </c>
      <c r="W17" s="258">
        <f t="shared" si="5"/>
        <v>64.245595673461708</v>
      </c>
      <c r="DA17" s="273"/>
    </row>
    <row r="18" spans="1:105" x14ac:dyDescent="0.25">
      <c r="A18" s="61" t="s">
        <v>29</v>
      </c>
      <c r="B18" s="55">
        <v>5.9774280075422341</v>
      </c>
      <c r="C18" s="55">
        <v>6.7973431996416247</v>
      </c>
      <c r="D18" s="55">
        <v>4.7714340887276467</v>
      </c>
      <c r="E18" s="55">
        <v>6.4196210679360632</v>
      </c>
      <c r="F18" s="55">
        <v>7.6534299334504707</v>
      </c>
      <c r="G18" s="55">
        <v>9.2233394356753582</v>
      </c>
      <c r="H18" s="55">
        <v>10.60461999970248</v>
      </c>
      <c r="I18" s="55">
        <v>10.58657459887011</v>
      </c>
      <c r="J18" s="55">
        <v>9.6737679810385213</v>
      </c>
      <c r="K18" s="55">
        <v>7.0033514333055429</v>
      </c>
      <c r="L18" s="55">
        <v>7.5024258578336243</v>
      </c>
      <c r="M18" s="55">
        <v>6.8007746516987906</v>
      </c>
      <c r="N18" s="55">
        <v>6.6237117254447533</v>
      </c>
      <c r="O18" s="55">
        <v>8.6160733462276244</v>
      </c>
      <c r="P18" s="55">
        <v>5.8166543860678086</v>
      </c>
      <c r="Q18" s="55">
        <v>4.1367971228426201</v>
      </c>
      <c r="R18" s="55">
        <v>3.4812484843918998</v>
      </c>
      <c r="S18" s="55">
        <v>2.4970474786904311</v>
      </c>
      <c r="T18" s="55">
        <v>2.0236887595857529</v>
      </c>
      <c r="U18" s="55">
        <v>1.236755877281509</v>
      </c>
      <c r="V18" s="55">
        <v>0.75403131255772538</v>
      </c>
      <c r="W18" s="55">
        <v>0.71364110331624209</v>
      </c>
      <c r="DA18" s="101" t="s">
        <v>1024</v>
      </c>
    </row>
    <row r="19" spans="1:105" x14ac:dyDescent="0.25">
      <c r="A19" s="61" t="s">
        <v>27</v>
      </c>
      <c r="B19" s="55">
        <v>1.1974163836820431</v>
      </c>
      <c r="C19" s="55">
        <v>1.496776336543556</v>
      </c>
      <c r="D19" s="55">
        <v>1.1974163836822329</v>
      </c>
      <c r="E19" s="55">
        <v>1.1974163836816141</v>
      </c>
      <c r="F19" s="55">
        <v>0.8980564308211576</v>
      </c>
      <c r="G19" s="55">
        <v>0.89805643082052955</v>
      </c>
      <c r="H19" s="55">
        <v>0.89805643082124365</v>
      </c>
      <c r="I19" s="55">
        <v>0.89805643082108644</v>
      </c>
      <c r="J19" s="55">
        <v>0.59871990572371925</v>
      </c>
      <c r="K19" s="55">
        <v>0.89805643082378017</v>
      </c>
      <c r="L19" s="55">
        <v>0.89805643082272213</v>
      </c>
      <c r="M19" s="55">
        <v>0.89805643082071274</v>
      </c>
      <c r="N19" s="55">
        <v>0.89805643082286091</v>
      </c>
      <c r="O19" s="55">
        <v>0.89805643082282083</v>
      </c>
      <c r="P19" s="55">
        <v>0.89805643082376074</v>
      </c>
      <c r="Q19" s="55">
        <v>1.249519728118895</v>
      </c>
      <c r="R19" s="55">
        <v>1.2276381976778941</v>
      </c>
      <c r="S19" s="55">
        <v>1.701511555523386</v>
      </c>
      <c r="T19" s="55">
        <v>1.3225440647177</v>
      </c>
      <c r="U19" s="55">
        <v>1.6237079553145051</v>
      </c>
      <c r="V19" s="55">
        <v>1.5709954890489579</v>
      </c>
      <c r="W19" s="55">
        <v>1.6389594288873659</v>
      </c>
      <c r="DA19" s="101" t="s">
        <v>1025</v>
      </c>
    </row>
    <row r="20" spans="1:105" x14ac:dyDescent="0.25">
      <c r="A20" s="61" t="s">
        <v>173</v>
      </c>
      <c r="B20" s="55">
        <v>48.379841007902101</v>
      </c>
      <c r="C20" s="55">
        <v>47.500345928620717</v>
      </c>
      <c r="D20" s="55">
        <v>48.662155621434017</v>
      </c>
      <c r="E20" s="55">
        <v>47.784690401520272</v>
      </c>
      <c r="F20" s="55">
        <v>41.605944228014494</v>
      </c>
      <c r="G20" s="55">
        <v>38.705522271156077</v>
      </c>
      <c r="H20" s="55">
        <v>41.798416104604676</v>
      </c>
      <c r="I20" s="55">
        <v>39.112560752393151</v>
      </c>
      <c r="J20" s="55">
        <v>42.730608454338487</v>
      </c>
      <c r="K20" s="55">
        <v>44.429660045229973</v>
      </c>
      <c r="L20" s="55">
        <v>43.781023007597739</v>
      </c>
      <c r="M20" s="55">
        <v>41.315933431256553</v>
      </c>
      <c r="N20" s="55">
        <v>39.804625456663153</v>
      </c>
      <c r="O20" s="55">
        <v>40.043733273877848</v>
      </c>
      <c r="P20" s="55">
        <v>38.786467948624278</v>
      </c>
      <c r="Q20" s="55">
        <v>41.484833153928363</v>
      </c>
      <c r="R20" s="55">
        <v>41.461931143805558</v>
      </c>
      <c r="S20" s="55">
        <v>36.671183660335018</v>
      </c>
      <c r="T20" s="55">
        <v>38.292777274659812</v>
      </c>
      <c r="U20" s="55">
        <v>36.308509540036297</v>
      </c>
      <c r="V20" s="55">
        <v>34.27119260975963</v>
      </c>
      <c r="W20" s="55">
        <v>34.851012515370748</v>
      </c>
      <c r="DA20" s="101" t="s">
        <v>1026</v>
      </c>
    </row>
    <row r="21" spans="1:105" x14ac:dyDescent="0.25">
      <c r="A21" s="61" t="s">
        <v>129</v>
      </c>
      <c r="B21" s="55">
        <v>17.437018876702592</v>
      </c>
      <c r="C21" s="55">
        <v>12.457995827206711</v>
      </c>
      <c r="D21" s="55">
        <v>12.809429261232429</v>
      </c>
      <c r="E21" s="55">
        <v>9.6953582707676595</v>
      </c>
      <c r="F21" s="55">
        <v>15.579895470262549</v>
      </c>
      <c r="G21" s="55">
        <v>19.56643325854871</v>
      </c>
      <c r="H21" s="55">
        <v>12.21791714767415</v>
      </c>
      <c r="I21" s="55">
        <v>13.86368781049913</v>
      </c>
      <c r="J21" s="55">
        <v>8.7953554922287775</v>
      </c>
      <c r="K21" s="55">
        <v>10.07459907884269</v>
      </c>
      <c r="L21" s="55">
        <v>11.85896820717746</v>
      </c>
      <c r="M21" s="55">
        <v>14.273074150118729</v>
      </c>
      <c r="N21" s="55">
        <v>8.0385857415177924</v>
      </c>
      <c r="O21" s="55">
        <v>7.7138323555293047</v>
      </c>
      <c r="P21" s="55">
        <v>6.5064871143525496</v>
      </c>
      <c r="Q21" s="55">
        <v>5.4007682220353921</v>
      </c>
      <c r="R21" s="55">
        <v>4.501182971608781</v>
      </c>
      <c r="S21" s="55">
        <v>8.4607066893727669</v>
      </c>
      <c r="T21" s="55">
        <v>4.4601190792020242</v>
      </c>
      <c r="U21" s="55">
        <v>6.5669243123716408</v>
      </c>
      <c r="V21" s="55">
        <v>9.7640834023651504</v>
      </c>
      <c r="W21" s="55">
        <v>7.2703130905992337</v>
      </c>
      <c r="DA21" s="101" t="s">
        <v>1027</v>
      </c>
    </row>
    <row r="22" spans="1:105" x14ac:dyDescent="0.25">
      <c r="A22" s="61" t="s">
        <v>176</v>
      </c>
      <c r="B22" s="55">
        <v>10.647038875001011</v>
      </c>
      <c r="C22" s="55">
        <v>12.152470447186561</v>
      </c>
      <c r="D22" s="55">
        <v>11.6562857227353</v>
      </c>
      <c r="E22" s="55">
        <v>10.95996745533019</v>
      </c>
      <c r="F22" s="55">
        <v>10.62497682722449</v>
      </c>
      <c r="G22" s="55">
        <v>9.9974124303704333</v>
      </c>
      <c r="H22" s="55">
        <v>11.294847218138059</v>
      </c>
      <c r="I22" s="55">
        <v>9.356745326980672</v>
      </c>
      <c r="J22" s="55">
        <v>9.1615751297882504</v>
      </c>
      <c r="K22" s="55">
        <v>8.3684034583044635</v>
      </c>
      <c r="L22" s="55">
        <v>8.6836241515650787</v>
      </c>
      <c r="M22" s="55">
        <v>7.8013127850690793</v>
      </c>
      <c r="N22" s="55">
        <v>7.6119455595383423</v>
      </c>
      <c r="O22" s="55">
        <v>7.1551207984204099</v>
      </c>
      <c r="P22" s="55">
        <v>6.8986969947774126</v>
      </c>
      <c r="Q22" s="55">
        <v>7.2339697752667327</v>
      </c>
      <c r="R22" s="55">
        <v>8.2498169774118093</v>
      </c>
      <c r="S22" s="55">
        <v>8.5085857303636203</v>
      </c>
      <c r="T22" s="55">
        <v>7.5904970006052821</v>
      </c>
      <c r="U22" s="55">
        <v>7.3445283102654209</v>
      </c>
      <c r="V22" s="55">
        <v>7.3399959969488666</v>
      </c>
      <c r="W22" s="55">
        <v>7.3950195187107486</v>
      </c>
      <c r="DA22" s="101" t="s">
        <v>1028</v>
      </c>
    </row>
    <row r="23" spans="1:105" x14ac:dyDescent="0.25">
      <c r="A23" s="61" t="s">
        <v>171</v>
      </c>
      <c r="B23" s="55">
        <v>12.17573081735506</v>
      </c>
      <c r="C23" s="55">
        <v>11.291323022138149</v>
      </c>
      <c r="D23" s="55">
        <v>11.291323022137631</v>
      </c>
      <c r="E23" s="55">
        <v>11.101401053076559</v>
      </c>
      <c r="F23" s="55">
        <v>11.030866420742759</v>
      </c>
      <c r="G23" s="55">
        <v>10.965762037020029</v>
      </c>
      <c r="H23" s="55">
        <v>10.9277698299103</v>
      </c>
      <c r="I23" s="55">
        <v>10.927769829908391</v>
      </c>
      <c r="J23" s="55">
        <v>11.15566447283495</v>
      </c>
      <c r="K23" s="55">
        <v>11.383559115753229</v>
      </c>
      <c r="L23" s="55">
        <v>11.61666914131944</v>
      </c>
      <c r="M23" s="55">
        <v>11.564554381091909</v>
      </c>
      <c r="N23" s="55">
        <v>11.568070369439029</v>
      </c>
      <c r="O23" s="55">
        <v>11.581333458710221</v>
      </c>
      <c r="P23" s="55">
        <v>11.56566777743233</v>
      </c>
      <c r="Q23" s="55">
        <v>11.76689950891492</v>
      </c>
      <c r="R23" s="55">
        <v>11.866304312011881</v>
      </c>
      <c r="S23" s="55">
        <v>11.86745677485403</v>
      </c>
      <c r="T23" s="55">
        <v>11.803622053576531</v>
      </c>
      <c r="U23" s="55">
        <v>11.72423885063384</v>
      </c>
      <c r="V23" s="55">
        <v>11.43876013236175</v>
      </c>
      <c r="W23" s="55">
        <v>12.37665001657737</v>
      </c>
      <c r="DA23" s="101" t="s">
        <v>1029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1030</v>
      </c>
    </row>
    <row r="25" spans="1:105" x14ac:dyDescent="0.25">
      <c r="A25" s="257" t="s">
        <v>174</v>
      </c>
      <c r="B25" s="258">
        <v>10.070342354391631</v>
      </c>
      <c r="C25" s="258">
        <v>9.7071227934439612</v>
      </c>
      <c r="D25" s="258">
        <v>9.6656070628129882</v>
      </c>
      <c r="E25" s="258">
        <v>9.3727926779286239</v>
      </c>
      <c r="F25" s="258">
        <v>9.052760994147091</v>
      </c>
      <c r="G25" s="258">
        <v>9.0173323601932118</v>
      </c>
      <c r="H25" s="258">
        <v>9.0992446264467919</v>
      </c>
      <c r="I25" s="258">
        <v>8.7126365536494479</v>
      </c>
      <c r="J25" s="258">
        <v>8.7282989619724027</v>
      </c>
      <c r="K25" s="258">
        <v>8.8130409307585023</v>
      </c>
      <c r="L25" s="258">
        <v>8.9484833837573099</v>
      </c>
      <c r="M25" s="258">
        <v>8.6738552301649428</v>
      </c>
      <c r="N25" s="258">
        <v>7.9755120477566734</v>
      </c>
      <c r="O25" s="258">
        <v>8.1056345384623132</v>
      </c>
      <c r="P25" s="258">
        <v>7.6050885170275881</v>
      </c>
      <c r="Q25" s="258">
        <v>7.7985345490270737</v>
      </c>
      <c r="R25" s="258">
        <v>7.7574340908412429</v>
      </c>
      <c r="S25" s="258">
        <v>7.420618279693354</v>
      </c>
      <c r="T25" s="258">
        <v>7.1758578806673734</v>
      </c>
      <c r="U25" s="258">
        <v>7.0185977077116499</v>
      </c>
      <c r="V25" s="258">
        <v>6.9353847031156697</v>
      </c>
      <c r="W25" s="258">
        <v>6.9016744201133573</v>
      </c>
      <c r="DA25" s="273" t="s">
        <v>1031</v>
      </c>
    </row>
    <row r="26" spans="1:105" x14ac:dyDescent="0.25">
      <c r="A26" s="257" t="s">
        <v>177</v>
      </c>
      <c r="B26" s="258">
        <v>12.01987256110241</v>
      </c>
      <c r="C26" s="258">
        <v>11.654635985744729</v>
      </c>
      <c r="D26" s="258">
        <v>11.51972064495502</v>
      </c>
      <c r="E26" s="258">
        <v>11.655184468690299</v>
      </c>
      <c r="F26" s="258">
        <v>11.493123323914791</v>
      </c>
      <c r="G26" s="258">
        <v>11.4815972632114</v>
      </c>
      <c r="H26" s="258">
        <v>11.79733603995985</v>
      </c>
      <c r="I26" s="258">
        <v>11.31513894442913</v>
      </c>
      <c r="J26" s="258">
        <v>11.505518848897459</v>
      </c>
      <c r="K26" s="258">
        <v>11.323561884493341</v>
      </c>
      <c r="L26" s="258">
        <v>11.53101934994992</v>
      </c>
      <c r="M26" s="258">
        <v>11.055988786480251</v>
      </c>
      <c r="N26" s="258">
        <v>10.56658995197413</v>
      </c>
      <c r="O26" s="258">
        <v>10.78057373482476</v>
      </c>
      <c r="P26" s="258">
        <v>10.433899479890201</v>
      </c>
      <c r="Q26" s="258">
        <v>10.52963206837185</v>
      </c>
      <c r="R26" s="258">
        <v>10.36407322176777</v>
      </c>
      <c r="S26" s="258">
        <v>10.28687032124847</v>
      </c>
      <c r="T26" s="258">
        <v>10.131002656498399</v>
      </c>
      <c r="U26" s="258">
        <v>10.38495581788319</v>
      </c>
      <c r="V26" s="258">
        <v>10.255697511168011</v>
      </c>
      <c r="W26" s="258">
        <v>10.38261273938928</v>
      </c>
      <c r="DA26" s="273" t="s">
        <v>1032</v>
      </c>
    </row>
    <row r="27" spans="1:105" x14ac:dyDescent="0.25">
      <c r="A27" s="129" t="s">
        <v>33</v>
      </c>
      <c r="B27" s="259">
        <v>18.319064052522361</v>
      </c>
      <c r="C27" s="259">
        <v>17.762419863136088</v>
      </c>
      <c r="D27" s="259">
        <v>17.556800148198949</v>
      </c>
      <c r="E27" s="259">
        <v>17.763255786658611</v>
      </c>
      <c r="F27" s="259">
        <v>17.516264108795479</v>
      </c>
      <c r="G27" s="259">
        <v>17.498697645987729</v>
      </c>
      <c r="H27" s="259">
        <v>17.97990398538251</v>
      </c>
      <c r="I27" s="259">
        <v>17.245004390227631</v>
      </c>
      <c r="J27" s="259">
        <v>17.53515569146143</v>
      </c>
      <c r="K27" s="259">
        <v>17.257841496258699</v>
      </c>
      <c r="L27" s="259">
        <v>17.574020106186008</v>
      </c>
      <c r="M27" s="259">
        <v>16.850042769914779</v>
      </c>
      <c r="N27" s="259">
        <v>16.104167258259181</v>
      </c>
      <c r="O27" s="259">
        <v>16.430292398464669</v>
      </c>
      <c r="P27" s="259">
        <v>15.901938387286689</v>
      </c>
      <c r="Q27" s="259">
        <v>16.047841050679679</v>
      </c>
      <c r="R27" s="259">
        <v>15.795518648758669</v>
      </c>
      <c r="S27" s="259">
        <v>15.67785642959085</v>
      </c>
      <c r="T27" s="259">
        <v>15.44030401630538</v>
      </c>
      <c r="U27" s="259">
        <v>15.827345077356521</v>
      </c>
      <c r="V27" s="259">
        <v>15.630347048633769</v>
      </c>
      <c r="W27" s="259">
        <v>15.823774074020861</v>
      </c>
      <c r="DA27" s="274" t="s">
        <v>1033</v>
      </c>
    </row>
    <row r="29" spans="1:105" ht="12.75" x14ac:dyDescent="0.25">
      <c r="A29" s="179" t="s">
        <v>132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</v>
      </c>
      <c r="C31" s="236">
        <f t="shared" si="6"/>
        <v>1</v>
      </c>
      <c r="D31" s="236">
        <f t="shared" si="6"/>
        <v>1.0000000000000002</v>
      </c>
      <c r="E31" s="236">
        <f t="shared" si="6"/>
        <v>1</v>
      </c>
      <c r="F31" s="236">
        <f t="shared" si="6"/>
        <v>0.99999999999999989</v>
      </c>
      <c r="G31" s="236">
        <f t="shared" si="6"/>
        <v>1</v>
      </c>
      <c r="H31" s="236">
        <f t="shared" si="6"/>
        <v>0.99999999999999989</v>
      </c>
      <c r="I31" s="236">
        <f t="shared" si="6"/>
        <v>1</v>
      </c>
      <c r="J31" s="236">
        <f t="shared" si="6"/>
        <v>1.0000000000000002</v>
      </c>
      <c r="K31" s="236">
        <f t="shared" si="6"/>
        <v>0.99999999999999989</v>
      </c>
      <c r="L31" s="236">
        <f t="shared" si="6"/>
        <v>0.99999999999999978</v>
      </c>
      <c r="M31" s="236">
        <f t="shared" si="6"/>
        <v>0.99999999999999989</v>
      </c>
      <c r="N31" s="236">
        <f t="shared" si="6"/>
        <v>0.99999999999999978</v>
      </c>
      <c r="O31" s="236">
        <f t="shared" si="6"/>
        <v>1</v>
      </c>
      <c r="P31" s="236">
        <f t="shared" si="6"/>
        <v>1</v>
      </c>
      <c r="Q31" s="236">
        <f t="shared" si="6"/>
        <v>1.0000000000000002</v>
      </c>
      <c r="R31" s="236">
        <f t="shared" ref="R31:W31" si="7">SUM(R32:R40)</f>
        <v>0.99999999999999978</v>
      </c>
      <c r="S31" s="236">
        <f t="shared" si="7"/>
        <v>1</v>
      </c>
      <c r="T31" s="236">
        <f t="shared" si="7"/>
        <v>1</v>
      </c>
      <c r="U31" s="236">
        <f t="shared" si="7"/>
        <v>1</v>
      </c>
      <c r="V31" s="236">
        <f t="shared" si="7"/>
        <v>1</v>
      </c>
      <c r="W31" s="236">
        <f t="shared" si="7"/>
        <v>1.0000000000000002</v>
      </c>
      <c r="DA31" s="275"/>
    </row>
    <row r="32" spans="1:105" x14ac:dyDescent="0.25">
      <c r="A32" s="239" t="s">
        <v>125</v>
      </c>
      <c r="B32" s="245">
        <f t="shared" ref="B32:W32" si="8">IF(B$6=0,0,B$6/B$5)</f>
        <v>3.2353421433758037E-2</v>
      </c>
      <c r="C32" s="245">
        <f t="shared" si="8"/>
        <v>3.2455057048844549E-2</v>
      </c>
      <c r="D32" s="245">
        <f t="shared" si="8"/>
        <v>3.2391878174879651E-2</v>
      </c>
      <c r="E32" s="245">
        <f t="shared" si="8"/>
        <v>3.3399285517012038E-2</v>
      </c>
      <c r="F32" s="245">
        <f t="shared" si="8"/>
        <v>3.3380147235701291E-2</v>
      </c>
      <c r="G32" s="245">
        <f t="shared" si="8"/>
        <v>3.319685158833121E-2</v>
      </c>
      <c r="H32" s="245">
        <f t="shared" si="8"/>
        <v>3.3859071064964899E-2</v>
      </c>
      <c r="I32" s="245">
        <f t="shared" si="8"/>
        <v>3.3793198164982531E-2</v>
      </c>
      <c r="J32" s="245">
        <f t="shared" si="8"/>
        <v>3.4477792272607027E-2</v>
      </c>
      <c r="K32" s="245">
        <f t="shared" si="8"/>
        <v>3.4024977881823446E-2</v>
      </c>
      <c r="L32" s="245">
        <f t="shared" si="8"/>
        <v>3.40003220227608E-2</v>
      </c>
      <c r="M32" s="245">
        <f t="shared" si="8"/>
        <v>3.3921610822778767E-2</v>
      </c>
      <c r="N32" s="245">
        <f t="shared" si="8"/>
        <v>3.4877700019586101E-2</v>
      </c>
      <c r="O32" s="245">
        <f t="shared" si="8"/>
        <v>3.4971789118074331E-2</v>
      </c>
      <c r="P32" s="245">
        <f t="shared" si="8"/>
        <v>3.5707796229041293E-2</v>
      </c>
      <c r="Q32" s="245">
        <f t="shared" si="8"/>
        <v>3.5517912512654744E-2</v>
      </c>
      <c r="R32" s="245">
        <f t="shared" si="8"/>
        <v>3.525191615398357E-2</v>
      </c>
      <c r="S32" s="245">
        <f t="shared" si="8"/>
        <v>3.571432696855855E-2</v>
      </c>
      <c r="T32" s="245">
        <f t="shared" si="8"/>
        <v>3.6406018325634532E-2</v>
      </c>
      <c r="U32" s="245">
        <f t="shared" si="8"/>
        <v>3.7335925143778877E-2</v>
      </c>
      <c r="V32" s="245">
        <f t="shared" si="8"/>
        <v>3.7119185759024599E-2</v>
      </c>
      <c r="W32" s="245">
        <f t="shared" si="8"/>
        <v>3.7645565179961815E-2</v>
      </c>
      <c r="DA32" s="276"/>
    </row>
    <row r="33" spans="1:105" x14ac:dyDescent="0.25">
      <c r="A33" s="241" t="s">
        <v>124</v>
      </c>
      <c r="B33" s="246">
        <f t="shared" ref="B33:W33" si="9">IF(B$7=0,0,B$7/B$5)</f>
        <v>2.0853661269749434E-2</v>
      </c>
      <c r="C33" s="246">
        <f t="shared" si="9"/>
        <v>2.0919171333168712E-2</v>
      </c>
      <c r="D33" s="246">
        <f t="shared" si="9"/>
        <v>2.0878448875429105E-2</v>
      </c>
      <c r="E33" s="246">
        <f t="shared" si="9"/>
        <v>2.1527781482074761E-2</v>
      </c>
      <c r="F33" s="246">
        <f t="shared" si="9"/>
        <v>2.1515445746994724E-2</v>
      </c>
      <c r="G33" s="246">
        <f t="shared" si="9"/>
        <v>2.1397301044731896E-2</v>
      </c>
      <c r="H33" s="246">
        <f t="shared" si="9"/>
        <v>2.1824140001477921E-2</v>
      </c>
      <c r="I33" s="246">
        <f t="shared" si="9"/>
        <v>2.1781681087328739E-2</v>
      </c>
      <c r="J33" s="246">
        <f t="shared" si="9"/>
        <v>2.2222941794697762E-2</v>
      </c>
      <c r="K33" s="246">
        <f t="shared" si="9"/>
        <v>2.1931076591420785E-2</v>
      </c>
      <c r="L33" s="246">
        <f t="shared" si="9"/>
        <v>2.191518445666589E-2</v>
      </c>
      <c r="M33" s="246">
        <f t="shared" si="9"/>
        <v>2.1864450511697466E-2</v>
      </c>
      <c r="N33" s="246">
        <f t="shared" si="9"/>
        <v>2.2480705589841495E-2</v>
      </c>
      <c r="O33" s="246">
        <f t="shared" si="9"/>
        <v>2.2541351484528915E-2</v>
      </c>
      <c r="P33" s="246">
        <f t="shared" si="9"/>
        <v>2.3015750861907186E-2</v>
      </c>
      <c r="Q33" s="246">
        <f t="shared" si="9"/>
        <v>2.2893359766106895E-2</v>
      </c>
      <c r="R33" s="246">
        <f t="shared" si="9"/>
        <v>2.272190964686456E-2</v>
      </c>
      <c r="S33" s="246">
        <f t="shared" si="9"/>
        <v>2.301996030324905E-2</v>
      </c>
      <c r="T33" s="246">
        <f t="shared" si="9"/>
        <v>2.3465795600551651E-2</v>
      </c>
      <c r="U33" s="246">
        <f t="shared" si="9"/>
        <v>2.4065174613300471E-2</v>
      </c>
      <c r="V33" s="246">
        <f t="shared" si="9"/>
        <v>2.392547347774256E-2</v>
      </c>
      <c r="W33" s="246">
        <f t="shared" si="9"/>
        <v>2.4264755620314913E-2</v>
      </c>
      <c r="DA33" s="277"/>
    </row>
    <row r="34" spans="1:105" x14ac:dyDescent="0.25">
      <c r="A34" s="241" t="s">
        <v>123</v>
      </c>
      <c r="B34" s="246">
        <f t="shared" ref="B34:W34" si="10">IF(B$8=0,0,B$8/B$5)</f>
        <v>4.1441067839524358E-2</v>
      </c>
      <c r="C34" s="246">
        <f t="shared" si="10"/>
        <v>4.1571251549099984E-2</v>
      </c>
      <c r="D34" s="246">
        <f t="shared" si="10"/>
        <v>4.1490326568495876E-2</v>
      </c>
      <c r="E34" s="246">
        <f t="shared" si="10"/>
        <v>4.2780701253993039E-2</v>
      </c>
      <c r="F34" s="246">
        <f t="shared" si="10"/>
        <v>4.2756187283631224E-2</v>
      </c>
      <c r="G34" s="246">
        <f t="shared" si="10"/>
        <v>4.2521406323203108E-2</v>
      </c>
      <c r="H34" s="246">
        <f t="shared" si="10"/>
        <v>4.3369634456107677E-2</v>
      </c>
      <c r="I34" s="246">
        <f t="shared" si="10"/>
        <v>4.3285258733356223E-2</v>
      </c>
      <c r="J34" s="246">
        <f t="shared" si="10"/>
        <v>4.4162146233946965E-2</v>
      </c>
      <c r="K34" s="246">
        <f t="shared" si="10"/>
        <v>4.3582142294468808E-2</v>
      </c>
      <c r="L34" s="246">
        <f t="shared" si="10"/>
        <v>4.3550560932041647E-2</v>
      </c>
      <c r="M34" s="246">
        <f t="shared" si="10"/>
        <v>4.3449740801321822E-2</v>
      </c>
      <c r="N34" s="246">
        <f t="shared" si="10"/>
        <v>4.4674382756011266E-2</v>
      </c>
      <c r="O34" s="246">
        <f t="shared" si="10"/>
        <v>4.4794900232698984E-2</v>
      </c>
      <c r="P34" s="246">
        <f t="shared" si="10"/>
        <v>4.5737641966472106E-2</v>
      </c>
      <c r="Q34" s="246">
        <f t="shared" si="10"/>
        <v>4.5494422435934767E-2</v>
      </c>
      <c r="R34" s="246">
        <f t="shared" si="10"/>
        <v>4.5153711232721591E-2</v>
      </c>
      <c r="S34" s="246">
        <f t="shared" si="10"/>
        <v>4.5746007103987241E-2</v>
      </c>
      <c r="T34" s="246">
        <f t="shared" si="10"/>
        <v>4.6631985377144115E-2</v>
      </c>
      <c r="U34" s="246">
        <f t="shared" si="10"/>
        <v>4.7823090670723559E-2</v>
      </c>
      <c r="V34" s="246">
        <f t="shared" si="10"/>
        <v>4.7545472071235134E-2</v>
      </c>
      <c r="W34" s="246">
        <f t="shared" si="10"/>
        <v>4.8219704480844498E-2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0.34192559924776766</v>
      </c>
      <c r="C35" s="247">
        <f t="shared" si="11"/>
        <v>0.34452351271568943</v>
      </c>
      <c r="D35" s="247">
        <f t="shared" si="11"/>
        <v>0.34482110475557853</v>
      </c>
      <c r="E35" s="247">
        <f t="shared" si="11"/>
        <v>0.3463843731687502</v>
      </c>
      <c r="F35" s="247">
        <f t="shared" si="11"/>
        <v>0.34720078221970646</v>
      </c>
      <c r="G35" s="247">
        <f t="shared" si="11"/>
        <v>0.34554217397727316</v>
      </c>
      <c r="H35" s="247">
        <f t="shared" si="11"/>
        <v>0.34806256916037481</v>
      </c>
      <c r="I35" s="247">
        <f t="shared" si="11"/>
        <v>0.34795037458532807</v>
      </c>
      <c r="J35" s="247">
        <f t="shared" si="11"/>
        <v>0.3500737107285361</v>
      </c>
      <c r="K35" s="247">
        <f t="shared" si="11"/>
        <v>0.34901638959068176</v>
      </c>
      <c r="L35" s="247">
        <f t="shared" si="11"/>
        <v>0.34814757608623897</v>
      </c>
      <c r="M35" s="247">
        <f t="shared" si="11"/>
        <v>0.34180591316686704</v>
      </c>
      <c r="N35" s="247">
        <f t="shared" si="11"/>
        <v>0.34649919510432414</v>
      </c>
      <c r="O35" s="247">
        <f t="shared" si="11"/>
        <v>0.34573733735833001</v>
      </c>
      <c r="P35" s="247">
        <f t="shared" si="11"/>
        <v>0.34932709259899186</v>
      </c>
      <c r="Q35" s="247">
        <f t="shared" si="11"/>
        <v>0.34878258346407987</v>
      </c>
      <c r="R35" s="247">
        <f t="shared" si="11"/>
        <v>0.349195563477249</v>
      </c>
      <c r="S35" s="247">
        <f t="shared" si="11"/>
        <v>0.35066949323482238</v>
      </c>
      <c r="T35" s="247">
        <f t="shared" si="11"/>
        <v>0.35332061942453752</v>
      </c>
      <c r="U35" s="247">
        <f t="shared" si="11"/>
        <v>0.35524788525556311</v>
      </c>
      <c r="V35" s="247">
        <f t="shared" si="11"/>
        <v>0.35477014158029224</v>
      </c>
      <c r="W35" s="247">
        <f t="shared" si="11"/>
        <v>0.3553560043118823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0.19982787322210271</v>
      </c>
      <c r="C36" s="260">
        <f t="shared" si="12"/>
        <v>0.1992808954336657</v>
      </c>
      <c r="D36" s="260">
        <f t="shared" si="12"/>
        <v>0.20036174151920319</v>
      </c>
      <c r="E36" s="260">
        <f t="shared" si="12"/>
        <v>0.19800607491847008</v>
      </c>
      <c r="F36" s="260">
        <f t="shared" si="12"/>
        <v>0.1938307672853484</v>
      </c>
      <c r="G36" s="260">
        <f t="shared" si="12"/>
        <v>0.19220476231892636</v>
      </c>
      <c r="H36" s="260">
        <f t="shared" si="12"/>
        <v>0.19252534434716712</v>
      </c>
      <c r="I36" s="260">
        <f t="shared" si="12"/>
        <v>0.1918273295310608</v>
      </c>
      <c r="J36" s="260">
        <f t="shared" si="12"/>
        <v>0.19282100097196025</v>
      </c>
      <c r="K36" s="260">
        <f t="shared" si="12"/>
        <v>0.19522348446232748</v>
      </c>
      <c r="L36" s="260">
        <f t="shared" si="12"/>
        <v>0.1945164095736106</v>
      </c>
      <c r="M36" s="260">
        <f t="shared" si="12"/>
        <v>0.19619255648566825</v>
      </c>
      <c r="N36" s="260">
        <f t="shared" si="12"/>
        <v>0.19407207003285756</v>
      </c>
      <c r="O36" s="260">
        <f t="shared" si="12"/>
        <v>0.19384494247070319</v>
      </c>
      <c r="P36" s="260">
        <f t="shared" si="12"/>
        <v>0.19187224270034298</v>
      </c>
      <c r="Q36" s="260">
        <f t="shared" si="12"/>
        <v>0.19392719544726927</v>
      </c>
      <c r="R36" s="260">
        <f t="shared" si="12"/>
        <v>0.19451891099935678</v>
      </c>
      <c r="S36" s="260">
        <f t="shared" si="12"/>
        <v>0.18992877902998023</v>
      </c>
      <c r="T36" s="260">
        <f t="shared" si="12"/>
        <v>0.19010172696890124</v>
      </c>
      <c r="U36" s="260">
        <f t="shared" si="12"/>
        <v>0.18602190750908415</v>
      </c>
      <c r="V36" s="260">
        <f t="shared" si="12"/>
        <v>0.18505263502330158</v>
      </c>
      <c r="W36" s="260">
        <f t="shared" si="12"/>
        <v>0.18448162411266827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0.2557409150445335</v>
      </c>
      <c r="C37" s="260">
        <f t="shared" si="13"/>
        <v>0.25321183727409757</v>
      </c>
      <c r="D37" s="260">
        <f t="shared" si="13"/>
        <v>0.25203097244540484</v>
      </c>
      <c r="E37" s="260">
        <f t="shared" si="13"/>
        <v>0.24767164553451451</v>
      </c>
      <c r="F37" s="260">
        <f t="shared" si="13"/>
        <v>0.25169605805075201</v>
      </c>
      <c r="G37" s="260">
        <f t="shared" si="13"/>
        <v>0.25619438458886029</v>
      </c>
      <c r="H37" s="260">
        <f t="shared" si="13"/>
        <v>0.24971550803378528</v>
      </c>
      <c r="I37" s="260">
        <f t="shared" si="13"/>
        <v>0.25097719097578475</v>
      </c>
      <c r="J37" s="260">
        <f t="shared" si="13"/>
        <v>0.24401028827702495</v>
      </c>
      <c r="K37" s="260">
        <f t="shared" si="13"/>
        <v>0.24480001351014324</v>
      </c>
      <c r="L37" s="260">
        <f t="shared" si="13"/>
        <v>0.24660485245704292</v>
      </c>
      <c r="M37" s="260">
        <f t="shared" si="13"/>
        <v>0.25147218268633009</v>
      </c>
      <c r="N37" s="260">
        <f t="shared" si="13"/>
        <v>0.24399460211267562</v>
      </c>
      <c r="O37" s="260">
        <f t="shared" si="13"/>
        <v>0.24450338735341209</v>
      </c>
      <c r="P37" s="260">
        <f t="shared" si="13"/>
        <v>0.23915635662051796</v>
      </c>
      <c r="Q37" s="260">
        <f t="shared" si="13"/>
        <v>0.23840026017567123</v>
      </c>
      <c r="R37" s="260">
        <f t="shared" si="13"/>
        <v>0.23875990121954863</v>
      </c>
      <c r="S37" s="260">
        <f t="shared" si="13"/>
        <v>0.23998338525121321</v>
      </c>
      <c r="T37" s="260">
        <f t="shared" si="13"/>
        <v>0.23338128565809296</v>
      </c>
      <c r="U37" s="260">
        <f t="shared" si="13"/>
        <v>0.23103473356029877</v>
      </c>
      <c r="V37" s="260">
        <f t="shared" si="13"/>
        <v>0.23378867066289319</v>
      </c>
      <c r="W37" s="260">
        <f t="shared" si="13"/>
        <v>0.23099323956720336</v>
      </c>
      <c r="DA37" s="279"/>
    </row>
    <row r="38" spans="1:105" x14ac:dyDescent="0.25">
      <c r="A38" s="128" t="s">
        <v>174</v>
      </c>
      <c r="B38" s="260">
        <f t="shared" ref="B38:W38" si="14">IF(B$25=0,0,B$25/B$5)</f>
        <v>2.687901380514798E-2</v>
      </c>
      <c r="C38" s="260">
        <f t="shared" si="14"/>
        <v>2.6805439366860445E-2</v>
      </c>
      <c r="D38" s="260">
        <f t="shared" si="14"/>
        <v>2.695082487482765E-2</v>
      </c>
      <c r="E38" s="260">
        <f t="shared" si="14"/>
        <v>2.6633962196661358E-2</v>
      </c>
      <c r="F38" s="260">
        <f t="shared" si="14"/>
        <v>2.6072338086361804E-2</v>
      </c>
      <c r="G38" s="260">
        <f t="shared" si="14"/>
        <v>2.5853622802878194E-2</v>
      </c>
      <c r="H38" s="260">
        <f t="shared" si="14"/>
        <v>2.5896744558736487E-2</v>
      </c>
      <c r="I38" s="260">
        <f t="shared" si="14"/>
        <v>2.5802854003951534E-2</v>
      </c>
      <c r="J38" s="260">
        <f t="shared" si="14"/>
        <v>2.5936513577799043E-2</v>
      </c>
      <c r="K38" s="260">
        <f t="shared" si="14"/>
        <v>2.6259673634816936E-2</v>
      </c>
      <c r="L38" s="260">
        <f t="shared" si="14"/>
        <v>2.6164564402112598E-2</v>
      </c>
      <c r="M38" s="260">
        <f t="shared" si="14"/>
        <v>2.6390024320502345E-2</v>
      </c>
      <c r="N38" s="260">
        <f t="shared" si="14"/>
        <v>2.6104795920081077E-2</v>
      </c>
      <c r="O38" s="260">
        <f t="shared" si="14"/>
        <v>2.60742448023604E-2</v>
      </c>
      <c r="P38" s="260">
        <f t="shared" si="14"/>
        <v>2.5808895311791636E-2</v>
      </c>
      <c r="Q38" s="260">
        <f t="shared" si="14"/>
        <v>2.6085308718805027E-2</v>
      </c>
      <c r="R38" s="260">
        <f t="shared" si="14"/>
        <v>2.6164900870974932E-2</v>
      </c>
      <c r="S38" s="260">
        <f t="shared" si="14"/>
        <v>2.5547478393404988E-2</v>
      </c>
      <c r="T38" s="260">
        <f t="shared" si="14"/>
        <v>2.5570741764839974E-2</v>
      </c>
      <c r="U38" s="260">
        <f t="shared" si="14"/>
        <v>2.5021961848331272E-2</v>
      </c>
      <c r="V38" s="260">
        <f t="shared" si="14"/>
        <v>2.4891584198275717E-2</v>
      </c>
      <c r="W38" s="260">
        <f t="shared" si="14"/>
        <v>2.4814777044687375E-2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3.2082555799614533E-2</v>
      </c>
      <c r="C39" s="260">
        <f t="shared" si="15"/>
        <v>3.2183340512567264E-2</v>
      </c>
      <c r="D39" s="260">
        <f t="shared" si="15"/>
        <v>3.2120690577583259E-2</v>
      </c>
      <c r="E39" s="260">
        <f t="shared" si="15"/>
        <v>3.3119663818576568E-2</v>
      </c>
      <c r="F39" s="260">
        <f t="shared" si="15"/>
        <v>3.3100685764607292E-2</v>
      </c>
      <c r="G39" s="260">
        <f t="shared" si="15"/>
        <v>3.2918924684202926E-2</v>
      </c>
      <c r="H39" s="260">
        <f t="shared" si="15"/>
        <v>3.3575600002273727E-2</v>
      </c>
      <c r="I39" s="260">
        <f t="shared" si="15"/>
        <v>3.3510278595890369E-2</v>
      </c>
      <c r="J39" s="260">
        <f t="shared" si="15"/>
        <v>3.4189141222611949E-2</v>
      </c>
      <c r="K39" s="260">
        <f t="shared" si="15"/>
        <v>3.3740117832955052E-2</v>
      </c>
      <c r="L39" s="260">
        <f t="shared" si="15"/>
        <v>3.371566839487062E-2</v>
      </c>
      <c r="M39" s="260">
        <f t="shared" si="15"/>
        <v>3.3637616171842279E-2</v>
      </c>
      <c r="N39" s="260">
        <f t="shared" si="15"/>
        <v>3.458570090744844E-2</v>
      </c>
      <c r="O39" s="260">
        <f t="shared" si="15"/>
        <v>3.4679002283890654E-2</v>
      </c>
      <c r="P39" s="260">
        <f t="shared" si="15"/>
        <v>3.5408847479857224E-2</v>
      </c>
      <c r="Q39" s="260">
        <f t="shared" si="15"/>
        <v>3.5220553486318307E-2</v>
      </c>
      <c r="R39" s="260">
        <f t="shared" si="15"/>
        <v>3.4956784072099324E-2</v>
      </c>
      <c r="S39" s="260">
        <f t="shared" si="15"/>
        <v>3.5415323543460081E-2</v>
      </c>
      <c r="T39" s="260">
        <f t="shared" si="15"/>
        <v>3.6101224000848711E-2</v>
      </c>
      <c r="U39" s="260">
        <f t="shared" si="15"/>
        <v>3.702334555892383E-2</v>
      </c>
      <c r="V39" s="260">
        <f t="shared" si="15"/>
        <v>3.6808420734988551E-2</v>
      </c>
      <c r="W39" s="260">
        <f t="shared" si="15"/>
        <v>3.7330393262022948E-2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4.889589233780179E-2</v>
      </c>
      <c r="C40" s="262">
        <f t="shared" si="16"/>
        <v>4.90494947660065E-2</v>
      </c>
      <c r="D40" s="262">
        <f t="shared" si="16"/>
        <v>4.8954012208597991E-2</v>
      </c>
      <c r="E40" s="262">
        <f t="shared" si="16"/>
        <v>5.0476512109947511E-2</v>
      </c>
      <c r="F40" s="262">
        <f t="shared" si="16"/>
        <v>5.0447588326896713E-2</v>
      </c>
      <c r="G40" s="262">
        <f t="shared" si="16"/>
        <v>5.017057267159284E-2</v>
      </c>
      <c r="H40" s="262">
        <f t="shared" si="16"/>
        <v>5.1171388375111919E-2</v>
      </c>
      <c r="I40" s="262">
        <f t="shared" si="16"/>
        <v>5.1071834322316913E-2</v>
      </c>
      <c r="J40" s="262">
        <f t="shared" si="16"/>
        <v>5.2106464920815977E-2</v>
      </c>
      <c r="K40" s="262">
        <f t="shared" si="16"/>
        <v>5.1422124201362406E-2</v>
      </c>
      <c r="L40" s="262">
        <f t="shared" si="16"/>
        <v>5.1384861674655828E-2</v>
      </c>
      <c r="M40" s="262">
        <f t="shared" si="16"/>
        <v>5.126590503299186E-2</v>
      </c>
      <c r="N40" s="262">
        <f t="shared" si="16"/>
        <v>5.2710847557174111E-2</v>
      </c>
      <c r="O40" s="262">
        <f t="shared" si="16"/>
        <v>5.285304489600149E-2</v>
      </c>
      <c r="P40" s="262">
        <f t="shared" si="16"/>
        <v>5.3965376231077743E-2</v>
      </c>
      <c r="Q40" s="262">
        <f t="shared" si="16"/>
        <v>5.3678403993160102E-2</v>
      </c>
      <c r="R40" s="262">
        <f t="shared" si="16"/>
        <v>5.3276402327201482E-2</v>
      </c>
      <c r="S40" s="262">
        <f t="shared" si="16"/>
        <v>5.3975246171324279E-2</v>
      </c>
      <c r="T40" s="262">
        <f t="shared" si="16"/>
        <v>5.5020602879449314E-2</v>
      </c>
      <c r="U40" s="262">
        <f t="shared" si="16"/>
        <v>5.6425975839995965E-2</v>
      </c>
      <c r="V40" s="262">
        <f t="shared" si="16"/>
        <v>5.609841649224645E-2</v>
      </c>
      <c r="W40" s="262">
        <f t="shared" si="16"/>
        <v>5.6893936420414737E-2</v>
      </c>
      <c r="DA40" s="280"/>
    </row>
    <row r="42" spans="1:105" ht="12.75" x14ac:dyDescent="0.25">
      <c r="A42" s="179" t="s">
        <v>131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0.37710016189991452</v>
      </c>
      <c r="C44" s="238">
        <f>IF(C$5=0,0,C$5/AGR_fec!C$5)</f>
        <v>0.37876849141876928</v>
      </c>
      <c r="D44" s="238">
        <f>IF(D$5=0,0,D$5/AGR_fec!D$5)</f>
        <v>0.37894514261718631</v>
      </c>
      <c r="E44" s="238">
        <f>IF(E$5=0,0,E$5/AGR_fec!E$5)</f>
        <v>0.38109681042377125</v>
      </c>
      <c r="F44" s="238">
        <f>IF(F$5=0,0,F$5/AGR_fec!F$5)</f>
        <v>0.38039655193750732</v>
      </c>
      <c r="G44" s="238">
        <f>IF(G$5=0,0,G$5/AGR_fec!G$5)</f>
        <v>0.37879993174084214</v>
      </c>
      <c r="H44" s="238">
        <f>IF(H$5=0,0,H$5/AGR_fec!H$5)</f>
        <v>0.38152122382566001</v>
      </c>
      <c r="I44" s="238">
        <f>IF(I$5=0,0,I$5/AGR_fec!I$5)</f>
        <v>0.38078806663713793</v>
      </c>
      <c r="J44" s="238">
        <f>IF(J$5=0,0,J$5/AGR_fec!J$5)</f>
        <v>0.38328820659754165</v>
      </c>
      <c r="K44" s="238">
        <f>IF(K$5=0,0,K$5/AGR_fec!K$5)</f>
        <v>0.38232977501855453</v>
      </c>
      <c r="L44" s="238">
        <f>IF(L$5=0,0,L$5/AGR_fec!L$5)</f>
        <v>0.3817725452294195</v>
      </c>
      <c r="M44" s="238">
        <f>IF(M$5=0,0,M$5/AGR_fec!M$5)</f>
        <v>0.37910068882470788</v>
      </c>
      <c r="N44" s="238">
        <f>IF(N$5=0,0,N$5/AGR_fec!N$5)</f>
        <v>0.3827457374852436</v>
      </c>
      <c r="O44" s="238">
        <f>IF(O$5=0,0,O$5/AGR_fec!O$5)</f>
        <v>0.38233130686765776</v>
      </c>
      <c r="P44" s="238">
        <f>IF(P$5=0,0,P$5/AGR_fec!P$5)</f>
        <v>0.38527529215539802</v>
      </c>
      <c r="Q44" s="238">
        <f>IF(Q$5=0,0,Q$5/AGR_fec!Q$5)</f>
        <v>0.38528880134563825</v>
      </c>
      <c r="R44" s="238">
        <f>IF(R$5=0,0,R$5/AGR_fec!R$5)</f>
        <v>0.38528795011323153</v>
      </c>
      <c r="S44" s="238">
        <f>IF(S$5=0,0,S$5/AGR_fec!S$5)</f>
        <v>0.38633062237488469</v>
      </c>
      <c r="T44" s="238">
        <f>IF(T$5=0,0,T$5/AGR_fec!T$5)</f>
        <v>0.38884247043727843</v>
      </c>
      <c r="U44" s="238">
        <f>IF(U$5=0,0,U$5/AGR_fec!U$5)</f>
        <v>0.39116270965840622</v>
      </c>
      <c r="V44" s="238">
        <f>IF(V$5=0,0,V$5/AGR_fec!V$5)</f>
        <v>0.39032423666728555</v>
      </c>
      <c r="W44" s="238">
        <f>IF(W$5=0,0,W$5/AGR_fec!W$5)</f>
        <v>0.39161865359507414</v>
      </c>
      <c r="DA44" s="287"/>
    </row>
    <row r="45" spans="1:105" x14ac:dyDescent="0.25">
      <c r="A45" s="239" t="s">
        <v>125</v>
      </c>
      <c r="B45" s="251">
        <f>IF(B$6=0,0,B$6/AGR_fec!B$6)</f>
        <v>0.44877154934983982</v>
      </c>
      <c r="C45" s="251">
        <f>IF(C$6=0,0,C$6/AGR_fec!C$6)</f>
        <v>0.44877154934984004</v>
      </c>
      <c r="D45" s="251">
        <f>IF(D$6=0,0,D$6/AGR_fec!D$6)</f>
        <v>0.44877154934984009</v>
      </c>
      <c r="E45" s="251">
        <f>IF(E$6=0,0,E$6/AGR_fec!E$6)</f>
        <v>0.44877154934984009</v>
      </c>
      <c r="F45" s="251">
        <f>IF(F$6=0,0,F$6/AGR_fec!F$6)</f>
        <v>0.44877154934983993</v>
      </c>
      <c r="G45" s="251">
        <f>IF(G$6=0,0,G$6/AGR_fec!G$6)</f>
        <v>0.44877154934984009</v>
      </c>
      <c r="H45" s="251">
        <f>IF(H$6=0,0,H$6/AGR_fec!H$6)</f>
        <v>0.44877154934984004</v>
      </c>
      <c r="I45" s="251">
        <f>IF(I$6=0,0,I$6/AGR_fec!I$6)</f>
        <v>0.44877154934983993</v>
      </c>
      <c r="J45" s="251">
        <f>IF(J$6=0,0,J$6/AGR_fec!J$6)</f>
        <v>0.44877154934983982</v>
      </c>
      <c r="K45" s="251">
        <f>IF(K$6=0,0,K$6/AGR_fec!K$6)</f>
        <v>0.44877154934983998</v>
      </c>
      <c r="L45" s="251">
        <f>IF(L$6=0,0,L$6/AGR_fec!L$6)</f>
        <v>0.44877154934984004</v>
      </c>
      <c r="M45" s="251">
        <f>IF(M$6=0,0,M$6/AGR_fec!M$6)</f>
        <v>0.44877154934983987</v>
      </c>
      <c r="N45" s="251">
        <f>IF(N$6=0,0,N$6/AGR_fec!N$6)</f>
        <v>0.44877154934984009</v>
      </c>
      <c r="O45" s="251">
        <f>IF(O$6=0,0,O$6/AGR_fec!O$6)</f>
        <v>0.44877154934983987</v>
      </c>
      <c r="P45" s="251">
        <f>IF(P$6=0,0,P$6/AGR_fec!P$6)</f>
        <v>0.44877154934984009</v>
      </c>
      <c r="Q45" s="251">
        <f>IF(Q$6=0,0,Q$6/AGR_fec!Q$6)</f>
        <v>0.44877154934983993</v>
      </c>
      <c r="R45" s="251">
        <f>IF(R$6=0,0,R$6/AGR_fec!R$6)</f>
        <v>0.44877154934984004</v>
      </c>
      <c r="S45" s="251">
        <f>IF(S$6=0,0,S$6/AGR_fec!S$6)</f>
        <v>0.44877154934983998</v>
      </c>
      <c r="T45" s="251">
        <f>IF(T$6=0,0,T$6/AGR_fec!T$6)</f>
        <v>0.44877154934983987</v>
      </c>
      <c r="U45" s="251">
        <f>IF(U$6=0,0,U$6/AGR_fec!U$6)</f>
        <v>0.44877154934984004</v>
      </c>
      <c r="V45" s="251">
        <f>IF(V$6=0,0,V$6/AGR_fec!V$6)</f>
        <v>0.44877154934984015</v>
      </c>
      <c r="W45" s="251">
        <f>IF(W$6=0,0,W$6/AGR_fec!W$6)</f>
        <v>0.44877154934984009</v>
      </c>
      <c r="DA45" s="288"/>
    </row>
    <row r="46" spans="1:105" x14ac:dyDescent="0.25">
      <c r="A46" s="241" t="s">
        <v>124</v>
      </c>
      <c r="B46" s="252">
        <f>IF(B$7=0,0,B$7/AGR_fec!B$7)</f>
        <v>0.44501439524021685</v>
      </c>
      <c r="C46" s="252">
        <f>IF(C$7=0,0,C$7/AGR_fec!C$7)</f>
        <v>0.44501439524021669</v>
      </c>
      <c r="D46" s="252">
        <f>IF(D$7=0,0,D$7/AGR_fec!D$7)</f>
        <v>0.44501439524021691</v>
      </c>
      <c r="E46" s="252">
        <f>IF(E$7=0,0,E$7/AGR_fec!E$7)</f>
        <v>0.44501439524021685</v>
      </c>
      <c r="F46" s="252">
        <f>IF(F$7=0,0,F$7/AGR_fec!F$7)</f>
        <v>0.44501439524021685</v>
      </c>
      <c r="G46" s="252">
        <f>IF(G$7=0,0,G$7/AGR_fec!G$7)</f>
        <v>0.44501439524021674</v>
      </c>
      <c r="H46" s="252">
        <f>IF(H$7=0,0,H$7/AGR_fec!H$7)</f>
        <v>0.4450143952402168</v>
      </c>
      <c r="I46" s="252">
        <f>IF(I$7=0,0,I$7/AGR_fec!I$7)</f>
        <v>0.44501439524021674</v>
      </c>
      <c r="J46" s="252">
        <f>IF(J$7=0,0,J$7/AGR_fec!J$7)</f>
        <v>0.44501439524021663</v>
      </c>
      <c r="K46" s="252">
        <f>IF(K$7=0,0,K$7/AGR_fec!K$7)</f>
        <v>0.44501439524021674</v>
      </c>
      <c r="L46" s="252">
        <f>IF(L$7=0,0,L$7/AGR_fec!L$7)</f>
        <v>0.44501439524021669</v>
      </c>
      <c r="M46" s="252">
        <f>IF(M$7=0,0,M$7/AGR_fec!M$7)</f>
        <v>0.44501439524021685</v>
      </c>
      <c r="N46" s="252">
        <f>IF(N$7=0,0,N$7/AGR_fec!N$7)</f>
        <v>0.44501439524021685</v>
      </c>
      <c r="O46" s="252">
        <f>IF(O$7=0,0,O$7/AGR_fec!O$7)</f>
        <v>0.44501439524021685</v>
      </c>
      <c r="P46" s="252">
        <f>IF(P$7=0,0,P$7/AGR_fec!P$7)</f>
        <v>0.44501439524021669</v>
      </c>
      <c r="Q46" s="252">
        <f>IF(Q$7=0,0,Q$7/AGR_fec!Q$7)</f>
        <v>0.44501439524021685</v>
      </c>
      <c r="R46" s="252">
        <f>IF(R$7=0,0,R$7/AGR_fec!R$7)</f>
        <v>0.44501439524021674</v>
      </c>
      <c r="S46" s="252">
        <f>IF(S$7=0,0,S$7/AGR_fec!S$7)</f>
        <v>0.4450143952402168</v>
      </c>
      <c r="T46" s="252">
        <f>IF(T$7=0,0,T$7/AGR_fec!T$7)</f>
        <v>0.44501439524021663</v>
      </c>
      <c r="U46" s="252">
        <f>IF(U$7=0,0,U$7/AGR_fec!U$7)</f>
        <v>0.44501439524021663</v>
      </c>
      <c r="V46" s="252">
        <f>IF(V$7=0,0,V$7/AGR_fec!V$7)</f>
        <v>0.4450143952402168</v>
      </c>
      <c r="W46" s="252">
        <f>IF(W$7=0,0,W$7/AGR_fec!W$7)</f>
        <v>0.44501439524021669</v>
      </c>
      <c r="DA46" s="289"/>
    </row>
    <row r="47" spans="1:105" x14ac:dyDescent="0.25">
      <c r="A47" s="241" t="s">
        <v>123</v>
      </c>
      <c r="B47" s="252">
        <f>IF(B$8=0,0,B$8/AGR_fec!B$8)</f>
        <v>0.6386950195302884</v>
      </c>
      <c r="C47" s="252">
        <f>IF(C$8=0,0,C$8/AGR_fec!C$8)</f>
        <v>0.63869501953028807</v>
      </c>
      <c r="D47" s="252">
        <f>IF(D$8=0,0,D$8/AGR_fec!D$8)</f>
        <v>0.63869501953028818</v>
      </c>
      <c r="E47" s="252">
        <f>IF(E$8=0,0,E$8/AGR_fec!E$8)</f>
        <v>0.63869501953028796</v>
      </c>
      <c r="F47" s="252">
        <f>IF(F$8=0,0,F$8/AGR_fec!F$8)</f>
        <v>0.63869501953028796</v>
      </c>
      <c r="G47" s="252">
        <f>IF(G$8=0,0,G$8/AGR_fec!G$8)</f>
        <v>0.63869501953028829</v>
      </c>
      <c r="H47" s="252">
        <f>IF(H$8=0,0,H$8/AGR_fec!H$8)</f>
        <v>0.63869501953028818</v>
      </c>
      <c r="I47" s="252">
        <f>IF(I$8=0,0,I$8/AGR_fec!I$8)</f>
        <v>0.63869501953028796</v>
      </c>
      <c r="J47" s="252">
        <f>IF(J$8=0,0,J$8/AGR_fec!J$8)</f>
        <v>0.63869501953028818</v>
      </c>
      <c r="K47" s="252">
        <f>IF(K$8=0,0,K$8/AGR_fec!K$8)</f>
        <v>0.63869501953028818</v>
      </c>
      <c r="L47" s="252">
        <f>IF(L$8=0,0,L$8/AGR_fec!L$8)</f>
        <v>0.63869501953028784</v>
      </c>
      <c r="M47" s="252">
        <f>IF(M$8=0,0,M$8/AGR_fec!M$8)</f>
        <v>0.63869501953028796</v>
      </c>
      <c r="N47" s="252">
        <f>IF(N$8=0,0,N$8/AGR_fec!N$8)</f>
        <v>0.63869501953028784</v>
      </c>
      <c r="O47" s="252">
        <f>IF(O$8=0,0,O$8/AGR_fec!O$8)</f>
        <v>0.63869501953028784</v>
      </c>
      <c r="P47" s="252">
        <f>IF(P$8=0,0,P$8/AGR_fec!P$8)</f>
        <v>0.63869501953028773</v>
      </c>
      <c r="Q47" s="252">
        <f>IF(Q$8=0,0,Q$8/AGR_fec!Q$8)</f>
        <v>0.63869501953028784</v>
      </c>
      <c r="R47" s="252">
        <f>IF(R$8=0,0,R$8/AGR_fec!R$8)</f>
        <v>0.63869501953028796</v>
      </c>
      <c r="S47" s="252">
        <f>IF(S$8=0,0,S$8/AGR_fec!S$8)</f>
        <v>0.63869501953028829</v>
      </c>
      <c r="T47" s="252">
        <f>IF(T$8=0,0,T$8/AGR_fec!T$8)</f>
        <v>0.63869501953028796</v>
      </c>
      <c r="U47" s="252">
        <f>IF(U$8=0,0,U$8/AGR_fec!U$8)</f>
        <v>0.63869501953028796</v>
      </c>
      <c r="V47" s="252">
        <f>IF(V$8=0,0,V$8/AGR_fec!V$8)</f>
        <v>0.63869501953028818</v>
      </c>
      <c r="W47" s="252">
        <f>IF(W$8=0,0,W$8/AGR_fec!W$8)</f>
        <v>0.6386950195302884</v>
      </c>
      <c r="DA47" s="289"/>
    </row>
    <row r="48" spans="1:105" x14ac:dyDescent="0.25">
      <c r="A48" s="243" t="s">
        <v>122</v>
      </c>
      <c r="B48" s="253">
        <f>IF(B$9=0,0,B$9/AGR_fec!B$9)</f>
        <v>0.63494221206087387</v>
      </c>
      <c r="C48" s="253">
        <f>IF(C$9=0,0,C$9/AGR_fec!C$9)</f>
        <v>0.63558206151376717</v>
      </c>
      <c r="D48" s="253">
        <f>IF(D$9=0,0,D$9/AGR_fec!D$9)</f>
        <v>0.63459823945907567</v>
      </c>
      <c r="E48" s="253">
        <f>IF(E$9=0,0,E$9/AGR_fec!E$9)</f>
        <v>0.63848419718098992</v>
      </c>
      <c r="F48" s="253">
        <f>IF(F$9=0,0,F$9/AGR_fec!F$9)</f>
        <v>0.64207916522490627</v>
      </c>
      <c r="G48" s="253">
        <f>IF(G$9=0,0,G$9/AGR_fec!G$9)</f>
        <v>0.64315611587209176</v>
      </c>
      <c r="H48" s="253">
        <f>IF(H$9=0,0,H$9/AGR_fec!H$9)</f>
        <v>0.64416265474956935</v>
      </c>
      <c r="I48" s="253">
        <f>IF(I$9=0,0,I$9/AGR_fec!I$9)</f>
        <v>0.64480911467746438</v>
      </c>
      <c r="J48" s="253">
        <f>IF(J$9=0,0,J$9/AGR_fec!J$9)</f>
        <v>0.64535712714744953</v>
      </c>
      <c r="K48" s="253">
        <f>IF(K$9=0,0,K$9/AGR_fec!K$9)</f>
        <v>0.64233238904614087</v>
      </c>
      <c r="L48" s="253">
        <f>IF(L$9=0,0,L$9/AGR_fec!L$9)</f>
        <v>0.64293826750243988</v>
      </c>
      <c r="M48" s="253">
        <f>IF(M$9=0,0,M$9/AGR_fec!M$9)</f>
        <v>0.64147007530489597</v>
      </c>
      <c r="N48" s="253">
        <f>IF(N$9=0,0,N$9/AGR_fec!N$9)</f>
        <v>0.64537592589754156</v>
      </c>
      <c r="O48" s="253">
        <f>IF(O$9=0,0,O$9/AGR_fec!O$9)</f>
        <v>0.64596551694994675</v>
      </c>
      <c r="P48" s="253">
        <f>IF(P$9=0,0,P$9/AGR_fec!P$9)</f>
        <v>0.64927074660458906</v>
      </c>
      <c r="Q48" s="253">
        <f>IF(Q$9=0,0,Q$9/AGR_fec!Q$9)</f>
        <v>0.6467413420206527</v>
      </c>
      <c r="R48" s="253">
        <f>IF(R$9=0,0,R$9/AGR_fec!R$9)</f>
        <v>0.64539661442843121</v>
      </c>
      <c r="S48" s="253">
        <f>IF(S$9=0,0,S$9/AGR_fec!S$9)</f>
        <v>0.65068740029692773</v>
      </c>
      <c r="T48" s="253">
        <f>IF(T$9=0,0,T$9/AGR_fec!T$9)</f>
        <v>0.65194496734195972</v>
      </c>
      <c r="U48" s="253">
        <f>IF(U$9=0,0,U$9/AGR_fec!U$9)</f>
        <v>0.65830159712504643</v>
      </c>
      <c r="V48" s="253">
        <f>IF(V$9=0,0,V$9/AGR_fec!V$9)</f>
        <v>0.65883501956360269</v>
      </c>
      <c r="W48" s="253">
        <f>IF(W$9=0,0,W$9/AGR_fec!W$9)</f>
        <v>0.66085242901798513</v>
      </c>
      <c r="DA48" s="290"/>
    </row>
    <row r="49" spans="1:105" x14ac:dyDescent="0.25">
      <c r="A49" s="128" t="s">
        <v>175</v>
      </c>
      <c r="B49" s="265">
        <f>IF(B$16=0,0,B$16/AGR_fec!B$16)</f>
        <v>0.32113181520504863</v>
      </c>
      <c r="C49" s="265">
        <f>IF(C$16=0,0,C$16/AGR_fec!C$16)</f>
        <v>0.32113181520504858</v>
      </c>
      <c r="D49" s="265">
        <f>IF(D$16=0,0,D$16/AGR_fec!D$16)</f>
        <v>0.32113181520504858</v>
      </c>
      <c r="E49" s="265">
        <f>IF(E$16=0,0,E$16/AGR_fec!E$16)</f>
        <v>0.32113181520504852</v>
      </c>
      <c r="F49" s="265">
        <f>IF(F$16=0,0,F$16/AGR_fec!F$16)</f>
        <v>0.32113181520504858</v>
      </c>
      <c r="G49" s="265">
        <f>IF(G$16=0,0,G$16/AGR_fec!G$16)</f>
        <v>0.32113181520504858</v>
      </c>
      <c r="H49" s="265">
        <f>IF(H$16=0,0,H$16/AGR_fec!H$16)</f>
        <v>0.32113181520504858</v>
      </c>
      <c r="I49" s="265">
        <f>IF(I$16=0,0,I$16/AGR_fec!I$16)</f>
        <v>0.32113181520504858</v>
      </c>
      <c r="J49" s="265">
        <f>IF(J$16=0,0,J$16/AGR_fec!J$16)</f>
        <v>0.32113181520504847</v>
      </c>
      <c r="K49" s="265">
        <f>IF(K$16=0,0,K$16/AGR_fec!K$16)</f>
        <v>0.32113181520504852</v>
      </c>
      <c r="L49" s="265">
        <f>IF(L$16=0,0,L$16/AGR_fec!L$16)</f>
        <v>0.32113181520504847</v>
      </c>
      <c r="M49" s="265">
        <f>IF(M$16=0,0,M$16/AGR_fec!M$16)</f>
        <v>0.32113181520504852</v>
      </c>
      <c r="N49" s="265">
        <f>IF(N$16=0,0,N$16/AGR_fec!N$16)</f>
        <v>0.32113181520504863</v>
      </c>
      <c r="O49" s="265">
        <f>IF(O$16=0,0,O$16/AGR_fec!O$16)</f>
        <v>0.32113181520504847</v>
      </c>
      <c r="P49" s="265">
        <f>IF(P$16=0,0,P$16/AGR_fec!P$16)</f>
        <v>0.32113181520504847</v>
      </c>
      <c r="Q49" s="265">
        <f>IF(Q$16=0,0,Q$16/AGR_fec!Q$16)</f>
        <v>0.32113181520504852</v>
      </c>
      <c r="R49" s="265">
        <f>IF(R$16=0,0,R$16/AGR_fec!R$16)</f>
        <v>0.32113181520504858</v>
      </c>
      <c r="S49" s="265">
        <f>IF(S$16=0,0,S$16/AGR_fec!S$16)</f>
        <v>0.32113181520504852</v>
      </c>
      <c r="T49" s="265">
        <f>IF(T$16=0,0,T$16/AGR_fec!T$16)</f>
        <v>0.32113181520504858</v>
      </c>
      <c r="U49" s="265">
        <f>IF(U$16=0,0,U$16/AGR_fec!U$16)</f>
        <v>0.32113181520504863</v>
      </c>
      <c r="V49" s="265">
        <f>IF(V$16=0,0,V$16/AGR_fec!V$16)</f>
        <v>0.32113181520504847</v>
      </c>
      <c r="W49" s="265">
        <f>IF(W$16=0,0,W$16/AGR_fec!W$16)</f>
        <v>0.32113181520504852</v>
      </c>
      <c r="DA49" s="291"/>
    </row>
    <row r="50" spans="1:105" x14ac:dyDescent="0.25">
      <c r="A50" s="128" t="s">
        <v>121</v>
      </c>
      <c r="B50" s="265">
        <f>IF(B$17=0,0,B$17/AGR_fec!B$17)</f>
        <v>0.2529582600200419</v>
      </c>
      <c r="C50" s="265">
        <f>IF(C$17=0,0,C$17/AGR_fec!C$17)</f>
        <v>0.25405705862778349</v>
      </c>
      <c r="D50" s="265">
        <f>IF(D$17=0,0,D$17/AGR_fec!D$17)</f>
        <v>0.25436490429484632</v>
      </c>
      <c r="E50" s="265">
        <f>IF(E$17=0,0,E$17/AGR_fec!E$17)</f>
        <v>0.25420341479434932</v>
      </c>
      <c r="F50" s="265">
        <f>IF(F$17=0,0,F$17/AGR_fec!F$17)</f>
        <v>0.25255097806032945</v>
      </c>
      <c r="G50" s="265">
        <f>IF(G$17=0,0,G$17/AGR_fec!G$17)</f>
        <v>0.25135378985870238</v>
      </c>
      <c r="H50" s="265">
        <f>IF(H$17=0,0,H$17/AGR_fec!H$17)</f>
        <v>0.25254736399566596</v>
      </c>
      <c r="I50" s="265">
        <f>IF(I$17=0,0,I$17/AGR_fec!I$17)</f>
        <v>0.25151182685973072</v>
      </c>
      <c r="J50" s="265">
        <f>IF(J$17=0,0,J$17/AGR_fec!J$17)</f>
        <v>0.25244285409373041</v>
      </c>
      <c r="K50" s="265">
        <f>IF(K$17=0,0,K$17/AGR_fec!K$17)</f>
        <v>0.25280005803822009</v>
      </c>
      <c r="L50" s="265">
        <f>IF(L$17=0,0,L$17/AGR_fec!L$17)</f>
        <v>0.25242712192566047</v>
      </c>
      <c r="M50" s="265">
        <f>IF(M$17=0,0,M$17/AGR_fec!M$17)</f>
        <v>0.25180026406289763</v>
      </c>
      <c r="N50" s="265">
        <f>IF(N$17=0,0,N$17/AGR_fec!N$17)</f>
        <v>0.25238688131942089</v>
      </c>
      <c r="O50" s="265">
        <f>IF(O$17=0,0,O$17/AGR_fec!O$17)</f>
        <v>0.25179415212290801</v>
      </c>
      <c r="P50" s="265">
        <f>IF(P$17=0,0,P$17/AGR_fec!P$17)</f>
        <v>0.25244034914136948</v>
      </c>
      <c r="Q50" s="265">
        <f>IF(Q$17=0,0,Q$17/AGR_fec!Q$17)</f>
        <v>0.25347943640602277</v>
      </c>
      <c r="R50" s="265">
        <f>IF(R$17=0,0,R$17/AGR_fec!R$17)</f>
        <v>0.25412955971478857</v>
      </c>
      <c r="S50" s="265">
        <f>IF(S$17=0,0,S$17/AGR_fec!S$17)</f>
        <v>0.25353805807720692</v>
      </c>
      <c r="T50" s="265">
        <f>IF(T$17=0,0,T$17/AGR_fec!T$17)</f>
        <v>0.25410577053662853</v>
      </c>
      <c r="U50" s="265">
        <f>IF(U$17=0,0,U$17/AGR_fec!U$17)</f>
        <v>0.2538069118882843</v>
      </c>
      <c r="V50" s="265">
        <f>IF(V$17=0,0,V$17/AGR_fec!V$17)</f>
        <v>0.25330742821537078</v>
      </c>
      <c r="W50" s="265">
        <f>IF(W$17=0,0,W$17/AGR_fec!W$17)</f>
        <v>0.25342412492294503</v>
      </c>
      <c r="DA50" s="291"/>
    </row>
    <row r="51" spans="1:105" x14ac:dyDescent="0.25">
      <c r="A51" s="128" t="s">
        <v>174</v>
      </c>
      <c r="B51" s="265">
        <f>IF(B$25=0,0,B$25/AGR_fec!B$25)</f>
        <v>0.22479227064353402</v>
      </c>
      <c r="C51" s="265">
        <f>IF(C$25=0,0,C$25/AGR_fec!C$25)</f>
        <v>0.22479227064353402</v>
      </c>
      <c r="D51" s="265">
        <f>IF(D$25=0,0,D$25/AGR_fec!D$25)</f>
        <v>0.22479227064353394</v>
      </c>
      <c r="E51" s="265">
        <f>IF(E$25=0,0,E$25/AGR_fec!E$25)</f>
        <v>0.22479227064353391</v>
      </c>
      <c r="F51" s="265">
        <f>IF(F$25=0,0,F$25/AGR_fec!F$25)</f>
        <v>0.22479227064353399</v>
      </c>
      <c r="G51" s="265">
        <f>IF(G$25=0,0,G$25/AGR_fec!G$25)</f>
        <v>0.22479227064353394</v>
      </c>
      <c r="H51" s="265">
        <f>IF(H$25=0,0,H$25/AGR_fec!H$25)</f>
        <v>0.22479227064353396</v>
      </c>
      <c r="I51" s="265">
        <f>IF(I$25=0,0,I$25/AGR_fec!I$25)</f>
        <v>0.22479227064353391</v>
      </c>
      <c r="J51" s="265">
        <f>IF(J$25=0,0,J$25/AGR_fec!J$25)</f>
        <v>0.22479227064353394</v>
      </c>
      <c r="K51" s="265">
        <f>IF(K$25=0,0,K$25/AGR_fec!K$25)</f>
        <v>0.22479227064353394</v>
      </c>
      <c r="L51" s="265">
        <f>IF(L$25=0,0,L$25/AGR_fec!L$25)</f>
        <v>0.22479227064353396</v>
      </c>
      <c r="M51" s="265">
        <f>IF(M$25=0,0,M$25/AGR_fec!M$25)</f>
        <v>0.22479227064353391</v>
      </c>
      <c r="N51" s="265">
        <f>IF(N$25=0,0,N$25/AGR_fec!N$25)</f>
        <v>0.22479227064353396</v>
      </c>
      <c r="O51" s="265">
        <f>IF(O$25=0,0,O$25/AGR_fec!O$25)</f>
        <v>0.22479227064353402</v>
      </c>
      <c r="P51" s="265">
        <f>IF(P$25=0,0,P$25/AGR_fec!P$25)</f>
        <v>0.22479227064353391</v>
      </c>
      <c r="Q51" s="265">
        <f>IF(Q$25=0,0,Q$25/AGR_fec!Q$25)</f>
        <v>0.22479227064353394</v>
      </c>
      <c r="R51" s="265">
        <f>IF(R$25=0,0,R$25/AGR_fec!R$25)</f>
        <v>0.22479227064353396</v>
      </c>
      <c r="S51" s="265">
        <f>IF(S$25=0,0,S$25/AGR_fec!S$25)</f>
        <v>0.22479227064353402</v>
      </c>
      <c r="T51" s="265">
        <f>IF(T$25=0,0,T$25/AGR_fec!T$25)</f>
        <v>0.22479227064353396</v>
      </c>
      <c r="U51" s="265">
        <f>IF(U$25=0,0,U$25/AGR_fec!U$25)</f>
        <v>0.22479227064353394</v>
      </c>
      <c r="V51" s="265">
        <f>IF(V$25=0,0,V$25/AGR_fec!V$25)</f>
        <v>0.22479227064353394</v>
      </c>
      <c r="W51" s="265">
        <f>IF(W$25=0,0,W$25/AGR_fec!W$25)</f>
        <v>0.22479227064353394</v>
      </c>
      <c r="DA51" s="291"/>
    </row>
    <row r="52" spans="1:105" x14ac:dyDescent="0.25">
      <c r="A52" s="128" t="s">
        <v>177</v>
      </c>
      <c r="B52" s="265">
        <f>IF(B$26=0,0,B$26/AGR_fec!B$26)</f>
        <v>0.44501439524021691</v>
      </c>
      <c r="C52" s="265">
        <f>IF(C$26=0,0,C$26/AGR_fec!C$26)</f>
        <v>0.44501439524021663</v>
      </c>
      <c r="D52" s="265">
        <f>IF(D$26=0,0,D$26/AGR_fec!D$26)</f>
        <v>0.44501439524021696</v>
      </c>
      <c r="E52" s="265">
        <f>IF(E$26=0,0,E$26/AGR_fec!E$26)</f>
        <v>0.44501439524021691</v>
      </c>
      <c r="F52" s="265">
        <f>IF(F$26=0,0,F$26/AGR_fec!F$26)</f>
        <v>0.44501439524021674</v>
      </c>
      <c r="G52" s="265">
        <f>IF(G$26=0,0,G$26/AGR_fec!G$26)</f>
        <v>0.44501439524021674</v>
      </c>
      <c r="H52" s="265">
        <f>IF(H$26=0,0,H$26/AGR_fec!H$26)</f>
        <v>0.44501439524021663</v>
      </c>
      <c r="I52" s="265">
        <f>IF(I$26=0,0,I$26/AGR_fec!I$26)</f>
        <v>0.44501439524021663</v>
      </c>
      <c r="J52" s="265">
        <f>IF(J$26=0,0,J$26/AGR_fec!J$26)</f>
        <v>0.44501439524021696</v>
      </c>
      <c r="K52" s="265">
        <f>IF(K$26=0,0,K$26/AGR_fec!K$26)</f>
        <v>0.44501439524021652</v>
      </c>
      <c r="L52" s="265">
        <f>IF(L$26=0,0,L$26/AGR_fec!L$26)</f>
        <v>0.4450143952402168</v>
      </c>
      <c r="M52" s="265">
        <f>IF(M$26=0,0,M$26/AGR_fec!M$26)</f>
        <v>0.44501439524021691</v>
      </c>
      <c r="N52" s="265">
        <f>IF(N$26=0,0,N$26/AGR_fec!N$26)</f>
        <v>0.44501439524021685</v>
      </c>
      <c r="O52" s="265">
        <f>IF(O$26=0,0,O$26/AGR_fec!O$26)</f>
        <v>0.44501439524021685</v>
      </c>
      <c r="P52" s="265">
        <f>IF(P$26=0,0,P$26/AGR_fec!P$26)</f>
        <v>0.4450143952402168</v>
      </c>
      <c r="Q52" s="265">
        <f>IF(Q$26=0,0,Q$26/AGR_fec!Q$26)</f>
        <v>0.44501439524021658</v>
      </c>
      <c r="R52" s="265">
        <f>IF(R$26=0,0,R$26/AGR_fec!R$26)</f>
        <v>0.44501439524021669</v>
      </c>
      <c r="S52" s="265">
        <f>IF(S$26=0,0,S$26/AGR_fec!S$26)</f>
        <v>0.44501439524021674</v>
      </c>
      <c r="T52" s="265">
        <f>IF(T$26=0,0,T$26/AGR_fec!T$26)</f>
        <v>0.4450143952402168</v>
      </c>
      <c r="U52" s="265">
        <f>IF(U$26=0,0,U$26/AGR_fec!U$26)</f>
        <v>0.44501439524021691</v>
      </c>
      <c r="V52" s="265">
        <f>IF(V$26=0,0,V$26/AGR_fec!V$26)</f>
        <v>0.44501439524021669</v>
      </c>
      <c r="W52" s="265">
        <f>IF(W$26=0,0,W$26/AGR_fec!W$26)</f>
        <v>0.4450143952402168</v>
      </c>
      <c r="DA52" s="291"/>
    </row>
    <row r="53" spans="1:105" x14ac:dyDescent="0.25">
      <c r="A53" s="261" t="s">
        <v>33</v>
      </c>
      <c r="B53" s="266">
        <f>IF(B$27=0,0,B$27/AGR_fec!B$27)</f>
        <v>0.46774534647308691</v>
      </c>
      <c r="C53" s="266">
        <f>IF(C$27=0,0,C$27/AGR_fec!C$27)</f>
        <v>0.46774534647308685</v>
      </c>
      <c r="D53" s="266">
        <f>IF(D$27=0,0,D$27/AGR_fec!D$27)</f>
        <v>0.46774534647308696</v>
      </c>
      <c r="E53" s="266">
        <f>IF(E$27=0,0,E$27/AGR_fec!E$27)</f>
        <v>0.46774534647308685</v>
      </c>
      <c r="F53" s="266">
        <f>IF(F$27=0,0,F$27/AGR_fec!F$27)</f>
        <v>0.4677453464730868</v>
      </c>
      <c r="G53" s="266">
        <f>IF(G$27=0,0,G$27/AGR_fec!G$27)</f>
        <v>0.46774534647308691</v>
      </c>
      <c r="H53" s="266">
        <f>IF(H$27=0,0,H$27/AGR_fec!H$27)</f>
        <v>0.46774534647308685</v>
      </c>
      <c r="I53" s="266">
        <f>IF(I$27=0,0,I$27/AGR_fec!I$27)</f>
        <v>0.46774534647308719</v>
      </c>
      <c r="J53" s="266">
        <f>IF(J$27=0,0,J$27/AGR_fec!J$27)</f>
        <v>0.46774534647308691</v>
      </c>
      <c r="K53" s="266">
        <f>IF(K$27=0,0,K$27/AGR_fec!K$27)</f>
        <v>0.46774534647308702</v>
      </c>
      <c r="L53" s="266">
        <f>IF(L$27=0,0,L$27/AGR_fec!L$27)</f>
        <v>0.46774534647308691</v>
      </c>
      <c r="M53" s="266">
        <f>IF(M$27=0,0,M$27/AGR_fec!M$27)</f>
        <v>0.46774534647308702</v>
      </c>
      <c r="N53" s="266">
        <f>IF(N$27=0,0,N$27/AGR_fec!N$27)</f>
        <v>0.46774534647308708</v>
      </c>
      <c r="O53" s="266">
        <f>IF(O$27=0,0,O$27/AGR_fec!O$27)</f>
        <v>0.46774534647308708</v>
      </c>
      <c r="P53" s="266">
        <f>IF(P$27=0,0,P$27/AGR_fec!P$27)</f>
        <v>0.46774534647308691</v>
      </c>
      <c r="Q53" s="266">
        <f>IF(Q$27=0,0,Q$27/AGR_fec!Q$27)</f>
        <v>0.46774534647308696</v>
      </c>
      <c r="R53" s="266">
        <f>IF(R$27=0,0,R$27/AGR_fec!R$27)</f>
        <v>0.46774534647308691</v>
      </c>
      <c r="S53" s="266">
        <f>IF(S$27=0,0,S$27/AGR_fec!S$27)</f>
        <v>0.46774534647308685</v>
      </c>
      <c r="T53" s="266">
        <f>IF(T$27=0,0,T$27/AGR_fec!T$27)</f>
        <v>0.46774534647308691</v>
      </c>
      <c r="U53" s="266">
        <f>IF(U$27=0,0,U$27/AGR_fec!U$27)</f>
        <v>0.46774534647308691</v>
      </c>
      <c r="V53" s="266">
        <f>IF(V$27=0,0,V$27/AGR_fec!V$27)</f>
        <v>0.46774534647308696</v>
      </c>
      <c r="W53" s="266">
        <f>IF(W$27=0,0,W$27/AGR_fec!W$27)</f>
        <v>0.46774534647308702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233" t="s">
        <v>136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>SUM(B6:B9,B16:B17,B25:B27)</f>
        <v>2230.7753282364788</v>
      </c>
      <c r="C5" s="80">
        <f t="shared" ref="C5:W5" si="0">SUM(C6:C9,C16:C17,C25:C27)</f>
        <v>2141.7588557966951</v>
      </c>
      <c r="D5" s="80">
        <f t="shared" si="0"/>
        <v>2112.4232585970876</v>
      </c>
      <c r="E5" s="80">
        <f t="shared" si="0"/>
        <v>2036.3260759160071</v>
      </c>
      <c r="F5" s="80">
        <f t="shared" si="0"/>
        <v>1999.119022916886</v>
      </c>
      <c r="G5" s="80">
        <f t="shared" si="0"/>
        <v>2033.4694381154382</v>
      </c>
      <c r="H5" s="80">
        <f t="shared" si="0"/>
        <v>2010.3565323556279</v>
      </c>
      <c r="I5" s="80">
        <f t="shared" si="0"/>
        <v>1931.843310477343</v>
      </c>
      <c r="J5" s="80">
        <f t="shared" si="0"/>
        <v>1886.2228796389945</v>
      </c>
      <c r="K5" s="80">
        <f t="shared" si="0"/>
        <v>1899.1374073216002</v>
      </c>
      <c r="L5" s="80">
        <f t="shared" si="0"/>
        <v>1942.3435575598683</v>
      </c>
      <c r="M5" s="80">
        <f t="shared" si="0"/>
        <v>1902.3401922080782</v>
      </c>
      <c r="N5" s="80">
        <f t="shared" si="0"/>
        <v>1710.7517032231633</v>
      </c>
      <c r="O5" s="80">
        <f t="shared" si="0"/>
        <v>1752.2289028827058</v>
      </c>
      <c r="P5" s="80">
        <f t="shared" si="0"/>
        <v>1605.4887927273357</v>
      </c>
      <c r="Q5" s="80">
        <f t="shared" si="0"/>
        <v>1629.8097819867671</v>
      </c>
      <c r="R5" s="80">
        <f t="shared" si="0"/>
        <v>1612.6641237611027</v>
      </c>
      <c r="S5" s="80">
        <f t="shared" si="0"/>
        <v>1547.8404330979411</v>
      </c>
      <c r="T5" s="80">
        <f t="shared" si="0"/>
        <v>1464.4425163689302</v>
      </c>
      <c r="U5" s="80">
        <f t="shared" si="0"/>
        <v>1427.947223869661</v>
      </c>
      <c r="V5" s="80">
        <f t="shared" si="0"/>
        <v>1424.2641138014585</v>
      </c>
      <c r="W5" s="80">
        <f t="shared" si="0"/>
        <v>1395.2918930415005</v>
      </c>
      <c r="DA5" s="103"/>
    </row>
    <row r="6" spans="1:105" x14ac:dyDescent="0.25">
      <c r="A6" s="239" t="s">
        <v>125</v>
      </c>
      <c r="B6" s="240">
        <v>0</v>
      </c>
      <c r="C6" s="240">
        <v>0</v>
      </c>
      <c r="D6" s="240">
        <v>0</v>
      </c>
      <c r="E6" s="240">
        <v>0</v>
      </c>
      <c r="F6" s="240">
        <v>0</v>
      </c>
      <c r="G6" s="240">
        <v>0</v>
      </c>
      <c r="H6" s="240">
        <v>0</v>
      </c>
      <c r="I6" s="240">
        <v>0</v>
      </c>
      <c r="J6" s="240">
        <v>0</v>
      </c>
      <c r="K6" s="240">
        <v>0</v>
      </c>
      <c r="L6" s="240">
        <v>0</v>
      </c>
      <c r="M6" s="240">
        <v>0</v>
      </c>
      <c r="N6" s="240">
        <v>0</v>
      </c>
      <c r="O6" s="240">
        <v>0</v>
      </c>
      <c r="P6" s="240">
        <v>0</v>
      </c>
      <c r="Q6" s="240">
        <v>0</v>
      </c>
      <c r="R6" s="240">
        <v>0</v>
      </c>
      <c r="S6" s="240">
        <v>0</v>
      </c>
      <c r="T6" s="240">
        <v>0</v>
      </c>
      <c r="U6" s="240">
        <v>0</v>
      </c>
      <c r="V6" s="240">
        <v>0</v>
      </c>
      <c r="W6" s="240">
        <v>0</v>
      </c>
      <c r="DA6" s="268" t="s">
        <v>1035</v>
      </c>
    </row>
    <row r="7" spans="1:105" x14ac:dyDescent="0.25">
      <c r="A7" s="241" t="s">
        <v>124</v>
      </c>
      <c r="B7" s="242">
        <v>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2">
        <v>0</v>
      </c>
      <c r="L7" s="242">
        <v>0</v>
      </c>
      <c r="M7" s="242">
        <v>0</v>
      </c>
      <c r="N7" s="242">
        <v>0</v>
      </c>
      <c r="O7" s="242">
        <v>0</v>
      </c>
      <c r="P7" s="242">
        <v>0</v>
      </c>
      <c r="Q7" s="242">
        <v>0</v>
      </c>
      <c r="R7" s="242">
        <v>0</v>
      </c>
      <c r="S7" s="242">
        <v>0</v>
      </c>
      <c r="T7" s="242">
        <v>0</v>
      </c>
      <c r="U7" s="242">
        <v>0</v>
      </c>
      <c r="V7" s="242">
        <v>0</v>
      </c>
      <c r="W7" s="242">
        <v>0</v>
      </c>
      <c r="DA7" s="269" t="s">
        <v>1036</v>
      </c>
    </row>
    <row r="8" spans="1:105" x14ac:dyDescent="0.25">
      <c r="A8" s="241" t="s">
        <v>123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2">
        <v>0</v>
      </c>
      <c r="Q8" s="242">
        <v>0</v>
      </c>
      <c r="R8" s="242">
        <v>0</v>
      </c>
      <c r="S8" s="242">
        <v>0</v>
      </c>
      <c r="T8" s="242">
        <v>0</v>
      </c>
      <c r="U8" s="242">
        <v>0</v>
      </c>
      <c r="V8" s="242">
        <v>0</v>
      </c>
      <c r="W8" s="242">
        <v>0</v>
      </c>
      <c r="DA8" s="269" t="s">
        <v>1037</v>
      </c>
    </row>
    <row r="9" spans="1:105" x14ac:dyDescent="0.25">
      <c r="A9" s="243" t="s">
        <v>122</v>
      </c>
      <c r="B9" s="244">
        <f>SUM(B10:B15)</f>
        <v>368.50098200002867</v>
      </c>
      <c r="C9" s="244">
        <f t="shared" ref="C9:W9" si="1">SUM(C10:C15)</f>
        <v>354.62502286393419</v>
      </c>
      <c r="D9" s="244">
        <f t="shared" si="1"/>
        <v>353.65761004292068</v>
      </c>
      <c r="E9" s="244">
        <f t="shared" si="1"/>
        <v>333.27069904199459</v>
      </c>
      <c r="F9" s="244">
        <f t="shared" si="1"/>
        <v>311.3701886371208</v>
      </c>
      <c r="G9" s="244">
        <f t="shared" si="1"/>
        <v>309.32952502795456</v>
      </c>
      <c r="H9" s="244">
        <f t="shared" si="1"/>
        <v>307.37205533966767</v>
      </c>
      <c r="I9" s="244">
        <f t="shared" si="1"/>
        <v>289.94153522497169</v>
      </c>
      <c r="J9" s="244">
        <f t="shared" si="1"/>
        <v>287.30282705495318</v>
      </c>
      <c r="K9" s="244">
        <f t="shared" si="1"/>
        <v>298.35837928139534</v>
      </c>
      <c r="L9" s="244">
        <f t="shared" si="1"/>
        <v>302.52540001937933</v>
      </c>
      <c r="M9" s="244">
        <f t="shared" si="1"/>
        <v>303.71082299235263</v>
      </c>
      <c r="N9" s="244">
        <f t="shared" si="1"/>
        <v>271.52935241850355</v>
      </c>
      <c r="O9" s="244">
        <f t="shared" si="1"/>
        <v>275.35014500109878</v>
      </c>
      <c r="P9" s="244">
        <f t="shared" si="1"/>
        <v>251.26006400837517</v>
      </c>
      <c r="Q9" s="244">
        <f t="shared" si="1"/>
        <v>262.55768273592975</v>
      </c>
      <c r="R9" s="244">
        <f t="shared" si="1"/>
        <v>263.87107706865737</v>
      </c>
      <c r="S9" s="244">
        <f t="shared" si="1"/>
        <v>244.72707951036315</v>
      </c>
      <c r="T9" s="244">
        <f t="shared" si="1"/>
        <v>232.60703365060917</v>
      </c>
      <c r="U9" s="244">
        <f t="shared" si="1"/>
        <v>219.16601517008189</v>
      </c>
      <c r="V9" s="244">
        <f t="shared" si="1"/>
        <v>215.66291961122423</v>
      </c>
      <c r="W9" s="244">
        <f t="shared" si="1"/>
        <v>213.4925936586304</v>
      </c>
      <c r="DA9" s="270"/>
    </row>
    <row r="10" spans="1:105" x14ac:dyDescent="0.25">
      <c r="A10" s="254" t="s">
        <v>173</v>
      </c>
      <c r="B10" s="255">
        <v>320.68337459780798</v>
      </c>
      <c r="C10" s="255">
        <v>302.14242706837001</v>
      </c>
      <c r="D10" s="255">
        <v>304.51460753873948</v>
      </c>
      <c r="E10" s="255">
        <v>289.41325375015077</v>
      </c>
      <c r="F10" s="255">
        <v>267.01545673596468</v>
      </c>
      <c r="G10" s="255">
        <v>263.4645039929747</v>
      </c>
      <c r="H10" s="255">
        <v>263.90675654407738</v>
      </c>
      <c r="I10" s="255">
        <v>253.0648021506552</v>
      </c>
      <c r="J10" s="255">
        <v>256.0879767550519</v>
      </c>
      <c r="K10" s="255">
        <v>266.56270718232241</v>
      </c>
      <c r="L10" s="255">
        <v>269.01999482926482</v>
      </c>
      <c r="M10" s="255">
        <v>271.27256653253539</v>
      </c>
      <c r="N10" s="255">
        <v>241.4908724484076</v>
      </c>
      <c r="O10" s="255">
        <v>246.48566880703211</v>
      </c>
      <c r="P10" s="255">
        <v>225.21844223523999</v>
      </c>
      <c r="Q10" s="255">
        <v>235.8013327733419</v>
      </c>
      <c r="R10" s="255">
        <v>233.6040075928577</v>
      </c>
      <c r="S10" s="255">
        <v>211.95563072352209</v>
      </c>
      <c r="T10" s="255">
        <v>205.96838403288891</v>
      </c>
      <c r="U10" s="255">
        <v>193.53598634626931</v>
      </c>
      <c r="V10" s="255">
        <v>188.9595110731816</v>
      </c>
      <c r="W10" s="255">
        <v>187.36285850332999</v>
      </c>
      <c r="DA10" s="271" t="s">
        <v>1038</v>
      </c>
    </row>
    <row r="11" spans="1:105" x14ac:dyDescent="0.25">
      <c r="A11" s="254" t="s">
        <v>176</v>
      </c>
      <c r="B11" s="256">
        <v>47.817607402220659</v>
      </c>
      <c r="C11" s="256">
        <v>52.482595795564151</v>
      </c>
      <c r="D11" s="256">
        <v>49.143002504181183</v>
      </c>
      <c r="E11" s="256">
        <v>43.85744529184381</v>
      </c>
      <c r="F11" s="256">
        <v>44.354731901156121</v>
      </c>
      <c r="G11" s="256">
        <v>45.865021034979883</v>
      </c>
      <c r="H11" s="256">
        <v>43.465298795590272</v>
      </c>
      <c r="I11" s="256">
        <v>36.876733074316491</v>
      </c>
      <c r="J11" s="256">
        <v>31.214850299901279</v>
      </c>
      <c r="K11" s="256">
        <v>31.79567209907292</v>
      </c>
      <c r="L11" s="256">
        <v>33.505405190114537</v>
      </c>
      <c r="M11" s="256">
        <v>32.438256459817268</v>
      </c>
      <c r="N11" s="256">
        <v>30.038479970095921</v>
      </c>
      <c r="O11" s="256">
        <v>28.864476194066651</v>
      </c>
      <c r="P11" s="256">
        <v>26.041621773135169</v>
      </c>
      <c r="Q11" s="256">
        <v>26.756349962587851</v>
      </c>
      <c r="R11" s="256">
        <v>30.26706947579968</v>
      </c>
      <c r="S11" s="256">
        <v>32.771448786841063</v>
      </c>
      <c r="T11" s="256">
        <v>26.638649617720269</v>
      </c>
      <c r="U11" s="256">
        <v>25.630028823812591</v>
      </c>
      <c r="V11" s="256">
        <v>26.70340853804263</v>
      </c>
      <c r="W11" s="256">
        <v>26.129735155300409</v>
      </c>
      <c r="DA11" s="272" t="s">
        <v>1039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1040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1041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1042</v>
      </c>
    </row>
    <row r="15" spans="1:105" x14ac:dyDescent="0.25">
      <c r="A15" s="254" t="s">
        <v>24</v>
      </c>
      <c r="B15" s="256">
        <v>0</v>
      </c>
      <c r="C15" s="256">
        <v>0</v>
      </c>
      <c r="D15" s="256">
        <v>0</v>
      </c>
      <c r="E15" s="256">
        <v>0</v>
      </c>
      <c r="F15" s="256">
        <v>0</v>
      </c>
      <c r="G15" s="256">
        <v>0</v>
      </c>
      <c r="H15" s="256">
        <v>0</v>
      </c>
      <c r="I15" s="256">
        <v>0</v>
      </c>
      <c r="J15" s="256">
        <v>0</v>
      </c>
      <c r="K15" s="256">
        <v>0</v>
      </c>
      <c r="L15" s="256">
        <v>0</v>
      </c>
      <c r="M15" s="256">
        <v>0</v>
      </c>
      <c r="N15" s="256">
        <v>0</v>
      </c>
      <c r="O15" s="256">
        <v>0</v>
      </c>
      <c r="P15" s="256">
        <v>0</v>
      </c>
      <c r="Q15" s="256">
        <v>0</v>
      </c>
      <c r="R15" s="256">
        <v>0</v>
      </c>
      <c r="S15" s="256">
        <v>0</v>
      </c>
      <c r="T15" s="256">
        <v>0</v>
      </c>
      <c r="U15" s="256">
        <v>0</v>
      </c>
      <c r="V15" s="256">
        <v>0</v>
      </c>
      <c r="W15" s="256">
        <v>0</v>
      </c>
      <c r="DA15" s="272" t="s">
        <v>1043</v>
      </c>
    </row>
    <row r="16" spans="1:105" x14ac:dyDescent="0.25">
      <c r="A16" s="257" t="s">
        <v>175</v>
      </c>
      <c r="B16" s="258">
        <v>723.27600987885785</v>
      </c>
      <c r="C16" s="258">
        <v>697.18871458073784</v>
      </c>
      <c r="D16" s="258">
        <v>694.20695577440711</v>
      </c>
      <c r="E16" s="258">
        <v>673.17632816700109</v>
      </c>
      <c r="F16" s="258">
        <v>650.19088922813728</v>
      </c>
      <c r="G16" s="258">
        <v>647.64632022543185</v>
      </c>
      <c r="H16" s="258">
        <v>653.52945458284398</v>
      </c>
      <c r="I16" s="258">
        <v>625.76234057227873</v>
      </c>
      <c r="J16" s="258">
        <v>626.88725209944016</v>
      </c>
      <c r="K16" s="258">
        <v>632.97362244276439</v>
      </c>
      <c r="L16" s="258">
        <v>642.70142250414574</v>
      </c>
      <c r="M16" s="258">
        <v>622.97697340991374</v>
      </c>
      <c r="N16" s="258">
        <v>572.82030020822367</v>
      </c>
      <c r="O16" s="258">
        <v>582.16600788737071</v>
      </c>
      <c r="P16" s="258">
        <v>546.21559861591595</v>
      </c>
      <c r="Q16" s="258">
        <v>560.10935408396779</v>
      </c>
      <c r="R16" s="258">
        <v>557.15742113524561</v>
      </c>
      <c r="S16" s="258">
        <v>532.96650613175336</v>
      </c>
      <c r="T16" s="258">
        <v>515.3872304175901</v>
      </c>
      <c r="U16" s="258">
        <v>504.0924296644983</v>
      </c>
      <c r="V16" s="258">
        <v>498.11587317652879</v>
      </c>
      <c r="W16" s="258">
        <v>495.69472023815149</v>
      </c>
      <c r="DA16" s="273" t="s">
        <v>1044</v>
      </c>
    </row>
    <row r="17" spans="1:105" x14ac:dyDescent="0.25">
      <c r="A17" s="257" t="s">
        <v>121</v>
      </c>
      <c r="B17" s="258">
        <f>SUM(B18:B24)</f>
        <v>1000.0148234758536</v>
      </c>
      <c r="C17" s="258">
        <f t="shared" ref="C17:W17" si="2">SUM(C18:C24)</f>
        <v>955.97449666616876</v>
      </c>
      <c r="D17" s="258">
        <f t="shared" si="2"/>
        <v>931.1610408977009</v>
      </c>
      <c r="E17" s="258">
        <f t="shared" si="2"/>
        <v>900.52260718318666</v>
      </c>
      <c r="F17" s="258">
        <f t="shared" si="2"/>
        <v>912.61834717423767</v>
      </c>
      <c r="G17" s="258">
        <f t="shared" si="2"/>
        <v>952.04295512427007</v>
      </c>
      <c r="H17" s="258">
        <f t="shared" si="2"/>
        <v>923.87389140013272</v>
      </c>
      <c r="I17" s="258">
        <f t="shared" si="2"/>
        <v>895.89398600773734</v>
      </c>
      <c r="J17" s="258">
        <f t="shared" si="2"/>
        <v>851.57119068759835</v>
      </c>
      <c r="K17" s="258">
        <f t="shared" si="2"/>
        <v>846.17424901682989</v>
      </c>
      <c r="L17" s="258">
        <f t="shared" si="2"/>
        <v>873.61630060512562</v>
      </c>
      <c r="M17" s="258">
        <f t="shared" si="2"/>
        <v>855.9421786461894</v>
      </c>
      <c r="N17" s="258">
        <f t="shared" si="2"/>
        <v>756.32985618445036</v>
      </c>
      <c r="O17" s="258">
        <f t="shared" si="2"/>
        <v>782.84469996714301</v>
      </c>
      <c r="P17" s="258">
        <f t="shared" si="2"/>
        <v>703.05325081829324</v>
      </c>
      <c r="Q17" s="258">
        <f t="shared" si="2"/>
        <v>699.51306498219174</v>
      </c>
      <c r="R17" s="258">
        <f t="shared" si="2"/>
        <v>684.57318388921681</v>
      </c>
      <c r="S17" s="258">
        <f t="shared" si="2"/>
        <v>667.7328917062008</v>
      </c>
      <c r="T17" s="258">
        <f t="shared" si="2"/>
        <v>617.41230088043699</v>
      </c>
      <c r="U17" s="258">
        <f t="shared" si="2"/>
        <v>607.82321770725923</v>
      </c>
      <c r="V17" s="258">
        <f t="shared" si="2"/>
        <v>614.76820482202652</v>
      </c>
      <c r="W17" s="258">
        <f t="shared" si="2"/>
        <v>590.85270766737221</v>
      </c>
      <c r="DA17" s="273"/>
    </row>
    <row r="18" spans="1:105" x14ac:dyDescent="0.25">
      <c r="A18" s="61" t="s">
        <v>29</v>
      </c>
      <c r="B18" s="55">
        <v>100.2751145984813</v>
      </c>
      <c r="C18" s="55">
        <v>114.08498099832249</v>
      </c>
      <c r="D18" s="55">
        <v>80.056729798806572</v>
      </c>
      <c r="E18" s="55">
        <v>108.0053027983556</v>
      </c>
      <c r="F18" s="55">
        <v>128.6900027981207</v>
      </c>
      <c r="G18" s="55">
        <v>154.62849599755691</v>
      </c>
      <c r="H18" s="55">
        <v>178.54208063670129</v>
      </c>
      <c r="I18" s="55">
        <v>178.04945195856399</v>
      </c>
      <c r="J18" s="55">
        <v>162.24393779787709</v>
      </c>
      <c r="K18" s="55">
        <v>116.9823329990098</v>
      </c>
      <c r="L18" s="55">
        <v>125.31366899878989</v>
      </c>
      <c r="M18" s="55">
        <v>114.9505234898527</v>
      </c>
      <c r="N18" s="55">
        <v>111.40076610205369</v>
      </c>
      <c r="O18" s="55">
        <v>144.43585884165961</v>
      </c>
      <c r="P18" s="55">
        <v>97.692071005231071</v>
      </c>
      <c r="Q18" s="55">
        <v>69.692436864624653</v>
      </c>
      <c r="R18" s="55">
        <v>58.954772159072199</v>
      </c>
      <c r="S18" s="55">
        <v>42.027566255644331</v>
      </c>
      <c r="T18" s="55">
        <v>33.94140580768002</v>
      </c>
      <c r="U18" s="55">
        <v>20.762781228177712</v>
      </c>
      <c r="V18" s="55">
        <v>12.668166720062541</v>
      </c>
      <c r="W18" s="55">
        <v>11.95649532001813</v>
      </c>
      <c r="DA18" s="101" t="s">
        <v>1045</v>
      </c>
    </row>
    <row r="19" spans="1:105" x14ac:dyDescent="0.25">
      <c r="A19" s="61" t="s">
        <v>27</v>
      </c>
      <c r="B19" s="55">
        <v>11.6103747599852</v>
      </c>
      <c r="C19" s="55">
        <v>14.513025239984479</v>
      </c>
      <c r="D19" s="55">
        <v>11.610374759987049</v>
      </c>
      <c r="E19" s="55">
        <v>11.61037475998104</v>
      </c>
      <c r="F19" s="55">
        <v>8.7077242799920214</v>
      </c>
      <c r="G19" s="55">
        <v>8.707724279985932</v>
      </c>
      <c r="H19" s="55">
        <v>8.7077242799928563</v>
      </c>
      <c r="I19" s="55">
        <v>8.7077242799913321</v>
      </c>
      <c r="J19" s="55">
        <v>5.805300960005261</v>
      </c>
      <c r="K19" s="55">
        <v>8.7077242800174499</v>
      </c>
      <c r="L19" s="55">
        <v>8.7077242800071915</v>
      </c>
      <c r="M19" s="55">
        <v>8.7077242799877066</v>
      </c>
      <c r="N19" s="55">
        <v>8.7077242800085362</v>
      </c>
      <c r="O19" s="55">
        <v>8.7077242800081489</v>
      </c>
      <c r="P19" s="55">
        <v>8.7077242800172616</v>
      </c>
      <c r="Q19" s="55">
        <v>12.115578600023079</v>
      </c>
      <c r="R19" s="55">
        <v>11.903411160021269</v>
      </c>
      <c r="S19" s="55">
        <v>16.498176480035202</v>
      </c>
      <c r="T19" s="55">
        <v>12.823636320015471</v>
      </c>
      <c r="U19" s="55">
        <v>15.743778120023251</v>
      </c>
      <c r="V19" s="55">
        <v>15.232668120021289</v>
      </c>
      <c r="W19" s="55">
        <v>15.891659280024101</v>
      </c>
      <c r="DA19" s="101" t="s">
        <v>1046</v>
      </c>
    </row>
    <row r="20" spans="1:105" x14ac:dyDescent="0.25">
      <c r="A20" s="61" t="s">
        <v>173</v>
      </c>
      <c r="B20" s="55">
        <v>576.27981515999147</v>
      </c>
      <c r="C20" s="55">
        <v>565.8036488236944</v>
      </c>
      <c r="D20" s="55">
        <v>579.64262516336828</v>
      </c>
      <c r="E20" s="55">
        <v>569.1906376370215</v>
      </c>
      <c r="F20" s="55">
        <v>495.59207615752359</v>
      </c>
      <c r="G20" s="55">
        <v>461.04349984220801</v>
      </c>
      <c r="H20" s="55">
        <v>497.88471819921159</v>
      </c>
      <c r="I20" s="55">
        <v>465.89196680372589</v>
      </c>
      <c r="J20" s="55">
        <v>508.98859170946992</v>
      </c>
      <c r="K20" s="55">
        <v>529.22696199651386</v>
      </c>
      <c r="L20" s="55">
        <v>521.5006771562729</v>
      </c>
      <c r="M20" s="55">
        <v>492.13759253648868</v>
      </c>
      <c r="N20" s="55">
        <v>474.13554329233682</v>
      </c>
      <c r="O20" s="55">
        <v>476.9836925594102</v>
      </c>
      <c r="P20" s="55">
        <v>462.0076898659363</v>
      </c>
      <c r="Q20" s="55">
        <v>494.14945323991662</v>
      </c>
      <c r="R20" s="55">
        <v>493.87665436572848</v>
      </c>
      <c r="S20" s="55">
        <v>436.81133507702611</v>
      </c>
      <c r="T20" s="55">
        <v>456.12705933033823</v>
      </c>
      <c r="U20" s="55">
        <v>432.49131726268632</v>
      </c>
      <c r="V20" s="55">
        <v>408.22367603975641</v>
      </c>
      <c r="W20" s="55">
        <v>415.13024086242882</v>
      </c>
      <c r="DA20" s="101" t="s">
        <v>1047</v>
      </c>
    </row>
    <row r="21" spans="1:105" x14ac:dyDescent="0.25">
      <c r="A21" s="61" t="s">
        <v>129</v>
      </c>
      <c r="B21" s="55">
        <v>225.919520279712</v>
      </c>
      <c r="C21" s="55">
        <v>163.2918934798254</v>
      </c>
      <c r="D21" s="55">
        <v>166.30775603981459</v>
      </c>
      <c r="E21" s="55">
        <v>125.46161315979521</v>
      </c>
      <c r="F21" s="55">
        <v>197.30426975981919</v>
      </c>
      <c r="G21" s="55">
        <v>247.40282231960029</v>
      </c>
      <c r="H21" s="55">
        <v>156.73802687987151</v>
      </c>
      <c r="I21" s="55">
        <v>175.3548260398255</v>
      </c>
      <c r="J21" s="55">
        <v>112.492170720102</v>
      </c>
      <c r="K21" s="55">
        <v>128.1308940002568</v>
      </c>
      <c r="L21" s="55">
        <v>153.14332752012649</v>
      </c>
      <c r="M21" s="55">
        <v>181.29746303974409</v>
      </c>
      <c r="N21" s="55">
        <v>103.10922072010111</v>
      </c>
      <c r="O21" s="55">
        <v>96.860690280090665</v>
      </c>
      <c r="P21" s="55">
        <v>81.22460976016103</v>
      </c>
      <c r="Q21" s="55">
        <v>67.484514960128593</v>
      </c>
      <c r="R21" s="55">
        <v>55.848866040099828</v>
      </c>
      <c r="S21" s="55">
        <v>104.85837576022369</v>
      </c>
      <c r="T21" s="55">
        <v>55.527607080066993</v>
      </c>
      <c r="U21" s="55">
        <v>81.550386000120454</v>
      </c>
      <c r="V21" s="55">
        <v>120.9542792401691</v>
      </c>
      <c r="W21" s="55">
        <v>89.980003080136456</v>
      </c>
      <c r="DA21" s="101" t="s">
        <v>1048</v>
      </c>
    </row>
    <row r="22" spans="1:105" x14ac:dyDescent="0.25">
      <c r="A22" s="61" t="s">
        <v>176</v>
      </c>
      <c r="B22" s="55">
        <v>85.929998677683599</v>
      </c>
      <c r="C22" s="55">
        <v>98.280948124342032</v>
      </c>
      <c r="D22" s="55">
        <v>93.543555135724418</v>
      </c>
      <c r="E22" s="55">
        <v>86.254678828033335</v>
      </c>
      <c r="F22" s="55">
        <v>82.324274178782133</v>
      </c>
      <c r="G22" s="55">
        <v>80.26041268491889</v>
      </c>
      <c r="H22" s="55">
        <v>82.001341404355415</v>
      </c>
      <c r="I22" s="55">
        <v>67.890016925630547</v>
      </c>
      <c r="J22" s="55">
        <v>62.041189500144128</v>
      </c>
      <c r="K22" s="55">
        <v>63.126335741031987</v>
      </c>
      <c r="L22" s="55">
        <v>64.950902649929205</v>
      </c>
      <c r="M22" s="55">
        <v>58.848875300116269</v>
      </c>
      <c r="N22" s="55">
        <v>58.976601789950259</v>
      </c>
      <c r="O22" s="55">
        <v>55.856734005974403</v>
      </c>
      <c r="P22" s="55">
        <v>53.421155906947668</v>
      </c>
      <c r="Q22" s="55">
        <v>56.071081317498781</v>
      </c>
      <c r="R22" s="55">
        <v>63.989480164295102</v>
      </c>
      <c r="S22" s="55">
        <v>67.537438133271536</v>
      </c>
      <c r="T22" s="55">
        <v>58.992592342336287</v>
      </c>
      <c r="U22" s="55">
        <v>57.274955096251539</v>
      </c>
      <c r="V22" s="55">
        <v>57.68941470201716</v>
      </c>
      <c r="W22" s="55">
        <v>57.894309124764689</v>
      </c>
      <c r="DA22" s="101" t="s">
        <v>1049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1050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1051</v>
      </c>
    </row>
    <row r="25" spans="1:105" x14ac:dyDescent="0.25">
      <c r="A25" s="257" t="s">
        <v>174</v>
      </c>
      <c r="B25" s="258">
        <v>138.98351288173851</v>
      </c>
      <c r="C25" s="258">
        <v>133.9706216858543</v>
      </c>
      <c r="D25" s="258">
        <v>133.39765188205931</v>
      </c>
      <c r="E25" s="258">
        <v>129.3564415238248</v>
      </c>
      <c r="F25" s="258">
        <v>124.9395978773903</v>
      </c>
      <c r="G25" s="258">
        <v>124.45063773778161</v>
      </c>
      <c r="H25" s="258">
        <v>125.58113103298339</v>
      </c>
      <c r="I25" s="258">
        <v>120.24544867235529</v>
      </c>
      <c r="J25" s="258">
        <v>120.46160979700289</v>
      </c>
      <c r="K25" s="258">
        <v>121.63115658061059</v>
      </c>
      <c r="L25" s="258">
        <v>123.5004344312176</v>
      </c>
      <c r="M25" s="258">
        <v>119.7102171596223</v>
      </c>
      <c r="N25" s="258">
        <v>110.07219441198581</v>
      </c>
      <c r="O25" s="258">
        <v>111.8680500270935</v>
      </c>
      <c r="P25" s="258">
        <v>104.95987928475149</v>
      </c>
      <c r="Q25" s="258">
        <v>107.62968018467789</v>
      </c>
      <c r="R25" s="258">
        <v>107.0624416679829</v>
      </c>
      <c r="S25" s="258">
        <v>102.4139557496237</v>
      </c>
      <c r="T25" s="258">
        <v>99.035951420294026</v>
      </c>
      <c r="U25" s="258">
        <v>96.865561327821695</v>
      </c>
      <c r="V25" s="258">
        <v>95.717116191678912</v>
      </c>
      <c r="W25" s="258">
        <v>95.251871477346455</v>
      </c>
      <c r="DA25" s="273" t="s">
        <v>1052</v>
      </c>
    </row>
    <row r="26" spans="1:105" x14ac:dyDescent="0.25">
      <c r="A26" s="257" t="s">
        <v>177</v>
      </c>
      <c r="B26" s="258">
        <v>0</v>
      </c>
      <c r="C26" s="258">
        <v>0</v>
      </c>
      <c r="D26" s="258">
        <v>0</v>
      </c>
      <c r="E26" s="258">
        <v>0</v>
      </c>
      <c r="F26" s="258">
        <v>0</v>
      </c>
      <c r="G26" s="258">
        <v>0</v>
      </c>
      <c r="H26" s="258">
        <v>0</v>
      </c>
      <c r="I26" s="258">
        <v>0</v>
      </c>
      <c r="J26" s="258">
        <v>0</v>
      </c>
      <c r="K26" s="258">
        <v>0</v>
      </c>
      <c r="L26" s="258">
        <v>0</v>
      </c>
      <c r="M26" s="258">
        <v>0</v>
      </c>
      <c r="N26" s="258">
        <v>0</v>
      </c>
      <c r="O26" s="258">
        <v>0</v>
      </c>
      <c r="P26" s="258">
        <v>0</v>
      </c>
      <c r="Q26" s="258">
        <v>0</v>
      </c>
      <c r="R26" s="258">
        <v>0</v>
      </c>
      <c r="S26" s="258">
        <v>0</v>
      </c>
      <c r="T26" s="258">
        <v>0</v>
      </c>
      <c r="U26" s="258">
        <v>0</v>
      </c>
      <c r="V26" s="258">
        <v>0</v>
      </c>
      <c r="W26" s="258">
        <v>0</v>
      </c>
      <c r="DA26" s="273" t="s">
        <v>1053</v>
      </c>
    </row>
    <row r="27" spans="1:105" x14ac:dyDescent="0.25">
      <c r="A27" s="129" t="s">
        <v>33</v>
      </c>
      <c r="B27" s="259">
        <v>0</v>
      </c>
      <c r="C27" s="259">
        <v>0</v>
      </c>
      <c r="D27" s="259">
        <v>0</v>
      </c>
      <c r="E27" s="259">
        <v>0</v>
      </c>
      <c r="F27" s="259">
        <v>0</v>
      </c>
      <c r="G27" s="259">
        <v>0</v>
      </c>
      <c r="H27" s="259">
        <v>0</v>
      </c>
      <c r="I27" s="259">
        <v>0</v>
      </c>
      <c r="J27" s="259">
        <v>0</v>
      </c>
      <c r="K27" s="259">
        <v>0</v>
      </c>
      <c r="L27" s="259">
        <v>0</v>
      </c>
      <c r="M27" s="259">
        <v>0</v>
      </c>
      <c r="N27" s="259">
        <v>0</v>
      </c>
      <c r="O27" s="259">
        <v>0</v>
      </c>
      <c r="P27" s="259">
        <v>0</v>
      </c>
      <c r="Q27" s="259">
        <v>0</v>
      </c>
      <c r="R27" s="259">
        <v>0</v>
      </c>
      <c r="S27" s="259">
        <v>0</v>
      </c>
      <c r="T27" s="259">
        <v>0</v>
      </c>
      <c r="U27" s="259">
        <v>0</v>
      </c>
      <c r="V27" s="259">
        <v>0</v>
      </c>
      <c r="W27" s="259">
        <v>0</v>
      </c>
      <c r="DA27" s="274" t="s">
        <v>1054</v>
      </c>
    </row>
    <row r="29" spans="1:105" ht="12.75" x14ac:dyDescent="0.25">
      <c r="A29" s="233" t="s">
        <v>135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3">SUM(B32:B40)</f>
        <v>1</v>
      </c>
      <c r="C31" s="236">
        <f t="shared" si="3"/>
        <v>0.99999999999999989</v>
      </c>
      <c r="D31" s="236">
        <f t="shared" si="3"/>
        <v>1.0000000000000002</v>
      </c>
      <c r="E31" s="236">
        <f t="shared" si="3"/>
        <v>1</v>
      </c>
      <c r="F31" s="236">
        <f t="shared" si="3"/>
        <v>1</v>
      </c>
      <c r="G31" s="236">
        <f t="shared" si="3"/>
        <v>1</v>
      </c>
      <c r="H31" s="236">
        <f t="shared" si="3"/>
        <v>0.99999999999999989</v>
      </c>
      <c r="I31" s="236">
        <f t="shared" si="3"/>
        <v>1</v>
      </c>
      <c r="J31" s="236">
        <f t="shared" si="3"/>
        <v>1</v>
      </c>
      <c r="K31" s="236">
        <f t="shared" si="3"/>
        <v>1</v>
      </c>
      <c r="L31" s="236">
        <f t="shared" si="3"/>
        <v>1</v>
      </c>
      <c r="M31" s="236">
        <f t="shared" si="3"/>
        <v>1</v>
      </c>
      <c r="N31" s="236">
        <f t="shared" si="3"/>
        <v>1</v>
      </c>
      <c r="O31" s="236">
        <f t="shared" si="3"/>
        <v>1.0000000000000002</v>
      </c>
      <c r="P31" s="236">
        <f t="shared" si="3"/>
        <v>1</v>
      </c>
      <c r="Q31" s="236">
        <f t="shared" si="3"/>
        <v>1.0000000000000002</v>
      </c>
      <c r="R31" s="236">
        <f t="shared" ref="R31:W31" si="4">SUM(R32:R40)</f>
        <v>1</v>
      </c>
      <c r="S31" s="236">
        <f t="shared" si="4"/>
        <v>0.99999999999999989</v>
      </c>
      <c r="T31" s="236">
        <f t="shared" si="4"/>
        <v>1</v>
      </c>
      <c r="U31" s="236">
        <f t="shared" si="4"/>
        <v>1</v>
      </c>
      <c r="V31" s="236">
        <f t="shared" si="4"/>
        <v>1</v>
      </c>
      <c r="W31" s="236">
        <f t="shared" si="4"/>
        <v>1</v>
      </c>
      <c r="DA31" s="275"/>
    </row>
    <row r="32" spans="1:105" x14ac:dyDescent="0.25">
      <c r="A32" s="239" t="s">
        <v>125</v>
      </c>
      <c r="B32" s="245">
        <f t="shared" ref="B32:W32" si="5">IF(B$6=0,0,B$6/B$5)</f>
        <v>0</v>
      </c>
      <c r="C32" s="245">
        <f t="shared" si="5"/>
        <v>0</v>
      </c>
      <c r="D32" s="245">
        <f t="shared" si="5"/>
        <v>0</v>
      </c>
      <c r="E32" s="245">
        <f t="shared" si="5"/>
        <v>0</v>
      </c>
      <c r="F32" s="245">
        <f t="shared" si="5"/>
        <v>0</v>
      </c>
      <c r="G32" s="245">
        <f t="shared" si="5"/>
        <v>0</v>
      </c>
      <c r="H32" s="245">
        <f t="shared" si="5"/>
        <v>0</v>
      </c>
      <c r="I32" s="245">
        <f t="shared" si="5"/>
        <v>0</v>
      </c>
      <c r="J32" s="245">
        <f t="shared" si="5"/>
        <v>0</v>
      </c>
      <c r="K32" s="245">
        <f t="shared" si="5"/>
        <v>0</v>
      </c>
      <c r="L32" s="245">
        <f t="shared" si="5"/>
        <v>0</v>
      </c>
      <c r="M32" s="245">
        <f t="shared" si="5"/>
        <v>0</v>
      </c>
      <c r="N32" s="245">
        <f t="shared" si="5"/>
        <v>0</v>
      </c>
      <c r="O32" s="245">
        <f t="shared" si="5"/>
        <v>0</v>
      </c>
      <c r="P32" s="245">
        <f t="shared" si="5"/>
        <v>0</v>
      </c>
      <c r="Q32" s="245">
        <f t="shared" si="5"/>
        <v>0</v>
      </c>
      <c r="R32" s="245">
        <f t="shared" si="5"/>
        <v>0</v>
      </c>
      <c r="S32" s="245">
        <f t="shared" si="5"/>
        <v>0</v>
      </c>
      <c r="T32" s="245">
        <f t="shared" si="5"/>
        <v>0</v>
      </c>
      <c r="U32" s="245">
        <f t="shared" si="5"/>
        <v>0</v>
      </c>
      <c r="V32" s="245">
        <f t="shared" si="5"/>
        <v>0</v>
      </c>
      <c r="W32" s="245">
        <f t="shared" si="5"/>
        <v>0</v>
      </c>
      <c r="DA32" s="276"/>
    </row>
    <row r="33" spans="1:105" x14ac:dyDescent="0.25">
      <c r="A33" s="241" t="s">
        <v>124</v>
      </c>
      <c r="B33" s="246">
        <f t="shared" ref="B33:W33" si="6">IF(B$7=0,0,B$7/B$5)</f>
        <v>0</v>
      </c>
      <c r="C33" s="246">
        <f t="shared" si="6"/>
        <v>0</v>
      </c>
      <c r="D33" s="246">
        <f t="shared" si="6"/>
        <v>0</v>
      </c>
      <c r="E33" s="246">
        <f t="shared" si="6"/>
        <v>0</v>
      </c>
      <c r="F33" s="246">
        <f t="shared" si="6"/>
        <v>0</v>
      </c>
      <c r="G33" s="246">
        <f t="shared" si="6"/>
        <v>0</v>
      </c>
      <c r="H33" s="246">
        <f t="shared" si="6"/>
        <v>0</v>
      </c>
      <c r="I33" s="246">
        <f t="shared" si="6"/>
        <v>0</v>
      </c>
      <c r="J33" s="246">
        <f t="shared" si="6"/>
        <v>0</v>
      </c>
      <c r="K33" s="246">
        <f t="shared" si="6"/>
        <v>0</v>
      </c>
      <c r="L33" s="246">
        <f t="shared" si="6"/>
        <v>0</v>
      </c>
      <c r="M33" s="246">
        <f t="shared" si="6"/>
        <v>0</v>
      </c>
      <c r="N33" s="246">
        <f t="shared" si="6"/>
        <v>0</v>
      </c>
      <c r="O33" s="246">
        <f t="shared" si="6"/>
        <v>0</v>
      </c>
      <c r="P33" s="246">
        <f t="shared" si="6"/>
        <v>0</v>
      </c>
      <c r="Q33" s="246">
        <f t="shared" si="6"/>
        <v>0</v>
      </c>
      <c r="R33" s="246">
        <f t="shared" si="6"/>
        <v>0</v>
      </c>
      <c r="S33" s="246">
        <f t="shared" si="6"/>
        <v>0</v>
      </c>
      <c r="T33" s="246">
        <f t="shared" si="6"/>
        <v>0</v>
      </c>
      <c r="U33" s="246">
        <f t="shared" si="6"/>
        <v>0</v>
      </c>
      <c r="V33" s="246">
        <f t="shared" si="6"/>
        <v>0</v>
      </c>
      <c r="W33" s="246">
        <f t="shared" si="6"/>
        <v>0</v>
      </c>
      <c r="DA33" s="277"/>
    </row>
    <row r="34" spans="1:105" x14ac:dyDescent="0.25">
      <c r="A34" s="241" t="s">
        <v>123</v>
      </c>
      <c r="B34" s="246">
        <f t="shared" ref="B34:W34" si="7">IF(B$8=0,0,B$8/B$5)</f>
        <v>0</v>
      </c>
      <c r="C34" s="246">
        <f t="shared" si="7"/>
        <v>0</v>
      </c>
      <c r="D34" s="246">
        <f t="shared" si="7"/>
        <v>0</v>
      </c>
      <c r="E34" s="246">
        <f t="shared" si="7"/>
        <v>0</v>
      </c>
      <c r="F34" s="246">
        <f t="shared" si="7"/>
        <v>0</v>
      </c>
      <c r="G34" s="246">
        <f t="shared" si="7"/>
        <v>0</v>
      </c>
      <c r="H34" s="246">
        <f t="shared" si="7"/>
        <v>0</v>
      </c>
      <c r="I34" s="246">
        <f t="shared" si="7"/>
        <v>0</v>
      </c>
      <c r="J34" s="246">
        <f t="shared" si="7"/>
        <v>0</v>
      </c>
      <c r="K34" s="246">
        <f t="shared" si="7"/>
        <v>0</v>
      </c>
      <c r="L34" s="246">
        <f t="shared" si="7"/>
        <v>0</v>
      </c>
      <c r="M34" s="246">
        <f t="shared" si="7"/>
        <v>0</v>
      </c>
      <c r="N34" s="246">
        <f t="shared" si="7"/>
        <v>0</v>
      </c>
      <c r="O34" s="246">
        <f t="shared" si="7"/>
        <v>0</v>
      </c>
      <c r="P34" s="246">
        <f t="shared" si="7"/>
        <v>0</v>
      </c>
      <c r="Q34" s="246">
        <f t="shared" si="7"/>
        <v>0</v>
      </c>
      <c r="R34" s="246">
        <f t="shared" si="7"/>
        <v>0</v>
      </c>
      <c r="S34" s="246">
        <f t="shared" si="7"/>
        <v>0</v>
      </c>
      <c r="T34" s="246">
        <f t="shared" si="7"/>
        <v>0</v>
      </c>
      <c r="U34" s="246">
        <f t="shared" si="7"/>
        <v>0</v>
      </c>
      <c r="V34" s="246">
        <f t="shared" si="7"/>
        <v>0</v>
      </c>
      <c r="W34" s="246">
        <f t="shared" si="7"/>
        <v>0</v>
      </c>
      <c r="DA34" s="277"/>
    </row>
    <row r="35" spans="1:105" x14ac:dyDescent="0.25">
      <c r="A35" s="243" t="s">
        <v>122</v>
      </c>
      <c r="B35" s="247">
        <f t="shared" ref="B35:W35" si="8">IF(B$9=0,0,B$9/B$5)</f>
        <v>0.16518964385864179</v>
      </c>
      <c r="C35" s="247">
        <f t="shared" si="8"/>
        <v>0.16557654093696753</v>
      </c>
      <c r="D35" s="247">
        <f t="shared" si="8"/>
        <v>0.16741796825215483</v>
      </c>
      <c r="E35" s="247">
        <f t="shared" si="8"/>
        <v>0.16366273701626022</v>
      </c>
      <c r="F35" s="247">
        <f t="shared" si="8"/>
        <v>0.15575370203961394</v>
      </c>
      <c r="G35" s="247">
        <f t="shared" si="8"/>
        <v>0.1521190922419923</v>
      </c>
      <c r="H35" s="247">
        <f t="shared" si="8"/>
        <v>0.15289430028588291</v>
      </c>
      <c r="I35" s="247">
        <f t="shared" si="8"/>
        <v>0.15008543066224633</v>
      </c>
      <c r="J35" s="247">
        <f t="shared" si="8"/>
        <v>0.15231647869203044</v>
      </c>
      <c r="K35" s="247">
        <f t="shared" si="8"/>
        <v>0.15710204966273475</v>
      </c>
      <c r="L35" s="247">
        <f t="shared" si="8"/>
        <v>0.15575277547677333</v>
      </c>
      <c r="M35" s="247">
        <f t="shared" si="8"/>
        <v>0.15965116241371655</v>
      </c>
      <c r="N35" s="247">
        <f t="shared" si="8"/>
        <v>0.15871932315304743</v>
      </c>
      <c r="O35" s="247">
        <f t="shared" si="8"/>
        <v>0.15714279370012807</v>
      </c>
      <c r="P35" s="247">
        <f t="shared" si="8"/>
        <v>0.15650066518467892</v>
      </c>
      <c r="Q35" s="247">
        <f t="shared" si="8"/>
        <v>0.16109713270702503</v>
      </c>
      <c r="R35" s="247">
        <f t="shared" si="8"/>
        <v>0.16362432398709875</v>
      </c>
      <c r="S35" s="247">
        <f t="shared" si="8"/>
        <v>0.15810872637598156</v>
      </c>
      <c r="T35" s="247">
        <f t="shared" si="8"/>
        <v>0.15883657504519594</v>
      </c>
      <c r="U35" s="247">
        <f t="shared" si="8"/>
        <v>0.15348327410599508</v>
      </c>
      <c r="V35" s="247">
        <f t="shared" si="8"/>
        <v>0.15142059504371358</v>
      </c>
      <c r="W35" s="247">
        <f t="shared" si="8"/>
        <v>0.15300926976165011</v>
      </c>
      <c r="DA35" s="278"/>
    </row>
    <row r="36" spans="1:105" x14ac:dyDescent="0.25">
      <c r="A36" s="128" t="s">
        <v>175</v>
      </c>
      <c r="B36" s="260">
        <f t="shared" ref="B36:W36" si="9">IF(B$16=0,0,B$16/B$5)</f>
        <v>0.32422629061916236</v>
      </c>
      <c r="C36" s="260">
        <f t="shared" si="9"/>
        <v>0.32552157433307138</v>
      </c>
      <c r="D36" s="260">
        <f t="shared" si="9"/>
        <v>0.32863061554976775</v>
      </c>
      <c r="E36" s="260">
        <f t="shared" si="9"/>
        <v>0.33058375872547036</v>
      </c>
      <c r="F36" s="260">
        <f t="shared" si="9"/>
        <v>0.3252387085384506</v>
      </c>
      <c r="G36" s="260">
        <f t="shared" si="9"/>
        <v>0.3184932648044379</v>
      </c>
      <c r="H36" s="260">
        <f t="shared" si="9"/>
        <v>0.3250813694310597</v>
      </c>
      <c r="I36" s="260">
        <f t="shared" si="9"/>
        <v>0.32391982164312172</v>
      </c>
      <c r="J36" s="260">
        <f t="shared" si="9"/>
        <v>0.33235057153978564</v>
      </c>
      <c r="K36" s="260">
        <f t="shared" si="9"/>
        <v>0.33329532660591554</v>
      </c>
      <c r="L36" s="260">
        <f t="shared" si="9"/>
        <v>0.33088967191342822</v>
      </c>
      <c r="M36" s="260">
        <f t="shared" si="9"/>
        <v>0.32747926788363435</v>
      </c>
      <c r="N36" s="260">
        <f t="shared" si="9"/>
        <v>0.33483544054288789</v>
      </c>
      <c r="O36" s="260">
        <f t="shared" si="9"/>
        <v>0.33224312584366777</v>
      </c>
      <c r="P36" s="260">
        <f t="shared" si="9"/>
        <v>0.34021763408764022</v>
      </c>
      <c r="Q36" s="260">
        <f t="shared" si="9"/>
        <v>0.34366547573495632</v>
      </c>
      <c r="R36" s="260">
        <f t="shared" si="9"/>
        <v>0.3454888174952554</v>
      </c>
      <c r="S36" s="260">
        <f t="shared" si="9"/>
        <v>0.34432910184743143</v>
      </c>
      <c r="T36" s="260">
        <f t="shared" si="9"/>
        <v>0.35193408048237174</v>
      </c>
      <c r="U36" s="260">
        <f t="shared" si="9"/>
        <v>0.35301895002704275</v>
      </c>
      <c r="V36" s="260">
        <f t="shared" si="9"/>
        <v>0.34973560616297733</v>
      </c>
      <c r="W36" s="260">
        <f t="shared" si="9"/>
        <v>0.35526238109046898</v>
      </c>
      <c r="DA36" s="279"/>
    </row>
    <row r="37" spans="1:105" x14ac:dyDescent="0.25">
      <c r="A37" s="128" t="s">
        <v>121</v>
      </c>
      <c r="B37" s="260">
        <f t="shared" ref="B37:W37" si="10">IF(B$17=0,0,B$17/B$5)</f>
        <v>0.44828128176691251</v>
      </c>
      <c r="C37" s="260">
        <f t="shared" si="10"/>
        <v>0.44635020141451159</v>
      </c>
      <c r="D37" s="260">
        <f t="shared" si="10"/>
        <v>0.44080230470294474</v>
      </c>
      <c r="E37" s="260">
        <f t="shared" si="10"/>
        <v>0.44222908002496686</v>
      </c>
      <c r="F37" s="260">
        <f t="shared" si="10"/>
        <v>0.45651026112624815</v>
      </c>
      <c r="G37" s="260">
        <f t="shared" si="10"/>
        <v>0.46818650788604743</v>
      </c>
      <c r="H37" s="260">
        <f t="shared" si="10"/>
        <v>0.45955723600807608</v>
      </c>
      <c r="I37" s="260">
        <f t="shared" si="10"/>
        <v>0.46375085450712311</v>
      </c>
      <c r="J37" s="260">
        <f t="shared" si="10"/>
        <v>0.45146901772847814</v>
      </c>
      <c r="K37" s="260">
        <f t="shared" si="10"/>
        <v>0.44555714913235794</v>
      </c>
      <c r="L37" s="260">
        <f t="shared" si="10"/>
        <v>0.44977434460803334</v>
      </c>
      <c r="M37" s="260">
        <f t="shared" si="10"/>
        <v>0.44994169925657879</v>
      </c>
      <c r="N37" s="260">
        <f t="shared" si="10"/>
        <v>0.44210381597719739</v>
      </c>
      <c r="O37" s="260">
        <f t="shared" si="10"/>
        <v>0.4467707950024305</v>
      </c>
      <c r="P37" s="260">
        <f t="shared" si="10"/>
        <v>0.43790604705746744</v>
      </c>
      <c r="Q37" s="260">
        <f t="shared" si="10"/>
        <v>0.4291992063819085</v>
      </c>
      <c r="R37" s="260">
        <f t="shared" si="10"/>
        <v>0.42449830302706498</v>
      </c>
      <c r="S37" s="260">
        <f t="shared" si="10"/>
        <v>0.43139646531248699</v>
      </c>
      <c r="T37" s="260">
        <f t="shared" si="10"/>
        <v>0.4216022779858265</v>
      </c>
      <c r="U37" s="260">
        <f t="shared" si="10"/>
        <v>0.42566224265634317</v>
      </c>
      <c r="V37" s="260">
        <f t="shared" si="10"/>
        <v>0.43163918746865571</v>
      </c>
      <c r="W37" s="260">
        <f t="shared" si="10"/>
        <v>0.42346172196228643</v>
      </c>
      <c r="DA37" s="279"/>
    </row>
    <row r="38" spans="1:105" x14ac:dyDescent="0.25">
      <c r="A38" s="128" t="s">
        <v>174</v>
      </c>
      <c r="B38" s="260">
        <f t="shared" ref="B38:W38" si="11">IF(B$25=0,0,B$25/B$5)</f>
        <v>6.2302783755283322E-2</v>
      </c>
      <c r="C38" s="260">
        <f t="shared" si="11"/>
        <v>6.2551683315449483E-2</v>
      </c>
      <c r="D38" s="260">
        <f t="shared" si="11"/>
        <v>6.3149111495132831E-2</v>
      </c>
      <c r="E38" s="260">
        <f t="shared" si="11"/>
        <v>6.3524424233302609E-2</v>
      </c>
      <c r="F38" s="260">
        <f t="shared" si="11"/>
        <v>6.2497328295687327E-2</v>
      </c>
      <c r="G38" s="260">
        <f t="shared" si="11"/>
        <v>6.1201135067522297E-2</v>
      </c>
      <c r="H38" s="260">
        <f t="shared" si="11"/>
        <v>6.2467094274981247E-2</v>
      </c>
      <c r="I38" s="260">
        <f t="shared" si="11"/>
        <v>6.2243893187508878E-2</v>
      </c>
      <c r="J38" s="260">
        <f t="shared" si="11"/>
        <v>6.3863932039705792E-2</v>
      </c>
      <c r="K38" s="260">
        <f t="shared" si="11"/>
        <v>6.404547459899175E-2</v>
      </c>
      <c r="L38" s="260">
        <f t="shared" si="11"/>
        <v>6.3583208001765146E-2</v>
      </c>
      <c r="M38" s="260">
        <f t="shared" si="11"/>
        <v>6.2927870446070247E-2</v>
      </c>
      <c r="N38" s="260">
        <f t="shared" si="11"/>
        <v>6.4341420326867363E-2</v>
      </c>
      <c r="O38" s="260">
        <f t="shared" si="11"/>
        <v>6.384328545377381E-2</v>
      </c>
      <c r="P38" s="260">
        <f t="shared" si="11"/>
        <v>6.5375653670213502E-2</v>
      </c>
      <c r="Q38" s="260">
        <f t="shared" si="11"/>
        <v>6.6038185176110181E-2</v>
      </c>
      <c r="R38" s="260">
        <f t="shared" si="11"/>
        <v>6.6388555490580842E-2</v>
      </c>
      <c r="S38" s="260">
        <f t="shared" si="11"/>
        <v>6.6165706464099944E-2</v>
      </c>
      <c r="T38" s="260">
        <f t="shared" si="11"/>
        <v>6.7627066486605852E-2</v>
      </c>
      <c r="U38" s="260">
        <f t="shared" si="11"/>
        <v>6.7835533210619067E-2</v>
      </c>
      <c r="V38" s="260">
        <f t="shared" si="11"/>
        <v>6.7204611324653385E-2</v>
      </c>
      <c r="W38" s="260">
        <f t="shared" si="11"/>
        <v>6.8266627185594453E-2</v>
      </c>
      <c r="DA38" s="279"/>
    </row>
    <row r="39" spans="1:105" x14ac:dyDescent="0.25">
      <c r="A39" s="128" t="s">
        <v>177</v>
      </c>
      <c r="B39" s="260">
        <f t="shared" ref="B39:W39" si="12">IF(B$26=0,0,B$26/B$5)</f>
        <v>0</v>
      </c>
      <c r="C39" s="260">
        <f t="shared" si="12"/>
        <v>0</v>
      </c>
      <c r="D39" s="260">
        <f t="shared" si="12"/>
        <v>0</v>
      </c>
      <c r="E39" s="260">
        <f t="shared" si="12"/>
        <v>0</v>
      </c>
      <c r="F39" s="260">
        <f t="shared" si="12"/>
        <v>0</v>
      </c>
      <c r="G39" s="260">
        <f t="shared" si="12"/>
        <v>0</v>
      </c>
      <c r="H39" s="260">
        <f t="shared" si="12"/>
        <v>0</v>
      </c>
      <c r="I39" s="260">
        <f t="shared" si="12"/>
        <v>0</v>
      </c>
      <c r="J39" s="260">
        <f t="shared" si="12"/>
        <v>0</v>
      </c>
      <c r="K39" s="260">
        <f t="shared" si="12"/>
        <v>0</v>
      </c>
      <c r="L39" s="260">
        <f t="shared" si="12"/>
        <v>0</v>
      </c>
      <c r="M39" s="260">
        <f t="shared" si="12"/>
        <v>0</v>
      </c>
      <c r="N39" s="260">
        <f t="shared" si="12"/>
        <v>0</v>
      </c>
      <c r="O39" s="260">
        <f t="shared" si="12"/>
        <v>0</v>
      </c>
      <c r="P39" s="260">
        <f t="shared" si="12"/>
        <v>0</v>
      </c>
      <c r="Q39" s="260">
        <f t="shared" si="12"/>
        <v>0</v>
      </c>
      <c r="R39" s="260">
        <f t="shared" si="12"/>
        <v>0</v>
      </c>
      <c r="S39" s="260">
        <f t="shared" si="12"/>
        <v>0</v>
      </c>
      <c r="T39" s="260">
        <f t="shared" si="12"/>
        <v>0</v>
      </c>
      <c r="U39" s="260">
        <f t="shared" si="12"/>
        <v>0</v>
      </c>
      <c r="V39" s="260">
        <f t="shared" si="12"/>
        <v>0</v>
      </c>
      <c r="W39" s="260">
        <f t="shared" si="12"/>
        <v>0</v>
      </c>
      <c r="DA39" s="279"/>
    </row>
    <row r="40" spans="1:105" x14ac:dyDescent="0.25">
      <c r="A40" s="261" t="s">
        <v>33</v>
      </c>
      <c r="B40" s="262">
        <f t="shared" ref="B40:W40" si="13">IF(B$27=0,0,B$27/B$5)</f>
        <v>0</v>
      </c>
      <c r="C40" s="262">
        <f t="shared" si="13"/>
        <v>0</v>
      </c>
      <c r="D40" s="262">
        <f t="shared" si="13"/>
        <v>0</v>
      </c>
      <c r="E40" s="262">
        <f t="shared" si="13"/>
        <v>0</v>
      </c>
      <c r="F40" s="262">
        <f t="shared" si="13"/>
        <v>0</v>
      </c>
      <c r="G40" s="262">
        <f t="shared" si="13"/>
        <v>0</v>
      </c>
      <c r="H40" s="262">
        <f t="shared" si="13"/>
        <v>0</v>
      </c>
      <c r="I40" s="262">
        <f t="shared" si="13"/>
        <v>0</v>
      </c>
      <c r="J40" s="262">
        <f t="shared" si="13"/>
        <v>0</v>
      </c>
      <c r="K40" s="262">
        <f t="shared" si="13"/>
        <v>0</v>
      </c>
      <c r="L40" s="262">
        <f t="shared" si="13"/>
        <v>0</v>
      </c>
      <c r="M40" s="262">
        <f t="shared" si="13"/>
        <v>0</v>
      </c>
      <c r="N40" s="262">
        <f t="shared" si="13"/>
        <v>0</v>
      </c>
      <c r="O40" s="262">
        <f t="shared" si="13"/>
        <v>0</v>
      </c>
      <c r="P40" s="262">
        <f t="shared" si="13"/>
        <v>0</v>
      </c>
      <c r="Q40" s="262">
        <f t="shared" si="13"/>
        <v>0</v>
      </c>
      <c r="R40" s="262">
        <f t="shared" si="13"/>
        <v>0</v>
      </c>
      <c r="S40" s="262">
        <f t="shared" si="13"/>
        <v>0</v>
      </c>
      <c r="T40" s="262">
        <f t="shared" si="13"/>
        <v>0</v>
      </c>
      <c r="U40" s="262">
        <f t="shared" si="13"/>
        <v>0</v>
      </c>
      <c r="V40" s="262">
        <f t="shared" si="13"/>
        <v>0</v>
      </c>
      <c r="W40" s="262">
        <f t="shared" si="13"/>
        <v>0</v>
      </c>
      <c r="DA40" s="280"/>
    </row>
    <row r="42" spans="1:105" ht="12.75" x14ac:dyDescent="0.25">
      <c r="A42" s="233" t="s">
        <v>134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2.2453375877577009</v>
      </c>
      <c r="C44" s="238">
        <f>IF(C$5=0,0,C$5/AGR_fec!C$5)</f>
        <v>2.2401485694305983</v>
      </c>
      <c r="D44" s="238">
        <f>IF(D$5=0,0,D$5/AGR_fec!D$5)</f>
        <v>2.2320309454136766</v>
      </c>
      <c r="E44" s="238">
        <f>IF(E$5=0,0,E$5/AGR_fec!E$5)</f>
        <v>2.2052072154989002</v>
      </c>
      <c r="F44" s="238">
        <f>IF(F$5=0,0,F$5/AGR_fec!F$5)</f>
        <v>2.1901514523658587</v>
      </c>
      <c r="G44" s="238">
        <f>IF(G$5=0,0,G$5/AGR_fec!G$5)</f>
        <v>2.2084667893750187</v>
      </c>
      <c r="H44" s="238">
        <f>IF(H$5=0,0,H$5/AGR_fec!H$5)</f>
        <v>2.1828888377427496</v>
      </c>
      <c r="I44" s="238">
        <f>IF(I$5=0,0,I$5/AGR_fec!I$5)</f>
        <v>2.17857931272383</v>
      </c>
      <c r="J44" s="238">
        <f>IF(J$5=0,0,J$5/AGR_fec!J$5)</f>
        <v>2.1483273085333954</v>
      </c>
      <c r="K44" s="238">
        <f>IF(K$5=0,0,K$5/AGR_fec!K$5)</f>
        <v>2.1635057137174627</v>
      </c>
      <c r="L44" s="238">
        <f>IF(L$5=0,0,L$5/AGR_fec!L$5)</f>
        <v>2.1681774119055937</v>
      </c>
      <c r="M44" s="238">
        <f>IF(M$5=0,0,M$5/AGR_fec!M$5)</f>
        <v>2.1941705330441326</v>
      </c>
      <c r="N44" s="238">
        <f>IF(N$5=0,0,N$5/AGR_fec!N$5)</f>
        <v>2.1431820874141305</v>
      </c>
      <c r="O44" s="238">
        <f>IF(O$5=0,0,O$5/AGR_fec!O$5)</f>
        <v>2.1550404239398349</v>
      </c>
      <c r="P44" s="238">
        <f>IF(P$5=0,0,P$5/AGR_fec!P$5)</f>
        <v>2.0991505132372796</v>
      </c>
      <c r="Q44" s="238">
        <f>IF(Q$5=0,0,Q$5/AGR_fec!Q$5)</f>
        <v>2.1004206855125975</v>
      </c>
      <c r="R44" s="238">
        <f>IF(R$5=0,0,R$5/AGR_fec!R$5)</f>
        <v>2.0957059695084848</v>
      </c>
      <c r="S44" s="238">
        <f>IF(S$5=0,0,S$5/AGR_fec!S$5)</f>
        <v>2.0587009723102061</v>
      </c>
      <c r="T44" s="238">
        <f>IF(T$5=0,0,T$5/AGR_fec!T$5)</f>
        <v>2.0291563910445389</v>
      </c>
      <c r="U44" s="238">
        <f>IF(U$5=0,0,U$5/AGR_fec!U$5)</f>
        <v>1.991317955384112</v>
      </c>
      <c r="V44" s="238">
        <f>IF(V$5=0,0,V$5/AGR_fec!V$5)</f>
        <v>1.9952532750444771</v>
      </c>
      <c r="W44" s="238">
        <f>IF(W$5=0,0,W$5/AGR_fec!W$5)</f>
        <v>1.9646461899638632</v>
      </c>
      <c r="DA44" s="287"/>
    </row>
    <row r="45" spans="1:105" x14ac:dyDescent="0.25">
      <c r="A45" s="239" t="s">
        <v>125</v>
      </c>
      <c r="B45" s="251">
        <f>IF(B$6=0,0,B$6/AGR_fec!B$6)</f>
        <v>0</v>
      </c>
      <c r="C45" s="251">
        <f>IF(C$6=0,0,C$6/AGR_fec!C$6)</f>
        <v>0</v>
      </c>
      <c r="D45" s="251">
        <f>IF(D$6=0,0,D$6/AGR_fec!D$6)</f>
        <v>0</v>
      </c>
      <c r="E45" s="251">
        <f>IF(E$6=0,0,E$6/AGR_fec!E$6)</f>
        <v>0</v>
      </c>
      <c r="F45" s="251">
        <f>IF(F$6=0,0,F$6/AGR_fec!F$6)</f>
        <v>0</v>
      </c>
      <c r="G45" s="251">
        <f>IF(G$6=0,0,G$6/AGR_fec!G$6)</f>
        <v>0</v>
      </c>
      <c r="H45" s="251">
        <f>IF(H$6=0,0,H$6/AGR_fec!H$6)</f>
        <v>0</v>
      </c>
      <c r="I45" s="251">
        <f>IF(I$6=0,0,I$6/AGR_fec!I$6)</f>
        <v>0</v>
      </c>
      <c r="J45" s="251">
        <f>IF(J$6=0,0,J$6/AGR_fec!J$6)</f>
        <v>0</v>
      </c>
      <c r="K45" s="251">
        <f>IF(K$6=0,0,K$6/AGR_fec!K$6)</f>
        <v>0</v>
      </c>
      <c r="L45" s="251">
        <f>IF(L$6=0,0,L$6/AGR_fec!L$6)</f>
        <v>0</v>
      </c>
      <c r="M45" s="251">
        <f>IF(M$6=0,0,M$6/AGR_fec!M$6)</f>
        <v>0</v>
      </c>
      <c r="N45" s="251">
        <f>IF(N$6=0,0,N$6/AGR_fec!N$6)</f>
        <v>0</v>
      </c>
      <c r="O45" s="251">
        <f>IF(O$6=0,0,O$6/AGR_fec!O$6)</f>
        <v>0</v>
      </c>
      <c r="P45" s="251">
        <f>IF(P$6=0,0,P$6/AGR_fec!P$6)</f>
        <v>0</v>
      </c>
      <c r="Q45" s="251">
        <f>IF(Q$6=0,0,Q$6/AGR_fec!Q$6)</f>
        <v>0</v>
      </c>
      <c r="R45" s="251">
        <f>IF(R$6=0,0,R$6/AGR_fec!R$6)</f>
        <v>0</v>
      </c>
      <c r="S45" s="251">
        <f>IF(S$6=0,0,S$6/AGR_fec!S$6)</f>
        <v>0</v>
      </c>
      <c r="T45" s="251">
        <f>IF(T$6=0,0,T$6/AGR_fec!T$6)</f>
        <v>0</v>
      </c>
      <c r="U45" s="251">
        <f>IF(U$6=0,0,U$6/AGR_fec!U$6)</f>
        <v>0</v>
      </c>
      <c r="V45" s="251">
        <f>IF(V$6=0,0,V$6/AGR_fec!V$6)</f>
        <v>0</v>
      </c>
      <c r="W45" s="251">
        <f>IF(W$6=0,0,W$6/AGR_fec!W$6)</f>
        <v>0</v>
      </c>
      <c r="DA45" s="288"/>
    </row>
    <row r="46" spans="1:105" x14ac:dyDescent="0.25">
      <c r="A46" s="241" t="s">
        <v>124</v>
      </c>
      <c r="B46" s="252">
        <f>IF(B$7=0,0,B$7/AGR_fec!B$7)</f>
        <v>0</v>
      </c>
      <c r="C46" s="252">
        <f>IF(C$7=0,0,C$7/AGR_fec!C$7)</f>
        <v>0</v>
      </c>
      <c r="D46" s="252">
        <f>IF(D$7=0,0,D$7/AGR_fec!D$7)</f>
        <v>0</v>
      </c>
      <c r="E46" s="252">
        <f>IF(E$7=0,0,E$7/AGR_fec!E$7)</f>
        <v>0</v>
      </c>
      <c r="F46" s="252">
        <f>IF(F$7=0,0,F$7/AGR_fec!F$7)</f>
        <v>0</v>
      </c>
      <c r="G46" s="252">
        <f>IF(G$7=0,0,G$7/AGR_fec!G$7)</f>
        <v>0</v>
      </c>
      <c r="H46" s="252">
        <f>IF(H$7=0,0,H$7/AGR_fec!H$7)</f>
        <v>0</v>
      </c>
      <c r="I46" s="252">
        <f>IF(I$7=0,0,I$7/AGR_fec!I$7)</f>
        <v>0</v>
      </c>
      <c r="J46" s="252">
        <f>IF(J$7=0,0,J$7/AGR_fec!J$7)</f>
        <v>0</v>
      </c>
      <c r="K46" s="252">
        <f>IF(K$7=0,0,K$7/AGR_fec!K$7)</f>
        <v>0</v>
      </c>
      <c r="L46" s="252">
        <f>IF(L$7=0,0,L$7/AGR_fec!L$7)</f>
        <v>0</v>
      </c>
      <c r="M46" s="252">
        <f>IF(M$7=0,0,M$7/AGR_fec!M$7)</f>
        <v>0</v>
      </c>
      <c r="N46" s="252">
        <f>IF(N$7=0,0,N$7/AGR_fec!N$7)</f>
        <v>0</v>
      </c>
      <c r="O46" s="252">
        <f>IF(O$7=0,0,O$7/AGR_fec!O$7)</f>
        <v>0</v>
      </c>
      <c r="P46" s="252">
        <f>IF(P$7=0,0,P$7/AGR_fec!P$7)</f>
        <v>0</v>
      </c>
      <c r="Q46" s="252">
        <f>IF(Q$7=0,0,Q$7/AGR_fec!Q$7)</f>
        <v>0</v>
      </c>
      <c r="R46" s="252">
        <f>IF(R$7=0,0,R$7/AGR_fec!R$7)</f>
        <v>0</v>
      </c>
      <c r="S46" s="252">
        <f>IF(S$7=0,0,S$7/AGR_fec!S$7)</f>
        <v>0</v>
      </c>
      <c r="T46" s="252">
        <f>IF(T$7=0,0,T$7/AGR_fec!T$7)</f>
        <v>0</v>
      </c>
      <c r="U46" s="252">
        <f>IF(U$7=0,0,U$7/AGR_fec!U$7)</f>
        <v>0</v>
      </c>
      <c r="V46" s="252">
        <f>IF(V$7=0,0,V$7/AGR_fec!V$7)</f>
        <v>0</v>
      </c>
      <c r="W46" s="252">
        <f>IF(W$7=0,0,W$7/AGR_fec!W$7)</f>
        <v>0</v>
      </c>
      <c r="DA46" s="289"/>
    </row>
    <row r="47" spans="1:105" x14ac:dyDescent="0.25">
      <c r="A47" s="241" t="s">
        <v>123</v>
      </c>
      <c r="B47" s="252">
        <f>IF(B$8=0,0,B$8/AGR_fec!B$8)</f>
        <v>0</v>
      </c>
      <c r="C47" s="252">
        <f>IF(C$8=0,0,C$8/AGR_fec!C$8)</f>
        <v>0</v>
      </c>
      <c r="D47" s="252">
        <f>IF(D$8=0,0,D$8/AGR_fec!D$8)</f>
        <v>0</v>
      </c>
      <c r="E47" s="252">
        <f>IF(E$8=0,0,E$8/AGR_fec!E$8)</f>
        <v>0</v>
      </c>
      <c r="F47" s="252">
        <f>IF(F$8=0,0,F$8/AGR_fec!F$8)</f>
        <v>0</v>
      </c>
      <c r="G47" s="252">
        <f>IF(G$8=0,0,G$8/AGR_fec!G$8)</f>
        <v>0</v>
      </c>
      <c r="H47" s="252">
        <f>IF(H$8=0,0,H$8/AGR_fec!H$8)</f>
        <v>0</v>
      </c>
      <c r="I47" s="252">
        <f>IF(I$8=0,0,I$8/AGR_fec!I$8)</f>
        <v>0</v>
      </c>
      <c r="J47" s="252">
        <f>IF(J$8=0,0,J$8/AGR_fec!J$8)</f>
        <v>0</v>
      </c>
      <c r="K47" s="252">
        <f>IF(K$8=0,0,K$8/AGR_fec!K$8)</f>
        <v>0</v>
      </c>
      <c r="L47" s="252">
        <f>IF(L$8=0,0,L$8/AGR_fec!L$8)</f>
        <v>0</v>
      </c>
      <c r="M47" s="252">
        <f>IF(M$8=0,0,M$8/AGR_fec!M$8)</f>
        <v>0</v>
      </c>
      <c r="N47" s="252">
        <f>IF(N$8=0,0,N$8/AGR_fec!N$8)</f>
        <v>0</v>
      </c>
      <c r="O47" s="252">
        <f>IF(O$8=0,0,O$8/AGR_fec!O$8)</f>
        <v>0</v>
      </c>
      <c r="P47" s="252">
        <f>IF(P$8=0,0,P$8/AGR_fec!P$8)</f>
        <v>0</v>
      </c>
      <c r="Q47" s="252">
        <f>IF(Q$8=0,0,Q$8/AGR_fec!Q$8)</f>
        <v>0</v>
      </c>
      <c r="R47" s="252">
        <f>IF(R$8=0,0,R$8/AGR_fec!R$8)</f>
        <v>0</v>
      </c>
      <c r="S47" s="252">
        <f>IF(S$8=0,0,S$8/AGR_fec!S$8)</f>
        <v>0</v>
      </c>
      <c r="T47" s="252">
        <f>IF(T$8=0,0,T$8/AGR_fec!T$8)</f>
        <v>0</v>
      </c>
      <c r="U47" s="252">
        <f>IF(U$8=0,0,U$8/AGR_fec!U$8)</f>
        <v>0</v>
      </c>
      <c r="V47" s="252">
        <f>IF(V$8=0,0,V$8/AGR_fec!V$8)</f>
        <v>0</v>
      </c>
      <c r="W47" s="252">
        <f>IF(W$8=0,0,W$8/AGR_fec!W$8)</f>
        <v>0</v>
      </c>
      <c r="DA47" s="289"/>
    </row>
    <row r="48" spans="1:105" x14ac:dyDescent="0.25">
      <c r="A48" s="243" t="s">
        <v>122</v>
      </c>
      <c r="B48" s="253">
        <f>IF(B$9=0,0,B$9/AGR_fec!B$9)</f>
        <v>1.8264606861247727</v>
      </c>
      <c r="C48" s="253">
        <f>IF(C$9=0,0,C$9/AGR_fec!C$9)</f>
        <v>1.8065689775629461</v>
      </c>
      <c r="D48" s="253">
        <f>IF(D$9=0,0,D$9/AGR_fec!D$9)</f>
        <v>1.8148091406060243</v>
      </c>
      <c r="E48" s="253">
        <f>IF(E$9=0,0,E$9/AGR_fec!E$9)</f>
        <v>1.7456443312205854</v>
      </c>
      <c r="F48" s="253">
        <f>IF(F$9=0,0,F$9/AGR_fec!F$9)</f>
        <v>1.6583791813939686</v>
      </c>
      <c r="G48" s="253">
        <f>IF(G$9=0,0,G$9/AGR_fec!G$9)</f>
        <v>1.6507452198006827</v>
      </c>
      <c r="H48" s="253">
        <f>IF(H$9=0,0,H$9/AGR_fec!H$9)</f>
        <v>1.6189835454343842</v>
      </c>
      <c r="I48" s="253">
        <f>IF(I$9=0,0,I$9/AGR_fec!I$9)</f>
        <v>1.5912647444032553</v>
      </c>
      <c r="J48" s="253">
        <f>IF(J$9=0,0,J$9/AGR_fec!J$9)</f>
        <v>1.5738469471164647</v>
      </c>
      <c r="K48" s="253">
        <f>IF(K$9=0,0,K$9/AGR_fec!K$9)</f>
        <v>1.6361223461294445</v>
      </c>
      <c r="L48" s="253">
        <f>IF(L$9=0,0,L$9/AGR_fec!L$9)</f>
        <v>1.6335476848843187</v>
      </c>
      <c r="M48" s="253">
        <f>IF(M$9=0,0,M$9/AGR_fec!M$9)</f>
        <v>1.7341422501128687</v>
      </c>
      <c r="N48" s="253">
        <f>IF(N$9=0,0,N$9/AGR_fec!N$9)</f>
        <v>1.6553469837455419</v>
      </c>
      <c r="O48" s="253">
        <f>IF(O$9=0,0,O$9/AGR_fec!O$9)</f>
        <v>1.654905051099778</v>
      </c>
      <c r="P48" s="253">
        <f>IF(P$9=0,0,P$9/AGR_fec!P$9)</f>
        <v>1.5848281453632969</v>
      </c>
      <c r="Q48" s="253">
        <f>IF(Q$9=0,0,Q$9/AGR_fec!Q$9)</f>
        <v>1.6284841820401466</v>
      </c>
      <c r="R48" s="253">
        <f>IF(R$9=0,0,R$9/AGR_fec!R$9)</f>
        <v>1.6449426253098258</v>
      </c>
      <c r="S48" s="253">
        <f>IF(S$9=0,0,S$9/AGR_fec!S$9)</f>
        <v>1.5633794093214399</v>
      </c>
      <c r="T48" s="253">
        <f>IF(T$9=0,0,T$9/AGR_fec!T$9)</f>
        <v>1.5294465158902233</v>
      </c>
      <c r="U48" s="253">
        <f>IF(U$9=0,0,U$9/AGR_fec!U$9)</f>
        <v>1.4478968599239084</v>
      </c>
      <c r="V48" s="253">
        <f>IF(V$9=0,0,V$9/AGR_fec!V$9)</f>
        <v>1.4374312292899512</v>
      </c>
      <c r="W48" s="253">
        <f>IF(W$9=0,0,W$9/AGR_fec!W$9)</f>
        <v>1.4275113026121251</v>
      </c>
      <c r="DA48" s="290"/>
    </row>
    <row r="49" spans="1:105" x14ac:dyDescent="0.25">
      <c r="A49" s="128" t="s">
        <v>175</v>
      </c>
      <c r="B49" s="265">
        <f>IF(B$16=0,0,B$16/AGR_fec!B$16)</f>
        <v>3.1024188000000001</v>
      </c>
      <c r="C49" s="265">
        <f>IF(C$16=0,0,C$16/AGR_fec!C$16)</f>
        <v>3.1024188000000001</v>
      </c>
      <c r="D49" s="265">
        <f>IF(D$16=0,0,D$16/AGR_fec!D$16)</f>
        <v>3.102418800000001</v>
      </c>
      <c r="E49" s="265">
        <f>IF(E$16=0,0,E$16/AGR_fec!E$16)</f>
        <v>3.1024187999999997</v>
      </c>
      <c r="F49" s="265">
        <f>IF(F$16=0,0,F$16/AGR_fec!F$16)</f>
        <v>3.1024187999999997</v>
      </c>
      <c r="G49" s="265">
        <f>IF(G$16=0,0,G$16/AGR_fec!G$16)</f>
        <v>3.1024188000000006</v>
      </c>
      <c r="H49" s="265">
        <f>IF(H$16=0,0,H$16/AGR_fec!H$16)</f>
        <v>3.1024188000000006</v>
      </c>
      <c r="I49" s="265">
        <f>IF(I$16=0,0,I$16/AGR_fec!I$16)</f>
        <v>3.1024188000000006</v>
      </c>
      <c r="J49" s="265">
        <f>IF(J$16=0,0,J$16/AGR_fec!J$16)</f>
        <v>3.1024187999999993</v>
      </c>
      <c r="K49" s="265">
        <f>IF(K$16=0,0,K$16/AGR_fec!K$16)</f>
        <v>3.1024188000000001</v>
      </c>
      <c r="L49" s="265">
        <f>IF(L$16=0,0,L$16/AGR_fec!L$16)</f>
        <v>3.1024188000000001</v>
      </c>
      <c r="M49" s="265">
        <f>IF(M$16=0,0,M$16/AGR_fec!M$16)</f>
        <v>3.1024187999999993</v>
      </c>
      <c r="N49" s="265">
        <f>IF(N$16=0,0,N$16/AGR_fec!N$16)</f>
        <v>3.1024188000000006</v>
      </c>
      <c r="O49" s="265">
        <f>IF(O$16=0,0,O$16/AGR_fec!O$16)</f>
        <v>3.1024187999999993</v>
      </c>
      <c r="P49" s="265">
        <f>IF(P$16=0,0,P$16/AGR_fec!P$16)</f>
        <v>3.1024187999999993</v>
      </c>
      <c r="Q49" s="265">
        <f>IF(Q$16=0,0,Q$16/AGR_fec!Q$16)</f>
        <v>3.1024187999999997</v>
      </c>
      <c r="R49" s="265">
        <f>IF(R$16=0,0,R$16/AGR_fec!R$16)</f>
        <v>3.1024188000000006</v>
      </c>
      <c r="S49" s="265">
        <f>IF(S$16=0,0,S$16/AGR_fec!S$16)</f>
        <v>3.1024187999999997</v>
      </c>
      <c r="T49" s="265">
        <f>IF(T$16=0,0,T$16/AGR_fec!T$16)</f>
        <v>3.1024188000000015</v>
      </c>
      <c r="U49" s="265">
        <f>IF(U$16=0,0,U$16/AGR_fec!U$16)</f>
        <v>3.1024188000000006</v>
      </c>
      <c r="V49" s="265">
        <f>IF(V$16=0,0,V$16/AGR_fec!V$16)</f>
        <v>3.1024187999999997</v>
      </c>
      <c r="W49" s="265">
        <f>IF(W$16=0,0,W$16/AGR_fec!W$16)</f>
        <v>3.1024188000000001</v>
      </c>
      <c r="DA49" s="291"/>
    </row>
    <row r="50" spans="1:105" x14ac:dyDescent="0.25">
      <c r="A50" s="128" t="s">
        <v>121</v>
      </c>
      <c r="B50" s="265">
        <f>IF(B$17=0,0,B$17/AGR_fec!B$17)</f>
        <v>2.6401231386470556</v>
      </c>
      <c r="C50" s="265">
        <f>IF(C$17=0,0,C$17/AGR_fec!C$17)</f>
        <v>2.6486585453061156</v>
      </c>
      <c r="D50" s="265">
        <f>IF(D$17=0,0,D$17/AGR_fec!D$17)</f>
        <v>2.6204205590412388</v>
      </c>
      <c r="E50" s="265">
        <f>IF(E$17=0,0,E$17/AGR_fec!E$17)</f>
        <v>2.6264339221155746</v>
      </c>
      <c r="F50" s="265">
        <f>IF(F$17=0,0,F$17/AGR_fec!F$17)</f>
        <v>2.6373074462573736</v>
      </c>
      <c r="G50" s="265">
        <f>IF(G$17=0,0,G$17/AGR_fec!G$17)</f>
        <v>2.6780316553943813</v>
      </c>
      <c r="H50" s="265">
        <f>IF(H$17=0,0,H$17/AGR_fec!H$17)</f>
        <v>2.65919295812968</v>
      </c>
      <c r="I50" s="265">
        <f>IF(I$17=0,0,I$17/AGR_fec!I$17)</f>
        <v>2.6588811552483156</v>
      </c>
      <c r="J50" s="265">
        <f>IF(J$17=0,0,J$17/AGR_fec!J$17)</f>
        <v>2.6179291446245077</v>
      </c>
      <c r="K50" s="265">
        <f>IF(K$17=0,0,K$17/AGR_fec!K$17)</f>
        <v>2.6036887919191614</v>
      </c>
      <c r="L50" s="265">
        <f>IF(L$17=0,0,L$17/AGR_fec!L$17)</f>
        <v>2.6146839399938537</v>
      </c>
      <c r="M50" s="265">
        <f>IF(M$17=0,0,M$17/AGR_fec!M$17)</f>
        <v>2.6075838275034666</v>
      </c>
      <c r="N50" s="265">
        <f>IF(N$17=0,0,N$17/AGR_fec!N$17)</f>
        <v>2.5607048860274166</v>
      </c>
      <c r="O50" s="265">
        <f>IF(O$17=0,0,O$17/AGR_fec!O$17)</f>
        <v>2.5933497703150583</v>
      </c>
      <c r="P50" s="265">
        <f>IF(P$17=0,0,P$17/AGR_fec!P$17)</f>
        <v>2.5184318723233945</v>
      </c>
      <c r="Q50" s="265">
        <f>IF(Q$17=0,0,Q$17/AGR_fec!Q$17)</f>
        <v>2.487796305745777</v>
      </c>
      <c r="R50" s="265">
        <f>IF(R$17=0,0,R$17/AGR_fec!R$17)</f>
        <v>2.457619678068748</v>
      </c>
      <c r="S50" s="265">
        <f>IF(S$17=0,0,S$17/AGR_fec!S$17)</f>
        <v>2.4286934557933977</v>
      </c>
      <c r="T50" s="265">
        <f>IF(T$17=0,0,T$17/AGR_fec!T$17)</f>
        <v>2.3954840031362075</v>
      </c>
      <c r="U50" s="265">
        <f>IF(U$17=0,0,U$17/AGR_fec!U$17)</f>
        <v>2.3805343986750414</v>
      </c>
      <c r="V50" s="265">
        <f>IF(V$17=0,0,V$17/AGR_fec!V$17)</f>
        <v>2.3906601574980519</v>
      </c>
      <c r="W50" s="265">
        <f>IF(W$17=0,0,W$17/AGR_fec!W$17)</f>
        <v>2.3306863113234217</v>
      </c>
      <c r="DA50" s="291"/>
    </row>
    <row r="51" spans="1:105" x14ac:dyDescent="0.25">
      <c r="A51" s="128" t="s">
        <v>174</v>
      </c>
      <c r="B51" s="265">
        <f>IF(B$25=0,0,B$25/AGR_fec!B$25)</f>
        <v>3.1024188000000001</v>
      </c>
      <c r="C51" s="265">
        <f>IF(C$25=0,0,C$25/AGR_fec!C$25)</f>
        <v>3.1024188000000006</v>
      </c>
      <c r="D51" s="265">
        <f>IF(D$25=0,0,D$25/AGR_fec!D$25)</f>
        <v>3.1024188000000006</v>
      </c>
      <c r="E51" s="265">
        <f>IF(E$25=0,0,E$25/AGR_fec!E$25)</f>
        <v>3.1024187999999984</v>
      </c>
      <c r="F51" s="265">
        <f>IF(F$25=0,0,F$25/AGR_fec!F$25)</f>
        <v>3.1024188000000001</v>
      </c>
      <c r="G51" s="265">
        <f>IF(G$25=0,0,G$25/AGR_fec!G$25)</f>
        <v>3.102418800000001</v>
      </c>
      <c r="H51" s="265">
        <f>IF(H$25=0,0,H$25/AGR_fec!H$25)</f>
        <v>3.1024187999999997</v>
      </c>
      <c r="I51" s="265">
        <f>IF(I$25=0,0,I$25/AGR_fec!I$25)</f>
        <v>3.1024188000000001</v>
      </c>
      <c r="J51" s="265">
        <f>IF(J$25=0,0,J$25/AGR_fec!J$25)</f>
        <v>3.1024187999999984</v>
      </c>
      <c r="K51" s="265">
        <f>IF(K$25=0,0,K$25/AGR_fec!K$25)</f>
        <v>3.1024187999999997</v>
      </c>
      <c r="L51" s="265">
        <f>IF(L$25=0,0,L$25/AGR_fec!L$25)</f>
        <v>3.1024187999999993</v>
      </c>
      <c r="M51" s="265">
        <f>IF(M$25=0,0,M$25/AGR_fec!M$25)</f>
        <v>3.1024187999999984</v>
      </c>
      <c r="N51" s="265">
        <f>IF(N$25=0,0,N$25/AGR_fec!N$25)</f>
        <v>3.1024187999999997</v>
      </c>
      <c r="O51" s="265">
        <f>IF(O$25=0,0,O$25/AGR_fec!O$25)</f>
        <v>3.1024188000000001</v>
      </c>
      <c r="P51" s="265">
        <f>IF(P$25=0,0,P$25/AGR_fec!P$25)</f>
        <v>3.1024187999999997</v>
      </c>
      <c r="Q51" s="265">
        <f>IF(Q$25=0,0,Q$25/AGR_fec!Q$25)</f>
        <v>3.1024188000000001</v>
      </c>
      <c r="R51" s="265">
        <f>IF(R$25=0,0,R$25/AGR_fec!R$25)</f>
        <v>3.1024187999999997</v>
      </c>
      <c r="S51" s="265">
        <f>IF(S$25=0,0,S$25/AGR_fec!S$25)</f>
        <v>3.102418800000001</v>
      </c>
      <c r="T51" s="265">
        <f>IF(T$25=0,0,T$25/AGR_fec!T$25)</f>
        <v>3.1024188000000001</v>
      </c>
      <c r="U51" s="265">
        <f>IF(U$25=0,0,U$25/AGR_fec!U$25)</f>
        <v>3.1024188000000001</v>
      </c>
      <c r="V51" s="265">
        <f>IF(V$25=0,0,V$25/AGR_fec!V$25)</f>
        <v>3.1024187999999997</v>
      </c>
      <c r="W51" s="265">
        <f>IF(W$25=0,0,W$25/AGR_fec!W$25)</f>
        <v>3.1024187999999997</v>
      </c>
      <c r="DA51" s="291"/>
    </row>
    <row r="52" spans="1:105" x14ac:dyDescent="0.25">
      <c r="A52" s="128" t="s">
        <v>177</v>
      </c>
      <c r="B52" s="265">
        <f>IF(B$26=0,0,B$26/AGR_fec!B$26)</f>
        <v>0</v>
      </c>
      <c r="C52" s="265">
        <f>IF(C$26=0,0,C$26/AGR_fec!C$26)</f>
        <v>0</v>
      </c>
      <c r="D52" s="265">
        <f>IF(D$26=0,0,D$26/AGR_fec!D$26)</f>
        <v>0</v>
      </c>
      <c r="E52" s="265">
        <f>IF(E$26=0,0,E$26/AGR_fec!E$26)</f>
        <v>0</v>
      </c>
      <c r="F52" s="265">
        <f>IF(F$26=0,0,F$26/AGR_fec!F$26)</f>
        <v>0</v>
      </c>
      <c r="G52" s="265">
        <f>IF(G$26=0,0,G$26/AGR_fec!G$26)</f>
        <v>0</v>
      </c>
      <c r="H52" s="265">
        <f>IF(H$26=0,0,H$26/AGR_fec!H$26)</f>
        <v>0</v>
      </c>
      <c r="I52" s="265">
        <f>IF(I$26=0,0,I$26/AGR_fec!I$26)</f>
        <v>0</v>
      </c>
      <c r="J52" s="265">
        <f>IF(J$26=0,0,J$26/AGR_fec!J$26)</f>
        <v>0</v>
      </c>
      <c r="K52" s="265">
        <f>IF(K$26=0,0,K$26/AGR_fec!K$26)</f>
        <v>0</v>
      </c>
      <c r="L52" s="265">
        <f>IF(L$26=0,0,L$26/AGR_fec!L$26)</f>
        <v>0</v>
      </c>
      <c r="M52" s="265">
        <f>IF(M$26=0,0,M$26/AGR_fec!M$26)</f>
        <v>0</v>
      </c>
      <c r="N52" s="265">
        <f>IF(N$26=0,0,N$26/AGR_fec!N$26)</f>
        <v>0</v>
      </c>
      <c r="O52" s="265">
        <f>IF(O$26=0,0,O$26/AGR_fec!O$26)</f>
        <v>0</v>
      </c>
      <c r="P52" s="265">
        <f>IF(P$26=0,0,P$26/AGR_fec!P$26)</f>
        <v>0</v>
      </c>
      <c r="Q52" s="265">
        <f>IF(Q$26=0,0,Q$26/AGR_fec!Q$26)</f>
        <v>0</v>
      </c>
      <c r="R52" s="265">
        <f>IF(R$26=0,0,R$26/AGR_fec!R$26)</f>
        <v>0</v>
      </c>
      <c r="S52" s="265">
        <f>IF(S$26=0,0,S$26/AGR_fec!S$26)</f>
        <v>0</v>
      </c>
      <c r="T52" s="265">
        <f>IF(T$26=0,0,T$26/AGR_fec!T$26)</f>
        <v>0</v>
      </c>
      <c r="U52" s="265">
        <f>IF(U$26=0,0,U$26/AGR_fec!U$26)</f>
        <v>0</v>
      </c>
      <c r="V52" s="265">
        <f>IF(V$26=0,0,V$26/AGR_fec!V$26)</f>
        <v>0</v>
      </c>
      <c r="W52" s="265">
        <f>IF(W$26=0,0,W$26/AGR_fec!W$26)</f>
        <v>0</v>
      </c>
      <c r="DA52" s="291"/>
    </row>
    <row r="53" spans="1:105" x14ac:dyDescent="0.25">
      <c r="A53" s="261" t="s">
        <v>33</v>
      </c>
      <c r="B53" s="266">
        <f>IF(B$27=0,0,B$27/AGR_fec!B$27)</f>
        <v>0</v>
      </c>
      <c r="C53" s="266">
        <f>IF(C$27=0,0,C$27/AGR_fec!C$27)</f>
        <v>0</v>
      </c>
      <c r="D53" s="266">
        <f>IF(D$27=0,0,D$27/AGR_fec!D$27)</f>
        <v>0</v>
      </c>
      <c r="E53" s="266">
        <f>IF(E$27=0,0,E$27/AGR_fec!E$27)</f>
        <v>0</v>
      </c>
      <c r="F53" s="266">
        <f>IF(F$27=0,0,F$27/AGR_fec!F$27)</f>
        <v>0</v>
      </c>
      <c r="G53" s="266">
        <f>IF(G$27=0,0,G$27/AGR_fec!G$27)</f>
        <v>0</v>
      </c>
      <c r="H53" s="266">
        <f>IF(H$27=0,0,H$27/AGR_fec!H$27)</f>
        <v>0</v>
      </c>
      <c r="I53" s="266">
        <f>IF(I$27=0,0,I$27/AGR_fec!I$27)</f>
        <v>0</v>
      </c>
      <c r="J53" s="266">
        <f>IF(J$27=0,0,J$27/AGR_fec!J$27)</f>
        <v>0</v>
      </c>
      <c r="K53" s="266">
        <f>IF(K$27=0,0,K$27/AGR_fec!K$27)</f>
        <v>0</v>
      </c>
      <c r="L53" s="266">
        <f>IF(L$27=0,0,L$27/AGR_fec!L$27)</f>
        <v>0</v>
      </c>
      <c r="M53" s="266">
        <f>IF(M$27=0,0,M$27/AGR_fec!M$27)</f>
        <v>0</v>
      </c>
      <c r="N53" s="266">
        <f>IF(N$27=0,0,N$27/AGR_fec!N$27)</f>
        <v>0</v>
      </c>
      <c r="O53" s="266">
        <f>IF(O$27=0,0,O$27/AGR_fec!O$27)</f>
        <v>0</v>
      </c>
      <c r="P53" s="266">
        <f>IF(P$27=0,0,P$27/AGR_fec!P$27)</f>
        <v>0</v>
      </c>
      <c r="Q53" s="266">
        <f>IF(Q$27=0,0,Q$27/AGR_fec!Q$27)</f>
        <v>0</v>
      </c>
      <c r="R53" s="266">
        <f>IF(R$27=0,0,R$27/AGR_fec!R$27)</f>
        <v>0</v>
      </c>
      <c r="S53" s="266">
        <f>IF(S$27=0,0,S$27/AGR_fec!S$27)</f>
        <v>0</v>
      </c>
      <c r="T53" s="266">
        <f>IF(T$27=0,0,T$27/AGR_fec!T$27)</f>
        <v>0</v>
      </c>
      <c r="U53" s="266">
        <f>IF(U$27=0,0,U$27/AGR_fec!U$27)</f>
        <v>0</v>
      </c>
      <c r="V53" s="266">
        <f>IF(V$27=0,0,V$27/AGR_fec!V$27)</f>
        <v>0</v>
      </c>
      <c r="W53" s="266">
        <f>IF(W$27=0,0,W$27/AGR_fec!W$27)</f>
        <v>0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CC3063-F7F9-4518-B499-1F180589315D}"/>
</file>

<file path=customXml/itemProps2.xml><?xml version="1.0" encoding="utf-8"?>
<ds:datastoreItem xmlns:ds="http://schemas.openxmlformats.org/officeDocument/2006/customXml" ds:itemID="{4FD437B4-64FD-4DCC-92D7-B2474B7D7A56}"/>
</file>

<file path=customXml/itemProps3.xml><?xml version="1.0" encoding="utf-8"?>
<ds:datastoreItem xmlns:ds="http://schemas.openxmlformats.org/officeDocument/2006/customXml" ds:itemID="{B19A0E66-456E-452A-96BC-B34D11AF0A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2024-05-20T16:48:27Z</dcterms:created>
  <dcterms:modified xsi:type="dcterms:W3CDTF">2024-05-20T16:48:27Z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